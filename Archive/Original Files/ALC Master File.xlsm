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codeName="{22E68647-3C60-695B-3CA0-4895CD717B8A}"/>
  <workbookPr updateLinks="never" codeName="ThisWorkbook"/>
  <mc:AlternateContent xmlns:mc="http://schemas.openxmlformats.org/markup-compatibility/2006">
    <mc:Choice Requires="x15">
      <x15ac:absPath xmlns:x15ac="http://schemas.microsoft.com/office/spreadsheetml/2010/11/ac" url="C:\Users\w2q6026\Desktop\ALC\"/>
    </mc:Choice>
  </mc:AlternateContent>
  <xr:revisionPtr revIDLastSave="0" documentId="13_ncr:1_{174D4E31-444A-4E8C-8F6D-68839DE04BF0}" xr6:coauthVersionLast="40" xr6:coauthVersionMax="40" xr10:uidLastSave="{00000000-0000-0000-0000-000000000000}"/>
  <bookViews>
    <workbookView xWindow="0" yWindow="0" windowWidth="25200" windowHeight="110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Existing Customers" sheetId="40" r:id="rId18"/>
    <sheet name="Existing Customer Variable Exp" sheetId="42" r:id="rId19"/>
    <sheet name="Customer Info" sheetId="77" r:id="rId20"/>
    <sheet name="Variable Selling" sheetId="30" r:id="rId21"/>
    <sheet name="Variable Div Avgs" sheetId="14" r:id="rId22"/>
    <sheet name="3zip" sheetId="50" r:id="rId23"/>
    <sheet name="4zip" sheetId="47" r:id="rId24"/>
    <sheet name="5zip" sheetId="37" r:id="rId25"/>
    <sheet name="Sheet1" sheetId="79" r:id="rId26"/>
    <sheet name="Modellable Customers" sheetId="78" r:id="rId27"/>
    <sheet name="Margin Quartiles" sheetId="34" state="veryHidden" r:id="rId28"/>
    <sheet name="IMargin Quartiles" sheetId="48" state="veryHidden" r:id="rId29"/>
    <sheet name="Lookups" sheetId="6" state="veryHidden" r:id="rId30"/>
    <sheet name="Market Geography" sheetId="38" state="veryHidden" r:id="rId31"/>
  </sheets>
  <externalReferences>
    <externalReference r:id="rId32"/>
  </externalReferences>
  <definedNames>
    <definedName name="_xlnm._FilterDatabase" localSheetId="22" hidden="1">'3zip'!$A$1:$F$2754</definedName>
    <definedName name="_xlnm._FilterDatabase" localSheetId="23" hidden="1">'4zip'!$A$1:$F$95</definedName>
    <definedName name="_xlnm._FilterDatabase" localSheetId="24" hidden="1">'5zip'!$A$1:$F$1</definedName>
    <definedName name="_xlnm._FilterDatabase" localSheetId="15" hidden="1">'Basket Composition'!$A$2:$A$30</definedName>
    <definedName name="_xlnm._FilterDatabase" localSheetId="18" hidden="1">'Existing Customer Variable Exp'!$A$1:$F$1</definedName>
    <definedName name="_xlnm._FilterDatabase" localSheetId="17" hidden="1">'Existing Customers'!$A$1:$AA$1</definedName>
    <definedName name="_xlnm._FilterDatabase" localSheetId="28" hidden="1">'IMargin Quartiles'!$B$1:$C$106</definedName>
    <definedName name="_xlnm._FilterDatabase" localSheetId="29" hidden="1">Lookups!$E$1:$E$61</definedName>
    <definedName name="_xlnm._FilterDatabase" localSheetId="27" hidden="1">'Margin Quartiles'!$B$1:$C$111</definedName>
    <definedName name="_xlnm._FilterDatabase" localSheetId="14" hidden="1">'PRIME Upload'!$A$1:$A$82</definedName>
    <definedName name="_xlnm._FilterDatabase" localSheetId="21" hidden="1">'Variable Div Avgs'!$A$1:$M$60</definedName>
    <definedName name="_xlnm._FilterDatabase" localSheetId="20" hidden="1">'Variable Selling'!$B$1:$O$1758</definedName>
    <definedName name="actionrequested" localSheetId="2">#REF!</definedName>
    <definedName name="actionrequested" localSheetId="0">#REF!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2">'3zip'!$A$1:$F$2</definedName>
    <definedName name="ExternalData_1" localSheetId="23">'4zip'!$A$1:$F$2</definedName>
    <definedName name="ExternalData_1" localSheetId="24">'5zip'!$A$1:$F$2</definedName>
    <definedName name="ExternalData_1" localSheetId="19">'Customer Info'!$A$1:$F$2</definedName>
    <definedName name="ExternalData_1" localSheetId="18">'Existing Customer Variable Exp'!$A$1:$F$2</definedName>
    <definedName name="ExternalData_1" localSheetId="17">'Existing Customers'!$A$1:$AB$2</definedName>
    <definedName name="ExternalData_1" localSheetId="21">'Variable Div Avgs'!$A$1:$M$2</definedName>
    <definedName name="ExternalData_1" localSheetId="20">'Variable Selling'!$A$1:$O$2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12">'Incentive Setup'!$I$1:$V$53</definedName>
    <definedName name="_xlnm.Print_Area" localSheetId="4">Incentives!$B$2:$O$80</definedName>
    <definedName name="_xlnm.Print_Area" localSheetId="13">'MDA Worksheet'!$B$1:$BF$132</definedName>
    <definedName name="_xlnm.Print_Area" localSheetId="26">'Modellable Customers'!$G$1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Submit'!$C$2:$K$28</definedName>
    <definedName name="_xlnm.Print_Area" localSheetId="6">'Tracking &amp; Profitability'!$B$2:$L$36</definedName>
    <definedName name="_xlnm.Print_Area" localSheetId="5">'Variable Costs &amp; Income'!$B$2:$L$30</definedName>
    <definedName name="_xlnm.Print_Area" localSheetId="1">Welcome!$B$2:$E$11</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2" i="57" l="1"/>
  <c r="E27" i="57" l="1"/>
  <c r="E26" i="57"/>
  <c r="E25" i="57"/>
  <c r="E24" i="57"/>
  <c r="E23" i="57"/>
  <c r="E22" i="57"/>
  <c r="E21" i="57"/>
  <c r="E20" i="57"/>
  <c r="E19" i="57"/>
  <c r="E18" i="57"/>
  <c r="F18" i="57" s="1"/>
  <c r="J27" i="57" l="1"/>
  <c r="F27" i="57"/>
  <c r="G27" i="57"/>
  <c r="I27" i="57"/>
  <c r="H27" i="57"/>
  <c r="J26" i="57"/>
  <c r="F26" i="57"/>
  <c r="I26" i="57"/>
  <c r="H26" i="57"/>
  <c r="G26" i="57"/>
  <c r="H25" i="57"/>
  <c r="J25" i="57"/>
  <c r="I25" i="57"/>
  <c r="G25" i="57"/>
  <c r="F25" i="57"/>
  <c r="I24" i="57"/>
  <c r="J24" i="57"/>
  <c r="F24" i="57"/>
  <c r="H24" i="57"/>
  <c r="G24" i="57"/>
  <c r="J23" i="57"/>
  <c r="F23" i="57"/>
  <c r="I23" i="57"/>
  <c r="G23" i="57"/>
  <c r="H23" i="57"/>
  <c r="G22" i="57"/>
  <c r="F22" i="57"/>
  <c r="H22" i="57"/>
  <c r="J22" i="57"/>
  <c r="I22" i="57"/>
  <c r="H21" i="57"/>
  <c r="F21" i="57"/>
  <c r="I21" i="57"/>
  <c r="G21" i="57"/>
  <c r="J21" i="57"/>
  <c r="I20" i="57"/>
  <c r="J20" i="57"/>
  <c r="H20" i="57"/>
  <c r="G20" i="57"/>
  <c r="F20" i="57"/>
  <c r="H19" i="57"/>
  <c r="G19" i="57"/>
  <c r="J19" i="57"/>
  <c r="F19" i="57"/>
  <c r="I19" i="57"/>
  <c r="G18" i="57"/>
  <c r="J18" i="57"/>
  <c r="I18" i="57"/>
  <c r="H18" i="57"/>
  <c r="B64" i="64" l="1"/>
  <c r="J36" i="64"/>
  <c r="E30" i="12" l="1"/>
  <c r="I32" i="54" l="1"/>
  <c r="K30" i="54" s="1"/>
  <c r="I21" i="54"/>
  <c r="K19" i="54" s="1"/>
  <c r="Q56" i="54"/>
  <c r="K71" i="54"/>
  <c r="J40" i="54" l="1"/>
  <c r="D42" i="64" l="1"/>
  <c r="Q32" i="64" s="1"/>
  <c r="D41" i="64"/>
  <c r="Q31" i="64" s="1"/>
  <c r="B42" i="64"/>
  <c r="C41" i="64" s="1"/>
  <c r="B41" i="64"/>
  <c r="P31" i="64" s="1"/>
  <c r="D40" i="64"/>
  <c r="C40" i="64" l="1"/>
  <c r="P32" i="64"/>
  <c r="K55" i="54"/>
  <c r="J29" i="54"/>
  <c r="Q64" i="54"/>
  <c r="Q48" i="54"/>
  <c r="Q37" i="54"/>
  <c r="Q26" i="54"/>
  <c r="Q15" i="54"/>
  <c r="AU40" i="61" l="1"/>
  <c r="P38"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66" i="54" l="1"/>
  <c r="M50" i="54"/>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58" i="54" s="1"/>
  <c r="G3" i="54"/>
  <c r="L4" i="54"/>
  <c r="K36" i="64"/>
  <c r="K63" i="54"/>
  <c r="K47" i="54"/>
  <c r="K36" i="54"/>
  <c r="K25" i="54"/>
  <c r="K14" i="5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J5" i="36" l="1"/>
  <c r="AU1" i="72" l="1"/>
  <c r="AU7" i="72" l="1"/>
  <c r="AU40" i="72"/>
  <c r="C4" i="75"/>
  <c r="E4" i="70"/>
  <c r="J17" i="36" l="1"/>
  <c r="AC17" i="36"/>
  <c r="AA17" i="36" s="1"/>
  <c r="K7" i="75"/>
  <c r="K8" i="75"/>
  <c r="L4" i="75"/>
  <c r="H13" i="75"/>
  <c r="H9" i="75"/>
  <c r="H12" i="75"/>
  <c r="H8" i="75"/>
  <c r="Z8" i="75" s="1"/>
  <c r="H15" i="75"/>
  <c r="H11" i="75"/>
  <c r="H7" i="75"/>
  <c r="H14" i="75"/>
  <c r="H10" i="75"/>
  <c r="H6" i="75"/>
  <c r="L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V17" i="36" l="1"/>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F75" i="59" l="1"/>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D77" i="54" s="1"/>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S20" i="36" l="1"/>
  <c r="G74" i="54"/>
  <c r="D66" i="64" s="1"/>
  <c r="U38" i="64" s="1"/>
  <c r="Q72" i="54"/>
  <c r="M80" i="54" s="1"/>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S1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T36" i="64" s="1"/>
  <c r="B52" i="64"/>
  <c r="B46" i="64"/>
  <c r="B36" i="64"/>
  <c r="B26" i="64"/>
  <c r="B14" i="64"/>
  <c r="O36" i="64"/>
  <c r="P36" i="64" s="1"/>
  <c r="T26" i="64"/>
  <c r="U26" i="64" s="1"/>
  <c r="O26" i="64"/>
  <c r="P26" i="64" s="1"/>
  <c r="J26" i="64"/>
  <c r="K26" i="64" s="1"/>
  <c r="T14" i="64"/>
  <c r="U14" i="64" s="1"/>
  <c r="O14" i="64"/>
  <c r="P14" i="64" s="1"/>
  <c r="M74" i="54" l="1"/>
  <c r="M78" i="54"/>
  <c r="I22" i="12"/>
  <c r="K18" i="36"/>
  <c r="W18" i="36" s="1"/>
  <c r="S16" i="75"/>
  <c r="I33" i="12" s="1"/>
  <c r="K17" i="36"/>
  <c r="D45" i="43"/>
  <c r="E45" i="43" s="1"/>
  <c r="F45" i="43" s="1"/>
  <c r="G45" i="43" s="1"/>
  <c r="I45" i="43" s="1"/>
  <c r="W14" i="75"/>
  <c r="D42" i="43"/>
  <c r="H42" i="43" s="1"/>
  <c r="J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0" i="57"/>
  <c r="D24" i="57"/>
  <c r="D18" i="57"/>
  <c r="D21" i="57"/>
  <c r="D25" i="57"/>
  <c r="D22" i="57"/>
  <c r="D26" i="57"/>
  <c r="D19" i="57"/>
  <c r="D23" i="57"/>
  <c r="D27"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Q36" i="64"/>
  <c r="V26" i="64"/>
  <c r="Q26" i="64"/>
  <c r="L26" i="64"/>
  <c r="K25" i="36" l="1"/>
  <c r="W17" i="36"/>
  <c r="K26" i="36"/>
  <c r="G6" i="54" s="1"/>
  <c r="H45" i="43"/>
  <c r="J45" i="43" s="1"/>
  <c r="D37" i="43"/>
  <c r="H37" i="43" s="1"/>
  <c r="J37" i="43" s="1"/>
  <c r="W6" i="75"/>
  <c r="E42" i="43"/>
  <c r="F42" i="43" s="1"/>
  <c r="G42" i="43" s="1"/>
  <c r="I42" i="43" s="1"/>
  <c r="D46" i="43"/>
  <c r="H46" i="43" s="1"/>
  <c r="J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14" i="64"/>
  <c r="V14" i="64"/>
  <c r="Q14" i="64"/>
  <c r="L3" i="64"/>
  <c r="Z16" i="36" l="1"/>
  <c r="O16" i="36"/>
  <c r="E7" i="12"/>
  <c r="T44" i="61" s="1"/>
  <c r="E6" i="70"/>
  <c r="E6" i="11" s="1"/>
  <c r="E37" i="43"/>
  <c r="F37" i="43" s="1"/>
  <c r="G37" i="43" s="1"/>
  <c r="I37" i="43" s="1"/>
  <c r="D38" i="43"/>
  <c r="E38" i="43" s="1"/>
  <c r="F38" i="43" s="1"/>
  <c r="G38" i="43" s="1"/>
  <c r="I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H38" i="43" l="1"/>
  <c r="J38" i="43" s="1"/>
  <c r="D43" i="43"/>
  <c r="H43" i="43" s="1"/>
  <c r="J43" i="43" s="1"/>
  <c r="W12" i="75"/>
  <c r="D41" i="43"/>
  <c r="E41" i="43" s="1"/>
  <c r="F41" i="43" s="1"/>
  <c r="G41" i="43" s="1"/>
  <c r="I41" i="43" s="1"/>
  <c r="W10" i="75"/>
  <c r="D40" i="43"/>
  <c r="E40" i="43" s="1"/>
  <c r="F40" i="43" s="1"/>
  <c r="G40" i="43" s="1"/>
  <c r="I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AE18" i="36"/>
  <c r="Y22" i="36"/>
  <c r="Y19" i="36"/>
  <c r="Y24" i="36"/>
  <c r="Z21" i="36"/>
  <c r="X21" i="36"/>
  <c r="Z22" i="36"/>
  <c r="X22" i="36"/>
  <c r="Z19" i="36"/>
  <c r="X19" i="36"/>
  <c r="Z24" i="36"/>
  <c r="X24" i="36"/>
  <c r="Z18" i="36"/>
  <c r="X18" i="36"/>
  <c r="X15" i="36"/>
  <c r="Z23" i="36"/>
  <c r="X23" i="36"/>
  <c r="Z17" i="36"/>
  <c r="X17" i="36"/>
  <c r="Z20" i="36"/>
  <c r="X20" i="36"/>
  <c r="P15" i="36"/>
  <c r="Z15" i="36"/>
  <c r="P24" i="36"/>
  <c r="AF24" i="36" s="1"/>
  <c r="P21" i="36"/>
  <c r="P18" i="36"/>
  <c r="AF18" i="36" s="1"/>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V16" i="75" s="1"/>
  <c r="J33" i="12" s="1"/>
  <c r="I32" i="12" s="1"/>
  <c r="P12" i="72"/>
  <c r="Q33" i="72"/>
  <c r="K16" i="64"/>
  <c r="E43" i="43" l="1"/>
  <c r="F43" i="43" s="1"/>
  <c r="G43" i="43" s="1"/>
  <c r="I43" i="43" s="1"/>
  <c r="H41" i="43"/>
  <c r="J41" i="43" s="1"/>
  <c r="H40" i="43"/>
  <c r="J40" i="43" s="1"/>
  <c r="H33" i="12"/>
  <c r="D39" i="43"/>
  <c r="H39" i="43" s="1"/>
  <c r="J39" i="43" s="1"/>
  <c r="W8" i="75"/>
  <c r="D44" i="43"/>
  <c r="H44" i="43" s="1"/>
  <c r="J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E39" i="43" l="1"/>
  <c r="F39" i="43" s="1"/>
  <c r="G39" i="43" s="1"/>
  <c r="I39" i="43" s="1"/>
  <c r="E44" i="43"/>
  <c r="F44" i="43" s="1"/>
  <c r="G44" i="43" s="1"/>
  <c r="I44" i="43" s="1"/>
  <c r="W16" i="75"/>
  <c r="AU3" i="76" s="1"/>
  <c r="AE25" i="36"/>
  <c r="E11" i="11" s="1"/>
  <c r="AF25" i="36"/>
  <c r="E13"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J47" i="43"/>
  <c r="E17" i="12" s="1"/>
  <c r="C10" i="69"/>
  <c r="C4" i="69"/>
  <c r="B29" i="65" l="1"/>
  <c r="I47" i="43"/>
  <c r="E27"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1" i="11"/>
  <c r="Z23" i="76" l="1"/>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U29" i="64" s="1"/>
  <c r="D32" i="64"/>
  <c r="D31" i="64"/>
  <c r="D30" i="64"/>
  <c r="D29" i="64"/>
  <c r="D22" i="64"/>
  <c r="D20" i="64"/>
  <c r="D19" i="64"/>
  <c r="C54" i="64"/>
  <c r="B10" i="64"/>
  <c r="B9" i="64"/>
  <c r="B8" i="64"/>
  <c r="B7" i="64"/>
  <c r="B6" i="64"/>
  <c r="D60" i="64" l="1"/>
  <c r="K38" i="64" l="1"/>
  <c r="Q30" i="64"/>
  <c r="L31" i="64"/>
  <c r="V20" i="64"/>
  <c r="V22" i="64"/>
  <c r="D5" i="64"/>
  <c r="L4" i="64"/>
  <c r="G6" i="64" s="1"/>
  <c r="R24" i="61"/>
  <c r="L19" i="64"/>
  <c r="Q19" i="64"/>
  <c r="V19" i="64"/>
  <c r="Q20" i="64"/>
  <c r="L21" i="64"/>
  <c r="Q21" i="64"/>
  <c r="V21" i="64"/>
  <c r="L22" i="64"/>
  <c r="Q22" i="64"/>
  <c r="K29" i="64"/>
  <c r="L29" i="64"/>
  <c r="L30" i="64"/>
  <c r="L32" i="64"/>
  <c r="P29" i="64"/>
  <c r="Q29" i="64"/>
  <c r="S4" i="64" l="1"/>
  <c r="AV24" i="61" s="1"/>
  <c r="D15" i="65" s="1"/>
  <c r="T35" i="64"/>
  <c r="O35" i="64"/>
  <c r="B13" i="64"/>
  <c r="B51" i="64"/>
  <c r="T25" i="64"/>
  <c r="B15" i="65"/>
  <c r="B14" i="65"/>
  <c r="B25" i="64"/>
  <c r="J35" i="64"/>
  <c r="B35" i="64"/>
  <c r="J25" i="64"/>
  <c r="B57" i="64"/>
  <c r="B45" i="64"/>
  <c r="O25" i="64"/>
  <c r="L20" i="64"/>
  <c r="L13" i="64"/>
  <c r="O13" i="64" s="1"/>
  <c r="Q13" i="64" s="1"/>
  <c r="J13" i="64"/>
  <c r="V35" i="64" l="1"/>
  <c r="C11" i="69"/>
  <c r="Q35" i="64"/>
  <c r="Q25" i="64"/>
  <c r="L35" i="64"/>
  <c r="L25" i="64"/>
  <c r="D51" i="64"/>
  <c r="D35" i="64"/>
  <c r="D13" i="64"/>
  <c r="V13" i="64" s="1"/>
  <c r="D57" i="64"/>
  <c r="V25" i="64"/>
  <c r="D45" i="64"/>
  <c r="D25" i="64"/>
  <c r="T13" i="64" l="1"/>
  <c r="G7" i="64" s="1"/>
  <c r="AV18" i="61" l="1"/>
  <c r="AV20" i="61"/>
  <c r="R22" i="61"/>
  <c r="R20" i="61"/>
  <c r="K12" i="61"/>
  <c r="R14" i="61"/>
  <c r="C3" i="69" s="1"/>
  <c r="G66" i="54" l="1"/>
  <c r="G58" i="54"/>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B12" i="65"/>
  <c r="B9" i="43" l="1"/>
  <c r="B12" i="43" s="1"/>
  <c r="B40" i="64" l="1"/>
  <c r="C39" i="64" s="1"/>
  <c r="P3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B30" i="65"/>
  <c r="E25" i="12"/>
  <c r="B21" i="64"/>
  <c r="E29" i="12"/>
  <c r="C21" i="64" l="1"/>
  <c r="K22" i="64"/>
  <c r="P22" i="64"/>
  <c r="U22" i="64"/>
  <c r="K21" i="64"/>
  <c r="P21" i="64"/>
  <c r="U21" i="64"/>
  <c r="C20" i="64"/>
  <c r="E15" i="11"/>
  <c r="AG25" i="36"/>
  <c r="B20" i="64"/>
  <c r="J20" i="64" s="1"/>
  <c r="C19" i="64" l="1"/>
  <c r="U20" i="64"/>
  <c r="P20" i="64"/>
  <c r="K20" i="64"/>
  <c r="E27" i="12"/>
  <c r="F1" i="6" l="1"/>
  <c r="K1" i="6" l="1"/>
  <c r="J1" i="6"/>
  <c r="H1" i="6"/>
  <c r="K19" i="6" l="1"/>
  <c r="K20" i="6" l="1"/>
  <c r="E17" i="11" l="1"/>
  <c r="E26" i="12"/>
  <c r="B28" i="65" l="1"/>
  <c r="G72" i="59" l="1"/>
  <c r="G66" i="59"/>
  <c r="B32" i="64" l="1"/>
  <c r="K32" i="64" s="1"/>
  <c r="B30" i="64"/>
  <c r="K30" i="64" s="1"/>
  <c r="B31" i="64"/>
  <c r="K31" i="64" s="1"/>
  <c r="C29" i="64" l="1"/>
  <c r="C31" i="64"/>
  <c r="C30" i="64"/>
  <c r="E12" i="12" l="1"/>
  <c r="J12" i="12" s="1"/>
  <c r="I17" i="12" l="1"/>
  <c r="G5" i="54"/>
  <c r="G28" i="54" s="1"/>
  <c r="H9" i="54"/>
  <c r="G17" i="54" s="1"/>
  <c r="E6" i="12"/>
  <c r="T28" i="61" s="1"/>
  <c r="T36" i="61" s="1"/>
  <c r="E5" i="11"/>
  <c r="I21" i="11" s="1"/>
  <c r="E5" i="70"/>
  <c r="B14" i="43"/>
  <c r="C21" i="43"/>
  <c r="C22" i="43" s="1"/>
  <c r="C23" i="43" s="1"/>
  <c r="B23" i="65"/>
  <c r="C23" i="69" l="1"/>
  <c r="D25" i="43"/>
  <c r="D24" i="43"/>
  <c r="E31" i="54"/>
  <c r="E30" i="54"/>
  <c r="E29" i="54"/>
  <c r="E18" i="54"/>
  <c r="G20" i="64" s="1"/>
  <c r="E19" i="54"/>
  <c r="G21" i="64" s="1"/>
  <c r="E20" i="54"/>
  <c r="G22" i="64" s="1"/>
  <c r="I17" i="11"/>
  <c r="I15" i="11"/>
  <c r="G4" i="64"/>
  <c r="I27" i="11"/>
  <c r="C60" i="64"/>
  <c r="I11" i="11"/>
  <c r="I13" i="11"/>
  <c r="B15" i="43"/>
  <c r="B16" i="43"/>
  <c r="K40" i="64" l="1"/>
  <c r="D54" i="64"/>
  <c r="K39"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29" i="54" l="1"/>
  <c r="M18" i="54"/>
  <c r="M40" i="54"/>
  <c r="Y30" i="76"/>
  <c r="Z30" i="76" s="1"/>
  <c r="Z33" i="76" s="1"/>
  <c r="AA30" i="76"/>
  <c r="M77"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79"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F14" i="76"/>
  <c r="AI14"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30" i="12" l="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7" i="11"/>
  <c r="D25" i="65"/>
  <c r="D30" i="65"/>
  <c r="E28" i="11"/>
  <c r="B31" i="65" s="1"/>
  <c r="D31" i="65" s="1"/>
  <c r="G21" i="11"/>
  <c r="I39" i="70"/>
  <c r="T40" i="61"/>
  <c r="G12" i="12"/>
  <c r="G26" i="12"/>
  <c r="D28" i="65"/>
  <c r="G27" i="12"/>
  <c r="G29" i="12"/>
  <c r="G17" i="11"/>
  <c r="D29" i="65"/>
  <c r="G22" i="12"/>
  <c r="G13" i="11"/>
  <c r="G25" i="12"/>
  <c r="G15" i="11"/>
  <c r="G11" i="11"/>
  <c r="L33" i="70"/>
  <c r="K33" i="70"/>
  <c r="K36" i="70"/>
  <c r="G37" i="70"/>
  <c r="I37" i="70"/>
  <c r="E20" i="12" l="1"/>
  <c r="G20" i="12" s="1"/>
  <c r="B24" i="65"/>
  <c r="D24" i="65" s="1"/>
  <c r="J17" i="12"/>
  <c r="J13" i="12" s="1"/>
  <c r="Z131" i="61"/>
  <c r="E31" i="12"/>
  <c r="G31" i="12" s="1"/>
  <c r="G28" i="11"/>
  <c r="I28"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47" authorId="0" shapeId="0" xr:uid="{00000000-0006-0000-0400-000009000000}">
      <text>
        <r>
          <rPr>
            <b/>
            <sz val="8"/>
            <color indexed="81"/>
            <rFont val="Tahoma"/>
            <family val="2"/>
          </rPr>
          <t>eCommerce is an earned incentive that pays a rebate on eCOM sales if the customer exceeds the eCOM threshold % of sales.</t>
        </r>
      </text>
    </comment>
    <comment ref="G50" authorId="0" shapeId="0" xr:uid="{00000000-0006-0000-0400-00000A000000}">
      <text>
        <r>
          <rPr>
            <b/>
            <sz val="8"/>
            <color indexed="81"/>
            <rFont val="Tahoma"/>
            <family val="2"/>
          </rPr>
          <t>Enter the eCommerce target percentage.</t>
        </r>
      </text>
    </comment>
    <comment ref="D55" authorId="0" shapeId="0" xr:uid="{00000000-0006-0000-0400-00000B000000}">
      <text>
        <r>
          <rPr>
            <b/>
            <sz val="8"/>
            <color indexed="81"/>
            <rFont val="Tahoma"/>
            <family val="2"/>
          </rPr>
          <t>Signing incentive is paid up front and amortized by sales volume during the term of the agreement.</t>
        </r>
      </text>
    </comment>
    <comment ref="D63" authorId="0" shapeId="0" xr:uid="{00000000-0006-0000-0400-00000C000000}">
      <text>
        <r>
          <rPr>
            <b/>
            <sz val="8"/>
            <color indexed="81"/>
            <rFont val="Tahoma"/>
            <family val="2"/>
          </rPr>
          <t>VAS incentive that reimburses customers for VAS expenses incurred during the agreement term up to this total dollar value.
-Avero
-Bento Box
-ChowNow
-Menu Design</t>
        </r>
      </text>
    </comment>
    <comment ref="D71" authorId="0" shapeId="0" xr:uid="{174439C4-6D35-4E80-8A54-7DF9A261D959}">
      <text>
        <r>
          <rPr>
            <b/>
            <sz val="8"/>
            <color indexed="81"/>
            <rFont val="Tahoma"/>
            <family val="2"/>
          </rPr>
          <t>Credit Card Conversion incentive pays 1% on all sales (no exclusions) and adds 2% to Contribution Margin to offset the eliminated credit transaction fees.  
This incentive is only available for current “heavy” credit card use customers.  Before generating an agreement with this incentive in it, your Area Finance Director must pre-approve the included customers for this incentive.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1230B22-D3EE-43AC-AD79-BDC72E1C936E}" name="Connection" type="1" refreshedVersion="0" deleted="1" background="1" saveData="1">
    <dbPr connection="" command=""/>
  </connection>
</connections>
</file>

<file path=xl/sharedStrings.xml><?xml version="1.0" encoding="utf-8"?>
<sst xmlns="http://schemas.openxmlformats.org/spreadsheetml/2006/main" count="4027" uniqueCount="1207">
  <si>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</si>
  <si>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</si>
  <si>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</si>
  <si>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</si>
  <si>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</si>
  <si>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</si>
  <si>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</si>
  <si>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</si>
  <si>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</si>
  <si>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</si>
  <si>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</si>
  <si>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</si>
  <si>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</si>
  <si>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</si>
  <si>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</si>
  <si>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</si>
  <si>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</si>
  <si>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</si>
  <si>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</si>
  <si>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</si>
  <si>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</si>
  <si>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</si>
  <si>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</si>
  <si>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</si>
  <si>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</si>
  <si>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</si>
  <si>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</si>
  <si>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</si>
  <si>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</si>
  <si>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</si>
  <si>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</si>
  <si>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</si>
  <si>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</si>
  <si>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</si>
  <si>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</si>
  <si>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</si>
  <si>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</si>
  <si>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</si>
  <si>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</si>
  <si>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</si>
  <si>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</si>
  <si>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</si>
  <si>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</si>
  <si>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</si>
  <si>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</si>
  <si>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</si>
  <si>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</si>
  <si>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</si>
  <si>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</si>
  <si>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</si>
  <si>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</si>
  <si>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</si>
  <si>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</si>
  <si>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</si>
  <si>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</si>
  <si>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</si>
  <si>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</si>
  <si>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</si>
  <si>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</si>
  <si>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</si>
  <si>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</si>
  <si>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</si>
  <si>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</si>
  <si>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</si>
  <si>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</si>
  <si>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</si>
  <si>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</si>
  <si>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</si>
  <si>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</si>
  <si>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</si>
  <si>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</si>
  <si>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</si>
  <si>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</si>
  <si>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</si>
  <si>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</si>
  <si>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</si>
  <si>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</si>
  <si>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</si>
  <si>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</si>
  <si>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</si>
  <si>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</si>
  <si>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</si>
  <si>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</si>
  <si>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</si>
  <si>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</si>
  <si>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</si>
  <si>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</si>
  <si>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</si>
  <si>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</si>
  <si>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</si>
  <si>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</si>
  <si>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</si>
  <si>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</si>
  <si>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</si>
  <si>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</si>
  <si>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</si>
  <si>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</si>
  <si>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</si>
  <si>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</si>
  <si>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</si>
  <si>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</si>
  <si>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</si>
  <si>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</si>
  <si>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</si>
  <si>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</si>
  <si>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</si>
  <si>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</si>
  <si>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</si>
  <si>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</si>
  <si>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</si>
  <si>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</si>
  <si>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</si>
  <si>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</si>
  <si>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</si>
  <si>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</si>
  <si>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</si>
  <si>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</si>
  <si>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</si>
  <si>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</si>
  <si>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</si>
  <si>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</si>
  <si>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</si>
  <si>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</si>
  <si>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</si>
  <si>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</si>
  <si>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</si>
  <si>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</si>
  <si>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</si>
  <si>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</si>
  <si>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</si>
  <si>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</si>
  <si>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</si>
  <si>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</si>
  <si>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</si>
  <si>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</si>
  <si>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</si>
  <si>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</si>
  <si>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</si>
  <si>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</si>
  <si>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</si>
  <si>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</si>
  <si>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</si>
  <si>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</si>
  <si>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</si>
  <si>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</si>
  <si>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</si>
  <si>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</si>
  <si>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</si>
  <si>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</si>
  <si>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</si>
  <si>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</si>
  <si>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</si>
  <si>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</si>
  <si>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</si>
  <si>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</si>
  <si>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</si>
  <si>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</si>
  <si>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</si>
  <si>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</si>
  <si>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</si>
  <si>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</si>
  <si>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</si>
  <si>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</si>
  <si>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</si>
  <si>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</si>
  <si>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</si>
  <si>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</si>
  <si>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</si>
  <si>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</si>
  <si>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</si>
  <si>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</si>
  <si>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</si>
  <si>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</si>
  <si>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</si>
  <si>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</si>
  <si>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</si>
  <si>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</si>
  <si>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</si>
  <si>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</si>
  <si>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</si>
  <si>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</si>
  <si>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</si>
  <si>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</si>
  <si>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</si>
  <si>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</si>
  <si>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</si>
  <si>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</si>
  <si>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</si>
  <si>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</si>
  <si>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</si>
  <si>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</si>
  <si>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</si>
  <si>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</si>
  <si>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</si>
  <si>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</si>
  <si>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</si>
  <si>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</si>
  <si>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</si>
  <si>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</si>
  <si>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</si>
  <si>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</si>
  <si>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</si>
  <si>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</si>
  <si>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</si>
  <si>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</si>
  <si>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</si>
  <si>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</si>
  <si>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</si>
  <si>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</si>
  <si>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</si>
  <si>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</si>
  <si>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</si>
  <si>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</si>
  <si>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</si>
  <si>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</si>
  <si>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</si>
  <si>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</si>
  <si>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</si>
  <si>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</si>
  <si>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</si>
  <si>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</si>
  <si>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</si>
  <si>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</si>
  <si>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</si>
  <si>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</si>
  <si>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</si>
  <si>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</si>
  <si>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</si>
  <si>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</si>
  <si>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</si>
  <si>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</si>
  <si>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</si>
  <si>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</si>
  <si>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</si>
  <si>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</si>
  <si>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</si>
  <si>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</si>
  <si>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</si>
  <si>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</si>
  <si>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</si>
  <si>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</si>
  <si>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</si>
  <si>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</si>
  <si>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</si>
  <si>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</si>
  <si>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</si>
  <si>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</si>
  <si>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</si>
  <si>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</si>
  <si>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</si>
  <si>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</si>
  <si>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</si>
  <si>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</si>
  <si>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</si>
  <si>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</si>
  <si>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</si>
  <si>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</si>
  <si>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</si>
  <si>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</si>
  <si>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</si>
  <si>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</si>
  <si>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</si>
  <si>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</si>
  <si>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</si>
  <si>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</si>
  <si>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</si>
  <si>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</si>
  <si>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</si>
  <si>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</si>
  <si>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</si>
  <si>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</si>
  <si>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</si>
  <si>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</si>
  <si>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</si>
  <si>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</si>
  <si>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</si>
  <si>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</si>
  <si>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</si>
  <si>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</si>
  <si>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</si>
  <si>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</si>
  <si>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</si>
  <si>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</si>
  <si>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</si>
  <si>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</si>
  <si>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</si>
  <si>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</si>
  <si>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</si>
  <si>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</si>
  <si>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</si>
  <si>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</si>
  <si>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</si>
  <si>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</si>
  <si>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</si>
  <si>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</si>
  <si>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</si>
  <si>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</si>
  <si>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</si>
  <si>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</si>
  <si>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</si>
  <si>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</si>
  <si>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</si>
  <si>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</si>
  <si>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</si>
  <si>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</si>
  <si>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</si>
  <si>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</si>
  <si>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</si>
  <si>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</si>
  <si>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</si>
  <si>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</si>
  <si>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</si>
  <si>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</si>
  <si>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</si>
  <si>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</si>
  <si>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</si>
  <si>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</si>
  <si>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</si>
  <si>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</si>
  <si>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</si>
  <si>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</si>
  <si>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</si>
  <si>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</si>
  <si>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</si>
  <si>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</si>
  <si>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</si>
  <si>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</si>
  <si>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</si>
  <si>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</si>
  <si>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</si>
  <si>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</si>
  <si>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</si>
  <si>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</si>
  <si>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</si>
  <si>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</si>
  <si>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</si>
  <si>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</si>
  <si>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</si>
  <si>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</si>
  <si>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</si>
  <si>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</si>
  <si>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</si>
  <si>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</si>
  <si>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</si>
  <si>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</si>
  <si>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</si>
  <si>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</si>
  <si>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</si>
  <si>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</si>
  <si>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</si>
  <si>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</si>
  <si>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</si>
  <si>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</si>
  <si>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</si>
  <si>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</si>
  <si>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</si>
  <si>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</si>
  <si>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</si>
  <si>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</si>
  <si>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</si>
  <si>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</si>
  <si>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</si>
  <si>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</si>
  <si>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</si>
  <si>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</si>
  <si>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</si>
  <si>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</si>
  <si>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</si>
  <si>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</si>
  <si>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</si>
  <si>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</si>
  <si>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</si>
  <si>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</si>
  <si>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</si>
  <si>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</si>
  <si>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</si>
  <si>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</si>
  <si>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</si>
  <si>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</si>
  <si>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</si>
  <si>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</si>
  <si>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</si>
  <si>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</si>
  <si>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</si>
  <si>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</si>
  <si>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</si>
  <si>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</si>
  <si>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</si>
  <si>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</si>
  <si>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</si>
  <si>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</si>
  <si>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</si>
  <si>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</si>
  <si>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</si>
  <si>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</si>
  <si>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</si>
  <si>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</si>
  <si>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</si>
  <si>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</si>
  <si>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</si>
  <si>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</si>
  <si>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</si>
  <si>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</si>
  <si>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</si>
  <si>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</si>
  <si>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</si>
  <si>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</si>
  <si>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</si>
  <si>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</si>
  <si>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</si>
  <si>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</si>
  <si>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</si>
  <si>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</si>
  <si>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</si>
  <si>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</si>
  <si>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</si>
  <si>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</si>
  <si>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</si>
  <si>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</si>
  <si>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</si>
  <si>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</si>
  <si>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</si>
  <si>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</si>
  <si>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</si>
  <si>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</si>
  <si>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</si>
  <si>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</si>
  <si>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</si>
  <si>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</si>
  <si>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</si>
  <si>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</si>
  <si>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</si>
  <si>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</si>
  <si>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</si>
  <si>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</si>
  <si>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</si>
  <si>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</si>
  <si>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</si>
  <si>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</si>
  <si>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</si>
  <si>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</si>
  <si>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</si>
  <si>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</si>
  <si>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</si>
  <si>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</si>
  <si>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</si>
  <si>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</si>
  <si>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</si>
  <si>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</si>
  <si>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</si>
  <si>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</si>
  <si>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</si>
  <si>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</si>
  <si>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</si>
  <si>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</si>
  <si>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</si>
  <si>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</si>
  <si>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</si>
  <si>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</si>
  <si>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</si>
  <si>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</si>
  <si>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</si>
  <si>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</si>
  <si>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</si>
  <si>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</si>
  <si>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</si>
  <si>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</si>
  <si>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</si>
  <si>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</si>
  <si>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</si>
  <si>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</si>
  <si>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</si>
  <si>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</si>
  <si>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</si>
  <si>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</si>
  <si>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</si>
  <si>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</si>
  <si>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</si>
  <si>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</si>
  <si>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</si>
  <si>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</si>
  <si>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</si>
  <si>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</si>
  <si>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</si>
  <si>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</si>
  <si>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</si>
  <si>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</si>
  <si>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</si>
  <si>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</si>
  <si>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</si>
  <si>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</si>
  <si>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</si>
  <si>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</si>
  <si>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</si>
  <si>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</si>
  <si>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</si>
  <si>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</si>
  <si>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</si>
  <si>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</si>
  <si>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</si>
  <si>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</si>
  <si>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</si>
  <si>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</si>
  <si>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</si>
  <si>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</si>
  <si>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</si>
  <si>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</si>
  <si>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</si>
  <si>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</si>
  <si>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</si>
  <si>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</si>
  <si>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</si>
  <si>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</si>
  <si>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</si>
  <si>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</si>
  <si>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</si>
  <si>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</si>
  <si>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</si>
  <si>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</si>
  <si>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</si>
  <si>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</si>
  <si>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</si>
  <si>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</si>
  <si>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</si>
  <si>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</si>
  <si>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</si>
  <si>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</si>
  <si>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</si>
  <si>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</si>
  <si>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</si>
  <si>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</si>
  <si>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</si>
  <si>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</si>
  <si>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</si>
  <si>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</si>
  <si>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</si>
  <si>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</si>
  <si>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</si>
  <si>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</si>
  <si>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</si>
  <si>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</si>
  <si>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</si>
  <si>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</si>
  <si>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</si>
  <si>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</si>
  <si>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</si>
  <si>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</si>
  <si>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</si>
  <si>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</si>
  <si>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</si>
  <si>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</si>
  <si>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</si>
  <si>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</si>
  <si>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</si>
  <si>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</si>
  <si>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</si>
  <si>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Signing Bonus</t>
  </si>
  <si>
    <t>Value-Added Services</t>
  </si>
  <si>
    <t>NO</t>
  </si>
  <si>
    <t xml:space="preserve">Value-Added Services: </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</si>
  <si>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</si>
  <si>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</si>
  <si>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</si>
  <si>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</si>
  <si>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</si>
  <si>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</si>
  <si>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</si>
  <si>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</si>
  <si>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</si>
  <si>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</si>
  <si>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</si>
  <si>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</si>
  <si>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</si>
  <si>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</si>
  <si>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</si>
  <si>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</si>
  <si>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</si>
  <si>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</si>
  <si>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</si>
  <si>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</si>
  <si>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</si>
  <si>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</si>
  <si>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</si>
  <si>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</si>
  <si>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</si>
  <si>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</si>
  <si>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</si>
  <si>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</si>
  <si>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</si>
  <si>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</si>
  <si>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</si>
  <si>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</si>
  <si>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</si>
  <si>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</si>
  <si>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</si>
  <si>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</si>
  <si>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</si>
  <si>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</si>
  <si>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</si>
  <si>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</si>
  <si>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</si>
  <si>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</si>
  <si>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</si>
  <si>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</si>
  <si>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</si>
  <si>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</si>
  <si>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</si>
  <si>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</si>
  <si>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</si>
  <si>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</si>
  <si>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</si>
  <si>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</si>
  <si>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</si>
  <si>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</si>
  <si>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</si>
  <si>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</si>
  <si>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</si>
  <si>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</si>
  <si>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</si>
  <si>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</si>
  <si>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</si>
  <si>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</si>
  <si>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</si>
  <si>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</si>
  <si>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</si>
  <si>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</si>
  <si>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</si>
  <si>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</si>
  <si>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</si>
  <si>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</si>
  <si>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</si>
  <si>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</si>
  <si>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</si>
  <si>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</si>
  <si>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</si>
  <si>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</si>
  <si>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</si>
  <si>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</si>
  <si>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</si>
  <si>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</si>
  <si>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</si>
  <si>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</si>
  <si>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</si>
  <si>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</si>
  <si>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</si>
  <si>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</si>
  <si>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</si>
  <si>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</si>
  <si>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</si>
  <si>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</si>
  <si>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</si>
  <si>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</si>
  <si>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</si>
  <si>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</si>
  <si>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</si>
  <si>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</si>
  <si>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</si>
  <si>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</si>
  <si>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</si>
  <si>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</si>
  <si>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</si>
  <si>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</si>
  <si>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</si>
  <si>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</si>
  <si>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</si>
  <si>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</si>
  <si>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</si>
  <si>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</si>
  <si>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</si>
  <si>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</si>
  <si>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</si>
  <si>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</si>
  <si>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</si>
  <si>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</si>
  <si>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</si>
  <si>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</si>
  <si>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</si>
  <si>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</si>
  <si>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</si>
  <si>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</si>
  <si>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</si>
  <si>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</si>
  <si>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</si>
  <si>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</si>
  <si>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</si>
  <si>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</si>
  <si>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</si>
  <si>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</si>
  <si>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</si>
  <si>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</si>
  <si>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</si>
  <si>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</si>
  <si>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</si>
  <si>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</si>
  <si>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</si>
  <si>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</si>
  <si>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</si>
  <si>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</si>
  <si>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</si>
  <si>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</si>
  <si>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</si>
  <si>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</si>
  <si>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</si>
  <si>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</si>
  <si>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</si>
  <si>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</si>
  <si>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</si>
  <si>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</si>
  <si>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</si>
  <si>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</si>
  <si>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</si>
  <si>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</si>
  <si>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</si>
  <si>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</si>
  <si>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</si>
  <si>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</si>
  <si>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</si>
  <si>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</si>
  <si>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</si>
  <si>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</si>
  <si>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</si>
  <si>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</si>
  <si>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</si>
  <si>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</si>
  <si>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</si>
  <si>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</si>
  <si>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</si>
  <si>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</si>
  <si>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</si>
  <si>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</si>
  <si>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</si>
  <si>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</si>
  <si>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</si>
  <si>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</si>
  <si>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</si>
  <si>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</si>
  <si>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</si>
  <si>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</si>
  <si>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</si>
  <si>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</si>
  <si>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</si>
  <si>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</si>
  <si>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</si>
  <si>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</si>
  <si>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</si>
  <si>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</si>
  <si>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</si>
  <si>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</si>
  <si>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</si>
  <si>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</si>
  <si>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</si>
  <si>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</si>
  <si>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</si>
  <si>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</si>
  <si>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</si>
  <si>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</si>
  <si>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</si>
  <si>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</si>
  <si>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</si>
  <si>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</si>
  <si>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</si>
  <si>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</si>
  <si>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</si>
  <si>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</si>
  <si>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</si>
  <si>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</si>
  <si>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</si>
  <si>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</si>
  <si>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</si>
  <si>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</si>
  <si>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</si>
  <si>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Ending Weeks</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</si>
  <si>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</si>
  <si>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</si>
  <si>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</si>
  <si>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</si>
  <si>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</si>
  <si>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</si>
  <si>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</si>
  <si>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</si>
  <si>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</si>
  <si>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</si>
  <si>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</si>
  <si>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</si>
  <si>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</si>
  <si>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</si>
  <si>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</si>
  <si>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</si>
  <si>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</si>
  <si>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</si>
  <si>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</si>
  <si>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</si>
  <si>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Value Added Service</t>
  </si>
  <si>
    <t>Tracking Program 008</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</si>
  <si>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</si>
  <si>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</si>
  <si>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</si>
  <si>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</si>
  <si>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</si>
  <si>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</si>
  <si>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</si>
  <si>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</si>
  <si>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</si>
  <si>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</si>
  <si>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</si>
  <si>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</si>
  <si>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</si>
  <si>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</si>
  <si>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</si>
  <si>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</si>
  <si>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</si>
  <si>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</si>
  <si>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</si>
  <si>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</si>
  <si>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</si>
  <si>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</si>
  <si>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</si>
  <si>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</si>
  <si>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</si>
  <si>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</si>
  <si>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</si>
  <si>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</si>
  <si>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</si>
  <si>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</si>
  <si>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</si>
  <si>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</si>
  <si>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</si>
  <si>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</si>
  <si>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</si>
  <si>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</si>
  <si>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</si>
  <si>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</si>
  <si>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</si>
  <si>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</si>
  <si>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</si>
  <si>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</si>
  <si>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</si>
  <si>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</si>
  <si>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</si>
  <si>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</si>
  <si>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</si>
  <si>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</si>
  <si>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</si>
  <si>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</si>
  <si>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</si>
  <si>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</si>
  <si>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</si>
  <si>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</si>
  <si>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</si>
  <si>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</si>
  <si>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</si>
  <si>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</si>
  <si>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</si>
  <si>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</si>
  <si>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</si>
  <si>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</si>
  <si>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</si>
  <si>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</si>
  <si>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</si>
  <si>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</si>
  <si>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</si>
  <si>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</si>
  <si>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</si>
  <si>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</si>
  <si>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</si>
  <si>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</si>
  <si>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</si>
  <si>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</si>
  <si>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</si>
  <si>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</si>
  <si>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</si>
  <si>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</si>
  <si>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</si>
  <si>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</si>
  <si>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</si>
  <si>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</si>
  <si>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</si>
  <si>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</si>
  <si>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</si>
  <si>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</si>
  <si>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</si>
  <si>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</si>
  <si>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</si>
  <si>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</si>
  <si>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</si>
  <si>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</si>
  <si>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</si>
  <si>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</si>
  <si>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</si>
  <si>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</si>
  <si>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</si>
  <si>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</si>
  <si>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</si>
  <si>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</si>
  <si>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</si>
  <si>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</si>
  <si>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</si>
  <si>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</si>
  <si>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</si>
  <si>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</si>
  <si>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</si>
  <si>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</si>
  <si>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</si>
  <si>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</si>
  <si>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</si>
  <si>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</si>
  <si>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</si>
  <si>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</si>
  <si>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</si>
  <si>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</si>
  <si>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</si>
  <si>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</si>
  <si>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</si>
  <si>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</si>
  <si>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</si>
  <si>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</si>
  <si>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</si>
  <si>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</si>
  <si>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</si>
  <si>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</si>
  <si>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</si>
  <si>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</si>
  <si>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</si>
  <si>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</si>
  <si>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</si>
  <si>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</si>
  <si>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</si>
  <si>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</si>
  <si>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</si>
  <si>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</si>
  <si>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</si>
  <si>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</si>
  <si>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</si>
  <si>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</si>
  <si>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</si>
  <si>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</si>
  <si>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</si>
  <si>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</si>
  <si>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</si>
  <si>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</si>
  <si>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</si>
  <si>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</si>
  <si>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</si>
  <si>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</si>
  <si>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</si>
  <si>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</si>
  <si>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</si>
  <si>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</si>
  <si>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Signing</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</si>
  <si>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</si>
  <si>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</si>
  <si>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</si>
  <si>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</si>
  <si>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</si>
  <si>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</si>
  <si>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</si>
  <si>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</si>
  <si>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</si>
  <si>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</si>
  <si>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</si>
  <si>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</si>
  <si>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</si>
  <si>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</si>
  <si>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</si>
  <si>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</si>
  <si>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</si>
  <si>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</si>
  <si>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</si>
  <si>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</si>
  <si>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</si>
  <si>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</si>
  <si>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</si>
  <si>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</si>
  <si>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</si>
  <si>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</si>
  <si>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</si>
  <si>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</si>
  <si>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</si>
  <si>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</si>
  <si>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</si>
  <si>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</si>
  <si>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</si>
  <si>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</si>
  <si>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</si>
  <si>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</si>
  <si>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</si>
  <si>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</si>
  <si>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</si>
  <si>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 xml:space="preserve">MDA/Incentive: </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</si>
  <si>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</si>
  <si>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</si>
  <si>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</si>
  <si>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</si>
  <si>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</si>
  <si>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</si>
  <si>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</si>
  <si>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</si>
  <si>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</si>
  <si>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</si>
  <si>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</si>
  <si>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</si>
  <si>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</si>
  <si>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</si>
  <si>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</si>
  <si>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</si>
  <si>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</si>
  <si>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</si>
  <si>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</si>
  <si>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</si>
  <si>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</si>
  <si>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</si>
  <si>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</si>
  <si>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</si>
  <si>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</si>
  <si>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</si>
  <si>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</si>
  <si>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</si>
  <si>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</si>
  <si>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</si>
  <si>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</si>
  <si>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</si>
  <si>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</si>
  <si>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</si>
  <si>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</si>
  <si>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</si>
  <si>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</si>
  <si>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</si>
  <si>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</si>
  <si>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</si>
  <si>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</si>
  <si>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</si>
  <si>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</si>
  <si>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</si>
  <si>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</si>
  <si>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</si>
  <si>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</si>
  <si>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</si>
  <si>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</si>
  <si>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</si>
  <si>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</si>
  <si>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</si>
  <si>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</si>
  <si>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</si>
  <si>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</si>
  <si>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</si>
  <si>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</si>
  <si>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</si>
  <si>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</si>
  <si>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</si>
  <si>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</si>
  <si>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</si>
  <si>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</si>
  <si>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</si>
  <si>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</si>
  <si>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</si>
  <si>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</si>
  <si>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</si>
  <si>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</si>
  <si>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</si>
  <si>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</si>
  <si>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</si>
  <si>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</si>
  <si>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</si>
  <si>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</si>
  <si>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</si>
  <si>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</si>
  <si>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</si>
  <si>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</si>
  <si>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</si>
  <si>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</si>
  <si>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</si>
  <si>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</si>
  <si>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</si>
  <si>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</si>
  <si>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</si>
  <si>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</si>
  <si>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</si>
  <si>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</si>
  <si>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</si>
  <si>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</si>
  <si>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</si>
  <si>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</si>
  <si>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</si>
  <si>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</si>
  <si>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</si>
  <si>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</si>
  <si>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</si>
  <si>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</si>
  <si>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</si>
  <si>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</si>
  <si>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</si>
  <si>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</si>
  <si>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</si>
  <si>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</si>
  <si>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</si>
  <si>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</si>
  <si>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</si>
  <si>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</si>
  <si>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</si>
  <si>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</si>
  <si>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</si>
  <si>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</si>
  <si>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</si>
  <si>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</si>
  <si>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</si>
  <si>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</si>
  <si>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</si>
  <si>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</si>
  <si>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</si>
  <si>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</si>
  <si>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</si>
  <si>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</si>
  <si>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</si>
  <si>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</si>
  <si>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</si>
  <si>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</si>
  <si>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Tier 2</t>
  </si>
  <si>
    <t>Tier 3</t>
  </si>
  <si>
    <t>Tier 4</t>
  </si>
  <si>
    <t>3
Minimum</t>
  </si>
  <si>
    <t>4
Rate</t>
  </si>
  <si>
    <t>Blended EB%^^</t>
  </si>
  <si>
    <t>Credit Card Conversion</t>
  </si>
  <si>
    <t xml:space="preserve">Credit Card Conversion: </t>
  </si>
  <si>
    <t>Payout %</t>
  </si>
  <si>
    <t>Credit Card Convesion</t>
  </si>
  <si>
    <t>Tracking Program 009</t>
  </si>
  <si>
    <t xml:space="preserve">Start </t>
  </si>
  <si>
    <t>WISCONSIN</t>
  </si>
  <si>
    <t>BRNCH_CD</t>
  </si>
  <si>
    <t>DIV_NBR</t>
  </si>
  <si>
    <t>PYR_SEG_DESC</t>
  </si>
  <si>
    <t>CUST_ACCTBLY_FLG</t>
  </si>
  <si>
    <t>CUST_CNTRCT_FLG</t>
  </si>
  <si>
    <t>CUST_NM</t>
  </si>
  <si>
    <t>CUST_NBR</t>
  </si>
  <si>
    <t>Variable Delivery Cost</t>
  </si>
  <si>
    <t>Variable Selling Cost</t>
  </si>
  <si>
    <t>Variable Warehouse Cost</t>
  </si>
  <si>
    <t>DROPS</t>
  </si>
  <si>
    <t>DIV_NM</t>
  </si>
  <si>
    <t>Total Variable Cost Per Case</t>
  </si>
  <si>
    <t>Other GP Per Case</t>
  </si>
  <si>
    <t>CM Per Case</t>
  </si>
  <si>
    <t>Quarter 1 2019</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</si>
  <si>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</si>
  <si>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</si>
  <si>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</si>
  <si>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</si>
  <si>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</si>
  <si>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</si>
  <si>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</si>
  <si>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</si>
  <si>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</si>
  <si>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</si>
  <si>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</si>
  <si>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</si>
  <si>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</si>
  <si>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</si>
  <si>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</si>
  <si>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</si>
  <si>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</si>
  <si>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</si>
  <si>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</si>
  <si>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</si>
  <si>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</si>
  <si>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</si>
  <si>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</si>
  <si>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</si>
  <si>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</si>
  <si>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</si>
  <si>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</si>
  <si>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</si>
  <si>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</si>
  <si>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</si>
  <si>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</si>
  <si>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</si>
  <si>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</si>
  <si>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</si>
  <si>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</si>
  <si>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</si>
  <si>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</si>
  <si>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</si>
  <si>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</si>
  <si>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</si>
  <si>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</si>
  <si>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</si>
  <si>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</si>
  <si>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</si>
  <si>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</si>
  <si>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</si>
  <si>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</si>
  <si>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</si>
  <si>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</si>
  <si>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</si>
  <si>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SUM("VARIABLE DELIVERY COST PER CASE")</t>
  </si>
  <si>
    <t>SUM("VARIABLE WAREHOUSE COST PER CASE")</t>
  </si>
  <si>
    <t>SUM("VARIABLE SELLING COST PER CASE")</t>
  </si>
  <si>
    <t>A5_DIGIT_ZIP</t>
  </si>
  <si>
    <t>Total Variable Delivery</t>
  </si>
  <si>
    <t>SUM(DROPS)</t>
  </si>
  <si>
    <t>DELIVERY_COST_PER_DROP</t>
  </si>
  <si>
    <t>A4_DIGIT_ZIP</t>
  </si>
  <si>
    <t>A3_DIGIT_ZIP</t>
  </si>
  <si>
    <t>Customer Information:</t>
  </si>
  <si>
    <t>Address Line 1</t>
  </si>
  <si>
    <t>CONTEXT AND BUSINESS RATIONALE FOR THE DEAL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</si>
</sst>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s>
  <fonts count="74"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s>
  <fills count="3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s>
  <borders count="79">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9" fillId="0" borderId="0"/>
    <xf numFmtId="0" fontId="38" fillId="0" borderId="0"/>
  </cellStyleXfs>
  <cellXfs count="1142">
    <xf numFmtId="0" fontId="0" fillId="0" borderId="0" xfId="0"/>
    <xf numFmtId="0" fontId="0" fillId="0" borderId="9" xfId="0" applyBorder="1"/>
    <xf numFmtId="0" fontId="0" fillId="0" borderId="0" xfId="0" applyAlignment="1">
      <alignment horizontal="center"/>
    </xf>
    <xf numFmtId="0" fontId="9" fillId="0" borderId="0" xfId="0" applyFont="1" applyAlignment="1">
      <alignment vertical="center"/>
    </xf>
    <xf numFmtId="0" fontId="10" fillId="0" borderId="0" xfId="0" applyFont="1" applyAlignment="1">
      <alignment vertical="center"/>
    </xf>
    <xf numFmtId="0" fontId="0" fillId="0" borderId="0" xfId="0" applyAlignment="1">
      <alignment vertical="center"/>
    </xf>
    <xf numFmtId="0" fontId="7" fillId="11" borderId="9" xfId="0" applyFont="1" applyFill="1" applyBorder="1" applyAlignment="1">
      <alignment horizontal="center" vertical="center"/>
    </xf>
    <xf numFmtId="0" fontId="2" fillId="10" borderId="0" xfId="0" applyFont="1" applyFill="1" applyAlignment="1">
      <alignment horizontal="right" vertical="center"/>
    </xf>
    <xf numFmtId="0" fontId="2" fillId="0" borderId="9" xfId="0" applyFont="1" applyBorder="1" applyAlignment="1">
      <alignment horizontal="right" vertical="center"/>
    </xf>
    <xf numFmtId="0" fontId="10" fillId="0" borderId="0" xfId="0" applyFont="1" applyAlignment="1">
      <alignment horizontal="center" vertical="center"/>
    </xf>
    <xf numFmtId="0" fontId="10" fillId="0" borderId="0" xfId="0" applyFont="1" applyAlignment="1">
      <alignment horizontal="center"/>
    </xf>
    <xf numFmtId="0" fontId="16" fillId="0" borderId="0" xfId="0" applyFont="1" applyAlignment="1">
      <alignment horizontal="center"/>
    </xf>
    <xf numFmtId="166" fontId="2" fillId="0" borderId="9" xfId="0" applyNumberFormat="1" applyFont="1" applyBorder="1" applyAlignment="1">
      <alignment vertical="center"/>
    </xf>
    <xf numFmtId="166" fontId="2" fillId="0" borderId="9" xfId="3" applyNumberFormat="1" applyFont="1" applyBorder="1" applyAlignment="1">
      <alignment vertical="center"/>
    </xf>
    <xf numFmtId="0" fontId="9" fillId="0" borderId="0" xfId="0" applyFont="1" applyAlignment="1">
      <alignment horizontal="center" vertical="center"/>
    </xf>
    <xf numFmtId="0" fontId="0" fillId="0" borderId="9" xfId="0" applyBorder="1" applyAlignment="1">
      <alignment horizontal="center"/>
    </xf>
    <xf numFmtId="0" fontId="21" fillId="0" borderId="9" xfId="0" applyFont="1" applyBorder="1" applyAlignment="1">
      <alignment horizontal="right" vertical="center"/>
    </xf>
    <xf numFmtId="0" fontId="22"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3" fillId="0" borderId="0" xfId="0" applyFont="1" applyAlignment="1">
      <alignment horizontal="center"/>
    </xf>
    <xf numFmtId="0" fontId="7" fillId="17" borderId="45" xfId="0" applyFont="1" applyFill="1" applyBorder="1" applyAlignment="1">
      <alignment horizontal="center"/>
    </xf>
    <xf numFmtId="0" fontId="7"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3" fillId="10" borderId="0" xfId="0" applyFont="1" applyFill="1" applyAlignment="1">
      <alignment horizontal="center" vertical="top" wrapText="1"/>
    </xf>
    <xf numFmtId="0" fontId="7" fillId="10" borderId="20" xfId="0" applyFont="1" applyFill="1" applyBorder="1" applyAlignment="1">
      <alignment horizontal="center" vertical="center"/>
    </xf>
    <xf numFmtId="166" fontId="2" fillId="10" borderId="20" xfId="0" applyNumberFormat="1" applyFont="1" applyFill="1" applyBorder="1" applyAlignment="1">
      <alignment vertical="center"/>
    </xf>
    <xf numFmtId="166" fontId="2"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9" fillId="0" borderId="9" xfId="0" applyFont="1" applyBorder="1" applyAlignment="1">
      <alignment horizontal="center" vertical="center"/>
    </xf>
    <xf numFmtId="0" fontId="10" fillId="0" borderId="9" xfId="0" applyFont="1" applyBorder="1" applyAlignment="1">
      <alignment horizontal="center" vertical="center"/>
    </xf>
    <xf numFmtId="0" fontId="10" fillId="0" borderId="9" xfId="0" applyFont="1" applyBorder="1" applyAlignment="1">
      <alignment horizontal="center"/>
    </xf>
    <xf numFmtId="10" fontId="0" fillId="0" borderId="9" xfId="2" applyNumberFormat="1" applyFont="1" applyBorder="1"/>
    <xf numFmtId="164" fontId="10"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2"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8" fillId="0" borderId="0" xfId="5"/>
    <xf numFmtId="0" fontId="37" fillId="0" borderId="0" xfId="5" applyFont="1"/>
    <xf numFmtId="2" fontId="37" fillId="0" borderId="0" xfId="5" applyNumberFormat="1" applyFont="1"/>
    <xf numFmtId="171" fontId="37" fillId="0" borderId="0" xfId="5" applyNumberFormat="1" applyFont="1"/>
    <xf numFmtId="0" fontId="41" fillId="0" borderId="0" xfId="0" applyFont="1"/>
    <xf numFmtId="44" fontId="2" fillId="10" borderId="0" xfId="3" applyFont="1" applyFill="1" applyAlignment="1">
      <alignment vertical="center"/>
    </xf>
    <xf numFmtId="2" fontId="0" fillId="0" borderId="0" xfId="2" applyNumberFormat="1" applyFont="1"/>
    <xf numFmtId="2" fontId="38" fillId="0" borderId="0" xfId="5" applyNumberFormat="1"/>
    <xf numFmtId="2" fontId="0" fillId="0" borderId="0" xfId="0" applyNumberFormat="1"/>
    <xf numFmtId="0" fontId="19" fillId="0" borderId="0" xfId="0" applyFont="1"/>
    <xf numFmtId="0" fontId="2"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8" fillId="22" borderId="0" xfId="5" applyFill="1"/>
    <xf numFmtId="2" fontId="38"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1"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1" fillId="0" borderId="9" xfId="1" applyFont="1" applyBorder="1"/>
    <xf numFmtId="0" fontId="41" fillId="0" borderId="36" xfId="0" applyFont="1" applyBorder="1"/>
    <xf numFmtId="0" fontId="41" fillId="0" borderId="64" xfId="0" applyFont="1" applyBorder="1" applyAlignment="1">
      <alignment horizontal="center"/>
    </xf>
    <xf numFmtId="0" fontId="41" fillId="0" borderId="45" xfId="0" applyFont="1" applyBorder="1" applyAlignment="1">
      <alignment horizontal="center"/>
    </xf>
    <xf numFmtId="0" fontId="41" fillId="0" borderId="25" xfId="0" applyFont="1" applyBorder="1" applyAlignment="1">
      <alignment horizontal="center"/>
    </xf>
    <xf numFmtId="44" fontId="41" fillId="0" borderId="5" xfId="3" applyFont="1" applyBorder="1"/>
    <xf numFmtId="43" fontId="41" fillId="0" borderId="6" xfId="1" applyFont="1" applyBorder="1"/>
    <xf numFmtId="44" fontId="41" fillId="0" borderId="7" xfId="3" applyFont="1" applyBorder="1"/>
    <xf numFmtId="44" fontId="41" fillId="0" borderId="3" xfId="3" applyFont="1" applyBorder="1"/>
    <xf numFmtId="44" fontId="41" fillId="0" borderId="26" xfId="3" applyFont="1" applyBorder="1"/>
    <xf numFmtId="44" fontId="41" fillId="0" borderId="4" xfId="3" applyFont="1" applyBorder="1"/>
    <xf numFmtId="43" fontId="41" fillId="0" borderId="10" xfId="1" applyFont="1" applyBorder="1"/>
    <xf numFmtId="44" fontId="41" fillId="0" borderId="27" xfId="3" applyFont="1" applyBorder="1"/>
    <xf numFmtId="0" fontId="41" fillId="2" borderId="32" xfId="0" applyFont="1" applyFill="1" applyBorder="1"/>
    <xf numFmtId="0" fontId="41" fillId="2" borderId="33" xfId="0" applyFont="1" applyFill="1" applyBorder="1"/>
    <xf numFmtId="0" fontId="41" fillId="0" borderId="0" xfId="0" applyFont="1" applyAlignment="1">
      <alignment horizontal="right"/>
    </xf>
    <xf numFmtId="166" fontId="41" fillId="0" borderId="24" xfId="3" applyNumberFormat="1" applyFont="1" applyBorder="1"/>
    <xf numFmtId="165" fontId="41" fillId="0" borderId="45" xfId="1" applyNumberFormat="1" applyFont="1" applyBorder="1"/>
    <xf numFmtId="165" fontId="41" fillId="0" borderId="25" xfId="1" applyNumberFormat="1" applyFont="1" applyBorder="1"/>
    <xf numFmtId="165" fontId="41" fillId="0" borderId="0" xfId="1" applyNumberFormat="1" applyFont="1"/>
    <xf numFmtId="0" fontId="41" fillId="0" borderId="49" xfId="0" applyFont="1" applyBorder="1" applyAlignment="1">
      <alignment horizontal="center"/>
    </xf>
    <xf numFmtId="44" fontId="41" fillId="0" borderId="44" xfId="3" applyFont="1" applyBorder="1"/>
    <xf numFmtId="43" fontId="41" fillId="0" borderId="8" xfId="1" applyFont="1" applyBorder="1"/>
    <xf numFmtId="0" fontId="41" fillId="0" borderId="24" xfId="0" applyFont="1" applyBorder="1" applyAlignment="1">
      <alignment horizontal="center"/>
    </xf>
    <xf numFmtId="44" fontId="41" fillId="0" borderId="21" xfId="3" applyFont="1" applyBorder="1"/>
    <xf numFmtId="44" fontId="41" fillId="0" borderId="41" xfId="3" applyFont="1" applyBorder="1"/>
    <xf numFmtId="44" fontId="41" fillId="0" borderId="39" xfId="3" applyFont="1" applyBorder="1"/>
    <xf numFmtId="164" fontId="41" fillId="0" borderId="31" xfId="2" applyNumberFormat="1" applyFont="1" applyBorder="1"/>
    <xf numFmtId="164" fontId="41" fillId="0" borderId="32" xfId="2" applyNumberFormat="1" applyFont="1" applyBorder="1"/>
    <xf numFmtId="164" fontId="41" fillId="0" borderId="33" xfId="2" applyNumberFormat="1" applyFont="1" applyBorder="1"/>
    <xf numFmtId="14" fontId="0" fillId="0" borderId="0" xfId="0" applyNumberFormat="1" applyAlignment="1">
      <alignment horizontal="justify" vertical="center" wrapText="1"/>
    </xf>
    <xf numFmtId="0" fontId="28"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2" fillId="0" borderId="9" xfId="2" applyNumberFormat="1" applyFont="1" applyBorder="1" applyAlignment="1">
      <alignment horizontal="right" vertical="center"/>
    </xf>
    <xf numFmtId="164" fontId="2" fillId="10" borderId="0" xfId="2" applyNumberFormat="1" applyFont="1" applyFill="1" applyAlignment="1">
      <alignment horizontal="right" vertical="center"/>
    </xf>
    <xf numFmtId="166" fontId="2" fillId="10" borderId="0" xfId="0" applyNumberFormat="1" applyFont="1" applyFill="1" applyAlignment="1">
      <alignment vertical="center"/>
    </xf>
    <xf numFmtId="0" fontId="7" fillId="11" borderId="23" xfId="0" applyFont="1" applyFill="1" applyBorder="1" applyAlignment="1">
      <alignment horizontal="center" vertical="center"/>
    </xf>
    <xf numFmtId="166" fontId="34" fillId="10" borderId="0" xfId="0" applyNumberFormat="1" applyFont="1" applyFill="1" applyAlignment="1">
      <alignment vertical="center"/>
    </xf>
    <xf numFmtId="44" fontId="41" fillId="0" borderId="0" xfId="3" applyFont="1"/>
    <xf numFmtId="9" fontId="41" fillId="0" borderId="0" xfId="2" applyFont="1"/>
    <xf numFmtId="44" fontId="2" fillId="0" borderId="9" xfId="3" applyFont="1" applyBorder="1" applyAlignment="1">
      <alignment horizontal="center" vertical="center"/>
    </xf>
    <xf numFmtId="44" fontId="2" fillId="10" borderId="0" xfId="3" applyFont="1" applyFill="1" applyAlignment="1">
      <alignment horizontal="center" vertical="center"/>
    </xf>
    <xf numFmtId="44" fontId="23" fillId="10" borderId="18" xfId="3" applyFont="1" applyFill="1" applyBorder="1" applyAlignment="1">
      <alignment horizontal="center" vertical="top" wrapText="1"/>
    </xf>
    <xf numFmtId="164" fontId="2"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2" fillId="3" borderId="0" xfId="0" applyFont="1" applyFill="1" applyAlignment="1">
      <alignment horizontal="right"/>
    </xf>
    <xf numFmtId="0" fontId="0" fillId="0" borderId="14" xfId="0" applyBorder="1"/>
    <xf numFmtId="0" fontId="0" fillId="0" borderId="29" xfId="0" applyBorder="1"/>
    <xf numFmtId="0" fontId="3" fillId="3" borderId="0" xfId="0" applyFont="1" applyFill="1"/>
    <xf numFmtId="0" fontId="3" fillId="0" borderId="0" xfId="0" applyFont="1"/>
    <xf numFmtId="0" fontId="9" fillId="3" borderId="0" xfId="0" applyFont="1" applyFill="1"/>
    <xf numFmtId="0" fontId="20" fillId="3" borderId="0" xfId="0" applyFont="1" applyFill="1" applyAlignment="1">
      <alignment horizontal="center"/>
    </xf>
    <xf numFmtId="167" fontId="3" fillId="0" borderId="26" xfId="3" applyNumberFormat="1" applyFont="1" applyBorder="1" applyAlignment="1">
      <alignment horizontal="center"/>
    </xf>
    <xf numFmtId="168" fontId="3" fillId="0" borderId="26" xfId="1" applyNumberFormat="1" applyFont="1" applyBorder="1" applyAlignment="1">
      <alignment horizontal="center"/>
    </xf>
    <xf numFmtId="0" fontId="0" fillId="10" borderId="0" xfId="0" applyFill="1" applyAlignment="1">
      <alignment horizontal="center" vertical="center"/>
    </xf>
    <xf numFmtId="0" fontId="3" fillId="14" borderId="0" xfId="0" applyFont="1" applyFill="1"/>
    <xf numFmtId="0" fontId="17" fillId="14" borderId="0" xfId="0" applyFont="1" applyFill="1" applyAlignment="1">
      <alignment horizontal="center"/>
    </xf>
    <xf numFmtId="0" fontId="2" fillId="6" borderId="36" xfId="0" applyFont="1" applyFill="1" applyBorder="1" applyAlignment="1">
      <alignment horizontal="center" vertical="center"/>
    </xf>
    <xf numFmtId="0" fontId="2" fillId="6" borderId="24" xfId="0" applyFont="1" applyFill="1" applyBorder="1" applyAlignment="1">
      <alignment horizontal="center" vertical="center"/>
    </xf>
    <xf numFmtId="0" fontId="2" fillId="6" borderId="45" xfId="0" applyFont="1" applyFill="1" applyBorder="1" applyAlignment="1">
      <alignment horizontal="center" vertical="center"/>
    </xf>
    <xf numFmtId="0" fontId="2" fillId="6" borderId="25" xfId="0" applyFont="1" applyFill="1" applyBorder="1" applyAlignment="1">
      <alignment horizontal="center" vertical="center"/>
    </xf>
    <xf numFmtId="0" fontId="7" fillId="12" borderId="36" xfId="0" applyFont="1" applyFill="1" applyBorder="1" applyAlignment="1">
      <alignment horizontal="center" vertical="center"/>
    </xf>
    <xf numFmtId="0" fontId="7" fillId="3" borderId="0" xfId="0" applyFont="1" applyFill="1" applyAlignment="1">
      <alignment horizontal="center" vertical="center"/>
    </xf>
    <xf numFmtId="0" fontId="2" fillId="6" borderId="31" xfId="0" applyFont="1" applyFill="1" applyBorder="1" applyAlignment="1">
      <alignment horizontal="center" vertical="center" wrapText="1"/>
    </xf>
    <xf numFmtId="0" fontId="3" fillId="3" borderId="0" xfId="0" applyFont="1" applyFill="1" applyAlignment="1">
      <alignment horizontal="center" vertical="center" wrapText="1"/>
    </xf>
    <xf numFmtId="0" fontId="17" fillId="11" borderId="47" xfId="0" applyFont="1" applyFill="1" applyBorder="1" applyAlignment="1">
      <alignment horizontal="center" vertical="center"/>
    </xf>
    <xf numFmtId="0" fontId="17" fillId="11" borderId="54" xfId="0" applyFont="1" applyFill="1" applyBorder="1" applyAlignment="1">
      <alignment horizontal="center" vertical="center"/>
    </xf>
    <xf numFmtId="0" fontId="17" fillId="11" borderId="48" xfId="0" applyFont="1" applyFill="1" applyBorder="1" applyAlignment="1">
      <alignment horizontal="center" vertical="center"/>
    </xf>
    <xf numFmtId="0" fontId="3" fillId="3" borderId="0" xfId="0" applyFont="1" applyFill="1" applyAlignment="1">
      <alignment horizontal="center" wrapText="1"/>
    </xf>
    <xf numFmtId="0" fontId="4" fillId="2" borderId="31" xfId="0" applyFont="1" applyFill="1" applyBorder="1"/>
    <xf numFmtId="165" fontId="3" fillId="3" borderId="0" xfId="1" applyNumberFormat="1" applyFont="1" applyFill="1"/>
    <xf numFmtId="164" fontId="2" fillId="2" borderId="9" xfId="2" applyNumberFormat="1" applyFont="1" applyFill="1" applyBorder="1" applyAlignment="1">
      <alignment horizontal="center" vertical="center"/>
    </xf>
    <xf numFmtId="10" fontId="3" fillId="3" borderId="0" xfId="2" applyNumberFormat="1" applyFont="1" applyFill="1"/>
    <xf numFmtId="0" fontId="4" fillId="2" borderId="32" xfId="0" applyFont="1" applyFill="1" applyBorder="1" applyAlignment="1">
      <alignment horizontal="left" indent="1"/>
    </xf>
    <xf numFmtId="0" fontId="4" fillId="2" borderId="32" xfId="0" applyFont="1" applyFill="1" applyBorder="1"/>
    <xf numFmtId="0" fontId="4" fillId="2" borderId="33" xfId="0" applyFont="1" applyFill="1" applyBorder="1"/>
    <xf numFmtId="0" fontId="4" fillId="3" borderId="0" xfId="0" applyFont="1" applyFill="1" applyAlignment="1">
      <alignment horizontal="right"/>
    </xf>
    <xf numFmtId="166" fontId="2" fillId="2" borderId="24" xfId="0" applyNumberFormat="1" applyFont="1" applyFill="1" applyBorder="1"/>
    <xf numFmtId="165" fontId="2" fillId="2" borderId="45" xfId="1" applyNumberFormat="1" applyFont="1" applyFill="1" applyBorder="1"/>
    <xf numFmtId="165" fontId="2" fillId="2" borderId="25" xfId="1" applyNumberFormat="1" applyFont="1" applyFill="1" applyBorder="1"/>
    <xf numFmtId="43" fontId="25" fillId="3" borderId="0" xfId="1" applyFont="1" applyFill="1"/>
    <xf numFmtId="0" fontId="27" fillId="3" borderId="0" xfId="0" applyFont="1" applyFill="1" applyAlignment="1">
      <alignment horizontal="left" indent="1"/>
    </xf>
    <xf numFmtId="0" fontId="0" fillId="0" borderId="11" xfId="0" applyBorder="1" applyAlignment="1">
      <alignment vertical="center"/>
    </xf>
    <xf numFmtId="0" fontId="18"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5" fillId="0" borderId="0" xfId="0" applyFont="1" applyAlignment="1">
      <alignment horizontal="right" vertical="center"/>
    </xf>
    <xf numFmtId="169" fontId="25" fillId="3" borderId="0" xfId="0" applyNumberFormat="1" applyFont="1" applyFill="1" applyAlignment="1">
      <alignment horizontal="center" vertical="center"/>
    </xf>
    <xf numFmtId="0" fontId="0" fillId="3" borderId="29" xfId="0" applyFill="1" applyBorder="1" applyAlignment="1">
      <alignment vertical="center"/>
    </xf>
    <xf numFmtId="0" fontId="5" fillId="2" borderId="5" xfId="0" applyFont="1" applyFill="1" applyBorder="1" applyAlignment="1">
      <alignment horizontal="right" vertical="center"/>
    </xf>
    <xf numFmtId="0" fontId="5"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5" fillId="10" borderId="18" xfId="0" applyFont="1" applyFill="1" applyBorder="1" applyAlignment="1">
      <alignment horizontal="left" vertical="center"/>
    </xf>
    <xf numFmtId="0" fontId="2"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2" fillId="10" borderId="0" xfId="0" applyFont="1" applyFill="1" applyAlignment="1">
      <alignment horizontal="center" vertical="top"/>
    </xf>
    <xf numFmtId="0" fontId="0" fillId="10" borderId="0" xfId="0" applyFill="1" applyAlignment="1">
      <alignment vertical="center"/>
    </xf>
    <xf numFmtId="0" fontId="6" fillId="10" borderId="0" xfId="0" applyFont="1" applyFill="1" applyAlignment="1">
      <alignment horizontal="right" vertical="center"/>
    </xf>
    <xf numFmtId="0" fontId="0" fillId="10" borderId="20" xfId="0" applyFill="1" applyBorder="1" applyAlignment="1">
      <alignment vertical="center"/>
    </xf>
    <xf numFmtId="0" fontId="14" fillId="6" borderId="9" xfId="0" applyFont="1" applyFill="1" applyBorder="1" applyAlignment="1">
      <alignment horizontal="right" vertical="center"/>
    </xf>
    <xf numFmtId="0" fontId="32" fillId="10" borderId="0" xfId="0" applyFont="1" applyFill="1" applyAlignment="1">
      <alignment horizontal="center" vertical="center"/>
    </xf>
    <xf numFmtId="0" fontId="13" fillId="10" borderId="0" xfId="0" applyFont="1" applyFill="1" applyAlignment="1">
      <alignment horizontal="right" vertical="center"/>
    </xf>
    <xf numFmtId="0" fontId="7" fillId="11" borderId="8" xfId="0" applyFont="1" applyFill="1" applyBorder="1" applyAlignment="1">
      <alignment horizontal="center" vertical="center"/>
    </xf>
    <xf numFmtId="0" fontId="7" fillId="11" borderId="8" xfId="0" applyFont="1" applyFill="1" applyBorder="1" applyAlignment="1">
      <alignment horizontal="center" vertical="center" wrapText="1"/>
    </xf>
    <xf numFmtId="0" fontId="7" fillId="10" borderId="0" xfId="0" applyFont="1" applyFill="1" applyAlignment="1">
      <alignment horizontal="center" vertical="center"/>
    </xf>
    <xf numFmtId="0" fontId="4" fillId="10" borderId="0" xfId="0" applyFont="1" applyFill="1" applyAlignment="1">
      <alignment horizontal="center" vertical="center"/>
    </xf>
    <xf numFmtId="0" fontId="5"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29" fillId="6" borderId="9" xfId="0" applyFont="1" applyFill="1" applyBorder="1" applyAlignment="1">
      <alignment horizontal="right" vertical="center"/>
    </xf>
    <xf numFmtId="0" fontId="0" fillId="10" borderId="21" xfId="0" applyFill="1" applyBorder="1" applyAlignment="1">
      <alignment horizontal="center" vertical="center"/>
    </xf>
    <xf numFmtId="0" fontId="9" fillId="10" borderId="22" xfId="0" applyFont="1" applyFill="1" applyBorder="1" applyAlignment="1">
      <alignment horizontal="right" vertical="center"/>
    </xf>
    <xf numFmtId="9" fontId="9" fillId="10" borderId="22" xfId="2" applyFont="1" applyFill="1" applyBorder="1" applyAlignment="1">
      <alignment vertical="center"/>
    </xf>
    <xf numFmtId="0" fontId="5"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4"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9" fillId="3" borderId="0" xfId="0" applyFont="1" applyFill="1" applyAlignment="1">
      <alignment horizontal="right" vertical="center"/>
    </xf>
    <xf numFmtId="9" fontId="9" fillId="3" borderId="0" xfId="2" applyFont="1" applyFill="1" applyAlignment="1">
      <alignment vertical="center"/>
    </xf>
    <xf numFmtId="0" fontId="5" fillId="3" borderId="0" xfId="0" applyFont="1" applyFill="1" applyAlignment="1">
      <alignment horizontal="right" vertical="center"/>
    </xf>
    <xf numFmtId="164" fontId="0" fillId="3" borderId="0" xfId="2" applyNumberFormat="1" applyFont="1" applyFill="1" applyAlignment="1">
      <alignment horizontal="center" vertical="center"/>
    </xf>
    <xf numFmtId="0" fontId="24"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8" fillId="10" borderId="18" xfId="0" applyFont="1" applyFill="1" applyBorder="1" applyAlignment="1">
      <alignment horizontal="center" vertical="center"/>
    </xf>
    <xf numFmtId="9" fontId="9" fillId="10" borderId="18" xfId="2" applyFont="1" applyFill="1" applyBorder="1" applyAlignment="1">
      <alignment vertical="center"/>
    </xf>
    <xf numFmtId="0" fontId="5"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9"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4"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9"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9"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9"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9" fillId="10" borderId="19" xfId="0" applyFont="1" applyFill="1" applyBorder="1"/>
    <xf numFmtId="0" fontId="12" fillId="10" borderId="0" xfId="0" applyFont="1" applyFill="1" applyAlignment="1">
      <alignment horizontal="center" vertical="center"/>
    </xf>
    <xf numFmtId="0" fontId="0" fillId="10" borderId="0" xfId="0" applyFill="1" applyAlignment="1">
      <alignment wrapText="1"/>
    </xf>
    <xf numFmtId="0" fontId="7"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3"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9" fillId="0" borderId="0" xfId="0" applyFont="1"/>
    <xf numFmtId="0" fontId="2" fillId="10" borderId="0" xfId="0" applyFont="1" applyFill="1" applyAlignment="1">
      <alignment horizontal="left" vertical="center"/>
    </xf>
    <xf numFmtId="0" fontId="9" fillId="10" borderId="20" xfId="0" applyFont="1" applyFill="1" applyBorder="1" applyAlignment="1">
      <alignment vertical="center"/>
    </xf>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6" fillId="10" borderId="20" xfId="0" applyFont="1" applyFill="1" applyBorder="1" applyAlignment="1">
      <alignment vertical="center"/>
    </xf>
    <xf numFmtId="0" fontId="0" fillId="10" borderId="21" xfId="0" applyFill="1" applyBorder="1" applyAlignment="1">
      <alignment vertical="center"/>
    </xf>
    <xf numFmtId="0" fontId="26" fillId="10" borderId="1" xfId="0" applyFont="1" applyFill="1" applyBorder="1" applyAlignment="1">
      <alignment vertical="center"/>
    </xf>
    <xf numFmtId="0" fontId="26" fillId="3" borderId="0" xfId="0" applyFont="1" applyFill="1" applyAlignment="1">
      <alignment vertical="center"/>
    </xf>
    <xf numFmtId="0" fontId="0" fillId="10" borderId="17" xfId="0" applyFill="1" applyBorder="1" applyAlignment="1">
      <alignment vertical="center"/>
    </xf>
    <xf numFmtId="0" fontId="26" fillId="10" borderId="19" xfId="0" applyFont="1" applyFill="1" applyBorder="1" applyAlignment="1">
      <alignment vertical="center"/>
    </xf>
    <xf numFmtId="0" fontId="0" fillId="0" borderId="14" xfId="0" applyBorder="1" applyAlignment="1">
      <alignment horizontal="center" vertical="center"/>
    </xf>
    <xf numFmtId="0" fontId="9"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1" fillId="0" borderId="14" xfId="0" applyFont="1" applyBorder="1"/>
    <xf numFmtId="0" fontId="11" fillId="0" borderId="0" xfId="0" applyFont="1"/>
    <xf numFmtId="0" fontId="6" fillId="0" borderId="0" xfId="0" applyFont="1" applyAlignment="1">
      <alignment horizontal="right" vertical="center"/>
    </xf>
    <xf numFmtId="166" fontId="11" fillId="0" borderId="9" xfId="3" applyNumberFormat="1" applyFont="1" applyBorder="1" applyAlignment="1">
      <alignment horizontal="center" vertical="center"/>
    </xf>
    <xf numFmtId="0" fontId="11" fillId="0" borderId="29" xfId="0" applyFont="1" applyBorder="1"/>
    <xf numFmtId="10" fontId="11"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164" fontId="0" fillId="2" borderId="9" xfId="2" applyNumberFormat="1" applyFont="1" applyFill="1" applyBorder="1" applyAlignment="1" applyProtection="1">
      <alignment horizontal="center" vertical="center" wrapText="1"/>
      <protection locked="0"/>
    </xf>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4" fillId="0" borderId="0" xfId="0" applyFont="1"/>
    <xf numFmtId="0" fontId="45" fillId="0" borderId="0" xfId="0" applyFont="1"/>
    <xf numFmtId="0" fontId="43" fillId="0" borderId="0" xfId="0" applyFont="1"/>
    <xf numFmtId="0" fontId="0" fillId="0" borderId="0" xfId="0" applyAlignment="1">
      <alignment horizontal="left"/>
    </xf>
    <xf numFmtId="0" fontId="0" fillId="0" borderId="22" xfId="0" applyBorder="1"/>
    <xf numFmtId="0" fontId="2" fillId="0" borderId="0" xfId="0" applyFont="1" applyAlignment="1">
      <alignment horizontal="center"/>
    </xf>
    <xf numFmtId="0" fontId="14" fillId="0" borderId="0" xfId="0" applyFont="1"/>
    <xf numFmtId="0" fontId="42" fillId="0" borderId="0" xfId="0" applyFont="1"/>
    <xf numFmtId="0" fontId="0" fillId="0" borderId="2" xfId="0" applyBorder="1" applyAlignment="1" applyProtection="1">
      <alignment vertical="center" wrapText="1"/>
      <protection locked="0"/>
    </xf>
    <xf numFmtId="0" fontId="2" fillId="0" borderId="2" xfId="0" applyFont="1" applyBorder="1" applyAlignment="1" applyProtection="1">
      <alignment vertical="center" wrapText="1"/>
      <protection locked="0"/>
    </xf>
    <xf numFmtId="0" fontId="10"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2" fillId="0" borderId="42" xfId="0" applyFont="1" applyBorder="1" applyAlignment="1">
      <alignment horizontal="right"/>
    </xf>
    <xf numFmtId="0" fontId="0" fillId="0" borderId="42" xfId="0" applyBorder="1"/>
    <xf numFmtId="0" fontId="0" fillId="0" borderId="50" xfId="0" applyBorder="1"/>
    <xf numFmtId="0" fontId="10"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0"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0"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2" fillId="0" borderId="14" xfId="0" applyFont="1" applyBorder="1" applyAlignment="1">
      <alignment wrapText="1"/>
    </xf>
    <xf numFmtId="0" fontId="2" fillId="0" borderId="9" xfId="0" applyFont="1" applyBorder="1" applyAlignment="1">
      <alignment wrapText="1"/>
    </xf>
    <xf numFmtId="0" fontId="49" fillId="17" borderId="0" xfId="0" applyFont="1" applyFill="1" applyAlignment="1">
      <alignment wrapText="1"/>
    </xf>
    <xf numFmtId="0" fontId="2" fillId="0" borderId="0" xfId="0" applyFont="1" applyAlignment="1">
      <alignment wrapText="1"/>
    </xf>
    <xf numFmtId="0" fontId="2" fillId="17" borderId="0" xfId="0" applyFont="1" applyFill="1" applyAlignment="1">
      <alignment wrapText="1"/>
    </xf>
    <xf numFmtId="164" fontId="0" fillId="23" borderId="9" xfId="0" applyNumberFormat="1" applyFill="1" applyBorder="1"/>
    <xf numFmtId="164" fontId="10" fillId="17" borderId="0" xfId="0" applyNumberFormat="1" applyFont="1" applyFill="1"/>
    <xf numFmtId="164" fontId="0" fillId="0" borderId="29" xfId="0" applyNumberFormat="1" applyBorder="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0"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9" fontId="0" fillId="0" borderId="2" xfId="0" applyNumberFormat="1" applyBorder="1"/>
    <xf numFmtId="164" fontId="0" fillId="0" borderId="30" xfId="0" applyNumberFormat="1" applyBorder="1"/>
    <xf numFmtId="0" fontId="0" fillId="0" borderId="14" xfId="0" applyBorder="1" applyAlignment="1">
      <alignment horizontal="right"/>
    </xf>
    <xf numFmtId="14" fontId="0" fillId="0" borderId="29" xfId="0" applyNumberFormat="1" applyBorder="1"/>
    <xf numFmtId="0" fontId="10" fillId="17" borderId="0" xfId="0" quotePrefix="1" applyFont="1" applyFill="1"/>
    <xf numFmtId="164" fontId="0" fillId="23" borderId="9" xfId="2" applyNumberFormat="1" applyFont="1" applyFill="1" applyBorder="1"/>
    <xf numFmtId="164" fontId="0" fillId="0" borderId="29" xfId="2" applyNumberFormat="1" applyFont="1" applyBorder="1"/>
    <xf numFmtId="0" fontId="10" fillId="17" borderId="2" xfId="0" applyFont="1" applyFill="1" applyBorder="1"/>
    <xf numFmtId="43" fontId="0" fillId="0" borderId="2" xfId="1" applyFont="1" applyBorder="1"/>
    <xf numFmtId="164" fontId="0" fillId="0" borderId="30" xfId="2" applyNumberFormat="1" applyFont="1" applyBorder="1"/>
    <xf numFmtId="43" fontId="0" fillId="0" borderId="0" xfId="0" applyNumberFormat="1"/>
    <xf numFmtId="9" fontId="0" fillId="0" borderId="10" xfId="0" applyNumberFormat="1" applyBorder="1"/>
    <xf numFmtId="9" fontId="0" fillId="23" borderId="10" xfId="2" applyFont="1" applyFill="1" applyBorder="1"/>
    <xf numFmtId="0" fontId="0" fillId="0" borderId="30" xfId="0" applyBorder="1" applyAlignment="1">
      <alignment wrapText="1"/>
    </xf>
    <xf numFmtId="0" fontId="2" fillId="0" borderId="9" xfId="0" applyFont="1" applyBorder="1"/>
    <xf numFmtId="0" fontId="0" fillId="29" borderId="14" xfId="0" applyFill="1" applyBorder="1" applyAlignment="1">
      <alignment horizontal="center"/>
    </xf>
    <xf numFmtId="0" fontId="0" fillId="29" borderId="15"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2" fillId="0" borderId="65" xfId="0" applyFont="1" applyBorder="1" applyAlignment="1">
      <alignment horizontal="right"/>
    </xf>
    <xf numFmtId="43" fontId="0" fillId="23" borderId="10" xfId="1" applyFont="1" applyFill="1" applyBorder="1"/>
    <xf numFmtId="0" fontId="2" fillId="23" borderId="0" xfId="0" applyFont="1" applyFill="1"/>
    <xf numFmtId="0" fontId="2" fillId="23" borderId="24" xfId="0" applyFont="1" applyFill="1" applyBorder="1"/>
    <xf numFmtId="0" fontId="2" fillId="23" borderId="45"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9" fillId="10" borderId="0" xfId="0" applyFont="1" applyFill="1" applyAlignment="1">
      <alignment horizontal="right" vertical="center"/>
    </xf>
    <xf numFmtId="0" fontId="18" fillId="10" borderId="0" xfId="0" applyFont="1" applyFill="1" applyAlignment="1">
      <alignment horizontal="center" vertical="center"/>
    </xf>
    <xf numFmtId="0" fontId="15" fillId="10" borderId="0" xfId="0" applyFont="1" applyFill="1" applyAlignment="1">
      <alignment horizontal="left" vertical="center"/>
    </xf>
    <xf numFmtId="168" fontId="0" fillId="10" borderId="0" xfId="1" applyNumberFormat="1" applyFont="1" applyFill="1" applyAlignment="1">
      <alignment horizontal="center" vertical="center"/>
    </xf>
    <xf numFmtId="0" fontId="29"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9" fillId="3" borderId="29" xfId="0" applyFont="1" applyFill="1" applyBorder="1"/>
    <xf numFmtId="0" fontId="59" fillId="3" borderId="11" xfId="0" applyFont="1" applyFill="1" applyBorder="1" applyAlignment="1">
      <alignment horizontal="left" indent="2"/>
    </xf>
    <xf numFmtId="0" fontId="9" fillId="3" borderId="11" xfId="0" applyFont="1" applyFill="1" applyBorder="1"/>
    <xf numFmtId="0" fontId="9" fillId="3" borderId="28" xfId="0" applyFont="1" applyFill="1" applyBorder="1"/>
    <xf numFmtId="0" fontId="8" fillId="8" borderId="9" xfId="0" applyFont="1" applyFill="1" applyBorder="1" applyAlignment="1">
      <alignment horizontal="right"/>
    </xf>
    <xf numFmtId="0" fontId="20" fillId="7" borderId="9" xfId="0" applyFont="1" applyFill="1" applyBorder="1" applyAlignment="1" applyProtection="1">
      <alignment horizontal="center"/>
      <protection locked="0"/>
    </xf>
    <xf numFmtId="0" fontId="8" fillId="3" borderId="0" xfId="0" applyFont="1" applyFill="1" applyAlignment="1">
      <alignment horizontal="right"/>
    </xf>
    <xf numFmtId="0" fontId="23" fillId="3" borderId="0" xfId="0" applyFont="1" applyFill="1" applyAlignment="1">
      <alignment horizontal="center" wrapText="1"/>
    </xf>
    <xf numFmtId="0" fontId="9" fillId="3" borderId="15" xfId="0" applyFont="1" applyFill="1" applyBorder="1"/>
    <xf numFmtId="0" fontId="9" fillId="3" borderId="30" xfId="0" applyFont="1" applyFill="1" applyBorder="1"/>
    <xf numFmtId="0" fontId="3" fillId="0" borderId="26" xfId="0" applyFont="1" applyBorder="1" applyAlignment="1">
      <alignment horizontal="center"/>
    </xf>
    <xf numFmtId="167" fontId="3" fillId="0" borderId="26" xfId="0" applyNumberFormat="1" applyFont="1" applyBorder="1" applyAlignment="1">
      <alignment horizontal="center"/>
    </xf>
    <xf numFmtId="164" fontId="9"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1" fillId="0" borderId="0" xfId="0" applyFont="1" applyAlignment="1">
      <alignment horizontal="center"/>
    </xf>
    <xf numFmtId="9" fontId="0" fillId="2" borderId="9" xfId="0" applyNumberFormat="1" applyFill="1" applyBorder="1" applyAlignment="1">
      <alignment horizontal="center"/>
    </xf>
    <xf numFmtId="10" fontId="41" fillId="0" borderId="0" xfId="2" applyNumberFormat="1" applyFont="1"/>
    <xf numFmtId="0" fontId="59" fillId="3" borderId="14" xfId="0" applyFont="1" applyFill="1" applyBorder="1" applyAlignment="1">
      <alignment horizontal="left" indent="2"/>
    </xf>
    <xf numFmtId="0" fontId="9" fillId="3" borderId="14" xfId="0" applyFont="1" applyFill="1" applyBorder="1"/>
    <xf numFmtId="0" fontId="8" fillId="3" borderId="2" xfId="0" applyFont="1" applyFill="1" applyBorder="1" applyAlignment="1">
      <alignment horizontal="right"/>
    </xf>
    <xf numFmtId="164" fontId="41" fillId="0" borderId="0" xfId="2" applyNumberFormat="1" applyFont="1"/>
    <xf numFmtId="0" fontId="41" fillId="0" borderId="51" xfId="0" applyFont="1" applyBorder="1" applyAlignment="1">
      <alignment horizontal="center"/>
    </xf>
    <xf numFmtId="44" fontId="41" fillId="0" borderId="34" xfId="3" applyFont="1" applyBorder="1"/>
    <xf numFmtId="165" fontId="41" fillId="0" borderId="51" xfId="1" applyNumberFormat="1" applyFont="1" applyBorder="1"/>
    <xf numFmtId="0" fontId="42" fillId="0" borderId="0" xfId="0" applyFont="1" applyAlignment="1">
      <alignment horizontal="center"/>
    </xf>
    <xf numFmtId="0" fontId="41" fillId="0" borderId="59" xfId="0" applyFont="1" applyBorder="1" applyAlignment="1">
      <alignment horizontal="center"/>
    </xf>
    <xf numFmtId="0" fontId="41" fillId="0" borderId="63" xfId="0" applyFont="1" applyBorder="1" applyAlignment="1">
      <alignment horizontal="center"/>
    </xf>
    <xf numFmtId="0" fontId="41" fillId="0" borderId="61" xfId="0" applyFont="1" applyBorder="1" applyAlignment="1">
      <alignment horizontal="center"/>
    </xf>
    <xf numFmtId="0" fontId="41" fillId="0" borderId="53" xfId="0" applyFont="1" applyBorder="1" applyAlignment="1">
      <alignment horizontal="center"/>
    </xf>
    <xf numFmtId="0" fontId="42" fillId="0" borderId="2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3" fontId="2" fillId="2" borderId="9" xfId="3" applyNumberFormat="1" applyFont="1" applyFill="1" applyBorder="1" applyAlignment="1">
      <alignment horizontal="center" vertical="center"/>
    </xf>
    <xf numFmtId="0" fontId="17" fillId="14" borderId="9" xfId="0" applyFont="1" applyFill="1" applyBorder="1" applyAlignment="1">
      <alignment horizontal="center"/>
    </xf>
    <xf numFmtId="0" fontId="17" fillId="11" borderId="9" xfId="0" applyFont="1" applyFill="1" applyBorder="1" applyAlignment="1">
      <alignment horizontal="center" vertical="center"/>
    </xf>
    <xf numFmtId="0" fontId="4" fillId="7" borderId="25" xfId="0" applyFont="1" applyFill="1" applyBorder="1" applyAlignment="1">
      <alignment horizontal="center" vertical="center" wrapText="1"/>
    </xf>
    <xf numFmtId="9" fontId="0" fillId="2" borderId="9" xfId="2" applyFont="1" applyFill="1" applyBorder="1" applyAlignment="1">
      <alignment horizontal="center"/>
    </xf>
    <xf numFmtId="0" fontId="20" fillId="3" borderId="2" xfId="0" applyFont="1" applyFill="1" applyBorder="1" applyAlignment="1">
      <alignment horizontal="center"/>
    </xf>
    <xf numFmtId="9" fontId="0" fillId="3" borderId="0" xfId="0" applyNumberFormat="1" applyFill="1"/>
    <xf numFmtId="166" fontId="3" fillId="4" borderId="46" xfId="3" applyNumberFormat="1" applyFont="1" applyFill="1" applyBorder="1" applyAlignment="1">
      <alignment horizontal="center"/>
    </xf>
    <xf numFmtId="166" fontId="2" fillId="2" borderId="25" xfId="3" applyNumberFormat="1" applyFont="1" applyFill="1" applyBorder="1"/>
    <xf numFmtId="168" fontId="3" fillId="3" borderId="7" xfId="1" applyNumberFormat="1" applyFont="1" applyFill="1" applyBorder="1" applyAlignment="1">
      <alignment horizontal="center"/>
    </xf>
    <xf numFmtId="164" fontId="3" fillId="0" borderId="27" xfId="2" applyNumberFormat="1" applyFont="1" applyBorder="1" applyAlignment="1">
      <alignment horizontal="center"/>
    </xf>
    <xf numFmtId="0" fontId="3" fillId="3" borderId="0" xfId="0" applyFont="1" applyFill="1" applyAlignment="1">
      <alignment horizontal="center" vertical="center"/>
    </xf>
    <xf numFmtId="167" fontId="3" fillId="3" borderId="0" xfId="0" applyNumberFormat="1" applyFont="1" applyFill="1"/>
    <xf numFmtId="168" fontId="3" fillId="3" borderId="0" xfId="0" applyNumberFormat="1" applyFont="1" applyFill="1"/>
    <xf numFmtId="168" fontId="3" fillId="0" borderId="26" xfId="0" applyNumberFormat="1" applyFont="1" applyBorder="1" applyAlignment="1">
      <alignment horizontal="center"/>
    </xf>
    <xf numFmtId="164" fontId="3"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3" fillId="4" borderId="8" xfId="0" applyFont="1" applyFill="1" applyBorder="1" applyAlignment="1" applyProtection="1">
      <alignment horizontal="center" vertical="center"/>
      <protection locked="0"/>
    </xf>
    <xf numFmtId="0" fontId="3" fillId="4" borderId="8" xfId="0" applyFont="1" applyFill="1" applyBorder="1" applyAlignment="1">
      <alignment horizontal="center" vertical="center"/>
    </xf>
    <xf numFmtId="0" fontId="24" fillId="3" borderId="0" xfId="0" applyFont="1" applyFill="1" applyAlignment="1">
      <alignment vertical="center"/>
    </xf>
    <xf numFmtId="0" fontId="11" fillId="3" borderId="0" xfId="0" applyFont="1" applyFill="1"/>
    <xf numFmtId="0" fontId="0" fillId="5" borderId="0" xfId="0" applyFill="1"/>
    <xf numFmtId="0" fontId="2" fillId="0" borderId="0" xfId="0" applyFont="1" applyAlignment="1">
      <alignment horizontal="right" vertical="top"/>
    </xf>
    <xf numFmtId="0" fontId="2" fillId="0" borderId="0" xfId="0" applyFont="1" applyAlignment="1">
      <alignment horizontal="right"/>
    </xf>
    <xf numFmtId="0" fontId="2"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26" xfId="0" applyBorder="1"/>
    <xf numFmtId="0" fontId="0" fillId="0" borderId="27" xfId="0"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2"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1" fillId="0" borderId="23" xfId="2" applyNumberFormat="1" applyFont="1" applyBorder="1"/>
    <xf numFmtId="0" fontId="41" fillId="0" borderId="9" xfId="0" applyFont="1" applyBorder="1"/>
    <xf numFmtId="0" fontId="56" fillId="0" borderId="11" xfId="0" applyFont="1" applyBorder="1"/>
    <xf numFmtId="0" fontId="41" fillId="0" borderId="3" xfId="0" applyFont="1" applyBorder="1"/>
    <xf numFmtId="0" fontId="41" fillId="0" borderId="26" xfId="0" applyFont="1" applyBorder="1"/>
    <xf numFmtId="0" fontId="41" fillId="0" borderId="15" xfId="0" applyFont="1" applyBorder="1"/>
    <xf numFmtId="0" fontId="41" fillId="7" borderId="2" xfId="0" applyFont="1" applyFill="1" applyBorder="1"/>
    <xf numFmtId="0" fontId="41" fillId="0" borderId="30" xfId="0" applyFont="1" applyBorder="1"/>
    <xf numFmtId="0" fontId="41" fillId="0" borderId="13" xfId="0" applyFont="1" applyBorder="1"/>
    <xf numFmtId="0" fontId="41" fillId="0" borderId="28" xfId="0" applyFont="1" applyBorder="1"/>
    <xf numFmtId="0" fontId="42" fillId="7" borderId="0" xfId="0" applyFont="1" applyFill="1" applyAlignment="1">
      <alignment horizontal="left"/>
    </xf>
    <xf numFmtId="0" fontId="41" fillId="0" borderId="14" xfId="0" applyFont="1" applyBorder="1" applyAlignment="1">
      <alignment horizontal="right"/>
    </xf>
    <xf numFmtId="0" fontId="42" fillId="0" borderId="0" xfId="0" applyFont="1" applyAlignment="1">
      <alignment horizontal="left"/>
    </xf>
    <xf numFmtId="0" fontId="41" fillId="0" borderId="15" xfId="0" applyFont="1" applyBorder="1" applyAlignment="1">
      <alignment horizontal="right"/>
    </xf>
    <xf numFmtId="0" fontId="42" fillId="0" borderId="2" xfId="0" applyFont="1" applyBorder="1" applyAlignment="1">
      <alignment horizontal="left"/>
    </xf>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0" fontId="0" fillId="7" borderId="0" xfId="0" applyFill="1"/>
    <xf numFmtId="0" fontId="41" fillId="7" borderId="24" xfId="0" applyFont="1" applyFill="1" applyBorder="1" applyAlignment="1">
      <alignment horizontal="center"/>
    </xf>
    <xf numFmtId="0" fontId="41" fillId="7" borderId="45" xfId="0" applyFont="1" applyFill="1" applyBorder="1" applyAlignment="1">
      <alignment horizontal="center"/>
    </xf>
    <xf numFmtId="0" fontId="41" fillId="7" borderId="25" xfId="0" applyFont="1" applyFill="1" applyBorder="1" applyAlignment="1">
      <alignment horizontal="center"/>
    </xf>
    <xf numFmtId="44" fontId="41" fillId="7" borderId="44" xfId="3" applyFont="1" applyFill="1" applyBorder="1"/>
    <xf numFmtId="44" fontId="41" fillId="7" borderId="8" xfId="3" applyFont="1" applyFill="1" applyBorder="1"/>
    <xf numFmtId="164" fontId="41" fillId="7" borderId="8" xfId="2" applyNumberFormat="1" applyFont="1" applyFill="1" applyBorder="1"/>
    <xf numFmtId="164" fontId="41" fillId="7" borderId="12" xfId="2" applyNumberFormat="1" applyFont="1" applyFill="1" applyBorder="1"/>
    <xf numFmtId="44" fontId="41" fillId="7" borderId="3" xfId="3" applyFont="1" applyFill="1" applyBorder="1"/>
    <xf numFmtId="44" fontId="41" fillId="7" borderId="9" xfId="3" applyFont="1" applyFill="1" applyBorder="1"/>
    <xf numFmtId="164" fontId="41" fillId="7" borderId="9" xfId="2" applyNumberFormat="1" applyFont="1" applyFill="1" applyBorder="1"/>
    <xf numFmtId="164" fontId="41" fillId="7" borderId="26" xfId="2" applyNumberFormat="1" applyFont="1" applyFill="1" applyBorder="1"/>
    <xf numFmtId="44" fontId="41" fillId="7" borderId="4" xfId="3" applyFont="1" applyFill="1" applyBorder="1"/>
    <xf numFmtId="44" fontId="41" fillId="7" borderId="10" xfId="3" applyFont="1" applyFill="1" applyBorder="1"/>
    <xf numFmtId="164" fontId="41" fillId="7" borderId="10" xfId="2" applyNumberFormat="1" applyFont="1" applyFill="1" applyBorder="1"/>
    <xf numFmtId="164" fontId="41" fillId="7" borderId="27" xfId="2" applyNumberFormat="1" applyFont="1" applyFill="1" applyBorder="1"/>
    <xf numFmtId="165" fontId="41" fillId="7" borderId="24" xfId="1" applyNumberFormat="1" applyFont="1" applyFill="1" applyBorder="1"/>
    <xf numFmtId="44" fontId="41" fillId="7" borderId="45" xfId="3" applyFont="1" applyFill="1" applyBorder="1"/>
    <xf numFmtId="164" fontId="41" fillId="7" borderId="45" xfId="2" applyNumberFormat="1" applyFont="1" applyFill="1" applyBorder="1"/>
    <xf numFmtId="164" fontId="41" fillId="7" borderId="25" xfId="2" applyNumberFormat="1" applyFont="1" applyFill="1" applyBorder="1"/>
    <xf numFmtId="0" fontId="41" fillId="7" borderId="49" xfId="0" applyFont="1" applyFill="1" applyBorder="1" applyAlignment="1">
      <alignment horizontal="center"/>
    </xf>
    <xf numFmtId="43" fontId="41" fillId="7" borderId="8" xfId="1" applyFont="1" applyFill="1" applyBorder="1"/>
    <xf numFmtId="44" fontId="41" fillId="7" borderId="21" xfId="3" applyFont="1" applyFill="1" applyBorder="1"/>
    <xf numFmtId="164" fontId="41" fillId="7" borderId="31" xfId="2" applyNumberFormat="1" applyFont="1" applyFill="1" applyBorder="1"/>
    <xf numFmtId="164" fontId="41" fillId="7" borderId="32" xfId="2" applyNumberFormat="1" applyFont="1" applyFill="1" applyBorder="1"/>
    <xf numFmtId="164" fontId="41" fillId="7" borderId="33" xfId="2" applyNumberFormat="1" applyFont="1" applyFill="1" applyBorder="1"/>
    <xf numFmtId="0" fontId="2" fillId="7" borderId="0" xfId="0" applyFont="1" applyFill="1"/>
    <xf numFmtId="175" fontId="0" fillId="0" borderId="0" xfId="0" applyNumberFormat="1"/>
    <xf numFmtId="43" fontId="0" fillId="7" borderId="0" xfId="0" applyNumberFormat="1" applyFill="1"/>
    <xf numFmtId="43" fontId="0" fillId="7" borderId="0" xfId="1" applyFont="1" applyFill="1"/>
    <xf numFmtId="166" fontId="5" fillId="3" borderId="48" xfId="3" applyNumberFormat="1" applyFont="1" applyFill="1" applyBorder="1" applyAlignment="1">
      <alignment horizontal="right" vertical="center"/>
    </xf>
    <xf numFmtId="10" fontId="5" fillId="3" borderId="48" xfId="2" applyNumberFormat="1" applyFont="1" applyFill="1" applyBorder="1" applyAlignment="1">
      <alignment horizontal="right" vertical="center"/>
    </xf>
    <xf numFmtId="44" fontId="5" fillId="3" borderId="48" xfId="3" applyFont="1" applyFill="1" applyBorder="1" applyAlignment="1">
      <alignment horizontal="right" vertical="center"/>
    </xf>
    <xf numFmtId="166" fontId="5" fillId="3" borderId="53" xfId="3" applyNumberFormat="1" applyFont="1" applyFill="1" applyBorder="1" applyAlignment="1">
      <alignment horizontal="right" vertical="center"/>
    </xf>
    <xf numFmtId="10" fontId="36" fillId="3" borderId="52" xfId="2" applyNumberFormat="1" applyFont="1" applyFill="1" applyBorder="1" applyAlignment="1">
      <alignment horizontal="center"/>
    </xf>
    <xf numFmtId="0" fontId="3" fillId="14" borderId="0" xfId="0" applyFont="1" applyFill="1" applyAlignment="1">
      <alignment horizontal="center"/>
    </xf>
    <xf numFmtId="0" fontId="63" fillId="11" borderId="54" xfId="0" applyFont="1" applyFill="1" applyBorder="1" applyAlignment="1">
      <alignment horizontal="center" vertical="center"/>
    </xf>
    <xf numFmtId="0" fontId="63" fillId="11" borderId="47" xfId="0" applyFont="1" applyFill="1" applyBorder="1" applyAlignment="1">
      <alignment horizontal="center" vertical="center"/>
    </xf>
    <xf numFmtId="0" fontId="63" fillId="11" borderId="48" xfId="0" applyFont="1" applyFill="1" applyBorder="1" applyAlignment="1">
      <alignment horizontal="center" vertical="center"/>
    </xf>
    <xf numFmtId="0" fontId="8" fillId="30" borderId="0" xfId="0" applyFont="1" applyFill="1" applyAlignment="1">
      <alignment horizontal="center"/>
    </xf>
    <xf numFmtId="0" fontId="2" fillId="2" borderId="5" xfId="0" applyFont="1" applyFill="1" applyBorder="1" applyAlignment="1">
      <alignment horizontal="right"/>
    </xf>
    <xf numFmtId="0" fontId="2" fillId="2" borderId="3" xfId="0" applyFont="1" applyFill="1" applyBorder="1" applyAlignment="1">
      <alignment horizontal="right"/>
    </xf>
    <xf numFmtId="0" fontId="2" fillId="2" borderId="4" xfId="0" applyFont="1" applyFill="1" applyBorder="1" applyAlignment="1">
      <alignment horizontal="right"/>
    </xf>
    <xf numFmtId="165" fontId="25" fillId="3" borderId="0" xfId="1" applyNumberFormat="1" applyFont="1" applyFill="1"/>
    <xf numFmtId="0" fontId="17" fillId="14" borderId="9" xfId="0" applyFont="1" applyFill="1" applyBorder="1" applyAlignment="1">
      <alignment horizontal="center" wrapText="1"/>
    </xf>
    <xf numFmtId="0" fontId="5" fillId="0" borderId="0" xfId="0" applyFont="1" applyAlignment="1">
      <alignment horizontal="center"/>
    </xf>
    <xf numFmtId="10" fontId="5" fillId="0" borderId="0" xfId="2" applyNumberFormat="1" applyFont="1" applyAlignment="1">
      <alignment horizontal="center" vertical="center"/>
    </xf>
    <xf numFmtId="0" fontId="7"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0" fillId="6" borderId="9" xfId="0" applyFont="1" applyFill="1" applyBorder="1" applyAlignment="1">
      <alignment horizontal="center"/>
    </xf>
    <xf numFmtId="9" fontId="20" fillId="3" borderId="0" xfId="2" applyFont="1" applyFill="1" applyAlignment="1">
      <alignment horizontal="center"/>
    </xf>
    <xf numFmtId="0" fontId="0" fillId="3" borderId="0" xfId="0" applyFill="1" applyProtection="1">
      <protection locked="0"/>
    </xf>
    <xf numFmtId="0" fontId="4" fillId="7" borderId="56" xfId="0" applyFont="1" applyFill="1" applyBorder="1" applyAlignment="1">
      <alignment horizontal="center" vertical="center" wrapText="1"/>
    </xf>
    <xf numFmtId="0" fontId="4" fillId="7" borderId="45" xfId="0" applyFont="1" applyFill="1" applyBorder="1" applyAlignment="1">
      <alignment horizontal="center" vertical="center" wrapText="1"/>
    </xf>
    <xf numFmtId="0" fontId="18" fillId="3" borderId="0" xfId="0" applyFont="1" applyFill="1" applyAlignment="1">
      <alignment horizontal="center" vertical="center"/>
    </xf>
    <xf numFmtId="0" fontId="3" fillId="3" borderId="0" xfId="0" applyFont="1" applyFill="1" applyProtection="1">
      <protection locked="0"/>
    </xf>
    <xf numFmtId="0" fontId="64" fillId="0" borderId="11" xfId="0" applyFont="1" applyBorder="1" applyAlignment="1">
      <alignment horizontal="right" vertical="center"/>
    </xf>
    <xf numFmtId="9" fontId="20" fillId="4" borderId="9" xfId="2" applyFont="1" applyFill="1" applyBorder="1" applyAlignment="1">
      <alignment vertical="center"/>
    </xf>
    <xf numFmtId="9" fontId="20"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3" fillId="3" borderId="0" xfId="3" applyNumberFormat="1" applyFont="1" applyFill="1"/>
    <xf numFmtId="167" fontId="3" fillId="3" borderId="0" xfId="3" applyNumberFormat="1" applyFont="1" applyFill="1"/>
    <xf numFmtId="0" fontId="58" fillId="0" borderId="0" xfId="0" applyFont="1" applyAlignment="1">
      <alignment vertical="center"/>
    </xf>
    <xf numFmtId="0" fontId="44" fillId="3" borderId="0" xfId="0" applyFont="1" applyFill="1" applyAlignment="1">
      <alignment horizontal="center" vertical="center"/>
    </xf>
    <xf numFmtId="164" fontId="58" fillId="3" borderId="0" xfId="2" applyNumberFormat="1" applyFont="1" applyFill="1" applyAlignment="1">
      <alignment horizontal="center"/>
    </xf>
    <xf numFmtId="0" fontId="2" fillId="10" borderId="18" xfId="0" applyFont="1" applyFill="1" applyBorder="1" applyAlignment="1">
      <alignment horizontal="left" vertical="center"/>
    </xf>
    <xf numFmtId="0" fontId="39" fillId="10" borderId="18" xfId="0" applyFont="1" applyFill="1" applyBorder="1" applyAlignment="1">
      <alignment vertical="center"/>
    </xf>
    <xf numFmtId="0" fontId="39" fillId="10" borderId="19" xfId="0" applyFont="1" applyFill="1" applyBorder="1" applyAlignment="1">
      <alignment vertical="center"/>
    </xf>
    <xf numFmtId="0" fontId="58" fillId="3" borderId="0" xfId="0" applyFont="1" applyFill="1" applyAlignment="1">
      <alignment vertical="center"/>
    </xf>
    <xf numFmtId="0" fontId="2"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9" fillId="10" borderId="0" xfId="0" applyFont="1" applyFill="1" applyAlignment="1">
      <alignment vertical="center"/>
    </xf>
    <xf numFmtId="44" fontId="9" fillId="10" borderId="0" xfId="3" applyFont="1" applyFill="1" applyAlignment="1">
      <alignment horizontal="right" vertical="center"/>
    </xf>
    <xf numFmtId="0" fontId="34" fillId="10" borderId="0" xfId="0" applyFont="1" applyFill="1" applyAlignment="1">
      <alignment horizontal="center" vertical="center"/>
    </xf>
    <xf numFmtId="0" fontId="26"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2" fillId="6" borderId="9" xfId="0" applyFont="1" applyFill="1" applyBorder="1" applyAlignment="1">
      <alignment horizontal="right" vertical="center"/>
    </xf>
    <xf numFmtId="166" fontId="2" fillId="4" borderId="9" xfId="3" applyNumberFormat="1" applyFont="1" applyFill="1" applyBorder="1" applyAlignment="1">
      <alignment vertical="center"/>
    </xf>
    <xf numFmtId="44" fontId="2" fillId="4" borderId="9" xfId="3" applyFont="1" applyFill="1" applyBorder="1" applyAlignment="1">
      <alignment vertical="center"/>
    </xf>
    <xf numFmtId="0" fontId="14" fillId="10" borderId="0" xfId="0" applyFont="1" applyFill="1" applyAlignment="1">
      <alignment vertical="center"/>
    </xf>
    <xf numFmtId="0" fontId="26" fillId="10" borderId="22" xfId="0" applyFont="1" applyFill="1" applyBorder="1" applyAlignment="1">
      <alignment vertical="center"/>
    </xf>
    <xf numFmtId="0" fontId="0" fillId="3" borderId="14" xfId="0" applyFill="1" applyBorder="1" applyAlignment="1">
      <alignment vertical="center"/>
    </xf>
    <xf numFmtId="0" fontId="26" fillId="10" borderId="18" xfId="0" applyFont="1" applyFill="1" applyBorder="1" applyAlignment="1">
      <alignment vertical="center"/>
    </xf>
    <xf numFmtId="0" fontId="2" fillId="2" borderId="9" xfId="0" applyFont="1" applyFill="1" applyBorder="1" applyAlignment="1">
      <alignment horizontal="right" vertical="center"/>
    </xf>
    <xf numFmtId="166" fontId="2" fillId="3" borderId="9" xfId="3" applyNumberFormat="1" applyFont="1" applyFill="1" applyBorder="1" applyAlignment="1">
      <alignment horizontal="center" vertical="center"/>
    </xf>
    <xf numFmtId="44" fontId="2"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2" fillId="0" borderId="0" xfId="0" applyFont="1" applyAlignment="1">
      <alignment horizontal="right" vertical="center"/>
    </xf>
    <xf numFmtId="0" fontId="18" fillId="0" borderId="11" xfId="0" applyFont="1" applyBorder="1" applyAlignment="1">
      <alignment horizontal="left" vertical="center"/>
    </xf>
    <xf numFmtId="0" fontId="18" fillId="3" borderId="11" xfId="0" applyFont="1" applyFill="1" applyBorder="1" applyAlignment="1">
      <alignment horizontal="left" vertical="center"/>
    </xf>
    <xf numFmtId="0" fontId="0" fillId="0" borderId="28" xfId="0" applyBorder="1" applyAlignment="1">
      <alignment horizontal="center" vertical="center"/>
    </xf>
    <xf numFmtId="0" fontId="3" fillId="0" borderId="29" xfId="0" applyFont="1" applyBorder="1" applyAlignment="1">
      <alignment horizontal="center"/>
    </xf>
    <xf numFmtId="168" fontId="3" fillId="0" borderId="26" xfId="0" applyNumberFormat="1" applyFont="1" applyBorder="1" applyAlignment="1">
      <alignment horizontal="center" vertical="center"/>
    </xf>
    <xf numFmtId="9" fontId="3" fillId="0" borderId="29" xfId="0" applyNumberFormat="1" applyFont="1" applyBorder="1" applyAlignment="1">
      <alignment horizontal="center"/>
    </xf>
    <xf numFmtId="0" fontId="2" fillId="10" borderId="18" xfId="0" applyFont="1" applyFill="1" applyBorder="1" applyAlignment="1">
      <alignment horizontal="right" vertical="center"/>
    </xf>
    <xf numFmtId="44" fontId="2" fillId="0" borderId="9" xfId="0" applyNumberFormat="1" applyFont="1" applyBorder="1" applyAlignment="1">
      <alignment vertical="center"/>
    </xf>
    <xf numFmtId="44" fontId="2" fillId="10" borderId="0" xfId="0" applyNumberFormat="1" applyFont="1" applyFill="1" applyAlignment="1">
      <alignment vertical="center"/>
    </xf>
    <xf numFmtId="0" fontId="26" fillId="10" borderId="0" xfId="0" applyFont="1" applyFill="1" applyAlignment="1">
      <alignment horizontal="center" vertical="center"/>
    </xf>
    <xf numFmtId="0" fontId="48" fillId="10" borderId="9" xfId="0" applyFont="1" applyFill="1" applyBorder="1" applyAlignment="1">
      <alignment vertical="center" wrapText="1"/>
    </xf>
    <xf numFmtId="0" fontId="27" fillId="10" borderId="20" xfId="0" applyFont="1" applyFill="1" applyBorder="1" applyAlignment="1">
      <alignment horizontal="center" vertical="center" wrapText="1"/>
    </xf>
    <xf numFmtId="0" fontId="21" fillId="21" borderId="9" xfId="0" applyFont="1" applyFill="1" applyBorder="1" applyAlignment="1">
      <alignment vertical="center" wrapText="1"/>
    </xf>
    <xf numFmtId="166" fontId="0" fillId="10" borderId="0" xfId="0" applyNumberFormat="1" applyFill="1" applyAlignment="1">
      <alignment vertical="center"/>
    </xf>
    <xf numFmtId="165" fontId="65" fillId="10" borderId="0" xfId="1" applyNumberFormat="1" applyFont="1" applyFill="1" applyAlignment="1">
      <alignment vertical="center"/>
    </xf>
    <xf numFmtId="0" fontId="27" fillId="10" borderId="20" xfId="0" applyFont="1" applyFill="1" applyBorder="1" applyAlignment="1">
      <alignment vertical="center" wrapText="1"/>
    </xf>
    <xf numFmtId="0" fontId="55" fillId="10" borderId="0" xfId="0" applyFont="1" applyFill="1" applyAlignment="1">
      <alignment horizontal="right" vertical="center"/>
    </xf>
    <xf numFmtId="164" fontId="2" fillId="0" borderId="9" xfId="2" applyNumberFormat="1" applyFont="1" applyBorder="1" applyAlignment="1">
      <alignment horizontal="center" vertical="center"/>
    </xf>
    <xf numFmtId="166" fontId="34" fillId="10" borderId="20" xfId="0" applyNumberFormat="1" applyFont="1" applyFill="1" applyBorder="1" applyAlignment="1">
      <alignment vertical="center"/>
    </xf>
    <xf numFmtId="0" fontId="21"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2" fillId="0" borderId="9" xfId="3" applyFont="1" applyBorder="1" applyAlignment="1">
      <alignment vertical="center"/>
    </xf>
    <xf numFmtId="0" fontId="2" fillId="10" borderId="0" xfId="0" applyFont="1" applyFill="1" applyAlignment="1">
      <alignment vertical="center"/>
    </xf>
    <xf numFmtId="44" fontId="23" fillId="10" borderId="18" xfId="0" applyNumberFormat="1" applyFont="1" applyFill="1" applyBorder="1" applyAlignment="1">
      <alignment horizontal="center" vertical="top" wrapText="1"/>
    </xf>
    <xf numFmtId="44" fontId="23" fillId="10" borderId="0" xfId="0" applyNumberFormat="1" applyFont="1" applyFill="1" applyAlignment="1">
      <alignment horizontal="center" vertical="top" wrapText="1"/>
    </xf>
    <xf numFmtId="164" fontId="34" fillId="10" borderId="0" xfId="2" applyNumberFormat="1" applyFont="1" applyFill="1" applyAlignment="1">
      <alignment horizontal="center" vertical="center"/>
    </xf>
    <xf numFmtId="164" fontId="21" fillId="19" borderId="9" xfId="2" applyNumberFormat="1" applyFont="1" applyFill="1" applyBorder="1" applyAlignment="1">
      <alignment horizontal="center" vertical="center"/>
    </xf>
    <xf numFmtId="0" fontId="2" fillId="10" borderId="22" xfId="0" applyFont="1" applyFill="1" applyBorder="1" applyAlignment="1">
      <alignment horizontal="right" vertical="center"/>
    </xf>
    <xf numFmtId="44" fontId="2" fillId="10" borderId="22" xfId="0" applyNumberFormat="1" applyFont="1" applyFill="1" applyBorder="1" applyAlignment="1">
      <alignment vertical="center"/>
    </xf>
    <xf numFmtId="0" fontId="7"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3" fillId="0" borderId="0" xfId="1" applyNumberFormat="1" applyFont="1"/>
    <xf numFmtId="166" fontId="3" fillId="0" borderId="0" xfId="3" applyNumberFormat="1" applyFont="1"/>
    <xf numFmtId="44" fontId="3" fillId="0" borderId="0" xfId="3" applyFont="1"/>
    <xf numFmtId="43" fontId="3" fillId="0" borderId="0" xfId="0" applyNumberFormat="1" applyFont="1"/>
    <xf numFmtId="0" fontId="3" fillId="0" borderId="9" xfId="0" applyFont="1" applyBorder="1" applyAlignment="1">
      <alignment horizontal="right"/>
    </xf>
    <xf numFmtId="2" fontId="3" fillId="0" borderId="0" xfId="0" applyNumberFormat="1" applyFont="1"/>
    <xf numFmtId="0" fontId="3" fillId="0" borderId="0" xfId="0" applyFont="1" applyAlignment="1">
      <alignment horizontal="right"/>
    </xf>
    <xf numFmtId="0" fontId="3" fillId="0" borderId="0" xfId="0" applyFont="1" applyAlignment="1">
      <alignment wrapText="1"/>
    </xf>
    <xf numFmtId="0" fontId="3" fillId="21" borderId="0" xfId="0" applyFont="1" applyFill="1" applyAlignment="1">
      <alignment horizontal="center" wrapText="1"/>
    </xf>
    <xf numFmtId="0" fontId="3" fillId="0" borderId="0" xfId="0" applyFont="1" applyAlignment="1">
      <alignment horizontal="center" wrapText="1"/>
    </xf>
    <xf numFmtId="0" fontId="3" fillId="31" borderId="0" xfId="0" applyFont="1" applyFill="1" applyAlignment="1">
      <alignment horizontal="center" wrapText="1"/>
    </xf>
    <xf numFmtId="0" fontId="20" fillId="31" borderId="0" xfId="0" applyFont="1" applyFill="1" applyAlignment="1">
      <alignment horizontal="center" wrapText="1"/>
    </xf>
    <xf numFmtId="0" fontId="4" fillId="0" borderId="0" xfId="0" applyFont="1" applyAlignment="1">
      <alignment horizontal="right"/>
    </xf>
    <xf numFmtId="0" fontId="4" fillId="0" borderId="9" xfId="0" applyFont="1" applyBorder="1" applyAlignment="1">
      <alignment horizontal="right"/>
    </xf>
    <xf numFmtId="43" fontId="3" fillId="0" borderId="0" xfId="1" applyFont="1"/>
    <xf numFmtId="0" fontId="4" fillId="8" borderId="9" xfId="0" applyFont="1" applyFill="1" applyBorder="1" applyAlignment="1">
      <alignment horizontal="right"/>
    </xf>
    <xf numFmtId="0" fontId="20" fillId="0" borderId="0" xfId="0" applyFont="1"/>
    <xf numFmtId="44" fontId="3" fillId="0" borderId="0" xfId="0" applyNumberFormat="1" applyFont="1"/>
    <xf numFmtId="166" fontId="3" fillId="0" borderId="9" xfId="3" applyNumberFormat="1" applyFont="1" applyBorder="1" applyAlignment="1">
      <alignment horizontal="right"/>
    </xf>
    <xf numFmtId="0" fontId="3" fillId="23" borderId="0" xfId="0" applyFont="1" applyFill="1" applyAlignment="1">
      <alignment horizontal="center" wrapText="1"/>
    </xf>
    <xf numFmtId="0" fontId="3" fillId="0" borderId="41" xfId="0" applyFont="1" applyBorder="1" applyAlignment="1">
      <alignment horizontal="right"/>
    </xf>
    <xf numFmtId="0" fontId="3" fillId="0" borderId="9" xfId="0" applyFont="1" applyBorder="1" applyAlignment="1">
      <alignment horizontal="center" wrapText="1"/>
    </xf>
    <xf numFmtId="0" fontId="3" fillId="0" borderId="9" xfId="0" applyFont="1" applyBorder="1" applyAlignment="1">
      <alignment horizontal="center"/>
    </xf>
    <xf numFmtId="166" fontId="3" fillId="0" borderId="9" xfId="3" applyNumberFormat="1" applyFont="1" applyBorder="1"/>
    <xf numFmtId="166" fontId="4" fillId="0" borderId="8" xfId="3" applyNumberFormat="1" applyFont="1" applyBorder="1"/>
    <xf numFmtId="166" fontId="3" fillId="0" borderId="67" xfId="3" applyNumberFormat="1" applyFont="1" applyBorder="1"/>
    <xf numFmtId="0" fontId="4" fillId="0" borderId="8" xfId="0" applyFont="1" applyBorder="1" applyAlignment="1">
      <alignment horizontal="right"/>
    </xf>
    <xf numFmtId="0" fontId="3" fillId="0" borderId="67" xfId="0" applyFont="1" applyBorder="1" applyAlignment="1">
      <alignment horizontal="right"/>
    </xf>
    <xf numFmtId="9" fontId="3" fillId="3" borderId="5" xfId="2" applyFont="1" applyFill="1" applyBorder="1" applyAlignment="1" applyProtection="1">
      <alignment horizontal="center" vertical="center"/>
      <protection locked="0"/>
    </xf>
    <xf numFmtId="0" fontId="5" fillId="3" borderId="7" xfId="0" applyFont="1" applyFill="1" applyBorder="1" applyAlignment="1" applyProtection="1">
      <alignment horizontal="center" vertical="center"/>
      <protection locked="0"/>
    </xf>
    <xf numFmtId="9" fontId="3" fillId="3" borderId="3" xfId="2" applyFont="1" applyFill="1" applyBorder="1" applyAlignment="1" applyProtection="1">
      <alignment horizontal="center" vertical="center"/>
      <protection locked="0"/>
    </xf>
    <xf numFmtId="0" fontId="5" fillId="3" borderId="26" xfId="0" applyFont="1" applyFill="1" applyBorder="1" applyAlignment="1" applyProtection="1">
      <alignment horizontal="center" vertical="center"/>
      <protection locked="0"/>
    </xf>
    <xf numFmtId="9" fontId="3" fillId="3" borderId="4" xfId="2" applyFont="1" applyFill="1" applyBorder="1" applyAlignment="1" applyProtection="1">
      <alignment horizontal="center" vertical="center"/>
      <protection locked="0"/>
    </xf>
    <xf numFmtId="0" fontId="5" fillId="3" borderId="27" xfId="0" applyFont="1" applyFill="1" applyBorder="1" applyAlignment="1" applyProtection="1">
      <alignment horizontal="center" vertical="center"/>
      <protection locked="0"/>
    </xf>
    <xf numFmtId="9" fontId="4" fillId="3" borderId="6" xfId="2" applyFont="1" applyFill="1" applyBorder="1" applyAlignment="1" applyProtection="1">
      <alignment horizontal="center" vertical="center"/>
      <protection locked="0"/>
    </xf>
    <xf numFmtId="9" fontId="4" fillId="3" borderId="9" xfId="2" applyFont="1" applyFill="1" applyBorder="1" applyAlignment="1" applyProtection="1">
      <alignment horizontal="center" vertical="center"/>
      <protection locked="0"/>
    </xf>
    <xf numFmtId="9" fontId="4"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3" fillId="3" borderId="0" xfId="0" applyNumberFormat="1" applyFont="1" applyFill="1"/>
    <xf numFmtId="0" fontId="8" fillId="2" borderId="44"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20" fillId="2" borderId="12" xfId="0" applyFont="1" applyFill="1" applyBorder="1" applyAlignment="1" applyProtection="1">
      <alignment horizontal="center"/>
      <protection locked="0"/>
    </xf>
    <xf numFmtId="166" fontId="20" fillId="3" borderId="5" xfId="3" applyNumberFormat="1" applyFont="1" applyFill="1" applyBorder="1" applyAlignment="1">
      <alignment horizontal="left"/>
    </xf>
    <xf numFmtId="0" fontId="3" fillId="0" borderId="6" xfId="0" applyFont="1" applyBorder="1" applyAlignment="1">
      <alignment horizontal="center"/>
    </xf>
    <xf numFmtId="9" fontId="3" fillId="0" borderId="7" xfId="0" applyNumberFormat="1" applyFont="1" applyBorder="1" applyAlignment="1">
      <alignment horizontal="center"/>
    </xf>
    <xf numFmtId="166" fontId="20" fillId="7" borderId="44" xfId="3" applyNumberFormat="1" applyFont="1" applyFill="1" applyBorder="1" applyProtection="1">
      <protection locked="0"/>
    </xf>
    <xf numFmtId="0" fontId="20" fillId="2" borderId="26" xfId="0" applyFont="1" applyFill="1" applyBorder="1" applyAlignment="1" applyProtection="1">
      <alignment horizontal="center"/>
      <protection locked="0"/>
    </xf>
    <xf numFmtId="166" fontId="20" fillId="3" borderId="3" xfId="3" applyNumberFormat="1" applyFont="1" applyFill="1" applyBorder="1" applyAlignment="1">
      <alignment horizontal="left"/>
    </xf>
    <xf numFmtId="173" fontId="3" fillId="0" borderId="9" xfId="1" applyNumberFormat="1" applyFont="1" applyBorder="1" applyAlignment="1">
      <alignment horizontal="center"/>
    </xf>
    <xf numFmtId="9" fontId="3" fillId="0" borderId="26" xfId="0" applyNumberFormat="1" applyFont="1" applyBorder="1" applyAlignment="1">
      <alignment horizontal="center"/>
    </xf>
    <xf numFmtId="166" fontId="20" fillId="7" borderId="3" xfId="3" applyNumberFormat="1" applyFont="1" applyFill="1" applyBorder="1" applyProtection="1">
      <protection locked="0"/>
    </xf>
    <xf numFmtId="0" fontId="20" fillId="2" borderId="27" xfId="0" applyFont="1" applyFill="1" applyBorder="1" applyAlignment="1" applyProtection="1">
      <alignment horizontal="center"/>
      <protection locked="0"/>
    </xf>
    <xf numFmtId="166" fontId="20" fillId="3" borderId="4" xfId="3" applyNumberFormat="1" applyFont="1" applyFill="1" applyBorder="1" applyAlignment="1">
      <alignment horizontal="left"/>
    </xf>
    <xf numFmtId="173" fontId="3" fillId="0" borderId="10" xfId="1" applyNumberFormat="1" applyFont="1" applyBorder="1" applyAlignment="1">
      <alignment horizontal="center"/>
    </xf>
    <xf numFmtId="0" fontId="3" fillId="0" borderId="10" xfId="0" applyFont="1" applyBorder="1" applyAlignment="1">
      <alignment horizontal="center"/>
    </xf>
    <xf numFmtId="9" fontId="3" fillId="0" borderId="27" xfId="0" applyNumberFormat="1" applyFont="1" applyBorder="1" applyAlignment="1">
      <alignment horizontal="center"/>
    </xf>
    <xf numFmtId="166" fontId="20" fillId="7" borderId="4" xfId="3" applyNumberFormat="1" applyFont="1" applyFill="1" applyBorder="1" applyProtection="1">
      <protection locked="0"/>
    </xf>
    <xf numFmtId="9" fontId="20" fillId="7" borderId="12" xfId="0" applyNumberFormat="1" applyFont="1" applyFill="1" applyBorder="1" applyAlignment="1" applyProtection="1">
      <alignment horizontal="center"/>
      <protection locked="0"/>
    </xf>
    <xf numFmtId="9" fontId="20" fillId="7" borderId="26" xfId="0" applyNumberFormat="1" applyFont="1" applyFill="1" applyBorder="1" applyAlignment="1" applyProtection="1">
      <alignment horizontal="center"/>
      <protection locked="0"/>
    </xf>
    <xf numFmtId="9" fontId="20" fillId="7" borderId="27" xfId="0" applyNumberFormat="1" applyFont="1" applyFill="1" applyBorder="1" applyAlignment="1" applyProtection="1">
      <alignment horizontal="center"/>
      <protection locked="0"/>
    </xf>
    <xf numFmtId="166" fontId="41" fillId="7" borderId="45" xfId="3" applyNumberFormat="1" applyFont="1" applyFill="1" applyBorder="1"/>
    <xf numFmtId="0" fontId="0" fillId="0" borderId="71" xfId="0" applyBorder="1"/>
    <xf numFmtId="0" fontId="0" fillId="0" borderId="72" xfId="0" applyBorder="1"/>
    <xf numFmtId="0" fontId="14" fillId="0" borderId="29" xfId="0" applyFont="1" applyBorder="1"/>
    <xf numFmtId="0" fontId="29"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166" fontId="0" fillId="3" borderId="0" xfId="0" applyNumberFormat="1" applyFill="1"/>
    <xf numFmtId="0" fontId="0" fillId="3" borderId="15" xfId="0" applyFill="1" applyBorder="1"/>
    <xf numFmtId="0" fontId="0" fillId="3" borderId="2" xfId="0" applyFill="1" applyBorder="1"/>
    <xf numFmtId="0" fontId="0" fillId="3" borderId="30" xfId="0" applyFill="1" applyBorder="1"/>
    <xf numFmtId="173" fontId="3" fillId="7" borderId="6" xfId="1" applyNumberFormat="1" applyFont="1" applyFill="1" applyBorder="1" applyAlignment="1" applyProtection="1">
      <alignment horizontal="center"/>
      <protection locked="0"/>
    </xf>
    <xf numFmtId="173" fontId="3" fillId="7" borderId="9" xfId="1" applyNumberFormat="1" applyFont="1" applyFill="1" applyBorder="1" applyAlignment="1" applyProtection="1">
      <alignment horizontal="center"/>
      <protection locked="0"/>
    </xf>
    <xf numFmtId="173" fontId="3" fillId="7" borderId="10" xfId="1" applyNumberFormat="1" applyFont="1" applyFill="1" applyBorder="1" applyAlignment="1" applyProtection="1">
      <alignment horizontal="center"/>
      <protection locked="0"/>
    </xf>
    <xf numFmtId="0" fontId="2" fillId="0" borderId="0" xfId="0" applyFont="1" applyAlignment="1">
      <alignment horizontal="left" indent="1"/>
    </xf>
    <xf numFmtId="0" fontId="2" fillId="0" borderId="5"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0" fontId="3"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164" fontId="0" fillId="23" borderId="10" xfId="2" applyNumberFormat="1" applyFont="1" applyFill="1" applyBorder="1"/>
    <xf numFmtId="0" fontId="0" fillId="0" borderId="29" xfId="0" applyBorder="1" applyAlignment="1">
      <alignment wrapText="1"/>
    </xf>
    <xf numFmtId="166" fontId="3" fillId="4" borderId="55" xfId="3" applyNumberFormat="1" applyFont="1" applyFill="1" applyBorder="1" applyAlignment="1" applyProtection="1">
      <alignment horizontal="center"/>
      <protection hidden="1"/>
    </xf>
    <xf numFmtId="165" fontId="3" fillId="4" borderId="6" xfId="1" applyNumberFormat="1" applyFont="1" applyFill="1" applyBorder="1" applyAlignment="1" applyProtection="1">
      <alignment horizontal="center"/>
      <protection hidden="1"/>
    </xf>
    <xf numFmtId="165" fontId="3" fillId="4" borderId="7" xfId="1" applyNumberFormat="1" applyFont="1" applyFill="1" applyBorder="1" applyAlignment="1" applyProtection="1">
      <alignment horizontal="center"/>
      <protection hidden="1"/>
    </xf>
    <xf numFmtId="166" fontId="3" fillId="4" borderId="44" xfId="3" applyNumberFormat="1" applyFont="1" applyFill="1" applyBorder="1" applyAlignment="1" applyProtection="1">
      <alignment horizontal="center"/>
      <protection hidden="1"/>
    </xf>
    <xf numFmtId="165" fontId="3" fillId="4" borderId="8" xfId="1" applyNumberFormat="1" applyFont="1" applyFill="1" applyBorder="1" applyAlignment="1" applyProtection="1">
      <alignment horizontal="center"/>
      <protection hidden="1"/>
    </xf>
    <xf numFmtId="165" fontId="3" fillId="4" borderId="12" xfId="1" applyNumberFormat="1" applyFont="1" applyFill="1" applyBorder="1" applyAlignment="1" applyProtection="1">
      <alignment horizontal="center"/>
      <protection hidden="1"/>
    </xf>
    <xf numFmtId="165" fontId="3" fillId="4" borderId="48" xfId="1" applyNumberFormat="1" applyFont="1" applyFill="1" applyBorder="1" applyAlignment="1" applyProtection="1">
      <alignment horizontal="center"/>
      <protection hidden="1"/>
    </xf>
    <xf numFmtId="164" fontId="4" fillId="3" borderId="32" xfId="2" applyNumberFormat="1" applyFont="1" applyFill="1" applyBorder="1" applyAlignment="1" applyProtection="1">
      <alignment horizontal="center"/>
      <protection hidden="1"/>
    </xf>
    <xf numFmtId="164" fontId="4" fillId="3" borderId="33" xfId="2" applyNumberFormat="1" applyFont="1" applyFill="1" applyBorder="1" applyAlignment="1" applyProtection="1">
      <alignment horizontal="center"/>
      <protection hidden="1"/>
    </xf>
    <xf numFmtId="164" fontId="2" fillId="2" borderId="9" xfId="2" applyNumberFormat="1" applyFont="1" applyFill="1" applyBorder="1" applyAlignment="1" applyProtection="1">
      <alignment horizontal="center" vertical="center"/>
      <protection hidden="1"/>
    </xf>
    <xf numFmtId="0" fontId="2" fillId="0" borderId="0" xfId="0" applyFont="1" applyProtection="1">
      <protection hidden="1"/>
    </xf>
    <xf numFmtId="0" fontId="2" fillId="2" borderId="8" xfId="0" applyFont="1" applyFill="1" applyBorder="1" applyAlignment="1" applyProtection="1">
      <alignment horizontal="center"/>
      <protection hidden="1"/>
    </xf>
    <xf numFmtId="0" fontId="29" fillId="6" borderId="25" xfId="0" applyFont="1" applyFill="1" applyBorder="1" applyAlignment="1">
      <alignment horizontal="center" wrapText="1"/>
    </xf>
    <xf numFmtId="0" fontId="29" fillId="18" borderId="64" xfId="0" applyFont="1" applyFill="1" applyBorder="1" applyAlignment="1">
      <alignment horizontal="center" wrapText="1"/>
    </xf>
    <xf numFmtId="0" fontId="29" fillId="18" borderId="45" xfId="0" applyFont="1" applyFill="1" applyBorder="1" applyAlignment="1">
      <alignment horizontal="center" wrapText="1"/>
    </xf>
    <xf numFmtId="0" fontId="29" fillId="18" borderId="25" xfId="0" applyFont="1" applyFill="1" applyBorder="1" applyAlignment="1">
      <alignment horizontal="center" wrapText="1"/>
    </xf>
    <xf numFmtId="0" fontId="29" fillId="20" borderId="24" xfId="0" applyFont="1" applyFill="1" applyBorder="1" applyAlignment="1">
      <alignment horizontal="center" wrapText="1"/>
    </xf>
    <xf numFmtId="0" fontId="29" fillId="20" borderId="45" xfId="0" applyFont="1" applyFill="1" applyBorder="1" applyAlignment="1">
      <alignment horizontal="center" wrapText="1"/>
    </xf>
    <xf numFmtId="0" fontId="29" fillId="20" borderId="25" xfId="0" applyFont="1" applyFill="1" applyBorder="1" applyAlignment="1">
      <alignment horizontal="center" wrapText="1"/>
    </xf>
    <xf numFmtId="0" fontId="69" fillId="7" borderId="8" xfId="0" applyFont="1" applyFill="1" applyBorder="1" applyProtection="1">
      <protection locked="0"/>
    </xf>
    <xf numFmtId="0" fontId="69" fillId="7" borderId="63" xfId="0" applyFont="1" applyFill="1" applyBorder="1" applyProtection="1">
      <protection locked="0"/>
    </xf>
    <xf numFmtId="0" fontId="69" fillId="3" borderId="6" xfId="0" applyFont="1" applyFill="1" applyBorder="1" applyAlignment="1">
      <alignment horizontal="left"/>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4" fillId="10" borderId="0" xfId="0" applyFont="1" applyFill="1" applyAlignment="1">
      <alignment horizontal="center" vertical="center"/>
    </xf>
    <xf numFmtId="169" fontId="24" fillId="10" borderId="0" xfId="0" applyNumberFormat="1" applyFont="1" applyFill="1" applyAlignment="1">
      <alignment horizontal="center" vertical="center"/>
    </xf>
    <xf numFmtId="0" fontId="24" fillId="10" borderId="18" xfId="0" applyFont="1" applyFill="1" applyBorder="1" applyAlignment="1">
      <alignment horizontal="center" vertical="center"/>
    </xf>
    <xf numFmtId="0" fontId="7" fillId="12" borderId="9" xfId="0" applyFont="1" applyFill="1" applyBorder="1" applyAlignment="1">
      <alignment horizontal="center" vertical="center"/>
    </xf>
    <xf numFmtId="0" fontId="3" fillId="3" borderId="0" xfId="0" applyFont="1" applyFill="1" applyAlignment="1">
      <alignment horizontal="center"/>
    </xf>
    <xf numFmtId="0" fontId="3"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2" fillId="3" borderId="60" xfId="0" applyFont="1" applyFill="1" applyBorder="1"/>
    <xf numFmtId="0" fontId="62" fillId="3" borderId="2" xfId="0" applyFont="1" applyFill="1" applyBorder="1"/>
    <xf numFmtId="0" fontId="0" fillId="0" borderId="0" xfId="0" applyProtection="1">
      <protection locked="0"/>
    </xf>
    <xf numFmtId="0" fontId="6" fillId="0" borderId="2" xfId="0" applyFont="1" applyBorder="1" applyAlignment="1">
      <alignment horizontal="right" vertical="center"/>
    </xf>
    <xf numFmtId="10" fontId="5" fillId="0" borderId="2" xfId="2" applyNumberFormat="1" applyFont="1" applyBorder="1" applyAlignment="1">
      <alignment horizontal="center" vertical="center"/>
    </xf>
    <xf numFmtId="0" fontId="0" fillId="3" borderId="2" xfId="0" applyFill="1" applyBorder="1" applyAlignment="1">
      <alignment vertical="center"/>
    </xf>
    <xf numFmtId="0" fontId="2" fillId="3" borderId="2" xfId="0" applyFont="1" applyFill="1" applyBorder="1" applyAlignment="1">
      <alignment horizontal="right" vertical="center"/>
    </xf>
    <xf numFmtId="44" fontId="2" fillId="3" borderId="2" xfId="0" applyNumberFormat="1" applyFont="1" applyFill="1" applyBorder="1" applyAlignment="1">
      <alignment vertical="center"/>
    </xf>
    <xf numFmtId="0" fontId="0" fillId="3" borderId="2" xfId="0" applyFill="1" applyBorder="1" applyAlignment="1">
      <alignment horizontal="center" vertical="center"/>
    </xf>
    <xf numFmtId="0" fontId="2" fillId="3" borderId="0" xfId="0" applyFont="1" applyFill="1" applyAlignment="1">
      <alignment horizontal="center"/>
    </xf>
    <xf numFmtId="0" fontId="2" fillId="0" borderId="2" xfId="0" applyFont="1" applyBorder="1" applyProtection="1">
      <protection hidden="1"/>
    </xf>
    <xf numFmtId="0" fontId="2"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2" fillId="23" borderId="14" xfId="0" applyFont="1" applyFill="1" applyBorder="1"/>
    <xf numFmtId="0" fontId="0" fillId="0" borderId="71" xfId="0" applyBorder="1" applyAlignment="1">
      <alignment horizontal="center"/>
    </xf>
    <xf numFmtId="0" fontId="0" fillId="0" borderId="72" xfId="0" applyBorder="1" applyAlignment="1">
      <alignment horizontal="center"/>
    </xf>
    <xf numFmtId="0" fontId="42" fillId="0" borderId="14" xfId="0" applyFont="1" applyBorder="1"/>
    <xf numFmtId="0" fontId="0" fillId="0" borderId="55" xfId="0" applyBorder="1"/>
    <xf numFmtId="0" fontId="14"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4" fillId="0" borderId="9" xfId="3" applyNumberFormat="1" applyFont="1" applyBorder="1"/>
    <xf numFmtId="166" fontId="4"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9" fillId="3" borderId="14" xfId="0" applyFont="1" applyFill="1" applyBorder="1" applyProtection="1">
      <protection locked="0"/>
    </xf>
    <xf numFmtId="0" fontId="29"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7" fillId="0" borderId="0" xfId="3" applyNumberFormat="1" applyFont="1" applyAlignment="1">
      <alignment horizontal="center"/>
    </xf>
    <xf numFmtId="0" fontId="25" fillId="0" borderId="2" xfId="0" applyFont="1" applyBorder="1" applyAlignment="1">
      <alignment vertical="center"/>
    </xf>
    <xf numFmtId="0" fontId="25" fillId="3" borderId="0" xfId="0" applyFont="1" applyFill="1" applyAlignment="1">
      <alignment vertical="center"/>
    </xf>
    <xf numFmtId="0" fontId="25" fillId="3" borderId="0" xfId="0" applyFont="1" applyFill="1"/>
    <xf numFmtId="0" fontId="25" fillId="0" borderId="0" xfId="0" applyFont="1"/>
    <xf numFmtId="0" fontId="25" fillId="0" borderId="0" xfId="0" applyFont="1" applyAlignment="1">
      <alignment vertical="center"/>
    </xf>
    <xf numFmtId="0" fontId="14" fillId="10" borderId="0" xfId="0" applyFont="1" applyFill="1" applyAlignment="1">
      <alignment horizontal="right" vertical="center"/>
    </xf>
    <xf numFmtId="0" fontId="2"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2"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4" fontId="2" fillId="7" borderId="32" xfId="2" applyNumberFormat="1" applyFont="1" applyFill="1" applyBorder="1" applyAlignment="1" applyProtection="1">
      <alignment horizontal="center" vertical="center"/>
      <protection locked="0" hidden="1"/>
    </xf>
    <xf numFmtId="164" fontId="2" fillId="7" borderId="33" xfId="2" applyNumberFormat="1" applyFont="1" applyFill="1" applyBorder="1" applyAlignment="1" applyProtection="1">
      <alignment horizontal="center" vertical="center"/>
      <protection locked="0" hidden="1"/>
    </xf>
    <xf numFmtId="44" fontId="44" fillId="10" borderId="0" xfId="0" applyNumberFormat="1" applyFont="1" applyFill="1" applyAlignment="1">
      <alignment vertical="center"/>
    </xf>
    <xf numFmtId="0" fontId="58" fillId="10" borderId="0" xfId="0" applyFont="1" applyFill="1" applyAlignment="1">
      <alignment horizontal="center" vertical="center"/>
    </xf>
    <xf numFmtId="0" fontId="44" fillId="10" borderId="0" xfId="0" applyFont="1" applyFill="1" applyAlignment="1">
      <alignment vertical="center" wrapText="1"/>
    </xf>
    <xf numFmtId="0" fontId="2" fillId="0" borderId="54" xfId="0" applyFont="1" applyBorder="1" applyAlignment="1">
      <alignment horizontal="right" vertical="center"/>
    </xf>
    <xf numFmtId="166" fontId="2" fillId="0" borderId="54" xfId="0" applyNumberFormat="1" applyFont="1" applyBorder="1" applyAlignment="1">
      <alignment vertical="center"/>
    </xf>
    <xf numFmtId="44" fontId="2" fillId="0" borderId="54" xfId="0" applyNumberFormat="1" applyFont="1" applyBorder="1" applyAlignment="1">
      <alignment vertical="center"/>
    </xf>
    <xf numFmtId="0" fontId="44" fillId="10" borderId="0" xfId="0" applyFont="1" applyFill="1" applyAlignment="1">
      <alignment horizontal="right" vertical="center"/>
    </xf>
    <xf numFmtId="166" fontId="44" fillId="10" borderId="0" xfId="0" applyNumberFormat="1" applyFont="1" applyFill="1" applyAlignment="1">
      <alignment vertical="center"/>
    </xf>
    <xf numFmtId="166" fontId="2" fillId="7" borderId="9" xfId="0" applyNumberFormat="1" applyFont="1" applyFill="1" applyBorder="1" applyAlignment="1" applyProtection="1">
      <alignment vertical="center"/>
      <protection locked="0"/>
    </xf>
    <xf numFmtId="0" fontId="2" fillId="29" borderId="14" xfId="0" applyFont="1" applyFill="1" applyBorder="1" applyAlignment="1">
      <alignment wrapText="1"/>
    </xf>
    <xf numFmtId="0" fontId="2" fillId="29" borderId="0" xfId="0" applyFont="1" applyFill="1" applyAlignment="1">
      <alignment wrapText="1"/>
    </xf>
    <xf numFmtId="0" fontId="2" fillId="29" borderId="29" xfId="0" applyFont="1" applyFill="1" applyBorder="1" applyAlignment="1">
      <alignment wrapText="1"/>
    </xf>
    <xf numFmtId="0" fontId="0" fillId="0" borderId="15" xfId="0" applyBorder="1" applyAlignment="1">
      <alignment horizontal="center"/>
    </xf>
    <xf numFmtId="44" fontId="26" fillId="10" borderId="0" xfId="0" applyNumberFormat="1" applyFont="1" applyFill="1" applyAlignment="1">
      <alignment vertical="center"/>
    </xf>
    <xf numFmtId="0" fontId="9" fillId="3" borderId="0" xfId="0" applyFont="1" applyFill="1" applyAlignment="1">
      <alignment horizontal="center" vertical="center"/>
    </xf>
    <xf numFmtId="0" fontId="9" fillId="10" borderId="19" xfId="0" applyFont="1" applyFill="1" applyBorder="1" applyAlignment="1">
      <alignment horizontal="center" vertical="center"/>
    </xf>
    <xf numFmtId="0" fontId="9" fillId="10" borderId="20" xfId="0" applyFont="1" applyFill="1" applyBorder="1" applyAlignment="1">
      <alignment horizontal="center" vertical="center"/>
    </xf>
    <xf numFmtId="0" fontId="71" fillId="3" borderId="0" xfId="0" applyFont="1" applyFill="1" applyAlignment="1">
      <alignment horizontal="right" vertical="center"/>
    </xf>
    <xf numFmtId="43" fontId="26" fillId="10" borderId="22" xfId="1" applyFont="1" applyFill="1" applyBorder="1" applyAlignment="1">
      <alignment horizontal="center" vertical="center" wrapText="1"/>
    </xf>
    <xf numFmtId="1" fontId="20" fillId="7" borderId="8" xfId="1" quotePrefix="1" applyNumberFormat="1" applyFont="1" applyFill="1" applyBorder="1" applyAlignment="1" applyProtection="1">
      <alignment horizontal="center"/>
      <protection locked="0"/>
    </xf>
    <xf numFmtId="1" fontId="20" fillId="7" borderId="9" xfId="1" applyNumberFormat="1" applyFont="1" applyFill="1" applyBorder="1" applyAlignment="1" applyProtection="1">
      <alignment horizontal="center"/>
      <protection locked="0"/>
    </xf>
    <xf numFmtId="1" fontId="20" fillId="7" borderId="10" xfId="1" applyNumberFormat="1" applyFont="1" applyFill="1" applyBorder="1" applyAlignment="1" applyProtection="1">
      <alignment horizontal="center"/>
      <protection locked="0"/>
    </xf>
    <xf numFmtId="164" fontId="0" fillId="2" borderId="9" xfId="2" applyNumberFormat="1" applyFont="1" applyFill="1" applyBorder="1" applyAlignment="1">
      <alignment horizontal="center" vertical="center" wrapText="1"/>
    </xf>
    <xf numFmtId="0" fontId="73" fillId="0" borderId="0" xfId="0" applyFont="1"/>
    <xf numFmtId="0" fontId="5" fillId="3" borderId="42" xfId="0" applyFont="1" applyFill="1" applyBorder="1" applyAlignment="1" applyProtection="1">
      <alignment horizontal="center" vertical="center"/>
      <protection locked="0"/>
    </xf>
    <xf numFmtId="0" fontId="5" fillId="3" borderId="50" xfId="0" applyFont="1" applyFill="1" applyBorder="1" applyAlignment="1" applyProtection="1">
      <alignment horizontal="center" vertical="center"/>
      <protection locked="0"/>
    </xf>
    <xf numFmtId="0" fontId="5" fillId="3" borderId="2" xfId="0" applyFont="1" applyFill="1" applyBorder="1" applyAlignment="1" applyProtection="1">
      <alignment horizontal="center" vertical="center"/>
      <protection locked="0"/>
    </xf>
    <xf numFmtId="0" fontId="8" fillId="3" borderId="0" xfId="0" applyFont="1" applyFill="1"/>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9" xfId="0" applyBorder="1" applyAlignment="1" applyProtection="1">
      <alignment horizontal="left" indent="1"/>
      <protection locked="0"/>
    </xf>
    <xf numFmtId="0" fontId="0" fillId="0" borderId="9" xfId="0" applyBorder="1" applyProtection="1">
      <protection locked="0"/>
    </xf>
    <xf numFmtId="0" fontId="0" fillId="0" borderId="9" xfId="0" applyBorder="1" applyAlignment="1" applyProtection="1">
      <alignment horizontal="center"/>
      <protection locked="0"/>
    </xf>
    <xf numFmtId="0" fontId="0" fillId="0" borderId="54" xfId="0" applyBorder="1" applyAlignment="1" applyProtection="1">
      <alignment horizontal="left" indent="1"/>
      <protection locked="0"/>
    </xf>
    <xf numFmtId="0" fontId="0" fillId="0" borderId="54" xfId="0" applyBorder="1" applyProtection="1">
      <protection locked="0"/>
    </xf>
    <xf numFmtId="0" fontId="0" fillId="0" borderId="54" xfId="0" applyBorder="1" applyAlignment="1" applyProtection="1">
      <alignment horizontal="center"/>
      <protection locked="0"/>
    </xf>
    <xf numFmtId="0" fontId="5" fillId="6" borderId="43" xfId="0" applyFont="1" applyFill="1" applyBorder="1" applyAlignment="1">
      <alignment horizontal="center" vertical="center"/>
    </xf>
    <xf numFmtId="0" fontId="5" fillId="6" borderId="42" xfId="0" applyFont="1" applyFill="1" applyBorder="1" applyAlignment="1">
      <alignment horizontal="center" vertical="center"/>
    </xf>
    <xf numFmtId="0" fontId="2" fillId="27" borderId="56" xfId="0" applyFont="1" applyFill="1" applyBorder="1" applyAlignment="1">
      <alignment vertical="center" wrapText="1"/>
    </xf>
    <xf numFmtId="0" fontId="2" fillId="27" borderId="60" xfId="0" applyFont="1" applyFill="1" applyBorder="1" applyAlignment="1">
      <alignment vertical="center" wrapText="1"/>
    </xf>
    <xf numFmtId="0" fontId="2" fillId="27" borderId="57" xfId="0" applyFont="1" applyFill="1" applyBorder="1" applyAlignment="1">
      <alignment vertical="center" wrapText="1"/>
    </xf>
    <xf numFmtId="0" fontId="50" fillId="0" borderId="0" xfId="0" applyFont="1" applyAlignment="1">
      <alignment horizontal="center" vertical="center"/>
    </xf>
    <xf numFmtId="0" fontId="2" fillId="25" borderId="56" xfId="0" applyFont="1" applyFill="1" applyBorder="1" applyAlignment="1">
      <alignment vertical="center" wrapText="1"/>
    </xf>
    <xf numFmtId="0" fontId="2" fillId="25" borderId="60" xfId="0" applyFont="1" applyFill="1" applyBorder="1" applyAlignment="1">
      <alignment vertical="center" wrapText="1"/>
    </xf>
    <xf numFmtId="0" fontId="2" fillId="25" borderId="57" xfId="0" applyFont="1" applyFill="1" applyBorder="1" applyAlignment="1">
      <alignment vertical="center" wrapText="1"/>
    </xf>
    <xf numFmtId="0" fontId="2" fillId="26" borderId="56" xfId="0" applyFont="1" applyFill="1" applyBorder="1" applyAlignment="1">
      <alignment vertical="center" wrapText="1"/>
    </xf>
    <xf numFmtId="0" fontId="2" fillId="26" borderId="60" xfId="0" applyFont="1" applyFill="1" applyBorder="1" applyAlignment="1">
      <alignment vertical="center" wrapText="1"/>
    </xf>
    <xf numFmtId="0" fontId="2"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5" borderId="13" xfId="0" applyFont="1" applyFill="1" applyBorder="1" applyAlignment="1">
      <alignment horizontal="center" vertical="center" wrapText="1"/>
    </xf>
    <xf numFmtId="0" fontId="50" fillId="25" borderId="11" xfId="0" applyFont="1" applyFill="1" applyBorder="1" applyAlignment="1">
      <alignment horizontal="center" vertical="center" wrapText="1"/>
    </xf>
    <xf numFmtId="0" fontId="50" fillId="25" borderId="28" xfId="0" applyFont="1" applyFill="1" applyBorder="1" applyAlignment="1">
      <alignment horizontal="center" vertical="center" wrapText="1"/>
    </xf>
    <xf numFmtId="0" fontId="51" fillId="25" borderId="15" xfId="0" applyFont="1" applyFill="1" applyBorder="1" applyAlignment="1">
      <alignment horizontal="center" vertical="center" wrapText="1"/>
    </xf>
    <xf numFmtId="0" fontId="51" fillId="25" borderId="2" xfId="0" applyFont="1" applyFill="1" applyBorder="1" applyAlignment="1">
      <alignment horizontal="center" vertical="center" wrapText="1"/>
    </xf>
    <xf numFmtId="0" fontId="51" fillId="25"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8" fillId="0" borderId="22" xfId="0" applyFont="1" applyBorder="1" applyAlignment="1" applyProtection="1">
      <alignment horizontal="center" vertical="top"/>
      <protection locked="0"/>
    </xf>
    <xf numFmtId="0" fontId="41" fillId="3" borderId="13" xfId="0" applyFont="1" applyFill="1" applyBorder="1" applyAlignment="1" applyProtection="1">
      <alignment horizontal="left" vertical="top" wrapText="1"/>
      <protection locked="0"/>
    </xf>
    <xf numFmtId="0" fontId="41" fillId="3" borderId="11" xfId="0" applyFont="1" applyFill="1" applyBorder="1" applyAlignment="1" applyProtection="1">
      <alignment horizontal="left" vertical="top" wrapText="1"/>
      <protection locked="0"/>
    </xf>
    <xf numFmtId="0" fontId="41" fillId="3" borderId="28" xfId="0" applyFont="1" applyFill="1" applyBorder="1" applyAlignment="1" applyProtection="1">
      <alignment horizontal="left" vertical="top" wrapText="1"/>
      <protection locked="0"/>
    </xf>
    <xf numFmtId="0" fontId="41" fillId="3" borderId="14" xfId="0" applyFont="1" applyFill="1" applyBorder="1" applyAlignment="1" applyProtection="1">
      <alignment horizontal="left" vertical="top" wrapText="1"/>
      <protection locked="0"/>
    </xf>
    <xf numFmtId="0" fontId="41" fillId="3" borderId="0" xfId="0" applyFont="1" applyFill="1" applyAlignment="1" applyProtection="1">
      <alignment horizontal="left" vertical="top" wrapText="1"/>
      <protection locked="0"/>
    </xf>
    <xf numFmtId="0" fontId="41" fillId="3" borderId="29" xfId="0" applyFont="1" applyFill="1" applyBorder="1" applyAlignment="1" applyProtection="1">
      <alignment horizontal="left" vertical="top" wrapText="1"/>
      <protection locked="0"/>
    </xf>
    <xf numFmtId="0" fontId="41" fillId="3" borderId="15" xfId="0" applyFont="1" applyFill="1" applyBorder="1" applyAlignment="1" applyProtection="1">
      <alignment horizontal="left" vertical="top" wrapText="1"/>
      <protection locked="0"/>
    </xf>
    <xf numFmtId="0" fontId="41" fillId="3" borderId="2" xfId="0" applyFont="1" applyFill="1" applyBorder="1" applyAlignment="1" applyProtection="1">
      <alignment horizontal="left" vertical="top" wrapText="1"/>
      <protection locked="0"/>
    </xf>
    <xf numFmtId="0" fontId="41" fillId="3" borderId="30" xfId="0" applyFont="1" applyFill="1" applyBorder="1" applyAlignment="1" applyProtection="1">
      <alignment horizontal="left" vertical="top" wrapText="1"/>
      <protection locked="0"/>
    </xf>
    <xf numFmtId="0" fontId="2" fillId="3" borderId="56" xfId="0" applyFont="1" applyFill="1" applyBorder="1" applyAlignment="1">
      <alignment horizontal="center" vertical="center"/>
    </xf>
    <xf numFmtId="0" fontId="2" fillId="3" borderId="60" xfId="0" applyFont="1" applyFill="1" applyBorder="1" applyAlignment="1">
      <alignment horizontal="center" vertical="center"/>
    </xf>
    <xf numFmtId="0" fontId="2" fillId="3" borderId="57" xfId="0" applyFont="1" applyFill="1" applyBorder="1" applyAlignment="1">
      <alignment horizontal="center" vertical="center"/>
    </xf>
    <xf numFmtId="0" fontId="18" fillId="3" borderId="11" xfId="0" applyFont="1" applyFill="1" applyBorder="1" applyAlignment="1">
      <alignment horizontal="left" indent="1"/>
    </xf>
    <xf numFmtId="0" fontId="61" fillId="3" borderId="0" xfId="0" applyFont="1" applyFill="1" applyAlignment="1">
      <alignment horizontal="center" vertical="top"/>
    </xf>
    <xf numFmtId="0" fontId="60" fillId="3" borderId="2" xfId="0" applyFont="1" applyFill="1" applyBorder="1" applyAlignment="1">
      <alignment horizontal="center" vertical="top"/>
    </xf>
    <xf numFmtId="166" fontId="2" fillId="3" borderId="7" xfId="0" applyNumberFormat="1" applyFont="1" applyFill="1" applyBorder="1" applyAlignment="1">
      <alignment horizontal="center" vertical="center"/>
    </xf>
    <xf numFmtId="166" fontId="2" fillId="3" borderId="27" xfId="0" applyNumberFormat="1" applyFont="1" applyFill="1" applyBorder="1" applyAlignment="1">
      <alignment horizontal="center" vertical="center"/>
    </xf>
    <xf numFmtId="0" fontId="2" fillId="6" borderId="5" xfId="0" applyFont="1" applyFill="1" applyBorder="1" applyAlignment="1">
      <alignment horizontal="right" vertical="center" wrapText="1"/>
    </xf>
    <xf numFmtId="0" fontId="2" fillId="6" borderId="4" xfId="0" applyFont="1" applyFill="1" applyBorder="1" applyAlignment="1">
      <alignment horizontal="right" vertical="center" wrapText="1"/>
    </xf>
    <xf numFmtId="0" fontId="2" fillId="6" borderId="5" xfId="0" applyFont="1" applyFill="1" applyBorder="1" applyAlignment="1">
      <alignment horizontal="right" wrapText="1"/>
    </xf>
    <xf numFmtId="0" fontId="2" fillId="6" borderId="6" xfId="0" applyFont="1" applyFill="1" applyBorder="1" applyAlignment="1">
      <alignment horizontal="right" wrapText="1"/>
    </xf>
    <xf numFmtId="0" fontId="2" fillId="6" borderId="4" xfId="0" applyFont="1" applyFill="1" applyBorder="1" applyAlignment="1">
      <alignment horizontal="right" wrapText="1"/>
    </xf>
    <xf numFmtId="0" fontId="2" fillId="6" borderId="10" xfId="0" applyFont="1" applyFill="1" applyBorder="1" applyAlignment="1">
      <alignment horizontal="right" wrapText="1"/>
    </xf>
    <xf numFmtId="0" fontId="62" fillId="3" borderId="14" xfId="0" applyFont="1" applyFill="1" applyBorder="1" applyAlignment="1">
      <alignment horizontal="left" vertical="center" indent="1"/>
    </xf>
    <xf numFmtId="0" fontId="62" fillId="3" borderId="0" xfId="0" applyFont="1" applyFill="1" applyAlignment="1">
      <alignment horizontal="left" vertical="center" indent="1"/>
    </xf>
    <xf numFmtId="166" fontId="2" fillId="2" borderId="14" xfId="0" applyNumberFormat="1" applyFont="1" applyFill="1" applyBorder="1" applyAlignment="1">
      <alignment horizontal="right" vertical="center"/>
    </xf>
    <xf numFmtId="166" fontId="2" fillId="2" borderId="20" xfId="0" applyNumberFormat="1" applyFont="1" applyFill="1" applyBorder="1" applyAlignment="1">
      <alignment horizontal="right" vertical="center"/>
    </xf>
    <xf numFmtId="166" fontId="2" fillId="2" borderId="15" xfId="0" applyNumberFormat="1" applyFont="1" applyFill="1" applyBorder="1" applyAlignment="1">
      <alignment horizontal="right" vertical="center"/>
    </xf>
    <xf numFmtId="166" fontId="2" fillId="2" borderId="59" xfId="0" applyNumberFormat="1" applyFont="1" applyFill="1" applyBorder="1" applyAlignment="1">
      <alignment horizontal="right" vertical="center"/>
    </xf>
    <xf numFmtId="0" fontId="3" fillId="3" borderId="0" xfId="0" applyFont="1" applyFill="1" applyAlignment="1">
      <alignment horizontal="center"/>
    </xf>
    <xf numFmtId="166" fontId="6" fillId="2" borderId="13" xfId="0" applyNumberFormat="1" applyFont="1" applyFill="1" applyBorder="1" applyAlignment="1">
      <alignment horizontal="right" vertical="center"/>
    </xf>
    <xf numFmtId="166" fontId="6" fillId="2" borderId="58" xfId="0" applyNumberFormat="1" applyFont="1" applyFill="1" applyBorder="1" applyAlignment="1">
      <alignment horizontal="right" vertical="center"/>
    </xf>
    <xf numFmtId="0" fontId="61" fillId="3" borderId="0" xfId="0" applyFont="1" applyFill="1" applyAlignment="1">
      <alignment horizontal="center" vertical="center" wrapText="1"/>
    </xf>
    <xf numFmtId="0" fontId="3" fillId="0" borderId="41" xfId="0" applyFont="1" applyBorder="1" applyAlignment="1">
      <alignment horizontal="center"/>
    </xf>
    <xf numFmtId="0" fontId="3" fillId="0" borderId="42" xfId="0" applyFont="1" applyBorder="1" applyAlignment="1">
      <alignment horizontal="center"/>
    </xf>
    <xf numFmtId="0" fontId="3" fillId="0" borderId="37" xfId="0" applyFont="1" applyBorder="1" applyAlignment="1">
      <alignment horizontal="center"/>
    </xf>
    <xf numFmtId="0" fontId="3" fillId="0" borderId="34"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39" xfId="0" applyFont="1" applyBorder="1" applyAlignment="1">
      <alignment horizontal="center"/>
    </xf>
    <xf numFmtId="0" fontId="3" fillId="0" borderId="40" xfId="0" applyFont="1" applyBorder="1" applyAlignment="1">
      <alignment horizontal="center"/>
    </xf>
    <xf numFmtId="0" fontId="3" fillId="0" borderId="38" xfId="0" applyFont="1" applyBorder="1" applyAlignment="1">
      <alignment horizontal="center"/>
    </xf>
    <xf numFmtId="166" fontId="5" fillId="3" borderId="6" xfId="3" applyNumberFormat="1" applyFont="1" applyFill="1" applyBorder="1" applyAlignment="1">
      <alignment horizontal="center" vertical="center"/>
    </xf>
    <xf numFmtId="166" fontId="5" fillId="3" borderId="7" xfId="3" applyNumberFormat="1" applyFont="1" applyFill="1" applyBorder="1" applyAlignment="1">
      <alignment horizontal="center" vertical="center"/>
    </xf>
    <xf numFmtId="169" fontId="24" fillId="10" borderId="18" xfId="0" applyNumberFormat="1" applyFont="1" applyFill="1" applyBorder="1" applyAlignment="1">
      <alignment horizontal="center" vertical="center"/>
    </xf>
    <xf numFmtId="0" fontId="24" fillId="10" borderId="18" xfId="0" applyFont="1" applyFill="1" applyBorder="1" applyAlignment="1">
      <alignment horizontal="center" vertical="center"/>
    </xf>
    <xf numFmtId="0" fontId="20" fillId="10" borderId="16" xfId="0" applyFont="1" applyFill="1" applyBorder="1" applyAlignment="1">
      <alignment horizontal="center" vertical="center"/>
    </xf>
    <xf numFmtId="0" fontId="20" fillId="10" borderId="0" xfId="0" applyFont="1" applyFill="1" applyAlignment="1">
      <alignment horizontal="center" vertical="center"/>
    </xf>
    <xf numFmtId="0" fontId="20" fillId="10" borderId="20" xfId="0" applyFont="1" applyFill="1" applyBorder="1" applyAlignment="1">
      <alignment horizontal="center" vertical="center"/>
    </xf>
    <xf numFmtId="166" fontId="2" fillId="10" borderId="18" xfId="3" applyNumberFormat="1" applyFont="1" applyFill="1" applyBorder="1" applyAlignment="1">
      <alignment horizontal="center" vertical="center"/>
    </xf>
    <xf numFmtId="166" fontId="5" fillId="3" borderId="10" xfId="3" applyNumberFormat="1" applyFont="1" applyFill="1" applyBorder="1" applyAlignment="1">
      <alignment horizontal="center" vertical="center"/>
    </xf>
    <xf numFmtId="166" fontId="5" fillId="3" borderId="27" xfId="3" applyNumberFormat="1" applyFont="1" applyFill="1" applyBorder="1" applyAlignment="1">
      <alignment horizontal="center" vertical="center"/>
    </xf>
    <xf numFmtId="169" fontId="24" fillId="10" borderId="0" xfId="0" applyNumberFormat="1" applyFont="1" applyFill="1" applyAlignment="1">
      <alignment horizontal="center" vertical="center"/>
    </xf>
    <xf numFmtId="0" fontId="24" fillId="10" borderId="0" xfId="0" applyFont="1" applyFill="1" applyAlignment="1">
      <alignment horizontal="center" vertical="center"/>
    </xf>
    <xf numFmtId="9" fontId="3" fillId="0" borderId="39" xfId="0" applyNumberFormat="1" applyFont="1" applyBorder="1" applyAlignment="1">
      <alignment horizontal="center"/>
    </xf>
    <xf numFmtId="9" fontId="3" fillId="0" borderId="40" xfId="0" applyNumberFormat="1" applyFont="1" applyBorder="1" applyAlignment="1">
      <alignment horizontal="center"/>
    </xf>
    <xf numFmtId="9" fontId="3" fillId="0" borderId="38" xfId="0" applyNumberFormat="1" applyFont="1" applyBorder="1" applyAlignment="1">
      <alignment horizontal="center"/>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3" fillId="0" borderId="9" xfId="0" applyFont="1" applyBorder="1" applyAlignment="1">
      <alignment horizontal="center"/>
    </xf>
    <xf numFmtId="0" fontId="3" fillId="0" borderId="26" xfId="0" applyFont="1" applyBorder="1" applyAlignment="1">
      <alignment horizontal="center"/>
    </xf>
    <xf numFmtId="0" fontId="3" fillId="0" borderId="10" xfId="0" applyFont="1" applyBorder="1" applyAlignment="1">
      <alignment horizontal="center"/>
    </xf>
    <xf numFmtId="0" fontId="3" fillId="0" borderId="27" xfId="0" applyFont="1" applyBorder="1" applyAlignment="1">
      <alignment horizontal="center"/>
    </xf>
    <xf numFmtId="0" fontId="2" fillId="2" borderId="3" xfId="0" applyFont="1" applyFill="1" applyBorder="1" applyAlignment="1">
      <alignment horizontal="right"/>
    </xf>
    <xf numFmtId="0" fontId="2" fillId="2" borderId="9" xfId="0" applyFont="1" applyFill="1" applyBorder="1" applyAlignment="1">
      <alignment horizontal="right"/>
    </xf>
    <xf numFmtId="0" fontId="2" fillId="2" borderId="4" xfId="0" applyFont="1" applyFill="1" applyBorder="1" applyAlignment="1">
      <alignment horizontal="right"/>
    </xf>
    <xf numFmtId="0" fontId="2" fillId="2" borderId="10" xfId="0" applyFont="1" applyFill="1" applyBorder="1" applyAlignment="1">
      <alignment horizontal="right"/>
    </xf>
    <xf numFmtId="0" fontId="7" fillId="12" borderId="9" xfId="0" applyFont="1" applyFill="1" applyBorder="1" applyAlignment="1">
      <alignment horizontal="center" vertical="center"/>
    </xf>
    <xf numFmtId="0" fontId="28" fillId="10" borderId="42" xfId="0" applyFont="1" applyFill="1" applyBorder="1" applyAlignment="1">
      <alignment horizontal="center" vertical="top" wrapText="1"/>
    </xf>
    <xf numFmtId="0" fontId="28" fillId="10" borderId="22" xfId="0" applyFont="1" applyFill="1" applyBorder="1" applyAlignment="1">
      <alignment horizontal="center" vertical="top" wrapText="1"/>
    </xf>
    <xf numFmtId="0" fontId="18" fillId="0" borderId="60" xfId="0" applyFont="1" applyBorder="1" applyAlignment="1">
      <alignment horizontal="left" vertical="top" indent="1"/>
    </xf>
    <xf numFmtId="164" fontId="2" fillId="3" borderId="9" xfId="2" applyNumberFormat="1" applyFont="1" applyFill="1" applyBorder="1" applyAlignment="1">
      <alignment horizontal="center" vertical="center"/>
    </xf>
    <xf numFmtId="164" fontId="2" fillId="3" borderId="67" xfId="2" applyNumberFormat="1" applyFont="1" applyFill="1" applyBorder="1" applyAlignment="1">
      <alignment horizontal="center" vertical="center"/>
    </xf>
    <xf numFmtId="164" fontId="2" fillId="4" borderId="9" xfId="2" applyNumberFormat="1" applyFont="1" applyFill="1" applyBorder="1" applyAlignment="1">
      <alignment horizontal="center" vertical="center"/>
    </xf>
    <xf numFmtId="0" fontId="28" fillId="10" borderId="0" xfId="0" applyFont="1" applyFill="1" applyAlignment="1">
      <alignment horizontal="center" vertical="top" wrapText="1"/>
    </xf>
    <xf numFmtId="0" fontId="3" fillId="0" borderId="6" xfId="0" applyFont="1" applyBorder="1" applyAlignment="1">
      <alignment horizontal="center"/>
    </xf>
    <xf numFmtId="0" fontId="3" fillId="0" borderId="7" xfId="0" applyFont="1" applyBorder="1" applyAlignment="1">
      <alignment horizontal="center"/>
    </xf>
    <xf numFmtId="0" fontId="2" fillId="2" borderId="5" xfId="0" applyFont="1" applyFill="1" applyBorder="1" applyAlignment="1">
      <alignment horizontal="right"/>
    </xf>
    <xf numFmtId="0" fontId="2" fillId="2" borderId="6" xfId="0" applyFont="1" applyFill="1" applyBorder="1" applyAlignment="1">
      <alignment horizontal="right"/>
    </xf>
    <xf numFmtId="0" fontId="28" fillId="10" borderId="18" xfId="0" applyFont="1" applyFill="1" applyBorder="1" applyAlignment="1">
      <alignment horizontal="center" vertical="top" wrapText="1"/>
    </xf>
    <xf numFmtId="9" fontId="3" fillId="0" borderId="10" xfId="0" applyNumberFormat="1" applyFont="1" applyBorder="1" applyAlignment="1">
      <alignment horizontal="center"/>
    </xf>
    <xf numFmtId="9" fontId="3" fillId="0" borderId="27" xfId="0" applyNumberFormat="1" applyFont="1" applyBorder="1" applyAlignment="1">
      <alignment horizontal="center"/>
    </xf>
    <xf numFmtId="0" fontId="62" fillId="10" borderId="0" xfId="0" applyFont="1" applyFill="1" applyAlignment="1">
      <alignment horizontal="center"/>
    </xf>
    <xf numFmtId="0" fontId="36" fillId="11" borderId="13" xfId="0" applyFont="1" applyFill="1" applyBorder="1" applyAlignment="1">
      <alignment horizontal="center" vertical="center"/>
    </xf>
    <xf numFmtId="0" fontId="36" fillId="11" borderId="11" xfId="0" applyFont="1" applyFill="1" applyBorder="1" applyAlignment="1">
      <alignment horizontal="center" vertical="center"/>
    </xf>
    <xf numFmtId="0" fontId="36"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3" fillId="7" borderId="41" xfId="0" applyNumberFormat="1" applyFont="1" applyFill="1" applyBorder="1" applyAlignment="1">
      <alignment horizontal="center"/>
    </xf>
    <xf numFmtId="43" fontId="3" fillId="7" borderId="42" xfId="0" applyNumberFormat="1" applyFont="1" applyFill="1" applyBorder="1" applyAlignment="1">
      <alignment horizontal="center"/>
    </xf>
    <xf numFmtId="43" fontId="3" fillId="7" borderId="50" xfId="0" applyNumberFormat="1" applyFont="1" applyFill="1" applyBorder="1" applyAlignment="1">
      <alignment horizontal="center"/>
    </xf>
    <xf numFmtId="0" fontId="3" fillId="0" borderId="0" xfId="0" applyFont="1" applyAlignment="1">
      <alignment horizontal="center"/>
    </xf>
    <xf numFmtId="0" fontId="20"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1"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5" fillId="0" borderId="22" xfId="0" applyFont="1" applyBorder="1" applyAlignment="1">
      <alignment horizontal="center"/>
    </xf>
    <xf numFmtId="0" fontId="8" fillId="30" borderId="0" xfId="0" applyFont="1" applyFill="1" applyAlignment="1">
      <alignment horizontal="center"/>
    </xf>
    <xf numFmtId="0" fontId="2" fillId="28" borderId="13" xfId="0" applyFont="1" applyFill="1" applyBorder="1" applyAlignment="1">
      <alignment horizontal="center"/>
    </xf>
    <xf numFmtId="0" fontId="2" fillId="28" borderId="11" xfId="0" applyFont="1" applyFill="1" applyBorder="1" applyAlignment="1">
      <alignment horizontal="center"/>
    </xf>
    <xf numFmtId="0" fontId="2" fillId="28" borderId="28" xfId="0" applyFont="1" applyFill="1" applyBorder="1" applyAlignment="1">
      <alignment horizontal="center"/>
    </xf>
    <xf numFmtId="0" fontId="5" fillId="23" borderId="56" xfId="0" applyFont="1" applyFill="1" applyBorder="1" applyAlignment="1">
      <alignment horizontal="center"/>
    </xf>
    <xf numFmtId="0" fontId="5" fillId="23" borderId="60" xfId="0" applyFont="1" applyFill="1" applyBorder="1" applyAlignment="1">
      <alignment horizontal="center"/>
    </xf>
    <xf numFmtId="0" fontId="5" fillId="23" borderId="57" xfId="0" applyFont="1" applyFill="1" applyBorder="1" applyAlignment="1">
      <alignment horizontal="center"/>
    </xf>
    <xf numFmtId="0" fontId="0" fillId="0" borderId="2" xfId="0" applyBorder="1" applyAlignment="1">
      <alignment horizontal="left"/>
    </xf>
    <xf numFmtId="0" fontId="0" fillId="0" borderId="0" xfId="0" applyAlignment="1">
      <alignment horizontal="left"/>
    </xf>
    <xf numFmtId="0" fontId="2" fillId="24" borderId="13" xfId="0" applyFont="1" applyFill="1" applyBorder="1" applyAlignment="1">
      <alignment horizontal="center"/>
    </xf>
    <xf numFmtId="0" fontId="2" fillId="24" borderId="11" xfId="0" applyFont="1" applyFill="1" applyBorder="1" applyAlignment="1">
      <alignment horizontal="center"/>
    </xf>
    <xf numFmtId="0" fontId="57" fillId="24" borderId="0" xfId="0" applyFont="1" applyFill="1" applyAlignment="1">
      <alignment horizontal="center"/>
    </xf>
    <xf numFmtId="0" fontId="0" fillId="20" borderId="0" xfId="0" applyFill="1" applyAlignment="1">
      <alignment horizontal="center"/>
    </xf>
    <xf numFmtId="0" fontId="57" fillId="23" borderId="13" xfId="0" applyFont="1" applyFill="1" applyBorder="1" applyAlignment="1">
      <alignment horizontal="center"/>
    </xf>
    <xf numFmtId="0" fontId="57" fillId="23" borderId="11" xfId="0" applyFont="1" applyFill="1" applyBorder="1" applyAlignment="1">
      <alignment horizontal="center"/>
    </xf>
    <xf numFmtId="0" fontId="57" fillId="23" borderId="28"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0" fillId="0" borderId="0" xfId="0" quotePrefix="1" applyAlignment="1">
      <alignment horizontal="left"/>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2" fillId="23" borderId="56" xfId="0" applyFont="1" applyFill="1" applyBorder="1" applyAlignment="1">
      <alignment horizontal="center"/>
    </xf>
    <xf numFmtId="0" fontId="2" fillId="23" borderId="60" xfId="0" applyFont="1" applyFill="1" applyBorder="1" applyAlignment="1">
      <alignment horizontal="center"/>
    </xf>
    <xf numFmtId="0" fontId="2" fillId="23" borderId="57" xfId="0" applyFont="1" applyFill="1" applyBorder="1" applyAlignment="1">
      <alignment horizontal="center"/>
    </xf>
    <xf numFmtId="0" fontId="2" fillId="28" borderId="15" xfId="0" applyFont="1" applyFill="1" applyBorder="1" applyAlignment="1">
      <alignment horizontal="center"/>
    </xf>
    <xf numFmtId="0" fontId="2" fillId="28" borderId="2" xfId="0" applyFont="1" applyFill="1" applyBorder="1" applyAlignment="1">
      <alignment horizontal="center"/>
    </xf>
    <xf numFmtId="0" fontId="2" fillId="28" borderId="30" xfId="0" applyFont="1" applyFill="1" applyBorder="1" applyAlignment="1">
      <alignment horizontal="center"/>
    </xf>
    <xf numFmtId="0" fontId="2" fillId="24" borderId="28" xfId="0" applyFont="1" applyFill="1" applyBorder="1" applyAlignment="1">
      <alignment horizontal="center"/>
    </xf>
    <xf numFmtId="0" fontId="2" fillId="0" borderId="62" xfId="0" applyFont="1" applyBorder="1" applyAlignment="1">
      <alignment horizontal="right" indent="1"/>
    </xf>
    <xf numFmtId="0" fontId="2" fillId="0" borderId="63" xfId="0" applyFont="1" applyBorder="1" applyAlignment="1">
      <alignment horizontal="right" indent="1"/>
    </xf>
    <xf numFmtId="0" fontId="2" fillId="0" borderId="53" xfId="0" applyFont="1" applyBorder="1" applyAlignment="1">
      <alignment horizontal="right" indent="1"/>
    </xf>
    <xf numFmtId="165" fontId="2" fillId="0" borderId="62" xfId="1" applyNumberFormat="1" applyFont="1" applyBorder="1" applyAlignment="1">
      <alignment horizontal="center"/>
    </xf>
    <xf numFmtId="165" fontId="2" fillId="0" borderId="63" xfId="1" applyNumberFormat="1" applyFont="1" applyBorder="1" applyAlignment="1">
      <alignment horizontal="center"/>
    </xf>
    <xf numFmtId="0" fontId="2" fillId="0" borderId="61" xfId="0" applyFont="1" applyBorder="1"/>
    <xf numFmtId="0" fontId="2" fillId="0" borderId="2" xfId="0" applyFont="1" applyBorder="1"/>
    <xf numFmtId="0" fontId="2" fillId="0" borderId="59" xfId="0" applyFont="1" applyBorder="1"/>
    <xf numFmtId="0" fontId="2"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2" fillId="0" borderId="14" xfId="0" applyFont="1" applyBorder="1" applyAlignment="1">
      <alignment horizontal="right"/>
    </xf>
    <xf numFmtId="0" fontId="2"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6" fillId="15" borderId="55" xfId="0" applyFont="1" applyFill="1" applyBorder="1" applyAlignment="1">
      <alignment horizontal="center"/>
    </xf>
    <xf numFmtId="0" fontId="36" fillId="15" borderId="22" xfId="0" applyFont="1" applyFill="1" applyBorder="1" applyAlignment="1">
      <alignment horizontal="center"/>
    </xf>
    <xf numFmtId="0" fontId="36" fillId="15" borderId="76" xfId="0" applyFont="1" applyFill="1" applyBorder="1" applyAlignment="1">
      <alignment horizontal="center"/>
    </xf>
    <xf numFmtId="10" fontId="0" fillId="10" borderId="22" xfId="0" applyNumberFormat="1" applyFill="1" applyBorder="1" applyAlignment="1">
      <alignment horizontal="right"/>
    </xf>
    <xf numFmtId="0" fontId="2" fillId="0" borderId="71" xfId="0" applyFont="1" applyBorder="1" applyAlignment="1">
      <alignment horizontal="center"/>
    </xf>
    <xf numFmtId="0" fontId="2" fillId="0" borderId="18" xfId="0" applyFont="1" applyBorder="1" applyAlignment="1">
      <alignment horizontal="center"/>
    </xf>
    <xf numFmtId="0" fontId="2" fillId="0" borderId="72" xfId="0" applyFont="1" applyBorder="1" applyAlignment="1">
      <alignment horizontal="center"/>
    </xf>
    <xf numFmtId="0" fontId="0" fillId="0" borderId="0" xfId="0" applyAlignment="1">
      <alignment horizontal="center"/>
    </xf>
    <xf numFmtId="0" fontId="40"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2" fillId="0" borderId="22" xfId="0" applyFont="1" applyBorder="1" applyAlignment="1">
      <alignment horizontal="left"/>
    </xf>
    <xf numFmtId="0" fontId="0" fillId="0" borderId="14" xfId="0" applyBorder="1" applyAlignment="1">
      <alignment horizontal="right"/>
    </xf>
    <xf numFmtId="0" fontId="0" fillId="10" borderId="22" xfId="0" applyFill="1" applyBorder="1" applyAlignment="1">
      <alignment horizontal="left"/>
    </xf>
    <xf numFmtId="0" fontId="0" fillId="3" borderId="14" xfId="0" applyFill="1"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6" fillId="15" borderId="65" xfId="0" applyFont="1" applyFill="1" applyBorder="1" applyAlignment="1">
      <alignment horizontal="center"/>
    </xf>
    <xf numFmtId="0" fontId="36" fillId="15" borderId="42" xfId="0" applyFont="1" applyFill="1" applyBorder="1" applyAlignment="1">
      <alignment horizontal="center"/>
    </xf>
    <xf numFmtId="0" fontId="36" fillId="15" borderId="37" xfId="0" applyFont="1" applyFill="1" applyBorder="1" applyAlignment="1">
      <alignment horizontal="center"/>
    </xf>
    <xf numFmtId="0" fontId="45" fillId="0" borderId="0" xfId="0" applyFont="1" applyAlignment="1">
      <alignment horizontal="center"/>
    </xf>
    <xf numFmtId="14" fontId="0" fillId="10" borderId="22" xfId="0" applyNumberFormat="1" applyFill="1" applyBorder="1" applyAlignment="1">
      <alignment horizontal="left"/>
    </xf>
    <xf numFmtId="0" fontId="3" fillId="9" borderId="0" xfId="0" applyFont="1" applyFill="1" applyAlignment="1">
      <alignment horizontal="left"/>
    </xf>
    <xf numFmtId="0" fontId="9" fillId="3" borderId="14" xfId="0" applyFont="1" applyFill="1" applyBorder="1" applyAlignment="1">
      <alignment horizontal="right"/>
    </xf>
    <xf numFmtId="0" fontId="9"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8" fillId="3" borderId="56" xfId="0" applyFont="1" applyFill="1" applyBorder="1" applyAlignment="1">
      <alignment horizontal="left" indent="1"/>
    </xf>
    <xf numFmtId="0" fontId="8" fillId="3" borderId="60" xfId="0" applyFont="1" applyFill="1" applyBorder="1" applyAlignment="1">
      <alignment horizontal="left" indent="1"/>
    </xf>
    <xf numFmtId="0" fontId="46" fillId="0" borderId="14" xfId="0" applyFont="1" applyBorder="1" applyAlignment="1">
      <alignment horizontal="center"/>
    </xf>
    <xf numFmtId="0" fontId="46" fillId="0" borderId="0" xfId="0" applyFont="1" applyAlignment="1">
      <alignment horizontal="center"/>
    </xf>
    <xf numFmtId="0" fontId="46"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8"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8"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8"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2" fillId="13" borderId="14" xfId="0" applyFont="1" applyFill="1" applyBorder="1" applyAlignment="1">
      <alignment horizontal="center"/>
    </xf>
    <xf numFmtId="0" fontId="2" fillId="13" borderId="29" xfId="0" applyFont="1" applyFill="1" applyBorder="1" applyAlignment="1">
      <alignment horizontal="center"/>
    </xf>
    <xf numFmtId="0" fontId="5" fillId="3" borderId="13" xfId="0" applyFont="1" applyFill="1" applyBorder="1" applyAlignment="1">
      <alignment horizontal="center"/>
    </xf>
    <xf numFmtId="0" fontId="5"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93">
    <dxf>
      <fill>
        <patternFill>
          <bgColor rgb="FFFF9B9B"/>
        </patternFill>
      </fill>
    </dxf>
    <dxf>
      <font>
        <b/>
        <i val="0"/>
      </font>
      <fill>
        <patternFill>
          <bgColor rgb="FFFF0000"/>
        </patternFill>
      </fill>
    </dxf>
    <dxf>
      <fill>
        <patternFill>
          <bgColor rgb="FFFFFF00"/>
        </patternFill>
      </fill>
    </dxf>
    <dxf>
      <font>
        <color theme="0"/>
      </font>
    </dxf>
    <dxf>
      <font>
        <strike/>
      </font>
    </dxf>
    <dxf>
      <font>
        <color theme="1"/>
      </font>
      <fill>
        <patternFill>
          <bgColor theme="4" tint="0.39994506668294322"/>
        </patternFill>
      </fill>
    </dxf>
    <dxf>
      <font>
        <strike/>
      </font>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strike/>
      </font>
    </dxf>
    <dxf>
      <font>
        <color theme="0" tint="-0.499984740745262"/>
      </font>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s>
  <tableStyles count="0" defaultTableStyle="TableStyleMedium2" defaultPivotStyle="PivotStyleLight16"/>
  <colors>
    <mruColors>
      <color rgb="FFFFCCCC"/>
      <color rgb="FFCF4520"/>
      <color rgb="FF9C0006"/>
      <color rgb="FFFFC7CE"/>
      <color rgb="FFE2AC00"/>
      <color rgb="FFFF9B9B"/>
      <color rgb="FFF4B084"/>
      <color rgb="FFFF0000"/>
      <color rgb="FFFF6699"/>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1.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7620</xdr:colOff>
      <xdr:row>19</xdr:row>
      <xdr:rowOff>103216</xdr:rowOff>
    </xdr:from>
    <xdr:to>
      <xdr:col>2</xdr:col>
      <xdr:colOff>426720</xdr:colOff>
      <xdr:row>20</xdr:row>
      <xdr:rowOff>99059</xdr:rowOff>
    </xdr:to>
    <xdr:sp macro="[0]!ClearWelcome"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236220" y="2404456"/>
          <a:ext cx="1295400" cy="33874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3</xdr:col>
      <xdr:colOff>998220</xdr:colOff>
      <xdr:row>19</xdr:row>
      <xdr:rowOff>99060</xdr:rowOff>
    </xdr:from>
    <xdr:to>
      <xdr:col>4</xdr:col>
      <xdr:colOff>868680</xdr:colOff>
      <xdr:row>20</xdr:row>
      <xdr:rowOff>94903</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261360" y="2400300"/>
          <a:ext cx="1287780" cy="33874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80</xdr:row>
      <xdr:rowOff>142875</xdr:rowOff>
    </xdr:from>
    <xdr:to>
      <xdr:col>8</xdr:col>
      <xdr:colOff>1733551</xdr:colOff>
      <xdr:row>80</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80</xdr:row>
      <xdr:rowOff>142875</xdr:rowOff>
    </xdr:from>
    <xdr:to>
      <xdr:col>13</xdr:col>
      <xdr:colOff>542924</xdr:colOff>
      <xdr:row>80</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80</xdr:row>
      <xdr:rowOff>142876</xdr:rowOff>
    </xdr:from>
    <xdr:to>
      <xdr:col>3</xdr:col>
      <xdr:colOff>1169246</xdr:colOff>
      <xdr:row>80</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30</xdr:row>
      <xdr:rowOff>57150</xdr:rowOff>
    </xdr:from>
    <xdr:to>
      <xdr:col>3</xdr:col>
      <xdr:colOff>1121621</xdr:colOff>
      <xdr:row>30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30</xdr:row>
      <xdr:rowOff>57149</xdr:rowOff>
    </xdr:from>
    <xdr:to>
      <xdr:col>10</xdr:col>
      <xdr:colOff>282536</xdr:colOff>
      <xdr:row>30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658100" y="7524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4800" y="7524750"/>
          <a:ext cx="1190625"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343400" y="7981950"/>
          <a:ext cx="1343025"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28</xdr:row>
      <xdr:rowOff>129540</xdr:rowOff>
    </xdr:from>
    <xdr:to>
      <xdr:col>6</xdr:col>
      <xdr:colOff>838199</xdr:colOff>
      <xdr:row>30</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28</xdr:row>
      <xdr:rowOff>129540</xdr:rowOff>
    </xdr:from>
    <xdr:to>
      <xdr:col>9</xdr:col>
      <xdr:colOff>624840</xdr:colOff>
      <xdr:row>30</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28</xdr:row>
      <xdr:rowOff>129540</xdr:rowOff>
    </xdr:from>
    <xdr:to>
      <xdr:col>4</xdr:col>
      <xdr:colOff>741045</xdr:colOff>
      <xdr:row>30</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535FEEA-3577-43DE-89C0-9EA66A968536}"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36A878D4-56B9-4451-A9C0-3ED97369B4C8}"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Variable Delivery Cost"/>
      <queryTableField id="4" name="Variable Selling Cost"/>
      <queryTableField id="5" name="Variable Warehouse Cost"/>
      <queryTableField id="6" name="DROPS"/>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DF7E23DB-020D-486F-B795-303B9FA4DD84}"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228B4F85-2616-4B5A-88DB-AA1FC99CC952}"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198CC70A-D37E-480C-BCE6-EFE34A65B6E4}"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SUM(&quot;VARIABLE DELIVERY COST PER CASE&quot;)"/>
      <queryTableField id="9" name="SUM(&quot;VARIABLE WAREHOUSE COST PER CASE&quot;)"/>
      <queryTableField id="10" name="SUM(&quot;VARIABLE SELLING COST PER CASE&quot;)"/>
      <queryTableField id="11" name="Total Variable Cost Per Case"/>
      <queryTableField id="12" name="Other GP Per Case"/>
      <queryTableField id="13" name="CM Per Cas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09EB9593-7385-4F36-B217-D289DE4FD814}"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5CE8386E-F26F-43D4-94A1-F8AC46594519}"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68B625D2-3A2C-4360-B8DA-782BB1368AA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9.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21.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22.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pageSetUpPr fitToPage="1"/>
  </sheetPr>
  <dimension ref="A1:E67"/>
  <sheetViews>
    <sheetView zoomScaleNormal="100" workbookViewId="0">
      <selection activeCell="M6" sqref="M6"/>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872" t="s">
        <v>799</v>
      </c>
      <c r="B1" s="872"/>
      <c r="C1" s="872"/>
      <c r="D1" s="872"/>
      <c r="E1" s="872"/>
    </row>
    <row r="2" spans="1:5" x14ac:dyDescent="0.25">
      <c r="A2" s="872" t="s">
        <v>800</v>
      </c>
      <c r="B2" s="872"/>
      <c r="C2" s="872"/>
      <c r="D2" s="872"/>
      <c r="E2" s="872"/>
    </row>
    <row r="3" spans="1:5" x14ac:dyDescent="0.25">
      <c r="A3" s="78"/>
    </row>
    <row r="4" spans="1:5" ht="78" customHeight="1" x14ac:dyDescent="0.25">
      <c r="A4" s="890" t="s">
        <v>801</v>
      </c>
      <c r="B4" s="890"/>
      <c r="C4" s="890"/>
      <c r="D4" s="890"/>
      <c r="E4" s="890"/>
    </row>
    <row r="5" spans="1:5" x14ac:dyDescent="0.25">
      <c r="A5" s="78"/>
    </row>
    <row r="6" spans="1:5" ht="31.5" customHeight="1" x14ac:dyDescent="0.25">
      <c r="A6" s="889" t="s">
        <v>802</v>
      </c>
      <c r="B6" s="889"/>
      <c r="C6" s="889"/>
      <c r="D6" s="889"/>
      <c r="E6" s="889"/>
    </row>
    <row r="7" spans="1:5" ht="15.75" thickBot="1" x14ac:dyDescent="0.3">
      <c r="A7" s="79"/>
    </row>
    <row r="8" spans="1:5" ht="15" customHeight="1" x14ac:dyDescent="0.25">
      <c r="A8" s="883" t="s">
        <v>803</v>
      </c>
      <c r="B8" s="884"/>
      <c r="C8" s="884"/>
      <c r="D8" s="884"/>
      <c r="E8" s="885"/>
    </row>
    <row r="9" spans="1:5" ht="15" customHeight="1" thickBot="1" x14ac:dyDescent="0.3">
      <c r="A9" s="886" t="s">
        <v>804</v>
      </c>
      <c r="B9" s="887"/>
      <c r="C9" s="887"/>
      <c r="D9" s="887"/>
      <c r="E9" s="888"/>
    </row>
    <row r="10" spans="1:5" x14ac:dyDescent="0.25">
      <c r="A10" s="80"/>
      <c r="B10" s="880"/>
      <c r="C10" s="880"/>
      <c r="D10" s="84"/>
    </row>
    <row r="11" spans="1:5" ht="15.75" thickBot="1" x14ac:dyDescent="0.3">
      <c r="A11" s="82" t="s">
        <v>805</v>
      </c>
      <c r="B11" s="881" t="s">
        <v>806</v>
      </c>
      <c r="C11" s="881"/>
      <c r="D11" s="84">
        <f>Welcome!$D$4</f>
        <v>0</v>
      </c>
    </row>
    <row r="12" spans="1:5" ht="15.75" thickBot="1" x14ac:dyDescent="0.3">
      <c r="A12" s="82" t="s">
        <v>807</v>
      </c>
      <c r="B12" s="882">
        <f>'MDA Worksheet'!$R$18</f>
        <v>0</v>
      </c>
      <c r="C12" s="882"/>
      <c r="D12" s="80"/>
    </row>
    <row r="13" spans="1:5" x14ac:dyDescent="0.25">
      <c r="A13" s="82"/>
      <c r="B13" s="80"/>
      <c r="C13" s="81"/>
      <c r="D13" s="80"/>
    </row>
    <row r="14" spans="1:5" ht="30.75" thickBot="1" x14ac:dyDescent="0.3">
      <c r="A14" s="82" t="s">
        <v>808</v>
      </c>
      <c r="B14" s="139">
        <f>'MDA Worksheet'!$R$24</f>
        <v>0</v>
      </c>
      <c r="C14" s="80" t="s">
        <v>809</v>
      </c>
      <c r="D14" s="140" t="str">
        <f>Welcome!$D$8&amp;" Years"</f>
        <v>Select Term Years</v>
      </c>
    </row>
    <row r="15" spans="1:5" ht="15.75" thickBot="1" x14ac:dyDescent="0.3">
      <c r="A15" s="82" t="s">
        <v>810</v>
      </c>
      <c r="B15" s="127">
        <f>'MDA Worksheet'!$R$24</f>
        <v>0</v>
      </c>
      <c r="C15" s="80" t="s">
        <v>811</v>
      </c>
      <c r="D15" s="127" t="e">
        <f>'MDA Worksheet'!$AV$24</f>
        <v>#VALUE!</v>
      </c>
    </row>
    <row r="16" spans="1:5" x14ac:dyDescent="0.25">
      <c r="A16" s="80"/>
      <c r="B16" s="123"/>
      <c r="C16" s="80"/>
      <c r="D16" s="123"/>
    </row>
    <row r="17" spans="1:5" ht="15.75" thickBot="1" x14ac:dyDescent="0.3">
      <c r="A17" s="82" t="s">
        <v>812</v>
      </c>
      <c r="B17" s="879"/>
      <c r="C17" s="879"/>
      <c r="D17" s="879"/>
      <c r="E17" s="879"/>
    </row>
    <row r="18" spans="1:5" x14ac:dyDescent="0.25">
      <c r="A18" s="80"/>
      <c r="B18" s="123"/>
      <c r="C18" s="80"/>
      <c r="D18" s="123"/>
    </row>
    <row r="19" spans="1:5" ht="15.75" thickBot="1" x14ac:dyDescent="0.3">
      <c r="A19" s="82" t="s">
        <v>885</v>
      </c>
      <c r="B19" s="879" t="str">
        <f>Welcome!$D$6</f>
        <v>Select Deal Type</v>
      </c>
      <c r="C19" s="879"/>
      <c r="D19" s="879"/>
      <c r="E19" s="879"/>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719</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IFERROR(Incentives!$M$77*-1,0)</f>
        <v>0</v>
      </c>
      <c r="C25" s="132"/>
      <c r="D25" s="135">
        <f>IFERROR($B$25/'PIM Model'!$H$31,0)</f>
        <v>0</v>
      </c>
      <c r="E25" s="44"/>
    </row>
    <row r="26" spans="1:5" x14ac:dyDescent="0.25">
      <c r="A26" s="8" t="s">
        <v>230</v>
      </c>
      <c r="B26" s="12">
        <f>B24+B25</f>
        <v>0</v>
      </c>
      <c r="C26" s="39"/>
      <c r="D26" s="135">
        <f>IFERROR($B$26/'PIM Model'!$H$31,0)</f>
        <v>0</v>
      </c>
      <c r="E26" s="44"/>
    </row>
    <row r="27" spans="1:5" x14ac:dyDescent="0.25">
      <c r="A27" s="44"/>
      <c r="B27" s="44"/>
      <c r="C27" s="44"/>
      <c r="D27" s="136"/>
      <c r="E27" s="44"/>
    </row>
    <row r="28" spans="1:5" x14ac:dyDescent="0.25">
      <c r="A28" s="16" t="s">
        <v>884</v>
      </c>
      <c r="B28" s="13">
        <f>IFERROR('Variable Costs &amp; Income'!$E$17*-1,0)</f>
        <v>0</v>
      </c>
      <c r="C28" s="40"/>
      <c r="D28" s="135">
        <f>IFERROR($B$28/'PIM Model'!$H$31,0)</f>
        <v>0</v>
      </c>
      <c r="E28" s="44"/>
    </row>
    <row r="29" spans="1:5" x14ac:dyDescent="0.25">
      <c r="A29" s="16" t="s">
        <v>231</v>
      </c>
      <c r="B29" s="12">
        <f>IFERROR('Tracking &amp; Profitability'!$E$17,0)</f>
        <v>0</v>
      </c>
      <c r="C29" s="39"/>
      <c r="D29" s="135">
        <f>IFERROR($B$29/'PIM Model'!$H$31,0)</f>
        <v>0</v>
      </c>
      <c r="E29" s="44"/>
    </row>
    <row r="30" spans="1:5" x14ac:dyDescent="0.25">
      <c r="A30" s="17" t="s">
        <v>228</v>
      </c>
      <c r="B30" s="12">
        <f>IFERROR('Variable Costs &amp; Income'!$E$27,0)</f>
        <v>0</v>
      </c>
      <c r="C30" s="39"/>
      <c r="D30" s="135">
        <f>IFERROR($B$30/'PIM Model'!$H$31,0)</f>
        <v>0</v>
      </c>
      <c r="E30" s="44"/>
    </row>
    <row r="31" spans="1:5" x14ac:dyDescent="0.25">
      <c r="A31" s="17" t="s">
        <v>227</v>
      </c>
      <c r="B31" s="12">
        <f>'Variable Costs &amp; Income'!$E$28</f>
        <v>0</v>
      </c>
      <c r="C31" s="39"/>
      <c r="D31" s="135">
        <f>IFERROR($B$31/'PIM Model'!$H$31,0)</f>
        <v>0</v>
      </c>
      <c r="E31" s="44"/>
    </row>
    <row r="32" spans="1:5" x14ac:dyDescent="0.25">
      <c r="A32" s="124"/>
      <c r="B32" s="124"/>
      <c r="C32" s="37"/>
      <c r="D32" s="137"/>
      <c r="E32" s="44"/>
    </row>
    <row r="33" spans="1:5" x14ac:dyDescent="0.25">
      <c r="A33" s="8" t="s">
        <v>214</v>
      </c>
      <c r="B33" s="12">
        <f>IFERROR(B26+B28+B29+B30+B31,"")</f>
        <v>0</v>
      </c>
      <c r="C33" s="39"/>
      <c r="D33" s="135">
        <f>IFERROR($B$33/'PIM Model'!$H$31,0)</f>
        <v>0</v>
      </c>
      <c r="E33" s="44"/>
    </row>
    <row r="34" spans="1:5" x14ac:dyDescent="0.25">
      <c r="A34" s="8" t="s">
        <v>886</v>
      </c>
      <c r="B34" s="12">
        <f>IFERROR($B$33/('Tracking &amp; Profitability'!E7*52),0)</f>
        <v>0</v>
      </c>
      <c r="C34" s="44"/>
      <c r="D34" s="44"/>
      <c r="E34" s="44"/>
    </row>
    <row r="35" spans="1:5" x14ac:dyDescent="0.25">
      <c r="A35" s="8" t="s">
        <v>923</v>
      </c>
      <c r="B35" s="138">
        <f>IFERROR(B33/B23,0)</f>
        <v>0</v>
      </c>
      <c r="C35" s="44"/>
      <c r="D35" s="44"/>
      <c r="E35" s="44"/>
    </row>
    <row r="36" spans="1:5" x14ac:dyDescent="0.25">
      <c r="A36" s="125"/>
      <c r="B36" s="44"/>
      <c r="C36" s="44"/>
      <c r="D36" s="129"/>
      <c r="E36" s="44"/>
    </row>
    <row r="37" spans="1:5" x14ac:dyDescent="0.25">
      <c r="A37" s="8" t="s">
        <v>813</v>
      </c>
      <c r="B37" s="12">
        <f>Incentives!$K$58</f>
        <v>0</v>
      </c>
      <c r="C37" s="44"/>
      <c r="D37" s="44"/>
      <c r="E37" s="44"/>
    </row>
    <row r="38" spans="1:5" x14ac:dyDescent="0.25">
      <c r="A38" s="8" t="s">
        <v>814</v>
      </c>
      <c r="B38" s="12">
        <f>SUM(Incentives!M17:M20)+SUM(Incentives!M28:M31)+Incentives!M39+Incentives!M50+Incentives!M66</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873" t="s">
        <v>815</v>
      </c>
      <c r="B41" s="874"/>
      <c r="C41" s="874"/>
      <c r="D41" s="874"/>
      <c r="E41" s="875"/>
    </row>
    <row r="42" spans="1:5" x14ac:dyDescent="0.25">
      <c r="A42" s="83"/>
      <c r="B42" s="84"/>
      <c r="C42" s="84"/>
      <c r="D42" s="84"/>
    </row>
    <row r="43" spans="1:5" ht="30.75" customHeight="1" thickBot="1" x14ac:dyDescent="0.3">
      <c r="A43" s="85" t="s">
        <v>816</v>
      </c>
      <c r="B43" s="315"/>
      <c r="C43" s="86" t="s">
        <v>817</v>
      </c>
      <c r="D43" s="315"/>
    </row>
    <row r="44" spans="1:5" ht="30.75" customHeight="1" thickBot="1" x14ac:dyDescent="0.3">
      <c r="A44" s="87" t="s">
        <v>818</v>
      </c>
      <c r="B44" s="315"/>
      <c r="C44" s="86" t="s">
        <v>819</v>
      </c>
      <c r="D44" s="316" t="s">
        <v>820</v>
      </c>
    </row>
    <row r="45" spans="1:5" ht="30.75" customHeight="1" thickBot="1" x14ac:dyDescent="0.3">
      <c r="A45" s="85" t="s">
        <v>821</v>
      </c>
      <c r="B45" s="315"/>
      <c r="C45" s="86" t="s">
        <v>817</v>
      </c>
      <c r="D45" s="316"/>
    </row>
    <row r="46" spans="1:5" ht="30.75" customHeight="1" thickBot="1" x14ac:dyDescent="0.3">
      <c r="A46" s="87" t="s">
        <v>818</v>
      </c>
      <c r="B46" s="315"/>
      <c r="C46" s="86" t="s">
        <v>819</v>
      </c>
      <c r="D46" s="316" t="s">
        <v>822</v>
      </c>
    </row>
    <row r="47" spans="1:5" ht="30.75" customHeight="1" thickBot="1" x14ac:dyDescent="0.3">
      <c r="A47" s="85" t="s">
        <v>823</v>
      </c>
      <c r="B47" s="315"/>
      <c r="C47" s="86" t="s">
        <v>817</v>
      </c>
      <c r="D47" s="315"/>
    </row>
    <row r="48" spans="1:5" ht="30.75" customHeight="1" thickBot="1" x14ac:dyDescent="0.3">
      <c r="A48" s="87" t="s">
        <v>818</v>
      </c>
      <c r="B48" s="316"/>
      <c r="C48" s="86" t="s">
        <v>819</v>
      </c>
      <c r="D48" s="316" t="s">
        <v>824</v>
      </c>
    </row>
    <row r="49" spans="1:5" ht="30.75" customHeight="1" thickBot="1" x14ac:dyDescent="0.3">
      <c r="A49" s="85" t="s">
        <v>825</v>
      </c>
      <c r="B49" s="316"/>
      <c r="C49" s="86" t="s">
        <v>817</v>
      </c>
      <c r="D49" s="316"/>
    </row>
    <row r="50" spans="1:5" ht="30.75" customHeight="1" thickBot="1" x14ac:dyDescent="0.3">
      <c r="A50" s="87" t="s">
        <v>818</v>
      </c>
      <c r="B50" s="316"/>
      <c r="C50" s="86" t="s">
        <v>819</v>
      </c>
      <c r="D50" s="316" t="s">
        <v>826</v>
      </c>
    </row>
    <row r="51" spans="1:5" ht="15.75" thickBot="1" x14ac:dyDescent="0.3">
      <c r="A51" s="5"/>
    </row>
    <row r="52" spans="1:5" ht="15.75" thickBot="1" x14ac:dyDescent="0.3">
      <c r="A52" s="876" t="s">
        <v>827</v>
      </c>
      <c r="B52" s="877"/>
      <c r="C52" s="877"/>
      <c r="D52" s="877"/>
      <c r="E52" s="878"/>
    </row>
    <row r="53" spans="1:5" x14ac:dyDescent="0.25">
      <c r="A53" s="83"/>
      <c r="B53" s="84"/>
      <c r="C53" s="84"/>
      <c r="D53" s="84"/>
    </row>
    <row r="54" spans="1:5" ht="30.75" customHeight="1" thickBot="1" x14ac:dyDescent="0.3">
      <c r="A54" s="85" t="s">
        <v>816</v>
      </c>
      <c r="B54" s="315"/>
      <c r="C54" s="86" t="s">
        <v>817</v>
      </c>
      <c r="D54" s="315"/>
    </row>
    <row r="55" spans="1:5" ht="30.75" customHeight="1" thickBot="1" x14ac:dyDescent="0.3">
      <c r="A55" s="87" t="s">
        <v>818</v>
      </c>
      <c r="B55" s="315"/>
      <c r="C55" s="86" t="s">
        <v>819</v>
      </c>
      <c r="D55" s="316" t="s">
        <v>828</v>
      </c>
    </row>
    <row r="56" spans="1:5" ht="30.75" customHeight="1" thickBot="1" x14ac:dyDescent="0.3">
      <c r="A56" s="85" t="s">
        <v>821</v>
      </c>
      <c r="B56" s="315"/>
      <c r="C56" s="86" t="s">
        <v>817</v>
      </c>
      <c r="D56" s="315"/>
    </row>
    <row r="57" spans="1:5" ht="30.75" customHeight="1" thickBot="1" x14ac:dyDescent="0.3">
      <c r="A57" s="87" t="s">
        <v>818</v>
      </c>
      <c r="B57" s="316"/>
      <c r="C57" s="86" t="s">
        <v>819</v>
      </c>
      <c r="D57" s="316" t="s">
        <v>829</v>
      </c>
    </row>
    <row r="58" spans="1:5" ht="15.75" thickBot="1" x14ac:dyDescent="0.3"/>
    <row r="59" spans="1:5" ht="15.75" thickBot="1" x14ac:dyDescent="0.3">
      <c r="A59" s="869" t="s">
        <v>830</v>
      </c>
      <c r="B59" s="870"/>
      <c r="C59" s="870"/>
      <c r="D59" s="870"/>
      <c r="E59" s="871"/>
    </row>
    <row r="60" spans="1:5" x14ac:dyDescent="0.25">
      <c r="A60" s="83"/>
      <c r="B60" s="84"/>
      <c r="C60" s="84"/>
      <c r="D60" s="84"/>
    </row>
    <row r="61" spans="1:5" ht="15.75" thickBot="1" x14ac:dyDescent="0.3">
      <c r="A61" s="85" t="s">
        <v>831</v>
      </c>
      <c r="B61" s="315"/>
      <c r="C61" s="86" t="s">
        <v>817</v>
      </c>
      <c r="D61" s="315"/>
    </row>
    <row r="62" spans="1:5" ht="15.75" thickBot="1" x14ac:dyDescent="0.3">
      <c r="A62" s="88" t="s">
        <v>818</v>
      </c>
      <c r="B62" s="315"/>
      <c r="C62" s="86" t="s">
        <v>819</v>
      </c>
      <c r="D62" s="315"/>
    </row>
    <row r="63" spans="1:5" ht="15.75" thickBot="1" x14ac:dyDescent="0.3">
      <c r="A63" s="5"/>
    </row>
    <row r="64" spans="1:5" ht="15.75" thickBot="1" x14ac:dyDescent="0.3">
      <c r="A64" s="869" t="s">
        <v>832</v>
      </c>
      <c r="B64" s="870"/>
      <c r="C64" s="870"/>
      <c r="D64" s="870"/>
      <c r="E64" s="871"/>
    </row>
    <row r="65" spans="1:4" x14ac:dyDescent="0.25">
      <c r="A65" s="83"/>
      <c r="B65" s="84"/>
      <c r="C65" s="84"/>
      <c r="D65" s="84"/>
    </row>
    <row r="66" spans="1:4" ht="15.75" thickBot="1" x14ac:dyDescent="0.3">
      <c r="A66" s="85" t="s">
        <v>831</v>
      </c>
      <c r="B66" s="315"/>
      <c r="C66" s="86" t="s">
        <v>817</v>
      </c>
      <c r="D66" s="315"/>
    </row>
    <row r="67" spans="1:4" ht="15.75" thickBot="1" x14ac:dyDescent="0.3">
      <c r="A67" s="88" t="s">
        <v>818</v>
      </c>
      <c r="B67" s="315"/>
      <c r="C67" s="86" t="s">
        <v>819</v>
      </c>
      <c r="D67" s="315"/>
    </row>
  </sheetData>
  <sheetProtection algorithmName="SHA-512" hashValue="MCWqaZOhkbcOyKfTqoqjSSl1lTtp19ZC3RtfL6yh8APWRa/59iUcwFF//hRN9iUUdmuOrfko1OnoxJCXafdBvQ==" saltValue="EePk04Xuy2lqwBvrb68yHA=="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fitToHeight="0" orientation="portrait" r:id="rId1"/>
  <headerFooter scaleWithDoc="0">
    <oddFooter>&amp;L&amp;P&amp;CEvidence of Authorization Form | US Foods Confidential</oddFooter>
  </headerFooter>
  <rowBreaks count="1" manualBreakCount="1">
    <brk id="40"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89"/>
  <sheetViews>
    <sheetView tabSelected="1" zoomScale="110" zoomScaleNormal="110" workbookViewId="0">
      <selection activeCell="D6" sqref="D6"/>
    </sheetView>
  </sheetViews>
  <sheetFormatPr defaultColWidth="8.85546875" defaultRowHeight="15" x14ac:dyDescent="0.25"/>
  <cols>
    <col min="1" max="1" width="3.28515625" customWidth="1"/>
    <col min="2" max="2" width="12.7109375" customWidth="1"/>
    <col min="3" max="3" width="16.85546875" customWidth="1"/>
    <col min="4" max="4" width="20.7109375" customWidth="1"/>
    <col min="5" max="5" width="12.7109375" customWidth="1"/>
    <col min="6" max="6" width="15.28515625" customWidth="1"/>
    <col min="7" max="7" width="3.28515625" customWidth="1"/>
  </cols>
  <sheetData>
    <row r="1" spans="1:29"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row>
    <row r="2" spans="1:29" ht="21" customHeight="1" x14ac:dyDescent="0.3">
      <c r="A2" s="148"/>
      <c r="B2" s="379"/>
      <c r="C2" s="405" t="s">
        <v>932</v>
      </c>
      <c r="D2" s="406"/>
      <c r="E2" s="407"/>
      <c r="F2" s="148"/>
      <c r="G2" s="141"/>
      <c r="H2" s="141"/>
      <c r="I2" s="141"/>
      <c r="J2" s="141"/>
      <c r="K2" s="141"/>
      <c r="L2" s="141"/>
      <c r="M2" s="141"/>
      <c r="N2" s="141"/>
      <c r="O2" s="141"/>
      <c r="P2" s="141"/>
      <c r="Q2" s="141"/>
      <c r="R2" s="141"/>
      <c r="S2" s="141"/>
      <c r="T2" s="141"/>
      <c r="U2" s="141"/>
      <c r="V2" s="141"/>
      <c r="W2" s="141"/>
      <c r="X2" s="141"/>
      <c r="Y2" s="141"/>
      <c r="Z2" s="141"/>
      <c r="AA2" s="141"/>
      <c r="AB2" s="141"/>
      <c r="AC2" s="141"/>
    </row>
    <row r="3" spans="1:29" ht="21.6" customHeight="1" x14ac:dyDescent="0.3">
      <c r="A3" s="148"/>
      <c r="B3" s="422"/>
      <c r="C3" s="891" t="s">
        <v>1144</v>
      </c>
      <c r="D3" s="891"/>
      <c r="E3" s="404"/>
      <c r="F3" s="148"/>
      <c r="G3" s="141"/>
      <c r="H3" s="141"/>
      <c r="I3" s="141"/>
      <c r="J3" s="141"/>
      <c r="K3" s="141"/>
      <c r="L3" s="141"/>
      <c r="M3" s="141"/>
      <c r="N3" s="141"/>
      <c r="O3" s="141"/>
      <c r="P3" s="141"/>
      <c r="Q3" s="141"/>
      <c r="R3" s="141"/>
      <c r="S3" s="141"/>
      <c r="T3" s="141"/>
      <c r="U3" s="141"/>
      <c r="V3" s="141"/>
      <c r="W3" s="141"/>
      <c r="X3" s="141"/>
      <c r="Y3" s="141"/>
      <c r="Z3" s="141"/>
      <c r="AA3" s="141"/>
      <c r="AB3" s="141"/>
      <c r="AC3" s="141"/>
    </row>
    <row r="4" spans="1:29" x14ac:dyDescent="0.25">
      <c r="A4" s="148"/>
      <c r="B4" s="423"/>
      <c r="C4" s="408" t="s">
        <v>120</v>
      </c>
      <c r="D4" s="568">
        <f>'Existing Customers'!$L$2</f>
        <v>0</v>
      </c>
      <c r="E4" s="404"/>
      <c r="F4" s="148"/>
      <c r="G4" s="141"/>
      <c r="H4" s="141"/>
      <c r="I4" s="141"/>
      <c r="J4" s="141"/>
      <c r="K4" s="141"/>
      <c r="L4" s="141"/>
      <c r="M4" s="141"/>
      <c r="N4" s="141"/>
      <c r="O4" s="141"/>
      <c r="P4" s="141"/>
      <c r="Q4" s="141"/>
      <c r="R4" s="141"/>
      <c r="S4" s="141"/>
      <c r="T4" s="141"/>
      <c r="U4" s="141"/>
      <c r="V4" s="141"/>
      <c r="W4" s="141"/>
      <c r="X4" s="141"/>
      <c r="Y4" s="141"/>
      <c r="Z4" s="141"/>
      <c r="AA4" s="141"/>
      <c r="AB4" s="141"/>
      <c r="AC4" s="141"/>
    </row>
    <row r="5" spans="1:29" ht="16.899999999999999" customHeight="1" x14ac:dyDescent="0.25">
      <c r="A5" s="148"/>
      <c r="B5" s="423"/>
      <c r="C5" s="148"/>
      <c r="D5" s="148"/>
      <c r="E5" s="404"/>
      <c r="F5" s="148"/>
      <c r="G5" s="141"/>
      <c r="H5" s="141"/>
      <c r="I5" s="141"/>
      <c r="J5" s="141"/>
      <c r="K5" s="141"/>
      <c r="L5" s="141"/>
      <c r="M5" s="141"/>
      <c r="N5" s="141"/>
      <c r="O5" s="141"/>
      <c r="P5" s="141"/>
      <c r="Q5" s="141"/>
      <c r="R5" s="141"/>
      <c r="S5" s="141"/>
      <c r="T5" s="141"/>
      <c r="U5" s="141"/>
      <c r="V5" s="141"/>
      <c r="W5" s="141"/>
      <c r="X5" s="141"/>
      <c r="Y5" s="141"/>
      <c r="Z5" s="141"/>
      <c r="AA5" s="141"/>
      <c r="AB5" s="141"/>
      <c r="AC5" s="141"/>
    </row>
    <row r="6" spans="1:29" x14ac:dyDescent="0.25">
      <c r="A6" s="148"/>
      <c r="B6" s="423"/>
      <c r="C6" s="408" t="s">
        <v>988</v>
      </c>
      <c r="D6" s="409" t="s">
        <v>469</v>
      </c>
      <c r="E6" s="404"/>
      <c r="F6" s="148"/>
      <c r="G6" s="141"/>
      <c r="H6" s="141"/>
      <c r="I6" s="141"/>
      <c r="J6" s="141"/>
      <c r="K6" s="141"/>
      <c r="L6" s="141"/>
      <c r="M6" s="141"/>
      <c r="N6" s="141"/>
      <c r="O6" s="141"/>
      <c r="P6" s="141"/>
      <c r="Q6" s="141"/>
      <c r="R6" s="141"/>
      <c r="S6" s="141"/>
      <c r="T6" s="141"/>
      <c r="U6" s="141"/>
      <c r="V6" s="141"/>
      <c r="W6" s="141"/>
      <c r="X6" s="141"/>
      <c r="Y6" s="141"/>
      <c r="Z6" s="141"/>
      <c r="AA6" s="141"/>
      <c r="AB6" s="141"/>
      <c r="AC6" s="141"/>
    </row>
    <row r="7" spans="1:29" ht="16.899999999999999" customHeight="1" x14ac:dyDescent="0.25">
      <c r="A7" s="148"/>
      <c r="B7" s="423"/>
      <c r="C7" s="148"/>
      <c r="D7" s="148"/>
      <c r="E7" s="404"/>
      <c r="F7" s="148"/>
      <c r="G7" s="141"/>
      <c r="H7" s="141"/>
      <c r="I7" s="141"/>
      <c r="J7" s="141"/>
      <c r="K7" s="141"/>
      <c r="L7" s="141"/>
      <c r="M7" s="141"/>
      <c r="N7" s="141"/>
      <c r="O7" s="141"/>
      <c r="P7" s="141"/>
      <c r="Q7" s="141"/>
      <c r="R7" s="141"/>
      <c r="S7" s="141"/>
      <c r="T7" s="141"/>
      <c r="U7" s="141"/>
      <c r="V7" s="141"/>
      <c r="W7" s="141"/>
      <c r="X7" s="141"/>
      <c r="Y7" s="141"/>
      <c r="Z7" s="141"/>
      <c r="AA7" s="141"/>
      <c r="AB7" s="141"/>
      <c r="AC7" s="141"/>
    </row>
    <row r="8" spans="1:29" x14ac:dyDescent="0.25">
      <c r="A8" s="148"/>
      <c r="B8" s="423"/>
      <c r="C8" s="408" t="s">
        <v>216</v>
      </c>
      <c r="D8" s="409" t="s">
        <v>217</v>
      </c>
      <c r="E8" s="404"/>
      <c r="F8" s="148"/>
      <c r="G8" s="141"/>
      <c r="H8" s="141"/>
      <c r="I8" s="141"/>
      <c r="J8" s="141"/>
      <c r="K8" s="141"/>
      <c r="L8" s="141"/>
      <c r="M8" s="141"/>
      <c r="N8" s="141"/>
      <c r="O8" s="141"/>
      <c r="P8" s="141"/>
      <c r="Q8" s="141"/>
      <c r="R8" s="141"/>
      <c r="S8" s="141"/>
      <c r="T8" s="141"/>
      <c r="U8" s="141"/>
      <c r="V8" s="141"/>
      <c r="W8" s="141"/>
      <c r="X8" s="141"/>
      <c r="Y8" s="141"/>
      <c r="Z8" s="141"/>
      <c r="AA8" s="141"/>
      <c r="AB8" s="141"/>
      <c r="AC8" s="141"/>
    </row>
    <row r="9" spans="1:29" ht="16.899999999999999" customHeight="1" x14ac:dyDescent="0.25">
      <c r="A9" s="148"/>
      <c r="B9" s="423"/>
      <c r="C9" s="410"/>
      <c r="D9" s="149"/>
      <c r="E9" s="404"/>
      <c r="F9" s="148"/>
      <c r="G9" s="141"/>
      <c r="H9" s="141"/>
      <c r="I9" s="141"/>
      <c r="J9" s="141"/>
      <c r="K9" s="141"/>
      <c r="L9" s="141"/>
      <c r="M9" s="141"/>
      <c r="N9" s="141"/>
      <c r="O9" s="141"/>
      <c r="P9" s="141"/>
      <c r="Q9" s="141"/>
      <c r="R9" s="141"/>
      <c r="S9" s="141"/>
      <c r="T9" s="141"/>
      <c r="U9" s="141"/>
      <c r="V9" s="141"/>
      <c r="W9" s="141"/>
      <c r="X9" s="141"/>
      <c r="Y9" s="141"/>
      <c r="Z9" s="141"/>
      <c r="AA9" s="141"/>
      <c r="AB9" s="141"/>
      <c r="AC9" s="141"/>
    </row>
    <row r="10" spans="1:29" x14ac:dyDescent="0.25">
      <c r="A10" s="148"/>
      <c r="B10" s="423"/>
      <c r="C10" s="408" t="s">
        <v>384</v>
      </c>
      <c r="D10" s="409" t="s">
        <v>470</v>
      </c>
      <c r="E10" s="404"/>
      <c r="F10" s="148"/>
      <c r="G10" s="141"/>
      <c r="H10" s="141"/>
      <c r="I10" s="141"/>
      <c r="J10" s="141"/>
      <c r="K10" s="141"/>
      <c r="L10" s="141"/>
      <c r="M10" s="141"/>
      <c r="N10" s="141"/>
      <c r="O10" s="141"/>
      <c r="P10" s="141"/>
      <c r="Q10" s="141"/>
      <c r="R10" s="141"/>
      <c r="S10" s="141"/>
      <c r="T10" s="141"/>
      <c r="U10" s="141"/>
      <c r="V10" s="141"/>
      <c r="W10" s="141"/>
      <c r="X10" s="141"/>
      <c r="Y10" s="141"/>
      <c r="Z10" s="141"/>
      <c r="AA10" s="141"/>
      <c r="AB10" s="141"/>
      <c r="AC10" s="141"/>
    </row>
    <row r="11" spans="1:29" ht="19.899999999999999" customHeight="1" thickBot="1" x14ac:dyDescent="0.3">
      <c r="A11" s="148"/>
      <c r="B11" s="412"/>
      <c r="C11" s="424"/>
      <c r="D11" s="442"/>
      <c r="E11" s="413"/>
      <c r="F11" s="148"/>
      <c r="G11" s="141"/>
      <c r="H11" s="141"/>
      <c r="I11" s="141"/>
      <c r="J11" s="141"/>
      <c r="K11" s="141"/>
      <c r="L11" s="141"/>
      <c r="M11" s="141"/>
      <c r="N11" s="141"/>
      <c r="O11" s="141"/>
      <c r="P11" s="141"/>
      <c r="Q11" s="141"/>
      <c r="R11" s="141"/>
      <c r="S11" s="141"/>
      <c r="T11" s="141"/>
      <c r="U11" s="141"/>
      <c r="V11" s="141"/>
      <c r="W11" s="141"/>
      <c r="X11" s="141"/>
      <c r="Y11" s="141"/>
      <c r="Z11" s="141"/>
      <c r="AA11" s="141"/>
      <c r="AB11" s="141"/>
      <c r="AC11" s="141"/>
    </row>
    <row r="12" spans="1:29" ht="19.899999999999999" customHeight="1" thickBot="1" x14ac:dyDescent="0.3">
      <c r="A12" s="148"/>
      <c r="B12" s="148"/>
      <c r="C12" s="410"/>
      <c r="D12" s="149"/>
      <c r="E12" s="148"/>
      <c r="F12" s="148"/>
      <c r="G12" s="141"/>
      <c r="H12" s="141"/>
      <c r="I12" s="141"/>
      <c r="J12" s="141"/>
      <c r="K12" s="141"/>
      <c r="L12" s="141"/>
      <c r="M12" s="141"/>
      <c r="N12" s="141"/>
      <c r="O12" s="141"/>
      <c r="P12" s="141"/>
      <c r="Q12" s="141"/>
      <c r="R12" s="141"/>
      <c r="S12" s="141"/>
      <c r="T12" s="141"/>
      <c r="U12" s="141"/>
      <c r="V12" s="141"/>
      <c r="W12" s="141"/>
      <c r="X12" s="141"/>
      <c r="Y12" s="141"/>
      <c r="Z12" s="141"/>
      <c r="AA12" s="141"/>
      <c r="AB12" s="141"/>
      <c r="AC12" s="141"/>
    </row>
    <row r="13" spans="1:29" ht="19.899999999999999" customHeight="1" thickBot="1" x14ac:dyDescent="0.3">
      <c r="A13" s="148"/>
      <c r="B13" s="901" t="s">
        <v>1206</v>
      </c>
      <c r="C13" s="902"/>
      <c r="D13" s="902"/>
      <c r="E13" s="903"/>
      <c r="F13" s="148"/>
      <c r="G13" s="141"/>
      <c r="H13" s="141"/>
      <c r="I13" s="141"/>
      <c r="J13" s="141"/>
      <c r="K13" s="141"/>
      <c r="L13" s="141"/>
      <c r="M13" s="141"/>
      <c r="N13" s="141"/>
      <c r="O13" s="141"/>
      <c r="P13" s="141"/>
      <c r="Q13" s="141"/>
      <c r="R13" s="141"/>
      <c r="S13" s="141"/>
      <c r="T13" s="141"/>
      <c r="U13" s="141"/>
      <c r="V13" s="141"/>
      <c r="W13" s="141"/>
      <c r="X13" s="141"/>
      <c r="Y13" s="141"/>
      <c r="Z13" s="141"/>
      <c r="AA13" s="141"/>
      <c r="AB13" s="141"/>
      <c r="AC13" s="141"/>
    </row>
    <row r="14" spans="1:29" ht="19.899999999999999" customHeight="1" x14ac:dyDescent="0.25">
      <c r="A14" s="148"/>
      <c r="B14" s="892"/>
      <c r="C14" s="893"/>
      <c r="D14" s="893"/>
      <c r="E14" s="894"/>
      <c r="F14" s="148"/>
      <c r="G14" s="141"/>
      <c r="H14" s="141"/>
      <c r="I14" s="141"/>
      <c r="J14" s="141"/>
      <c r="K14" s="141"/>
      <c r="L14" s="141"/>
      <c r="M14" s="141"/>
      <c r="N14" s="141"/>
      <c r="O14" s="141"/>
      <c r="P14" s="141"/>
      <c r="Q14" s="141"/>
      <c r="R14" s="141"/>
      <c r="S14" s="141"/>
      <c r="T14" s="141"/>
      <c r="U14" s="141"/>
      <c r="V14" s="141"/>
      <c r="W14" s="141"/>
      <c r="X14" s="141"/>
      <c r="Y14" s="141"/>
      <c r="Z14" s="141"/>
      <c r="AA14" s="141"/>
      <c r="AB14" s="141"/>
      <c r="AC14" s="141"/>
    </row>
    <row r="15" spans="1:29" ht="19.899999999999999" customHeight="1" x14ac:dyDescent="0.25">
      <c r="A15" s="148"/>
      <c r="B15" s="895"/>
      <c r="C15" s="896"/>
      <c r="D15" s="896"/>
      <c r="E15" s="897"/>
      <c r="F15" s="148"/>
      <c r="G15" s="141"/>
      <c r="H15" s="141"/>
      <c r="I15" s="141"/>
      <c r="J15" s="141"/>
      <c r="K15" s="141"/>
      <c r="L15" s="141"/>
      <c r="M15" s="141"/>
      <c r="N15" s="141"/>
      <c r="O15" s="141"/>
      <c r="P15" s="141"/>
      <c r="Q15" s="141"/>
      <c r="R15" s="141"/>
      <c r="S15" s="141"/>
      <c r="T15" s="141"/>
      <c r="U15" s="141"/>
      <c r="V15" s="141"/>
      <c r="W15" s="141"/>
      <c r="X15" s="141"/>
      <c r="Y15" s="141"/>
      <c r="Z15" s="141"/>
      <c r="AA15" s="141"/>
      <c r="AB15" s="141"/>
      <c r="AC15" s="141"/>
    </row>
    <row r="16" spans="1:29" ht="19.899999999999999" customHeight="1" x14ac:dyDescent="0.25">
      <c r="A16" s="148"/>
      <c r="B16" s="895"/>
      <c r="C16" s="896"/>
      <c r="D16" s="896"/>
      <c r="E16" s="897"/>
      <c r="F16" s="148"/>
      <c r="G16" s="141"/>
      <c r="H16" s="141"/>
      <c r="I16" s="141"/>
      <c r="J16" s="141"/>
      <c r="K16" s="141"/>
      <c r="L16" s="141"/>
      <c r="M16" s="141"/>
      <c r="N16" s="141"/>
      <c r="O16" s="141"/>
      <c r="P16" s="141"/>
      <c r="Q16" s="141"/>
      <c r="R16" s="141"/>
      <c r="S16" s="141"/>
      <c r="T16" s="141"/>
      <c r="U16" s="141"/>
      <c r="V16" s="141"/>
      <c r="W16" s="141"/>
      <c r="X16" s="141"/>
      <c r="Y16" s="141"/>
      <c r="Z16" s="141"/>
      <c r="AA16" s="141"/>
      <c r="AB16" s="141"/>
      <c r="AC16" s="141"/>
    </row>
    <row r="17" spans="1:29" ht="19.899999999999999" customHeight="1" x14ac:dyDescent="0.25">
      <c r="A17" s="148"/>
      <c r="B17" s="895"/>
      <c r="C17" s="896"/>
      <c r="D17" s="896"/>
      <c r="E17" s="897"/>
      <c r="F17" s="148"/>
      <c r="G17" s="141"/>
      <c r="H17" s="141"/>
      <c r="I17" s="141"/>
      <c r="J17" s="141"/>
      <c r="K17" s="141"/>
      <c r="L17" s="141"/>
      <c r="M17" s="141"/>
      <c r="N17" s="141"/>
      <c r="O17" s="141"/>
      <c r="P17" s="141"/>
      <c r="Q17" s="141"/>
      <c r="R17" s="141"/>
      <c r="S17" s="141"/>
      <c r="T17" s="141"/>
      <c r="U17" s="141"/>
      <c r="V17" s="141"/>
      <c r="W17" s="141"/>
      <c r="X17" s="141"/>
      <c r="Y17" s="141"/>
      <c r="Z17" s="141"/>
      <c r="AA17" s="141"/>
      <c r="AB17" s="141"/>
      <c r="AC17" s="141"/>
    </row>
    <row r="18" spans="1:29" ht="19.899999999999999" customHeight="1" x14ac:dyDescent="0.25">
      <c r="A18" s="148"/>
      <c r="B18" s="895"/>
      <c r="C18" s="896"/>
      <c r="D18" s="896"/>
      <c r="E18" s="897"/>
      <c r="F18" s="148"/>
      <c r="G18" s="141"/>
      <c r="H18" s="141"/>
      <c r="I18" s="141"/>
      <c r="J18" s="141"/>
      <c r="K18" s="141"/>
      <c r="L18" s="141"/>
      <c r="M18" s="141"/>
      <c r="N18" s="141"/>
      <c r="O18" s="141"/>
      <c r="P18" s="141"/>
      <c r="Q18" s="141"/>
      <c r="R18" s="141"/>
      <c r="S18" s="141"/>
      <c r="T18" s="141"/>
      <c r="U18" s="141"/>
      <c r="V18" s="141"/>
      <c r="W18" s="141"/>
      <c r="X18" s="141"/>
      <c r="Y18" s="141"/>
      <c r="Z18" s="141"/>
      <c r="AA18" s="141"/>
      <c r="AB18" s="141"/>
      <c r="AC18" s="141"/>
    </row>
    <row r="19" spans="1:29" ht="19.899999999999999" customHeight="1" thickBot="1" x14ac:dyDescent="0.3">
      <c r="A19" s="148"/>
      <c r="B19" s="898"/>
      <c r="C19" s="899"/>
      <c r="D19" s="899"/>
      <c r="E19" s="900"/>
      <c r="F19" s="148"/>
      <c r="G19" s="141"/>
      <c r="H19" s="141"/>
      <c r="I19" s="141"/>
      <c r="J19" s="141"/>
      <c r="K19" s="141"/>
      <c r="L19" s="141"/>
      <c r="M19" s="141"/>
      <c r="N19" s="141"/>
      <c r="O19" s="141"/>
      <c r="P19" s="141"/>
      <c r="Q19" s="141"/>
      <c r="R19" s="141"/>
      <c r="S19" s="141"/>
      <c r="T19" s="141"/>
      <c r="U19" s="141"/>
      <c r="V19" s="141"/>
      <c r="W19" s="141"/>
      <c r="X19" s="141"/>
      <c r="Y19" s="141"/>
      <c r="Z19" s="141"/>
      <c r="AA19" s="141"/>
      <c r="AB19" s="141"/>
      <c r="AC19" s="141"/>
    </row>
    <row r="20" spans="1:29" ht="27" customHeight="1" x14ac:dyDescent="0.25">
      <c r="A20" s="148"/>
      <c r="B20" s="148"/>
      <c r="C20" s="410"/>
      <c r="D20" s="149"/>
      <c r="E20" s="148"/>
      <c r="F20" s="148"/>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row>
    <row r="21" spans="1:29" ht="15.6" customHeight="1" x14ac:dyDescent="0.25">
      <c r="A21" s="148"/>
      <c r="B21" s="148"/>
      <c r="C21" s="410"/>
      <c r="D21" s="569"/>
      <c r="E21" s="148"/>
      <c r="F21" s="148"/>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row>
    <row r="22" spans="1:29" x14ac:dyDescent="0.25">
      <c r="A22" s="141"/>
      <c r="B22" s="141"/>
      <c r="C22" s="141"/>
      <c r="D22" s="141"/>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row>
    <row r="23" spans="1:29" x14ac:dyDescent="0.25">
      <c r="A23" s="141"/>
      <c r="B23" s="141"/>
      <c r="C23" s="141"/>
      <c r="D23" s="141"/>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row>
    <row r="24" spans="1:29" x14ac:dyDescent="0.25">
      <c r="A24" s="141"/>
      <c r="B24" s="141"/>
      <c r="C24" s="141"/>
      <c r="D24" s="141"/>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row>
    <row r="25" spans="1:29" x14ac:dyDescent="0.25">
      <c r="A25" s="141"/>
      <c r="B25" s="141"/>
      <c r="C25" s="141"/>
      <c r="D25" s="141"/>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row>
    <row r="26" spans="1:29" x14ac:dyDescent="0.25">
      <c r="A26" s="141"/>
      <c r="B26" s="141"/>
      <c r="C26" s="141"/>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row>
    <row r="27" spans="1:29" x14ac:dyDescent="0.25">
      <c r="A27" s="141"/>
      <c r="B27" s="141"/>
      <c r="C27" s="141"/>
      <c r="D27" s="141"/>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row>
    <row r="28" spans="1:29" x14ac:dyDescent="0.25">
      <c r="A28" s="141"/>
      <c r="B28" s="141"/>
      <c r="C28" s="141"/>
      <c r="D28" s="141"/>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row>
    <row r="29" spans="1:29" x14ac:dyDescent="0.25">
      <c r="A29" s="141"/>
      <c r="B29" s="141"/>
      <c r="C29" s="141"/>
      <c r="D29" s="141"/>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row>
    <row r="30" spans="1:29" x14ac:dyDescent="0.25">
      <c r="A30" s="141"/>
      <c r="B30" s="141"/>
      <c r="C30" s="141"/>
      <c r="D30" s="141"/>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row>
    <row r="31" spans="1:29" x14ac:dyDescent="0.25">
      <c r="A31" s="141"/>
      <c r="B31" s="141"/>
      <c r="C31" s="141"/>
      <c r="D31" s="141"/>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row>
    <row r="32" spans="1:29" x14ac:dyDescent="0.25">
      <c r="A32" s="141"/>
      <c r="B32" s="141"/>
      <c r="C32" s="141"/>
      <c r="D32" s="141"/>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row>
    <row r="33" spans="1:29" x14ac:dyDescent="0.25">
      <c r="A33" s="141"/>
      <c r="B33" s="141"/>
      <c r="C33" s="141"/>
      <c r="D33" s="141"/>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row>
    <row r="34" spans="1:29"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row>
    <row r="35" spans="1:29" x14ac:dyDescent="0.25">
      <c r="A35" s="148"/>
      <c r="B35" s="148"/>
      <c r="C35" s="148"/>
      <c r="D35" s="148"/>
      <c r="E35" s="148"/>
      <c r="F35" s="148"/>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row>
    <row r="36" spans="1:29" x14ac:dyDescent="0.25">
      <c r="A36" s="148"/>
      <c r="B36" s="148"/>
      <c r="C36" s="148"/>
      <c r="D36" s="148"/>
      <c r="E36" s="148"/>
      <c r="F36" s="148"/>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row>
    <row r="37" spans="1:29" x14ac:dyDescent="0.25">
      <c r="A37" s="148"/>
      <c r="B37" s="148"/>
      <c r="C37" s="148"/>
      <c r="D37" s="148"/>
      <c r="E37" s="148"/>
      <c r="F37" s="148"/>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row>
    <row r="38" spans="1:29" x14ac:dyDescent="0.25">
      <c r="A38" s="148"/>
      <c r="B38" s="148"/>
      <c r="C38" s="148"/>
      <c r="D38" s="148"/>
      <c r="E38" s="148"/>
      <c r="F38" s="148"/>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row>
    <row r="39" spans="1:29" x14ac:dyDescent="0.25">
      <c r="A39" s="148"/>
      <c r="B39" s="148"/>
      <c r="C39" s="148"/>
      <c r="D39" s="148"/>
      <c r="E39" s="148"/>
      <c r="F39" s="148"/>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row>
    <row r="40" spans="1:29" x14ac:dyDescent="0.25">
      <c r="A40" s="148"/>
      <c r="B40" s="148"/>
      <c r="C40" s="148"/>
      <c r="D40" s="148"/>
      <c r="E40" s="148"/>
      <c r="F40" s="148"/>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row>
    <row r="41" spans="1:29"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row>
    <row r="42" spans="1:29"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row>
    <row r="43" spans="1:29"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row>
    <row r="44" spans="1:29"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row>
    <row r="45" spans="1:29"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row>
    <row r="46" spans="1:29" x14ac:dyDescent="0.25">
      <c r="A46" s="141"/>
      <c r="B46" s="141"/>
      <c r="C46" s="141"/>
      <c r="D46" s="141"/>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row>
    <row r="47" spans="1:29" x14ac:dyDescent="0.25">
      <c r="A47" s="141"/>
      <c r="B47" s="141"/>
      <c r="C47" s="141"/>
      <c r="D47" s="141"/>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row>
    <row r="48" spans="1:29" x14ac:dyDescent="0.25">
      <c r="A48" s="141"/>
      <c r="B48" s="141"/>
      <c r="C48" s="141"/>
      <c r="D48" s="141"/>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row>
    <row r="49" spans="1:29" x14ac:dyDescent="0.25">
      <c r="A49" s="141"/>
      <c r="B49" s="141"/>
      <c r="C49" s="141"/>
      <c r="D49" s="141"/>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row>
    <row r="50" spans="1:29" x14ac:dyDescent="0.25">
      <c r="A50" s="141"/>
      <c r="B50" s="141"/>
      <c r="C50" s="141"/>
      <c r="D50" s="141"/>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row>
    <row r="51" spans="1:29" x14ac:dyDescent="0.25">
      <c r="A51" s="141"/>
      <c r="B51" s="141"/>
      <c r="C51" s="141"/>
      <c r="D51" s="141"/>
      <c r="E51" s="141"/>
      <c r="F51" s="141"/>
      <c r="G51" s="141"/>
      <c r="H51" s="141"/>
      <c r="I51" s="141"/>
      <c r="J51" s="141"/>
      <c r="K51" s="141"/>
      <c r="L51" s="141"/>
      <c r="M51" s="141"/>
      <c r="N51" s="141"/>
      <c r="O51" s="141"/>
      <c r="P51" s="141"/>
      <c r="Q51" s="141"/>
      <c r="R51" s="141"/>
      <c r="S51" s="141"/>
      <c r="T51" s="141"/>
      <c r="U51" s="141"/>
      <c r="V51" s="141"/>
      <c r="W51" s="141"/>
      <c r="X51" s="141"/>
      <c r="Y51" s="141"/>
      <c r="Z51" s="141"/>
      <c r="AA51" s="141"/>
      <c r="AB51" s="141"/>
      <c r="AC51" s="141"/>
    </row>
    <row r="52" spans="1:29"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c r="Z52" s="141"/>
      <c r="AA52" s="141"/>
      <c r="AB52" s="141"/>
      <c r="AC52" s="141"/>
    </row>
    <row r="53" spans="1:29"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c r="Z53" s="141"/>
      <c r="AA53" s="141"/>
      <c r="AB53" s="141"/>
      <c r="AC53" s="141"/>
    </row>
    <row r="54" spans="1:29"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c r="Z54" s="141"/>
      <c r="AA54" s="141"/>
      <c r="AB54" s="141"/>
      <c r="AC54" s="141"/>
    </row>
    <row r="55" spans="1:29"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c r="Z55" s="141"/>
      <c r="AA55" s="141"/>
      <c r="AB55" s="141"/>
      <c r="AC55" s="141"/>
    </row>
    <row r="56" spans="1:29"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c r="Z56" s="141"/>
      <c r="AA56" s="141"/>
      <c r="AB56" s="141"/>
      <c r="AC56" s="141"/>
    </row>
    <row r="57" spans="1:29"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c r="Z57" s="141"/>
      <c r="AA57" s="141"/>
      <c r="AB57" s="141"/>
      <c r="AC57" s="141"/>
    </row>
    <row r="58" spans="1:29"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c r="Z58" s="141"/>
      <c r="AA58" s="141"/>
      <c r="AB58" s="141"/>
      <c r="AC58" s="141"/>
    </row>
    <row r="59" spans="1:29"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c r="Z59" s="141"/>
      <c r="AA59" s="141"/>
      <c r="AB59" s="141"/>
      <c r="AC59" s="141"/>
    </row>
    <row r="60" spans="1:29"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c r="Z60" s="141"/>
      <c r="AA60" s="141"/>
      <c r="AB60" s="141"/>
      <c r="AC60" s="141"/>
    </row>
    <row r="61" spans="1:29"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c r="AA61" s="141"/>
      <c r="AB61" s="141"/>
      <c r="AC61" s="141"/>
    </row>
    <row r="62" spans="1:29"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c r="AA62" s="141"/>
      <c r="AB62" s="141"/>
      <c r="AC62" s="141"/>
    </row>
    <row r="63" spans="1:29"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c r="AA63" s="141"/>
      <c r="AB63" s="141"/>
      <c r="AC63" s="141"/>
    </row>
    <row r="64" spans="1:29"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c r="AA64" s="141"/>
      <c r="AB64" s="141"/>
      <c r="AC64" s="141"/>
    </row>
    <row r="65" spans="1:29"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c r="AA65" s="141"/>
      <c r="AB65" s="141"/>
      <c r="AC65" s="141"/>
    </row>
    <row r="66" spans="1:29"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c r="AA66" s="141"/>
      <c r="AB66" s="141"/>
      <c r="AC66" s="141"/>
    </row>
    <row r="67" spans="1:29"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c r="AA67" s="141"/>
      <c r="AB67" s="141"/>
      <c r="AC67" s="141"/>
    </row>
    <row r="68" spans="1:29"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c r="AA68" s="141"/>
      <c r="AB68" s="141"/>
      <c r="AC68" s="141"/>
    </row>
    <row r="69" spans="1:29"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141"/>
      <c r="AB69" s="141"/>
      <c r="AC69" s="141"/>
    </row>
    <row r="70" spans="1:29"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c r="AA70" s="141"/>
      <c r="AB70" s="141"/>
      <c r="AC70" s="141"/>
    </row>
    <row r="71" spans="1:29"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c r="AA71" s="141"/>
      <c r="AB71" s="141"/>
      <c r="AC71" s="141"/>
    </row>
    <row r="72" spans="1:29"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c r="AA72" s="141"/>
      <c r="AB72" s="141"/>
      <c r="AC72" s="141"/>
    </row>
    <row r="73" spans="1:29"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c r="AA73" s="141"/>
      <c r="AB73" s="141"/>
      <c r="AC73" s="141"/>
    </row>
    <row r="74" spans="1:29"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c r="AA74" s="141"/>
      <c r="AB74" s="141"/>
      <c r="AC74" s="141"/>
    </row>
    <row r="75" spans="1:29"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c r="AA75" s="141"/>
      <c r="AB75" s="141"/>
      <c r="AC75" s="141"/>
    </row>
    <row r="76" spans="1:29"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c r="AA76" s="141"/>
      <c r="AB76" s="141"/>
      <c r="AC76" s="141"/>
    </row>
    <row r="77" spans="1:29"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c r="AA77" s="141"/>
      <c r="AB77" s="141"/>
      <c r="AC77" s="141"/>
    </row>
    <row r="78" spans="1:29"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c r="AA78" s="141"/>
      <c r="AB78" s="141"/>
      <c r="AC78" s="141"/>
    </row>
    <row r="79" spans="1:29"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c r="AA79" s="141"/>
      <c r="AB79" s="141"/>
      <c r="AC79" s="141"/>
    </row>
    <row r="80" spans="1:29"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c r="AA80" s="141"/>
      <c r="AB80" s="141"/>
      <c r="AC80" s="141"/>
    </row>
    <row r="81" spans="1:29"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c r="AA81" s="141"/>
      <c r="AB81" s="141"/>
      <c r="AC81" s="141"/>
    </row>
    <row r="82" spans="1:29"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c r="AA82" s="141"/>
      <c r="AB82" s="141"/>
      <c r="AC82" s="141"/>
    </row>
    <row r="83" spans="1:29"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c r="AA83" s="141"/>
      <c r="AB83" s="141"/>
      <c r="AC83" s="141"/>
    </row>
    <row r="84" spans="1:29"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c r="AA84" s="141"/>
      <c r="AB84" s="141"/>
      <c r="AC84" s="141"/>
    </row>
    <row r="85" spans="1:29"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c r="AA85" s="141"/>
      <c r="AB85" s="141"/>
      <c r="AC85" s="141"/>
    </row>
    <row r="86" spans="1:29"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c r="AA86" s="141"/>
      <c r="AB86" s="141"/>
      <c r="AC86" s="141"/>
    </row>
    <row r="87" spans="1:29"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c r="AA87" s="141"/>
      <c r="AB87" s="141"/>
      <c r="AC87" s="141"/>
    </row>
    <row r="88" spans="1:29"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c r="AA88" s="141"/>
      <c r="AB88" s="141"/>
      <c r="AC88" s="141"/>
    </row>
    <row r="89" spans="1:29"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c r="AA89" s="141"/>
      <c r="AB89" s="141"/>
      <c r="AC89" s="141"/>
    </row>
  </sheetData>
  <sheetProtection algorithmName="SHA-512" hashValue="wGliOTfl2M5Y2CHWtUfApvJshSPxMCxL2WkvXHI93JI/LiTzAIaA2QFr7yV2kurzB+BEat0pFqo38izRghLDmg==" saltValue="brpePjLg7ads27Pixf6WCQ==" spinCount="100000" sheet="1" selectLockedCells="1"/>
  <mergeCells count="3">
    <mergeCell ref="C3:D3"/>
    <mergeCell ref="B14:E19"/>
    <mergeCell ref="B13:E13"/>
  </mergeCells>
  <printOptions horizontalCentered="1"/>
  <pageMargins left="0.25" right="0.25" top="0.75" bottom="0.75" header="0.3" footer="0.3"/>
  <pageSetup orientation="portrait" errors="dash" r:id="rId1"/>
  <headerFooter scaleWithDoc="0">
    <oddFooter>&amp;L&amp;P&amp;CWelcome | US Foods Confidential</oddFooter>
  </headerFooter>
  <colBreaks count="1" manualBreakCount="1">
    <brk id="7" max="1048575" man="1"/>
  </colBreaks>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0000000}">
          <x14:formula1>
            <xm:f>Lookups!$AB$1:$AB$3</xm:f>
          </x14:formula1>
          <xm:sqref>D6</xm:sqref>
        </x14:dataValidation>
        <x14:dataValidation type="list" allowBlank="1" showInputMessage="1" showErrorMessage="1" xr:uid="{00000000-0002-0000-0100-000001000000}">
          <x14:formula1>
            <xm:f>Lookups!$M$1:$M$5</xm:f>
          </x14:formula1>
          <xm:sqref>D8</xm:sqref>
        </x14:dataValidation>
        <x14:dataValidation type="list" allowBlank="1" showInputMessage="1" showErrorMessage="1" xr:uid="{00000000-0002-0000-0100-000002000000}">
          <x14:formula1>
            <xm:f>Lookups!$AA$1:$AA$11</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X50"/>
  <sheetViews>
    <sheetView topLeftCell="E1" zoomScale="82" zoomScaleNormal="82" zoomScaleSheetLayoutView="80" workbookViewId="0">
      <selection activeCell="G6" sqref="G6"/>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customWidth="1"/>
    <col min="9" max="9" width="12.7109375" customWidth="1"/>
    <col min="10" max="10" width="42.42578125" customWidth="1"/>
    <col min="11" max="11" width="14.28515625" bestFit="1"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6" width="8.85546875" hidden="1" customWidth="1"/>
  </cols>
  <sheetData>
    <row r="1" spans="1:50" ht="10.9" customHeight="1" thickBot="1" x14ac:dyDescent="0.3">
      <c r="E1" s="141"/>
      <c r="F1" s="141"/>
      <c r="G1" s="443"/>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row>
    <row r="2" spans="1:50" ht="21" x14ac:dyDescent="0.35">
      <c r="E2" s="809"/>
      <c r="F2" s="904" t="s">
        <v>971</v>
      </c>
      <c r="G2" s="904"/>
      <c r="H2" s="717"/>
      <c r="I2" s="717"/>
      <c r="J2" s="717"/>
      <c r="K2" s="717"/>
      <c r="L2" s="717"/>
      <c r="M2" s="717"/>
      <c r="N2" s="717"/>
      <c r="O2" s="717"/>
      <c r="P2" s="717"/>
      <c r="Q2" s="717"/>
      <c r="R2" s="718"/>
      <c r="S2" s="141"/>
      <c r="T2" s="141"/>
      <c r="U2" s="141"/>
      <c r="V2" s="141"/>
      <c r="W2" s="141"/>
      <c r="X2" s="141"/>
      <c r="Y2" s="141"/>
      <c r="Z2" s="141"/>
      <c r="AA2" s="141"/>
      <c r="AB2" s="141"/>
      <c r="AC2" s="141"/>
      <c r="AD2" s="141"/>
      <c r="AE2" s="141"/>
      <c r="AF2" s="141"/>
      <c r="AG2" s="141"/>
      <c r="AH2" s="141"/>
      <c r="AI2" s="141"/>
      <c r="AJ2" s="141"/>
      <c r="AK2" s="141"/>
      <c r="AL2" s="141"/>
      <c r="AM2" s="141"/>
      <c r="AN2" s="141"/>
      <c r="AO2" s="141"/>
      <c r="AP2" s="141"/>
      <c r="AQ2" s="141"/>
      <c r="AR2" s="141"/>
      <c r="AS2" s="141"/>
      <c r="AT2" s="141"/>
      <c r="AU2" s="141"/>
      <c r="AV2" s="141"/>
      <c r="AW2" s="141"/>
      <c r="AX2" s="141"/>
    </row>
    <row r="3" spans="1:50" ht="14.45" customHeight="1" x14ac:dyDescent="0.25">
      <c r="E3" s="719"/>
      <c r="F3" s="141"/>
      <c r="G3" s="141"/>
      <c r="H3" s="141"/>
      <c r="I3" s="141"/>
      <c r="J3" s="141"/>
      <c r="K3" s="141"/>
      <c r="L3" s="905" t="str">
        <f>IF(COUNTIFS($M$6:$M$15,"&gt;0")&lt;$C$4,"Must Enter Expected Sales for All Locations","")</f>
        <v/>
      </c>
      <c r="M3" s="905"/>
      <c r="N3" s="905"/>
      <c r="O3" s="141"/>
      <c r="P3" s="141"/>
      <c r="Q3" s="141"/>
      <c r="R3" s="720"/>
      <c r="S3" s="141"/>
      <c r="T3" s="141"/>
      <c r="U3" s="141"/>
      <c r="V3" s="141"/>
      <c r="W3" s="141"/>
      <c r="X3" s="141"/>
      <c r="Y3" s="141"/>
      <c r="Z3" s="141"/>
      <c r="AA3" s="141"/>
      <c r="AB3" s="141"/>
      <c r="AC3" s="141"/>
      <c r="AD3" s="141"/>
      <c r="AE3" s="141"/>
      <c r="AF3" s="141"/>
      <c r="AG3" s="141"/>
      <c r="AH3" s="141"/>
      <c r="AI3" s="141"/>
      <c r="AJ3" s="141"/>
      <c r="AK3" s="141"/>
      <c r="AL3" s="141"/>
      <c r="AM3" s="141"/>
      <c r="AN3" s="141"/>
      <c r="AO3" s="141"/>
      <c r="AP3" s="141"/>
      <c r="AQ3" s="141"/>
      <c r="AR3" s="141"/>
      <c r="AS3" s="141"/>
      <c r="AT3" s="141"/>
      <c r="AU3" s="141"/>
      <c r="AV3" s="141"/>
      <c r="AW3" s="141"/>
      <c r="AX3" s="141"/>
    </row>
    <row r="4" spans="1:50" ht="21" customHeight="1" thickBot="1" x14ac:dyDescent="0.3">
      <c r="C4" s="148">
        <f>IF(Welcome!$D$10="Select # of Locations",0,Welcome!$D$10)</f>
        <v>0</v>
      </c>
      <c r="D4" s="148"/>
      <c r="E4" s="423"/>
      <c r="F4" s="148"/>
      <c r="G4" s="148"/>
      <c r="H4" s="148"/>
      <c r="I4" s="148"/>
      <c r="J4" s="148"/>
      <c r="K4" s="148"/>
      <c r="L4" s="906" t="str">
        <f>IF(COUNTIFS($M$6:$M$15,"&gt;0")&lt;$C$4,"VVVVV","")</f>
        <v/>
      </c>
      <c r="M4" s="906"/>
      <c r="N4" s="906"/>
      <c r="O4" s="141"/>
      <c r="P4" s="141"/>
      <c r="Q4" s="411"/>
      <c r="R4" s="720"/>
      <c r="S4" s="141"/>
      <c r="T4" s="141"/>
      <c r="U4" s="141"/>
      <c r="V4" s="141"/>
      <c r="W4" s="141"/>
      <c r="Z4" s="2"/>
      <c r="AA4" s="141"/>
      <c r="AB4" s="141"/>
      <c r="AC4" s="141"/>
      <c r="AD4" s="141"/>
      <c r="AE4" s="141"/>
      <c r="AF4" s="141"/>
      <c r="AG4" s="141"/>
      <c r="AH4" s="141"/>
      <c r="AI4" s="141"/>
      <c r="AJ4" s="141"/>
      <c r="AK4" s="141"/>
      <c r="AL4" s="141"/>
      <c r="AM4" s="141"/>
      <c r="AN4" s="141"/>
      <c r="AO4" s="141"/>
      <c r="AP4" s="141"/>
      <c r="AQ4" s="141"/>
      <c r="AR4" s="141"/>
      <c r="AS4" s="141"/>
      <c r="AT4" s="141"/>
      <c r="AU4" s="141"/>
      <c r="AV4" s="141"/>
      <c r="AW4" s="141"/>
      <c r="AX4" s="141"/>
    </row>
    <row r="5" spans="1:50" ht="27" thickBot="1" x14ac:dyDescent="0.3">
      <c r="E5" s="719"/>
      <c r="F5" s="807" t="s">
        <v>1101</v>
      </c>
      <c r="G5" s="749" t="s">
        <v>770</v>
      </c>
      <c r="H5" s="750" t="s">
        <v>966</v>
      </c>
      <c r="I5" s="751" t="s">
        <v>1102</v>
      </c>
      <c r="J5" s="751" t="s">
        <v>963</v>
      </c>
      <c r="K5" s="751" t="s">
        <v>964</v>
      </c>
      <c r="L5" s="752" t="s">
        <v>967</v>
      </c>
      <c r="M5" s="753" t="s">
        <v>972</v>
      </c>
      <c r="N5" s="754" t="s">
        <v>1103</v>
      </c>
      <c r="O5" s="754" t="s">
        <v>950</v>
      </c>
      <c r="P5" s="754" t="s">
        <v>209</v>
      </c>
      <c r="Q5" s="755" t="s">
        <v>871</v>
      </c>
      <c r="R5" s="720"/>
      <c r="S5" s="715" t="s">
        <v>474</v>
      </c>
      <c r="T5" s="56" t="s">
        <v>968</v>
      </c>
      <c r="U5" s="56" t="s">
        <v>209</v>
      </c>
      <c r="V5" s="56" t="s">
        <v>528</v>
      </c>
      <c r="W5" s="141"/>
      <c r="X5" t="s">
        <v>987</v>
      </c>
      <c r="Y5">
        <f>MAX(Y6:Y15)</f>
        <v>0</v>
      </c>
      <c r="Z5" s="2"/>
      <c r="AA5" s="141"/>
      <c r="AB5" s="141"/>
      <c r="AC5" s="141"/>
      <c r="AD5" s="141"/>
      <c r="AE5" s="141"/>
      <c r="AF5" s="141"/>
      <c r="AG5" s="141"/>
      <c r="AH5" s="141"/>
      <c r="AI5" s="141"/>
      <c r="AJ5" s="141"/>
      <c r="AK5" s="141"/>
      <c r="AL5" s="141"/>
      <c r="AM5" s="141"/>
      <c r="AN5" s="141"/>
      <c r="AO5" s="141"/>
      <c r="AP5" s="141"/>
      <c r="AQ5" s="141"/>
      <c r="AR5" s="141"/>
      <c r="AS5" s="141"/>
      <c r="AT5" s="141"/>
      <c r="AU5" s="141"/>
      <c r="AV5" s="141"/>
      <c r="AW5" s="141"/>
      <c r="AX5" s="141"/>
    </row>
    <row r="6" spans="1:50" x14ac:dyDescent="0.25">
      <c r="A6" t="str">
        <f t="shared" ref="A6:A15" si="0">IFERROR(RANK($Z6,$Z$6:$Z$15,1),"")</f>
        <v/>
      </c>
      <c r="B6">
        <f t="shared" ref="B6:B15" si="1">IF($G6="New Store",$G6&amp;" "&amp;$X6,$G6)</f>
        <v>0</v>
      </c>
      <c r="C6" s="148">
        <v>1</v>
      </c>
      <c r="D6" s="148"/>
      <c r="E6" s="806"/>
      <c r="F6" s="689" t="str">
        <f>IF(Welcome!$D$10="Select # of Locations","",IF($C6&lt;=Welcome!$D$10,$C6,""))</f>
        <v/>
      </c>
      <c r="G6" s="692"/>
      <c r="H6" s="693" t="str">
        <f>IF($C$4&gt;=$C6,IF(SUMIF('Existing Customers'!$A:$A,'Customer Inputs'!$G6,'Existing Customers'!$Q:$Q)=0,"Enter Spend&gt;&gt;&gt;",ROUND(SUMIF('Existing Customers'!$A:$A,'Customer Inputs'!$G6,'Existing Customers'!$Q:$Q),0)),"")</f>
        <v/>
      </c>
      <c r="I6" s="699" t="str">
        <f>IF($F6="","",'Multi-Customer'!$AU47)</f>
        <v/>
      </c>
      <c r="J6" s="758" t="str">
        <f>IF($F6="","",IFERROR(VLOOKUP($G6,'Existing Customers'!$A:$F,6,FALSE),"Enter Menu Type&gt;&gt;"))</f>
        <v/>
      </c>
      <c r="K6" s="694" t="str">
        <f>IFERROR(IF($C$4&gt;=$C6,VLOOKUP($G6,'Existing Customers'!$A:$J,10,FALSE),""),"Enter Zip Code &gt;")</f>
        <v/>
      </c>
      <c r="L6" s="695" t="str">
        <f>IF($F6="","",'Multi-Customer'!$AU48)</f>
        <v/>
      </c>
      <c r="M6" s="696"/>
      <c r="N6" s="725"/>
      <c r="O6" s="756"/>
      <c r="P6" s="849"/>
      <c r="Q6" s="708"/>
      <c r="R6" s="805" t="str">
        <f>IF($F6="","",'Variable Costs (Back)'!$A15)</f>
        <v/>
      </c>
      <c r="S6" s="716"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B6" s="141"/>
      <c r="AC6" s="141"/>
      <c r="AD6" s="141"/>
      <c r="AE6" s="141"/>
      <c r="AF6" s="141"/>
      <c r="AG6" s="141"/>
      <c r="AH6" s="141"/>
      <c r="AI6" s="141"/>
      <c r="AJ6" s="141"/>
      <c r="AK6" s="141"/>
      <c r="AL6" s="141"/>
      <c r="AM6" s="141"/>
      <c r="AN6" s="141"/>
      <c r="AO6" s="141"/>
      <c r="AP6" s="141"/>
      <c r="AQ6" s="141"/>
      <c r="AR6" s="141"/>
      <c r="AS6" s="141"/>
      <c r="AT6" s="141"/>
      <c r="AU6" s="141"/>
      <c r="AV6" s="141"/>
      <c r="AW6" s="141"/>
      <c r="AX6" s="141"/>
    </row>
    <row r="7" spans="1:50" x14ac:dyDescent="0.25">
      <c r="A7" t="str">
        <f t="shared" si="0"/>
        <v/>
      </c>
      <c r="B7">
        <f t="shared" si="1"/>
        <v>0</v>
      </c>
      <c r="C7" s="148">
        <v>2</v>
      </c>
      <c r="D7" s="148"/>
      <c r="E7" s="806"/>
      <c r="F7" s="690" t="str">
        <f>IF(Welcome!$D$10="Select # of Locations","",IF($C7&lt;=Welcome!$D$10,$C7,""))</f>
        <v/>
      </c>
      <c r="G7" s="692"/>
      <c r="H7" s="698" t="str">
        <f>IF($C$4&gt;=$C7,IF(SUMIF('Existing Customers'!$A:$A,'Customer Inputs'!$G7,'Existing Customers'!$Q:$Q)=0,"Enter Spend&gt;&gt;&gt;",ROUND(SUMIF('Existing Customers'!$A:$A,'Customer Inputs'!$G7,'Existing Customers'!$Q:$Q),0)),"")</f>
        <v/>
      </c>
      <c r="I7" s="699" t="str">
        <f>IF($F7="","",'Multi-Customer'!$BD47)</f>
        <v/>
      </c>
      <c r="J7" s="759" t="str">
        <f>IF($F7="","",IFERROR(VLOOKUP($G7,'Existing Customers'!$A:$F,6,FALSE),"Enter Menu Type&gt;&gt;"))</f>
        <v/>
      </c>
      <c r="K7" s="671" t="str">
        <f>IFERROR(IF($C$4&gt;=$C7,VLOOKUP($G7,'Existing Customers'!$A:$J,10,FALSE),""),"Enter Zip Code &gt;")</f>
        <v/>
      </c>
      <c r="L7" s="700" t="str">
        <f>IF($F7="","",'Multi-Customer'!$BD48)</f>
        <v/>
      </c>
      <c r="M7" s="701"/>
      <c r="N7" s="726"/>
      <c r="O7" s="756"/>
      <c r="P7" s="850"/>
      <c r="Q7" s="709"/>
      <c r="R7" s="805" t="str">
        <f>IF($F7="","",'Variable Costs (Back)'!$A16)</f>
        <v/>
      </c>
      <c r="S7" s="716"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B7" s="141"/>
      <c r="AC7" s="141"/>
      <c r="AD7" s="141"/>
      <c r="AE7" s="141"/>
      <c r="AF7" s="141"/>
      <c r="AG7" s="141"/>
      <c r="AH7" s="141"/>
      <c r="AI7" s="141"/>
      <c r="AJ7" s="141"/>
      <c r="AK7" s="141"/>
      <c r="AL7" s="141"/>
      <c r="AM7" s="141"/>
      <c r="AN7" s="141"/>
      <c r="AO7" s="141"/>
      <c r="AP7" s="141"/>
      <c r="AQ7" s="141"/>
      <c r="AR7" s="141"/>
      <c r="AS7" s="141"/>
      <c r="AT7" s="141"/>
      <c r="AU7" s="141"/>
      <c r="AV7" s="141"/>
      <c r="AW7" s="141"/>
      <c r="AX7" s="141"/>
    </row>
    <row r="8" spans="1:50" x14ac:dyDescent="0.25">
      <c r="A8" t="str">
        <f t="shared" si="0"/>
        <v/>
      </c>
      <c r="B8">
        <f t="shared" si="1"/>
        <v>0</v>
      </c>
      <c r="C8" s="148">
        <v>3</v>
      </c>
      <c r="D8" s="148"/>
      <c r="E8" s="806"/>
      <c r="F8" s="690" t="str">
        <f>IF(Welcome!$D$10="Select # of Locations","",IF($C8&lt;=Welcome!$D$10,$C8,""))</f>
        <v/>
      </c>
      <c r="G8" s="692"/>
      <c r="H8" s="698" t="str">
        <f>IF($C$4&gt;=$C8,IF(SUMIF('Existing Customers'!$A:$A,'Customer Inputs'!$G8,'Existing Customers'!$Q:$Q)=0,"Enter Spend&gt;&gt;&gt;",ROUND(SUMIF('Existing Customers'!$A:$A,'Customer Inputs'!$G8,'Existing Customers'!$Q:$Q),0)),"")</f>
        <v/>
      </c>
      <c r="I8" s="699" t="str">
        <f>IF($F8="","",'Multi-Customer'!$BM47)</f>
        <v/>
      </c>
      <c r="J8" s="759" t="str">
        <f>IF($F8="","",IFERROR(VLOOKUP($G8,'Existing Customers'!$A:$F,6,FALSE),"Enter Menu Type&gt;&gt;"))</f>
        <v/>
      </c>
      <c r="K8" s="671" t="str">
        <f>IFERROR(IF($C$4&gt;=$C8,VLOOKUP($G8,'Existing Customers'!$A:$J,10,FALSE),""),"Enter Zip Code &gt;")</f>
        <v/>
      </c>
      <c r="L8" s="700" t="str">
        <f>IF($F8="","",'Multi-Customer'!$BM48)</f>
        <v/>
      </c>
      <c r="M8" s="701"/>
      <c r="N8" s="726"/>
      <c r="O8" s="756"/>
      <c r="P8" s="850"/>
      <c r="Q8" s="709"/>
      <c r="R8" s="805" t="str">
        <f>IF($F8="","",'Variable Costs (Back)'!$A17)</f>
        <v/>
      </c>
      <c r="S8" s="716"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B8" s="141"/>
      <c r="AC8" s="141"/>
      <c r="AD8" s="141"/>
      <c r="AE8" s="141"/>
      <c r="AF8" s="141"/>
      <c r="AG8" s="141"/>
      <c r="AH8" s="141"/>
      <c r="AI8" s="141"/>
      <c r="AJ8" s="141"/>
      <c r="AK8" s="141"/>
      <c r="AL8" s="141"/>
      <c r="AM8" s="141"/>
      <c r="AN8" s="141"/>
      <c r="AO8" s="141"/>
      <c r="AP8" s="141"/>
      <c r="AQ8" s="141"/>
      <c r="AR8" s="141"/>
      <c r="AS8" s="141"/>
      <c r="AT8" s="141"/>
      <c r="AU8" s="141"/>
      <c r="AV8" s="141"/>
      <c r="AW8" s="141"/>
      <c r="AX8" s="141"/>
    </row>
    <row r="9" spans="1:50" x14ac:dyDescent="0.25">
      <c r="A9" t="str">
        <f t="shared" si="0"/>
        <v/>
      </c>
      <c r="B9">
        <f t="shared" si="1"/>
        <v>0</v>
      </c>
      <c r="C9" s="148">
        <v>4</v>
      </c>
      <c r="D9" s="148"/>
      <c r="E9" s="806"/>
      <c r="F9" s="690" t="str">
        <f>IF(Welcome!$D$10="Select # of Locations","",IF($C9&lt;=Welcome!$D$10,$C9,""))</f>
        <v/>
      </c>
      <c r="G9" s="697"/>
      <c r="H9" s="698" t="str">
        <f>IF($C$4&gt;=$C9,IF(SUMIF('Existing Customers'!$A:$A,'Customer Inputs'!$G9,'Existing Customers'!$Q:$Q)=0,"Enter Spend&gt;&gt;&gt;",ROUND(SUMIF('Existing Customers'!$A:$A,'Customer Inputs'!$G9,'Existing Customers'!$Q:$Q),0)),"")</f>
        <v/>
      </c>
      <c r="I9" s="699" t="str">
        <f>IF($F9="","",'Multi-Customer'!$BV47)</f>
        <v/>
      </c>
      <c r="J9" s="759" t="str">
        <f>IF($F9="","",IFERROR(VLOOKUP($G9,'Existing Customers'!$A:$F,6,FALSE),"Enter Menu Type&gt;&gt;"))</f>
        <v/>
      </c>
      <c r="K9" s="671" t="str">
        <f>IFERROR(IF($C$4&gt;=$C9,VLOOKUP($G9,'Existing Customers'!$A:$J,10,FALSE),""),"Enter Zip Code &gt;")</f>
        <v/>
      </c>
      <c r="L9" s="700" t="str">
        <f>IF($F9="","",'Multi-Customer'!$BV48)</f>
        <v/>
      </c>
      <c r="M9" s="701"/>
      <c r="N9" s="726"/>
      <c r="O9" s="756"/>
      <c r="P9" s="850"/>
      <c r="Q9" s="709"/>
      <c r="R9" s="805" t="str">
        <f>IF($F9="","",'Variable Costs (Back)'!$A18)</f>
        <v/>
      </c>
      <c r="S9" s="716"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B9" s="141"/>
      <c r="AC9" s="141"/>
      <c r="AD9" s="141"/>
      <c r="AE9" s="141"/>
      <c r="AF9" s="141"/>
      <c r="AG9" s="141"/>
      <c r="AH9" s="141"/>
      <c r="AI9" s="141"/>
      <c r="AJ9" s="141"/>
      <c r="AK9" s="141"/>
      <c r="AL9" s="141"/>
      <c r="AM9" s="141"/>
      <c r="AN9" s="141"/>
      <c r="AO9" s="141"/>
      <c r="AP9" s="141"/>
      <c r="AQ9" s="141"/>
      <c r="AR9" s="141"/>
      <c r="AS9" s="141"/>
      <c r="AT9" s="141"/>
      <c r="AU9" s="141"/>
      <c r="AV9" s="141"/>
      <c r="AW9" s="141"/>
      <c r="AX9" s="141"/>
    </row>
    <row r="10" spans="1:50" x14ac:dyDescent="0.25">
      <c r="A10" t="str">
        <f t="shared" si="0"/>
        <v/>
      </c>
      <c r="B10">
        <f t="shared" si="1"/>
        <v>0</v>
      </c>
      <c r="C10" s="148">
        <v>5</v>
      </c>
      <c r="D10" s="148"/>
      <c r="E10" s="806"/>
      <c r="F10" s="690" t="str">
        <f>IF(Welcome!$D$10="Select # of Locations","",IF($C10&lt;=Welcome!$D$10,$C10,""))</f>
        <v/>
      </c>
      <c r="G10" s="697"/>
      <c r="H10" s="698" t="str">
        <f>IF($C$4&gt;=$C10,IF(SUMIF('Existing Customers'!$A:$A,'Customer Inputs'!$G10,'Existing Customers'!$Q:$Q)=0,"Enter Spend&gt;&gt;&gt;",ROUND(SUMIF('Existing Customers'!$A:$A,'Customer Inputs'!$G10,'Existing Customers'!$Q:$Q),0)),"")</f>
        <v/>
      </c>
      <c r="I10" s="699" t="str">
        <f>IF($F10="","",'Multi-Customer'!$CE47)</f>
        <v/>
      </c>
      <c r="J10" s="759" t="str">
        <f>IF($F10="","",IFERROR(VLOOKUP($G10,'Existing Customers'!$A:$F,6,FALSE),"Enter Menu Type&gt;&gt;"))</f>
        <v/>
      </c>
      <c r="K10" s="671" t="str">
        <f>IFERROR(IF($C$4&gt;=$C10,VLOOKUP($G10,'Existing Customers'!$A:$J,10,FALSE),""),"Enter Zip Code &gt;")</f>
        <v/>
      </c>
      <c r="L10" s="700" t="str">
        <f>IF($F10="","",'Multi-Customer'!$CE48)</f>
        <v/>
      </c>
      <c r="M10" s="701"/>
      <c r="N10" s="726"/>
      <c r="O10" s="756"/>
      <c r="P10" s="850"/>
      <c r="Q10" s="709"/>
      <c r="R10" s="805" t="str">
        <f>IF($F10="","",'Variable Costs (Back)'!$A19)</f>
        <v/>
      </c>
      <c r="S10" s="716"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B10" s="141"/>
      <c r="AC10" s="141"/>
      <c r="AD10" s="141"/>
      <c r="AE10" s="141"/>
      <c r="AF10" s="141"/>
      <c r="AG10" s="141"/>
      <c r="AH10" s="141"/>
      <c r="AI10" s="141"/>
      <c r="AJ10" s="141"/>
      <c r="AK10" s="141"/>
      <c r="AL10" s="141"/>
      <c r="AM10" s="141"/>
      <c r="AN10" s="141"/>
      <c r="AO10" s="141"/>
      <c r="AP10" s="141"/>
      <c r="AQ10" s="141"/>
      <c r="AR10" s="141"/>
      <c r="AS10" s="141"/>
      <c r="AT10" s="141"/>
      <c r="AU10" s="141"/>
      <c r="AV10" s="141"/>
      <c r="AW10" s="141"/>
      <c r="AX10" s="141"/>
    </row>
    <row r="11" spans="1:50" x14ac:dyDescent="0.25">
      <c r="A11" t="str">
        <f t="shared" si="0"/>
        <v/>
      </c>
      <c r="B11">
        <f t="shared" si="1"/>
        <v>0</v>
      </c>
      <c r="C11" s="148">
        <v>6</v>
      </c>
      <c r="D11" s="148"/>
      <c r="E11" s="806"/>
      <c r="F11" s="690" t="str">
        <f>IF(Welcome!$D$10="Select # of Locations","",IF($C11&lt;=Welcome!$D$10,$C11,""))</f>
        <v/>
      </c>
      <c r="G11" s="697"/>
      <c r="H11" s="698" t="str">
        <f>IF($C$4&gt;=$C11,IF(SUMIF('Existing Customers'!$A:$A,'Customer Inputs'!$G11,'Existing Customers'!$Q:$Q)=0,"Enter Spend&gt;&gt;&gt;",ROUND(SUMIF('Existing Customers'!$A:$A,'Customer Inputs'!$G11,'Existing Customers'!$Q:$Q),0)),"")</f>
        <v/>
      </c>
      <c r="I11" s="699" t="str">
        <f>IF($F11="","",'Multi-Customer'!$CN47)</f>
        <v/>
      </c>
      <c r="J11" s="759" t="str">
        <f>IF($F11="","",IFERROR(VLOOKUP($G11,'Existing Customers'!$A:$F,6,FALSE),"Enter Menu Type&gt;&gt;"))</f>
        <v/>
      </c>
      <c r="K11" s="671" t="str">
        <f>IFERROR(IF($C$4&gt;=$C11,VLOOKUP($G11,'Existing Customers'!$A:$J,10,FALSE),""),"Enter Zip Code &gt;")</f>
        <v/>
      </c>
      <c r="L11" s="700" t="str">
        <f>IF($F11="","",'Multi-Customer'!$CN48)</f>
        <v/>
      </c>
      <c r="M11" s="701"/>
      <c r="N11" s="726"/>
      <c r="O11" s="756"/>
      <c r="P11" s="850"/>
      <c r="Q11" s="709"/>
      <c r="R11" s="805" t="str">
        <f>IF($F11="","",'Variable Costs (Back)'!$A20)</f>
        <v/>
      </c>
      <c r="S11" s="716"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B11" s="141"/>
      <c r="AC11" s="141"/>
      <c r="AD11" s="141"/>
      <c r="AE11" s="141"/>
      <c r="AF11" s="141"/>
      <c r="AG11" s="141"/>
      <c r="AH11" s="141"/>
      <c r="AI11" s="141"/>
      <c r="AJ11" s="141"/>
      <c r="AK11" s="141"/>
      <c r="AL11" s="141"/>
      <c r="AM11" s="141"/>
      <c r="AN11" s="141"/>
      <c r="AO11" s="141"/>
      <c r="AP11" s="141"/>
      <c r="AQ11" s="141"/>
      <c r="AR11" s="141"/>
      <c r="AS11" s="141"/>
      <c r="AT11" s="141"/>
      <c r="AU11" s="141"/>
      <c r="AV11" s="141"/>
      <c r="AW11" s="141"/>
      <c r="AX11" s="141"/>
    </row>
    <row r="12" spans="1:50" x14ac:dyDescent="0.25">
      <c r="A12" t="str">
        <f t="shared" si="0"/>
        <v/>
      </c>
      <c r="B12">
        <f t="shared" si="1"/>
        <v>0</v>
      </c>
      <c r="C12" s="148">
        <v>7</v>
      </c>
      <c r="D12" s="148"/>
      <c r="E12" s="806"/>
      <c r="F12" s="690" t="str">
        <f>IF(Welcome!$D$10="Select # of Locations","",IF($C12&lt;=Welcome!$D$10,$C12,""))</f>
        <v/>
      </c>
      <c r="G12" s="697"/>
      <c r="H12" s="698" t="str">
        <f>IF($C$4&gt;=$C12,IF(SUMIF('Existing Customers'!$A:$A,'Customer Inputs'!$G12,'Existing Customers'!$Q:$Q)=0,"Enter Spend&gt;&gt;&gt;",ROUND(SUMIF('Existing Customers'!$A:$A,'Customer Inputs'!$G12,'Existing Customers'!$Q:$Q),0)),"")</f>
        <v/>
      </c>
      <c r="I12" s="699" t="str">
        <f>IF($F12="","",'Multi-Customer'!$CW47)</f>
        <v/>
      </c>
      <c r="J12" s="759" t="str">
        <f>IF($F12="","",IFERROR(VLOOKUP($G12,'Existing Customers'!$A:$F,6,FALSE),"Enter Menu Type&gt;&gt;"))</f>
        <v/>
      </c>
      <c r="K12" s="671" t="str">
        <f>IFERROR(IF($C$4&gt;=$C12,VLOOKUP($G12,'Existing Customers'!$A:$J,10,FALSE),""),"Enter Zip Code &gt;")</f>
        <v/>
      </c>
      <c r="L12" s="700" t="str">
        <f>IF($F12="","",'Multi-Customer'!$CW48)</f>
        <v/>
      </c>
      <c r="M12" s="701"/>
      <c r="N12" s="726"/>
      <c r="O12" s="756"/>
      <c r="P12" s="850"/>
      <c r="Q12" s="709"/>
      <c r="R12" s="805" t="str">
        <f>IF($F12="","",'Variable Costs (Back)'!$A21)</f>
        <v/>
      </c>
      <c r="S12" s="716"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B12" s="141"/>
      <c r="AC12" s="141"/>
      <c r="AD12" s="141"/>
      <c r="AE12" s="141"/>
      <c r="AF12" s="141"/>
      <c r="AG12" s="141"/>
      <c r="AH12" s="141"/>
      <c r="AI12" s="141"/>
      <c r="AJ12" s="141"/>
      <c r="AK12" s="141"/>
      <c r="AL12" s="141"/>
      <c r="AM12" s="141"/>
      <c r="AN12" s="141"/>
      <c r="AO12" s="141"/>
      <c r="AP12" s="141"/>
      <c r="AQ12" s="141"/>
      <c r="AR12" s="141"/>
      <c r="AS12" s="141"/>
      <c r="AT12" s="141"/>
      <c r="AU12" s="141"/>
      <c r="AV12" s="141"/>
      <c r="AW12" s="141"/>
      <c r="AX12" s="141"/>
    </row>
    <row r="13" spans="1:50" x14ac:dyDescent="0.25">
      <c r="A13" t="str">
        <f t="shared" si="0"/>
        <v/>
      </c>
      <c r="B13">
        <f t="shared" si="1"/>
        <v>0</v>
      </c>
      <c r="C13" s="148">
        <v>8</v>
      </c>
      <c r="D13" s="148"/>
      <c r="E13" s="806"/>
      <c r="F13" s="690" t="str">
        <f>IF(Welcome!$D$10="Select # of Locations","",IF($C13&lt;=Welcome!$D$10,$C13,""))</f>
        <v/>
      </c>
      <c r="G13" s="697"/>
      <c r="H13" s="698" t="str">
        <f>IF($C$4&gt;=$C13,IF(SUMIF('Existing Customers'!$A:$A,'Customer Inputs'!$G13,'Existing Customers'!$Q:$Q)=0,"Enter Spend&gt;&gt;&gt;",ROUND(SUMIF('Existing Customers'!$A:$A,'Customer Inputs'!$G13,'Existing Customers'!$Q:$Q),0)),"")</f>
        <v/>
      </c>
      <c r="I13" s="699" t="str">
        <f>IF($F13="","",'Multi-Customer'!$DF47)</f>
        <v/>
      </c>
      <c r="J13" s="759" t="str">
        <f>IF($F13="","",IFERROR(VLOOKUP($G13,'Existing Customers'!$A:$F,6,FALSE),"Enter Menu Type&gt;&gt;"))</f>
        <v/>
      </c>
      <c r="K13" s="671" t="str">
        <f>IFERROR(IF($C$4&gt;=$C13,VLOOKUP($G13,'Existing Customers'!$A:$J,10,FALSE),""),"Enter Zip Code &gt;")</f>
        <v/>
      </c>
      <c r="L13" s="700" t="str">
        <f>IF($F13="","",'Multi-Customer'!$DF48)</f>
        <v/>
      </c>
      <c r="M13" s="701"/>
      <c r="N13" s="726"/>
      <c r="O13" s="756"/>
      <c r="P13" s="850"/>
      <c r="Q13" s="709"/>
      <c r="R13" s="805" t="str">
        <f>IF($F13="","",'Variable Costs (Back)'!$A22)</f>
        <v/>
      </c>
      <c r="S13" s="716"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B13" s="141"/>
      <c r="AC13" s="141"/>
      <c r="AD13" s="141"/>
      <c r="AE13" s="141"/>
      <c r="AF13" s="141"/>
      <c r="AG13" s="141"/>
      <c r="AH13" s="141"/>
      <c r="AI13" s="141"/>
      <c r="AJ13" s="141"/>
      <c r="AK13" s="141"/>
      <c r="AL13" s="141"/>
      <c r="AM13" s="141"/>
      <c r="AN13" s="141"/>
      <c r="AO13" s="141"/>
      <c r="AP13" s="141"/>
      <c r="AQ13" s="141"/>
      <c r="AR13" s="141"/>
      <c r="AS13" s="141"/>
      <c r="AT13" s="141"/>
      <c r="AU13" s="141"/>
      <c r="AV13" s="141"/>
      <c r="AW13" s="141"/>
      <c r="AX13" s="141"/>
    </row>
    <row r="14" spans="1:50" x14ac:dyDescent="0.25">
      <c r="A14" t="str">
        <f t="shared" si="0"/>
        <v/>
      </c>
      <c r="B14">
        <f t="shared" si="1"/>
        <v>0</v>
      </c>
      <c r="C14" s="148">
        <v>9</v>
      </c>
      <c r="D14" s="148"/>
      <c r="E14" s="806"/>
      <c r="F14" s="690" t="str">
        <f>IF(Welcome!$D$10="Select # of Locations","",IF($C14&lt;=Welcome!$D$10,$C14,""))</f>
        <v/>
      </c>
      <c r="G14" s="697"/>
      <c r="H14" s="698" t="str">
        <f>IF($C$4&gt;=$C14,IF(SUMIF('Existing Customers'!$A:$A,'Customer Inputs'!$G14,'Existing Customers'!$Q:$Q)=0,"Enter Spend&gt;&gt;&gt;",ROUND(SUMIF('Existing Customers'!$A:$A,'Customer Inputs'!$G14,'Existing Customers'!$Q:$Q),0)),"")</f>
        <v/>
      </c>
      <c r="I14" s="699" t="str">
        <f>IF($F14="","",'Multi-Customer'!$DO47)</f>
        <v/>
      </c>
      <c r="J14" s="759" t="str">
        <f>IF($F14="","",IFERROR(VLOOKUP($G14,'Existing Customers'!$A:$F,6,FALSE),"Enter Menu Type&gt;&gt;"))</f>
        <v/>
      </c>
      <c r="K14" s="671" t="str">
        <f>IFERROR(IF($C$4&gt;=$C14,VLOOKUP($G14,'Existing Customers'!$A:$J,10,FALSE),""),"Enter Zip Code &gt;")</f>
        <v/>
      </c>
      <c r="L14" s="700" t="str">
        <f>IF($F14="","",'Multi-Customer'!$DO48)</f>
        <v/>
      </c>
      <c r="M14" s="701"/>
      <c r="N14" s="726"/>
      <c r="O14" s="756"/>
      <c r="P14" s="850"/>
      <c r="Q14" s="709"/>
      <c r="R14" s="805" t="str">
        <f>IF($F14="","",'Variable Costs (Back)'!$A23)</f>
        <v/>
      </c>
      <c r="S14" s="716"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B14" s="141"/>
      <c r="AC14" s="141"/>
      <c r="AD14" s="141"/>
      <c r="AE14" s="141"/>
      <c r="AF14" s="141"/>
      <c r="AG14" s="141"/>
      <c r="AH14" s="141"/>
      <c r="AI14" s="141"/>
      <c r="AJ14" s="141"/>
      <c r="AK14" s="141"/>
      <c r="AL14" s="141"/>
      <c r="AM14" s="141"/>
      <c r="AN14" s="141"/>
      <c r="AO14" s="141"/>
      <c r="AP14" s="141"/>
      <c r="AQ14" s="141"/>
      <c r="AR14" s="141"/>
      <c r="AS14" s="141"/>
      <c r="AT14" s="141"/>
      <c r="AU14" s="141"/>
      <c r="AV14" s="141"/>
      <c r="AW14" s="141"/>
      <c r="AX14" s="141"/>
    </row>
    <row r="15" spans="1:50" ht="15.75" thickBot="1" x14ac:dyDescent="0.3">
      <c r="A15" t="str">
        <f t="shared" si="0"/>
        <v/>
      </c>
      <c r="B15">
        <f t="shared" si="1"/>
        <v>0</v>
      </c>
      <c r="C15" s="148">
        <v>10</v>
      </c>
      <c r="D15" s="148"/>
      <c r="E15" s="806"/>
      <c r="F15" s="691" t="str">
        <f>IF(Welcome!$D$10="Select # of Locations","",IF($C15&lt;=Welcome!$D$10,$C15,""))</f>
        <v/>
      </c>
      <c r="G15" s="702"/>
      <c r="H15" s="703" t="str">
        <f>IF($C$4&gt;=$C15,IF(SUMIF('Existing Customers'!$A:$A,'Customer Inputs'!$G15,'Existing Customers'!$Q:$Q)=0,"Enter Spend&gt;&gt;&gt;",ROUND(SUMIF('Existing Customers'!$A:$A,'Customer Inputs'!$G15,'Existing Customers'!$Q:$Q),0)),"")</f>
        <v/>
      </c>
      <c r="I15" s="704" t="str">
        <f>IF($F15="","",'Multi-Customer'!$DX47)</f>
        <v/>
      </c>
      <c r="J15" s="760" t="str">
        <f>IF($F15="","",IFERROR(VLOOKUP($G15,'Existing Customers'!$A:$F,6,FALSE),"Enter Menu Type&gt;&gt;"))</f>
        <v/>
      </c>
      <c r="K15" s="705" t="str">
        <f>IFERROR(IF($C$4&gt;=$C15,VLOOKUP($G15,'Existing Customers'!$A:$J,10,FALSE),""),"Enter Zip Code &gt;")</f>
        <v/>
      </c>
      <c r="L15" s="706" t="str">
        <f>IF($F15="","",'Multi-Customer'!$DX48)</f>
        <v/>
      </c>
      <c r="M15" s="707"/>
      <c r="N15" s="727"/>
      <c r="O15" s="757"/>
      <c r="P15" s="851"/>
      <c r="Q15" s="710"/>
      <c r="R15" s="805" t="str">
        <f>IF($F15="","",'Variable Costs (Back)'!$A24)</f>
        <v/>
      </c>
      <c r="S15" s="716"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c r="AG15" s="141"/>
      <c r="AH15" s="141"/>
      <c r="AI15" s="141"/>
      <c r="AJ15" s="141"/>
      <c r="AK15" s="141"/>
      <c r="AL15" s="141"/>
      <c r="AM15" s="141"/>
      <c r="AN15" s="141"/>
      <c r="AO15" s="141"/>
      <c r="AP15" s="141"/>
      <c r="AQ15" s="141"/>
      <c r="AR15" s="141"/>
      <c r="AS15" s="141"/>
      <c r="AT15" s="141"/>
      <c r="AU15" s="141"/>
      <c r="AV15" s="141"/>
      <c r="AW15" s="141"/>
      <c r="AX15" s="141"/>
    </row>
    <row r="16" spans="1:50" ht="15.75" thickBot="1" x14ac:dyDescent="0.3">
      <c r="E16" s="719"/>
      <c r="F16" s="141"/>
      <c r="G16" s="141"/>
      <c r="H16" s="721"/>
      <c r="I16" s="141"/>
      <c r="J16" s="141"/>
      <c r="K16" s="141"/>
      <c r="L16" s="141"/>
      <c r="M16" s="141"/>
      <c r="N16" s="141"/>
      <c r="O16" s="141"/>
      <c r="P16" s="141"/>
      <c r="Q16" s="141"/>
      <c r="R16" s="720"/>
      <c r="S16" s="141">
        <f>COUNTIF($S$6:$S$15,"Enter Drops &gt;")</f>
        <v>0</v>
      </c>
      <c r="T16" s="141"/>
      <c r="U16" s="141"/>
      <c r="V16" s="794">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c r="AX16" s="141"/>
    </row>
    <row r="17" spans="5:50" ht="14.45" customHeight="1" x14ac:dyDescent="0.25">
      <c r="E17" s="719"/>
      <c r="F17" s="141"/>
      <c r="G17" s="909" t="s">
        <v>970</v>
      </c>
      <c r="H17" s="907">
        <f>SUM($H$6:$H$15)</f>
        <v>0</v>
      </c>
      <c r="I17" s="141"/>
      <c r="J17" s="141"/>
      <c r="K17" s="911" t="s">
        <v>969</v>
      </c>
      <c r="L17" s="912"/>
      <c r="M17" s="907">
        <f>SUMIF($F$6:$F$15,"&gt;0",$M$6:$M$15)</f>
        <v>0</v>
      </c>
      <c r="N17" s="915" t="str">
        <f>IF(Welcome!$D$10="Select # of Locations","",IF(AND(Welcome!D6="Incentive Only",M17&lt;150000),"Annual sales must exceed $150,000 for ALC",IF(AND(Welcome!D6="MDA",M17&lt;250000),"Annual sales must exceed $250,000 for ALC",IF(M17&gt;2500000,"Annual sales cannot exceed $2.5M for ALC",""))))</f>
        <v/>
      </c>
      <c r="O17" s="916"/>
      <c r="P17" s="141"/>
      <c r="Q17" s="141"/>
      <c r="R17" s="720"/>
      <c r="S17" s="141"/>
      <c r="T17" s="141"/>
      <c r="U17" s="141"/>
      <c r="V17" s="141"/>
      <c r="W17" s="141" t="s">
        <v>1121</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c r="AX17" s="141"/>
    </row>
    <row r="18" spans="5:50" ht="15.75" thickBot="1" x14ac:dyDescent="0.3">
      <c r="E18" s="719"/>
      <c r="F18" s="141"/>
      <c r="G18" s="910"/>
      <c r="H18" s="908"/>
      <c r="I18" s="141"/>
      <c r="J18" s="141"/>
      <c r="K18" s="913"/>
      <c r="L18" s="914"/>
      <c r="M18" s="908"/>
      <c r="N18" s="915"/>
      <c r="O18" s="916"/>
      <c r="P18" s="141"/>
      <c r="Q18" s="141"/>
      <c r="R18" s="720"/>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c r="AX18" s="141"/>
    </row>
    <row r="19" spans="5:50" ht="19.149999999999999" customHeight="1" thickBot="1" x14ac:dyDescent="0.3">
      <c r="E19" s="722"/>
      <c r="F19" s="723"/>
      <c r="G19" s="723"/>
      <c r="H19" s="723"/>
      <c r="I19" s="723"/>
      <c r="J19" s="723"/>
      <c r="K19" s="774"/>
      <c r="L19" s="297"/>
      <c r="M19" s="775"/>
      <c r="N19" s="775"/>
      <c r="O19" s="723"/>
      <c r="P19" s="723"/>
      <c r="Q19" s="723"/>
      <c r="R19" s="724"/>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c r="AX19" s="141"/>
    </row>
    <row r="20" spans="5:50"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c r="AX20" s="141"/>
    </row>
    <row r="21" spans="5:50"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c r="AX21" s="141"/>
    </row>
    <row r="22" spans="5:50"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c r="AX22" s="141"/>
    </row>
    <row r="23" spans="5:50"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c r="AX23" s="141"/>
    </row>
    <row r="24" spans="5:50"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c r="AX24" s="141"/>
    </row>
    <row r="25" spans="5:50"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c r="AX25" s="141"/>
    </row>
    <row r="26" spans="5:50"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c r="AX26" s="141"/>
    </row>
    <row r="27" spans="5:50"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c r="AX27" s="141"/>
    </row>
    <row r="28" spans="5:50"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c r="AX28" s="141"/>
    </row>
    <row r="29" spans="5:50"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c r="AX29" s="141"/>
    </row>
    <row r="30" spans="5:50"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c r="AX30" s="141"/>
    </row>
    <row r="31" spans="5:50"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c r="AX31" s="141"/>
    </row>
    <row r="32" spans="5:50"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c r="AX32" s="141"/>
    </row>
    <row r="33" spans="5:50"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c r="AX33" s="141"/>
    </row>
    <row r="34" spans="5:50"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c r="AX34" s="141"/>
    </row>
    <row r="35" spans="5:50"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c r="AX35" s="141"/>
    </row>
    <row r="36" spans="5:50"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c r="AX36" s="141"/>
    </row>
    <row r="37" spans="5:50"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c r="AX37" s="141"/>
    </row>
    <row r="38" spans="5:50"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c r="AX38" s="141"/>
    </row>
    <row r="39" spans="5:50"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c r="AX39" s="141"/>
    </row>
    <row r="40" spans="5:50"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c r="AX40" s="141"/>
    </row>
    <row r="41" spans="5:50"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c r="AX41" s="141"/>
    </row>
    <row r="42" spans="5:50"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c r="AX42" s="141"/>
    </row>
    <row r="43" spans="5:50"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c r="AX43" s="141"/>
    </row>
    <row r="44" spans="5:50"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c r="AX44" s="141"/>
    </row>
    <row r="45" spans="5:50"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c r="AX45" s="141"/>
    </row>
    <row r="46" spans="5:50"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c r="AX46" s="141"/>
    </row>
    <row r="47" spans="5:50"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c r="AX47" s="141"/>
    </row>
    <row r="48" spans="5:50"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c r="AX48" s="141"/>
    </row>
    <row r="49" spans="5:50"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c r="AX49" s="141"/>
    </row>
    <row r="50" spans="5:50"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c r="AX50" s="141"/>
    </row>
  </sheetData>
  <sheetProtection algorithmName="SHA-512" hashValue="+Db5yDfV1MY0TEJflIvPms9jJ2kZfp2PbP0TBX+MOs1TB/QYNrHZdK1Gpy/WyryDV0/zfTKQt87n6AIpyC3+Ig==" saltValue="pgTcMK8hEv/WAL8qLvLPgQ==" spinCount="100000" sheet="1" selectLockedCells="1"/>
  <mergeCells count="8">
    <mergeCell ref="F2:G2"/>
    <mergeCell ref="L3:N3"/>
    <mergeCell ref="L4:N4"/>
    <mergeCell ref="M17:M18"/>
    <mergeCell ref="G17:G18"/>
    <mergeCell ref="H17:H18"/>
    <mergeCell ref="K17:L18"/>
    <mergeCell ref="N17:O18"/>
  </mergeCells>
  <conditionalFormatting sqref="O6:Q15">
    <cfRule type="expression" dxfId="92" priority="7">
      <formula>$H6&lt;&gt;"Enter Spend&gt;&gt;&gt;"</formula>
    </cfRule>
  </conditionalFormatting>
  <conditionalFormatting sqref="G6:G15">
    <cfRule type="notContainsBlanks" dxfId="91" priority="4">
      <formula>LEN(TRIM(G6))&gt;0</formula>
    </cfRule>
    <cfRule type="expression" dxfId="90" priority="5">
      <formula>$F6&lt;&gt;""</formula>
    </cfRule>
  </conditionalFormatting>
  <conditionalFormatting sqref="L6:L15 I6:I15">
    <cfRule type="expression" dxfId="89" priority="3">
      <formula>N6&lt;&gt;""</formula>
    </cfRule>
  </conditionalFormatting>
  <conditionalFormatting sqref="M6:Q15">
    <cfRule type="expression" dxfId="88" priority="8">
      <formula>$F6=""</formula>
    </cfRule>
    <cfRule type="notContainsBlanks" dxfId="87" priority="9">
      <formula>LEN(TRIM(M6))&gt;0</formula>
    </cfRule>
  </conditionalFormatting>
  <conditionalFormatting sqref="P6:P15">
    <cfRule type="expression" dxfId="86" priority="1">
      <formula>$R6="Zip Code Not Serviced"</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61" orientation="landscape" r:id="rId1"/>
  <headerFooter scaleWithDoc="0">
    <oddFooter>&amp;L&amp;P&amp;CCustomer Inputs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J10" sqref="AJ10"/>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73" t="s">
        <v>213</v>
      </c>
      <c r="E1" s="146"/>
      <c r="F1" s="146"/>
      <c r="G1" s="148"/>
      <c r="H1" s="148"/>
      <c r="I1" s="148"/>
      <c r="J1" s="148"/>
      <c r="K1" s="574"/>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73"/>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46" t="s">
        <v>381</v>
      </c>
      <c r="E3" s="446" t="str">
        <f>Welcome!$D$6</f>
        <v>Select Deal Type</v>
      </c>
      <c r="F3" s="146"/>
      <c r="G3" s="546" t="s">
        <v>110</v>
      </c>
      <c r="H3" s="928" t="e">
        <f>VLOOKUP($H$4,'Market Geography'!$D:$G,4,FALSE)</f>
        <v>#N/A</v>
      </c>
      <c r="I3" s="929"/>
      <c r="J3" s="929"/>
      <c r="K3" s="930"/>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47" t="s">
        <v>216</v>
      </c>
      <c r="E4" s="414" t="str">
        <f>Welcome!$D$8</f>
        <v>Select Term</v>
      </c>
      <c r="F4" s="146"/>
      <c r="G4" s="547" t="s">
        <v>120</v>
      </c>
      <c r="H4" s="925">
        <f>Welcome!$D$4</f>
        <v>0</v>
      </c>
      <c r="I4" s="926"/>
      <c r="J4" s="926"/>
      <c r="K4" s="927"/>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47" t="s">
        <v>202</v>
      </c>
      <c r="E5" s="150">
        <f>$G$31</f>
        <v>0</v>
      </c>
      <c r="F5" s="146"/>
      <c r="G5" s="547" t="s">
        <v>107</v>
      </c>
      <c r="H5" s="925" t="str">
        <f>'Multi-Customer'!$M$47</f>
        <v>Enter Customer(s)</v>
      </c>
      <c r="I5" s="926"/>
      <c r="J5" s="926"/>
      <c r="K5" s="927"/>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47" t="s">
        <v>493</v>
      </c>
      <c r="E6" s="151">
        <f>IFERROR('Variable Costs (Back)'!$K$26,0)</f>
        <v>0</v>
      </c>
      <c r="F6" s="146"/>
      <c r="G6" s="547" t="s">
        <v>410</v>
      </c>
      <c r="H6" s="925" t="str">
        <f>'Multi-Customer'!$M$83</f>
        <v>MULTIPLE MENU TYPES</v>
      </c>
      <c r="I6" s="926"/>
      <c r="J6" s="926"/>
      <c r="K6" s="927"/>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48" t="s">
        <v>547</v>
      </c>
      <c r="E7" s="447">
        <f>IFERROR('PIM Ranges'!$AU$3,0)</f>
        <v>0</v>
      </c>
      <c r="F7" s="146"/>
      <c r="G7" s="548" t="s">
        <v>225</v>
      </c>
      <c r="H7" s="931" t="s">
        <v>211</v>
      </c>
      <c r="I7" s="932"/>
      <c r="J7" s="932"/>
      <c r="K7" s="933"/>
      <c r="L7" s="146"/>
      <c r="M7" s="146"/>
      <c r="N7" s="146"/>
      <c r="O7" s="146"/>
      <c r="P7" s="146"/>
      <c r="Q7" s="574"/>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88"/>
      <c r="H8" s="141"/>
      <c r="I8" s="141"/>
      <c r="J8" s="141"/>
      <c r="K8" s="146"/>
      <c r="L8" s="146"/>
      <c r="M8" s="146"/>
      <c r="N8" s="146"/>
      <c r="O8" s="541"/>
      <c r="P8" s="646" t="str">
        <f>IF($E$3="MDA","Contract Margin %","Margin % Used For Modeling")</f>
        <v>Margin % Used For Modeling</v>
      </c>
      <c r="Q8" s="541"/>
      <c r="R8" s="141"/>
      <c r="S8" s="153"/>
      <c r="T8" s="154" t="s">
        <v>522</v>
      </c>
      <c r="U8" s="153"/>
      <c r="V8" s="146"/>
      <c r="W8" s="438" t="s">
        <v>512</v>
      </c>
      <c r="X8" s="146"/>
      <c r="Y8" s="550" t="s">
        <v>1019</v>
      </c>
      <c r="Z8" s="146"/>
      <c r="AA8" s="146"/>
      <c r="AB8" s="146"/>
      <c r="AC8" s="146"/>
      <c r="AD8" s="146"/>
      <c r="AE8" s="146"/>
      <c r="AF8" s="146"/>
      <c r="AG8" s="146"/>
      <c r="AH8" s="146"/>
      <c r="AI8" s="146"/>
      <c r="AJ8" s="146"/>
      <c r="AK8" s="146"/>
      <c r="AL8" s="146"/>
      <c r="AM8" s="146"/>
    </row>
    <row r="9" spans="1:39" ht="30" customHeight="1" thickBot="1" x14ac:dyDescent="0.3">
      <c r="A9" s="146"/>
      <c r="B9" s="571" t="s">
        <v>984</v>
      </c>
      <c r="C9" s="572" t="s">
        <v>1065</v>
      </c>
      <c r="D9" s="572" t="s">
        <v>513</v>
      </c>
      <c r="E9" s="440" t="s">
        <v>479</v>
      </c>
      <c r="F9" s="155" t="s">
        <v>108</v>
      </c>
      <c r="G9" s="156" t="s">
        <v>82</v>
      </c>
      <c r="H9" s="157" t="s">
        <v>83</v>
      </c>
      <c r="I9" s="158" t="s">
        <v>518</v>
      </c>
      <c r="J9" s="155" t="s">
        <v>412</v>
      </c>
      <c r="K9" s="159" t="s">
        <v>232</v>
      </c>
      <c r="L9" s="160"/>
      <c r="M9" s="161" t="s">
        <v>1015</v>
      </c>
      <c r="N9" s="162"/>
      <c r="O9" s="543" t="s">
        <v>127</v>
      </c>
      <c r="P9" s="542" t="str">
        <f>IF($E$3="Incentive Only","Incentive Only","Recommended")</f>
        <v>Recommended</v>
      </c>
      <c r="Q9" s="544" t="s">
        <v>129</v>
      </c>
      <c r="R9" s="141"/>
      <c r="S9" s="163" t="s">
        <v>127</v>
      </c>
      <c r="T9" s="164" t="s">
        <v>128</v>
      </c>
      <c r="U9" s="165" t="s">
        <v>129</v>
      </c>
      <c r="V9" s="146"/>
      <c r="W9" s="439" t="s">
        <v>128</v>
      </c>
      <c r="X9" s="146"/>
      <c r="Y9" s="439" t="s">
        <v>128</v>
      </c>
      <c r="Z9" s="146"/>
      <c r="AA9" s="146"/>
      <c r="AB9" s="148"/>
      <c r="AD9" s="166" t="s">
        <v>715</v>
      </c>
      <c r="AE9" s="146"/>
      <c r="AF9" s="732" t="s">
        <v>1071</v>
      </c>
      <c r="AG9" s="146" t="s">
        <v>1072</v>
      </c>
      <c r="AH9" s="146" t="s">
        <v>501</v>
      </c>
      <c r="AI9" s="146"/>
      <c r="AJ9" s="146"/>
      <c r="AK9" s="146"/>
      <c r="AL9" s="146"/>
      <c r="AM9" s="146"/>
    </row>
    <row r="10" spans="1:39" ht="17.25" x14ac:dyDescent="0.25">
      <c r="A10" s="146"/>
      <c r="B10" s="677">
        <v>0</v>
      </c>
      <c r="C10" s="683"/>
      <c r="D10" s="867" t="s">
        <v>496</v>
      </c>
      <c r="E10" s="678" t="s">
        <v>1024</v>
      </c>
      <c r="F10" s="167" t="s">
        <v>99</v>
      </c>
      <c r="G10" s="737">
        <f>IFERROR('PIM Ranges'!AL12,0)</f>
        <v>0</v>
      </c>
      <c r="H10" s="738">
        <f>IFERROR('PIM Ranges'!AM12,0)</f>
        <v>0</v>
      </c>
      <c r="I10" s="739">
        <f>IFERROR('PIM Ranges'!AN12,0)</f>
        <v>0</v>
      </c>
      <c r="J10" s="444">
        <f>IF($E$3="Incentive Only",IF($D10="%",$P10*$G10,$P10*$I10),IF($D10="%",$K10*$G10,$K10*I10))</f>
        <v>0</v>
      </c>
      <c r="K10" s="828"/>
      <c r="L10" s="804" t="str">
        <f>IF($E$3="Incentive Only","",IF(K10="","",IF(K10&lt;O10,"X",IF(K10&gt;Q10,"X",""))))</f>
        <v/>
      </c>
      <c r="M10" s="744">
        <f>'Multi-Customer'!Y12</f>
        <v>0</v>
      </c>
      <c r="N10" s="168"/>
      <c r="O10" s="746">
        <f>IFERROR(IF($D10="%",VLOOKUP($F10&amp;'PIM Ranges'!$AQ12,'Margin Quartiles'!$A:$H,5,FALSE),S10),0)</f>
        <v>0</v>
      </c>
      <c r="P10" s="746">
        <f>IFERROR(IF($E$3="Incentive Only",$W10,IF($D10="%",VLOOKUP($F10&amp;'PIM Ranges'!$AQ12,'Margin Quartiles'!$A:$H,6,FALSE),T10)),0)</f>
        <v>0</v>
      </c>
      <c r="Q10" s="746">
        <f>IFERROR(IF($D10="%",VLOOKUP($F10&amp;'PIM Ranges'!$AQ12,'Margin Quartiles'!$A:$H,7,FALSE),U10),0)</f>
        <v>0</v>
      </c>
      <c r="R10" s="570"/>
      <c r="S10" s="169"/>
      <c r="T10" s="169"/>
      <c r="U10" s="169"/>
      <c r="V10" s="146"/>
      <c r="W10" s="169" t="e">
        <f>'Multi-Customer'!AO12</f>
        <v>#DIV/0!</v>
      </c>
      <c r="X10" s="146"/>
      <c r="Y10" s="169"/>
      <c r="Z10" s="146"/>
      <c r="AA10" s="146"/>
      <c r="AB10" s="416" t="str">
        <f>IF($E$3="Incentive Only","",IF($H10&gt;0,IF(E10="Include",IF($K10&lt;&gt;"","","ERROR"),""),""))</f>
        <v/>
      </c>
      <c r="AC10" s="170">
        <f>IF($E$3="Incentive Only","N/A for Incentive Only Customer",K10)</f>
        <v>0</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79">
        <v>0</v>
      </c>
      <c r="C11" s="684"/>
      <c r="D11" s="854" t="s">
        <v>496</v>
      </c>
      <c r="E11" s="680" t="s">
        <v>1024</v>
      </c>
      <c r="F11" s="171" t="s">
        <v>529</v>
      </c>
      <c r="G11" s="740">
        <f>IFERROR('PIM Ranges'!AL13,0)</f>
        <v>0</v>
      </c>
      <c r="H11" s="741">
        <f>IFERROR('PIM Ranges'!AM13,0)</f>
        <v>0</v>
      </c>
      <c r="I11" s="742">
        <f>IFERROR('PIM Ranges'!AN13,0)</f>
        <v>0</v>
      </c>
      <c r="J11" s="444">
        <f t="shared" ref="J11:J30" si="0">IF($E$3="Incentive Only",IF($D11="%",$P11*$G11,$P11*$I11),IF($D11="%",$K11*$G11,$K11*I11))</f>
        <v>0</v>
      </c>
      <c r="K11" s="828"/>
      <c r="L11" s="804" t="str">
        <f t="shared" ref="L11:L30" si="1">IF($E$3="Incentive Only","",IF(K11="","",IF(K11&lt;O11,"X",IF(K11&gt;Q11,"X",""))))</f>
        <v/>
      </c>
      <c r="M11" s="744">
        <f>'Multi-Customer'!Y13</f>
        <v>0</v>
      </c>
      <c r="N11" s="168"/>
      <c r="O11" s="746">
        <f>IFERROR(IF($D11="%",VLOOKUP($F11&amp;'PIM Ranges'!$AQ13,'Margin Quartiles'!$A:$H,5,FALSE),S11),0)</f>
        <v>0</v>
      </c>
      <c r="P11" s="746">
        <f>IFERROR(IF($E$3="Incentive Only",$W11,IF($D11="%",VLOOKUP($F11&amp;'PIM Ranges'!$AQ13,'Margin Quartiles'!$A:$H,6,FALSE),T11)),0)</f>
        <v>0</v>
      </c>
      <c r="Q11" s="746">
        <f>IFERROR(IF($D11="%",VLOOKUP($F11&amp;'PIM Ranges'!$AQ13,'Margin Quartiles'!$A:$H,7,FALSE),U11),0)</f>
        <v>0</v>
      </c>
      <c r="R11" s="570"/>
      <c r="S11" s="437" t="e">
        <f>VLOOKUP($F11&amp;'PIM Ranges'!$AQ13,'Margin Quartiles'!$A:$H,5,FALSE)*'PIM Ranges'!$AP13</f>
        <v>#DIV/0!</v>
      </c>
      <c r="T11" s="437" t="e">
        <f>VLOOKUP($F11&amp;'PIM Ranges'!$AQ13,'Margin Quartiles'!$A:$H,6,FALSE)*'PIM Ranges'!$AP13</f>
        <v>#DIV/0!</v>
      </c>
      <c r="U11" s="437" t="e">
        <f>VLOOKUP($F11&amp;'PIM Ranges'!$AQ13,'Margin Quartiles'!$A:$H,8,FALSE)*'PIM Ranges'!$AP13</f>
        <v>#DIV/0!</v>
      </c>
      <c r="V11" s="146"/>
      <c r="W11" s="169" t="e">
        <f>'Multi-Customer'!AO13</f>
        <v>#DIV/0!</v>
      </c>
      <c r="X11" s="146"/>
      <c r="Y11" s="437">
        <f>VLOOKUP($F11&amp;'Multi-Customer'!$AG13,'IMargin Quartiles'!$A:$H,6,FALSE)*'PIM Ranges'!AP13</f>
        <v>0.5799402185190482</v>
      </c>
      <c r="Z11" s="146"/>
      <c r="AA11" s="146"/>
      <c r="AB11" s="416" t="str">
        <f t="shared" ref="AB11:AB30" si="2">IF($E$3="Incentive Only","",IF($H11&gt;0,IF(E11="Include",IF($K11&lt;&gt;"","","ERROR"),""),""))</f>
        <v/>
      </c>
      <c r="AC11" s="170">
        <f t="shared" ref="AC11:AC30" si="3">IF($E$3="Incentive Only","N/A for Incentive Only Customer",K11)</f>
        <v>0</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79">
        <v>0</v>
      </c>
      <c r="C12" s="684"/>
      <c r="D12" s="854" t="s">
        <v>496</v>
      </c>
      <c r="E12" s="680" t="s">
        <v>1024</v>
      </c>
      <c r="F12" s="171" t="s">
        <v>530</v>
      </c>
      <c r="G12" s="740">
        <f>IFERROR('PIM Ranges'!AL14,0)</f>
        <v>0</v>
      </c>
      <c r="H12" s="741">
        <f>IFERROR('PIM Ranges'!AM14,0)</f>
        <v>0</v>
      </c>
      <c r="I12" s="742">
        <f>IFERROR('PIM Ranges'!AN14,0)</f>
        <v>0</v>
      </c>
      <c r="J12" s="444">
        <f t="shared" si="0"/>
        <v>0</v>
      </c>
      <c r="K12" s="828"/>
      <c r="L12" s="804" t="str">
        <f>IF($E$3="Incentive Only","",IF(K12="","",IF(K12&lt;O12,"X",IF(K12&gt;Q12,"X",""))))</f>
        <v/>
      </c>
      <c r="M12" s="744">
        <f>'Multi-Customer'!Y14</f>
        <v>0</v>
      </c>
      <c r="N12" s="168"/>
      <c r="O12" s="746">
        <f>IFERROR(IF($D12="%",VLOOKUP($F12&amp;'PIM Ranges'!$AQ14,'Margin Quartiles'!$A:$H,5,FALSE),S12),0)</f>
        <v>0</v>
      </c>
      <c r="P12" s="746">
        <f>IFERROR(IF($E$3="Incentive Only",$W12,IF($D12="%",VLOOKUP($F12&amp;'PIM Ranges'!$AQ14,'Margin Quartiles'!$A:$H,6,FALSE),T12)),0)</f>
        <v>0</v>
      </c>
      <c r="Q12" s="746">
        <f>IFERROR(IF($D12="%",VLOOKUP($F12&amp;'PIM Ranges'!$AQ14,'Margin Quartiles'!$A:$H,7,FALSE),U12),0)</f>
        <v>0</v>
      </c>
      <c r="R12" s="570"/>
      <c r="S12" s="437" t="e">
        <f>VLOOKUP($F12&amp;'PIM Ranges'!$AQ14,'Margin Quartiles'!$A:$H,5,FALSE)*'PIM Ranges'!$AP14</f>
        <v>#DIV/0!</v>
      </c>
      <c r="T12" s="437" t="e">
        <f>VLOOKUP($F12&amp;'PIM Ranges'!$AQ14,'Margin Quartiles'!$A:$H,6,FALSE)*'PIM Ranges'!$AP14</f>
        <v>#DIV/0!</v>
      </c>
      <c r="U12" s="437" t="e">
        <f>VLOOKUP($F12&amp;'PIM Ranges'!$AQ14,'Margin Quartiles'!$A:$H,8,FALSE)*'PIM Ranges'!$AP14</f>
        <v>#DIV/0!</v>
      </c>
      <c r="V12" s="146"/>
      <c r="W12" s="169" t="e">
        <f>'Multi-Customer'!AO14</f>
        <v>#DIV/0!</v>
      </c>
      <c r="X12" s="146"/>
      <c r="Y12" s="437">
        <f>VLOOKUP($F12&amp;'Multi-Customer'!$AG14,'IMargin Quartiles'!$A:$H,6,FALSE)*'PIM Ranges'!AP14</f>
        <v>0.26673394043099319</v>
      </c>
      <c r="Z12" s="146"/>
      <c r="AA12" s="146"/>
      <c r="AB12" s="416" t="str">
        <f t="shared" si="2"/>
        <v/>
      </c>
      <c r="AC12" s="170">
        <f t="shared" si="3"/>
        <v>0</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79">
        <v>0</v>
      </c>
      <c r="C13" s="684"/>
      <c r="D13" s="868" t="s">
        <v>496</v>
      </c>
      <c r="E13" s="680" t="s">
        <v>1024</v>
      </c>
      <c r="F13" s="172" t="s">
        <v>102</v>
      </c>
      <c r="G13" s="740">
        <f>IFERROR('PIM Ranges'!AL15,0)</f>
        <v>0</v>
      </c>
      <c r="H13" s="741">
        <f>IFERROR('PIM Ranges'!AM15,0)</f>
        <v>0</v>
      </c>
      <c r="I13" s="742">
        <f>IFERROR('PIM Ranges'!AN15,0)</f>
        <v>0</v>
      </c>
      <c r="J13" s="444">
        <f t="shared" si="0"/>
        <v>0</v>
      </c>
      <c r="K13" s="828"/>
      <c r="L13" s="804" t="str">
        <f t="shared" si="1"/>
        <v/>
      </c>
      <c r="M13" s="744">
        <f>'Multi-Customer'!Y15</f>
        <v>0</v>
      </c>
      <c r="N13" s="168"/>
      <c r="O13" s="746">
        <f>IFERROR(IF($D13="%",VLOOKUP($F13&amp;'PIM Ranges'!$AQ15,'Margin Quartiles'!$A:$H,5,FALSE),S13),0)</f>
        <v>0</v>
      </c>
      <c r="P13" s="746">
        <f>IFERROR(IF($E$3="Incentive Only",$W13,IF($D13="%",VLOOKUP($F13&amp;'PIM Ranges'!$AQ15,'Margin Quartiles'!$A:$H,6,FALSE),T13)),0)</f>
        <v>0</v>
      </c>
      <c r="Q13" s="746">
        <f>IFERROR(IF($D13="%",VLOOKUP($F13&amp;'PIM Ranges'!$AQ15,'Margin Quartiles'!$A:$H,7,FALSE),U13),0)</f>
        <v>0</v>
      </c>
      <c r="R13" s="570"/>
      <c r="S13" s="169"/>
      <c r="T13" s="169"/>
      <c r="U13" s="169"/>
      <c r="V13" s="146"/>
      <c r="W13" s="169" t="e">
        <f>'Multi-Customer'!AO15</f>
        <v>#DIV/0!</v>
      </c>
      <c r="X13" s="146"/>
      <c r="Y13" s="169"/>
      <c r="Z13" s="146"/>
      <c r="AA13" s="146"/>
      <c r="AB13" s="416" t="str">
        <f t="shared" si="2"/>
        <v/>
      </c>
      <c r="AC13" s="170">
        <f t="shared" si="3"/>
        <v>0</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79">
        <v>0</v>
      </c>
      <c r="C14" s="684"/>
      <c r="D14" s="868" t="s">
        <v>496</v>
      </c>
      <c r="E14" s="680" t="s">
        <v>1024</v>
      </c>
      <c r="F14" s="172" t="s">
        <v>100</v>
      </c>
      <c r="G14" s="740">
        <f>IFERROR('PIM Ranges'!AL16,0)</f>
        <v>0</v>
      </c>
      <c r="H14" s="741">
        <f>IFERROR('PIM Ranges'!AM16,0)</f>
        <v>0</v>
      </c>
      <c r="I14" s="742">
        <f>IFERROR('PIM Ranges'!AN16,0)</f>
        <v>0</v>
      </c>
      <c r="J14" s="444">
        <f t="shared" si="0"/>
        <v>0</v>
      </c>
      <c r="K14" s="828"/>
      <c r="L14" s="804" t="str">
        <f t="shared" si="1"/>
        <v/>
      </c>
      <c r="M14" s="744">
        <f>'Multi-Customer'!Y16</f>
        <v>0</v>
      </c>
      <c r="N14" s="168"/>
      <c r="O14" s="746">
        <f>IFERROR(IF($D14="%",VLOOKUP($F14&amp;'PIM Ranges'!$AQ16,'Margin Quartiles'!$A:$H,5,FALSE),S14),0)</f>
        <v>0</v>
      </c>
      <c r="P14" s="746">
        <f>IFERROR(IF($E$3="Incentive Only",$W14,IF($D14="%",VLOOKUP($F14&amp;'PIM Ranges'!$AQ16,'Margin Quartiles'!$A:$H,6,FALSE),T14)),0)</f>
        <v>0</v>
      </c>
      <c r="Q14" s="746">
        <f>IFERROR(IF($D14="%",VLOOKUP($F14&amp;'PIM Ranges'!$AQ16,'Margin Quartiles'!$A:$H,7,FALSE),U14),0)</f>
        <v>0</v>
      </c>
      <c r="R14" s="570"/>
      <c r="S14" s="169"/>
      <c r="T14" s="169"/>
      <c r="U14" s="169"/>
      <c r="V14" s="146"/>
      <c r="W14" s="169" t="e">
        <f>'Multi-Customer'!AO16</f>
        <v>#DIV/0!</v>
      </c>
      <c r="X14" s="146"/>
      <c r="Y14" s="169"/>
      <c r="Z14" s="146"/>
      <c r="AA14" s="146"/>
      <c r="AB14" s="416" t="str">
        <f t="shared" si="2"/>
        <v/>
      </c>
      <c r="AC14" s="170">
        <f t="shared" si="3"/>
        <v>0</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79">
        <v>0</v>
      </c>
      <c r="C15" s="684"/>
      <c r="D15" s="868" t="s">
        <v>496</v>
      </c>
      <c r="E15" s="680" t="s">
        <v>1024</v>
      </c>
      <c r="F15" s="172" t="s">
        <v>104</v>
      </c>
      <c r="G15" s="740">
        <f>IFERROR('PIM Ranges'!AL17,0)</f>
        <v>0</v>
      </c>
      <c r="H15" s="741">
        <f>IFERROR('PIM Ranges'!AM17,0)</f>
        <v>0</v>
      </c>
      <c r="I15" s="742">
        <f>IFERROR('PIM Ranges'!AN17,0)</f>
        <v>0</v>
      </c>
      <c r="J15" s="444">
        <f t="shared" si="0"/>
        <v>0</v>
      </c>
      <c r="K15" s="828"/>
      <c r="L15" s="804" t="str">
        <f t="shared" si="1"/>
        <v/>
      </c>
      <c r="M15" s="744">
        <f>'Multi-Customer'!Y17</f>
        <v>0</v>
      </c>
      <c r="N15" s="168"/>
      <c r="O15" s="746">
        <f>IFERROR(IF($D15="%",VLOOKUP($F15&amp;'PIM Ranges'!$AQ17,'Margin Quartiles'!$A:$H,5,FALSE),S15),0)</f>
        <v>0</v>
      </c>
      <c r="P15" s="746">
        <f>IFERROR(IF($E$3="Incentive Only",$W15,IF($D15="%",VLOOKUP($F15&amp;'PIM Ranges'!$AQ17,'Margin Quartiles'!$A:$H,6,FALSE),T15)),0)</f>
        <v>0</v>
      </c>
      <c r="Q15" s="746">
        <f>IFERROR(IF($D15="%",VLOOKUP($F15&amp;'PIM Ranges'!$AQ17,'Margin Quartiles'!$A:$H,7,FALSE),U15),0)</f>
        <v>0</v>
      </c>
      <c r="R15" s="570"/>
      <c r="S15" s="169"/>
      <c r="T15" s="169"/>
      <c r="U15" s="169"/>
      <c r="V15" s="146"/>
      <c r="W15" s="169" t="e">
        <f>'Multi-Customer'!AO17</f>
        <v>#DIV/0!</v>
      </c>
      <c r="X15" s="146"/>
      <c r="Y15" s="169"/>
      <c r="Z15" s="146"/>
      <c r="AA15" s="146"/>
      <c r="AB15" s="416" t="str">
        <f>IF($E$3="Incentive Only","",IF($H15&gt;0,IF(E15="Include",IF($K15&lt;&gt;"","","ERROR"),""),""))</f>
        <v/>
      </c>
      <c r="AC15" s="170">
        <f t="shared" si="3"/>
        <v>0</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79">
        <v>0</v>
      </c>
      <c r="C16" s="684"/>
      <c r="D16" s="868" t="s">
        <v>496</v>
      </c>
      <c r="E16" s="680" t="s">
        <v>1024</v>
      </c>
      <c r="F16" s="172" t="s">
        <v>98</v>
      </c>
      <c r="G16" s="740">
        <f>IFERROR('PIM Ranges'!AL18,0)</f>
        <v>0</v>
      </c>
      <c r="H16" s="741">
        <f>IFERROR('PIM Ranges'!AM18,0)</f>
        <v>0</v>
      </c>
      <c r="I16" s="742">
        <f>IFERROR('PIM Ranges'!AN18,0)</f>
        <v>0</v>
      </c>
      <c r="J16" s="444">
        <f t="shared" si="0"/>
        <v>0</v>
      </c>
      <c r="K16" s="828"/>
      <c r="L16" s="804" t="str">
        <f t="shared" si="1"/>
        <v/>
      </c>
      <c r="M16" s="744">
        <f>'Multi-Customer'!Y18</f>
        <v>0</v>
      </c>
      <c r="N16" s="168"/>
      <c r="O16" s="746">
        <f>IFERROR(IF($D16="%",VLOOKUP($F16&amp;'PIM Ranges'!$AQ18,'Margin Quartiles'!$A:$H,5,FALSE),S16),0)</f>
        <v>0</v>
      </c>
      <c r="P16" s="746">
        <f>IFERROR(IF($E$3="Incentive Only",$W16,IF($D16="%",VLOOKUP($F16&amp;'PIM Ranges'!$AQ18,'Margin Quartiles'!$A:$H,6,FALSE),T16)),0)</f>
        <v>0</v>
      </c>
      <c r="Q16" s="746">
        <f>IFERROR(IF($D16="%",VLOOKUP($F16&amp;'PIM Ranges'!$AQ18,'Margin Quartiles'!$A:$H,7,FALSE),U16),0)</f>
        <v>0</v>
      </c>
      <c r="R16" s="570"/>
      <c r="S16" s="169"/>
      <c r="T16" s="169"/>
      <c r="U16" s="169"/>
      <c r="V16" s="146"/>
      <c r="W16" s="169" t="e">
        <f>'Multi-Customer'!AO18</f>
        <v>#DIV/0!</v>
      </c>
      <c r="X16" s="146"/>
      <c r="Y16" s="169"/>
      <c r="Z16" s="146"/>
      <c r="AA16" s="146"/>
      <c r="AB16" s="416" t="str">
        <f t="shared" si="2"/>
        <v/>
      </c>
      <c r="AC16" s="170">
        <f t="shared" si="3"/>
        <v>0</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79">
        <v>0</v>
      </c>
      <c r="C17" s="684"/>
      <c r="D17" s="868" t="s">
        <v>496</v>
      </c>
      <c r="E17" s="680" t="s">
        <v>1024</v>
      </c>
      <c r="F17" s="172" t="s">
        <v>95</v>
      </c>
      <c r="G17" s="740">
        <f>IFERROR('PIM Ranges'!AL19,0)</f>
        <v>0</v>
      </c>
      <c r="H17" s="741">
        <f>IFERROR('PIM Ranges'!AM19,0)</f>
        <v>0</v>
      </c>
      <c r="I17" s="742">
        <f>IFERROR('PIM Ranges'!AN19,0)</f>
        <v>0</v>
      </c>
      <c r="J17" s="444">
        <f t="shared" si="0"/>
        <v>0</v>
      </c>
      <c r="K17" s="828"/>
      <c r="L17" s="804" t="str">
        <f t="shared" si="1"/>
        <v/>
      </c>
      <c r="M17" s="744">
        <f>'Multi-Customer'!Y19</f>
        <v>0</v>
      </c>
      <c r="N17" s="168"/>
      <c r="O17" s="746">
        <f>IFERROR(IF($D17="%",VLOOKUP($F17&amp;'PIM Ranges'!$AQ19,'Margin Quartiles'!$A:$H,5,FALSE),S17),0)</f>
        <v>0</v>
      </c>
      <c r="P17" s="746">
        <f>IFERROR(IF($E$3="Incentive Only",$W17,IF($D17="%",VLOOKUP($F17&amp;'PIM Ranges'!$AQ19,'Margin Quartiles'!$A:$H,6,FALSE),T17)),0)</f>
        <v>0</v>
      </c>
      <c r="Q17" s="746">
        <f>IFERROR(IF($D17="%",VLOOKUP($F17&amp;'PIM Ranges'!$AQ19,'Margin Quartiles'!$A:$H,7,FALSE),U17),0)</f>
        <v>0</v>
      </c>
      <c r="R17" s="570"/>
      <c r="S17" s="169"/>
      <c r="T17" s="169"/>
      <c r="U17" s="169"/>
      <c r="V17" s="146"/>
      <c r="W17" s="169" t="e">
        <f>'Multi-Customer'!AO19</f>
        <v>#DIV/0!</v>
      </c>
      <c r="X17" s="146"/>
      <c r="Y17" s="169"/>
      <c r="Z17" s="146"/>
      <c r="AA17" s="146"/>
      <c r="AB17" s="416" t="str">
        <f t="shared" si="2"/>
        <v/>
      </c>
      <c r="AC17" s="170">
        <f t="shared" si="3"/>
        <v>0</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79">
        <v>0</v>
      </c>
      <c r="C18" s="684"/>
      <c r="D18" s="868" t="s">
        <v>496</v>
      </c>
      <c r="E18" s="680" t="s">
        <v>1024</v>
      </c>
      <c r="F18" s="172" t="s">
        <v>96</v>
      </c>
      <c r="G18" s="740">
        <f>IFERROR('PIM Ranges'!AL20,0)</f>
        <v>0</v>
      </c>
      <c r="H18" s="741">
        <f>IFERROR('PIM Ranges'!AM20,0)</f>
        <v>0</v>
      </c>
      <c r="I18" s="742">
        <f>IFERROR('PIM Ranges'!AN20,0)</f>
        <v>0</v>
      </c>
      <c r="J18" s="444">
        <f t="shared" si="0"/>
        <v>0</v>
      </c>
      <c r="K18" s="828"/>
      <c r="L18" s="804" t="str">
        <f t="shared" si="1"/>
        <v/>
      </c>
      <c r="M18" s="744">
        <f>'Multi-Customer'!Y20</f>
        <v>0</v>
      </c>
      <c r="N18" s="168"/>
      <c r="O18" s="746">
        <f>IFERROR(IF($D18="%",VLOOKUP($F18&amp;'PIM Ranges'!$AQ20,'Margin Quartiles'!$A:$H,5,FALSE),S18),0)</f>
        <v>0</v>
      </c>
      <c r="P18" s="746">
        <f>IFERROR(IF($E$3="Incentive Only",$W18,IF($D18="%",VLOOKUP($F18&amp;'PIM Ranges'!$AQ20,'Margin Quartiles'!$A:$H,6,FALSE),T18)),0)</f>
        <v>0</v>
      </c>
      <c r="Q18" s="746">
        <f>IFERROR(IF($D18="%",VLOOKUP($F18&amp;'PIM Ranges'!$AQ20,'Margin Quartiles'!$A:$H,7,FALSE),U18),0)</f>
        <v>0</v>
      </c>
      <c r="R18" s="570"/>
      <c r="S18" s="169"/>
      <c r="T18" s="169"/>
      <c r="U18" s="169"/>
      <c r="V18" s="146"/>
      <c r="W18" s="169" t="e">
        <f>'Multi-Customer'!AO20</f>
        <v>#DIV/0!</v>
      </c>
      <c r="X18" s="146"/>
      <c r="Y18" s="169"/>
      <c r="Z18" s="146"/>
      <c r="AA18" s="146"/>
      <c r="AB18" s="416" t="str">
        <f t="shared" si="2"/>
        <v/>
      </c>
      <c r="AC18" s="170">
        <f t="shared" si="3"/>
        <v>0</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79">
        <v>0</v>
      </c>
      <c r="C19" s="684"/>
      <c r="D19" s="868" t="s">
        <v>496</v>
      </c>
      <c r="E19" s="680" t="s">
        <v>1024</v>
      </c>
      <c r="F19" s="172" t="s">
        <v>101</v>
      </c>
      <c r="G19" s="740">
        <f>IFERROR('PIM Ranges'!AL21,0)</f>
        <v>0</v>
      </c>
      <c r="H19" s="741">
        <f>IFERROR('PIM Ranges'!AM21,0)</f>
        <v>0</v>
      </c>
      <c r="I19" s="742">
        <f>IFERROR('PIM Ranges'!AN21,0)</f>
        <v>0</v>
      </c>
      <c r="J19" s="444">
        <f t="shared" si="0"/>
        <v>0</v>
      </c>
      <c r="K19" s="828"/>
      <c r="L19" s="804" t="str">
        <f t="shared" si="1"/>
        <v/>
      </c>
      <c r="M19" s="744">
        <f>'Multi-Customer'!Y21</f>
        <v>0</v>
      </c>
      <c r="N19" s="168"/>
      <c r="O19" s="746">
        <f>IFERROR(IF($D19="%",VLOOKUP($F19&amp;'PIM Ranges'!$AQ21,'Margin Quartiles'!$A:$H,5,FALSE),S19),0)</f>
        <v>0</v>
      </c>
      <c r="P19" s="746">
        <f>IFERROR(IF($E$3="Incentive Only",$W19,IF($D19="%",VLOOKUP($F19&amp;'PIM Ranges'!$AQ21,'Margin Quartiles'!$A:$H,6,FALSE),T19)),0)</f>
        <v>0</v>
      </c>
      <c r="Q19" s="746">
        <f>IFERROR(IF($D19="%",VLOOKUP($F19&amp;'PIM Ranges'!$AQ21,'Margin Quartiles'!$A:$H,7,FALSE),U19),0)</f>
        <v>0</v>
      </c>
      <c r="R19" s="570"/>
      <c r="S19" s="169"/>
      <c r="T19" s="169"/>
      <c r="U19" s="169"/>
      <c r="V19" s="146"/>
      <c r="W19" s="169" t="e">
        <f>'Multi-Customer'!AO21</f>
        <v>#DIV/0!</v>
      </c>
      <c r="X19" s="146"/>
      <c r="Y19" s="169"/>
      <c r="Z19" s="146"/>
      <c r="AA19" s="146"/>
      <c r="AB19" s="416" t="str">
        <f t="shared" si="2"/>
        <v/>
      </c>
      <c r="AC19" s="170">
        <f t="shared" si="3"/>
        <v>0</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79">
        <v>0</v>
      </c>
      <c r="C20" s="684"/>
      <c r="D20" s="868" t="s">
        <v>496</v>
      </c>
      <c r="E20" s="680" t="s">
        <v>1024</v>
      </c>
      <c r="F20" s="172" t="s">
        <v>97</v>
      </c>
      <c r="G20" s="740">
        <f>IFERROR('PIM Ranges'!AL22,0)</f>
        <v>0</v>
      </c>
      <c r="H20" s="741">
        <f>IFERROR('PIM Ranges'!AM22,0)</f>
        <v>0</v>
      </c>
      <c r="I20" s="742">
        <f>IFERROR('PIM Ranges'!AN22,0)</f>
        <v>0</v>
      </c>
      <c r="J20" s="444">
        <f t="shared" si="0"/>
        <v>0</v>
      </c>
      <c r="K20" s="828"/>
      <c r="L20" s="804" t="str">
        <f t="shared" si="1"/>
        <v/>
      </c>
      <c r="M20" s="744">
        <f>'Multi-Customer'!Y22</f>
        <v>0</v>
      </c>
      <c r="N20" s="168"/>
      <c r="O20" s="746">
        <f>IFERROR(IF($D20="%",VLOOKUP($F20&amp;'PIM Ranges'!$AQ22,'Margin Quartiles'!$A:$H,5,FALSE),S20),0)</f>
        <v>0</v>
      </c>
      <c r="P20" s="746">
        <f>IFERROR(IF($E$3="Incentive Only",$W20,IF($D20="%",VLOOKUP($F20&amp;'PIM Ranges'!$AQ22,'Margin Quartiles'!$A:$H,6,FALSE),T20)),0)</f>
        <v>0</v>
      </c>
      <c r="Q20" s="746">
        <f>IFERROR(IF($D20="%",VLOOKUP($F20&amp;'PIM Ranges'!$AQ22,'Margin Quartiles'!$A:$H,7,FALSE),U20),0)</f>
        <v>0</v>
      </c>
      <c r="R20" s="570"/>
      <c r="S20" s="169"/>
      <c r="T20" s="169"/>
      <c r="U20" s="169"/>
      <c r="V20" s="146"/>
      <c r="W20" s="169" t="e">
        <f>'Multi-Customer'!AO22</f>
        <v>#DIV/0!</v>
      </c>
      <c r="X20" s="146"/>
      <c r="Y20" s="169"/>
      <c r="Z20" s="146"/>
      <c r="AA20" s="146"/>
      <c r="AB20" s="416" t="str">
        <f t="shared" si="2"/>
        <v/>
      </c>
      <c r="AC20" s="170">
        <f t="shared" si="3"/>
        <v>0</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79">
        <v>0</v>
      </c>
      <c r="C21" s="684"/>
      <c r="D21" s="868" t="s">
        <v>496</v>
      </c>
      <c r="E21" s="680" t="s">
        <v>1024</v>
      </c>
      <c r="F21" s="172" t="s">
        <v>93</v>
      </c>
      <c r="G21" s="740">
        <f>IFERROR('PIM Ranges'!AL23,0)</f>
        <v>0</v>
      </c>
      <c r="H21" s="741">
        <f>IFERROR('PIM Ranges'!AM23,0)</f>
        <v>0</v>
      </c>
      <c r="I21" s="742">
        <f>IFERROR('PIM Ranges'!AN23,0)</f>
        <v>0</v>
      </c>
      <c r="J21" s="444">
        <f t="shared" si="0"/>
        <v>0</v>
      </c>
      <c r="K21" s="828"/>
      <c r="L21" s="804" t="str">
        <f t="shared" si="1"/>
        <v/>
      </c>
      <c r="M21" s="744">
        <f>'Multi-Customer'!Y23</f>
        <v>0</v>
      </c>
      <c r="N21" s="168"/>
      <c r="O21" s="746">
        <f>IFERROR(IF($D21="%",VLOOKUP($F21&amp;'PIM Ranges'!$AQ23,'Margin Quartiles'!$A:$H,5,FALSE),S21),0)</f>
        <v>0</v>
      </c>
      <c r="P21" s="746">
        <f>IFERROR(IF($E$3="Incentive Only",$W21,IF($D21="%",VLOOKUP($F21&amp;'PIM Ranges'!$AQ23,'Margin Quartiles'!$A:$H,6,FALSE),T21)),0)</f>
        <v>0</v>
      </c>
      <c r="Q21" s="746">
        <f>IFERROR(IF($D21="%",VLOOKUP($F21&amp;'PIM Ranges'!$AQ23,'Margin Quartiles'!$A:$H,7,FALSE),U21),0)</f>
        <v>0</v>
      </c>
      <c r="R21" s="570"/>
      <c r="S21" s="169"/>
      <c r="T21" s="169"/>
      <c r="U21" s="169"/>
      <c r="V21" s="146"/>
      <c r="W21" s="169" t="e">
        <f>'Multi-Customer'!AO23</f>
        <v>#DIV/0!</v>
      </c>
      <c r="X21" s="146"/>
      <c r="Y21" s="169"/>
      <c r="Z21" s="146"/>
      <c r="AA21" s="146"/>
      <c r="AB21" s="416" t="str">
        <f t="shared" si="2"/>
        <v/>
      </c>
      <c r="AC21" s="170">
        <f t="shared" si="3"/>
        <v>0</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79">
        <v>0</v>
      </c>
      <c r="C22" s="684"/>
      <c r="D22" s="854" t="s">
        <v>496</v>
      </c>
      <c r="E22" s="680" t="s">
        <v>1024</v>
      </c>
      <c r="F22" s="172" t="s">
        <v>105</v>
      </c>
      <c r="G22" s="740">
        <f>IFERROR('PIM Ranges'!AL24,0)</f>
        <v>0</v>
      </c>
      <c r="H22" s="741">
        <f>IFERROR('PIM Ranges'!AM24,0)</f>
        <v>0</v>
      </c>
      <c r="I22" s="742">
        <f>IFERROR('PIM Ranges'!AN24,0)</f>
        <v>0</v>
      </c>
      <c r="J22" s="444">
        <f t="shared" si="0"/>
        <v>0</v>
      </c>
      <c r="K22" s="828"/>
      <c r="L22" s="804" t="str">
        <f t="shared" si="1"/>
        <v/>
      </c>
      <c r="M22" s="744">
        <f>'Multi-Customer'!Y24</f>
        <v>0</v>
      </c>
      <c r="N22" s="168"/>
      <c r="O22" s="746">
        <f>IFERROR(IF($D22="%",VLOOKUP($F22&amp;'PIM Ranges'!$AQ24,'Margin Quartiles'!$A:$H,5,FALSE),S22),0)</f>
        <v>0</v>
      </c>
      <c r="P22" s="746">
        <f>IFERROR(IF($E$3="Incentive Only",$W22,IF($D22="%",VLOOKUP($F22&amp;'PIM Ranges'!$AQ24,'Margin Quartiles'!$A:$H,6,FALSE),T22)),0)</f>
        <v>0</v>
      </c>
      <c r="Q22" s="746">
        <f>IFERROR(IF($D22="%",VLOOKUP($F22&amp;'PIM Ranges'!$AQ24,'Margin Quartiles'!$A:$H,7,FALSE),U22),0)</f>
        <v>0</v>
      </c>
      <c r="R22" s="570"/>
      <c r="S22" s="437" t="e">
        <f>VLOOKUP($F22&amp;'PIM Ranges'!$AQ24,'Margin Quartiles'!$A:$H,5,FALSE)*'PIM Ranges'!$AP24</f>
        <v>#DIV/0!</v>
      </c>
      <c r="T22" s="437" t="e">
        <f>VLOOKUP($F22&amp;'PIM Ranges'!$AQ24,'Margin Quartiles'!$A:$H,6,FALSE)*'PIM Ranges'!$AP24</f>
        <v>#DIV/0!</v>
      </c>
      <c r="U22" s="437" t="e">
        <f>VLOOKUP($F22&amp;'PIM Ranges'!$AQ24,'Margin Quartiles'!$A:$H,8,FALSE)*'PIM Ranges'!$AP24</f>
        <v>#DIV/0!</v>
      </c>
      <c r="V22" s="146"/>
      <c r="W22" s="169" t="e">
        <f>'Multi-Customer'!AO24</f>
        <v>#DIV/0!</v>
      </c>
      <c r="X22" s="146"/>
      <c r="Y22" s="437">
        <f>VLOOKUP($F22&amp;'Multi-Customer'!$AG24,'IMargin Quartiles'!$A:$H,6,FALSE)*'PIM Ranges'!AP24</f>
        <v>0.8419261540087376</v>
      </c>
      <c r="Z22" s="146"/>
      <c r="AA22" s="146"/>
      <c r="AB22" s="416" t="str">
        <f t="shared" si="2"/>
        <v/>
      </c>
      <c r="AC22" s="170">
        <f t="shared" si="3"/>
        <v>0</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79">
        <v>0</v>
      </c>
      <c r="C23" s="684"/>
      <c r="D23" s="868" t="s">
        <v>496</v>
      </c>
      <c r="E23" s="680" t="s">
        <v>1024</v>
      </c>
      <c r="F23" s="172" t="s">
        <v>92</v>
      </c>
      <c r="G23" s="740">
        <f>IFERROR('PIM Ranges'!AL25,0)</f>
        <v>0</v>
      </c>
      <c r="H23" s="741">
        <f>IFERROR('PIM Ranges'!AM25,0)</f>
        <v>0</v>
      </c>
      <c r="I23" s="742">
        <f>IFERROR('PIM Ranges'!AN25,0)</f>
        <v>0</v>
      </c>
      <c r="J23" s="444">
        <f t="shared" si="0"/>
        <v>0</v>
      </c>
      <c r="K23" s="828"/>
      <c r="L23" s="804" t="str">
        <f t="shared" si="1"/>
        <v/>
      </c>
      <c r="M23" s="744">
        <f>'Multi-Customer'!Y25</f>
        <v>0</v>
      </c>
      <c r="N23" s="168"/>
      <c r="O23" s="746">
        <f>IFERROR(IF($D23="%",VLOOKUP($F23&amp;'PIM Ranges'!$AQ25,'Margin Quartiles'!$A:$H,5,FALSE),S23),0)</f>
        <v>0</v>
      </c>
      <c r="P23" s="746">
        <f>IFERROR(IF($E$3="Incentive Only",$W23,IF($D23="%",VLOOKUP($F23&amp;'PIM Ranges'!$AQ25,'Margin Quartiles'!$A:$H,6,FALSE),T23)),0)</f>
        <v>0</v>
      </c>
      <c r="Q23" s="746">
        <f>IFERROR(IF($D23="%",VLOOKUP($F23&amp;'PIM Ranges'!$AQ25,'Margin Quartiles'!$A:$H,7,FALSE),U23),0)</f>
        <v>0</v>
      </c>
      <c r="R23" s="570"/>
      <c r="S23" s="169"/>
      <c r="T23" s="169"/>
      <c r="U23" s="169"/>
      <c r="V23" s="146"/>
      <c r="W23" s="169" t="e">
        <f>'Multi-Customer'!AO25</f>
        <v>#DIV/0!</v>
      </c>
      <c r="X23" s="146"/>
      <c r="Y23" s="169"/>
      <c r="Z23" s="146"/>
      <c r="AA23" s="146"/>
      <c r="AB23" s="416" t="str">
        <f t="shared" si="2"/>
        <v/>
      </c>
      <c r="AC23" s="170">
        <f t="shared" si="3"/>
        <v>0</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79">
        <v>0</v>
      </c>
      <c r="C24" s="684"/>
      <c r="D24" s="854" t="s">
        <v>496</v>
      </c>
      <c r="E24" s="680" t="s">
        <v>1024</v>
      </c>
      <c r="F24" s="172" t="s">
        <v>91</v>
      </c>
      <c r="G24" s="740">
        <f>IFERROR('PIM Ranges'!AL26,0)</f>
        <v>0</v>
      </c>
      <c r="H24" s="741">
        <f>IFERROR('PIM Ranges'!AM26,0)</f>
        <v>0</v>
      </c>
      <c r="I24" s="742">
        <f>IFERROR('PIM Ranges'!AN26,0)</f>
        <v>0</v>
      </c>
      <c r="J24" s="444">
        <f t="shared" si="0"/>
        <v>0</v>
      </c>
      <c r="K24" s="828"/>
      <c r="L24" s="804" t="str">
        <f t="shared" si="1"/>
        <v/>
      </c>
      <c r="M24" s="744">
        <f>'Multi-Customer'!Y26</f>
        <v>0</v>
      </c>
      <c r="N24" s="168"/>
      <c r="O24" s="746">
        <f>IFERROR(IF($D24="%",VLOOKUP($F24&amp;'PIM Ranges'!$AQ26,'Margin Quartiles'!$A:$H,5,FALSE),S24),0)</f>
        <v>0</v>
      </c>
      <c r="P24" s="746">
        <f>IFERROR(IF($E$3="Incentive Only",$W24,IF($D24="%",VLOOKUP($F24&amp;'PIM Ranges'!$AQ26,'Margin Quartiles'!$A:$H,6,FALSE),T24)),0)</f>
        <v>0</v>
      </c>
      <c r="Q24" s="746">
        <f>IFERROR(IF($D24="%",VLOOKUP($F24&amp;'PIM Ranges'!$AQ26,'Margin Quartiles'!$A:$H,7,FALSE),U24),0)</f>
        <v>0</v>
      </c>
      <c r="R24" s="570"/>
      <c r="S24" s="437" t="e">
        <f>VLOOKUP($F24&amp;'PIM Ranges'!$AQ26,'Margin Quartiles'!$A:$H,5,FALSE)*'PIM Ranges'!$AP26</f>
        <v>#DIV/0!</v>
      </c>
      <c r="T24" s="437" t="e">
        <f>VLOOKUP($F24&amp;'PIM Ranges'!$AQ26,'Margin Quartiles'!$A:$H,6,FALSE)*'PIM Ranges'!$AP26</f>
        <v>#DIV/0!</v>
      </c>
      <c r="U24" s="437" t="e">
        <f>VLOOKUP($F24&amp;'PIM Ranges'!$AQ26,'Margin Quartiles'!$A:$H,8,FALSE)*'PIM Ranges'!$AP26</f>
        <v>#DIV/0!</v>
      </c>
      <c r="V24" s="146"/>
      <c r="W24" s="169" t="e">
        <f>'Multi-Customer'!AO26</f>
        <v>#DIV/0!</v>
      </c>
      <c r="X24" s="146"/>
      <c r="Y24" s="437">
        <f>VLOOKUP($F24&amp;'Multi-Customer'!$AG26,'IMargin Quartiles'!$A:$H,6,FALSE)*'PIM Ranges'!AP26</f>
        <v>0.4928466276758563</v>
      </c>
      <c r="Z24" s="146"/>
      <c r="AA24" s="146"/>
      <c r="AB24" s="416" t="str">
        <f t="shared" si="2"/>
        <v/>
      </c>
      <c r="AC24" s="170">
        <f t="shared" si="3"/>
        <v>0</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79">
        <v>0</v>
      </c>
      <c r="C25" s="684"/>
      <c r="D25" s="854" t="s">
        <v>496</v>
      </c>
      <c r="E25" s="680" t="s">
        <v>1024</v>
      </c>
      <c r="F25" s="172" t="s">
        <v>90</v>
      </c>
      <c r="G25" s="740">
        <f>IFERROR('PIM Ranges'!AL27,0)</f>
        <v>0</v>
      </c>
      <c r="H25" s="741">
        <f>IFERROR('PIM Ranges'!AM27,0)</f>
        <v>0</v>
      </c>
      <c r="I25" s="742">
        <f>IFERROR('PIM Ranges'!AN27,0)</f>
        <v>0</v>
      </c>
      <c r="J25" s="444">
        <f t="shared" si="0"/>
        <v>0</v>
      </c>
      <c r="K25" s="828"/>
      <c r="L25" s="804" t="str">
        <f t="shared" si="1"/>
        <v/>
      </c>
      <c r="M25" s="744">
        <f>'Multi-Customer'!Y27</f>
        <v>0</v>
      </c>
      <c r="N25" s="168"/>
      <c r="O25" s="746">
        <f>IFERROR(IF($D25="%",VLOOKUP($F25&amp;'PIM Ranges'!$AQ27,'Margin Quartiles'!$A:$H,5,FALSE),S25),0)</f>
        <v>0</v>
      </c>
      <c r="P25" s="746">
        <f>IFERROR(IF($E$3="Incentive Only",$W25,IF($D25="%",VLOOKUP($F25&amp;'PIM Ranges'!$AQ27,'Margin Quartiles'!$A:$H,6,FALSE),T25)),0)</f>
        <v>0</v>
      </c>
      <c r="Q25" s="746">
        <f>IFERROR(IF($D25="%",VLOOKUP($F25&amp;'PIM Ranges'!$AQ27,'Margin Quartiles'!$A:$H,7,FALSE),U25),0)</f>
        <v>0</v>
      </c>
      <c r="R25" s="570"/>
      <c r="S25" s="437" t="e">
        <f>VLOOKUP($F25&amp;'PIM Ranges'!$AQ27,'Margin Quartiles'!$A:$H,5,FALSE)*'PIM Ranges'!$AP27</f>
        <v>#DIV/0!</v>
      </c>
      <c r="T25" s="437" t="e">
        <f>VLOOKUP($F25&amp;'PIM Ranges'!$AQ27,'Margin Quartiles'!$A:$H,6,FALSE)*'PIM Ranges'!$AP27</f>
        <v>#DIV/0!</v>
      </c>
      <c r="U25" s="437" t="e">
        <f>VLOOKUP($F25&amp;'PIM Ranges'!$AQ27,'Margin Quartiles'!$A:$H,8,FALSE)*'PIM Ranges'!$AP27</f>
        <v>#DIV/0!</v>
      </c>
      <c r="V25" s="146"/>
      <c r="W25" s="169" t="e">
        <f>'Multi-Customer'!AO27</f>
        <v>#DIV/0!</v>
      </c>
      <c r="X25" s="146"/>
      <c r="Y25" s="437">
        <f>VLOOKUP($F25&amp;'Multi-Customer'!$AG27,'IMargin Quartiles'!$A:$H,6,FALSE)*'PIM Ranges'!AP27</f>
        <v>0.24392265679614475</v>
      </c>
      <c r="Z25" s="146"/>
      <c r="AA25" s="146"/>
      <c r="AB25" s="416" t="str">
        <f t="shared" si="2"/>
        <v/>
      </c>
      <c r="AC25" s="170">
        <f t="shared" si="3"/>
        <v>0</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79">
        <v>0</v>
      </c>
      <c r="C26" s="684"/>
      <c r="D26" s="854" t="s">
        <v>496</v>
      </c>
      <c r="E26" s="680" t="s">
        <v>1024</v>
      </c>
      <c r="F26" s="172" t="s">
        <v>89</v>
      </c>
      <c r="G26" s="740">
        <f>IFERROR('PIM Ranges'!AL28,0)</f>
        <v>0</v>
      </c>
      <c r="H26" s="741">
        <f>IFERROR('PIM Ranges'!AM28,0)</f>
        <v>0</v>
      </c>
      <c r="I26" s="742">
        <f>IFERROR('PIM Ranges'!AN28,0)</f>
        <v>0</v>
      </c>
      <c r="J26" s="444">
        <f t="shared" si="0"/>
        <v>0</v>
      </c>
      <c r="K26" s="828"/>
      <c r="L26" s="804" t="str">
        <f t="shared" si="1"/>
        <v/>
      </c>
      <c r="M26" s="744">
        <f>'Multi-Customer'!Y28</f>
        <v>0</v>
      </c>
      <c r="N26" s="168"/>
      <c r="O26" s="746">
        <f>IFERROR(IF($D26="%",VLOOKUP($F26&amp;'PIM Ranges'!$AQ28,'Margin Quartiles'!$A:$H,5,FALSE),S26),0)</f>
        <v>0</v>
      </c>
      <c r="P26" s="746">
        <f>IFERROR(IF($E$3="Incentive Only",$W26,IF($D26="%",VLOOKUP($F26&amp;'PIM Ranges'!$AQ28,'Margin Quartiles'!$A:$H,6,FALSE),T26)),0)</f>
        <v>0</v>
      </c>
      <c r="Q26" s="746">
        <f>IFERROR(IF($D26="%",VLOOKUP($F26&amp;'PIM Ranges'!$AQ28,'Margin Quartiles'!$A:$H,7,FALSE),U26),0)</f>
        <v>0</v>
      </c>
      <c r="R26" s="570"/>
      <c r="S26" s="437" t="e">
        <f>VLOOKUP($F26&amp;'PIM Ranges'!$AQ28,'Margin Quartiles'!$A:$H,5,FALSE)*'PIM Ranges'!$AP28</f>
        <v>#DIV/0!</v>
      </c>
      <c r="T26" s="437" t="e">
        <f>VLOOKUP($F26&amp;'PIM Ranges'!$AQ28,'Margin Quartiles'!$A:$H,6,FALSE)*'PIM Ranges'!$AP28</f>
        <v>#DIV/0!</v>
      </c>
      <c r="U26" s="437" t="e">
        <f>VLOOKUP($F26&amp;'PIM Ranges'!$AQ28,'Margin Quartiles'!$A:$H,8,FALSE)*'PIM Ranges'!$AP28</f>
        <v>#DIV/0!</v>
      </c>
      <c r="V26" s="146"/>
      <c r="W26" s="169" t="e">
        <f>'Multi-Customer'!AO28</f>
        <v>#DIV/0!</v>
      </c>
      <c r="X26" s="146"/>
      <c r="Y26" s="437">
        <f>VLOOKUP($F26&amp;'Multi-Customer'!$AG28,'IMargin Quartiles'!$A:$H,6,FALSE)*'PIM Ranges'!AP28</f>
        <v>0.49485156330010727</v>
      </c>
      <c r="Z26" s="146"/>
      <c r="AA26" s="146"/>
      <c r="AB26" s="416" t="str">
        <f t="shared" si="2"/>
        <v/>
      </c>
      <c r="AC26" s="170">
        <f t="shared" si="3"/>
        <v>0</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79">
        <v>0</v>
      </c>
      <c r="C27" s="684"/>
      <c r="D27" s="854" t="s">
        <v>496</v>
      </c>
      <c r="E27" s="680" t="s">
        <v>1024</v>
      </c>
      <c r="F27" s="172" t="s">
        <v>94</v>
      </c>
      <c r="G27" s="740">
        <f>IFERROR('PIM Ranges'!AL29,0)</f>
        <v>0</v>
      </c>
      <c r="H27" s="741">
        <f>IFERROR('PIM Ranges'!AM29,0)</f>
        <v>0</v>
      </c>
      <c r="I27" s="742">
        <f>IFERROR('PIM Ranges'!AN29,0)</f>
        <v>0</v>
      </c>
      <c r="J27" s="444">
        <f>IF($E$3="Incentive Only",IF($D27="%",$P27*$G27,$P27*$H27),IF($D27="%",$K27*$G27,$K27*H27))</f>
        <v>0</v>
      </c>
      <c r="K27" s="828"/>
      <c r="L27" s="804" t="str">
        <f>IF(K27&lt;0,"X",IF($E$3="Incentive Only","",IF(K27="","",IF(K27&lt;O27,"L",IF(K27&gt;Q27,"X","")))))</f>
        <v/>
      </c>
      <c r="M27" s="744">
        <f>'Multi-Customer'!Y29</f>
        <v>0</v>
      </c>
      <c r="N27" s="168"/>
      <c r="O27" s="746">
        <f>IFERROR(IF($D27="%",VLOOKUP($F27&amp;'PIM Ranges'!$AQ29,'Margin Quartiles'!$A:$H,5,FALSE),S27),0)</f>
        <v>0</v>
      </c>
      <c r="P27" s="746">
        <f>IFERROR(IF($E$3="Incentive Only",$W27,IF($D27="%",VLOOKUP($F27&amp;'PIM Ranges'!$AQ29,'Margin Quartiles'!$A:$H,6,FALSE),T27)),0)</f>
        <v>0</v>
      </c>
      <c r="Q27" s="746">
        <f>IFERROR(IF($D27="%",VLOOKUP($F27&amp;'PIM Ranges'!$AQ29,'Margin Quartiles'!$A:$H,7,FALSE),U27),0)</f>
        <v>0</v>
      </c>
      <c r="R27" s="570"/>
      <c r="S27" s="437" t="e">
        <f>VLOOKUP($F27&amp;'PIM Ranges'!$AQ29,'Margin Quartiles'!$A:$H,5,FALSE)*'PIM Ranges'!$AO29</f>
        <v>#DIV/0!</v>
      </c>
      <c r="T27" s="437" t="e">
        <f>VLOOKUP($F27&amp;'PIM Ranges'!$AQ29,'Margin Quartiles'!$A:$H,6,FALSE)*'PIM Ranges'!$AO29</f>
        <v>#DIV/0!</v>
      </c>
      <c r="U27" s="437" t="e">
        <f>VLOOKUP($F27&amp;'PIM Ranges'!$AQ29,'Margin Quartiles'!$A:$H,8,FALSE)*'PIM Ranges'!$AO29</f>
        <v>#DIV/0!</v>
      </c>
      <c r="V27" s="146"/>
      <c r="W27" s="169" t="e">
        <f>'Multi-Customer'!AO29</f>
        <v>#DIV/0!</v>
      </c>
      <c r="X27" s="146"/>
      <c r="Y27" s="437">
        <f>VLOOKUP($F27&amp;'Multi-Customer'!$AG29,'IMargin Quartiles'!$A:$H,6,FALSE)*'PIM Ranges'!AO29</f>
        <v>3.3256203619495563</v>
      </c>
      <c r="Z27" s="146"/>
      <c r="AA27" s="146"/>
      <c r="AB27" s="416" t="str">
        <f t="shared" si="2"/>
        <v/>
      </c>
      <c r="AC27" s="170">
        <f t="shared" si="3"/>
        <v>0</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79">
        <v>0</v>
      </c>
      <c r="C28" s="684"/>
      <c r="D28" s="868" t="s">
        <v>496</v>
      </c>
      <c r="E28" s="680" t="s">
        <v>1024</v>
      </c>
      <c r="F28" s="172" t="s">
        <v>86</v>
      </c>
      <c r="G28" s="740">
        <f>IFERROR('PIM Ranges'!AL30,0)</f>
        <v>0</v>
      </c>
      <c r="H28" s="741">
        <f>IFERROR('PIM Ranges'!AM30,0)</f>
        <v>0</v>
      </c>
      <c r="I28" s="742">
        <f>IFERROR('PIM Ranges'!AN30,0)</f>
        <v>0</v>
      </c>
      <c r="J28" s="444">
        <f t="shared" si="0"/>
        <v>0</v>
      </c>
      <c r="K28" s="828"/>
      <c r="L28" s="804" t="str">
        <f t="shared" si="1"/>
        <v/>
      </c>
      <c r="M28" s="744">
        <f>'Multi-Customer'!Y30</f>
        <v>0</v>
      </c>
      <c r="N28" s="168"/>
      <c r="O28" s="746">
        <f>IFERROR(IF($D28="%",VLOOKUP($F28&amp;'PIM Ranges'!$AQ30,'Margin Quartiles'!$A:$H,5,FALSE),S28),0)</f>
        <v>0</v>
      </c>
      <c r="P28" s="746">
        <f>IFERROR(IF($E$3="Incentive Only",$W28,IF($D28="%",VLOOKUP($F28&amp;'PIM Ranges'!$AQ30,'Margin Quartiles'!$A:$H,6,FALSE),T28)),0)</f>
        <v>0</v>
      </c>
      <c r="Q28" s="746">
        <f>IFERROR(IF($D28="%",VLOOKUP($F28&amp;'PIM Ranges'!$AQ30,'Margin Quartiles'!$A:$H,7,FALSE),U28),0)</f>
        <v>0</v>
      </c>
      <c r="R28" s="570"/>
      <c r="S28" s="169"/>
      <c r="T28" s="169"/>
      <c r="U28" s="169"/>
      <c r="V28" s="146"/>
      <c r="W28" s="169" t="e">
        <f>'Multi-Customer'!AO30</f>
        <v>#DIV/0!</v>
      </c>
      <c r="X28" s="146"/>
      <c r="Y28" s="169"/>
      <c r="Z28" s="146"/>
      <c r="AA28" s="146"/>
      <c r="AB28" s="416" t="str">
        <f t="shared" si="2"/>
        <v/>
      </c>
      <c r="AC28" s="170">
        <f t="shared" si="3"/>
        <v>0</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79">
        <v>0</v>
      </c>
      <c r="C29" s="684"/>
      <c r="D29" s="855" t="s">
        <v>496</v>
      </c>
      <c r="E29" s="680" t="s">
        <v>1024</v>
      </c>
      <c r="F29" s="172" t="s">
        <v>88</v>
      </c>
      <c r="G29" s="740">
        <f>IFERROR('PIM Ranges'!AL31,0)</f>
        <v>0</v>
      </c>
      <c r="H29" s="741">
        <f>IFERROR('PIM Ranges'!AM31,0)</f>
        <v>0</v>
      </c>
      <c r="I29" s="742">
        <f>IFERROR('PIM Ranges'!AN31,0)</f>
        <v>0</v>
      </c>
      <c r="J29" s="444">
        <f t="shared" si="0"/>
        <v>0</v>
      </c>
      <c r="K29" s="828"/>
      <c r="L29" s="804" t="str">
        <f t="shared" si="1"/>
        <v/>
      </c>
      <c r="M29" s="744">
        <f>'Multi-Customer'!Y31</f>
        <v>0</v>
      </c>
      <c r="N29" s="168"/>
      <c r="O29" s="746">
        <f>IFERROR(IF($D29="%",VLOOKUP($F29&amp;'PIM Ranges'!$AQ31,'Margin Quartiles'!$A:$H,5,FALSE),S29),0)</f>
        <v>0</v>
      </c>
      <c r="P29" s="746">
        <f>IFERROR(IF($E$3="Incentive Only",$W29,IF($D29="%",VLOOKUP($F29&amp;'PIM Ranges'!$AQ31,'Margin Quartiles'!$A:$H,6,FALSE),T29)),0)</f>
        <v>0</v>
      </c>
      <c r="Q29" s="746">
        <f>IFERROR(IF($D29="%",VLOOKUP($F29&amp;'PIM Ranges'!$AQ31,'Margin Quartiles'!$A:$H,7,FALSE),U29),0)</f>
        <v>0</v>
      </c>
      <c r="R29" s="570"/>
      <c r="S29" s="437" t="e">
        <f>VLOOKUP($F29&amp;'PIM Ranges'!$AQ31,'Margin Quartiles'!$A:$H,5,FALSE)*'PIM Ranges'!$AP31</f>
        <v>#DIV/0!</v>
      </c>
      <c r="T29" s="437" t="e">
        <f>VLOOKUP($F29&amp;'PIM Ranges'!$AQ31,'Margin Quartiles'!$A:$H,6,FALSE)*'PIM Ranges'!$AP31</f>
        <v>#DIV/0!</v>
      </c>
      <c r="U29" s="437" t="e">
        <f>VLOOKUP($F29&amp;'PIM Ranges'!$AQ31,'Margin Quartiles'!$A:$H,8,FALSE)*'PIM Ranges'!$AP31</f>
        <v>#DIV/0!</v>
      </c>
      <c r="V29" s="146"/>
      <c r="W29" s="169" t="e">
        <f>'Multi-Customer'!AO31</f>
        <v>#DIV/0!</v>
      </c>
      <c r="X29" s="146"/>
      <c r="Y29" s="437">
        <f>VLOOKUP($F29&amp;'Multi-Customer'!$AG31,'IMargin Quartiles'!$A:$H,6,FALSE)*'PIM Ranges'!AP31</f>
        <v>0.75109971111658513</v>
      </c>
      <c r="Z29" s="146"/>
      <c r="AA29" s="146"/>
      <c r="AB29" s="416" t="str">
        <f t="shared" si="2"/>
        <v/>
      </c>
      <c r="AC29" s="170">
        <f t="shared" si="3"/>
        <v>0</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81">
        <v>0</v>
      </c>
      <c r="C30" s="685"/>
      <c r="D30" s="856" t="s">
        <v>496</v>
      </c>
      <c r="E30" s="682" t="s">
        <v>1024</v>
      </c>
      <c r="F30" s="173" t="s">
        <v>87</v>
      </c>
      <c r="G30" s="740">
        <f>IFERROR('PIM Ranges'!AL32,0)</f>
        <v>0</v>
      </c>
      <c r="H30" s="741">
        <f>IFERROR('PIM Ranges'!AM32,0)</f>
        <v>0</v>
      </c>
      <c r="I30" s="743">
        <f>IFERROR('PIM Ranges'!AN32,0)</f>
        <v>0</v>
      </c>
      <c r="J30" s="444">
        <f t="shared" si="0"/>
        <v>0</v>
      </c>
      <c r="K30" s="829"/>
      <c r="L30" s="804" t="str">
        <f t="shared" si="1"/>
        <v/>
      </c>
      <c r="M30" s="745">
        <f>'Multi-Customer'!Y32</f>
        <v>0</v>
      </c>
      <c r="N30" s="168"/>
      <c r="O30" s="746">
        <f>IFERROR(IF($D30="%",VLOOKUP($F30&amp;'PIM Ranges'!$AQ32,'Margin Quartiles'!$A:$H,5,FALSE),S30),0)</f>
        <v>0</v>
      </c>
      <c r="P30" s="746">
        <f>IFERROR(IF($E$3="Incentive Only",$W30,IF($D30="%",VLOOKUP($F30&amp;'PIM Ranges'!$AQ32,'Margin Quartiles'!$A:$H,6,FALSE),T30)),0)</f>
        <v>0</v>
      </c>
      <c r="Q30" s="746">
        <f>IFERROR(IF($D30="%",VLOOKUP($F30&amp;'PIM Ranges'!$AQ32,'Margin Quartiles'!$A:$H,7,FALSE),U30),0)</f>
        <v>0</v>
      </c>
      <c r="R30" s="570"/>
      <c r="S30" s="437" t="e">
        <f>VLOOKUP($F30&amp;'PIM Ranges'!$AQ32,'Margin Quartiles'!$A:$H,5,FALSE)*'PIM Ranges'!$AP32</f>
        <v>#DIV/0!</v>
      </c>
      <c r="T30" s="437" t="e">
        <f>VLOOKUP($F30&amp;'PIM Ranges'!$AQ32,'Margin Quartiles'!$A:$H,6,FALSE)*'PIM Ranges'!$AP32</f>
        <v>#DIV/0!</v>
      </c>
      <c r="U30" s="437" t="e">
        <f>VLOOKUP($F30&amp;'PIM Ranges'!$AQ32,'Margin Quartiles'!$A:$H,8,FALSE)*'PIM Ranges'!$AP32</f>
        <v>#DIV/0!</v>
      </c>
      <c r="V30" s="146"/>
      <c r="W30" s="169" t="e">
        <f>'Multi-Customer'!AO32</f>
        <v>#DIV/0!</v>
      </c>
      <c r="X30" s="146"/>
      <c r="Y30" s="437">
        <f>VLOOKUP($F30&amp;'Multi-Customer'!$AG32,'IMargin Quartiles'!$A:$H,6,FALSE)*'PIM Ranges'!AP32</f>
        <v>0.59335682950692847</v>
      </c>
      <c r="Z30" s="146"/>
      <c r="AA30" s="146"/>
      <c r="AB30" s="416" t="str">
        <f t="shared" si="2"/>
        <v/>
      </c>
      <c r="AC30" s="170">
        <f t="shared" si="3"/>
        <v>0</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45">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22" t="s">
        <v>119</v>
      </c>
      <c r="H33" s="923"/>
      <c r="I33" s="540" t="e">
        <f>IF($E$3="MDA",'PIM Ranges'!$AX$7,'PIM Ranges'!$BJ$7)</f>
        <v>#DIV/0!</v>
      </c>
      <c r="J33" s="141"/>
      <c r="K33" s="924" t="str">
        <f>IF(COUNTIF($AB$10:$AB$30,"ERROR")&lt;1,"",IF(COUNTIF($AB$10:$AB$30,"ERROR")&lt;2,(COUNTIF($AB$10:$AB$30,"ERROR")&amp;" Margin Missing Above"),(COUNTIF($AB$10:$AB$30,"ERROR")&amp;" Margins Missing Above")))</f>
        <v/>
      </c>
      <c r="L33" s="924"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17" t="s">
        <v>505</v>
      </c>
      <c r="H34" s="918"/>
      <c r="I34" s="536">
        <f>J31</f>
        <v>0</v>
      </c>
      <c r="J34" s="141"/>
      <c r="K34" s="924" t="str">
        <f>IF(COUNTIFS($L$10:$L$30,"X",$AF$10:$AF$30,"BELOW")&lt;1,"",IF(COUNTIFS($L$10:$L$30,"X",$AF$10:$AF$30,"BELOW")&lt;2,(COUNTIFS($L$10:$L$30,"X",$AF$10:$AF$30,"BELOW")&amp;" Margin Below Minimum"),(COUNTIFS($L$10:$L$30,"X",$AF$10:$AF$30,"BELOW")&amp;" Margins Below Minimum")))</f>
        <v/>
      </c>
      <c r="L34" s="924"/>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17" t="s">
        <v>506</v>
      </c>
      <c r="H35" s="918"/>
      <c r="I35" s="537" t="str">
        <f>IFERROR(I34/G31,"")</f>
        <v/>
      </c>
      <c r="K35" s="924" t="str">
        <f>IF(COUNTIFS($L$10:$L$30,"X",$AF$10:$AF$30,"ABOVE")&lt;1,"",IF(COUNTIFS($L$10:$L$30,"X",$AF$10:$AF$30,"ABOVE")&lt;2,(COUNTIFS($L$10:$L$30,"X",$AF$10:$AF$30,"ABOVE")&amp;" Margin Above Maximum"),(COUNTIFS($L$10:$L$30,"X",$AF$10:$AF$30,"ABOVE")&amp;" Margins Above Maximum")))</f>
        <v/>
      </c>
      <c r="L35" s="924"/>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17"/>
      <c r="H36" s="918"/>
      <c r="I36" s="537"/>
      <c r="J36" s="141"/>
      <c r="K36" s="549">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17" t="str">
        <f>IFERROR(IF(I35&gt;I33,"","Below Recommended TAGP: "),"")</f>
        <v/>
      </c>
      <c r="H37" s="918"/>
      <c r="I37" s="537"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17"/>
      <c r="H38" s="918"/>
      <c r="I38" s="537"/>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17" t="s">
        <v>507</v>
      </c>
      <c r="H39" s="918"/>
      <c r="I39" s="538">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19" t="s">
        <v>508</v>
      </c>
      <c r="H40" s="920"/>
      <c r="I40" s="539">
        <f>IFERROR($I$34/(52*$E$6*$K$40),0)</f>
        <v>0</v>
      </c>
      <c r="J40" s="141"/>
      <c r="K40" s="647" t="str">
        <f>Welcome!$D$10</f>
        <v>Select # of Locations</v>
      </c>
      <c r="L40" s="146"/>
      <c r="M40" s="146"/>
      <c r="N40" s="146"/>
      <c r="O40" s="146"/>
      <c r="P40" s="146"/>
      <c r="Q40" s="574"/>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70"/>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921"/>
      <c r="G52" s="921"/>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921"/>
      <c r="G53" s="921"/>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921"/>
      <c r="G54" s="921"/>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iLADLifrBUGNaeo4xNM3swHO83DGQISfNHjj0RSMVB13+AZbWqP9Ok8Ewi122ryxAUJC9oNthyukG3ABkXGUvw==" saltValue="U/3i4m75Xu7q3XjvDNZq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85" priority="19">
      <formula>$D10&lt;&gt;"%"</formula>
    </cfRule>
  </conditionalFormatting>
  <conditionalFormatting sqref="B10:J30">
    <cfRule type="expression" dxfId="84" priority="13">
      <formula>$E10="EXCLUDE"</formula>
    </cfRule>
  </conditionalFormatting>
  <conditionalFormatting sqref="O8:O30">
    <cfRule type="expression" dxfId="83" priority="15">
      <formula>$E$3="Incentive Only"</formula>
    </cfRule>
  </conditionalFormatting>
  <conditionalFormatting sqref="Q8:Q30">
    <cfRule type="expression" dxfId="82" priority="14">
      <formula>$E$3="Incentive Only"</formula>
    </cfRule>
  </conditionalFormatting>
  <conditionalFormatting sqref="K9:K30">
    <cfRule type="expression" dxfId="81" priority="4">
      <formula>$E$3="Incentive Only"</formula>
    </cfRule>
  </conditionalFormatting>
  <conditionalFormatting sqref="L10:L30">
    <cfRule type="expression" dxfId="80" priority="5">
      <formula>$AF10="ABOVE"</formula>
    </cfRule>
  </conditionalFormatting>
  <conditionalFormatting sqref="I35">
    <cfRule type="expression" dxfId="79" priority="75">
      <formula>$K$36&gt;0</formula>
    </cfRule>
    <cfRule type="expression" dxfId="78" priority="76">
      <formula>$I$35&lt;$I$33</formula>
    </cfRule>
    <cfRule type="expression" dxfId="77" priority="77">
      <formula>$I$35&gt;$I$33</formula>
    </cfRule>
  </conditionalFormatting>
  <conditionalFormatting sqref="D10:D30">
    <cfRule type="expression" dxfId="76" priority="16">
      <formula>$E$3="Incentive Only"</formula>
    </cfRule>
  </conditionalFormatting>
  <conditionalFormatting sqref="K10:K30">
    <cfRule type="expression" dxfId="75" priority="3">
      <formula>$D10&lt;&gt;"%"</formula>
    </cfRule>
  </conditionalFormatting>
  <conditionalFormatting sqref="K27">
    <cfRule type="expression" dxfId="74" priority="1">
      <formula>$K$27&lt;0</formula>
    </cfRule>
  </conditionalFormatting>
  <printOptions horizontalCentered="1" verticalCentered="1"/>
  <pageMargins left="0.25" right="0.25" top="0.75" bottom="0.75" header="0.3" footer="0.3"/>
  <pageSetup scale="59" orientation="landscape" r:id="rId1"/>
  <headerFooter scaleWithDoc="0">
    <oddFooter>&amp;L&amp;P&amp;CPIM Model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1"/>
  <sheetViews>
    <sheetView showGridLines="0" zoomScale="80" zoomScaleNormal="80" workbookViewId="0">
      <selection activeCell="E15" sqref="E1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29.85546875" bestFit="1"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5.7109375"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808"/>
      <c r="C2" s="180"/>
      <c r="D2" s="575" t="s">
        <v>1014</v>
      </c>
      <c r="E2" s="180"/>
      <c r="F2" s="181"/>
      <c r="G2" s="182"/>
      <c r="H2" s="180"/>
      <c r="I2" s="578"/>
      <c r="J2" s="180"/>
      <c r="K2" s="180"/>
      <c r="L2" s="180"/>
      <c r="M2" s="180"/>
      <c r="N2" s="180"/>
      <c r="O2" s="579"/>
      <c r="Q2" s="184"/>
      <c r="R2" s="185"/>
      <c r="S2" s="185"/>
      <c r="T2" s="185"/>
      <c r="U2" s="185"/>
      <c r="V2" s="185"/>
      <c r="W2" s="185"/>
      <c r="X2" s="185"/>
      <c r="Y2" s="185"/>
      <c r="Z2" s="185"/>
      <c r="AA2" s="185"/>
      <c r="AB2" s="185"/>
      <c r="AC2" s="185"/>
    </row>
    <row r="3" spans="2:29" s="5" customFormat="1" x14ac:dyDescent="0.25">
      <c r="B3" s="186"/>
      <c r="F3" s="546" t="s">
        <v>381</v>
      </c>
      <c r="G3" s="767" t="str">
        <f>Welcome!$D$6</f>
        <v>Select Deal Type</v>
      </c>
      <c r="H3" s="146"/>
      <c r="I3" s="89"/>
      <c r="J3"/>
      <c r="K3" s="546" t="s">
        <v>110</v>
      </c>
      <c r="L3" s="928" t="e">
        <f>VLOOKUP($L$4,'Market Geography'!$D:$G,4,FALSE)</f>
        <v>#N/A</v>
      </c>
      <c r="M3" s="929" t="e">
        <f>IF(#REF!="New Business",#REF!,#REF!)</f>
        <v>#REF!</v>
      </c>
      <c r="N3" s="930"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47" t="s">
        <v>216</v>
      </c>
      <c r="G4" s="414" t="str">
        <f>Welcome!$D$8</f>
        <v>Select Term</v>
      </c>
      <c r="H4" s="146"/>
      <c r="I4" s="189" t="s">
        <v>523</v>
      </c>
      <c r="J4" s="190"/>
      <c r="K4" s="547" t="s">
        <v>120</v>
      </c>
      <c r="L4" s="925">
        <f>Welcome!$D$4</f>
        <v>0</v>
      </c>
      <c r="M4" s="926"/>
      <c r="N4" s="927"/>
      <c r="O4" s="187"/>
      <c r="P4" s="185"/>
      <c r="Q4" s="188"/>
      <c r="R4" s="185"/>
      <c r="S4" s="185"/>
      <c r="T4" s="185"/>
      <c r="U4" s="185"/>
      <c r="V4" s="185"/>
      <c r="W4" s="185"/>
      <c r="X4" s="185"/>
      <c r="Y4" s="185"/>
      <c r="Z4" s="185"/>
      <c r="AA4" s="185"/>
      <c r="AB4" s="185"/>
      <c r="AC4" s="185"/>
    </row>
    <row r="5" spans="2:29" s="5" customFormat="1" x14ac:dyDescent="0.25">
      <c r="B5" s="186"/>
      <c r="F5" s="547" t="s">
        <v>202</v>
      </c>
      <c r="G5" s="415">
        <f>'PIM Model'!$G$31</f>
        <v>0</v>
      </c>
      <c r="H5" s="449"/>
      <c r="I5"/>
      <c r="J5"/>
      <c r="K5" s="547" t="s">
        <v>107</v>
      </c>
      <c r="L5" s="925" t="str">
        <f>'Multi-Customer'!$M$47</f>
        <v>Enter Customer(s)</v>
      </c>
      <c r="M5" s="926"/>
      <c r="N5" s="927"/>
      <c r="O5" s="187"/>
      <c r="P5" s="185"/>
      <c r="Q5" s="188"/>
      <c r="R5" s="185"/>
      <c r="S5" s="185"/>
      <c r="T5" s="185"/>
      <c r="U5" s="185"/>
      <c r="V5" s="185"/>
      <c r="W5" s="185"/>
      <c r="X5" s="185"/>
      <c r="Y5" s="185"/>
      <c r="Z5" s="185"/>
      <c r="AA5" s="185"/>
      <c r="AB5" s="185"/>
      <c r="AC5" s="185"/>
    </row>
    <row r="6" spans="2:29" s="5" customFormat="1" x14ac:dyDescent="0.25">
      <c r="B6" s="186"/>
      <c r="F6" s="547" t="s">
        <v>493</v>
      </c>
      <c r="G6" s="451">
        <f>'Variable Costs (Back)'!$K$26</f>
        <v>0</v>
      </c>
      <c r="H6" s="450"/>
      <c r="I6"/>
      <c r="J6"/>
      <c r="K6" s="547" t="s">
        <v>410</v>
      </c>
      <c r="L6" s="925" t="str">
        <f>'Multi-Customer'!$M$83</f>
        <v>MULTIPLE MENU TYPES</v>
      </c>
      <c r="M6" s="926"/>
      <c r="N6" s="927"/>
      <c r="O6" s="187"/>
      <c r="P6" s="185"/>
      <c r="Q6" s="188"/>
      <c r="R6" s="185"/>
      <c r="S6" s="185"/>
      <c r="T6" s="185"/>
      <c r="U6" s="185"/>
      <c r="V6" s="185"/>
      <c r="W6" s="185"/>
      <c r="X6" s="185"/>
      <c r="Y6" s="185"/>
      <c r="Z6" s="185"/>
      <c r="AA6" s="185"/>
      <c r="AB6" s="185"/>
      <c r="AC6" s="185"/>
    </row>
    <row r="7" spans="2:29" s="5" customFormat="1" ht="15.75" thickBot="1" x14ac:dyDescent="0.3">
      <c r="B7" s="186"/>
      <c r="F7" s="548" t="s">
        <v>547</v>
      </c>
      <c r="G7" s="452">
        <f>IFERROR('PIM Ranges'!$AU$3,0)</f>
        <v>0</v>
      </c>
      <c r="I7"/>
      <c r="J7"/>
      <c r="K7" s="548" t="s">
        <v>225</v>
      </c>
      <c r="L7" s="946" t="s">
        <v>211</v>
      </c>
      <c r="M7" s="947"/>
      <c r="N7" s="948"/>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944</v>
      </c>
      <c r="H9" s="934">
        <f>IFERROR('PIM Model'!$G$31,0)</f>
        <v>0</v>
      </c>
      <c r="I9" s="935"/>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945</v>
      </c>
      <c r="H10" s="942">
        <f>IFERROR('PIM Model'!$G$32,0)</f>
        <v>0</v>
      </c>
      <c r="I10" s="943"/>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936"/>
      <c r="H12" s="937"/>
      <c r="I12" s="198"/>
      <c r="J12" s="941"/>
      <c r="K12" s="941"/>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99"/>
      <c r="G13" s="763"/>
      <c r="H13" s="762"/>
      <c r="I13" s="261" t="s">
        <v>934</v>
      </c>
      <c r="J13" s="44"/>
      <c r="K13" s="261" t="s">
        <v>914</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946</v>
      </c>
      <c r="E14" s="202"/>
      <c r="F14" s="203"/>
      <c r="G14" s="944"/>
      <c r="H14" s="945"/>
      <c r="I14" s="455" t="s">
        <v>1107</v>
      </c>
      <c r="J14" s="152"/>
      <c r="K14" s="456">
        <f>IF(I14="Credit Memo","Individual Customers",IF('Customer Inputs'!$G$6="New Store","New Customer 1",'Customer Inputs'!$G$6))</f>
        <v>0</v>
      </c>
      <c r="L14" s="152"/>
      <c r="M14" s="152"/>
      <c r="N14" s="204"/>
      <c r="O14" s="187"/>
      <c r="P14" s="185"/>
      <c r="Q14" s="813"/>
      <c r="R14" s="185"/>
      <c r="S14" s="185"/>
      <c r="T14" s="185"/>
      <c r="U14" s="185"/>
      <c r="V14" s="185"/>
      <c r="W14" s="185"/>
      <c r="X14" s="185"/>
      <c r="Y14" s="185"/>
      <c r="Z14" s="185"/>
      <c r="AA14" s="185"/>
    </row>
    <row r="15" spans="2:29" s="5" customFormat="1" x14ac:dyDescent="0.25">
      <c r="B15" s="186"/>
      <c r="C15" s="200"/>
      <c r="D15" s="205" t="s">
        <v>553</v>
      </c>
      <c r="E15" s="73" t="s">
        <v>558</v>
      </c>
      <c r="F15" s="206"/>
      <c r="G15" s="763"/>
      <c r="H15" s="762"/>
      <c r="I15" s="152"/>
      <c r="J15" s="152"/>
      <c r="K15" s="152"/>
      <c r="L15" s="152"/>
      <c r="M15" s="152"/>
      <c r="N15" s="204"/>
      <c r="O15" s="187"/>
      <c r="P15" s="185"/>
      <c r="Q15" s="813"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62"/>
      <c r="I16" s="209" t="s">
        <v>543</v>
      </c>
      <c r="J16" s="152"/>
      <c r="K16" s="210"/>
      <c r="L16" s="152"/>
      <c r="M16" s="6" t="s">
        <v>509</v>
      </c>
      <c r="N16" s="204"/>
      <c r="O16" s="187"/>
      <c r="P16" s="185"/>
      <c r="Q16" s="813"/>
      <c r="R16" s="185"/>
      <c r="S16" s="185"/>
      <c r="T16" s="185"/>
      <c r="U16" s="185"/>
      <c r="V16" s="185"/>
      <c r="W16" s="185"/>
      <c r="X16" s="185"/>
      <c r="Y16" s="185"/>
      <c r="Z16" s="185"/>
      <c r="AA16" s="185"/>
    </row>
    <row r="17" spans="2:27" s="5" customFormat="1" ht="17.45" customHeight="1" x14ac:dyDescent="0.25">
      <c r="B17" s="186"/>
      <c r="C17" s="200"/>
      <c r="D17" s="211" t="s">
        <v>947</v>
      </c>
      <c r="E17" s="202"/>
      <c r="F17" s="212" t="s">
        <v>527</v>
      </c>
      <c r="G17" s="246">
        <f>$H$9/52</f>
        <v>0</v>
      </c>
      <c r="H17" s="762"/>
      <c r="I17" s="852">
        <v>0</v>
      </c>
      <c r="J17" s="152"/>
      <c r="K17" s="213"/>
      <c r="L17" s="152"/>
      <c r="M17" s="214"/>
      <c r="N17" s="204"/>
      <c r="O17" s="187"/>
      <c r="P17" s="185"/>
      <c r="Q17" s="813"/>
      <c r="R17" s="185"/>
      <c r="S17" s="185"/>
      <c r="T17" s="185"/>
      <c r="U17" s="185"/>
      <c r="V17" s="185"/>
      <c r="W17" s="185"/>
      <c r="X17" s="185"/>
      <c r="Y17" s="185"/>
      <c r="Z17" s="185"/>
      <c r="AA17" s="185"/>
    </row>
    <row r="18" spans="2:27" s="5" customFormat="1" ht="15.75" x14ac:dyDescent="0.25">
      <c r="B18" s="186"/>
      <c r="C18" s="200"/>
      <c r="D18" s="215" t="s">
        <v>550</v>
      </c>
      <c r="E18" s="576">
        <f>IF(G18="",0,(G18-$G$17)/$G$17)</f>
        <v>0</v>
      </c>
      <c r="F18" s="212" t="s">
        <v>941</v>
      </c>
      <c r="G18" s="580"/>
      <c r="H18" s="762"/>
      <c r="I18" s="302">
        <v>0.01</v>
      </c>
      <c r="J18" s="938" t="str">
        <f>IF($E$15="YES","**Tier 1 used for modeling purposes**","")</f>
        <v/>
      </c>
      <c r="K18" s="939"/>
      <c r="L18" s="940"/>
      <c r="M18" s="214" t="str">
        <f>IF($E$15="YES",$H$10*I18,"")</f>
        <v/>
      </c>
      <c r="N18" s="204"/>
      <c r="O18" s="187"/>
      <c r="P18" s="185"/>
      <c r="Q18" s="813"/>
      <c r="R18" s="185"/>
      <c r="S18" s="185"/>
      <c r="T18" s="185"/>
      <c r="U18" s="185"/>
      <c r="V18" s="185"/>
      <c r="W18" s="185"/>
      <c r="X18" s="185"/>
      <c r="Y18" s="185"/>
      <c r="Z18" s="185"/>
      <c r="AA18" s="185"/>
    </row>
    <row r="19" spans="2:27" s="5" customFormat="1" ht="15.6" customHeight="1" x14ac:dyDescent="0.25">
      <c r="B19" s="186"/>
      <c r="C19" s="200"/>
      <c r="D19" s="215" t="s">
        <v>551</v>
      </c>
      <c r="E19" s="576">
        <f t="shared" ref="E19:E20" si="0">IF(G19="",0,(G19-$G$17)/$G$17)</f>
        <v>0</v>
      </c>
      <c r="F19" s="212" t="s">
        <v>942</v>
      </c>
      <c r="G19" s="580"/>
      <c r="H19" s="762"/>
      <c r="I19" s="302">
        <v>1.4999999999999999E-2</v>
      </c>
      <c r="J19" s="152"/>
      <c r="K19" s="949" t="str">
        <f>IF($I$21&gt;0,"**Warning: You have entered an incentive payout above the recommended 3%**","")</f>
        <v/>
      </c>
      <c r="L19" s="152"/>
      <c r="M19" s="214"/>
      <c r="N19" s="204"/>
      <c r="O19" s="187"/>
      <c r="P19" s="185"/>
      <c r="Q19" s="813"/>
      <c r="R19" s="185"/>
      <c r="S19" s="185"/>
      <c r="T19" s="185"/>
      <c r="U19" s="185"/>
      <c r="V19" s="185"/>
      <c r="W19" s="185"/>
      <c r="X19" s="185"/>
      <c r="Y19" s="185"/>
      <c r="Z19" s="185"/>
      <c r="AA19" s="185"/>
    </row>
    <row r="20" spans="2:27" s="5" customFormat="1" ht="15.75" x14ac:dyDescent="0.25">
      <c r="B20" s="186"/>
      <c r="C20" s="200"/>
      <c r="D20" s="215" t="s">
        <v>552</v>
      </c>
      <c r="E20" s="576">
        <f t="shared" si="0"/>
        <v>0</v>
      </c>
      <c r="F20" s="212" t="s">
        <v>943</v>
      </c>
      <c r="G20" s="580"/>
      <c r="H20" s="762"/>
      <c r="I20" s="302">
        <v>0.02</v>
      </c>
      <c r="J20" s="152"/>
      <c r="K20" s="949"/>
      <c r="L20" s="152"/>
      <c r="M20" s="214"/>
      <c r="N20" s="204"/>
      <c r="O20" s="187"/>
      <c r="P20" s="185"/>
      <c r="Q20" s="813"/>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848">
        <f>COUNTIF($I$18:$I$20,"&gt;.03")</f>
        <v>0</v>
      </c>
      <c r="J21" s="222"/>
      <c r="K21" s="223"/>
      <c r="L21" s="222"/>
      <c r="M21" s="224"/>
      <c r="N21" s="225"/>
      <c r="O21" s="187"/>
      <c r="P21" s="185"/>
      <c r="Q21" s="813"/>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813"/>
      <c r="R22" s="185"/>
      <c r="S22" s="185"/>
      <c r="T22" s="185"/>
      <c r="U22" s="185"/>
      <c r="V22" s="185"/>
      <c r="W22" s="185"/>
      <c r="X22" s="185"/>
      <c r="Y22" s="185"/>
      <c r="Z22" s="185"/>
      <c r="AA22" s="185"/>
    </row>
    <row r="23" spans="2:27" s="5" customFormat="1" ht="9" customHeight="1" x14ac:dyDescent="0.25">
      <c r="B23" s="186"/>
      <c r="C23" s="194"/>
      <c r="D23" s="234"/>
      <c r="E23" s="235"/>
      <c r="F23" s="236"/>
      <c r="G23" s="237"/>
      <c r="H23" s="764"/>
      <c r="I23" s="238"/>
      <c r="J23" s="196"/>
      <c r="K23" s="239"/>
      <c r="L23" s="196"/>
      <c r="M23" s="240"/>
      <c r="N23" s="199"/>
      <c r="O23" s="187"/>
      <c r="P23" s="185"/>
      <c r="Q23" s="813"/>
      <c r="R23" s="185"/>
      <c r="S23" s="185"/>
      <c r="T23" s="185"/>
      <c r="U23" s="185"/>
      <c r="V23" s="185"/>
      <c r="W23" s="185"/>
      <c r="X23" s="185"/>
      <c r="Y23" s="185"/>
      <c r="Z23" s="185"/>
      <c r="AA23" s="185"/>
    </row>
    <row r="24" spans="2:27" s="5" customFormat="1" ht="12" customHeight="1" x14ac:dyDescent="0.25">
      <c r="B24" s="186"/>
      <c r="C24" s="200"/>
      <c r="D24" s="398"/>
      <c r="E24" s="241"/>
      <c r="F24" s="212"/>
      <c r="G24" s="242"/>
      <c r="H24" s="762"/>
      <c r="I24" s="261" t="s">
        <v>934</v>
      </c>
      <c r="J24" s="44"/>
      <c r="K24" s="261" t="s">
        <v>914</v>
      </c>
      <c r="L24" s="152"/>
      <c r="M24" s="243"/>
      <c r="N24" s="204"/>
      <c r="O24" s="187"/>
      <c r="P24" s="185"/>
      <c r="Q24" s="813"/>
      <c r="R24" s="185"/>
      <c r="S24" s="185"/>
      <c r="T24" s="185"/>
      <c r="U24" s="185"/>
      <c r="V24" s="185"/>
      <c r="W24" s="185"/>
      <c r="X24" s="185"/>
      <c r="Y24" s="185"/>
      <c r="Z24" s="185"/>
      <c r="AA24" s="185"/>
    </row>
    <row r="25" spans="2:27" s="5" customFormat="1" ht="18.75" x14ac:dyDescent="0.25">
      <c r="B25" s="186"/>
      <c r="C25" s="200"/>
      <c r="D25" s="201" t="s">
        <v>549</v>
      </c>
      <c r="E25" s="241"/>
      <c r="F25" s="203"/>
      <c r="G25" s="242"/>
      <c r="H25" s="762"/>
      <c r="I25" s="455" t="s">
        <v>1107</v>
      </c>
      <c r="J25" s="152"/>
      <c r="K25" s="456">
        <f>IF(I25="Credit Memo","Individual Customers",IF('Customer Inputs'!$G$6="New Store","New Customer 1",'Customer Inputs'!$G$6))</f>
        <v>0</v>
      </c>
      <c r="L25" s="152"/>
      <c r="M25" s="243"/>
      <c r="N25" s="204"/>
      <c r="O25" s="187"/>
      <c r="P25" s="185"/>
      <c r="Q25" s="813"/>
      <c r="R25" s="185"/>
      <c r="S25" s="185"/>
      <c r="T25" s="185"/>
      <c r="U25" s="185"/>
      <c r="V25" s="185"/>
      <c r="W25" s="185"/>
      <c r="X25" s="185"/>
      <c r="Y25" s="185"/>
      <c r="Z25" s="185"/>
      <c r="AA25" s="185"/>
    </row>
    <row r="26" spans="2:27" s="5" customFormat="1" x14ac:dyDescent="0.25">
      <c r="B26" s="186"/>
      <c r="C26" s="200"/>
      <c r="D26" s="205" t="s">
        <v>553</v>
      </c>
      <c r="E26" s="73" t="s">
        <v>558</v>
      </c>
      <c r="F26" s="244"/>
      <c r="G26" s="762"/>
      <c r="H26" s="762"/>
      <c r="I26" s="245"/>
      <c r="J26" s="152"/>
      <c r="K26" s="152"/>
      <c r="L26" s="152"/>
      <c r="M26" s="152"/>
      <c r="N26" s="204"/>
      <c r="O26" s="187"/>
      <c r="P26" s="185"/>
      <c r="Q26" s="813"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757</v>
      </c>
      <c r="H27" s="762"/>
      <c r="I27" s="209" t="s">
        <v>561</v>
      </c>
      <c r="J27" s="152"/>
      <c r="K27" s="210"/>
      <c r="L27" s="152"/>
      <c r="M27" s="6" t="s">
        <v>509</v>
      </c>
      <c r="N27" s="204"/>
      <c r="O27" s="187"/>
      <c r="P27" s="185"/>
      <c r="Q27" s="813"/>
      <c r="R27" s="185"/>
      <c r="S27" s="185"/>
      <c r="T27" s="185"/>
      <c r="U27" s="185"/>
      <c r="V27" s="185"/>
      <c r="W27" s="185"/>
      <c r="X27" s="185"/>
      <c r="Y27" s="185"/>
      <c r="Z27" s="185"/>
      <c r="AA27" s="185"/>
    </row>
    <row r="28" spans="2:27" s="5" customFormat="1" ht="15.75" x14ac:dyDescent="0.25">
      <c r="B28" s="186"/>
      <c r="C28" s="200"/>
      <c r="D28" s="211" t="s">
        <v>546</v>
      </c>
      <c r="E28" s="202"/>
      <c r="F28" s="212" t="s">
        <v>756</v>
      </c>
      <c r="G28" s="246">
        <f>IFERROR($G$5/($G$6*52*Welcome!$D$10),0)</f>
        <v>0</v>
      </c>
      <c r="H28" s="762"/>
      <c r="I28" s="852">
        <v>0</v>
      </c>
      <c r="J28" s="152"/>
      <c r="K28" s="213"/>
      <c r="L28" s="152"/>
      <c r="M28" s="214"/>
      <c r="N28" s="204"/>
      <c r="O28" s="187"/>
      <c r="P28" s="185"/>
      <c r="Q28" s="813"/>
      <c r="R28" s="185"/>
      <c r="S28" s="185"/>
      <c r="T28" s="185"/>
      <c r="U28" s="185"/>
      <c r="V28" s="185"/>
      <c r="W28" s="185"/>
      <c r="X28" s="185"/>
      <c r="Y28" s="185"/>
      <c r="Z28" s="185"/>
      <c r="AA28" s="185"/>
    </row>
    <row r="29" spans="2:27" s="5" customFormat="1" ht="15.75" x14ac:dyDescent="0.25">
      <c r="B29" s="186"/>
      <c r="C29" s="200"/>
      <c r="D29" s="215" t="s">
        <v>550</v>
      </c>
      <c r="E29" s="576">
        <f>IF(G29="",0,(G29-$G$28)/$G$28)</f>
        <v>0</v>
      </c>
      <c r="F29" s="212" t="s">
        <v>524</v>
      </c>
      <c r="G29" s="580"/>
      <c r="H29" s="762"/>
      <c r="I29" s="302">
        <v>0.01</v>
      </c>
      <c r="J29" s="938" t="str">
        <f>IF($E$26="YES","**Tier 1 used for modeling purposes**","")</f>
        <v/>
      </c>
      <c r="K29" s="939"/>
      <c r="L29" s="940"/>
      <c r="M29" s="214" t="str">
        <f>IF($E$26="YES",$H$10*I29,"")</f>
        <v/>
      </c>
      <c r="N29" s="204"/>
      <c r="O29" s="187"/>
      <c r="P29" s="185"/>
      <c r="Q29" s="813"/>
      <c r="R29" s="185"/>
      <c r="S29" s="185"/>
      <c r="T29" s="185"/>
      <c r="U29" s="185"/>
      <c r="V29" s="185"/>
      <c r="W29" s="185"/>
      <c r="X29" s="185"/>
      <c r="Y29" s="185"/>
      <c r="Z29" s="185"/>
      <c r="AA29" s="185"/>
    </row>
    <row r="30" spans="2:27" s="5" customFormat="1" ht="15.6" customHeight="1" x14ac:dyDescent="0.25">
      <c r="B30" s="186"/>
      <c r="C30" s="200"/>
      <c r="D30" s="215" t="s">
        <v>551</v>
      </c>
      <c r="E30" s="576">
        <f>IF(G30="",0,(G30-$G$28)/$G$28)</f>
        <v>0</v>
      </c>
      <c r="F30" s="212" t="s">
        <v>525</v>
      </c>
      <c r="G30" s="580"/>
      <c r="H30" s="762"/>
      <c r="I30" s="302">
        <v>1.4999999999999999E-2</v>
      </c>
      <c r="J30" s="152"/>
      <c r="K30" s="949" t="str">
        <f>IF($I$32&gt;0,"**Warning: You have entered an incentive payout above the recommended 3%**","")</f>
        <v/>
      </c>
      <c r="L30" s="152"/>
      <c r="M30" s="214"/>
      <c r="N30" s="204"/>
      <c r="O30" s="187"/>
      <c r="P30" s="185"/>
      <c r="Q30" s="813"/>
      <c r="R30" s="185"/>
      <c r="S30" s="185"/>
      <c r="T30" s="185"/>
      <c r="U30" s="185"/>
      <c r="V30" s="185"/>
      <c r="W30" s="185"/>
      <c r="X30" s="185"/>
      <c r="Y30" s="185"/>
      <c r="Z30" s="185"/>
      <c r="AA30" s="185"/>
    </row>
    <row r="31" spans="2:27" ht="15.75" x14ac:dyDescent="0.25">
      <c r="B31" s="144"/>
      <c r="C31" s="247"/>
      <c r="D31" s="215" t="s">
        <v>552</v>
      </c>
      <c r="E31" s="576">
        <f>IF(G31="",0,(G31-$G$28)/$G$28)</f>
        <v>0</v>
      </c>
      <c r="F31" s="212" t="s">
        <v>526</v>
      </c>
      <c r="G31" s="580"/>
      <c r="H31" s="762"/>
      <c r="I31" s="302">
        <v>0.02</v>
      </c>
      <c r="J31" s="44"/>
      <c r="K31" s="949"/>
      <c r="L31" s="44"/>
      <c r="M31" s="214"/>
      <c r="N31" s="248"/>
      <c r="O31" s="145"/>
      <c r="P31" s="141"/>
      <c r="Q31" s="814"/>
      <c r="R31" s="141"/>
      <c r="S31" s="141"/>
      <c r="T31" s="141"/>
      <c r="U31" s="141"/>
      <c r="V31" s="141"/>
      <c r="W31" s="141"/>
      <c r="X31" s="141"/>
      <c r="Y31" s="141"/>
      <c r="Z31" s="141"/>
      <c r="AA31" s="141"/>
    </row>
    <row r="32" spans="2:27" ht="9" customHeight="1" x14ac:dyDescent="0.25">
      <c r="B32" s="144"/>
      <c r="C32" s="249"/>
      <c r="D32" s="217"/>
      <c r="E32" s="218"/>
      <c r="F32" s="219"/>
      <c r="G32" s="250"/>
      <c r="H32" s="221"/>
      <c r="I32" s="848">
        <f>COUNTIF($I$29:$I$31,"&gt;.03")</f>
        <v>0</v>
      </c>
      <c r="J32" s="251"/>
      <c r="K32" s="223"/>
      <c r="L32" s="251"/>
      <c r="M32" s="224"/>
      <c r="N32" s="252"/>
      <c r="O32" s="145"/>
      <c r="P32" s="141"/>
      <c r="Q32" s="814"/>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814"/>
      <c r="R33" s="141"/>
      <c r="S33" s="141"/>
      <c r="T33" s="141"/>
      <c r="U33" s="141"/>
      <c r="V33" s="141"/>
      <c r="W33" s="141"/>
      <c r="X33" s="141"/>
      <c r="Y33" s="141"/>
      <c r="Z33" s="141"/>
      <c r="AA33" s="141"/>
    </row>
    <row r="34" spans="2:27" ht="9" customHeight="1" x14ac:dyDescent="0.25">
      <c r="B34" s="144"/>
      <c r="C34" s="254"/>
      <c r="D34" s="255"/>
      <c r="E34" s="235"/>
      <c r="F34" s="236"/>
      <c r="G34" s="256"/>
      <c r="H34" s="764"/>
      <c r="I34" s="238"/>
      <c r="J34" s="257"/>
      <c r="K34" s="239"/>
      <c r="L34" s="257"/>
      <c r="M34" s="240"/>
      <c r="N34" s="258"/>
      <c r="O34" s="145"/>
      <c r="P34" s="141"/>
      <c r="Q34" s="814"/>
      <c r="R34" s="141"/>
      <c r="S34" s="141"/>
      <c r="T34" s="141"/>
      <c r="U34" s="141"/>
      <c r="V34" s="141"/>
      <c r="W34" s="141"/>
      <c r="X34" s="141"/>
      <c r="Y34" s="141"/>
      <c r="Z34" s="141"/>
      <c r="AA34" s="141"/>
    </row>
    <row r="35" spans="2:27" ht="12" customHeight="1" x14ac:dyDescent="0.25">
      <c r="B35" s="144"/>
      <c r="C35" s="247"/>
      <c r="D35" s="397"/>
      <c r="E35" s="241"/>
      <c r="F35" s="212"/>
      <c r="G35" s="400"/>
      <c r="H35" s="762"/>
      <c r="I35" s="261" t="s">
        <v>934</v>
      </c>
      <c r="J35" s="44"/>
      <c r="K35" s="261" t="s">
        <v>914</v>
      </c>
      <c r="L35" s="44"/>
      <c r="M35" s="243"/>
      <c r="N35" s="248"/>
      <c r="O35" s="145"/>
      <c r="P35" s="141"/>
      <c r="Q35" s="814"/>
      <c r="R35" s="141"/>
      <c r="S35" s="141"/>
      <c r="T35" s="141"/>
      <c r="U35" s="141"/>
      <c r="V35" s="141"/>
      <c r="W35" s="141"/>
      <c r="X35" s="141"/>
      <c r="Y35" s="141"/>
      <c r="Z35" s="141"/>
      <c r="AA35" s="141"/>
    </row>
    <row r="36" spans="2:27" ht="18.75" x14ac:dyDescent="0.25">
      <c r="B36" s="144"/>
      <c r="C36" s="247"/>
      <c r="D36" s="259" t="s">
        <v>555</v>
      </c>
      <c r="E36" s="241"/>
      <c r="F36" s="44"/>
      <c r="G36" s="44"/>
      <c r="H36" s="762"/>
      <c r="I36" s="455" t="s">
        <v>1107</v>
      </c>
      <c r="J36" s="152"/>
      <c r="K36" s="456">
        <f>IF(I36="Credit Memo","Individual Customers",IF('Customer Inputs'!$G$6="New Store","New Customer 1",'Customer Inputs'!$G$6))</f>
        <v>0</v>
      </c>
      <c r="L36" s="44"/>
      <c r="M36" s="243"/>
      <c r="N36" s="248"/>
      <c r="O36" s="145"/>
      <c r="P36" s="141"/>
      <c r="Q36" s="814"/>
      <c r="R36" s="141"/>
      <c r="S36" s="141"/>
      <c r="T36" s="141"/>
      <c r="U36" s="141"/>
      <c r="V36" s="141"/>
      <c r="W36" s="141"/>
      <c r="X36" s="141"/>
      <c r="Y36" s="141"/>
      <c r="Z36" s="141"/>
      <c r="AA36" s="141"/>
    </row>
    <row r="37" spans="2:27" ht="15" customHeight="1" x14ac:dyDescent="0.25">
      <c r="B37" s="144"/>
      <c r="C37" s="247"/>
      <c r="D37" s="205" t="s">
        <v>553</v>
      </c>
      <c r="E37" s="73" t="s">
        <v>558</v>
      </c>
      <c r="F37" s="44"/>
      <c r="G37" s="44"/>
      <c r="H37" s="44"/>
      <c r="I37" s="260"/>
      <c r="J37" s="44"/>
      <c r="K37" s="44"/>
      <c r="L37" s="44"/>
      <c r="M37" s="44"/>
      <c r="N37" s="248"/>
      <c r="O37" s="145"/>
      <c r="P37" s="141"/>
      <c r="Q37" s="813" t="str">
        <f>IF($E37="NO","",IF($I36="Select Payment Method","X",""))</f>
        <v/>
      </c>
      <c r="R37" s="141"/>
      <c r="S37" s="141"/>
      <c r="T37" s="141"/>
      <c r="U37" s="141"/>
      <c r="V37" s="141"/>
      <c r="W37" s="141"/>
      <c r="X37" s="141"/>
      <c r="Y37" s="141"/>
      <c r="Z37" s="141"/>
      <c r="AA37" s="141"/>
    </row>
    <row r="38" spans="2:27" ht="15" customHeight="1" x14ac:dyDescent="0.25">
      <c r="B38" s="144"/>
      <c r="C38" s="247"/>
      <c r="D38" s="817"/>
      <c r="E38" s="818"/>
      <c r="F38" s="44"/>
      <c r="G38" s="208" t="s">
        <v>1108</v>
      </c>
      <c r="H38" s="44"/>
      <c r="I38" s="209" t="s">
        <v>562</v>
      </c>
      <c r="J38" s="44"/>
      <c r="K38" s="44"/>
      <c r="L38" s="44"/>
      <c r="M38" s="6" t="s">
        <v>509</v>
      </c>
      <c r="N38" s="248"/>
      <c r="O38" s="145"/>
      <c r="P38" s="141"/>
      <c r="Q38" s="813"/>
      <c r="R38" s="141"/>
      <c r="S38" s="141"/>
      <c r="T38" s="141"/>
      <c r="U38" s="141"/>
      <c r="V38" s="141"/>
      <c r="W38" s="141"/>
      <c r="X38" s="141"/>
      <c r="Y38" s="141"/>
      <c r="Z38" s="141"/>
      <c r="AA38" s="141"/>
    </row>
    <row r="39" spans="2:27" ht="15.75" x14ac:dyDescent="0.25">
      <c r="B39" s="144"/>
      <c r="C39" s="247"/>
      <c r="D39" s="44"/>
      <c r="E39" s="44"/>
      <c r="F39" s="212" t="s">
        <v>760</v>
      </c>
      <c r="G39" s="75">
        <f>IFERROR('EB_CM (Back)'!$B$7,"")</f>
        <v>0</v>
      </c>
      <c r="H39" s="202"/>
      <c r="I39" s="852">
        <v>0</v>
      </c>
      <c r="J39" s="210"/>
      <c r="K39" s="44"/>
      <c r="L39" s="202"/>
      <c r="M39" s="214"/>
      <c r="N39" s="248"/>
      <c r="O39" s="145"/>
      <c r="P39" s="141"/>
      <c r="Q39" s="814"/>
      <c r="R39" s="141"/>
      <c r="S39" s="141"/>
      <c r="T39" s="141"/>
      <c r="U39" s="141"/>
      <c r="V39" s="141"/>
      <c r="W39" s="141"/>
      <c r="X39" s="141"/>
      <c r="Y39" s="141"/>
      <c r="Z39" s="141"/>
      <c r="AA39" s="141"/>
    </row>
    <row r="40" spans="2:27" ht="16.899999999999999" customHeight="1" x14ac:dyDescent="0.25">
      <c r="B40" s="144"/>
      <c r="C40" s="247"/>
      <c r="D40" s="401"/>
      <c r="E40" s="577"/>
      <c r="F40" s="212" t="s">
        <v>524</v>
      </c>
      <c r="G40" s="45"/>
      <c r="H40" s="202"/>
      <c r="I40" s="302">
        <v>0.01</v>
      </c>
      <c r="J40" s="938" t="str">
        <f>IF($E$37="YES","**Tier 1 payout used for modeling purposes**","")</f>
        <v/>
      </c>
      <c r="K40" s="939"/>
      <c r="L40" s="940"/>
      <c r="M40" s="214">
        <f>IFERROR(IF($E$37="YES",IF($G$39&gt;$G$40,$H$10*$I$40*$G$39,$H$10*$I$40*$G$40),0),0)</f>
        <v>0</v>
      </c>
      <c r="N40" s="248"/>
      <c r="O40" s="145"/>
      <c r="P40" s="141"/>
      <c r="Q40" s="814"/>
      <c r="R40" s="141"/>
      <c r="S40" s="141"/>
      <c r="T40" s="141"/>
      <c r="U40" s="141"/>
      <c r="V40" s="141"/>
      <c r="W40" s="141"/>
      <c r="X40" s="141"/>
      <c r="Y40" s="141"/>
      <c r="Z40" s="141"/>
      <c r="AA40" s="141"/>
    </row>
    <row r="41" spans="2:27" ht="16.899999999999999" customHeight="1" x14ac:dyDescent="0.25">
      <c r="B41" s="144"/>
      <c r="C41" s="247"/>
      <c r="D41" s="401"/>
      <c r="E41" s="577"/>
      <c r="F41" s="212" t="s">
        <v>525</v>
      </c>
      <c r="G41" s="45"/>
      <c r="H41" s="202"/>
      <c r="I41" s="302">
        <v>1.4999999999999999E-2</v>
      </c>
      <c r="J41" s="262"/>
      <c r="K41" s="44"/>
      <c r="L41" s="202"/>
      <c r="M41" s="214"/>
      <c r="N41" s="248"/>
      <c r="O41" s="145"/>
      <c r="P41" s="141"/>
      <c r="Q41" s="814"/>
      <c r="R41" s="141"/>
      <c r="S41" s="141"/>
      <c r="T41" s="141"/>
      <c r="U41" s="141"/>
      <c r="V41" s="141"/>
      <c r="W41" s="141"/>
      <c r="X41" s="141"/>
      <c r="Y41" s="141"/>
      <c r="Z41" s="141"/>
      <c r="AA41" s="141"/>
    </row>
    <row r="42" spans="2:27" ht="16.899999999999999" customHeight="1" x14ac:dyDescent="0.25">
      <c r="B42" s="144"/>
      <c r="C42" s="247"/>
      <c r="D42" s="401"/>
      <c r="E42" s="577"/>
      <c r="F42" s="212" t="s">
        <v>526</v>
      </c>
      <c r="G42" s="45"/>
      <c r="H42" s="202"/>
      <c r="I42" s="302">
        <v>0.02</v>
      </c>
      <c r="J42" s="262"/>
      <c r="K42" s="44"/>
      <c r="L42" s="202"/>
      <c r="M42" s="214"/>
      <c r="N42" s="248"/>
      <c r="O42" s="145"/>
      <c r="P42" s="141"/>
      <c r="Q42" s="814"/>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814"/>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814"/>
      <c r="R44" s="141"/>
      <c r="S44" s="141"/>
      <c r="T44" s="141"/>
      <c r="U44" s="141"/>
      <c r="V44" s="141"/>
      <c r="W44" s="141"/>
      <c r="X44" s="141"/>
      <c r="Y44" s="141"/>
      <c r="Z44" s="141"/>
      <c r="AA44" s="141"/>
    </row>
    <row r="45" spans="2:27" ht="9" customHeight="1" x14ac:dyDescent="0.25">
      <c r="B45" s="144"/>
      <c r="C45" s="254"/>
      <c r="D45" s="257"/>
      <c r="E45" s="257"/>
      <c r="F45" s="196"/>
      <c r="G45" s="268"/>
      <c r="H45" s="195"/>
      <c r="I45" s="269"/>
      <c r="J45" s="239"/>
      <c r="K45" s="240"/>
      <c r="L45" s="195"/>
      <c r="M45" s="240"/>
      <c r="N45" s="258"/>
      <c r="O45" s="145"/>
      <c r="P45" s="141"/>
      <c r="Q45" s="814"/>
      <c r="R45" s="141"/>
      <c r="S45" s="141"/>
      <c r="T45" s="141"/>
      <c r="U45" s="141"/>
      <c r="V45" s="141"/>
      <c r="W45" s="141"/>
      <c r="X45" s="141"/>
      <c r="Y45" s="141"/>
      <c r="Z45" s="141"/>
      <c r="AA45" s="141"/>
    </row>
    <row r="46" spans="2:27" ht="11.45" customHeight="1" x14ac:dyDescent="0.25">
      <c r="B46" s="144"/>
      <c r="C46" s="247"/>
      <c r="D46" s="44"/>
      <c r="E46" s="44"/>
      <c r="F46" s="152"/>
      <c r="G46" s="270"/>
      <c r="H46" s="202"/>
      <c r="I46" s="261" t="s">
        <v>934</v>
      </c>
      <c r="J46" s="44"/>
      <c r="K46" s="261" t="s">
        <v>914</v>
      </c>
      <c r="L46" s="202"/>
      <c r="M46" s="243"/>
      <c r="N46" s="248"/>
      <c r="O46" s="145"/>
      <c r="P46" s="141"/>
      <c r="Q46" s="814"/>
      <c r="R46" s="141"/>
      <c r="S46" s="141"/>
      <c r="T46" s="141"/>
      <c r="U46" s="141"/>
      <c r="V46" s="141"/>
      <c r="W46" s="141"/>
      <c r="X46" s="141"/>
      <c r="Y46" s="141"/>
      <c r="Z46" s="141"/>
      <c r="AA46" s="141"/>
    </row>
    <row r="47" spans="2:27" ht="18.75" x14ac:dyDescent="0.25">
      <c r="B47" s="144"/>
      <c r="C47" s="247"/>
      <c r="D47" s="259" t="s">
        <v>758</v>
      </c>
      <c r="E47" s="44"/>
      <c r="F47" s="152"/>
      <c r="G47" s="270"/>
      <c r="H47" s="202"/>
      <c r="I47" s="455" t="s">
        <v>1107</v>
      </c>
      <c r="J47" s="152"/>
      <c r="K47" s="456">
        <f>IF(I47="Credit Memo","Individual Customers",IF('Customer Inputs'!$G$6="New Store","New Customer 1",'Customer Inputs'!$G$6))</f>
        <v>0</v>
      </c>
      <c r="L47" s="202"/>
      <c r="M47" s="243"/>
      <c r="N47" s="248"/>
      <c r="O47" s="145"/>
      <c r="P47" s="141"/>
      <c r="Q47" s="814"/>
      <c r="R47" s="448"/>
      <c r="S47" s="141"/>
      <c r="T47" s="141"/>
      <c r="U47" s="141"/>
      <c r="V47" s="141"/>
      <c r="W47" s="141"/>
      <c r="X47" s="141"/>
      <c r="Y47" s="141"/>
      <c r="Z47" s="141"/>
      <c r="AA47" s="141"/>
    </row>
    <row r="48" spans="2:27" x14ac:dyDescent="0.25">
      <c r="B48" s="144"/>
      <c r="C48" s="247"/>
      <c r="D48" s="205" t="s">
        <v>553</v>
      </c>
      <c r="E48" s="73" t="s">
        <v>558</v>
      </c>
      <c r="F48" s="152"/>
      <c r="G48" s="270"/>
      <c r="H48" s="202"/>
      <c r="I48" s="271"/>
      <c r="J48" s="213"/>
      <c r="K48" s="243"/>
      <c r="L48" s="202"/>
      <c r="M48" s="243"/>
      <c r="N48" s="248"/>
      <c r="O48" s="145"/>
      <c r="P48" s="141"/>
      <c r="Q48" s="813" t="str">
        <f>IF($E48="NO","",IF($I47="Select Payment Method","X",""))</f>
        <v/>
      </c>
      <c r="R48" s="141"/>
      <c r="S48" s="141"/>
      <c r="T48" s="141"/>
      <c r="U48" s="141"/>
      <c r="V48" s="141"/>
      <c r="W48" s="141"/>
      <c r="X48" s="141"/>
      <c r="Y48" s="141"/>
      <c r="Z48" s="141"/>
      <c r="AA48" s="141"/>
    </row>
    <row r="49" spans="2:27" ht="15.75" x14ac:dyDescent="0.25">
      <c r="B49" s="144"/>
      <c r="C49" s="247"/>
      <c r="D49" s="44"/>
      <c r="E49" s="44"/>
      <c r="F49" s="272"/>
      <c r="G49" s="6" t="s">
        <v>236</v>
      </c>
      <c r="H49" s="202"/>
      <c r="I49" s="553"/>
      <c r="J49" s="210"/>
      <c r="K49" s="261" t="s">
        <v>562</v>
      </c>
      <c r="L49" s="202"/>
      <c r="M49" s="6" t="s">
        <v>509</v>
      </c>
      <c r="N49" s="248"/>
      <c r="O49" s="145"/>
      <c r="P49" s="141"/>
      <c r="Q49" s="814"/>
      <c r="R49" s="141"/>
      <c r="S49" s="141"/>
      <c r="T49" s="141"/>
      <c r="U49" s="141"/>
      <c r="V49" s="141"/>
      <c r="W49" s="141"/>
      <c r="X49" s="141"/>
      <c r="Y49" s="141"/>
      <c r="Z49" s="141"/>
      <c r="AA49" s="141"/>
    </row>
    <row r="50" spans="2:27" ht="16.899999999999999" customHeight="1" x14ac:dyDescent="0.25">
      <c r="B50" s="144"/>
      <c r="C50" s="247"/>
      <c r="D50" s="401"/>
      <c r="E50" s="577"/>
      <c r="F50" s="212" t="s">
        <v>548</v>
      </c>
      <c r="G50" s="45">
        <v>0</v>
      </c>
      <c r="H50" s="202"/>
      <c r="I50" s="733"/>
      <c r="J50" s="262"/>
      <c r="K50" s="45"/>
      <c r="L50" s="202"/>
      <c r="M50" s="214">
        <f>IF($E$48="YES",K50*$H$10,0)</f>
        <v>0</v>
      </c>
      <c r="N50" s="248"/>
      <c r="O50" s="145"/>
      <c r="P50"/>
      <c r="Q50" s="815"/>
    </row>
    <row r="51" spans="2:27" ht="9" customHeight="1" x14ac:dyDescent="0.25">
      <c r="B51" s="144"/>
      <c r="C51" s="249"/>
      <c r="D51" s="251"/>
      <c r="E51" s="251"/>
      <c r="F51" s="251"/>
      <c r="G51" s="251"/>
      <c r="H51" s="251"/>
      <c r="I51" s="273"/>
      <c r="J51" s="251"/>
      <c r="K51" s="251"/>
      <c r="L51" s="251"/>
      <c r="M51" s="251"/>
      <c r="N51" s="252"/>
      <c r="O51" s="145"/>
      <c r="P51"/>
      <c r="Q51" s="815"/>
    </row>
    <row r="52" spans="2:27" ht="10.15" customHeight="1" x14ac:dyDescent="0.25">
      <c r="B52" s="144"/>
      <c r="I52" s="274"/>
      <c r="N52" s="275"/>
      <c r="O52" s="145"/>
      <c r="P52"/>
      <c r="Q52" s="815"/>
    </row>
    <row r="53" spans="2:27" ht="9" customHeight="1" x14ac:dyDescent="0.25">
      <c r="B53" s="144"/>
      <c r="C53" s="254"/>
      <c r="D53" s="257"/>
      <c r="E53" s="257"/>
      <c r="F53" s="196"/>
      <c r="G53" s="268"/>
      <c r="H53" s="195"/>
      <c r="I53" s="269"/>
      <c r="J53" s="239"/>
      <c r="K53" s="240"/>
      <c r="L53" s="195"/>
      <c r="M53" s="240"/>
      <c r="N53" s="258"/>
      <c r="O53" s="145"/>
      <c r="P53" s="141"/>
      <c r="Q53" s="814"/>
      <c r="R53" s="141"/>
      <c r="S53" s="141"/>
      <c r="T53" s="141"/>
      <c r="U53" s="141"/>
      <c r="V53" s="141"/>
      <c r="W53" s="141"/>
      <c r="X53" s="141"/>
      <c r="Y53" s="141"/>
      <c r="Z53" s="141"/>
      <c r="AA53" s="141"/>
    </row>
    <row r="54" spans="2:27" ht="17.45" customHeight="1" x14ac:dyDescent="0.25">
      <c r="B54" s="144"/>
      <c r="C54" s="247"/>
      <c r="D54" s="44"/>
      <c r="E54" s="44"/>
      <c r="F54" s="44"/>
      <c r="G54" s="44"/>
      <c r="H54" s="44"/>
      <c r="I54" s="261" t="s">
        <v>934</v>
      </c>
      <c r="J54" s="44"/>
      <c r="K54" s="261" t="s">
        <v>914</v>
      </c>
      <c r="L54" s="44"/>
      <c r="M54" s="44"/>
      <c r="N54" s="248"/>
      <c r="O54" s="145"/>
      <c r="P54"/>
      <c r="Q54" s="815"/>
    </row>
    <row r="55" spans="2:27" ht="18.75" x14ac:dyDescent="0.25">
      <c r="B55" s="144"/>
      <c r="C55" s="200"/>
      <c r="D55" s="259" t="s">
        <v>948</v>
      </c>
      <c r="E55" s="152"/>
      <c r="F55" s="276"/>
      <c r="G55" s="945"/>
      <c r="H55" s="945"/>
      <c r="I55" s="455" t="s">
        <v>1107</v>
      </c>
      <c r="J55" s="152"/>
      <c r="K55" s="456">
        <f>IF('Customer Inputs'!$G$6="New Store","New Customer 1",'Customer Inputs'!$G$6)</f>
        <v>0</v>
      </c>
      <c r="L55" s="152"/>
      <c r="M55" s="152"/>
      <c r="N55" s="277"/>
      <c r="O55" s="145"/>
      <c r="P55"/>
      <c r="Q55" s="815"/>
    </row>
    <row r="56" spans="2:27" s="5" customFormat="1" x14ac:dyDescent="0.25">
      <c r="B56" s="186"/>
      <c r="C56" s="200"/>
      <c r="D56" s="205" t="s">
        <v>553</v>
      </c>
      <c r="E56" s="73" t="s">
        <v>558</v>
      </c>
      <c r="F56" s="276"/>
      <c r="G56" s="202"/>
      <c r="H56" s="202"/>
      <c r="I56" s="245"/>
      <c r="J56" s="152"/>
      <c r="K56" s="152"/>
      <c r="L56" s="152"/>
      <c r="M56" s="152"/>
      <c r="N56" s="277"/>
      <c r="O56" s="187"/>
      <c r="Q56" s="813" t="str">
        <f>IF($E56="NO","",IF($I55="Select Payment Method","X",""))</f>
        <v/>
      </c>
    </row>
    <row r="57" spans="2:27" s="5" customFormat="1" ht="15.75" x14ac:dyDescent="0.25">
      <c r="B57" s="186"/>
      <c r="C57" s="278"/>
      <c r="D57" s="202"/>
      <c r="E57" s="202"/>
      <c r="F57" s="212"/>
      <c r="G57" s="6" t="s">
        <v>132</v>
      </c>
      <c r="H57" s="202"/>
      <c r="I57" s="553"/>
      <c r="J57" s="210"/>
      <c r="K57" s="261" t="s">
        <v>560</v>
      </c>
      <c r="L57" s="202"/>
      <c r="M57" s="6" t="s">
        <v>509</v>
      </c>
      <c r="N57" s="277"/>
      <c r="O57" s="187"/>
      <c r="Q57" s="816"/>
    </row>
    <row r="58" spans="2:27" s="5" customFormat="1" ht="18" customHeight="1" x14ac:dyDescent="0.25">
      <c r="B58" s="186"/>
      <c r="C58" s="278"/>
      <c r="D58" s="202"/>
      <c r="E58" s="202"/>
      <c r="F58" s="212" t="s">
        <v>979</v>
      </c>
      <c r="G58" s="279" t="str">
        <f>IF($E$56="YES","CASH","")</f>
        <v/>
      </c>
      <c r="H58" s="202"/>
      <c r="I58" s="271"/>
      <c r="J58" s="213"/>
      <c r="K58" s="74"/>
      <c r="L58" s="202"/>
      <c r="M58" s="214">
        <f>IFERROR(IF($E$56="YES",K58/$G$4,0),0)</f>
        <v>0</v>
      </c>
      <c r="N58" s="280"/>
      <c r="O58" s="187"/>
      <c r="Q58" s="816"/>
    </row>
    <row r="59" spans="2:27" s="5" customFormat="1" ht="9" customHeight="1" x14ac:dyDescent="0.25">
      <c r="B59" s="186"/>
      <c r="C59" s="281"/>
      <c r="D59" s="264"/>
      <c r="E59" s="264"/>
      <c r="F59" s="219"/>
      <c r="G59" s="263"/>
      <c r="H59" s="264"/>
      <c r="I59" s="265"/>
      <c r="J59" s="223"/>
      <c r="K59" s="224"/>
      <c r="L59" s="264"/>
      <c r="M59" s="224"/>
      <c r="N59" s="282"/>
      <c r="O59" s="187"/>
      <c r="Q59" s="816"/>
    </row>
    <row r="60" spans="2:27" s="5" customFormat="1" ht="10.15" customHeight="1" x14ac:dyDescent="0.25">
      <c r="B60" s="186"/>
      <c r="C60" s="185"/>
      <c r="D60" s="185"/>
      <c r="E60" s="185"/>
      <c r="F60" s="228"/>
      <c r="G60" s="266"/>
      <c r="H60" s="185"/>
      <c r="I60" s="267"/>
      <c r="J60" s="232"/>
      <c r="K60" s="233"/>
      <c r="L60" s="185"/>
      <c r="M60" s="233"/>
      <c r="N60" s="283"/>
      <c r="O60" s="187"/>
      <c r="Q60" s="816"/>
    </row>
    <row r="61" spans="2:27" s="5" customFormat="1" ht="9" customHeight="1" x14ac:dyDescent="0.25">
      <c r="B61" s="186"/>
      <c r="C61" s="284"/>
      <c r="D61" s="195"/>
      <c r="E61" s="195"/>
      <c r="F61" s="236"/>
      <c r="G61" s="268"/>
      <c r="H61" s="195"/>
      <c r="I61" s="269"/>
      <c r="J61" s="239"/>
      <c r="K61" s="240"/>
      <c r="L61" s="195"/>
      <c r="M61" s="240"/>
      <c r="N61" s="285"/>
      <c r="O61" s="187"/>
      <c r="Q61" s="816"/>
    </row>
    <row r="62" spans="2:27" s="5" customFormat="1" ht="12" customHeight="1" x14ac:dyDescent="0.25">
      <c r="B62" s="186"/>
      <c r="C62" s="278"/>
      <c r="D62" s="202"/>
      <c r="E62" s="202"/>
      <c r="F62" s="212"/>
      <c r="G62" s="270"/>
      <c r="H62" s="202"/>
      <c r="I62" s="261" t="s">
        <v>934</v>
      </c>
      <c r="J62" s="44"/>
      <c r="K62" s="261" t="s">
        <v>914</v>
      </c>
      <c r="L62" s="202"/>
      <c r="M62" s="243"/>
      <c r="N62" s="280"/>
      <c r="O62" s="187"/>
      <c r="Q62" s="816"/>
    </row>
    <row r="63" spans="2:27" s="5" customFormat="1" ht="18.75" x14ac:dyDescent="0.25">
      <c r="B63" s="186"/>
      <c r="C63" s="278"/>
      <c r="D63" s="259" t="s">
        <v>557</v>
      </c>
      <c r="E63" s="202"/>
      <c r="F63" s="212"/>
      <c r="G63" s="270"/>
      <c r="H63" s="202"/>
      <c r="I63" s="455" t="s">
        <v>1107</v>
      </c>
      <c r="J63" s="152"/>
      <c r="K63" s="456">
        <f>IF(I63="Credit Memo","Individual Customers",IF('Customer Inputs'!$G$6="New Store","New Customer 1",'Customer Inputs'!$G$6))</f>
        <v>0</v>
      </c>
      <c r="L63" s="202"/>
      <c r="M63" s="243"/>
      <c r="N63" s="280"/>
      <c r="O63" s="187"/>
      <c r="Q63" s="816"/>
    </row>
    <row r="64" spans="2:27" s="5" customFormat="1" x14ac:dyDescent="0.25">
      <c r="B64" s="186"/>
      <c r="C64" s="278"/>
      <c r="D64" s="205" t="s">
        <v>553</v>
      </c>
      <c r="E64" s="73" t="s">
        <v>558</v>
      </c>
      <c r="F64" s="152"/>
      <c r="G64" s="202"/>
      <c r="H64" s="202"/>
      <c r="I64" s="202"/>
      <c r="J64" s="202"/>
      <c r="K64" s="202"/>
      <c r="L64" s="202"/>
      <c r="M64" s="202"/>
      <c r="N64" s="280"/>
      <c r="O64" s="187"/>
      <c r="Q64" s="813" t="str">
        <f>IF($E64="NO","",IF($I63="Select Payment Method","X",""))</f>
        <v/>
      </c>
    </row>
    <row r="65" spans="2:20" s="5" customFormat="1" ht="15.75" x14ac:dyDescent="0.25">
      <c r="B65" s="186"/>
      <c r="C65" s="278"/>
      <c r="D65" s="202"/>
      <c r="E65" s="152"/>
      <c r="F65" s="272"/>
      <c r="G65" s="6" t="s">
        <v>132</v>
      </c>
      <c r="H65" s="202"/>
      <c r="I65" s="553"/>
      <c r="J65" s="210"/>
      <c r="K65" s="261" t="s">
        <v>560</v>
      </c>
      <c r="L65" s="202"/>
      <c r="M65" s="6" t="s">
        <v>509</v>
      </c>
      <c r="N65" s="280"/>
      <c r="O65" s="187"/>
      <c r="Q65" s="816"/>
    </row>
    <row r="66" spans="2:20" s="5" customFormat="1" ht="18" customHeight="1" x14ac:dyDescent="0.25">
      <c r="B66" s="186"/>
      <c r="C66" s="278"/>
      <c r="D66" s="202"/>
      <c r="E66" s="202"/>
      <c r="F66" s="212" t="s">
        <v>559</v>
      </c>
      <c r="G66" s="279" t="str">
        <f>IF($E$64="YES","Value-Added Services","")</f>
        <v/>
      </c>
      <c r="H66" s="202"/>
      <c r="I66" s="271"/>
      <c r="J66" s="213"/>
      <c r="K66" s="74"/>
      <c r="L66" s="202"/>
      <c r="M66" s="214">
        <f>IFERROR(IF($E64="YES",K66/$G$4,0),0)</f>
        <v>0</v>
      </c>
      <c r="N66" s="280"/>
      <c r="O66" s="187"/>
    </row>
    <row r="67" spans="2:20" s="184" customFormat="1" ht="11.45" customHeight="1" x14ac:dyDescent="0.25">
      <c r="B67" s="286"/>
      <c r="C67" s="216"/>
      <c r="D67" s="222"/>
      <c r="E67" s="222"/>
      <c r="F67" s="222"/>
      <c r="G67" s="222"/>
      <c r="H67" s="222"/>
      <c r="I67" s="222"/>
      <c r="J67" s="222"/>
      <c r="K67" s="222"/>
      <c r="L67" s="222"/>
      <c r="M67" s="222"/>
      <c r="N67" s="287"/>
      <c r="O67" s="288"/>
    </row>
    <row r="68" spans="2:20" s="184" customFormat="1" ht="9" customHeight="1" x14ac:dyDescent="0.25">
      <c r="B68" s="286"/>
      <c r="C68" s="188"/>
      <c r="D68" s="188"/>
      <c r="E68" s="188"/>
      <c r="F68" s="188"/>
      <c r="G68" s="188"/>
      <c r="H68" s="188"/>
      <c r="I68" s="188"/>
      <c r="J68" s="188"/>
      <c r="K68" s="188"/>
      <c r="L68" s="188"/>
      <c r="M68" s="188"/>
      <c r="N68" s="844"/>
      <c r="O68" s="288"/>
    </row>
    <row r="69" spans="2:20" s="184" customFormat="1" ht="13.15" customHeight="1" x14ac:dyDescent="0.25">
      <c r="B69" s="286"/>
      <c r="C69" s="194"/>
      <c r="D69" s="196"/>
      <c r="E69" s="196"/>
      <c r="F69" s="196"/>
      <c r="G69" s="196"/>
      <c r="H69" s="196"/>
      <c r="I69" s="196"/>
      <c r="J69" s="196"/>
      <c r="K69" s="196"/>
      <c r="L69" s="196"/>
      <c r="M69" s="196"/>
      <c r="N69" s="845"/>
      <c r="O69" s="288"/>
    </row>
    <row r="70" spans="2:20" s="184" customFormat="1" ht="13.15" customHeight="1" x14ac:dyDescent="0.25">
      <c r="B70" s="286"/>
      <c r="C70" s="200"/>
      <c r="D70" s="152"/>
      <c r="E70" s="152"/>
      <c r="F70" s="152"/>
      <c r="G70" s="152"/>
      <c r="H70" s="152"/>
      <c r="I70" s="261" t="s">
        <v>934</v>
      </c>
      <c r="J70" s="152"/>
      <c r="K70" s="261" t="s">
        <v>914</v>
      </c>
      <c r="L70" s="152"/>
      <c r="M70" s="152"/>
      <c r="N70" s="846"/>
      <c r="O70" s="288"/>
    </row>
    <row r="71" spans="2:20" s="184" customFormat="1" ht="18" customHeight="1" x14ac:dyDescent="0.25">
      <c r="B71" s="286"/>
      <c r="C71" s="200"/>
      <c r="D71" s="259" t="s">
        <v>1122</v>
      </c>
      <c r="E71" s="152"/>
      <c r="F71" s="152"/>
      <c r="G71" s="152"/>
      <c r="H71" s="152"/>
      <c r="I71" s="455" t="s">
        <v>1107</v>
      </c>
      <c r="J71" s="152"/>
      <c r="K71" s="456">
        <f>IF(I71="Credit Memo","Individual Customers",IF('Customer Inputs'!$G$6="New Store","New Customer 1",'Customer Inputs'!$G$6))</f>
        <v>0</v>
      </c>
      <c r="L71" s="152"/>
      <c r="M71" s="152"/>
      <c r="N71" s="846"/>
      <c r="O71" s="288"/>
    </row>
    <row r="72" spans="2:20" s="184" customFormat="1" x14ac:dyDescent="0.25">
      <c r="B72" s="286"/>
      <c r="C72" s="200"/>
      <c r="D72" s="205" t="s">
        <v>553</v>
      </c>
      <c r="E72" s="73" t="s">
        <v>558</v>
      </c>
      <c r="F72" s="152"/>
      <c r="G72" s="152"/>
      <c r="H72" s="152"/>
      <c r="I72" s="152"/>
      <c r="J72" s="152"/>
      <c r="K72" s="152"/>
      <c r="L72" s="152"/>
      <c r="M72" s="152"/>
      <c r="N72" s="846"/>
      <c r="O72" s="288"/>
      <c r="Q72" s="813" t="str">
        <f>IF($D$77=0,"",IF($E72="NO","",IF($I71="Select Payment Method","X","")))</f>
        <v/>
      </c>
    </row>
    <row r="73" spans="2:20" s="184" customFormat="1" ht="15.75" x14ac:dyDescent="0.25">
      <c r="B73" s="286"/>
      <c r="C73" s="200"/>
      <c r="D73" s="817"/>
      <c r="E73" s="818"/>
      <c r="F73" s="272"/>
      <c r="G73" s="6" t="s">
        <v>1124</v>
      </c>
      <c r="H73" s="152"/>
      <c r="I73" s="152"/>
      <c r="J73" s="152"/>
      <c r="K73" s="553"/>
      <c r="L73" s="202"/>
      <c r="M73" s="6" t="s">
        <v>509</v>
      </c>
      <c r="N73" s="846"/>
      <c r="O73" s="288"/>
    </row>
    <row r="74" spans="2:20" s="184" customFormat="1" ht="18" customHeight="1" x14ac:dyDescent="0.25">
      <c r="B74" s="286"/>
      <c r="C74" s="200"/>
      <c r="D74" s="152"/>
      <c r="E74" s="818"/>
      <c r="F74" s="212" t="s">
        <v>1123</v>
      </c>
      <c r="G74" s="75" t="str">
        <f>IF($D$77=0,"",IF($E$72="YES",0.01,""))</f>
        <v/>
      </c>
      <c r="H74" s="152"/>
      <c r="I74" s="152"/>
      <c r="J74" s="152"/>
      <c r="K74" s="243"/>
      <c r="L74" s="202"/>
      <c r="M74" s="214">
        <f>IF($D$77=0,0,IFERROR(IF($E72="YES",$G$74*$H$10,0),0))</f>
        <v>0</v>
      </c>
      <c r="N74" s="846"/>
      <c r="O74" s="288"/>
    </row>
    <row r="75" spans="2:20" s="184" customFormat="1" ht="11.45" customHeight="1" x14ac:dyDescent="0.25">
      <c r="B75" s="286"/>
      <c r="C75" s="216"/>
      <c r="D75" s="222"/>
      <c r="E75" s="222"/>
      <c r="F75" s="222"/>
      <c r="G75" s="222"/>
      <c r="H75" s="222"/>
      <c r="I75" s="222"/>
      <c r="J75" s="222"/>
      <c r="K75" s="222"/>
      <c r="L75" s="222"/>
      <c r="M75" s="222"/>
      <c r="N75" s="287"/>
      <c r="O75" s="288"/>
    </row>
    <row r="76" spans="2:20" s="184" customFormat="1" ht="24" customHeight="1" x14ac:dyDescent="0.25">
      <c r="B76" s="286"/>
      <c r="C76" s="188"/>
      <c r="E76" s="188"/>
      <c r="F76" s="188"/>
      <c r="G76" s="188"/>
      <c r="H76" s="188"/>
      <c r="I76" s="188"/>
      <c r="J76" s="188"/>
      <c r="K76" s="188"/>
      <c r="L76" s="188"/>
      <c r="M76" s="289"/>
      <c r="N76" s="188"/>
      <c r="O76" s="288"/>
      <c r="P76" s="188"/>
      <c r="Q76" s="188"/>
      <c r="R76" s="188"/>
    </row>
    <row r="77" spans="2:20" s="291" customFormat="1" ht="24" customHeight="1" x14ac:dyDescent="0.3">
      <c r="B77" s="290"/>
      <c r="D77" s="847">
        <f>'Customer Inputs'!$H$17</f>
        <v>0</v>
      </c>
      <c r="L77" s="292" t="s">
        <v>233</v>
      </c>
      <c r="M77" s="293">
        <f>SUM($M$17:$M$20)+SUM($M$28:$M$31)+SUM($M$39:$M$42)+$M$50+$M$58+$M$66+$M$74</f>
        <v>0</v>
      </c>
      <c r="O77" s="294"/>
      <c r="R77" s="457"/>
      <c r="S77" s="457"/>
      <c r="T77" s="458"/>
    </row>
    <row r="78" spans="2:20" s="291" customFormat="1" ht="27.6" customHeight="1" x14ac:dyDescent="0.3">
      <c r="B78" s="290"/>
      <c r="L78" s="292"/>
      <c r="M78" s="811" t="str">
        <f>IF(M80&gt;0,"**Select Payment Method Above**","")</f>
        <v/>
      </c>
      <c r="N78" s="551" t="s">
        <v>207</v>
      </c>
      <c r="O78" s="294"/>
    </row>
    <row r="79" spans="2:20" ht="24" customHeight="1" x14ac:dyDescent="0.25">
      <c r="B79" s="144"/>
      <c r="L79" s="292" t="s">
        <v>234</v>
      </c>
      <c r="M79" s="295">
        <f>IFERROR($M$77/'PIM Model'!$G$31,0)</f>
        <v>0</v>
      </c>
      <c r="N79" s="552">
        <v>0.05</v>
      </c>
      <c r="O79" s="145"/>
      <c r="P79"/>
    </row>
    <row r="80" spans="2:20" ht="24" customHeight="1" thickBot="1" x14ac:dyDescent="0.3">
      <c r="B80" s="296"/>
      <c r="C80" s="297"/>
      <c r="D80" s="297"/>
      <c r="E80" s="297"/>
      <c r="F80" s="297"/>
      <c r="G80" s="297"/>
      <c r="H80" s="297"/>
      <c r="I80" s="297"/>
      <c r="J80" s="297"/>
      <c r="K80" s="297"/>
      <c r="L80" s="777"/>
      <c r="M80" s="812">
        <f>COUNTIF($Q$14:$Q$75,"X")</f>
        <v>0</v>
      </c>
      <c r="N80" s="778"/>
      <c r="O80" s="298"/>
      <c r="P80"/>
    </row>
    <row r="81" spans="3:16" ht="48.6" customHeight="1" x14ac:dyDescent="0.25">
      <c r="C81" s="950"/>
      <c r="D81" s="950"/>
      <c r="I81" s="776"/>
      <c r="L81" s="5"/>
      <c r="M81" s="951"/>
      <c r="N81" s="951"/>
      <c r="P81"/>
    </row>
  </sheetData>
  <sheetProtection algorithmName="SHA-512" hashValue="y+gfDflDaGCsApFXBuiORyA4I/efHwkDLefSd0588s/1Iu3j0Of9Fo4abHudlcn4etRbAKbzYZZ8TPBswukKIA==" saltValue="Bj5CtMgBmbzBZzTvrFGqaA==" spinCount="100000" sheet="1" selectLockedCells="1"/>
  <mergeCells count="18">
    <mergeCell ref="C81:D81"/>
    <mergeCell ref="M81:N81"/>
    <mergeCell ref="G55:H55"/>
    <mergeCell ref="L3:N3"/>
    <mergeCell ref="L4:N4"/>
    <mergeCell ref="L5:N5"/>
    <mergeCell ref="L6:N6"/>
    <mergeCell ref="L7:N7"/>
    <mergeCell ref="H9:I9"/>
    <mergeCell ref="G12:H12"/>
    <mergeCell ref="J40:L40"/>
    <mergeCell ref="J18:L18"/>
    <mergeCell ref="J29:L29"/>
    <mergeCell ref="J12:K12"/>
    <mergeCell ref="H10:I10"/>
    <mergeCell ref="G14:H14"/>
    <mergeCell ref="K19:K20"/>
    <mergeCell ref="K30:K31"/>
  </mergeCells>
  <conditionalFormatting sqref="M79">
    <cfRule type="expression" dxfId="73" priority="9">
      <formula>$M$80&gt;0</formula>
    </cfRule>
    <cfRule type="cellIs" dxfId="72" priority="31" operator="lessThan">
      <formula>$N$79</formula>
    </cfRule>
    <cfRule type="cellIs" dxfId="71" priority="32" operator="greaterThan">
      <formula>$N$79</formula>
    </cfRule>
  </conditionalFormatting>
  <conditionalFormatting sqref="G18:G20 I18:I20 I14">
    <cfRule type="expression" dxfId="70" priority="22">
      <formula>$E$15="YES"</formula>
    </cfRule>
  </conditionalFormatting>
  <conditionalFormatting sqref="G29:G31 I29:I31 I25">
    <cfRule type="expression" dxfId="69" priority="21">
      <formula>$E$26="YES"</formula>
    </cfRule>
  </conditionalFormatting>
  <conditionalFormatting sqref="K66 I63">
    <cfRule type="expression" dxfId="68" priority="19">
      <formula>$E$64="YES"</formula>
    </cfRule>
  </conditionalFormatting>
  <conditionalFormatting sqref="K58 I55">
    <cfRule type="expression" dxfId="67" priority="18">
      <formula>$E$56="YES"</formula>
    </cfRule>
  </conditionalFormatting>
  <conditionalFormatting sqref="K50 I47">
    <cfRule type="expression" dxfId="66" priority="17">
      <formula>$E$48="YES"</formula>
    </cfRule>
  </conditionalFormatting>
  <conditionalFormatting sqref="I36 G40:G42 I39:I42">
    <cfRule type="expression" dxfId="65" priority="13">
      <formula>$E$37="YES"</formula>
    </cfRule>
  </conditionalFormatting>
  <conditionalFormatting sqref="G50">
    <cfRule type="expression" dxfId="64" priority="15">
      <formula>$E$48="YES"</formula>
    </cfRule>
  </conditionalFormatting>
  <conditionalFormatting sqref="I71">
    <cfRule type="expression" dxfId="63" priority="6">
      <formula>$E$72="YES"</formula>
    </cfRule>
  </conditionalFormatting>
  <conditionalFormatting sqref="C69:H72 C73:F75 G74:N75 H71:L73 I69:N69 J70 L70:N72 N73">
    <cfRule type="expression" dxfId="62" priority="3">
      <formula>$D$77=0</formula>
    </cfRule>
  </conditionalFormatting>
  <conditionalFormatting sqref="D71 I71 K71 F74">
    <cfRule type="expression" dxfId="61" priority="2">
      <formula>$D$77=0</formula>
    </cfRule>
  </conditionalFormatting>
  <conditionalFormatting sqref="E72">
    <cfRule type="expression" dxfId="60" priority="1">
      <formula>$D$77=0</formula>
    </cfRule>
  </conditionalFormatting>
  <dataValidations count="6">
    <dataValidation type="decimal" allowBlank="1" showInputMessage="1" showErrorMessage="1" sqref="M79:M80" xr:uid="{00000000-0002-0000-0400-000000000000}">
      <formula1>0</formula1>
      <formula2>N79</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58"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s>
  <printOptions horizontalCentered="1"/>
  <pageMargins left="0.25" right="0.25" top="0.75" bottom="0.75" header="0.3" footer="0.3"/>
  <pageSetup scale="45" orientation="portrait" r:id="rId1"/>
  <headerFooter scaleWithDoc="0">
    <oddFooter>&amp;L&amp;P&amp;CIncentives | US Foods Confidential</oddFooter>
  </headerFooter>
  <ignoredErrors>
    <ignoredError sqref="E18:E20 E29:E31" unlockedFormula="1"/>
  </ignoredError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E64 E48 E56 E37 E72</xm:sqref>
        </x14:dataValidation>
        <x14:dataValidation type="list" allowBlank="1" showInputMessage="1" showErrorMessage="1" xr:uid="{00000000-0002-0000-0400-000005000000}">
          <x14:formula1>
            <xm:f>Lookups!$AI$1:$AI$3</xm:f>
          </x14:formula1>
          <xm:sqref>I63 I14 I25 I36 I47 I55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808"/>
      <c r="C2" s="963" t="s">
        <v>215</v>
      </c>
      <c r="D2" s="963"/>
      <c r="E2" s="963"/>
      <c r="F2" s="581"/>
      <c r="G2" s="180"/>
      <c r="H2" s="180"/>
      <c r="I2" s="180"/>
      <c r="J2" s="180"/>
      <c r="K2" s="180"/>
      <c r="L2" s="183"/>
    </row>
    <row r="3" spans="2:23" x14ac:dyDescent="0.25">
      <c r="B3" s="186"/>
      <c r="C3" s="970" t="s">
        <v>381</v>
      </c>
      <c r="D3" s="971"/>
      <c r="E3" s="446" t="str">
        <f>Welcome!$D$6</f>
        <v>Select Deal Type</v>
      </c>
      <c r="F3" s="450"/>
      <c r="G3" s="546" t="s">
        <v>110</v>
      </c>
      <c r="H3" s="968" t="str">
        <f>IFERROR(VLOOKUP($H$4,'Market Geography'!$D:$G,4,FALSE),"Select Market")</f>
        <v>Select Market</v>
      </c>
      <c r="I3" s="968"/>
      <c r="J3" s="968"/>
      <c r="K3" s="969"/>
      <c r="L3" s="187"/>
    </row>
    <row r="4" spans="2:23" x14ac:dyDescent="0.25">
      <c r="B4" s="186"/>
      <c r="C4" s="956" t="s">
        <v>216</v>
      </c>
      <c r="D4" s="957"/>
      <c r="E4" s="414" t="str">
        <f>Welcome!$D$8</f>
        <v>Select Term</v>
      </c>
      <c r="F4" s="582"/>
      <c r="G4" s="547" t="s">
        <v>120</v>
      </c>
      <c r="H4" s="952">
        <f>Welcome!$D$4</f>
        <v>0</v>
      </c>
      <c r="I4" s="952"/>
      <c r="J4" s="952"/>
      <c r="K4" s="953"/>
      <c r="L4" s="187"/>
    </row>
    <row r="5" spans="2:23" x14ac:dyDescent="0.25">
      <c r="B5" s="186"/>
      <c r="C5" s="956" t="s">
        <v>202</v>
      </c>
      <c r="D5" s="957"/>
      <c r="E5" s="150">
        <f>'PIM Model'!$G$31</f>
        <v>0</v>
      </c>
      <c r="F5" s="583"/>
      <c r="G5" s="547" t="s">
        <v>107</v>
      </c>
      <c r="H5" s="952" t="str">
        <f>'Multi-Customer'!$M$47</f>
        <v>Enter Customer(s)</v>
      </c>
      <c r="I5" s="952"/>
      <c r="J5" s="952"/>
      <c r="K5" s="953"/>
      <c r="L5" s="187"/>
    </row>
    <row r="6" spans="2:23" x14ac:dyDescent="0.25">
      <c r="B6" s="186"/>
      <c r="C6" s="956" t="s">
        <v>493</v>
      </c>
      <c r="D6" s="957"/>
      <c r="E6" s="151">
        <f>'PIM Model'!$E$6</f>
        <v>0</v>
      </c>
      <c r="F6" s="450"/>
      <c r="G6" s="547" t="s">
        <v>410</v>
      </c>
      <c r="H6" s="952" t="str">
        <f>'Multi-Customer'!$M$83</f>
        <v>MULTIPLE MENU TYPES</v>
      </c>
      <c r="I6" s="952"/>
      <c r="J6" s="952"/>
      <c r="K6" s="953"/>
      <c r="L6" s="187"/>
      <c r="R6" s="584"/>
    </row>
    <row r="7" spans="2:23" ht="15.75" thickBot="1" x14ac:dyDescent="0.3">
      <c r="B7" s="186"/>
      <c r="C7" s="958" t="s">
        <v>547</v>
      </c>
      <c r="D7" s="959"/>
      <c r="E7" s="447">
        <f>IFERROR('PIM Ranges'!$AU$3,0)</f>
        <v>0</v>
      </c>
      <c r="F7" s="185"/>
      <c r="G7" s="548" t="s">
        <v>225</v>
      </c>
      <c r="H7" s="954" t="s">
        <v>211</v>
      </c>
      <c r="I7" s="954"/>
      <c r="J7" s="954"/>
      <c r="K7" s="955"/>
      <c r="L7" s="187"/>
      <c r="P7" s="185"/>
      <c r="Q7" s="160"/>
      <c r="R7" s="585"/>
      <c r="S7" s="141"/>
      <c r="T7" s="160"/>
      <c r="U7" s="185"/>
      <c r="V7" s="160"/>
      <c r="W7" s="185"/>
    </row>
    <row r="8" spans="2:23" ht="13.9" customHeight="1" x14ac:dyDescent="0.25">
      <c r="B8" s="186"/>
      <c r="D8" s="143"/>
      <c r="E8" s="921"/>
      <c r="F8" s="921"/>
      <c r="G8"/>
      <c r="H8"/>
      <c r="I8" s="461"/>
      <c r="J8" s="27"/>
      <c r="K8" s="27"/>
      <c r="L8" s="187"/>
      <c r="P8" s="185"/>
      <c r="Q8" s="143"/>
      <c r="R8" s="586"/>
      <c r="S8" s="141"/>
      <c r="T8" s="232"/>
      <c r="U8" s="185"/>
      <c r="V8" s="233"/>
      <c r="W8" s="185"/>
    </row>
    <row r="9" spans="2:23" ht="13.9" customHeight="1" x14ac:dyDescent="0.25">
      <c r="B9" s="186"/>
      <c r="C9" s="284"/>
      <c r="D9" s="587"/>
      <c r="E9" s="196"/>
      <c r="F9" s="195"/>
      <c r="G9" s="195"/>
      <c r="H9" s="195"/>
      <c r="I9" s="588"/>
      <c r="J9" s="588"/>
      <c r="K9" s="589"/>
      <c r="L9" s="187"/>
      <c r="P9" s="185"/>
      <c r="Q9" s="143"/>
      <c r="R9" s="586"/>
      <c r="S9" s="141"/>
      <c r="T9" s="232"/>
      <c r="U9" s="185"/>
      <c r="V9" s="233"/>
      <c r="W9" s="185"/>
    </row>
    <row r="10" spans="2:23" ht="26.45" customHeight="1" x14ac:dyDescent="0.25">
      <c r="B10" s="186"/>
      <c r="C10" s="278"/>
      <c r="D10" s="6" t="s">
        <v>125</v>
      </c>
      <c r="E10" s="765" t="s">
        <v>126</v>
      </c>
      <c r="F10" s="202"/>
      <c r="G10" s="765" t="s">
        <v>376</v>
      </c>
      <c r="H10" s="202"/>
      <c r="I10" s="960" t="s">
        <v>759</v>
      </c>
      <c r="J10" s="960"/>
      <c r="K10" s="280"/>
      <c r="L10" s="187"/>
      <c r="P10" s="185"/>
      <c r="Q10" s="185"/>
      <c r="R10" s="590"/>
      <c r="S10" s="185"/>
      <c r="T10" s="185"/>
      <c r="U10" s="185"/>
      <c r="V10" s="185"/>
      <c r="W10" s="185"/>
    </row>
    <row r="11" spans="2:23" ht="23.45" customHeight="1" x14ac:dyDescent="0.25">
      <c r="B11" s="186"/>
      <c r="C11" s="278"/>
      <c r="D11" s="591" t="s">
        <v>205</v>
      </c>
      <c r="E11" s="592">
        <f>'Variable Costs (Back)'!$AE$25</f>
        <v>0</v>
      </c>
      <c r="F11" s="202"/>
      <c r="G11" s="593">
        <f>IFERROR(E11/'PIM Model'!$H$31,0)</f>
        <v>0</v>
      </c>
      <c r="H11" s="202"/>
      <c r="I11" s="964" t="str">
        <f>IFERROR($E11/$E$5,"")</f>
        <v/>
      </c>
      <c r="J11" s="964"/>
      <c r="K11" s="280"/>
      <c r="L11" s="187"/>
      <c r="R11" s="584"/>
    </row>
    <row r="12" spans="2:23" ht="36.6" customHeight="1" x14ac:dyDescent="0.25">
      <c r="B12" s="186"/>
      <c r="C12" s="278"/>
      <c r="D12" s="961" t="s">
        <v>716</v>
      </c>
      <c r="E12" s="961"/>
      <c r="F12" s="594"/>
      <c r="G12" s="595"/>
      <c r="H12" s="202"/>
      <c r="I12" s="596"/>
      <c r="J12" s="597"/>
      <c r="K12" s="280"/>
      <c r="L12" s="187"/>
    </row>
    <row r="13" spans="2:23" ht="23.45" customHeight="1" x14ac:dyDescent="0.25">
      <c r="B13" s="186"/>
      <c r="C13" s="278"/>
      <c r="D13" s="591" t="s">
        <v>204</v>
      </c>
      <c r="E13" s="592">
        <f>'Variable Costs (Back)'!$AF$25</f>
        <v>0</v>
      </c>
      <c r="F13" s="202"/>
      <c r="G13" s="593">
        <f>IFERROR(E13/'PIM Model'!$H$31,0)</f>
        <v>0</v>
      </c>
      <c r="H13" s="202"/>
      <c r="I13" s="964" t="str">
        <f>IFERROR($E13/$E$5,"")</f>
        <v/>
      </c>
      <c r="J13" s="964"/>
      <c r="K13" s="280"/>
      <c r="L13" s="187"/>
    </row>
    <row r="14" spans="2:23" ht="26.45" customHeight="1" x14ac:dyDescent="0.25">
      <c r="B14" s="186"/>
      <c r="C14" s="278"/>
      <c r="D14" s="961" t="s">
        <v>718</v>
      </c>
      <c r="E14" s="961"/>
      <c r="F14" s="594"/>
      <c r="G14" s="595"/>
      <c r="H14" s="202"/>
      <c r="I14" s="596"/>
      <c r="J14" s="597"/>
      <c r="K14" s="280"/>
      <c r="L14" s="187"/>
    </row>
    <row r="15" spans="2:23" ht="23.45" customHeight="1" thickBot="1" x14ac:dyDescent="0.3">
      <c r="B15" s="186"/>
      <c r="C15" s="278"/>
      <c r="D15" s="591" t="s">
        <v>203</v>
      </c>
      <c r="E15" s="598">
        <f>'Variable Costs (Back)'!$AD$25</f>
        <v>0</v>
      </c>
      <c r="F15" s="202"/>
      <c r="G15" s="599">
        <f>IFERROR(E15/'PIM Model'!$H$31,0)</f>
        <v>0</v>
      </c>
      <c r="H15" s="202"/>
      <c r="I15" s="965" t="str">
        <f>IFERROR($E15/$E$5,"")</f>
        <v/>
      </c>
      <c r="J15" s="965"/>
      <c r="K15" s="280"/>
      <c r="L15" s="187"/>
    </row>
    <row r="16" spans="2:23" ht="25.9" customHeight="1" thickTop="1" x14ac:dyDescent="0.25">
      <c r="B16" s="186"/>
      <c r="C16" s="278"/>
      <c r="D16" s="961" t="s">
        <v>717</v>
      </c>
      <c r="E16" s="962"/>
      <c r="F16" s="594"/>
      <c r="G16" s="595"/>
      <c r="H16" s="202"/>
      <c r="I16" s="597"/>
      <c r="J16" s="597"/>
      <c r="K16" s="280"/>
      <c r="L16" s="187"/>
    </row>
    <row r="17" spans="2:12" ht="25.15" customHeight="1" x14ac:dyDescent="0.25">
      <c r="B17" s="186"/>
      <c r="C17" s="278"/>
      <c r="D17" s="600" t="s">
        <v>235</v>
      </c>
      <c r="E17" s="601">
        <f>E11+E13+E15</f>
        <v>0</v>
      </c>
      <c r="F17" s="202"/>
      <c r="G17" s="602">
        <f>IFERROR(E17/'PIM Model'!$H$31,0)</f>
        <v>0</v>
      </c>
      <c r="H17" s="603"/>
      <c r="I17" s="966" t="str">
        <f>IFERROR($E17/$E$5,"")</f>
        <v/>
      </c>
      <c r="J17" s="966"/>
      <c r="K17" s="280"/>
      <c r="L17" s="187"/>
    </row>
    <row r="18" spans="2:12" ht="13.9" customHeight="1" x14ac:dyDescent="0.25">
      <c r="B18" s="186"/>
      <c r="C18" s="281"/>
      <c r="D18" s="264"/>
      <c r="E18" s="264"/>
      <c r="F18" s="264"/>
      <c r="G18" s="264"/>
      <c r="H18" s="264"/>
      <c r="I18" s="604"/>
      <c r="J18" s="604"/>
      <c r="K18" s="282"/>
      <c r="L18" s="187"/>
    </row>
    <row r="19" spans="2:12" s="185" customFormat="1" ht="13.9" customHeight="1" x14ac:dyDescent="0.25">
      <c r="B19" s="605"/>
      <c r="L19" s="191"/>
    </row>
    <row r="20" spans="2:12" ht="13.9" customHeight="1" x14ac:dyDescent="0.25">
      <c r="B20" s="186"/>
      <c r="C20" s="284"/>
      <c r="D20" s="195"/>
      <c r="E20" s="195"/>
      <c r="F20" s="195"/>
      <c r="G20" s="195"/>
      <c r="H20" s="195"/>
      <c r="I20" s="606"/>
      <c r="J20" s="606"/>
      <c r="K20" s="285"/>
      <c r="L20" s="187"/>
    </row>
    <row r="21" spans="2:12" ht="16.149999999999999" customHeight="1" x14ac:dyDescent="0.25">
      <c r="B21" s="186"/>
      <c r="C21" s="278"/>
      <c r="D21" s="607" t="s">
        <v>1003</v>
      </c>
      <c r="E21" s="608">
        <f>IFERROR('EB_CM (Back)'!$J$47,0)</f>
        <v>0</v>
      </c>
      <c r="F21" s="202"/>
      <c r="G21" s="609">
        <f>IFERROR(E21/'PIM Model'!$H$31,0)</f>
        <v>0</v>
      </c>
      <c r="H21" s="202"/>
      <c r="I21" s="964" t="str">
        <f>IFERROR($E21/$E$5,"")</f>
        <v/>
      </c>
      <c r="J21" s="964"/>
      <c r="K21" s="280"/>
      <c r="L21" s="187"/>
    </row>
    <row r="22" spans="2:12" ht="16.149999999999999" customHeight="1" x14ac:dyDescent="0.25">
      <c r="B22" s="186"/>
      <c r="C22" s="278"/>
      <c r="D22" s="967" t="s">
        <v>983</v>
      </c>
      <c r="E22" s="967"/>
      <c r="F22" s="594"/>
      <c r="G22" s="595"/>
      <c r="H22" s="202"/>
      <c r="I22" s="597"/>
      <c r="J22" s="597"/>
      <c r="K22" s="280"/>
      <c r="L22" s="187"/>
    </row>
    <row r="23" spans="2:12" ht="13.9" customHeight="1" x14ac:dyDescent="0.25">
      <c r="B23" s="186"/>
      <c r="C23" s="281"/>
      <c r="D23" s="610"/>
      <c r="E23" s="611"/>
      <c r="F23" s="264"/>
      <c r="G23" s="612"/>
      <c r="H23" s="264"/>
      <c r="I23" s="604"/>
      <c r="J23" s="604"/>
      <c r="K23" s="282"/>
      <c r="L23" s="187"/>
    </row>
    <row r="24" spans="2:12" ht="13.9" customHeight="1" x14ac:dyDescent="0.25">
      <c r="B24" s="186"/>
      <c r="C24" s="185"/>
      <c r="D24" s="185"/>
      <c r="E24" s="185"/>
      <c r="H24" s="185"/>
      <c r="I24" s="185"/>
      <c r="J24" s="185"/>
      <c r="K24" s="185"/>
      <c r="L24" s="187"/>
    </row>
    <row r="25" spans="2:12" ht="13.9" customHeight="1" x14ac:dyDescent="0.25">
      <c r="B25" s="186"/>
      <c r="C25" s="284"/>
      <c r="D25" s="195"/>
      <c r="E25" s="195"/>
      <c r="F25" s="195"/>
      <c r="G25" s="195"/>
      <c r="H25" s="195"/>
      <c r="I25" s="606"/>
      <c r="J25" s="606"/>
      <c r="K25" s="285"/>
      <c r="L25" s="187"/>
    </row>
    <row r="26" spans="2:12" ht="26.45" customHeight="1" x14ac:dyDescent="0.25">
      <c r="B26" s="186"/>
      <c r="C26" s="278"/>
      <c r="D26" s="6" t="s">
        <v>224</v>
      </c>
      <c r="E26" s="765" t="s">
        <v>126</v>
      </c>
      <c r="F26" s="202"/>
      <c r="G26" s="765" t="s">
        <v>376</v>
      </c>
      <c r="H26" s="202"/>
      <c r="I26" s="960" t="s">
        <v>759</v>
      </c>
      <c r="J26" s="960"/>
      <c r="K26" s="280"/>
      <c r="L26" s="187"/>
    </row>
    <row r="27" spans="2:12" ht="25.15" customHeight="1" x14ac:dyDescent="0.25">
      <c r="B27" s="186"/>
      <c r="C27" s="278"/>
      <c r="D27" s="607" t="s">
        <v>228</v>
      </c>
      <c r="E27" s="608">
        <f>IFERROR('EB_CM (Back)'!$I$47,0)</f>
        <v>0</v>
      </c>
      <c r="F27" s="202"/>
      <c r="G27" s="593">
        <f>IFERROR(E27/'PIM Model'!$H$31,0)</f>
        <v>0</v>
      </c>
      <c r="H27" s="202"/>
      <c r="I27" s="964" t="str">
        <f>IFERROR($E27/$E$5,"")</f>
        <v/>
      </c>
      <c r="J27" s="964"/>
      <c r="K27" s="280"/>
      <c r="L27" s="187"/>
    </row>
    <row r="28" spans="2:12" ht="17.45" customHeight="1" x14ac:dyDescent="0.25">
      <c r="B28" s="186"/>
      <c r="C28" s="278"/>
      <c r="D28" s="607" t="s">
        <v>227</v>
      </c>
      <c r="E28" s="608">
        <f>IFERROR(VLOOKUP($H$4,'Variable Div Avgs'!$D:$L,9,FALSE)*'PIM Model'!$H$31,0)</f>
        <v>0</v>
      </c>
      <c r="F28" s="202"/>
      <c r="G28" s="593">
        <f>IFERROR(E28/'PIM Model'!$H$31,0)</f>
        <v>0</v>
      </c>
      <c r="H28" s="202"/>
      <c r="I28" s="964" t="str">
        <f>IFERROR($E28/$E$5,"")</f>
        <v/>
      </c>
      <c r="J28" s="964"/>
      <c r="K28" s="280"/>
      <c r="L28" s="187"/>
    </row>
    <row r="29" spans="2:12" ht="27.6" customHeight="1" x14ac:dyDescent="0.25">
      <c r="B29" s="186"/>
      <c r="C29" s="613"/>
      <c r="D29" s="961" t="s">
        <v>237</v>
      </c>
      <c r="E29" s="961"/>
      <c r="F29" s="614"/>
      <c r="G29" s="614"/>
      <c r="H29" s="614"/>
      <c r="I29" s="604"/>
      <c r="J29" s="604"/>
      <c r="K29" s="282"/>
      <c r="L29" s="187"/>
    </row>
    <row r="30" spans="2:12" ht="21.6" customHeight="1" thickBot="1" x14ac:dyDescent="0.3">
      <c r="B30" s="768"/>
      <c r="C30" s="761"/>
      <c r="D30" s="761"/>
      <c r="E30" s="761"/>
      <c r="F30" s="761"/>
      <c r="G30" s="761"/>
      <c r="H30" s="761"/>
      <c r="I30" s="761"/>
      <c r="J30" s="761"/>
      <c r="K30" s="761"/>
      <c r="L30" s="769"/>
    </row>
    <row r="31" spans="2:12" ht="39" customHeight="1" x14ac:dyDescent="0.25"/>
  </sheetData>
  <sheetProtection algorithmName="SHA-512" hashValue="Wd1XsKCwu2lPjgULRJQBOAomHMVowY2KqdyyFQtluoE79yfsHwjKrqI9Q+gEp8/eHvNvXITkw1MZ2R88gS/4aA==" saltValue="657pA/SSM6g5AtgFUh2wTA==" spinCount="100000" sheet="1" selectLockedCells="1"/>
  <mergeCells count="26">
    <mergeCell ref="C2:E2"/>
    <mergeCell ref="I27:J27"/>
    <mergeCell ref="I28:J28"/>
    <mergeCell ref="I13:J13"/>
    <mergeCell ref="I15:J15"/>
    <mergeCell ref="I17:J17"/>
    <mergeCell ref="I21:J21"/>
    <mergeCell ref="I26:J26"/>
    <mergeCell ref="D22:E22"/>
    <mergeCell ref="I11:J11"/>
    <mergeCell ref="H3:K3"/>
    <mergeCell ref="H4:K4"/>
    <mergeCell ref="H5:K5"/>
    <mergeCell ref="C3:D3"/>
    <mergeCell ref="C4:D4"/>
    <mergeCell ref="C5:D5"/>
    <mergeCell ref="D29:E29"/>
    <mergeCell ref="E8:F8"/>
    <mergeCell ref="D14:E14"/>
    <mergeCell ref="D12:E12"/>
    <mergeCell ref="D16:E16"/>
    <mergeCell ref="H6:K6"/>
    <mergeCell ref="H7:K7"/>
    <mergeCell ref="C6:D6"/>
    <mergeCell ref="C7:D7"/>
    <mergeCell ref="I10:J10"/>
  </mergeCells>
  <dataValidations count="1">
    <dataValidation type="decimal" allowBlank="1" showInputMessage="1" showErrorMessage="1" sqref="E28" xr:uid="{00000000-0002-0000-0500-000000000000}">
      <formula1>#REF!</formula1>
      <formula2>C28</formula2>
    </dataValidation>
  </dataValidations>
  <printOptions horizontalCentered="1"/>
  <pageMargins left="0.25" right="0.25" top="0.75" bottom="0.75" header="0.3" footer="0.3"/>
  <pageSetup scale="80" orientation="portrait" r:id="rId1"/>
  <headerFooter scaleWithDoc="0">
    <oddFooter>&amp;L&amp;P&amp;CVariable Costs and Income | US Foods Confidential</oddFooter>
  </headerFooter>
  <ignoredErrors>
    <ignoredError sqref="I16:J16"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B1"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615"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6.42578125" style="184" customWidth="1"/>
    <col min="13" max="13" width="13.140625" style="184" customWidth="1"/>
    <col min="14" max="14" width="21.140625" style="5" customWidth="1"/>
    <col min="15" max="15" width="10.140625" style="5" customWidth="1"/>
    <col min="16" max="16" width="8.85546875" style="5" customWidth="1"/>
    <col min="17" max="17" width="13.140625" style="5" customWidth="1"/>
    <col min="18" max="18" width="8.85546875" style="5" customWidth="1"/>
    <col min="19" max="19" width="10.5703125" style="5" customWidth="1"/>
    <col min="20" max="16384" width="8.85546875" style="5"/>
  </cols>
  <sheetData>
    <row r="1" spans="1:13" ht="15" customHeight="1" thickBot="1" x14ac:dyDescent="0.3">
      <c r="A1" s="5" t="s">
        <v>544</v>
      </c>
    </row>
    <row r="2" spans="1:13" ht="21" x14ac:dyDescent="0.25">
      <c r="B2" s="808"/>
      <c r="C2" s="616" t="s">
        <v>130</v>
      </c>
      <c r="D2" s="180"/>
      <c r="E2" s="616"/>
      <c r="F2" s="617"/>
      <c r="G2" s="182"/>
      <c r="H2" s="182"/>
      <c r="I2" s="182"/>
      <c r="J2" s="180"/>
      <c r="K2" s="180"/>
      <c r="L2" s="618"/>
    </row>
    <row r="3" spans="1:13" ht="8.4499999999999993" customHeight="1" thickBot="1" x14ac:dyDescent="0.3">
      <c r="B3" s="186"/>
      <c r="D3" s="5"/>
      <c r="F3" s="185"/>
      <c r="G3" s="5"/>
      <c r="H3" s="5"/>
      <c r="I3" s="5"/>
      <c r="L3" s="288"/>
    </row>
    <row r="4" spans="1:13" ht="14.45" customHeight="1" x14ac:dyDescent="0.25">
      <c r="B4" s="186"/>
      <c r="C4" s="970" t="s">
        <v>381</v>
      </c>
      <c r="D4" s="971"/>
      <c r="E4" s="767" t="str">
        <f>Welcome!$D$6</f>
        <v>Select Deal Type</v>
      </c>
      <c r="F4" s="146"/>
      <c r="G4" s="546" t="s">
        <v>110</v>
      </c>
      <c r="H4" s="968" t="str">
        <f>IFERROR(VLOOKUP($H$5,'Market Geography'!$D:$G,4,FALSE),"Select Market")</f>
        <v>Select Market</v>
      </c>
      <c r="I4" s="968"/>
      <c r="J4" s="968"/>
      <c r="K4" s="969"/>
      <c r="L4" s="619"/>
    </row>
    <row r="5" spans="1:13" x14ac:dyDescent="0.25">
      <c r="B5" s="186"/>
      <c r="C5" s="956" t="s">
        <v>216</v>
      </c>
      <c r="D5" s="957"/>
      <c r="E5" s="414" t="str">
        <f>Welcome!$D$8</f>
        <v>Select Term</v>
      </c>
      <c r="F5" s="146"/>
      <c r="G5" s="547" t="s">
        <v>120</v>
      </c>
      <c r="H5" s="952">
        <f>Welcome!$D$4</f>
        <v>0</v>
      </c>
      <c r="I5" s="952"/>
      <c r="J5" s="952"/>
      <c r="K5" s="953"/>
      <c r="L5" s="619"/>
    </row>
    <row r="6" spans="1:13" x14ac:dyDescent="0.25">
      <c r="B6" s="186"/>
      <c r="C6" s="956" t="s">
        <v>202</v>
      </c>
      <c r="D6" s="957"/>
      <c r="E6" s="415">
        <f>IFERROR('PIM Model'!$G$31,0)</f>
        <v>0</v>
      </c>
      <c r="F6" s="449"/>
      <c r="G6" s="547" t="s">
        <v>107</v>
      </c>
      <c r="H6" s="952" t="str">
        <f>'Multi-Customer'!$M$47</f>
        <v>Enter Customer(s)</v>
      </c>
      <c r="I6" s="952"/>
      <c r="J6" s="952"/>
      <c r="K6" s="953"/>
      <c r="L6" s="619"/>
    </row>
    <row r="7" spans="1:13" x14ac:dyDescent="0.25">
      <c r="B7" s="186"/>
      <c r="C7" s="956" t="s">
        <v>493</v>
      </c>
      <c r="D7" s="957"/>
      <c r="E7" s="620">
        <f>IFERROR('Variable Costs (Back)'!$K$26,0)</f>
        <v>0</v>
      </c>
      <c r="F7" s="185"/>
      <c r="G7" s="547" t="s">
        <v>410</v>
      </c>
      <c r="H7" s="952" t="str">
        <f>'Multi-Customer'!$M$83</f>
        <v>MULTIPLE MENU TYPES</v>
      </c>
      <c r="I7" s="952"/>
      <c r="J7" s="952"/>
      <c r="K7" s="953"/>
      <c r="L7" s="619"/>
    </row>
    <row r="8" spans="1:13" ht="15.75" thickBot="1" x14ac:dyDescent="0.3">
      <c r="B8" s="186"/>
      <c r="C8" s="958" t="s">
        <v>547</v>
      </c>
      <c r="D8" s="959"/>
      <c r="E8" s="447">
        <f>IFERROR('PIM Ranges'!$AU$3,0)</f>
        <v>0</v>
      </c>
      <c r="F8" s="450"/>
      <c r="G8" s="548" t="s">
        <v>225</v>
      </c>
      <c r="H8" s="973" t="s">
        <v>211</v>
      </c>
      <c r="I8" s="973"/>
      <c r="J8" s="973"/>
      <c r="K8" s="974"/>
      <c r="L8" s="621"/>
    </row>
    <row r="9" spans="1:13" ht="8.4499999999999993" customHeight="1" x14ac:dyDescent="0.25">
      <c r="B9" s="186"/>
      <c r="D9" s="143"/>
      <c r="E9" s="766"/>
      <c r="F9" s="766"/>
      <c r="G9" s="766"/>
      <c r="H9" s="766"/>
      <c r="I9" s="766"/>
      <c r="L9" s="288"/>
    </row>
    <row r="10" spans="1:13" ht="7.9" customHeight="1" x14ac:dyDescent="0.25">
      <c r="B10" s="186"/>
      <c r="C10" s="284"/>
      <c r="D10" s="622"/>
      <c r="E10" s="195"/>
      <c r="F10" s="195"/>
      <c r="G10" s="195"/>
      <c r="H10" s="195"/>
      <c r="I10" s="195"/>
      <c r="J10" s="195"/>
      <c r="K10" s="199"/>
      <c r="L10" s="187"/>
      <c r="M10" s="5"/>
    </row>
    <row r="11" spans="1:13" ht="18.600000000000001" customHeight="1" x14ac:dyDescent="0.25">
      <c r="B11" s="186"/>
      <c r="C11" s="278"/>
      <c r="D11" s="7"/>
      <c r="E11" s="6" t="s">
        <v>238</v>
      </c>
      <c r="F11" s="38"/>
      <c r="G11" s="208" t="s">
        <v>376</v>
      </c>
      <c r="H11" s="210"/>
      <c r="I11" s="202"/>
      <c r="J11" s="202"/>
      <c r="K11" s="204"/>
      <c r="L11" s="187"/>
      <c r="M11" s="5"/>
    </row>
    <row r="12" spans="1:13" ht="21" customHeight="1" x14ac:dyDescent="0.25">
      <c r="B12" s="186"/>
      <c r="C12" s="278"/>
      <c r="D12" s="833" t="s">
        <v>719</v>
      </c>
      <c r="E12" s="834">
        <f>IFERROR('PIM Model'!$G$31,0)</f>
        <v>0</v>
      </c>
      <c r="F12" s="39"/>
      <c r="G12" s="835">
        <f>IFERROR(E12/'PIM Model'!$H$31,0)</f>
        <v>0</v>
      </c>
      <c r="H12" s="624"/>
      <c r="I12" s="625"/>
      <c r="J12" s="626" t="str">
        <f>IF(AND(Welcome!D6="Incentive Only",E12&lt;150000),"Spend",IF(AND(Welcome!D6="MDA",E12&lt;250000),"Spend",IF(E12&gt;2500000,"Spend Maximum Exceeded. Go to Custom","Approve")))</f>
        <v>Approve</v>
      </c>
      <c r="K12" s="627"/>
      <c r="L12" s="187"/>
      <c r="M12" s="5"/>
    </row>
    <row r="13" spans="1:13" ht="21" customHeight="1" x14ac:dyDescent="0.25">
      <c r="B13" s="186"/>
      <c r="C13" s="278"/>
      <c r="D13" s="8" t="s">
        <v>504</v>
      </c>
      <c r="E13" s="12">
        <f>IFERROR('PIM Model'!$I$34,0)</f>
        <v>0</v>
      </c>
      <c r="F13" s="39"/>
      <c r="G13" s="623">
        <f>IFERROR(E13/'PIM Model'!$H$31,0)</f>
        <v>0</v>
      </c>
      <c r="H13" s="624"/>
      <c r="I13" s="625"/>
      <c r="J13" s="628" t="str">
        <f>IF(E13&gt;0,IF(J17=0,"Approve","Reject"),"")</f>
        <v/>
      </c>
      <c r="K13" s="627"/>
      <c r="L13" s="187"/>
      <c r="M13" s="5"/>
    </row>
    <row r="14" spans="1:13" ht="7.15" customHeight="1" x14ac:dyDescent="0.25">
      <c r="B14" s="186"/>
      <c r="C14" s="278"/>
      <c r="D14" s="836"/>
      <c r="E14" s="837"/>
      <c r="F14" s="837"/>
      <c r="G14" s="830"/>
      <c r="H14" s="830"/>
      <c r="I14" s="831"/>
      <c r="J14" s="832"/>
      <c r="K14" s="627"/>
      <c r="L14" s="187"/>
      <c r="M14" s="5"/>
    </row>
    <row r="15" spans="1:13" ht="21" customHeight="1" x14ac:dyDescent="0.25">
      <c r="B15" s="186"/>
      <c r="C15" s="278"/>
      <c r="D15" s="836"/>
      <c r="E15" s="6" t="s">
        <v>238</v>
      </c>
      <c r="F15" s="38"/>
      <c r="G15" s="131" t="s">
        <v>376</v>
      </c>
      <c r="H15" s="629"/>
      <c r="I15" s="208" t="s">
        <v>759</v>
      </c>
      <c r="J15" s="832"/>
      <c r="K15" s="627"/>
      <c r="L15" s="187"/>
      <c r="M15" s="5"/>
    </row>
    <row r="16" spans="1:13" ht="24" customHeight="1" x14ac:dyDescent="0.25">
      <c r="B16" s="186"/>
      <c r="C16" s="278"/>
      <c r="D16" s="16" t="s">
        <v>1109</v>
      </c>
      <c r="E16" s="838">
        <v>0</v>
      </c>
      <c r="F16" s="130"/>
      <c r="G16" s="831"/>
      <c r="H16" s="830"/>
      <c r="I16" s="831"/>
      <c r="J16" s="832"/>
      <c r="K16" s="627"/>
      <c r="L16" s="187"/>
      <c r="M16" s="5"/>
    </row>
    <row r="17" spans="2:13" ht="24" customHeight="1" x14ac:dyDescent="0.25">
      <c r="B17" s="186"/>
      <c r="C17" s="278"/>
      <c r="D17" s="16" t="s">
        <v>1003</v>
      </c>
      <c r="E17" s="12">
        <f>IFERROR('EB_CM (Back)'!$J$47*-1,0)-E16</f>
        <v>0</v>
      </c>
      <c r="F17" s="39"/>
      <c r="G17" s="623">
        <f>IFERROR(E17/'PIM Model'!$H$31,0)</f>
        <v>0</v>
      </c>
      <c r="H17" s="629"/>
      <c r="I17" s="633">
        <f>IFERROR(E17/E12,0)</f>
        <v>0</v>
      </c>
      <c r="J17" s="630">
        <f>COUNTIF('PIM Model'!$AB$10:$AB$30,"ERROR")+COUNTIFS('PIM Model'!$AF$10:$AJ$30,"BELOW")</f>
        <v>0</v>
      </c>
      <c r="K17" s="631"/>
      <c r="L17" s="187"/>
      <c r="M17" s="5"/>
    </row>
    <row r="18" spans="2:13" ht="13.15" customHeight="1" x14ac:dyDescent="0.25">
      <c r="B18" s="186"/>
      <c r="C18" s="278"/>
      <c r="D18" s="202"/>
      <c r="E18" s="202"/>
      <c r="F18" s="202"/>
      <c r="G18" s="202"/>
      <c r="H18" s="629"/>
      <c r="I18" s="632"/>
      <c r="J18" s="632"/>
      <c r="K18" s="631"/>
      <c r="L18" s="187"/>
      <c r="M18" s="5"/>
    </row>
    <row r="19" spans="2:13" ht="21.6" customHeight="1" x14ac:dyDescent="0.25">
      <c r="B19" s="186"/>
      <c r="C19" s="278"/>
      <c r="D19" s="202"/>
      <c r="E19" s="6" t="s">
        <v>238</v>
      </c>
      <c r="F19" s="38"/>
      <c r="G19" s="208" t="s">
        <v>376</v>
      </c>
      <c r="H19" s="629"/>
      <c r="I19" s="208" t="s">
        <v>759</v>
      </c>
      <c r="J19" s="632"/>
      <c r="K19" s="631"/>
      <c r="L19" s="187"/>
      <c r="M19" s="5"/>
    </row>
    <row r="20" spans="2:13" ht="21.6" customHeight="1" x14ac:dyDescent="0.25">
      <c r="B20" s="186"/>
      <c r="C20" s="278"/>
      <c r="D20" s="8" t="s">
        <v>1006</v>
      </c>
      <c r="E20" s="12">
        <f>E13+E17</f>
        <v>0</v>
      </c>
      <c r="F20" s="39"/>
      <c r="G20" s="623">
        <f>IFERROR(E20/'PIM Model'!$H$31,0)</f>
        <v>0</v>
      </c>
      <c r="H20" s="629"/>
      <c r="I20" s="633">
        <f>IFERROR(E20/E12,0)</f>
        <v>0</v>
      </c>
      <c r="J20" s="632"/>
      <c r="K20" s="631"/>
      <c r="L20" s="187"/>
      <c r="M20" s="5"/>
    </row>
    <row r="21" spans="2:13" ht="15" customHeight="1" x14ac:dyDescent="0.25">
      <c r="B21" s="186"/>
      <c r="C21" s="278"/>
      <c r="D21" s="7"/>
      <c r="E21" s="629"/>
      <c r="F21" s="629"/>
      <c r="G21" s="629"/>
      <c r="H21" s="629"/>
      <c r="I21" s="632"/>
      <c r="J21" s="632"/>
      <c r="K21" s="631"/>
      <c r="L21" s="187"/>
      <c r="M21" s="5"/>
    </row>
    <row r="22" spans="2:13" ht="24" customHeight="1" x14ac:dyDescent="0.25">
      <c r="B22" s="186"/>
      <c r="C22" s="278"/>
      <c r="D22" s="16" t="s">
        <v>229</v>
      </c>
      <c r="E22" s="12">
        <f>IFERROR(Incentives!$M$77*-1,0)</f>
        <v>0</v>
      </c>
      <c r="F22" s="634">
        <f>Incentives!$M$79</f>
        <v>0</v>
      </c>
      <c r="G22" s="623">
        <f>IFERROR(E22/'PIM Model'!$H$31,0)</f>
        <v>0</v>
      </c>
      <c r="H22" s="624"/>
      <c r="I22" s="819" t="str">
        <f>IF(Incentives!$M$80&gt;0,"**Missing Incentive Payment Method**","")</f>
        <v/>
      </c>
      <c r="J22" s="635" t="str">
        <f>IF(E22=0,"",IF(F22&gt;0.05,"Reject","Approve"))</f>
        <v/>
      </c>
      <c r="K22" s="636"/>
      <c r="L22" s="187"/>
      <c r="M22" s="5"/>
    </row>
    <row r="23" spans="2:13" ht="21.6" customHeight="1" x14ac:dyDescent="0.25">
      <c r="B23" s="186"/>
      <c r="C23" s="278"/>
      <c r="D23" s="8" t="s">
        <v>230</v>
      </c>
      <c r="E23" s="12">
        <f>E20+E22</f>
        <v>0</v>
      </c>
      <c r="F23" s="39"/>
      <c r="G23" s="623">
        <f>IFERROR(E23/'PIM Model'!$H$31,0)</f>
        <v>0</v>
      </c>
      <c r="H23" s="624"/>
      <c r="I23" s="202"/>
      <c r="J23" s="202"/>
      <c r="K23" s="204"/>
      <c r="L23" s="187"/>
      <c r="M23" s="5"/>
    </row>
    <row r="24" spans="2:13" ht="11.45" customHeight="1" x14ac:dyDescent="0.25">
      <c r="B24" s="186"/>
      <c r="C24" s="278"/>
      <c r="D24" s="7"/>
      <c r="E24" s="629"/>
      <c r="F24" s="629"/>
      <c r="G24" s="637"/>
      <c r="H24" s="637"/>
      <c r="I24" s="202"/>
      <c r="J24" s="202"/>
      <c r="K24" s="204"/>
      <c r="L24" s="187"/>
      <c r="M24" s="5"/>
    </row>
    <row r="25" spans="2:13" ht="21.6" customHeight="1" x14ac:dyDescent="0.25">
      <c r="B25" s="186"/>
      <c r="C25" s="278"/>
      <c r="D25" s="16" t="s">
        <v>409</v>
      </c>
      <c r="E25" s="13">
        <f>IFERROR('Variable Costs &amp; Income'!$E$11*-1,0)</f>
        <v>0</v>
      </c>
      <c r="F25" s="40"/>
      <c r="G25" s="638">
        <f>IFERROR(E25/'PIM Model'!$H$31,0)</f>
        <v>0</v>
      </c>
      <c r="H25" s="68"/>
      <c r="I25" s="639"/>
      <c r="J25" s="639"/>
      <c r="K25" s="204"/>
      <c r="L25" s="187"/>
      <c r="M25" s="5"/>
    </row>
    <row r="26" spans="2:13" ht="21.6" customHeight="1" x14ac:dyDescent="0.25">
      <c r="B26" s="186"/>
      <c r="C26" s="278"/>
      <c r="D26" s="16" t="s">
        <v>204</v>
      </c>
      <c r="E26" s="13">
        <f>IFERROR('Variable Costs &amp; Income'!$E$13*-1,0)</f>
        <v>0</v>
      </c>
      <c r="F26" s="40"/>
      <c r="G26" s="638">
        <f>IFERROR(E26/'PIM Model'!$H$31,0)</f>
        <v>0</v>
      </c>
      <c r="H26" s="68"/>
      <c r="I26" s="639"/>
      <c r="J26" s="639"/>
      <c r="K26" s="204"/>
      <c r="L26" s="187"/>
      <c r="M26" s="5"/>
    </row>
    <row r="27" spans="2:13" ht="21.6" customHeight="1" x14ac:dyDescent="0.25">
      <c r="B27" s="186"/>
      <c r="C27" s="278"/>
      <c r="D27" s="16" t="s">
        <v>203</v>
      </c>
      <c r="E27" s="13">
        <f>IFERROR('Variable Costs &amp; Income'!$E$15*-1,0)</f>
        <v>0</v>
      </c>
      <c r="F27" s="40"/>
      <c r="G27" s="638">
        <f>IFERROR(E27/'PIM Model'!$H$31,0)</f>
        <v>0</v>
      </c>
      <c r="H27" s="68"/>
      <c r="I27" s="639"/>
      <c r="J27" s="639"/>
      <c r="K27" s="204"/>
      <c r="L27" s="187"/>
      <c r="M27" s="5"/>
    </row>
    <row r="28" spans="2:13" ht="11.45" customHeight="1" x14ac:dyDescent="0.25">
      <c r="B28" s="186"/>
      <c r="C28" s="278"/>
      <c r="D28" s="7"/>
      <c r="E28" s="629"/>
      <c r="F28" s="629"/>
      <c r="G28" s="637"/>
      <c r="H28" s="637"/>
      <c r="I28" s="202"/>
      <c r="J28" s="202"/>
      <c r="K28" s="204"/>
      <c r="L28" s="187"/>
      <c r="M28" s="5"/>
    </row>
    <row r="29" spans="2:13" ht="23.45" customHeight="1" x14ac:dyDescent="0.25">
      <c r="B29" s="186"/>
      <c r="C29" s="278"/>
      <c r="D29" s="17" t="s">
        <v>228</v>
      </c>
      <c r="E29" s="12">
        <f>IFERROR('Variable Costs &amp; Income'!$E$27,0)</f>
        <v>0</v>
      </c>
      <c r="F29" s="39"/>
      <c r="G29" s="623">
        <f>IFERROR(E29/'PIM Model'!$H$31,0)</f>
        <v>0</v>
      </c>
      <c r="H29" s="624"/>
      <c r="I29" s="202"/>
      <c r="J29" s="202"/>
      <c r="K29" s="204"/>
      <c r="L29" s="187"/>
      <c r="M29" s="5"/>
    </row>
    <row r="30" spans="2:13" ht="23.45" customHeight="1" x14ac:dyDescent="0.25">
      <c r="B30" s="186"/>
      <c r="C30" s="278"/>
      <c r="D30" s="17" t="s">
        <v>1123</v>
      </c>
      <c r="E30" s="12">
        <f>IF(Incentives!$E$72="YES",0.02*$E$12,0)</f>
        <v>0</v>
      </c>
      <c r="F30" s="39"/>
      <c r="G30" s="623">
        <f>IFERROR(E30/'PIM Model'!$H$31,0)</f>
        <v>0</v>
      </c>
      <c r="H30" s="637"/>
      <c r="I30" s="202"/>
      <c r="J30" s="202"/>
      <c r="K30" s="204"/>
      <c r="L30" s="187"/>
      <c r="M30" s="5"/>
    </row>
    <row r="31" spans="2:13" ht="23.45" customHeight="1" x14ac:dyDescent="0.25">
      <c r="B31" s="186"/>
      <c r="C31" s="278"/>
      <c r="D31" s="17" t="s">
        <v>227</v>
      </c>
      <c r="E31" s="12">
        <f>'Variable Costs &amp; Income'!$E$28</f>
        <v>0</v>
      </c>
      <c r="F31" s="39"/>
      <c r="G31" s="623">
        <f>IFERROR(E31/'PIM Model'!$H$31,0)</f>
        <v>0</v>
      </c>
      <c r="H31" s="624"/>
      <c r="I31" s="202"/>
      <c r="J31" s="202"/>
      <c r="K31" s="204"/>
      <c r="L31" s="187"/>
      <c r="M31" s="5"/>
    </row>
    <row r="32" spans="2:13" ht="32.450000000000003" customHeight="1" x14ac:dyDescent="0.25">
      <c r="B32" s="186"/>
      <c r="C32" s="278"/>
      <c r="D32" s="972" t="s">
        <v>237</v>
      </c>
      <c r="E32" s="972"/>
      <c r="F32" s="37"/>
      <c r="G32" s="640"/>
      <c r="H32" s="641"/>
      <c r="I32" s="975" t="str">
        <f>IF($I$33=0,IF($J$33=0,"","Customer EB % Missing"),IF($J$33=0,"Customer Drops/Wk Missing","Customer EB % &amp; Drops/Wk Missing"))</f>
        <v/>
      </c>
      <c r="J32" s="975"/>
      <c r="K32" s="204"/>
      <c r="L32" s="187"/>
      <c r="M32" s="5"/>
    </row>
    <row r="33" spans="2:13" ht="6.6" customHeight="1" x14ac:dyDescent="0.25">
      <c r="B33" s="186"/>
      <c r="C33" s="278"/>
      <c r="D33" s="7"/>
      <c r="E33" s="629"/>
      <c r="F33" s="629"/>
      <c r="G33" s="843"/>
      <c r="H33" s="843">
        <f>I33+J33</f>
        <v>0</v>
      </c>
      <c r="I33" s="597">
        <f>'Customer Inputs'!$S$16</f>
        <v>0</v>
      </c>
      <c r="J33" s="597">
        <f>'Customer Inputs'!$V$16</f>
        <v>0</v>
      </c>
      <c r="K33" s="204"/>
      <c r="L33" s="187"/>
      <c r="M33" s="5"/>
    </row>
    <row r="34" spans="2:13" ht="21.6" customHeight="1" x14ac:dyDescent="0.25">
      <c r="B34" s="186"/>
      <c r="C34" s="278"/>
      <c r="D34" s="8" t="s">
        <v>214</v>
      </c>
      <c r="E34" s="12">
        <f>IFERROR(E23+E25+E26+E27+E29+E30+E31,"")</f>
        <v>0</v>
      </c>
      <c r="F34" s="39"/>
      <c r="G34" s="623">
        <f>IFERROR(E34/'PIM Model'!$H$31,0)</f>
        <v>0</v>
      </c>
      <c r="H34" s="642">
        <f>'EB_CM (Back)'!$C$26-'EB_CM (Back)'!$C$27</f>
        <v>0.08</v>
      </c>
      <c r="I34" s="633">
        <f>IFERROR($E$34/'PIM Model'!$G$31,0)</f>
        <v>0</v>
      </c>
      <c r="J34" s="643" t="str">
        <f>IFERROR(IF(H34&gt;0,"Reject","Approve"),"Reject")</f>
        <v>Reject</v>
      </c>
      <c r="K34" s="204"/>
      <c r="L34" s="187"/>
      <c r="M34" s="5"/>
    </row>
    <row r="35" spans="2:13" ht="9" customHeight="1" x14ac:dyDescent="0.25">
      <c r="B35" s="186"/>
      <c r="C35" s="281"/>
      <c r="D35" s="644"/>
      <c r="E35" s="645"/>
      <c r="F35" s="645"/>
      <c r="G35" s="222"/>
      <c r="H35" s="645"/>
      <c r="I35" s="264"/>
      <c r="J35" s="264"/>
      <c r="K35" s="225"/>
      <c r="L35" s="187"/>
      <c r="M35" s="5"/>
    </row>
    <row r="36" spans="2:13" ht="24.6" customHeight="1" thickBot="1" x14ac:dyDescent="0.3">
      <c r="B36" s="768"/>
      <c r="C36" s="779"/>
      <c r="D36" s="780"/>
      <c r="E36" s="781"/>
      <c r="F36" s="781"/>
      <c r="G36" s="782"/>
      <c r="H36" s="781"/>
      <c r="I36" s="779"/>
      <c r="J36" s="779"/>
      <c r="K36" s="779"/>
      <c r="L36" s="769"/>
      <c r="M36" s="5"/>
    </row>
    <row r="37" spans="2:13" ht="41.45" customHeight="1" x14ac:dyDescent="0.25">
      <c r="B37" s="951"/>
      <c r="C37" s="951"/>
      <c r="D37" s="951"/>
      <c r="J37" s="951"/>
      <c r="K37" s="951"/>
      <c r="L37" s="951"/>
    </row>
    <row r="38" spans="2:13" x14ac:dyDescent="0.25">
      <c r="L38" s="648"/>
    </row>
  </sheetData>
  <sheetProtection algorithmName="SHA-512" hashValue="W8teHAyEMSENCHcRNUdsZ916BtNnHgL4CXk4QAYNABE+VorKFxZpTkiiUisnwpiYRVAcj1o0ZxrMJvG2DK29gA==" saltValue="8pZgYeSnjhZXbLx2D+MDNw==" spinCount="100000" sheet="1" selectLockedCells="1"/>
  <mergeCells count="14">
    <mergeCell ref="H4:K4"/>
    <mergeCell ref="H5:K5"/>
    <mergeCell ref="H6:K6"/>
    <mergeCell ref="C4:D4"/>
    <mergeCell ref="C5:D5"/>
    <mergeCell ref="C6:D6"/>
    <mergeCell ref="C7:D7"/>
    <mergeCell ref="C8:D8"/>
    <mergeCell ref="B37:D37"/>
    <mergeCell ref="J37:L37"/>
    <mergeCell ref="D32:E32"/>
    <mergeCell ref="H7:K7"/>
    <mergeCell ref="H8:K8"/>
    <mergeCell ref="I32:J32"/>
  </mergeCells>
  <conditionalFormatting sqref="I25:I27">
    <cfRule type="containsText" dxfId="59" priority="15" operator="containsText" text="Below Average">
      <formula>NOT(ISERROR(SEARCH("Below Average",I25)))</formula>
    </cfRule>
  </conditionalFormatting>
  <conditionalFormatting sqref="J34">
    <cfRule type="expression" dxfId="58" priority="1">
      <formula>$H$33&gt;0</formula>
    </cfRule>
    <cfRule type="containsText" dxfId="57" priority="12" operator="containsText" text="Reject">
      <formula>NOT(ISERROR(SEARCH("Reject",J34)))</formula>
    </cfRule>
    <cfRule type="expression" dxfId="56" priority="13">
      <formula>J34="Approve"</formula>
    </cfRule>
  </conditionalFormatting>
  <conditionalFormatting sqref="J12">
    <cfRule type="containsText" dxfId="55" priority="6" operator="containsText" text="Spend">
      <formula>NOT(ISERROR(SEARCH("Spend",J12)))</formula>
    </cfRule>
    <cfRule type="containsText" dxfId="54" priority="10" operator="containsText" text="Approve">
      <formula>NOT(ISERROR(SEARCH("Approve",J12)))</formula>
    </cfRule>
  </conditionalFormatting>
  <conditionalFormatting sqref="J13:J16">
    <cfRule type="containsText" dxfId="53" priority="5" operator="containsText" text="Reject">
      <formula>NOT(ISERROR(SEARCH("Reject",J13)))</formula>
    </cfRule>
    <cfRule type="containsText" dxfId="52" priority="9" operator="containsText" text="Approve">
      <formula>NOT(ISERROR(SEARCH("Approve",J13)))</formula>
    </cfRule>
  </conditionalFormatting>
  <conditionalFormatting sqref="J22">
    <cfRule type="expression" dxfId="51" priority="4">
      <formula>$I$22="**Missing Incentive Payment Method**"</formula>
    </cfRule>
    <cfRule type="containsText" dxfId="50" priority="7" operator="containsText" text="Reject">
      <formula>NOT(ISERROR(SEARCH("Reject",J22)))</formula>
    </cfRule>
    <cfRule type="containsText" dxfId="49" priority="8" operator="containsText" text="Approve">
      <formula>NOT(ISERROR(SEARCH("Approve",J22)))</formula>
    </cfRule>
  </conditionalFormatting>
  <conditionalFormatting sqref="H34">
    <cfRule type="expression" dxfId="48" priority="71">
      <formula>#REF!="Approve"</formula>
    </cfRule>
  </conditionalFormatting>
  <conditionalFormatting sqref="E16">
    <cfRule type="cellIs" dxfId="47"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78" orientation="portrait" r:id="rId1"/>
  <headerFooter scaleWithDoc="0">
    <oddFooter>&amp;L&amp;P&amp;CTracking and Profitability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pageSetUpPr fitToPage="1"/>
  </sheetPr>
  <dimension ref="A1:R30"/>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9" t="s">
        <v>677</v>
      </c>
      <c r="N1" s="299" t="s">
        <v>678</v>
      </c>
      <c r="O1" s="299" t="s">
        <v>679</v>
      </c>
      <c r="P1" s="141"/>
      <c r="R1" s="459" t="s">
        <v>985</v>
      </c>
    </row>
    <row r="2" spans="3:18" s="5" customFormat="1" ht="22.5" customHeight="1" x14ac:dyDescent="0.25">
      <c r="C2" s="976" t="s">
        <v>680</v>
      </c>
      <c r="D2" s="977"/>
      <c r="E2" s="977"/>
      <c r="F2" s="977"/>
      <c r="G2" s="977"/>
      <c r="H2" s="977"/>
      <c r="I2" s="977"/>
      <c r="J2" s="977"/>
      <c r="K2" s="978"/>
      <c r="M2" s="300" t="s">
        <v>681</v>
      </c>
      <c r="N2" s="300" t="s">
        <v>682</v>
      </c>
      <c r="O2" s="300" t="s">
        <v>499</v>
      </c>
      <c r="Q2" s="5" t="s">
        <v>986</v>
      </c>
      <c r="R2" s="5">
        <f>IF(Welcome!D10=R3,0,Welcome!D10)</f>
        <v>0</v>
      </c>
    </row>
    <row r="3" spans="3:18" x14ac:dyDescent="0.25">
      <c r="C3" s="712"/>
      <c r="D3" s="301"/>
      <c r="E3" s="301"/>
      <c r="F3" s="301"/>
      <c r="G3" s="301"/>
      <c r="H3" s="301"/>
      <c r="I3" s="301"/>
      <c r="J3" s="301"/>
      <c r="K3" s="713"/>
      <c r="M3" s="1" t="s">
        <v>683</v>
      </c>
      <c r="N3" s="1" t="s">
        <v>684</v>
      </c>
      <c r="O3" s="1" t="s">
        <v>498</v>
      </c>
      <c r="R3" t="s">
        <v>470</v>
      </c>
    </row>
    <row r="4" spans="3:18" x14ac:dyDescent="0.25">
      <c r="C4" s="144"/>
      <c r="E4" s="461" t="s">
        <v>931</v>
      </c>
      <c r="F4" s="979"/>
      <c r="G4" s="979"/>
      <c r="K4" s="714"/>
      <c r="O4" s="1" t="s">
        <v>497</v>
      </c>
    </row>
    <row r="5" spans="3:18" x14ac:dyDescent="0.25">
      <c r="C5" s="144"/>
      <c r="E5" s="461"/>
      <c r="K5" s="145"/>
    </row>
    <row r="6" spans="3:18" x14ac:dyDescent="0.25">
      <c r="C6" s="144"/>
      <c r="E6" s="143" t="s">
        <v>949</v>
      </c>
      <c r="F6" s="979"/>
      <c r="G6" s="979"/>
      <c r="K6" s="145"/>
    </row>
    <row r="7" spans="3:18" x14ac:dyDescent="0.25">
      <c r="C7" s="144"/>
      <c r="E7" s="143"/>
      <c r="K7" s="145"/>
    </row>
    <row r="8" spans="3:18" x14ac:dyDescent="0.25">
      <c r="C8" s="144"/>
      <c r="E8" s="143" t="s">
        <v>918</v>
      </c>
      <c r="F8" s="979"/>
      <c r="G8" s="979"/>
      <c r="K8" s="145"/>
    </row>
    <row r="9" spans="3:18" x14ac:dyDescent="0.25">
      <c r="C9" s="144"/>
      <c r="E9" s="143" t="s">
        <v>919</v>
      </c>
      <c r="F9" s="979"/>
      <c r="G9" s="979"/>
      <c r="K9" s="145"/>
    </row>
    <row r="10" spans="3:18" x14ac:dyDescent="0.25">
      <c r="C10" s="144"/>
      <c r="E10" s="143" t="s">
        <v>920</v>
      </c>
      <c r="F10" s="979"/>
      <c r="G10" s="979"/>
      <c r="K10" s="145"/>
    </row>
    <row r="11" spans="3:18" x14ac:dyDescent="0.25">
      <c r="C11" s="144"/>
      <c r="E11" s="143" t="s">
        <v>870</v>
      </c>
      <c r="F11" s="979"/>
      <c r="G11" s="979"/>
      <c r="K11" s="145"/>
    </row>
    <row r="12" spans="3:18" x14ac:dyDescent="0.25">
      <c r="C12" s="144"/>
      <c r="E12" s="143" t="s">
        <v>921</v>
      </c>
      <c r="F12" s="979"/>
      <c r="G12" s="979"/>
      <c r="K12" s="145"/>
    </row>
    <row r="13" spans="3:18" x14ac:dyDescent="0.25">
      <c r="C13" s="144"/>
      <c r="E13" s="143"/>
      <c r="F13" s="981"/>
      <c r="G13" s="981"/>
      <c r="K13" s="145"/>
    </row>
    <row r="14" spans="3:18" x14ac:dyDescent="0.25">
      <c r="C14" s="144"/>
      <c r="E14" s="143" t="s">
        <v>922</v>
      </c>
      <c r="F14" s="980"/>
      <c r="G14" s="980"/>
      <c r="H14" s="728" t="s">
        <v>1066</v>
      </c>
      <c r="K14" s="145"/>
    </row>
    <row r="15" spans="3:18" ht="26.45" customHeight="1" x14ac:dyDescent="0.25">
      <c r="C15" s="144"/>
      <c r="K15" s="145"/>
    </row>
    <row r="16" spans="3:18" ht="24.6" customHeight="1" x14ac:dyDescent="0.25">
      <c r="C16" s="144"/>
      <c r="E16" s="460" t="s">
        <v>1204</v>
      </c>
      <c r="K16" s="145"/>
    </row>
    <row r="17" spans="1:12" ht="15.75" thickBot="1" x14ac:dyDescent="0.3">
      <c r="C17" s="144"/>
      <c r="E17" s="462" t="s">
        <v>770</v>
      </c>
      <c r="F17" s="462" t="s">
        <v>772</v>
      </c>
      <c r="G17" s="462" t="s">
        <v>1205</v>
      </c>
      <c r="H17" s="462" t="s">
        <v>840</v>
      </c>
      <c r="I17" s="462" t="s">
        <v>1162</v>
      </c>
      <c r="J17" s="462" t="s">
        <v>209</v>
      </c>
      <c r="K17" s="145"/>
      <c r="L17" s="783"/>
    </row>
    <row r="18" spans="1:12" x14ac:dyDescent="0.25">
      <c r="A18">
        <v>1</v>
      </c>
      <c r="C18" s="144"/>
      <c r="D18" s="747" t="str">
        <f>IF($A18&lt;=$R$2,A18,"")</f>
        <v/>
      </c>
      <c r="E18" s="748">
        <f>'Customer Inputs'!G6</f>
        <v>0</v>
      </c>
      <c r="F18" s="858" t="str">
        <f>IFERROR(VLOOKUP(E18,'Customer Info'!A:B,2,0),"")</f>
        <v/>
      </c>
      <c r="G18" s="859" t="str">
        <f>IFERROR(VLOOKUP(E18,'Customer Info'!A:C,3,0),"")</f>
        <v/>
      </c>
      <c r="H18" s="859" t="str">
        <f>IFERROR(VLOOKUP(E18,'Customer Info'!A:D,4,0),"")</f>
        <v/>
      </c>
      <c r="I18" s="860" t="str">
        <f>IFERROR(VLOOKUP(E18,'Customer Info'!A:E,5,0),"")</f>
        <v/>
      </c>
      <c r="J18" s="860" t="str">
        <f>IFERROR(VLOOKUP(E18,'Customer Info'!A:F,6,0),"")</f>
        <v/>
      </c>
      <c r="K18" s="145"/>
    </row>
    <row r="19" spans="1:12" x14ac:dyDescent="0.25">
      <c r="A19">
        <v>2</v>
      </c>
      <c r="C19" s="144"/>
      <c r="D19" s="747" t="str">
        <f t="shared" ref="D19:D27" si="0">IF($A19&lt;=$R$2,A19,"")</f>
        <v/>
      </c>
      <c r="E19" s="748">
        <f>'Customer Inputs'!G7</f>
        <v>0</v>
      </c>
      <c r="F19" s="861" t="str">
        <f>IFERROR(VLOOKUP(E19,'Customer Info'!A:B,2,0),"")</f>
        <v/>
      </c>
      <c r="G19" s="862" t="str">
        <f>IFERROR(VLOOKUP(E19,'Customer Info'!A:C,3,0),"")</f>
        <v/>
      </c>
      <c r="H19" s="862" t="str">
        <f>IFERROR(VLOOKUP(E19,'Customer Info'!A:D,4,0),"")</f>
        <v/>
      </c>
      <c r="I19" s="863" t="str">
        <f>IFERROR(VLOOKUP(E19,'Customer Info'!A:E,5,0),"")</f>
        <v/>
      </c>
      <c r="J19" s="863" t="str">
        <f>IFERROR(VLOOKUP(E19,'Customer Info'!A:F,6,0),"")</f>
        <v/>
      </c>
      <c r="K19" s="145"/>
    </row>
    <row r="20" spans="1:12" x14ac:dyDescent="0.25">
      <c r="A20">
        <v>3</v>
      </c>
      <c r="C20" s="144"/>
      <c r="D20" s="747" t="str">
        <f t="shared" si="0"/>
        <v/>
      </c>
      <c r="E20" s="748">
        <f>'Customer Inputs'!G8</f>
        <v>0</v>
      </c>
      <c r="F20" s="861" t="str">
        <f>IFERROR(VLOOKUP(E20,'Customer Info'!A:B,2,0),"")</f>
        <v/>
      </c>
      <c r="G20" s="862" t="str">
        <f>IFERROR(VLOOKUP(E20,'Customer Info'!A:C,3,0),"")</f>
        <v/>
      </c>
      <c r="H20" s="862" t="str">
        <f>IFERROR(VLOOKUP(E20,'Customer Info'!A:D,4,0),"")</f>
        <v/>
      </c>
      <c r="I20" s="863" t="str">
        <f>IFERROR(VLOOKUP(E20,'Customer Info'!A:E,5,0),"")</f>
        <v/>
      </c>
      <c r="J20" s="863" t="str">
        <f>IFERROR(VLOOKUP(E20,'Customer Info'!A:F,6,0),"")</f>
        <v/>
      </c>
      <c r="K20" s="145"/>
    </row>
    <row r="21" spans="1:12" x14ac:dyDescent="0.25">
      <c r="A21">
        <v>4</v>
      </c>
      <c r="C21" s="144"/>
      <c r="D21" s="747" t="str">
        <f t="shared" si="0"/>
        <v/>
      </c>
      <c r="E21" s="748">
        <f>'Customer Inputs'!G9</f>
        <v>0</v>
      </c>
      <c r="F21" s="861" t="str">
        <f>IFERROR(VLOOKUP(E21,'Customer Info'!A:B,2,0),"")</f>
        <v/>
      </c>
      <c r="G21" s="862" t="str">
        <f>IFERROR(VLOOKUP(E21,'Customer Info'!A:C,3,0),"")</f>
        <v/>
      </c>
      <c r="H21" s="862" t="str">
        <f>IFERROR(VLOOKUP(E21,'Customer Info'!A:D,4,0),"")</f>
        <v/>
      </c>
      <c r="I21" s="863" t="str">
        <f>IFERROR(VLOOKUP(E21,'Customer Info'!A:E,5,0),"")</f>
        <v/>
      </c>
      <c r="J21" s="863" t="str">
        <f>IFERROR(VLOOKUP(E21,'Customer Info'!A:F,6,0),"")</f>
        <v/>
      </c>
      <c r="K21" s="145"/>
    </row>
    <row r="22" spans="1:12" x14ac:dyDescent="0.25">
      <c r="A22">
        <v>5</v>
      </c>
      <c r="C22" s="144"/>
      <c r="D22" s="747" t="str">
        <f t="shared" si="0"/>
        <v/>
      </c>
      <c r="E22" s="748">
        <f>'Customer Inputs'!G10</f>
        <v>0</v>
      </c>
      <c r="F22" s="861" t="str">
        <f>IFERROR(VLOOKUP(E22,'Customer Info'!A:B,2,0),"")</f>
        <v/>
      </c>
      <c r="G22" s="862" t="str">
        <f>IFERROR(VLOOKUP(E22,'Customer Info'!A:C,3,0),"")</f>
        <v/>
      </c>
      <c r="H22" s="862" t="str">
        <f>IFERROR(VLOOKUP(E22,'Customer Info'!A:D,4,0),"")</f>
        <v/>
      </c>
      <c r="I22" s="863" t="str">
        <f>IFERROR(VLOOKUP(E22,'Customer Info'!A:E,5,0),"")</f>
        <v/>
      </c>
      <c r="J22" s="863" t="str">
        <f>IFERROR(VLOOKUP(E22,'Customer Info'!A:F,6,0),"")</f>
        <v/>
      </c>
      <c r="K22" s="145"/>
    </row>
    <row r="23" spans="1:12" x14ac:dyDescent="0.25">
      <c r="A23">
        <v>6</v>
      </c>
      <c r="C23" s="144"/>
      <c r="D23" s="747" t="str">
        <f t="shared" si="0"/>
        <v/>
      </c>
      <c r="E23" s="748">
        <f>'Customer Inputs'!G11</f>
        <v>0</v>
      </c>
      <c r="F23" s="861" t="str">
        <f>IFERROR(VLOOKUP(E23,'Customer Info'!A:B,2,0),"")</f>
        <v/>
      </c>
      <c r="G23" s="862" t="str">
        <f>IFERROR(VLOOKUP(E23,'Customer Info'!A:C,3,0),"")</f>
        <v/>
      </c>
      <c r="H23" s="862" t="str">
        <f>IFERROR(VLOOKUP(E23,'Customer Info'!A:D,4,0),"")</f>
        <v/>
      </c>
      <c r="I23" s="863" t="str">
        <f>IFERROR(VLOOKUP(E23,'Customer Info'!A:E,5,0),"")</f>
        <v/>
      </c>
      <c r="J23" s="863" t="str">
        <f>IFERROR(VLOOKUP(E23,'Customer Info'!A:F,6,0),"")</f>
        <v/>
      </c>
      <c r="K23" s="145"/>
    </row>
    <row r="24" spans="1:12" x14ac:dyDescent="0.25">
      <c r="A24">
        <v>7</v>
      </c>
      <c r="C24" s="144"/>
      <c r="D24" s="747" t="str">
        <f t="shared" si="0"/>
        <v/>
      </c>
      <c r="E24" s="748">
        <f>'Customer Inputs'!G12</f>
        <v>0</v>
      </c>
      <c r="F24" s="861" t="str">
        <f>IFERROR(VLOOKUP(E24,'Customer Info'!A:B,2,0),"")</f>
        <v/>
      </c>
      <c r="G24" s="862" t="str">
        <f>IFERROR(VLOOKUP(E24,'Customer Info'!A:C,3,0),"")</f>
        <v/>
      </c>
      <c r="H24" s="862" t="str">
        <f>IFERROR(VLOOKUP(E24,'Customer Info'!A:D,4,0),"")</f>
        <v/>
      </c>
      <c r="I24" s="863" t="str">
        <f>IFERROR(VLOOKUP(E24,'Customer Info'!A:E,5,0),"")</f>
        <v/>
      </c>
      <c r="J24" s="863" t="str">
        <f>IFERROR(VLOOKUP(E24,'Customer Info'!A:F,6,0),"")</f>
        <v/>
      </c>
      <c r="K24" s="145"/>
    </row>
    <row r="25" spans="1:12" x14ac:dyDescent="0.25">
      <c r="A25">
        <v>8</v>
      </c>
      <c r="C25" s="144"/>
      <c r="D25" s="747" t="str">
        <f t="shared" si="0"/>
        <v/>
      </c>
      <c r="E25" s="748">
        <f>'Customer Inputs'!G13</f>
        <v>0</v>
      </c>
      <c r="F25" s="861" t="str">
        <f>IFERROR(VLOOKUP(E25,'Customer Info'!A:B,2,0),"")</f>
        <v/>
      </c>
      <c r="G25" s="862" t="str">
        <f>IFERROR(VLOOKUP(E25,'Customer Info'!A:C,3,0),"")</f>
        <v/>
      </c>
      <c r="H25" s="862" t="str">
        <f>IFERROR(VLOOKUP(E25,'Customer Info'!A:D,4,0),"")</f>
        <v/>
      </c>
      <c r="I25" s="863" t="str">
        <f>IFERROR(VLOOKUP(E25,'Customer Info'!A:E,5,0),"")</f>
        <v/>
      </c>
      <c r="J25" s="863" t="str">
        <f>IFERROR(VLOOKUP(E25,'Customer Info'!A:F,6,0),"")</f>
        <v/>
      </c>
      <c r="K25" s="145"/>
    </row>
    <row r="26" spans="1:12" x14ac:dyDescent="0.25">
      <c r="A26">
        <v>9</v>
      </c>
      <c r="C26" s="144"/>
      <c r="D26" s="747" t="str">
        <f t="shared" si="0"/>
        <v/>
      </c>
      <c r="E26" s="748">
        <f>'Customer Inputs'!G14</f>
        <v>0</v>
      </c>
      <c r="F26" s="861" t="str">
        <f>IFERROR(VLOOKUP(E26,'Customer Info'!A:B,2,0),"")</f>
        <v/>
      </c>
      <c r="G26" s="862" t="str">
        <f>IFERROR(VLOOKUP(E26,'Customer Info'!A:C,3,0),"")</f>
        <v/>
      </c>
      <c r="H26" s="862" t="str">
        <f>IFERROR(VLOOKUP(E26,'Customer Info'!A:D,4,0),"")</f>
        <v/>
      </c>
      <c r="I26" s="863" t="str">
        <f>IFERROR(VLOOKUP(E26,'Customer Info'!A:E,5,0),"")</f>
        <v/>
      </c>
      <c r="J26" s="863" t="str">
        <f>IFERROR(VLOOKUP(E26,'Customer Info'!A:F,6,0),"")</f>
        <v/>
      </c>
      <c r="K26" s="145"/>
    </row>
    <row r="27" spans="1:12" x14ac:dyDescent="0.25">
      <c r="A27">
        <v>10</v>
      </c>
      <c r="C27" s="144"/>
      <c r="D27" s="747" t="str">
        <f t="shared" si="0"/>
        <v/>
      </c>
      <c r="E27" s="748">
        <f>'Customer Inputs'!G15</f>
        <v>0</v>
      </c>
      <c r="F27" s="864" t="str">
        <f>IFERROR(VLOOKUP(E27,'Customer Info'!A:B,2,0),"")</f>
        <v/>
      </c>
      <c r="G27" s="865" t="str">
        <f>IFERROR(VLOOKUP(E27,'Customer Info'!A:C,3,0),"")</f>
        <v/>
      </c>
      <c r="H27" s="865" t="str">
        <f>IFERROR(VLOOKUP(E27,'Customer Info'!A:D,4,0),"")</f>
        <v/>
      </c>
      <c r="I27" s="866" t="str">
        <f>IFERROR(VLOOKUP(E27,'Customer Info'!A:E,5,0),"")</f>
        <v/>
      </c>
      <c r="J27" s="866" t="str">
        <f>IFERROR(VLOOKUP(E27,'Customer Info'!A:F,6,0),"")</f>
        <v/>
      </c>
      <c r="K27" s="145"/>
    </row>
    <row r="28" spans="1:12" ht="15.75" thickBot="1" x14ac:dyDescent="0.3">
      <c r="C28" s="296"/>
      <c r="D28" s="784"/>
      <c r="E28" s="785"/>
      <c r="F28" s="786"/>
      <c r="G28" s="787"/>
      <c r="H28" s="787"/>
      <c r="I28" s="787"/>
      <c r="J28" s="787"/>
      <c r="K28" s="724"/>
    </row>
    <row r="30" spans="1:12" ht="19.899999999999999" customHeight="1" x14ac:dyDescent="0.25"/>
  </sheetData>
  <sheetProtection algorithmName="SHA-512" hashValue="i/ZeQII4bmdbOOAfr9+04SQRzp577h5EMyWySsTxMvBGvTXPB5Kk5mciYgvnYVgO19fBoAlFKtdYwYgC7vNwww==" saltValue="XmE57HuM6DtrUl2kvgVu9g==" spinCount="100000" sheet="1" selectLockedCells="1"/>
  <mergeCells count="10">
    <mergeCell ref="C2:K2"/>
    <mergeCell ref="F4:G4"/>
    <mergeCell ref="F6:G6"/>
    <mergeCell ref="F14:G14"/>
    <mergeCell ref="F13:G13"/>
    <mergeCell ref="F12:G12"/>
    <mergeCell ref="F11:G11"/>
    <mergeCell ref="F10:G10"/>
    <mergeCell ref="F9:G9"/>
    <mergeCell ref="F8:G8"/>
  </mergeCells>
  <conditionalFormatting sqref="D18:J27">
    <cfRule type="expression" dxfId="46" priority="6">
      <formula>$A18&gt;$R$2</formula>
    </cfRule>
  </conditionalFormatting>
  <conditionalFormatting sqref="E18:J27">
    <cfRule type="expression" dxfId="45" priority="2">
      <formula>$D18=$R$2</formula>
    </cfRule>
  </conditionalFormatting>
  <conditionalFormatting sqref="E16:J17">
    <cfRule type="expression" dxfId="44" priority="3">
      <formula>$R$2=0</formula>
    </cfRule>
  </conditionalFormatting>
  <conditionalFormatting sqref="F18:J27">
    <cfRule type="containsBlanks" dxfId="43" priority="7" stopIfTrue="1">
      <formula>LEN(TRIM(F18))=0</formula>
    </cfRule>
    <cfRule type="notContainsBlanks" dxfId="42" priority="8">
      <formula>LEN(TRIM(F18))&gt;0</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scale="82" orientation="portrait" r:id="rId1"/>
  <headerFooter scaleWithDoc="0">
    <oddFooter>&amp;L&amp;P&amp;CRequired Info to Submit | US Foods Confidential</oddFooter>
  </headerFooter>
  <ignoredErrors>
    <ignoredError sqref="F23:J27 F18:J22"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I33"/>
  <sheetViews>
    <sheetView workbookViewId="0"/>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16384" width="8.85546875" style="147"/>
  </cols>
  <sheetData>
    <row r="1" spans="1:35" x14ac:dyDescent="0.2">
      <c r="AH1" s="147" t="s">
        <v>14</v>
      </c>
      <c r="AI1" s="147" t="s">
        <v>1</v>
      </c>
    </row>
    <row r="2" spans="1:35" x14ac:dyDescent="0.2">
      <c r="I2" s="661"/>
      <c r="J2" s="985"/>
      <c r="K2" s="985"/>
      <c r="O2" s="661"/>
      <c r="P2" s="661"/>
      <c r="Q2" s="661"/>
      <c r="R2" s="661"/>
      <c r="S2" s="661"/>
      <c r="T2" s="661"/>
      <c r="U2" s="661"/>
      <c r="V2" s="661"/>
      <c r="W2" s="661"/>
      <c r="X2" s="661"/>
      <c r="Y2" s="661"/>
      <c r="Z2" s="661"/>
      <c r="AA2" s="661"/>
      <c r="AH2" s="147" t="s">
        <v>62</v>
      </c>
      <c r="AI2" s="147" t="s">
        <v>1</v>
      </c>
    </row>
    <row r="3" spans="1:35" x14ac:dyDescent="0.2">
      <c r="I3" s="662" t="s">
        <v>974</v>
      </c>
      <c r="J3" s="952" t="e">
        <f>VLOOKUP($J$4,'Market Geography'!$D:$G,4,FALSE)</f>
        <v>#N/A</v>
      </c>
      <c r="K3" s="952"/>
      <c r="O3" s="661"/>
      <c r="P3" s="661"/>
      <c r="Q3" s="661"/>
      <c r="R3" s="661"/>
      <c r="S3" s="661"/>
      <c r="T3" s="661"/>
      <c r="U3" s="661"/>
      <c r="V3" s="661"/>
      <c r="W3" s="661"/>
      <c r="X3" s="661"/>
      <c r="Y3" s="661"/>
      <c r="Z3" s="661"/>
      <c r="AA3" s="661"/>
      <c r="AH3" s="147" t="s">
        <v>74</v>
      </c>
      <c r="AI3" s="147" t="s">
        <v>1</v>
      </c>
    </row>
    <row r="4" spans="1:35" x14ac:dyDescent="0.2">
      <c r="I4" s="662" t="s">
        <v>975</v>
      </c>
      <c r="J4" s="952">
        <f>Welcome!$D$4</f>
        <v>0</v>
      </c>
      <c r="K4" s="952"/>
      <c r="L4" s="663"/>
      <c r="M4" s="663"/>
      <c r="O4" s="661"/>
      <c r="P4" s="661"/>
      <c r="Q4" s="661"/>
      <c r="R4" s="661"/>
      <c r="S4" s="661"/>
      <c r="T4" s="661"/>
      <c r="U4" s="661"/>
      <c r="V4" s="661"/>
      <c r="W4" s="661"/>
      <c r="X4" s="661"/>
      <c r="Y4" s="661"/>
      <c r="Z4" s="661"/>
      <c r="AA4" s="661"/>
      <c r="AC4" s="27"/>
      <c r="AH4" s="147" t="s">
        <v>34</v>
      </c>
      <c r="AI4" s="147" t="s">
        <v>1</v>
      </c>
    </row>
    <row r="5" spans="1:35" x14ac:dyDescent="0.2">
      <c r="I5" s="662" t="s">
        <v>976</v>
      </c>
      <c r="J5" s="986" t="e">
        <f>VLOOKUP($J$4,'Market Geography'!$D:$F,3,FALSE)</f>
        <v>#N/A</v>
      </c>
      <c r="K5" s="986"/>
      <c r="O5" s="661"/>
      <c r="P5" s="661"/>
      <c r="Q5" s="661"/>
      <c r="R5" s="661"/>
      <c r="S5" s="661"/>
      <c r="T5" s="661"/>
      <c r="U5" s="661"/>
      <c r="V5" s="661"/>
      <c r="W5" s="661"/>
      <c r="X5" s="661"/>
      <c r="Y5" s="661"/>
      <c r="Z5" s="661"/>
      <c r="AA5" s="661"/>
      <c r="AH5" s="147" t="s">
        <v>0</v>
      </c>
      <c r="AI5" s="147" t="s">
        <v>1</v>
      </c>
    </row>
    <row r="6" spans="1:35" x14ac:dyDescent="0.2">
      <c r="I6" s="664" t="s">
        <v>977</v>
      </c>
      <c r="J6" s="952" t="s">
        <v>135</v>
      </c>
      <c r="K6" s="952" t="s">
        <v>211</v>
      </c>
      <c r="O6" s="661"/>
      <c r="P6" s="661"/>
      <c r="Q6" s="661"/>
      <c r="R6" s="661"/>
      <c r="S6" s="661"/>
      <c r="T6" s="661"/>
      <c r="U6" s="661"/>
      <c r="V6" s="661"/>
      <c r="W6" s="661"/>
      <c r="X6" s="661"/>
      <c r="Y6" s="661"/>
      <c r="Z6" s="661"/>
      <c r="AA6" s="661"/>
      <c r="AH6" s="147" t="s">
        <v>69</v>
      </c>
      <c r="AI6" s="147" t="s">
        <v>1</v>
      </c>
    </row>
    <row r="7" spans="1:35" x14ac:dyDescent="0.2">
      <c r="I7" s="664" t="s">
        <v>978</v>
      </c>
      <c r="J7" s="952" t="str">
        <f>IF(Welcome!$D$6="MDA","C","N")</f>
        <v>N</v>
      </c>
      <c r="K7" s="952" t="e">
        <f>IF(#REF!="MDA","C","N")</f>
        <v>#REF!</v>
      </c>
      <c r="O7" s="661"/>
      <c r="P7" s="661"/>
      <c r="Q7" s="661"/>
      <c r="R7" s="661"/>
      <c r="S7" s="661"/>
      <c r="T7" s="661"/>
      <c r="U7" s="661"/>
      <c r="V7" s="661"/>
      <c r="W7" s="661"/>
      <c r="X7" s="661"/>
      <c r="Y7" s="661"/>
      <c r="Z7" s="661"/>
      <c r="AA7" s="661"/>
      <c r="AB7" s="27"/>
      <c r="AC7" s="27"/>
      <c r="AH7" s="147" t="s">
        <v>4</v>
      </c>
      <c r="AI7" s="147" t="s">
        <v>1</v>
      </c>
    </row>
    <row r="8" spans="1:35" x14ac:dyDescent="0.2">
      <c r="AH8" s="147" t="s">
        <v>35</v>
      </c>
      <c r="AI8" s="147" t="s">
        <v>1</v>
      </c>
    </row>
    <row r="9" spans="1:35" x14ac:dyDescent="0.2">
      <c r="I9" s="665"/>
      <c r="AH9" s="147" t="s">
        <v>6</v>
      </c>
      <c r="AI9" s="147" t="s">
        <v>1</v>
      </c>
    </row>
    <row r="10" spans="1:35" x14ac:dyDescent="0.2">
      <c r="I10" s="665"/>
      <c r="J10" s="665"/>
      <c r="N10" s="651"/>
      <c r="O10" s="651"/>
      <c r="P10" s="651"/>
      <c r="Q10" s="651"/>
      <c r="R10" s="651"/>
      <c r="S10" s="651"/>
      <c r="T10" s="651"/>
      <c r="U10" s="651"/>
      <c r="V10" s="651"/>
      <c r="W10" s="651"/>
      <c r="X10" s="651"/>
      <c r="Y10" s="651"/>
      <c r="Z10" s="651"/>
      <c r="AA10" s="651"/>
      <c r="AB10" s="651"/>
      <c r="AC10" s="666"/>
      <c r="AH10" s="147" t="s">
        <v>15</v>
      </c>
      <c r="AI10" s="147" t="s">
        <v>1</v>
      </c>
    </row>
    <row r="11" spans="1:35" x14ac:dyDescent="0.2">
      <c r="I11" s="649"/>
      <c r="N11" s="651"/>
      <c r="O11" s="651"/>
      <c r="P11" s="651"/>
      <c r="Q11" s="651"/>
      <c r="R11" s="651"/>
      <c r="S11" s="651"/>
      <c r="T11" s="651"/>
      <c r="U11" s="651"/>
      <c r="V11" s="651"/>
      <c r="W11" s="651"/>
      <c r="X11" s="651"/>
      <c r="Y11" s="651"/>
      <c r="Z11" s="651"/>
      <c r="AA11" s="651"/>
      <c r="AB11" s="651"/>
      <c r="AC11" s="666"/>
      <c r="AH11" s="147" t="s">
        <v>45</v>
      </c>
      <c r="AI11" s="147" t="s">
        <v>1</v>
      </c>
    </row>
    <row r="12" spans="1:35" x14ac:dyDescent="0.2">
      <c r="I12" s="649"/>
      <c r="N12" s="651"/>
      <c r="O12" s="651"/>
      <c r="P12" s="651"/>
      <c r="Q12" s="651"/>
      <c r="R12" s="651"/>
      <c r="S12" s="651"/>
      <c r="T12" s="651"/>
      <c r="U12" s="651"/>
      <c r="V12" s="651"/>
      <c r="W12" s="651"/>
      <c r="X12" s="651"/>
      <c r="Y12" s="651"/>
      <c r="Z12" s="651"/>
      <c r="AA12" s="651"/>
      <c r="AB12" s="651"/>
      <c r="AH12" s="147" t="s">
        <v>48</v>
      </c>
      <c r="AI12" s="147" t="s">
        <v>1</v>
      </c>
    </row>
    <row r="13" spans="1:35" x14ac:dyDescent="0.2">
      <c r="J13" s="650"/>
      <c r="N13" s="651"/>
      <c r="AD13" s="982" t="s">
        <v>1035</v>
      </c>
      <c r="AE13" s="983"/>
      <c r="AF13" s="984"/>
      <c r="AH13" s="147" t="s">
        <v>60</v>
      </c>
      <c r="AI13" s="147" t="s">
        <v>1</v>
      </c>
    </row>
    <row r="14" spans="1:35" ht="38.25" x14ac:dyDescent="0.2">
      <c r="A14" s="147" t="s">
        <v>1100</v>
      </c>
      <c r="B14" s="656" t="s">
        <v>950</v>
      </c>
      <c r="C14" s="656" t="s">
        <v>973</v>
      </c>
      <c r="D14" s="657" t="s">
        <v>1026</v>
      </c>
      <c r="E14" s="657" t="s">
        <v>1034</v>
      </c>
      <c r="F14" s="659" t="s">
        <v>1041</v>
      </c>
      <c r="G14" s="658" t="s">
        <v>1036</v>
      </c>
      <c r="H14" s="658" t="s">
        <v>1037</v>
      </c>
      <c r="I14" s="658" t="s">
        <v>209</v>
      </c>
      <c r="J14" s="658" t="s">
        <v>408</v>
      </c>
      <c r="K14" s="658" t="s">
        <v>210</v>
      </c>
      <c r="L14" s="658" t="s">
        <v>1038</v>
      </c>
      <c r="M14" s="658" t="s">
        <v>1099</v>
      </c>
      <c r="N14" s="660" t="s">
        <v>1044</v>
      </c>
      <c r="O14" s="659" t="s">
        <v>1045</v>
      </c>
      <c r="P14" s="659" t="s">
        <v>1046</v>
      </c>
      <c r="Q14" s="657" t="s">
        <v>1039</v>
      </c>
      <c r="R14" s="657" t="s">
        <v>1040</v>
      </c>
      <c r="S14" s="657" t="s">
        <v>1049</v>
      </c>
      <c r="T14" s="657" t="s">
        <v>1027</v>
      </c>
      <c r="U14" s="657" t="s">
        <v>1028</v>
      </c>
      <c r="V14" s="657" t="s">
        <v>1029</v>
      </c>
      <c r="W14" s="668" t="s">
        <v>1047</v>
      </c>
      <c r="X14" s="668" t="s">
        <v>1048</v>
      </c>
      <c r="Y14" s="668" t="s">
        <v>1050</v>
      </c>
      <c r="Z14" s="658" t="s">
        <v>1042</v>
      </c>
      <c r="AA14" s="658" t="s">
        <v>1043</v>
      </c>
      <c r="AB14" s="658"/>
      <c r="AC14" s="670" t="s">
        <v>872</v>
      </c>
      <c r="AD14" s="671" t="s">
        <v>873</v>
      </c>
      <c r="AE14" s="671" t="s">
        <v>874</v>
      </c>
      <c r="AF14" s="671" t="s">
        <v>875</v>
      </c>
      <c r="AG14" s="671" t="s">
        <v>1074</v>
      </c>
      <c r="AH14" s="147" t="s">
        <v>20</v>
      </c>
      <c r="AI14" s="147" t="s">
        <v>1</v>
      </c>
    </row>
    <row r="15" spans="1:35" x14ac:dyDescent="0.2">
      <c r="A15" s="147" t="str">
        <f>IF('Customer Inputs'!$P6="","",IF('Variable Costs (Back)'!$M15="Zip Code Not Serviced","Zip Code Not Serviced",""))</f>
        <v/>
      </c>
      <c r="B15" s="147" t="str">
        <f>'Customer Inputs'!T6</f>
        <v/>
      </c>
      <c r="C15" s="147" t="str">
        <f t="shared" ref="C15:C24" si="0">IFERROR(VLOOKUP(B15,$AH:$AI,2,FALSE),"")</f>
        <v/>
      </c>
      <c r="D15" s="649">
        <f>ROUND('Multi-Customer'!$AU$49,0)</f>
        <v>0</v>
      </c>
      <c r="E15" s="649">
        <f>ROUND('Multi-Customer'!$AU$50,0)</f>
        <v>0</v>
      </c>
      <c r="F15" s="649">
        <f>ROUND('Multi-Customer'!$AV$33,0)</f>
        <v>0</v>
      </c>
      <c r="G15" s="649" t="str">
        <f>LEFT($I15,3)</f>
        <v/>
      </c>
      <c r="H15" s="649" t="str">
        <f>LEFT($I15,4)</f>
        <v/>
      </c>
      <c r="I15" s="649" t="str">
        <f>IF('Customer Inputs'!U6="","",'Customer Inputs'!U6)</f>
        <v/>
      </c>
      <c r="J15" s="667" t="str">
        <f>IF('Customer Inputs'!$F6="","",'Customer Inputs'!$M6)</f>
        <v/>
      </c>
      <c r="K15" s="147" t="str">
        <f>'Customer Inputs'!S6</f>
        <v/>
      </c>
      <c r="L15" s="650">
        <f>IFERROR(IFERROR(IFERROR(VLOOKUP($J$5&amp;$I15,'5zip'!$A:$F,6,FALSE),VLOOKUP($J$5&amp;$H15,'4zip'!$A:$F,6,FALSE)),VLOOKUP($J$5&amp;$G15,'3zip'!$A:$F,6,FALSE)),0)</f>
        <v>0</v>
      </c>
      <c r="M15" s="650" t="str">
        <f>IFERROR(IFERROR(IFERROR(VLOOKUP($J$5&amp;$I15,'5zip'!$A:$F,6,FALSE),VLOOKUP($J$5&amp;$H15,'4zip'!$A:$F,6,FALSE)),VLOOKUP($J$5&amp;$G15,'3zip'!$A:$F,6,FALSE)),"Zip Code Not Serviced")</f>
        <v>Zip Code Not Serviced</v>
      </c>
      <c r="N15" s="651">
        <f>IFERROR(52*K15*L15,0)</f>
        <v>0</v>
      </c>
      <c r="O15" s="652">
        <f>IFERROR((VLOOKUP($J$4&amp;$C15&amp;$J$6&amp;$J$7,'Variable Selling'!$B:$O,11,FALSE))*F15,0)</f>
        <v>0</v>
      </c>
      <c r="P15" s="652">
        <f>IFERROR(VLOOKUP($J$4,'Variable Div Avgs'!$D:$I,6,FALSE)*'Variable Costs (Back)'!$F15,0)</f>
        <v>0</v>
      </c>
      <c r="Q15" s="652">
        <f t="shared" ref="Q15:Q24" si="1">IFERROR(T15/E15,0)</f>
        <v>0</v>
      </c>
      <c r="R15" s="652">
        <f t="shared" ref="R15:R24" si="2">IFERROR(U15/D15,0)</f>
        <v>0</v>
      </c>
      <c r="S15" s="652">
        <f>IFERROR(V15/D15,0)</f>
        <v>0</v>
      </c>
      <c r="T15" s="652">
        <f>IFERROR(VLOOKUP($AC15,'Existing Customer Variable Exp'!$B:$E,2,FALSE),0)</f>
        <v>0</v>
      </c>
      <c r="U15" s="652">
        <f>IFERROR(VLOOKUP($AC15,'Existing Customer Variable Exp'!$B:$E,3,FALSE),0)</f>
        <v>0</v>
      </c>
      <c r="V15" s="652">
        <f>IFERROR(VLOOKUP($AC15,'Existing Customer Variable Exp'!$B:$E,4,FALSE),0)</f>
        <v>0</v>
      </c>
      <c r="W15" s="651">
        <f>IFERROR(Q15*K15*52,0)</f>
        <v>0</v>
      </c>
      <c r="X15" s="652">
        <f>R15*F15</f>
        <v>0</v>
      </c>
      <c r="Y15" s="652">
        <f>S15*F15</f>
        <v>0</v>
      </c>
      <c r="Z15" s="652" t="str">
        <f t="shared" ref="Z15:Z24" si="3">IF(D15=F15,"BASE","MODELED")</f>
        <v>BASE</v>
      </c>
      <c r="AA15" s="652" t="str">
        <f>IF(SUMIF('Existing Customers'!$A:$A,'Variable Costs (Back)'!$AC15,'Existing Customers'!$Q:$Q)&gt;0,"Existing","New")</f>
        <v>New</v>
      </c>
      <c r="AB15" s="669" t="s">
        <v>852</v>
      </c>
      <c r="AC15" s="653" t="str">
        <f>IF('Customer Inputs'!$F6="","",'Customer Inputs'!$G6)</f>
        <v/>
      </c>
      <c r="AD15" s="672">
        <f>IF($AA15="Existing",IF($Z15="BASE",$T15,$W15),$N15)</f>
        <v>0</v>
      </c>
      <c r="AE15" s="672">
        <f>IF($AA15="Existing",IF($Z15="BASE",$U15,$X15),$O15)</f>
        <v>0</v>
      </c>
      <c r="AF15" s="672">
        <f>IF($AA15="Existing",IF($Z15="BASE",$V15,$Y15),$P15)</f>
        <v>0</v>
      </c>
      <c r="AG15" s="802">
        <f>SUM(AD15:AF15)</f>
        <v>0</v>
      </c>
      <c r="AH15" s="147" t="s">
        <v>36</v>
      </c>
      <c r="AI15" s="147" t="s">
        <v>1</v>
      </c>
    </row>
    <row r="16" spans="1:35" x14ac:dyDescent="0.2">
      <c r="A16" s="147" t="str">
        <f>IF('Customer Inputs'!$P7="","",IF('Variable Costs (Back)'!$M16="Zip Code Not Serviced","Zip Code Not Serviced",""))</f>
        <v/>
      </c>
      <c r="B16" s="147" t="str">
        <f>'Customer Inputs'!T7</f>
        <v/>
      </c>
      <c r="C16" s="147" t="str">
        <f t="shared" si="0"/>
        <v/>
      </c>
      <c r="D16" s="649">
        <f>ROUND('Multi-Customer'!$BD$49,0)</f>
        <v>0</v>
      </c>
      <c r="E16" s="649">
        <f>ROUND('Multi-Customer'!$BD$50,0)</f>
        <v>0</v>
      </c>
      <c r="F16" s="649">
        <f>ROUND('Multi-Customer'!$BE$33,0)</f>
        <v>0</v>
      </c>
      <c r="G16" s="649" t="str">
        <f t="shared" ref="G16:G24" si="4">LEFT($I16,3)</f>
        <v/>
      </c>
      <c r="H16" s="649" t="str">
        <f t="shared" ref="H16:H24" si="5">LEFT($I16,4)</f>
        <v/>
      </c>
      <c r="I16" s="649" t="str">
        <f>IF('Customer Inputs'!U7="","",'Customer Inputs'!U7)</f>
        <v/>
      </c>
      <c r="J16" s="667" t="str">
        <f>IF('Customer Inputs'!$F7="","",'Customer Inputs'!$M7)</f>
        <v/>
      </c>
      <c r="K16" s="147" t="str">
        <f>'Customer Inputs'!S7</f>
        <v/>
      </c>
      <c r="L16" s="650">
        <f>IFERROR(IFERROR(IFERROR(VLOOKUP($J$5&amp;$I16,'5zip'!$A:$F,6,FALSE),VLOOKUP($J$5&amp;$H16,'4zip'!$A:$F,6,FALSE)),VLOOKUP($J$5&amp;$G16,'3zip'!$A:$F,6,FALSE)),0)</f>
        <v>0</v>
      </c>
      <c r="M16" s="650" t="str">
        <f>IFERROR(IFERROR(IFERROR(VLOOKUP($J$5&amp;$I16,'5zip'!$A:$F,6,FALSE),VLOOKUP($J$5&amp;$H16,'4zip'!$A:$F,6,FALSE)),VLOOKUP($J$5&amp;$G16,'3zip'!$A:$F,6,FALSE)),"Zip Code Not Serviced")</f>
        <v>Zip Code Not Serviced</v>
      </c>
      <c r="N16" s="651">
        <f t="shared" ref="N16:N24" si="6">IFERROR(52*K16*L16,0)</f>
        <v>0</v>
      </c>
      <c r="O16" s="652">
        <f>IFERROR((VLOOKUP($J$4&amp;$C16&amp;$J$6&amp;$J$7,'Variable Selling'!$B:$O,11,FALSE))*F16,0)</f>
        <v>0</v>
      </c>
      <c r="P16" s="652">
        <f>IFERROR(VLOOKUP($J$4,'Variable Div Avgs'!$D:$I,6,FALSE)*'Variable Costs (Back)'!$F16,0)</f>
        <v>0</v>
      </c>
      <c r="Q16" s="652">
        <f t="shared" si="1"/>
        <v>0</v>
      </c>
      <c r="R16" s="652">
        <f t="shared" si="2"/>
        <v>0</v>
      </c>
      <c r="S16" s="652">
        <f t="shared" ref="S16:S24" si="7">IFERROR(V16/D16,0)</f>
        <v>0</v>
      </c>
      <c r="T16" s="652">
        <f>IFERROR(VLOOKUP($AC16,'Existing Customer Variable Exp'!$B:$E,2,FALSE),0)</f>
        <v>0</v>
      </c>
      <c r="U16" s="652">
        <f>IFERROR(VLOOKUP($AC16,'Existing Customer Variable Exp'!$B:$E,3,FALSE),0)</f>
        <v>0</v>
      </c>
      <c r="V16" s="652">
        <f>IFERROR(VLOOKUP($AC16,'Existing Customer Variable Exp'!$B:$E,4,FALSE),0)</f>
        <v>0</v>
      </c>
      <c r="W16" s="651">
        <f t="shared" ref="W16:W24" si="8">IFERROR(Q16*K16*52,0)</f>
        <v>0</v>
      </c>
      <c r="X16" s="652">
        <f t="shared" ref="X16:X24" si="9">R16*F16</f>
        <v>0</v>
      </c>
      <c r="Y16" s="652">
        <f t="shared" ref="Y16:Y24" si="10">S16*F16</f>
        <v>0</v>
      </c>
      <c r="Z16" s="652" t="str">
        <f t="shared" si="3"/>
        <v>BASE</v>
      </c>
      <c r="AA16" s="652" t="str">
        <f>IF(SUMIF('Existing Customers'!$A:$A,'Variable Costs (Back)'!$AC16,'Existing Customers'!$Q:$Q)&gt;0,"Existing","New")</f>
        <v>New</v>
      </c>
      <c r="AB16" s="669" t="s">
        <v>853</v>
      </c>
      <c r="AC16" s="653" t="str">
        <f>IF('Customer Inputs'!$F7="","",'Customer Inputs'!$G7)</f>
        <v/>
      </c>
      <c r="AD16" s="672">
        <f t="shared" ref="AD16:AD22" si="11">IF($AA16="Existing",IF($Z16="BASE",$T16,$W16),$N16)</f>
        <v>0</v>
      </c>
      <c r="AE16" s="672">
        <f t="shared" ref="AE16:AE22" si="12">IF($AA16="Existing",IF($Z16="BASE",$U16,$X16),$O16)</f>
        <v>0</v>
      </c>
      <c r="AF16" s="672">
        <f t="shared" ref="AF16:AF24" si="13">IF($AA16="Existing",IF($Z16="BASE",$V16,$Y16),$P16)</f>
        <v>0</v>
      </c>
      <c r="AG16" s="802">
        <f t="shared" ref="AG16:AG24" si="14">SUM(AD16:AF16)</f>
        <v>0</v>
      </c>
      <c r="AH16" s="147" t="s">
        <v>71</v>
      </c>
      <c r="AI16" s="147" t="s">
        <v>1</v>
      </c>
    </row>
    <row r="17" spans="1:35" x14ac:dyDescent="0.2">
      <c r="A17" s="147" t="str">
        <f>IF('Customer Inputs'!$P8="","",IF('Variable Costs (Back)'!$M17="Zip Code Not Serviced","Zip Code Not Serviced",""))</f>
        <v/>
      </c>
      <c r="B17" s="147" t="str">
        <f>'Customer Inputs'!T8</f>
        <v/>
      </c>
      <c r="C17" s="147" t="str">
        <f t="shared" si="0"/>
        <v/>
      </c>
      <c r="D17" s="649">
        <f>ROUND('Multi-Customer'!$BM$49,0)</f>
        <v>0</v>
      </c>
      <c r="E17" s="649">
        <f>ROUND('Multi-Customer'!$BM$50,0)</f>
        <v>0</v>
      </c>
      <c r="F17" s="649">
        <f>ROUND('Multi-Customer'!$BN$33,0)</f>
        <v>0</v>
      </c>
      <c r="G17" s="649" t="str">
        <f t="shared" si="4"/>
        <v/>
      </c>
      <c r="H17" s="649" t="str">
        <f t="shared" si="5"/>
        <v/>
      </c>
      <c r="I17" s="649" t="str">
        <f>IF('Customer Inputs'!U8="","",'Customer Inputs'!U8)</f>
        <v/>
      </c>
      <c r="J17" s="667" t="str">
        <f>IF('Customer Inputs'!$F8="","",'Customer Inputs'!$M8)</f>
        <v/>
      </c>
      <c r="K17" s="147" t="str">
        <f>'Customer Inputs'!S8</f>
        <v/>
      </c>
      <c r="L17" s="650">
        <f>IFERROR(IFERROR(IFERROR(VLOOKUP($J$5&amp;$I17,'5zip'!$A:$F,6,FALSE),VLOOKUP($J$5&amp;$H17,'4zip'!$A:$F,6,FALSE)),VLOOKUP($J$5&amp;$G17,'3zip'!$A:$F,6,FALSE)),0)</f>
        <v>0</v>
      </c>
      <c r="M17" s="650" t="str">
        <f>IFERROR(IFERROR(IFERROR(VLOOKUP($J$5&amp;$I17,'5zip'!$A:$F,6,FALSE),VLOOKUP($J$5&amp;$H17,'4zip'!$A:$F,6,FALSE)),VLOOKUP($J$5&amp;$G17,'3zip'!$A:$F,6,FALSE)),"Zip Code Not Serviced")</f>
        <v>Zip Code Not Serviced</v>
      </c>
      <c r="N17" s="651">
        <f t="shared" si="6"/>
        <v>0</v>
      </c>
      <c r="O17" s="652">
        <f>IFERROR((VLOOKUP($J$4&amp;$C17&amp;$J$6&amp;$J$7,'Variable Selling'!$B:$O,11,FALSE))*F17,0)</f>
        <v>0</v>
      </c>
      <c r="P17" s="652">
        <f>IFERROR(VLOOKUP($J$4,'Variable Div Avgs'!$D:$I,6,FALSE)*'Variable Costs (Back)'!$F17,0)</f>
        <v>0</v>
      </c>
      <c r="Q17" s="652">
        <f t="shared" si="1"/>
        <v>0</v>
      </c>
      <c r="R17" s="652">
        <f t="shared" si="2"/>
        <v>0</v>
      </c>
      <c r="S17" s="652">
        <f t="shared" si="7"/>
        <v>0</v>
      </c>
      <c r="T17" s="652">
        <f>IFERROR(VLOOKUP($AC17,'Existing Customer Variable Exp'!$B:$E,2,FALSE),0)</f>
        <v>0</v>
      </c>
      <c r="U17" s="652">
        <f>IFERROR(VLOOKUP($AC17,'Existing Customer Variable Exp'!$B:$E,3,FALSE),0)</f>
        <v>0</v>
      </c>
      <c r="V17" s="652">
        <f>IFERROR(VLOOKUP($AC17,'Existing Customer Variable Exp'!$B:$E,4,FALSE),0)</f>
        <v>0</v>
      </c>
      <c r="W17" s="651">
        <f t="shared" si="8"/>
        <v>0</v>
      </c>
      <c r="X17" s="652">
        <f t="shared" si="9"/>
        <v>0</v>
      </c>
      <c r="Y17" s="652">
        <f t="shared" si="10"/>
        <v>0</v>
      </c>
      <c r="Z17" s="652" t="str">
        <f t="shared" si="3"/>
        <v>BASE</v>
      </c>
      <c r="AA17" s="652" t="str">
        <f>IF(SUMIF('Existing Customers'!$A:$A,'Variable Costs (Back)'!$AC17,'Existing Customers'!$Q:$Q)&gt;0,"Existing","New")</f>
        <v>New</v>
      </c>
      <c r="AB17" s="669" t="s">
        <v>854</v>
      </c>
      <c r="AC17" s="653" t="str">
        <f>IF('Customer Inputs'!$F8="","",'Customer Inputs'!$G8)</f>
        <v/>
      </c>
      <c r="AD17" s="672">
        <f t="shared" si="11"/>
        <v>0</v>
      </c>
      <c r="AE17" s="672">
        <f t="shared" si="12"/>
        <v>0</v>
      </c>
      <c r="AF17" s="672">
        <f t="shared" si="13"/>
        <v>0</v>
      </c>
      <c r="AG17" s="802">
        <f t="shared" si="14"/>
        <v>0</v>
      </c>
      <c r="AH17" s="147" t="s">
        <v>11</v>
      </c>
      <c r="AI17" s="147" t="s">
        <v>1</v>
      </c>
    </row>
    <row r="18" spans="1:35" x14ac:dyDescent="0.2">
      <c r="A18" s="147" t="str">
        <f>IF('Customer Inputs'!$P9="","",IF('Variable Costs (Back)'!$M18="Zip Code Not Serviced","Zip Code Not Serviced",""))</f>
        <v/>
      </c>
      <c r="B18" s="147" t="str">
        <f>'Customer Inputs'!T9</f>
        <v/>
      </c>
      <c r="C18" s="147" t="str">
        <f t="shared" si="0"/>
        <v/>
      </c>
      <c r="D18" s="649">
        <f>ROUND('Multi-Customer'!$BV$49,0)</f>
        <v>0</v>
      </c>
      <c r="E18" s="649">
        <f>ROUND('Multi-Customer'!$BV$50,0)</f>
        <v>0</v>
      </c>
      <c r="F18" s="649">
        <f>ROUND('Multi-Customer'!$BW$33,0)</f>
        <v>0</v>
      </c>
      <c r="G18" s="649" t="str">
        <f t="shared" si="4"/>
        <v/>
      </c>
      <c r="H18" s="649" t="str">
        <f t="shared" si="5"/>
        <v/>
      </c>
      <c r="I18" s="649" t="str">
        <f>IF('Customer Inputs'!U9="","",'Customer Inputs'!U9)</f>
        <v/>
      </c>
      <c r="J18" s="667" t="str">
        <f>IF('Customer Inputs'!$F9="","",'Customer Inputs'!$M9)</f>
        <v/>
      </c>
      <c r="K18" s="147" t="str">
        <f>'Customer Inputs'!S9</f>
        <v/>
      </c>
      <c r="L18" s="650">
        <f>IFERROR(IFERROR(IFERROR(VLOOKUP($J$5&amp;$I18,'5zip'!$A:$F,6,FALSE),VLOOKUP($J$5&amp;$H18,'4zip'!$A:$F,6,FALSE)),VLOOKUP($J$5&amp;$G18,'3zip'!$A:$F,6,FALSE)),0)</f>
        <v>0</v>
      </c>
      <c r="M18" s="650" t="str">
        <f>IFERROR(IFERROR(IFERROR(VLOOKUP($J$5&amp;$I18,'5zip'!$A:$F,6,FALSE),VLOOKUP($J$5&amp;$H18,'4zip'!$A:$F,6,FALSE)),VLOOKUP($J$5&amp;$G18,'3zip'!$A:$F,6,FALSE)),"Zip Code Not Serviced")</f>
        <v>Zip Code Not Serviced</v>
      </c>
      <c r="N18" s="651">
        <f t="shared" si="6"/>
        <v>0</v>
      </c>
      <c r="O18" s="652">
        <f>IFERROR((VLOOKUP($J$4&amp;$C18&amp;$J$6&amp;$J$7,'Variable Selling'!$B:$O,11,FALSE))*F18,0)</f>
        <v>0</v>
      </c>
      <c r="P18" s="652">
        <f>IFERROR(VLOOKUP($J$4,'Variable Div Avgs'!$D:$I,6,FALSE)*'Variable Costs (Back)'!$F18,0)</f>
        <v>0</v>
      </c>
      <c r="Q18" s="652">
        <f t="shared" si="1"/>
        <v>0</v>
      </c>
      <c r="R18" s="652">
        <f t="shared" si="2"/>
        <v>0</v>
      </c>
      <c r="S18" s="652">
        <f t="shared" si="7"/>
        <v>0</v>
      </c>
      <c r="T18" s="652">
        <f>IFERROR(VLOOKUP($AC18,'Existing Customer Variable Exp'!$B:$E,2,FALSE),0)</f>
        <v>0</v>
      </c>
      <c r="U18" s="652">
        <f>IFERROR(VLOOKUP($AC18,'Existing Customer Variable Exp'!$B:$E,3,FALSE),0)</f>
        <v>0</v>
      </c>
      <c r="V18" s="652">
        <f>IFERROR(VLOOKUP($AC18,'Existing Customer Variable Exp'!$B:$E,4,FALSE),0)</f>
        <v>0</v>
      </c>
      <c r="W18" s="651">
        <f t="shared" si="8"/>
        <v>0</v>
      </c>
      <c r="X18" s="652">
        <f t="shared" si="9"/>
        <v>0</v>
      </c>
      <c r="Y18" s="652">
        <f t="shared" si="10"/>
        <v>0</v>
      </c>
      <c r="Z18" s="652" t="str">
        <f t="shared" si="3"/>
        <v>BASE</v>
      </c>
      <c r="AA18" s="652" t="str">
        <f>IF(SUMIF('Existing Customers'!$A:$A,'Variable Costs (Back)'!$AC18,'Existing Customers'!$Q:$Q)&gt;0,"Existing","New")</f>
        <v>New</v>
      </c>
      <c r="AB18" s="669" t="s">
        <v>855</v>
      </c>
      <c r="AC18" s="653" t="str">
        <f>IF('Customer Inputs'!$F9="","",'Customer Inputs'!$G9)</f>
        <v/>
      </c>
      <c r="AD18" s="672">
        <f t="shared" si="11"/>
        <v>0</v>
      </c>
      <c r="AE18" s="672">
        <f t="shared" si="12"/>
        <v>0</v>
      </c>
      <c r="AF18" s="672">
        <f t="shared" si="13"/>
        <v>0</v>
      </c>
      <c r="AG18" s="802">
        <f t="shared" si="14"/>
        <v>0</v>
      </c>
      <c r="AH18" s="147" t="s">
        <v>9</v>
      </c>
      <c r="AI18" s="147" t="s">
        <v>1</v>
      </c>
    </row>
    <row r="19" spans="1:35" x14ac:dyDescent="0.2">
      <c r="A19" s="147" t="str">
        <f>IF('Customer Inputs'!$P10="","",IF('Variable Costs (Back)'!$M19="Zip Code Not Serviced","Zip Code Not Serviced",""))</f>
        <v/>
      </c>
      <c r="B19" s="147" t="str">
        <f>'Customer Inputs'!T10</f>
        <v/>
      </c>
      <c r="C19" s="147" t="str">
        <f t="shared" si="0"/>
        <v/>
      </c>
      <c r="D19" s="649">
        <f>ROUND('Multi-Customer'!$CE$49,0)</f>
        <v>0</v>
      </c>
      <c r="E19" s="649">
        <f>ROUND('Multi-Customer'!$CE$50,0)</f>
        <v>0</v>
      </c>
      <c r="F19" s="649">
        <f>ROUND('Multi-Customer'!$CF$33,0)</f>
        <v>0</v>
      </c>
      <c r="G19" s="649" t="str">
        <f t="shared" si="4"/>
        <v/>
      </c>
      <c r="H19" s="649" t="str">
        <f t="shared" si="5"/>
        <v/>
      </c>
      <c r="I19" s="649" t="str">
        <f>IF('Customer Inputs'!U10="","",'Customer Inputs'!U10)</f>
        <v/>
      </c>
      <c r="J19" s="667" t="str">
        <f>IF('Customer Inputs'!$F10="","",'Customer Inputs'!$M10)</f>
        <v/>
      </c>
      <c r="K19" s="147" t="str">
        <f>'Customer Inputs'!S10</f>
        <v/>
      </c>
      <c r="L19" s="650">
        <f>IFERROR(IFERROR(IFERROR(VLOOKUP($J$5&amp;$I19,'5zip'!$A:$F,6,FALSE),VLOOKUP($J$5&amp;$H19,'4zip'!$A:$F,6,FALSE)),VLOOKUP($J$5&amp;$G19,'3zip'!$A:$F,6,FALSE)),0)</f>
        <v>0</v>
      </c>
      <c r="M19" s="650" t="str">
        <f>IFERROR(IFERROR(IFERROR(VLOOKUP($J$5&amp;$I19,'5zip'!$A:$F,6,FALSE),VLOOKUP($J$5&amp;$H19,'4zip'!$A:$F,6,FALSE)),VLOOKUP($J$5&amp;$G19,'3zip'!$A:$F,6,FALSE)),"Zip Code Not Serviced")</f>
        <v>Zip Code Not Serviced</v>
      </c>
      <c r="N19" s="651">
        <f t="shared" si="6"/>
        <v>0</v>
      </c>
      <c r="O19" s="652">
        <f>IFERROR((VLOOKUP($J$4&amp;$C19&amp;$J$6&amp;$J$7,'Variable Selling'!$B:$O,11,FALSE))*F19,0)</f>
        <v>0</v>
      </c>
      <c r="P19" s="652">
        <f>IFERROR(VLOOKUP($J$4,'Variable Div Avgs'!$D:$I,6,FALSE)*'Variable Costs (Back)'!$F19,0)</f>
        <v>0</v>
      </c>
      <c r="Q19" s="652">
        <f t="shared" si="1"/>
        <v>0</v>
      </c>
      <c r="R19" s="652">
        <f t="shared" si="2"/>
        <v>0</v>
      </c>
      <c r="S19" s="652">
        <f t="shared" si="7"/>
        <v>0</v>
      </c>
      <c r="T19" s="652">
        <f>IFERROR(VLOOKUP($AC19,'Existing Customer Variable Exp'!$B:$E,2,FALSE),0)</f>
        <v>0</v>
      </c>
      <c r="U19" s="652">
        <f>IFERROR(VLOOKUP($AC19,'Existing Customer Variable Exp'!$B:$E,3,FALSE),0)</f>
        <v>0</v>
      </c>
      <c r="V19" s="652">
        <f>IFERROR(VLOOKUP($AC19,'Existing Customer Variable Exp'!$B:$E,4,FALSE),0)</f>
        <v>0</v>
      </c>
      <c r="W19" s="651">
        <f t="shared" si="8"/>
        <v>0</v>
      </c>
      <c r="X19" s="652">
        <f t="shared" si="9"/>
        <v>0</v>
      </c>
      <c r="Y19" s="652">
        <f t="shared" si="10"/>
        <v>0</v>
      </c>
      <c r="Z19" s="652" t="str">
        <f t="shared" si="3"/>
        <v>BASE</v>
      </c>
      <c r="AA19" s="652" t="str">
        <f>IF(SUMIF('Existing Customers'!$A:$A,'Variable Costs (Back)'!$AC19,'Existing Customers'!$Q:$Q)&gt;0,"Existing","New")</f>
        <v>New</v>
      </c>
      <c r="AB19" s="669" t="s">
        <v>856</v>
      </c>
      <c r="AC19" s="653" t="str">
        <f>IF('Customer Inputs'!$F10="","",'Customer Inputs'!$G10)</f>
        <v/>
      </c>
      <c r="AD19" s="672">
        <f t="shared" si="11"/>
        <v>0</v>
      </c>
      <c r="AE19" s="672">
        <f t="shared" si="12"/>
        <v>0</v>
      </c>
      <c r="AF19" s="672">
        <f t="shared" si="13"/>
        <v>0</v>
      </c>
      <c r="AG19" s="802">
        <f t="shared" si="14"/>
        <v>0</v>
      </c>
      <c r="AH19" s="147" t="s">
        <v>38</v>
      </c>
      <c r="AI19" s="147" t="s">
        <v>1</v>
      </c>
    </row>
    <row r="20" spans="1:35" x14ac:dyDescent="0.2">
      <c r="A20" s="147" t="str">
        <f>IF('Customer Inputs'!$P11="","",IF('Variable Costs (Back)'!$M20="Zip Code Not Serviced","Zip Code Not Serviced",""))</f>
        <v/>
      </c>
      <c r="B20" s="147" t="str">
        <f>'Customer Inputs'!T11</f>
        <v/>
      </c>
      <c r="C20" s="147" t="str">
        <f t="shared" si="0"/>
        <v/>
      </c>
      <c r="D20" s="649">
        <f>ROUND('Multi-Customer'!$CN$49,0)</f>
        <v>0</v>
      </c>
      <c r="E20" s="649">
        <f>ROUND('Multi-Customer'!$CN$50,0)</f>
        <v>0</v>
      </c>
      <c r="F20" s="649">
        <f>ROUND('Multi-Customer'!$CO$33,0)</f>
        <v>0</v>
      </c>
      <c r="G20" s="649" t="str">
        <f t="shared" si="4"/>
        <v/>
      </c>
      <c r="H20" s="649" t="str">
        <f t="shared" si="5"/>
        <v/>
      </c>
      <c r="I20" s="649" t="str">
        <f>IF('Customer Inputs'!U11="","",'Customer Inputs'!U11)</f>
        <v/>
      </c>
      <c r="J20" s="667" t="str">
        <f>IF('Customer Inputs'!$F11="","",'Customer Inputs'!$M11)</f>
        <v/>
      </c>
      <c r="K20" s="147" t="str">
        <f>'Customer Inputs'!S11</f>
        <v/>
      </c>
      <c r="L20" s="650">
        <f>IFERROR(IFERROR(IFERROR(VLOOKUP($J$5&amp;$I20,'5zip'!$A:$F,6,FALSE),VLOOKUP($J$5&amp;$H20,'4zip'!$A:$F,6,FALSE)),VLOOKUP($J$5&amp;$G20,'3zip'!$A:$F,6,FALSE)),0)</f>
        <v>0</v>
      </c>
      <c r="M20" s="650" t="str">
        <f>IFERROR(IFERROR(IFERROR(VLOOKUP($J$5&amp;$I20,'5zip'!$A:$F,6,FALSE),VLOOKUP($J$5&amp;$H20,'4zip'!$A:$F,6,FALSE)),VLOOKUP($J$5&amp;$G20,'3zip'!$A:$F,6,FALSE)),"Zip Code Not Serviced")</f>
        <v>Zip Code Not Serviced</v>
      </c>
      <c r="N20" s="651">
        <f t="shared" si="6"/>
        <v>0</v>
      </c>
      <c r="O20" s="652">
        <f>IFERROR((VLOOKUP($J$4&amp;$C20&amp;$J$6&amp;$J$7,'Variable Selling'!$B:$O,11,FALSE))*F20,0)</f>
        <v>0</v>
      </c>
      <c r="P20" s="652">
        <f>IFERROR(VLOOKUP($J$4,'Variable Div Avgs'!$D:$I,6,FALSE)*'Variable Costs (Back)'!$F20,0)</f>
        <v>0</v>
      </c>
      <c r="Q20" s="652">
        <f t="shared" si="1"/>
        <v>0</v>
      </c>
      <c r="R20" s="652">
        <f t="shared" si="2"/>
        <v>0</v>
      </c>
      <c r="S20" s="652">
        <f t="shared" si="7"/>
        <v>0</v>
      </c>
      <c r="T20" s="652">
        <f>IFERROR(VLOOKUP($AC20,'Existing Customer Variable Exp'!$B:$E,2,FALSE),0)</f>
        <v>0</v>
      </c>
      <c r="U20" s="652">
        <f>IFERROR(VLOOKUP($AC20,'Existing Customer Variable Exp'!$B:$E,3,FALSE),0)</f>
        <v>0</v>
      </c>
      <c r="V20" s="652">
        <f>IFERROR(VLOOKUP($AC20,'Existing Customer Variable Exp'!$B:$E,4,FALSE),0)</f>
        <v>0</v>
      </c>
      <c r="W20" s="651">
        <f t="shared" si="8"/>
        <v>0</v>
      </c>
      <c r="X20" s="652">
        <f t="shared" si="9"/>
        <v>0</v>
      </c>
      <c r="Y20" s="652">
        <f t="shared" si="10"/>
        <v>0</v>
      </c>
      <c r="Z20" s="652" t="str">
        <f t="shared" si="3"/>
        <v>BASE</v>
      </c>
      <c r="AA20" s="652" t="str">
        <f>IF(SUMIF('Existing Customers'!$A:$A,'Variable Costs (Back)'!$AC20,'Existing Customers'!$Q:$Q)&gt;0,"Existing","New")</f>
        <v>New</v>
      </c>
      <c r="AB20" s="669" t="s">
        <v>857</v>
      </c>
      <c r="AC20" s="653" t="str">
        <f>IF('Customer Inputs'!$F11="","",'Customer Inputs'!$G11)</f>
        <v/>
      </c>
      <c r="AD20" s="672">
        <f t="shared" si="11"/>
        <v>0</v>
      </c>
      <c r="AE20" s="672">
        <f t="shared" si="12"/>
        <v>0</v>
      </c>
      <c r="AF20" s="672">
        <f t="shared" si="13"/>
        <v>0</v>
      </c>
      <c r="AG20" s="802">
        <f t="shared" si="14"/>
        <v>0</v>
      </c>
      <c r="AH20" s="147" t="s">
        <v>268</v>
      </c>
      <c r="AI20" s="147" t="s">
        <v>1</v>
      </c>
    </row>
    <row r="21" spans="1:35" x14ac:dyDescent="0.2">
      <c r="A21" s="147" t="str">
        <f>IF('Customer Inputs'!$P12="","",IF('Variable Costs (Back)'!$M21="Zip Code Not Serviced","Zip Code Not Serviced",""))</f>
        <v/>
      </c>
      <c r="B21" s="147" t="str">
        <f>'Customer Inputs'!T12</f>
        <v/>
      </c>
      <c r="C21" s="147" t="str">
        <f t="shared" si="0"/>
        <v/>
      </c>
      <c r="D21" s="649">
        <f>ROUND('Multi-Customer'!$CW$49,0)</f>
        <v>0</v>
      </c>
      <c r="E21" s="649">
        <f>ROUND('Multi-Customer'!$CW$50,0)</f>
        <v>0</v>
      </c>
      <c r="F21" s="649">
        <f>ROUND('Multi-Customer'!$CX$33,0)</f>
        <v>0</v>
      </c>
      <c r="G21" s="649" t="str">
        <f t="shared" si="4"/>
        <v/>
      </c>
      <c r="H21" s="649" t="str">
        <f t="shared" si="5"/>
        <v/>
      </c>
      <c r="I21" s="649" t="str">
        <f>IF('Customer Inputs'!U12="","",'Customer Inputs'!U12)</f>
        <v/>
      </c>
      <c r="J21" s="667" t="str">
        <f>IF('Customer Inputs'!$F12="","",'Customer Inputs'!$M12)</f>
        <v/>
      </c>
      <c r="K21" s="147" t="str">
        <f>'Customer Inputs'!S12</f>
        <v/>
      </c>
      <c r="L21" s="650">
        <f>IFERROR(IFERROR(IFERROR(VLOOKUP($J$5&amp;$I21,'5zip'!$A:$F,6,FALSE),VLOOKUP($J$5&amp;$H21,'4zip'!$A:$F,6,FALSE)),VLOOKUP($J$5&amp;$G21,'3zip'!$A:$F,6,FALSE)),0)</f>
        <v>0</v>
      </c>
      <c r="M21" s="650" t="str">
        <f>IFERROR(IFERROR(IFERROR(VLOOKUP($J$5&amp;$I21,'5zip'!$A:$F,6,FALSE),VLOOKUP($J$5&amp;$H21,'4zip'!$A:$F,6,FALSE)),VLOOKUP($J$5&amp;$G21,'3zip'!$A:$F,6,FALSE)),"Zip Code Not Serviced")</f>
        <v>Zip Code Not Serviced</v>
      </c>
      <c r="N21" s="651">
        <f t="shared" si="6"/>
        <v>0</v>
      </c>
      <c r="O21" s="652">
        <f>IFERROR((VLOOKUP($J$4&amp;$C21&amp;$J$6&amp;$J$7,'Variable Selling'!$B:$O,11,FALSE))*F21,0)</f>
        <v>0</v>
      </c>
      <c r="P21" s="652">
        <f>IFERROR(VLOOKUP($J$4,'Variable Div Avgs'!$D:$I,6,FALSE)*'Variable Costs (Back)'!$F21,0)</f>
        <v>0</v>
      </c>
      <c r="Q21" s="652">
        <f t="shared" si="1"/>
        <v>0</v>
      </c>
      <c r="R21" s="652">
        <f t="shared" si="2"/>
        <v>0</v>
      </c>
      <c r="S21" s="652">
        <f t="shared" si="7"/>
        <v>0</v>
      </c>
      <c r="T21" s="652">
        <f>IFERROR(VLOOKUP($AC21,'Existing Customer Variable Exp'!$B:$E,2,FALSE),0)</f>
        <v>0</v>
      </c>
      <c r="U21" s="652">
        <f>IFERROR(VLOOKUP($AC21,'Existing Customer Variable Exp'!$B:$E,3,FALSE),0)</f>
        <v>0</v>
      </c>
      <c r="V21" s="652">
        <f>IFERROR(VLOOKUP($AC21,'Existing Customer Variable Exp'!$B:$E,4,FALSE),0)</f>
        <v>0</v>
      </c>
      <c r="W21" s="651">
        <f t="shared" si="8"/>
        <v>0</v>
      </c>
      <c r="X21" s="652">
        <f t="shared" si="9"/>
        <v>0</v>
      </c>
      <c r="Y21" s="652">
        <f t="shared" si="10"/>
        <v>0</v>
      </c>
      <c r="Z21" s="652" t="str">
        <f t="shared" si="3"/>
        <v>BASE</v>
      </c>
      <c r="AA21" s="652" t="str">
        <f>IF(SUMIF('Existing Customers'!$A:$A,'Variable Costs (Back)'!$AC21,'Existing Customers'!$Q:$Q)&gt;0,"Existing","New")</f>
        <v>New</v>
      </c>
      <c r="AB21" s="669" t="s">
        <v>858</v>
      </c>
      <c r="AC21" s="653" t="str">
        <f>IF('Customer Inputs'!$F12="","",'Customer Inputs'!$G12)</f>
        <v/>
      </c>
      <c r="AD21" s="672">
        <f t="shared" si="11"/>
        <v>0</v>
      </c>
      <c r="AE21" s="672">
        <f t="shared" si="12"/>
        <v>0</v>
      </c>
      <c r="AF21" s="672">
        <f t="shared" si="13"/>
        <v>0</v>
      </c>
      <c r="AG21" s="802">
        <f t="shared" si="14"/>
        <v>0</v>
      </c>
      <c r="AH21" s="147" t="s">
        <v>264</v>
      </c>
      <c r="AI21" s="147" t="s">
        <v>114</v>
      </c>
    </row>
    <row r="22" spans="1:35" x14ac:dyDescent="0.2">
      <c r="A22" s="147" t="str">
        <f>IF('Customer Inputs'!$P13="","",IF('Variable Costs (Back)'!$M22="Zip Code Not Serviced","Zip Code Not Serviced",""))</f>
        <v/>
      </c>
      <c r="B22" s="147" t="str">
        <f>'Customer Inputs'!T13</f>
        <v/>
      </c>
      <c r="C22" s="147" t="str">
        <f t="shared" si="0"/>
        <v/>
      </c>
      <c r="D22" s="649">
        <f>ROUND('Multi-Customer'!$DF$49,0)</f>
        <v>0</v>
      </c>
      <c r="E22" s="649">
        <f>ROUND('Multi-Customer'!$DF$50,0)</f>
        <v>0</v>
      </c>
      <c r="F22" s="649">
        <f>ROUND('Multi-Customer'!$DG$33,0)</f>
        <v>0</v>
      </c>
      <c r="G22" s="649" t="str">
        <f t="shared" si="4"/>
        <v/>
      </c>
      <c r="H22" s="649" t="str">
        <f t="shared" si="5"/>
        <v/>
      </c>
      <c r="I22" s="649" t="str">
        <f>IF('Customer Inputs'!U13="","",'Customer Inputs'!U13)</f>
        <v/>
      </c>
      <c r="J22" s="667" t="str">
        <f>IF('Customer Inputs'!$F13="","",'Customer Inputs'!$M13)</f>
        <v/>
      </c>
      <c r="K22" s="147" t="str">
        <f>'Customer Inputs'!S13</f>
        <v/>
      </c>
      <c r="L22" s="650">
        <f>IFERROR(IFERROR(IFERROR(VLOOKUP($J$5&amp;$I22,'5zip'!$A:$F,6,FALSE),VLOOKUP($J$5&amp;$H22,'4zip'!$A:$F,6,FALSE)),VLOOKUP($J$5&amp;$G22,'3zip'!$A:$F,6,FALSE)),0)</f>
        <v>0</v>
      </c>
      <c r="M22" s="650" t="str">
        <f>IFERROR(IFERROR(IFERROR(VLOOKUP($J$5&amp;$I22,'5zip'!$A:$F,6,FALSE),VLOOKUP($J$5&amp;$H22,'4zip'!$A:$F,6,FALSE)),VLOOKUP($J$5&amp;$G22,'3zip'!$A:$F,6,FALSE)),"Zip Code Not Serviced")</f>
        <v>Zip Code Not Serviced</v>
      </c>
      <c r="N22" s="651">
        <f t="shared" si="6"/>
        <v>0</v>
      </c>
      <c r="O22" s="652">
        <f>IFERROR((VLOOKUP($J$4&amp;$C22&amp;$J$6&amp;$J$7,'Variable Selling'!$B:$O,11,FALSE))*F22,0)</f>
        <v>0</v>
      </c>
      <c r="P22" s="652">
        <f>IFERROR(VLOOKUP($J$4,'Variable Div Avgs'!$D:$I,6,FALSE)*'Variable Costs (Back)'!$F22,0)</f>
        <v>0</v>
      </c>
      <c r="Q22" s="652">
        <f t="shared" si="1"/>
        <v>0</v>
      </c>
      <c r="R22" s="652">
        <f t="shared" si="2"/>
        <v>0</v>
      </c>
      <c r="S22" s="652">
        <f t="shared" si="7"/>
        <v>0</v>
      </c>
      <c r="T22" s="652">
        <f>IFERROR(VLOOKUP($AC22,'Existing Customer Variable Exp'!$B:$E,2,FALSE),0)</f>
        <v>0</v>
      </c>
      <c r="U22" s="652">
        <f>IFERROR(VLOOKUP($AC22,'Existing Customer Variable Exp'!$B:$E,3,FALSE),0)</f>
        <v>0</v>
      </c>
      <c r="V22" s="652">
        <f>IFERROR(VLOOKUP($AC22,'Existing Customer Variable Exp'!$B:$E,4,FALSE),0)</f>
        <v>0</v>
      </c>
      <c r="W22" s="651">
        <f t="shared" si="8"/>
        <v>0</v>
      </c>
      <c r="X22" s="652">
        <f t="shared" si="9"/>
        <v>0</v>
      </c>
      <c r="Y22" s="652">
        <f t="shared" si="10"/>
        <v>0</v>
      </c>
      <c r="Z22" s="652" t="str">
        <f t="shared" si="3"/>
        <v>BASE</v>
      </c>
      <c r="AA22" s="652" t="str">
        <f>IF(SUMIF('Existing Customers'!$A:$A,'Variable Costs (Back)'!$AC22,'Existing Customers'!$Q:$Q)&gt;0,"Existing","New")</f>
        <v>New</v>
      </c>
      <c r="AB22" s="669" t="s">
        <v>859</v>
      </c>
      <c r="AC22" s="653" t="str">
        <f>IF('Customer Inputs'!$F13="","",'Customer Inputs'!$G13)</f>
        <v/>
      </c>
      <c r="AD22" s="672">
        <f t="shared" si="11"/>
        <v>0</v>
      </c>
      <c r="AE22" s="672">
        <f t="shared" si="12"/>
        <v>0</v>
      </c>
      <c r="AF22" s="672">
        <f t="shared" si="13"/>
        <v>0</v>
      </c>
      <c r="AG22" s="802">
        <f t="shared" si="14"/>
        <v>0</v>
      </c>
      <c r="AH22" s="147" t="s">
        <v>265</v>
      </c>
      <c r="AI22" s="147" t="s">
        <v>116</v>
      </c>
    </row>
    <row r="23" spans="1:35" x14ac:dyDescent="0.2">
      <c r="A23" s="147" t="str">
        <f>IF('Customer Inputs'!$P14="","",IF('Variable Costs (Back)'!$M23="Zip Code Not Serviced","Zip Code Not Serviced",""))</f>
        <v/>
      </c>
      <c r="B23" s="147" t="str">
        <f>'Customer Inputs'!T14</f>
        <v/>
      </c>
      <c r="C23" s="147" t="str">
        <f t="shared" si="0"/>
        <v/>
      </c>
      <c r="D23" s="649">
        <f>ROUND('Multi-Customer'!$DO$49,0)</f>
        <v>0</v>
      </c>
      <c r="E23" s="649">
        <f>ROUND('Multi-Customer'!$DO$50,0)</f>
        <v>0</v>
      </c>
      <c r="F23" s="649">
        <f>ROUND('Multi-Customer'!$DP$33,0)</f>
        <v>0</v>
      </c>
      <c r="G23" s="649" t="str">
        <f t="shared" si="4"/>
        <v/>
      </c>
      <c r="H23" s="649" t="str">
        <f t="shared" si="5"/>
        <v/>
      </c>
      <c r="I23" s="649" t="str">
        <f>IF('Customer Inputs'!U14="","",'Customer Inputs'!U14)</f>
        <v/>
      </c>
      <c r="J23" s="667" t="str">
        <f>IF('Customer Inputs'!$F14="","",'Customer Inputs'!$M14)</f>
        <v/>
      </c>
      <c r="K23" s="147" t="str">
        <f>'Customer Inputs'!S14</f>
        <v/>
      </c>
      <c r="L23" s="650">
        <f>IFERROR(IFERROR(IFERROR(VLOOKUP($J$5&amp;$I23,'5zip'!$A:$F,6,FALSE),VLOOKUP($J$5&amp;$H23,'4zip'!$A:$F,6,FALSE)),VLOOKUP($J$5&amp;$G23,'3zip'!$A:$F,6,FALSE)),0)</f>
        <v>0</v>
      </c>
      <c r="M23" s="650" t="str">
        <f>IFERROR(IFERROR(IFERROR(VLOOKUP($J$5&amp;$I23,'5zip'!$A:$F,6,FALSE),VLOOKUP($J$5&amp;$H23,'4zip'!$A:$F,6,FALSE)),VLOOKUP($J$5&amp;$G23,'3zip'!$A:$F,6,FALSE)),"Zip Code Not Serviced")</f>
        <v>Zip Code Not Serviced</v>
      </c>
      <c r="N23" s="651">
        <f t="shared" si="6"/>
        <v>0</v>
      </c>
      <c r="O23" s="652">
        <f>IFERROR((VLOOKUP($J$4&amp;$C23&amp;$J$6&amp;$J$7,'Variable Selling'!$B:$O,11,FALSE))*F23,0)</f>
        <v>0</v>
      </c>
      <c r="P23" s="652">
        <f>IFERROR(VLOOKUP($J$4,'Variable Div Avgs'!$D:$I,6,FALSE)*'Variable Costs (Back)'!$F23,0)</f>
        <v>0</v>
      </c>
      <c r="Q23" s="652">
        <f t="shared" si="1"/>
        <v>0</v>
      </c>
      <c r="R23" s="652">
        <f t="shared" si="2"/>
        <v>0</v>
      </c>
      <c r="S23" s="652">
        <f t="shared" si="7"/>
        <v>0</v>
      </c>
      <c r="T23" s="652">
        <f>IFERROR(VLOOKUP($AC23,'Existing Customer Variable Exp'!$B:$E,2,FALSE),0)</f>
        <v>0</v>
      </c>
      <c r="U23" s="652">
        <f>IFERROR(VLOOKUP($AC23,'Existing Customer Variable Exp'!$B:$E,3,FALSE),0)</f>
        <v>0</v>
      </c>
      <c r="V23" s="652">
        <f>IFERROR(VLOOKUP($AC23,'Existing Customer Variable Exp'!$B:$E,4,FALSE),0)</f>
        <v>0</v>
      </c>
      <c r="W23" s="651">
        <f t="shared" si="8"/>
        <v>0</v>
      </c>
      <c r="X23" s="652">
        <f t="shared" si="9"/>
        <v>0</v>
      </c>
      <c r="Y23" s="652">
        <f t="shared" si="10"/>
        <v>0</v>
      </c>
      <c r="Z23" s="652" t="str">
        <f t="shared" si="3"/>
        <v>BASE</v>
      </c>
      <c r="AA23" s="652" t="str">
        <f>IF(SUMIF('Existing Customers'!$A:$A,'Variable Costs (Back)'!$AC23,'Existing Customers'!$Q:$Q)&gt;0,"Existing","New")</f>
        <v>New</v>
      </c>
      <c r="AB23" s="669" t="s">
        <v>860</v>
      </c>
      <c r="AC23" s="653" t="str">
        <f>IF('Customer Inputs'!$F14="","",'Customer Inputs'!$G14)</f>
        <v/>
      </c>
      <c r="AD23" s="672">
        <f>IF($AA23="Existing",IF($Z23="BASE",$T23,$W23),$N23)</f>
        <v>0</v>
      </c>
      <c r="AE23" s="672">
        <f>IF($AA23="Existing",IF($Z23="BASE",$U23,$X23),$O23)</f>
        <v>0</v>
      </c>
      <c r="AF23" s="672">
        <f t="shared" si="13"/>
        <v>0</v>
      </c>
      <c r="AG23" s="802">
        <f t="shared" si="14"/>
        <v>0</v>
      </c>
      <c r="AH23" s="147" t="s">
        <v>266</v>
      </c>
      <c r="AI23" s="147" t="s">
        <v>112</v>
      </c>
    </row>
    <row r="24" spans="1:35" ht="13.5" thickBot="1" x14ac:dyDescent="0.25">
      <c r="A24" s="147" t="str">
        <f>IF('Customer Inputs'!$P15="","",IF('Variable Costs (Back)'!$M24="Zip Code Not Serviced","Zip Code Not Serviced",""))</f>
        <v/>
      </c>
      <c r="B24" s="147" t="str">
        <f>'Customer Inputs'!T15</f>
        <v/>
      </c>
      <c r="C24" s="147" t="str">
        <f t="shared" si="0"/>
        <v/>
      </c>
      <c r="D24" s="649">
        <f>ROUND('Multi-Customer'!$DX$49,0)</f>
        <v>0</v>
      </c>
      <c r="E24" s="649">
        <f>ROUND('Multi-Customer'!$DX$50,0)</f>
        <v>0</v>
      </c>
      <c r="F24" s="649">
        <f>ROUND('Multi-Customer'!$DY$33,0)</f>
        <v>0</v>
      </c>
      <c r="G24" s="649" t="str">
        <f t="shared" si="4"/>
        <v/>
      </c>
      <c r="H24" s="649" t="str">
        <f t="shared" si="5"/>
        <v/>
      </c>
      <c r="I24" s="649" t="str">
        <f>IF('Customer Inputs'!U15="","",'Customer Inputs'!U15)</f>
        <v/>
      </c>
      <c r="J24" s="667" t="str">
        <f>IF('Customer Inputs'!$F15="","",'Customer Inputs'!$M15)</f>
        <v/>
      </c>
      <c r="K24" s="147" t="str">
        <f>'Customer Inputs'!S15</f>
        <v/>
      </c>
      <c r="L24" s="650">
        <f>IFERROR(IFERROR(IFERROR(VLOOKUP($J$5&amp;$I24,'5zip'!$A:$F,6,FALSE),VLOOKUP($J$5&amp;$H24,'4zip'!$A:$F,6,FALSE)),VLOOKUP($J$5&amp;$G24,'3zip'!$A:$F,6,FALSE)),0)</f>
        <v>0</v>
      </c>
      <c r="M24" s="650" t="str">
        <f>IFERROR(IFERROR(IFERROR(VLOOKUP($J$5&amp;$I24,'5zip'!$A:$F,6,FALSE),VLOOKUP($J$5&amp;$H24,'4zip'!$A:$F,6,FALSE)),VLOOKUP($J$5&amp;$G24,'3zip'!$A:$F,6,FALSE)),"Zip Code Not Serviced")</f>
        <v>Zip Code Not Serviced</v>
      </c>
      <c r="N24" s="651">
        <f t="shared" si="6"/>
        <v>0</v>
      </c>
      <c r="O24" s="652">
        <f>IFERROR((VLOOKUP($J$4&amp;$C24&amp;$J$6&amp;$J$7,'Variable Selling'!$B:$O,11,FALSE))*F24,0)</f>
        <v>0</v>
      </c>
      <c r="P24" s="652">
        <f>IFERROR(VLOOKUP($J$4,'Variable Div Avgs'!$D:$I,6,FALSE)*'Variable Costs (Back)'!$F24,0)</f>
        <v>0</v>
      </c>
      <c r="Q24" s="652">
        <f t="shared" si="1"/>
        <v>0</v>
      </c>
      <c r="R24" s="652">
        <f t="shared" si="2"/>
        <v>0</v>
      </c>
      <c r="S24" s="652">
        <f t="shared" si="7"/>
        <v>0</v>
      </c>
      <c r="T24" s="652">
        <f>IFERROR(VLOOKUP($AC24,'Existing Customer Variable Exp'!$B:$E,2,FALSE),0)</f>
        <v>0</v>
      </c>
      <c r="U24" s="652">
        <f>IFERROR(VLOOKUP($AC24,'Existing Customer Variable Exp'!$B:$E,3,FALSE),0)</f>
        <v>0</v>
      </c>
      <c r="V24" s="652">
        <f>IFERROR(VLOOKUP($AC24,'Existing Customer Variable Exp'!$B:$E,4,FALSE),0)</f>
        <v>0</v>
      </c>
      <c r="W24" s="651">
        <f t="shared" si="8"/>
        <v>0</v>
      </c>
      <c r="X24" s="652">
        <f t="shared" si="9"/>
        <v>0</v>
      </c>
      <c r="Y24" s="652">
        <f t="shared" si="10"/>
        <v>0</v>
      </c>
      <c r="Z24" s="652" t="str">
        <f t="shared" si="3"/>
        <v>BASE</v>
      </c>
      <c r="AA24" s="652" t="str">
        <f>IF(SUMIF('Existing Customers'!$A:$A,'Variable Costs (Back)'!$AC24,'Existing Customers'!$Q:$Q)&gt;0,"Existing","New")</f>
        <v>New</v>
      </c>
      <c r="AB24" s="669" t="s">
        <v>861</v>
      </c>
      <c r="AC24" s="676" t="str">
        <f>IF('Customer Inputs'!$F15="","",'Customer Inputs'!$G15)</f>
        <v/>
      </c>
      <c r="AD24" s="674">
        <f>IF($AA24="Existing",IF($Z24="BASE",$T24,$W24),$N24)</f>
        <v>0</v>
      </c>
      <c r="AE24" s="674">
        <f>IF($AA24="Existing",IF($Z24="BASE",$U24,$X24),$O24)</f>
        <v>0</v>
      </c>
      <c r="AF24" s="674">
        <f t="shared" si="13"/>
        <v>0</v>
      </c>
      <c r="AG24" s="803">
        <f t="shared" si="14"/>
        <v>0</v>
      </c>
      <c r="AH24" s="147" t="s">
        <v>267</v>
      </c>
      <c r="AI24" s="147" t="s">
        <v>113</v>
      </c>
    </row>
    <row r="25" spans="1:35" ht="13.5" thickTop="1" x14ac:dyDescent="0.2">
      <c r="K25" s="654">
        <f>SUM(K15:K24)</f>
        <v>0</v>
      </c>
      <c r="W25" s="652"/>
      <c r="Y25" s="652"/>
      <c r="Z25" s="652"/>
      <c r="AA25" s="652"/>
      <c r="AC25" s="675" t="s">
        <v>1007</v>
      </c>
      <c r="AD25" s="673">
        <f>SUM(AD15:AD24)</f>
        <v>0</v>
      </c>
      <c r="AE25" s="673">
        <f>SUM(AE15:AE24)</f>
        <v>0</v>
      </c>
      <c r="AF25" s="673">
        <f>SUM(AF15:AF24)</f>
        <v>0</v>
      </c>
      <c r="AG25" s="673">
        <f>SUM(AD25:AF25)</f>
        <v>0</v>
      </c>
      <c r="AH25" s="147" t="s">
        <v>269</v>
      </c>
      <c r="AI25" s="147" t="s">
        <v>111</v>
      </c>
    </row>
    <row r="26" spans="1:35" x14ac:dyDescent="0.2">
      <c r="J26" s="655" t="s">
        <v>962</v>
      </c>
      <c r="K26" s="654">
        <f>IFERROR(SUM($K$15:$K$24)/COUNTIF($K$15:$K$24,"&gt;0"),0)</f>
        <v>0</v>
      </c>
      <c r="AB26" s="655"/>
      <c r="AH26" s="147" t="s">
        <v>270</v>
      </c>
      <c r="AI26" s="147" t="s">
        <v>118</v>
      </c>
    </row>
    <row r="27" spans="1:35" x14ac:dyDescent="0.2">
      <c r="AB27" s="655"/>
      <c r="AH27" s="147" t="s">
        <v>271</v>
      </c>
      <c r="AI27" s="147" t="s">
        <v>115</v>
      </c>
    </row>
    <row r="28" spans="1:35" x14ac:dyDescent="0.2">
      <c r="AH28" s="147" t="s">
        <v>272</v>
      </c>
      <c r="AI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21" workbookViewId="0">
      <selection activeCell="K36" sqref="K36"/>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988" t="s">
        <v>1080</v>
      </c>
      <c r="F1" s="989"/>
      <c r="G1" s="989"/>
      <c r="H1" s="989"/>
      <c r="I1" s="989"/>
      <c r="J1" s="990"/>
      <c r="L1" s="988" t="s">
        <v>1079</v>
      </c>
      <c r="M1" s="990"/>
      <c r="Q1" s="1" t="s">
        <v>564</v>
      </c>
      <c r="R1" s="1" t="s">
        <v>563</v>
      </c>
    </row>
    <row r="2" spans="1:18" x14ac:dyDescent="0.25">
      <c r="E2" s="1">
        <v>0.1</v>
      </c>
      <c r="F2" s="54">
        <v>1.0999999999999999E-2</v>
      </c>
      <c r="G2" s="54">
        <v>2.7E-2</v>
      </c>
      <c r="H2" s="54">
        <v>3.2000000000000001E-2</v>
      </c>
      <c r="I2" s="54">
        <v>4.9000000000000002E-2</v>
      </c>
      <c r="J2" s="54">
        <v>6.4000000000000001E-2</v>
      </c>
      <c r="L2" s="453">
        <v>0.1</v>
      </c>
      <c r="M2" s="49">
        <v>5.0000000000000001E-4</v>
      </c>
      <c r="O2" s="1" t="s">
        <v>565</v>
      </c>
      <c r="P2" s="1" t="s">
        <v>218</v>
      </c>
      <c r="Q2" s="1" t="s">
        <v>14</v>
      </c>
      <c r="R2" s="54">
        <v>6.0999999999999999E-2</v>
      </c>
    </row>
    <row r="3" spans="1:18" x14ac:dyDescent="0.25">
      <c r="E3" s="1">
        <v>0.15</v>
      </c>
      <c r="F3" s="54">
        <v>5.0000000000000001E-3</v>
      </c>
      <c r="G3" s="54">
        <v>3.9E-2</v>
      </c>
      <c r="H3" s="54">
        <v>0.05</v>
      </c>
      <c r="I3" s="54">
        <v>6.5000000000000002E-2</v>
      </c>
      <c r="J3" s="54">
        <v>8.5999999999999993E-2</v>
      </c>
      <c r="L3" s="453">
        <v>0.15</v>
      </c>
      <c r="M3" s="49">
        <v>1E-3</v>
      </c>
      <c r="O3" s="1" t="s">
        <v>566</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453">
        <v>0.2</v>
      </c>
      <c r="M4" s="49">
        <v>1.5E-3</v>
      </c>
      <c r="O4" s="1" t="s">
        <v>567</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453">
        <v>0.25</v>
      </c>
      <c r="M5" s="49">
        <v>2E-3</v>
      </c>
      <c r="O5" s="1" t="s">
        <v>568</v>
      </c>
      <c r="P5" s="1" t="s">
        <v>274</v>
      </c>
      <c r="Q5" s="1" t="s">
        <v>14</v>
      </c>
      <c r="R5" s="54">
        <v>0.14499999999999999</v>
      </c>
    </row>
    <row r="6" spans="1:18" x14ac:dyDescent="0.25">
      <c r="A6" s="89" t="s">
        <v>995</v>
      </c>
      <c r="B6" t="str">
        <f>IF(B7&lt;0.25,"Q1",IF(B7&lt;0.5,"Q2",IF(B7&lt;0.75,"Q3","Q4")))</f>
        <v>Q1</v>
      </c>
      <c r="E6" s="1">
        <v>0.3</v>
      </c>
      <c r="F6" s="54">
        <v>3.2000000000000001E-2</v>
      </c>
      <c r="G6" s="54">
        <v>6.5000000000000002E-2</v>
      </c>
      <c r="H6" s="54">
        <v>7.6999999999999999E-2</v>
      </c>
      <c r="I6" s="54">
        <v>9.5000000000000001E-2</v>
      </c>
      <c r="J6" s="54">
        <v>0.12</v>
      </c>
      <c r="L6" s="453">
        <v>0.3</v>
      </c>
      <c r="M6" s="49">
        <v>2.5000000000000001E-3</v>
      </c>
      <c r="O6" s="1" t="s">
        <v>569</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453">
        <v>0.35</v>
      </c>
      <c r="M7" s="49">
        <v>3.0000000000000001E-3</v>
      </c>
      <c r="O7" s="1" t="s">
        <v>570</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453">
        <v>0.4</v>
      </c>
      <c r="M8" s="49">
        <v>3.5000000000000001E-3</v>
      </c>
      <c r="O8" s="1" t="s">
        <v>571</v>
      </c>
      <c r="P8" s="1" t="s">
        <v>220</v>
      </c>
      <c r="Q8" s="1" t="s">
        <v>62</v>
      </c>
      <c r="R8" s="54">
        <v>0.106</v>
      </c>
    </row>
    <row r="9" spans="1:18" x14ac:dyDescent="0.25">
      <c r="A9" s="89" t="s">
        <v>996</v>
      </c>
      <c r="B9" t="str">
        <f>IF($B$4="Multiple Menu Types",B6&amp;B5,B6&amp;B4)</f>
        <v>Q1Enter Customer(s)</v>
      </c>
      <c r="E9" s="1">
        <v>0.45</v>
      </c>
      <c r="F9" s="54">
        <v>5.6000000000000001E-2</v>
      </c>
      <c r="G9" s="54">
        <v>8.6999999999999994E-2</v>
      </c>
      <c r="H9" s="54">
        <v>0.10100000000000001</v>
      </c>
      <c r="I9" s="54">
        <v>0.12</v>
      </c>
      <c r="J9" s="54">
        <v>0.16700000000000001</v>
      </c>
      <c r="L9" s="453">
        <v>0.45</v>
      </c>
      <c r="M9" s="49">
        <v>4.0000000000000001E-3</v>
      </c>
      <c r="O9" s="1" t="s">
        <v>572</v>
      </c>
      <c r="P9" s="1" t="s">
        <v>274</v>
      </c>
      <c r="Q9" s="1" t="s">
        <v>62</v>
      </c>
      <c r="R9" s="54">
        <v>0.106</v>
      </c>
    </row>
    <row r="10" spans="1:18" x14ac:dyDescent="0.25">
      <c r="A10" s="89"/>
      <c r="E10" s="1">
        <v>0.5</v>
      </c>
      <c r="F10" s="54">
        <v>0.05</v>
      </c>
      <c r="G10" s="54">
        <v>9.1999999999999998E-2</v>
      </c>
      <c r="H10" s="54">
        <v>0.108</v>
      </c>
      <c r="I10" s="54">
        <v>0.124</v>
      </c>
      <c r="J10" s="54">
        <v>0.16600000000000001</v>
      </c>
      <c r="L10" s="453">
        <v>0.5</v>
      </c>
      <c r="M10" s="49">
        <v>4.4999999999999997E-3</v>
      </c>
      <c r="O10" s="1" t="s">
        <v>573</v>
      </c>
      <c r="P10" s="1" t="s">
        <v>218</v>
      </c>
      <c r="Q10" s="1" t="s">
        <v>74</v>
      </c>
      <c r="R10" s="54">
        <v>7.1999999999999995E-2</v>
      </c>
    </row>
    <row r="11" spans="1:18" x14ac:dyDescent="0.25">
      <c r="A11" s="89" t="s">
        <v>997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453">
        <v>0.55000000000000004</v>
      </c>
      <c r="M11" s="49">
        <v>5.0000000000000001E-3</v>
      </c>
      <c r="O11" s="1" t="s">
        <v>574</v>
      </c>
      <c r="P11" s="1" t="s">
        <v>219</v>
      </c>
      <c r="Q11" s="1" t="s">
        <v>74</v>
      </c>
      <c r="R11" s="54">
        <v>0.109</v>
      </c>
    </row>
    <row r="12" spans="1:18" x14ac:dyDescent="0.25">
      <c r="A12" s="89" t="s">
        <v>998</v>
      </c>
      <c r="B12">
        <f>IFERROR(VLOOKUP($B$9,$O:$R,4,FALSE),0)</f>
        <v>0</v>
      </c>
      <c r="E12" s="1">
        <v>0.6</v>
      </c>
      <c r="F12" s="54">
        <v>6.6000000000000003E-2</v>
      </c>
      <c r="G12" s="54">
        <v>0.10299999999999999</v>
      </c>
      <c r="H12" s="54">
        <v>0.11899999999999999</v>
      </c>
      <c r="I12" s="54">
        <v>0.13700000000000001</v>
      </c>
      <c r="J12" s="54">
        <v>0.184</v>
      </c>
      <c r="L12" s="453">
        <v>0.6</v>
      </c>
      <c r="M12" s="49">
        <v>5.4999999999999997E-3</v>
      </c>
      <c r="O12" s="1" t="s">
        <v>575</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453">
        <v>0.65</v>
      </c>
      <c r="M13" s="49">
        <v>6.0000000000000001E-3</v>
      </c>
      <c r="O13" s="1" t="s">
        <v>576</v>
      </c>
      <c r="P13" s="1" t="s">
        <v>274</v>
      </c>
      <c r="Q13" s="1" t="s">
        <v>74</v>
      </c>
      <c r="R13" s="54">
        <v>0.14299999999999999</v>
      </c>
    </row>
    <row r="14" spans="1:18" x14ac:dyDescent="0.25">
      <c r="A14" s="89" t="s">
        <v>951</v>
      </c>
      <c r="B14" s="41">
        <f>'PIM Model'!$G$31</f>
        <v>0</v>
      </c>
      <c r="E14" s="1">
        <v>0.7</v>
      </c>
      <c r="F14" s="54">
        <v>0.08</v>
      </c>
      <c r="G14" s="54">
        <v>0.113</v>
      </c>
      <c r="H14" s="54">
        <v>0.126</v>
      </c>
      <c r="I14" s="54">
        <v>0.15</v>
      </c>
      <c r="J14" s="54">
        <v>0.20200000000000001</v>
      </c>
      <c r="L14" s="453">
        <v>0.7</v>
      </c>
      <c r="M14" s="49">
        <v>6.4999999999999997E-3</v>
      </c>
      <c r="O14" s="1" t="s">
        <v>577</v>
      </c>
      <c r="P14" s="1" t="s">
        <v>218</v>
      </c>
      <c r="Q14" s="1" t="s">
        <v>34</v>
      </c>
      <c r="R14" s="54">
        <v>6.2E-2</v>
      </c>
    </row>
    <row r="15" spans="1:18" x14ac:dyDescent="0.25">
      <c r="A15" s="89" t="s">
        <v>999</v>
      </c>
      <c r="B15" s="41">
        <f>B12*B14</f>
        <v>0</v>
      </c>
      <c r="E15" s="1">
        <v>0.75</v>
      </c>
      <c r="F15" s="54">
        <v>7.8E-2</v>
      </c>
      <c r="G15" s="54">
        <v>0.108</v>
      </c>
      <c r="H15" s="54">
        <v>0.128</v>
      </c>
      <c r="I15" s="54">
        <v>0.154</v>
      </c>
      <c r="J15" s="54">
        <v>0.21</v>
      </c>
      <c r="L15" s="453">
        <v>0.75</v>
      </c>
      <c r="M15" s="49">
        <v>7.0000000000000001E-3</v>
      </c>
      <c r="O15" s="1" t="s">
        <v>578</v>
      </c>
      <c r="P15" s="1" t="s">
        <v>219</v>
      </c>
      <c r="Q15" s="1" t="s">
        <v>34</v>
      </c>
      <c r="R15" s="54">
        <v>0.10199999999999999</v>
      </c>
    </row>
    <row r="16" spans="1:18" x14ac:dyDescent="0.25">
      <c r="A16" s="89" t="s">
        <v>997</v>
      </c>
      <c r="B16">
        <f>B14*B11</f>
        <v>0</v>
      </c>
      <c r="E16" s="1">
        <v>0.8</v>
      </c>
      <c r="F16" s="54">
        <v>9.7000000000000003E-2</v>
      </c>
      <c r="G16" s="54">
        <v>0.13200000000000001</v>
      </c>
      <c r="H16" s="54">
        <v>0.129</v>
      </c>
      <c r="I16" s="54">
        <v>0.156</v>
      </c>
      <c r="J16" s="54">
        <v>0.17</v>
      </c>
      <c r="L16" s="453">
        <v>0.8</v>
      </c>
      <c r="M16" s="49">
        <v>7.4999999999999997E-3</v>
      </c>
      <c r="O16" s="1" t="s">
        <v>579</v>
      </c>
      <c r="P16" s="1" t="s">
        <v>220</v>
      </c>
      <c r="Q16" s="1" t="s">
        <v>34</v>
      </c>
      <c r="R16" s="54">
        <v>0.11700000000000001</v>
      </c>
    </row>
    <row r="17" spans="2:18" x14ac:dyDescent="0.25">
      <c r="E17" s="1" t="s">
        <v>481</v>
      </c>
      <c r="F17" s="54">
        <v>9.9000000000000005E-2</v>
      </c>
      <c r="G17" s="54">
        <v>0.10800000000000001</v>
      </c>
      <c r="H17" s="54">
        <v>0.129</v>
      </c>
      <c r="I17" s="54">
        <v>0.151</v>
      </c>
      <c r="J17" s="54">
        <v>0.155</v>
      </c>
      <c r="L17" s="454">
        <v>0.85</v>
      </c>
      <c r="M17" s="49">
        <v>8.0000000000000002E-3</v>
      </c>
      <c r="O17" s="1" t="s">
        <v>580</v>
      </c>
      <c r="P17" s="1" t="s">
        <v>274</v>
      </c>
      <c r="Q17" s="1" t="s">
        <v>34</v>
      </c>
      <c r="R17" s="54">
        <v>0.11700000000000001</v>
      </c>
    </row>
    <row r="18" spans="2:18" x14ac:dyDescent="0.25">
      <c r="L18" s="453">
        <v>0.9</v>
      </c>
      <c r="M18" s="49">
        <v>8.5000000000000006E-3</v>
      </c>
      <c r="O18" s="1" t="s">
        <v>581</v>
      </c>
      <c r="P18" s="1" t="s">
        <v>218</v>
      </c>
      <c r="Q18" s="1" t="s">
        <v>0</v>
      </c>
      <c r="R18" s="54">
        <v>5.3999999999999999E-2</v>
      </c>
    </row>
    <row r="19" spans="2:18" x14ac:dyDescent="0.25">
      <c r="B19" t="s">
        <v>1086</v>
      </c>
      <c r="C19">
        <f>IF(Welcome!$D$10="Select # of Locations",0,Welcome!$D$10)</f>
        <v>0</v>
      </c>
      <c r="L19" s="453">
        <v>0.95</v>
      </c>
      <c r="M19" s="49">
        <v>8.9999999999999993E-3</v>
      </c>
      <c r="O19" s="1" t="s">
        <v>582</v>
      </c>
      <c r="P19" s="1" t="s">
        <v>219</v>
      </c>
      <c r="Q19" s="1" t="s">
        <v>0</v>
      </c>
      <c r="R19" s="54">
        <v>8.7999999999999995E-2</v>
      </c>
    </row>
    <row r="20" spans="2:18" x14ac:dyDescent="0.25">
      <c r="B20" t="str">
        <f>'PIM Model'!$E$3</f>
        <v>Select Deal Type</v>
      </c>
      <c r="E20" s="988" t="s">
        <v>1081</v>
      </c>
      <c r="F20" s="989"/>
      <c r="G20" s="990"/>
      <c r="L20" s="1"/>
      <c r="M20" s="49">
        <v>9.4999999999999998E-3</v>
      </c>
      <c r="O20" s="1" t="s">
        <v>583</v>
      </c>
      <c r="P20" s="1" t="s">
        <v>220</v>
      </c>
      <c r="Q20" s="1" t="s">
        <v>0</v>
      </c>
      <c r="R20" s="54">
        <v>0.112</v>
      </c>
    </row>
    <row r="21" spans="2:18" x14ac:dyDescent="0.25">
      <c r="B21" t="s">
        <v>502</v>
      </c>
      <c r="C21" s="41">
        <f>'PIM Model'!$G$31</f>
        <v>0</v>
      </c>
      <c r="E21" s="91" t="s">
        <v>1088</v>
      </c>
      <c r="F21" s="773">
        <v>2600</v>
      </c>
      <c r="G21" s="54">
        <v>5.6000000000000001E-2</v>
      </c>
      <c r="H21" s="24"/>
      <c r="O21" s="1" t="s">
        <v>584</v>
      </c>
      <c r="P21" s="1" t="s">
        <v>274</v>
      </c>
      <c r="Q21" s="1" t="s">
        <v>0</v>
      </c>
      <c r="R21" s="54">
        <v>0.112</v>
      </c>
    </row>
    <row r="22" spans="2:18" x14ac:dyDescent="0.25">
      <c r="B22" t="s">
        <v>503</v>
      </c>
      <c r="C22" s="41">
        <f>$C$21/52</f>
        <v>0</v>
      </c>
      <c r="D22" t="s">
        <v>1105</v>
      </c>
      <c r="E22" s="91" t="s">
        <v>1089</v>
      </c>
      <c r="F22" s="773">
        <v>4600</v>
      </c>
      <c r="G22" s="54">
        <v>6.3E-2</v>
      </c>
      <c r="H22" s="24"/>
      <c r="O22" s="1" t="s">
        <v>585</v>
      </c>
      <c r="P22" s="1" t="s">
        <v>218</v>
      </c>
      <c r="Q22" s="1" t="s">
        <v>69</v>
      </c>
      <c r="R22" s="54">
        <v>7.6999999999999999E-2</v>
      </c>
    </row>
    <row r="23" spans="2:18" x14ac:dyDescent="0.25">
      <c r="B23" t="s">
        <v>1087</v>
      </c>
      <c r="C23" s="41" t="e">
        <f>$C$22/C19</f>
        <v>#DIV/0!</v>
      </c>
      <c r="E23" s="91" t="s">
        <v>1090</v>
      </c>
      <c r="F23" s="773">
        <v>8300</v>
      </c>
      <c r="G23" s="54">
        <v>5.2999999999999999E-2</v>
      </c>
      <c r="H23" s="24"/>
      <c r="O23" s="1" t="s">
        <v>586</v>
      </c>
      <c r="P23" s="1" t="s">
        <v>219</v>
      </c>
      <c r="Q23" s="1" t="s">
        <v>69</v>
      </c>
      <c r="R23" s="54">
        <v>0.122</v>
      </c>
    </row>
    <row r="24" spans="2:18" x14ac:dyDescent="0.25">
      <c r="B24" t="s">
        <v>1083</v>
      </c>
      <c r="C24" s="24">
        <v>0.08</v>
      </c>
      <c r="D24" s="24" t="e">
        <f>IF($C$23&lt;$F$21,$G$21,IF($C$23&lt;$F$22,$G$22,IF($C$23&lt;$F$23,$G$23,IF($C$23&lt;$F$24,$G$24,$G$25))))</f>
        <v>#DIV/0!</v>
      </c>
      <c r="E24" s="91" t="s">
        <v>1091</v>
      </c>
      <c r="F24" s="773">
        <v>17000</v>
      </c>
      <c r="G24" s="54">
        <v>7.2999999999999995E-2</v>
      </c>
      <c r="H24" s="24"/>
      <c r="O24" s="1" t="s">
        <v>587</v>
      </c>
      <c r="P24" s="1" t="s">
        <v>220</v>
      </c>
      <c r="Q24" s="1" t="s">
        <v>69</v>
      </c>
      <c r="R24" s="54">
        <v>0.151</v>
      </c>
    </row>
    <row r="25" spans="2:18" x14ac:dyDescent="0.25">
      <c r="B25" t="s">
        <v>1084</v>
      </c>
      <c r="C25" s="24">
        <v>0.08</v>
      </c>
      <c r="D25" s="24" t="e">
        <f>IF($C$23&lt;$F$29,$G$29,IF($C$23&lt;$F$30,$G$30,IF($C$23&lt;$F$31,$G$31,IF($C$23&lt;$F$32,$G$32,$G$33))))</f>
        <v>#DIV/0!</v>
      </c>
      <c r="E25" s="91" t="s">
        <v>1092</v>
      </c>
      <c r="F25" s="773"/>
      <c r="G25" s="54">
        <v>6.0999999999999999E-2</v>
      </c>
      <c r="H25" s="24"/>
      <c r="O25" s="1" t="s">
        <v>588</v>
      </c>
      <c r="P25" s="1" t="s">
        <v>274</v>
      </c>
      <c r="Q25" s="1" t="s">
        <v>69</v>
      </c>
      <c r="R25" s="54">
        <v>0.151</v>
      </c>
    </row>
    <row r="26" spans="2:18" x14ac:dyDescent="0.25">
      <c r="B26" t="s">
        <v>1085</v>
      </c>
      <c r="C26" s="24">
        <f>IF($B$20="MDA",$C$24,$C$25)</f>
        <v>0.08</v>
      </c>
      <c r="E26" s="89"/>
      <c r="G26" s="24"/>
      <c r="H26" s="24"/>
      <c r="O26" s="1" t="s">
        <v>589</v>
      </c>
      <c r="P26" s="1" t="s">
        <v>218</v>
      </c>
      <c r="Q26" s="1" t="s">
        <v>4</v>
      </c>
      <c r="R26" s="54">
        <v>6.5000000000000002E-2</v>
      </c>
    </row>
    <row r="27" spans="2:18" x14ac:dyDescent="0.25">
      <c r="B27" t="s">
        <v>501</v>
      </c>
      <c r="C27" s="24">
        <f>'Tracking &amp; Profitability'!$I$34</f>
        <v>0</v>
      </c>
      <c r="E27" s="89"/>
      <c r="O27" s="1" t="s">
        <v>590</v>
      </c>
      <c r="P27" s="1" t="s">
        <v>219</v>
      </c>
      <c r="Q27" s="1" t="s">
        <v>4</v>
      </c>
      <c r="R27" s="54">
        <v>9.2999999999999999E-2</v>
      </c>
    </row>
    <row r="28" spans="2:18" x14ac:dyDescent="0.25">
      <c r="C28" s="24">
        <f>IFERROR(IF($C$27&gt;$C$26,"Approved",C26-C27),0)</f>
        <v>0.08</v>
      </c>
      <c r="E28" s="987" t="s">
        <v>1082</v>
      </c>
      <c r="F28" s="987"/>
      <c r="G28" s="987"/>
      <c r="O28" s="1" t="s">
        <v>591</v>
      </c>
      <c r="P28" s="1" t="s">
        <v>220</v>
      </c>
      <c r="Q28" s="1" t="s">
        <v>4</v>
      </c>
      <c r="R28" s="54">
        <v>0.11600000000000001</v>
      </c>
    </row>
    <row r="29" spans="2:18" x14ac:dyDescent="0.25">
      <c r="E29" s="91" t="s">
        <v>1093</v>
      </c>
      <c r="F29" s="773">
        <v>1500</v>
      </c>
      <c r="G29" s="54">
        <v>8.3000000000000004E-2</v>
      </c>
      <c r="H29" s="24"/>
      <c r="O29" s="1" t="s">
        <v>592</v>
      </c>
      <c r="P29" s="1" t="s">
        <v>274</v>
      </c>
      <c r="Q29" s="1" t="s">
        <v>4</v>
      </c>
      <c r="R29" s="54">
        <v>0.11600000000000001</v>
      </c>
    </row>
    <row r="30" spans="2:18" x14ac:dyDescent="0.25">
      <c r="E30" s="91" t="s">
        <v>1094</v>
      </c>
      <c r="F30" s="773">
        <v>2400</v>
      </c>
      <c r="G30" s="54">
        <v>8.3000000000000004E-2</v>
      </c>
      <c r="H30" s="24"/>
      <c r="O30" s="1" t="s">
        <v>593</v>
      </c>
      <c r="P30" s="1" t="s">
        <v>218</v>
      </c>
      <c r="Q30" s="1" t="s">
        <v>35</v>
      </c>
      <c r="R30" s="54">
        <v>8.6999999999999994E-2</v>
      </c>
    </row>
    <row r="31" spans="2:18" x14ac:dyDescent="0.25">
      <c r="E31" s="91" t="s">
        <v>1095</v>
      </c>
      <c r="F31" s="773">
        <v>4100</v>
      </c>
      <c r="G31" s="54">
        <v>8.3000000000000004E-2</v>
      </c>
      <c r="H31" s="24"/>
      <c r="O31" s="1" t="s">
        <v>594</v>
      </c>
      <c r="P31" s="1" t="s">
        <v>219</v>
      </c>
      <c r="Q31" s="1" t="s">
        <v>35</v>
      </c>
      <c r="R31" s="54">
        <v>8.6999999999999994E-2</v>
      </c>
    </row>
    <row r="32" spans="2:18" x14ac:dyDescent="0.25">
      <c r="E32" s="91" t="s">
        <v>1096</v>
      </c>
      <c r="F32" s="773">
        <v>8000</v>
      </c>
      <c r="G32" s="54">
        <v>8.2000000000000003E-2</v>
      </c>
      <c r="H32" s="24"/>
      <c r="O32" s="1" t="s">
        <v>595</v>
      </c>
      <c r="P32" s="1" t="s">
        <v>220</v>
      </c>
      <c r="Q32" s="1" t="s">
        <v>35</v>
      </c>
      <c r="R32" s="54">
        <v>0.11700000000000001</v>
      </c>
    </row>
    <row r="33" spans="1:18" x14ac:dyDescent="0.25">
      <c r="E33" s="91" t="s">
        <v>1097</v>
      </c>
      <c r="F33" s="773"/>
      <c r="G33" s="54">
        <v>7.9000000000000001E-2</v>
      </c>
      <c r="H33" s="24"/>
      <c r="O33" s="1" t="s">
        <v>596</v>
      </c>
      <c r="P33" s="1" t="s">
        <v>274</v>
      </c>
      <c r="Q33" s="1" t="s">
        <v>35</v>
      </c>
      <c r="R33" s="54">
        <v>0.11700000000000001</v>
      </c>
    </row>
    <row r="34" spans="1:18" ht="15.75" thickBot="1" x14ac:dyDescent="0.3">
      <c r="G34" s="24"/>
      <c r="H34" s="24"/>
      <c r="O34" s="1" t="s">
        <v>597</v>
      </c>
      <c r="P34" s="1" t="s">
        <v>218</v>
      </c>
      <c r="Q34" s="1" t="s">
        <v>6</v>
      </c>
      <c r="R34" s="54">
        <v>0.06</v>
      </c>
    </row>
    <row r="35" spans="1:18" ht="15.75" thickBot="1" x14ac:dyDescent="0.3">
      <c r="A35" s="485" t="s">
        <v>1002</v>
      </c>
      <c r="O35" s="1" t="s">
        <v>598</v>
      </c>
      <c r="P35" s="1" t="s">
        <v>219</v>
      </c>
      <c r="Q35" s="1" t="s">
        <v>6</v>
      </c>
      <c r="R35" s="54">
        <v>0.106</v>
      </c>
    </row>
    <row r="36" spans="1:18" ht="15.75" thickBot="1" x14ac:dyDescent="0.3">
      <c r="A36" s="481" t="s">
        <v>990</v>
      </c>
      <c r="B36" s="478" t="s">
        <v>950</v>
      </c>
      <c r="C36" s="475" t="s">
        <v>473</v>
      </c>
      <c r="D36" s="475" t="s">
        <v>991</v>
      </c>
      <c r="E36" s="475" t="s">
        <v>994</v>
      </c>
      <c r="F36" s="475" t="s">
        <v>251</v>
      </c>
      <c r="G36" s="475" t="s">
        <v>993</v>
      </c>
      <c r="H36" s="476" t="s">
        <v>1000</v>
      </c>
      <c r="I36" s="477" t="s">
        <v>992</v>
      </c>
      <c r="J36" s="476" t="s">
        <v>1001</v>
      </c>
      <c r="O36" s="1" t="s">
        <v>599</v>
      </c>
      <c r="P36" s="1" t="s">
        <v>220</v>
      </c>
      <c r="Q36" s="1" t="s">
        <v>6</v>
      </c>
      <c r="R36" s="54">
        <v>0.12</v>
      </c>
    </row>
    <row r="37" spans="1:18" x14ac:dyDescent="0.25">
      <c r="A37" s="482">
        <v>1</v>
      </c>
      <c r="B37" s="479" t="str">
        <f>'Customer Inputs'!T6</f>
        <v/>
      </c>
      <c r="C37" s="32">
        <f>'Customer Inputs'!M6</f>
        <v>0</v>
      </c>
      <c r="D37" s="471" t="str">
        <f>'Customer Inputs'!V6</f>
        <v/>
      </c>
      <c r="E37" s="32" t="str">
        <f t="shared" ref="E37:E46" si="0">IF($D37&lt;0.25,"Q1",IF($D37&lt;0.5,"Q2",IF($D37&lt;0.75,"Q3","Q4")))</f>
        <v>Q4</v>
      </c>
      <c r="F37" s="32" t="str">
        <f>E37&amp;B37</f>
        <v>Q4</v>
      </c>
      <c r="G37" s="32">
        <f t="shared" ref="G37:G46" si="1">IFERROR(VLOOKUP($F37,$O:$R,4,FALSE),0)</f>
        <v>0</v>
      </c>
      <c r="H37" s="472">
        <f t="shared" ref="H37:H46" si="2">IF($D37&lt;$L$2,$M$2,IF($D37&lt;$L$3,$M$3,IF($D37&lt;$L$4,$M$4,IF($D37&lt;$L$5,$M$5,IF($D37&lt;$L$6,$M$6,IF($D37&lt;$L$7,$M$7,IF($D37&lt;$L$8,$M$8,IF($D37&lt;$L$9,$M$9,IF($D37&lt;$L$10,$M$10,IF($D37&lt;$L$11,$M$11,IF($D37&lt;$L$12,$M$12,IF($D37&lt;$L$13,$M$13,IF($D37&lt;$L$14,$M$14,IF($D37&lt;$L$15,$M$15,IF($D37&lt;$L$16,$M$16,IF($D37&lt;$L$17,$M$17,IF($D37&lt;$L$18,$M$18,IF($D37&lt;$L$19,$M$19,$M$20))))))))))))))))))</f>
        <v>9.4999999999999998E-3</v>
      </c>
      <c r="I37" s="473">
        <f>G37*C37</f>
        <v>0</v>
      </c>
      <c r="J37" s="474">
        <f>H37*C37</f>
        <v>0</v>
      </c>
      <c r="O37" s="1" t="s">
        <v>600</v>
      </c>
      <c r="P37" s="1" t="s">
        <v>274</v>
      </c>
      <c r="Q37" s="1" t="s">
        <v>6</v>
      </c>
      <c r="R37" s="54">
        <v>0.17</v>
      </c>
    </row>
    <row r="38" spans="1:18" x14ac:dyDescent="0.25">
      <c r="A38" s="483">
        <v>2</v>
      </c>
      <c r="B38" s="324" t="str">
        <f>'Customer Inputs'!T7</f>
        <v/>
      </c>
      <c r="C38" s="1">
        <f>'Customer Inputs'!M7</f>
        <v>0</v>
      </c>
      <c r="D38" s="464" t="str">
        <f>'Customer Inputs'!V7</f>
        <v/>
      </c>
      <c r="E38" s="1" t="str">
        <f t="shared" si="0"/>
        <v>Q4</v>
      </c>
      <c r="F38" s="1" t="str">
        <f t="shared" ref="F38:F46" si="3">E38&amp;B38</f>
        <v>Q4</v>
      </c>
      <c r="G38" s="1">
        <f t="shared" si="1"/>
        <v>0</v>
      </c>
      <c r="H38" s="465">
        <f t="shared" si="2"/>
        <v>9.4999999999999998E-3</v>
      </c>
      <c r="I38" s="467">
        <f t="shared" ref="I38:I46" si="4">G38*C38</f>
        <v>0</v>
      </c>
      <c r="J38" s="468">
        <f t="shared" ref="J38:J46" si="5">H38*C38</f>
        <v>0</v>
      </c>
      <c r="O38" s="1" t="s">
        <v>601</v>
      </c>
      <c r="P38" s="1" t="s">
        <v>218</v>
      </c>
      <c r="Q38" s="1" t="s">
        <v>264</v>
      </c>
      <c r="R38" s="54">
        <v>5.9000000000000004E-2</v>
      </c>
    </row>
    <row r="39" spans="1:18" x14ac:dyDescent="0.25">
      <c r="A39" s="483">
        <v>3</v>
      </c>
      <c r="B39" s="324" t="str">
        <f>'Customer Inputs'!T8</f>
        <v/>
      </c>
      <c r="C39" s="1">
        <f>'Customer Inputs'!M8</f>
        <v>0</v>
      </c>
      <c r="D39" s="464" t="str">
        <f>'Customer Inputs'!V8</f>
        <v/>
      </c>
      <c r="E39" s="1" t="str">
        <f t="shared" si="0"/>
        <v>Q4</v>
      </c>
      <c r="F39" s="1" t="str">
        <f t="shared" si="3"/>
        <v>Q4</v>
      </c>
      <c r="G39" s="1">
        <f t="shared" si="1"/>
        <v>0</v>
      </c>
      <c r="H39" s="465">
        <f t="shared" si="2"/>
        <v>9.4999999999999998E-3</v>
      </c>
      <c r="I39" s="467">
        <f t="shared" si="4"/>
        <v>0</v>
      </c>
      <c r="J39" s="468">
        <f t="shared" si="5"/>
        <v>0</v>
      </c>
      <c r="O39" s="1" t="s">
        <v>602</v>
      </c>
      <c r="P39" s="1" t="s">
        <v>219</v>
      </c>
      <c r="Q39" s="1" t="s">
        <v>264</v>
      </c>
      <c r="R39" s="54">
        <v>9.9000000000000005E-2</v>
      </c>
    </row>
    <row r="40" spans="1:18" x14ac:dyDescent="0.25">
      <c r="A40" s="483">
        <v>4</v>
      </c>
      <c r="B40" s="324" t="str">
        <f>'Customer Inputs'!T9</f>
        <v/>
      </c>
      <c r="C40" s="1">
        <f>'Customer Inputs'!M9</f>
        <v>0</v>
      </c>
      <c r="D40" s="464" t="str">
        <f>'Customer Inputs'!V9</f>
        <v/>
      </c>
      <c r="E40" s="1" t="str">
        <f t="shared" si="0"/>
        <v>Q4</v>
      </c>
      <c r="F40" s="1" t="str">
        <f t="shared" si="3"/>
        <v>Q4</v>
      </c>
      <c r="G40" s="1">
        <f t="shared" si="1"/>
        <v>0</v>
      </c>
      <c r="H40" s="465">
        <f t="shared" si="2"/>
        <v>9.4999999999999998E-3</v>
      </c>
      <c r="I40" s="467">
        <f t="shared" si="4"/>
        <v>0</v>
      </c>
      <c r="J40" s="468">
        <f t="shared" si="5"/>
        <v>0</v>
      </c>
      <c r="O40" s="1" t="s">
        <v>603</v>
      </c>
      <c r="P40" s="1" t="s">
        <v>220</v>
      </c>
      <c r="Q40" s="1" t="s">
        <v>264</v>
      </c>
      <c r="R40" s="54">
        <v>0.11900000000000001</v>
      </c>
    </row>
    <row r="41" spans="1:18" x14ac:dyDescent="0.25">
      <c r="A41" s="483">
        <v>5</v>
      </c>
      <c r="B41" s="324" t="str">
        <f>'Customer Inputs'!T10</f>
        <v/>
      </c>
      <c r="C41" s="1">
        <f>'Customer Inputs'!M10</f>
        <v>0</v>
      </c>
      <c r="D41" s="464" t="str">
        <f>'Customer Inputs'!V10</f>
        <v/>
      </c>
      <c r="E41" s="1" t="str">
        <f t="shared" si="0"/>
        <v>Q4</v>
      </c>
      <c r="F41" s="1" t="str">
        <f t="shared" si="3"/>
        <v>Q4</v>
      </c>
      <c r="G41" s="1">
        <f t="shared" si="1"/>
        <v>0</v>
      </c>
      <c r="H41" s="465">
        <f t="shared" si="2"/>
        <v>9.4999999999999998E-3</v>
      </c>
      <c r="I41" s="467">
        <f t="shared" si="4"/>
        <v>0</v>
      </c>
      <c r="J41" s="468">
        <f t="shared" si="5"/>
        <v>0</v>
      </c>
      <c r="O41" s="1" t="s">
        <v>604</v>
      </c>
      <c r="P41" s="1" t="s">
        <v>274</v>
      </c>
      <c r="Q41" s="1" t="s">
        <v>264</v>
      </c>
      <c r="R41" s="54">
        <v>0.15</v>
      </c>
    </row>
    <row r="42" spans="1:18" x14ac:dyDescent="0.25">
      <c r="A42" s="483">
        <v>6</v>
      </c>
      <c r="B42" s="324" t="str">
        <f>'Customer Inputs'!T11</f>
        <v/>
      </c>
      <c r="C42" s="1">
        <f>'Customer Inputs'!M11</f>
        <v>0</v>
      </c>
      <c r="D42" s="464" t="str">
        <f>'Customer Inputs'!V11</f>
        <v/>
      </c>
      <c r="E42" s="1" t="str">
        <f t="shared" si="0"/>
        <v>Q4</v>
      </c>
      <c r="F42" s="1" t="str">
        <f t="shared" si="3"/>
        <v>Q4</v>
      </c>
      <c r="G42" s="1">
        <f t="shared" si="1"/>
        <v>0</v>
      </c>
      <c r="H42" s="465">
        <f t="shared" si="2"/>
        <v>9.4999999999999998E-3</v>
      </c>
      <c r="I42" s="467">
        <f t="shared" si="4"/>
        <v>0</v>
      </c>
      <c r="J42" s="468">
        <f t="shared" si="5"/>
        <v>0</v>
      </c>
      <c r="O42" s="1" t="s">
        <v>605</v>
      </c>
      <c r="P42" s="1" t="s">
        <v>218</v>
      </c>
      <c r="Q42" s="1" t="s">
        <v>15</v>
      </c>
      <c r="R42" s="54">
        <v>4.5999999999999999E-2</v>
      </c>
    </row>
    <row r="43" spans="1:18" x14ac:dyDescent="0.25">
      <c r="A43" s="483">
        <v>7</v>
      </c>
      <c r="B43" s="324" t="str">
        <f>'Customer Inputs'!T12</f>
        <v/>
      </c>
      <c r="C43" s="1">
        <f>'Customer Inputs'!M12</f>
        <v>0</v>
      </c>
      <c r="D43" s="464" t="str">
        <f>'Customer Inputs'!V12</f>
        <v/>
      </c>
      <c r="E43" s="1" t="str">
        <f t="shared" si="0"/>
        <v>Q4</v>
      </c>
      <c r="F43" s="1" t="str">
        <f t="shared" si="3"/>
        <v>Q4</v>
      </c>
      <c r="G43" s="1">
        <f t="shared" si="1"/>
        <v>0</v>
      </c>
      <c r="H43" s="465">
        <f t="shared" si="2"/>
        <v>9.4999999999999998E-3</v>
      </c>
      <c r="I43" s="467">
        <f t="shared" si="4"/>
        <v>0</v>
      </c>
      <c r="J43" s="468">
        <f t="shared" si="5"/>
        <v>0</v>
      </c>
      <c r="O43" s="1" t="s">
        <v>606</v>
      </c>
      <c r="P43" s="1" t="s">
        <v>219</v>
      </c>
      <c r="Q43" s="1" t="s">
        <v>15</v>
      </c>
      <c r="R43" s="54">
        <v>0.109</v>
      </c>
    </row>
    <row r="44" spans="1:18" x14ac:dyDescent="0.25">
      <c r="A44" s="483">
        <v>8</v>
      </c>
      <c r="B44" s="324" t="str">
        <f>'Customer Inputs'!T13</f>
        <v/>
      </c>
      <c r="C44" s="1">
        <f>'Customer Inputs'!M13</f>
        <v>0</v>
      </c>
      <c r="D44" s="464" t="str">
        <f>'Customer Inputs'!V13</f>
        <v/>
      </c>
      <c r="E44" s="1" t="str">
        <f t="shared" si="0"/>
        <v>Q4</v>
      </c>
      <c r="F44" s="1" t="str">
        <f t="shared" si="3"/>
        <v>Q4</v>
      </c>
      <c r="G44" s="1">
        <f t="shared" si="1"/>
        <v>0</v>
      </c>
      <c r="H44" s="465">
        <f t="shared" si="2"/>
        <v>9.4999999999999998E-3</v>
      </c>
      <c r="I44" s="467">
        <f t="shared" si="4"/>
        <v>0</v>
      </c>
      <c r="J44" s="468">
        <f t="shared" si="5"/>
        <v>0</v>
      </c>
      <c r="O44" s="1" t="s">
        <v>607</v>
      </c>
      <c r="P44" s="1" t="s">
        <v>220</v>
      </c>
      <c r="Q44" s="1" t="s">
        <v>15</v>
      </c>
      <c r="R44" s="54">
        <v>0.11600000000000001</v>
      </c>
    </row>
    <row r="45" spans="1:18" x14ac:dyDescent="0.25">
      <c r="A45" s="483">
        <v>9</v>
      </c>
      <c r="B45" s="324" t="str">
        <f>'Customer Inputs'!T14</f>
        <v/>
      </c>
      <c r="C45" s="1">
        <f>'Customer Inputs'!M14</f>
        <v>0</v>
      </c>
      <c r="D45" s="464" t="str">
        <f>'Customer Inputs'!V14</f>
        <v/>
      </c>
      <c r="E45" s="1" t="str">
        <f t="shared" si="0"/>
        <v>Q4</v>
      </c>
      <c r="F45" s="1" t="str">
        <f t="shared" si="3"/>
        <v>Q4</v>
      </c>
      <c r="G45" s="1">
        <f t="shared" si="1"/>
        <v>0</v>
      </c>
      <c r="H45" s="465">
        <f t="shared" si="2"/>
        <v>9.4999999999999998E-3</v>
      </c>
      <c r="I45" s="467">
        <f t="shared" si="4"/>
        <v>0</v>
      </c>
      <c r="J45" s="468">
        <f t="shared" si="5"/>
        <v>0</v>
      </c>
      <c r="O45" s="1" t="s">
        <v>608</v>
      </c>
      <c r="P45" s="1" t="s">
        <v>274</v>
      </c>
      <c r="Q45" s="1" t="s">
        <v>15</v>
      </c>
      <c r="R45" s="54">
        <v>0.11600000000000001</v>
      </c>
    </row>
    <row r="46" spans="1:18" ht="15.75" thickBot="1" x14ac:dyDescent="0.3">
      <c r="A46" s="484">
        <v>10</v>
      </c>
      <c r="B46" s="480" t="str">
        <f>'Customer Inputs'!T15</f>
        <v/>
      </c>
      <c r="C46" s="36">
        <f>'Customer Inputs'!M15</f>
        <v>0</v>
      </c>
      <c r="D46" s="369" t="str">
        <f>'Customer Inputs'!V15</f>
        <v/>
      </c>
      <c r="E46" s="36" t="str">
        <f t="shared" si="0"/>
        <v>Q4</v>
      </c>
      <c r="F46" s="36" t="str">
        <f t="shared" si="3"/>
        <v>Q4</v>
      </c>
      <c r="G46" s="36">
        <f t="shared" si="1"/>
        <v>0</v>
      </c>
      <c r="H46" s="466">
        <f t="shared" si="2"/>
        <v>9.4999999999999998E-3</v>
      </c>
      <c r="I46" s="469">
        <f t="shared" si="4"/>
        <v>0</v>
      </c>
      <c r="J46" s="470">
        <f t="shared" si="5"/>
        <v>0</v>
      </c>
      <c r="O46" s="1" t="s">
        <v>609</v>
      </c>
      <c r="P46" s="1" t="s">
        <v>218</v>
      </c>
      <c r="Q46" s="1" t="s">
        <v>45</v>
      </c>
      <c r="R46" s="54">
        <v>5.1999999999999998E-2</v>
      </c>
    </row>
    <row r="47" spans="1:18" ht="15.75" thickBot="1" x14ac:dyDescent="0.3">
      <c r="I47" s="486">
        <f>SUM(I37:I46)</f>
        <v>0</v>
      </c>
      <c r="J47" s="487">
        <f>SUM(J37:J46)</f>
        <v>0</v>
      </c>
      <c r="O47" s="1" t="s">
        <v>610</v>
      </c>
      <c r="P47" s="1" t="s">
        <v>219</v>
      </c>
      <c r="Q47" s="1" t="s">
        <v>45</v>
      </c>
      <c r="R47" s="54">
        <v>6.3E-2</v>
      </c>
    </row>
    <row r="48" spans="1:18" x14ac:dyDescent="0.25">
      <c r="O48" s="1" t="s">
        <v>611</v>
      </c>
      <c r="P48" s="1" t="s">
        <v>220</v>
      </c>
      <c r="Q48" s="1" t="s">
        <v>45</v>
      </c>
      <c r="R48" s="54">
        <v>0.115</v>
      </c>
    </row>
    <row r="49" spans="15:18" x14ac:dyDescent="0.25">
      <c r="O49" s="1" t="s">
        <v>612</v>
      </c>
      <c r="P49" s="1" t="s">
        <v>274</v>
      </c>
      <c r="Q49" s="1" t="s">
        <v>45</v>
      </c>
      <c r="R49" s="54">
        <v>0.115</v>
      </c>
    </row>
    <row r="50" spans="15:18" x14ac:dyDescent="0.25">
      <c r="O50" s="1" t="s">
        <v>613</v>
      </c>
      <c r="P50" s="1" t="s">
        <v>218</v>
      </c>
      <c r="Q50" s="1" t="s">
        <v>265</v>
      </c>
      <c r="R50" s="54">
        <v>5.9000000000000004E-2</v>
      </c>
    </row>
    <row r="51" spans="15:18" x14ac:dyDescent="0.25">
      <c r="O51" s="1" t="s">
        <v>614</v>
      </c>
      <c r="P51" s="1" t="s">
        <v>219</v>
      </c>
      <c r="Q51" s="1" t="s">
        <v>265</v>
      </c>
      <c r="R51" s="54">
        <v>9.9000000000000005E-2</v>
      </c>
    </row>
    <row r="52" spans="15:18" x14ac:dyDescent="0.25">
      <c r="O52" s="1" t="s">
        <v>615</v>
      </c>
      <c r="P52" s="1" t="s">
        <v>220</v>
      </c>
      <c r="Q52" s="1" t="s">
        <v>265</v>
      </c>
      <c r="R52" s="54">
        <v>0.11900000000000001</v>
      </c>
    </row>
    <row r="53" spans="15:18" x14ac:dyDescent="0.25">
      <c r="O53" s="1" t="s">
        <v>616</v>
      </c>
      <c r="P53" s="1" t="s">
        <v>274</v>
      </c>
      <c r="Q53" s="1" t="s">
        <v>265</v>
      </c>
      <c r="R53" s="54">
        <v>0.15</v>
      </c>
    </row>
    <row r="54" spans="15:18" x14ac:dyDescent="0.25">
      <c r="O54" s="1" t="s">
        <v>617</v>
      </c>
      <c r="P54" s="1" t="s">
        <v>218</v>
      </c>
      <c r="Q54" s="1" t="s">
        <v>48</v>
      </c>
      <c r="R54" s="54">
        <v>5.8999999999999997E-2</v>
      </c>
    </row>
    <row r="55" spans="15:18" x14ac:dyDescent="0.25">
      <c r="O55" s="1" t="s">
        <v>618</v>
      </c>
      <c r="P55" s="1" t="s">
        <v>219</v>
      </c>
      <c r="Q55" s="1" t="s">
        <v>48</v>
      </c>
      <c r="R55" s="54">
        <v>9.9000000000000005E-2</v>
      </c>
    </row>
    <row r="56" spans="15:18" x14ac:dyDescent="0.25">
      <c r="O56" s="1" t="s">
        <v>619</v>
      </c>
      <c r="P56" s="1" t="s">
        <v>220</v>
      </c>
      <c r="Q56" s="1" t="s">
        <v>48</v>
      </c>
      <c r="R56" s="54">
        <v>0.13900000000000001</v>
      </c>
    </row>
    <row r="57" spans="15:18" x14ac:dyDescent="0.25">
      <c r="O57" s="1" t="s">
        <v>620</v>
      </c>
      <c r="P57" s="1" t="s">
        <v>274</v>
      </c>
      <c r="Q57" s="1" t="s">
        <v>48</v>
      </c>
      <c r="R57" s="54">
        <v>0.13900000000000001</v>
      </c>
    </row>
    <row r="58" spans="15:18" x14ac:dyDescent="0.25">
      <c r="O58" s="1" t="s">
        <v>621</v>
      </c>
      <c r="P58" s="1" t="s">
        <v>218</v>
      </c>
      <c r="Q58" s="1" t="s">
        <v>266</v>
      </c>
      <c r="R58" s="54">
        <v>5.9000000000000004E-2</v>
      </c>
    </row>
    <row r="59" spans="15:18" x14ac:dyDescent="0.25">
      <c r="O59" s="1" t="s">
        <v>622</v>
      </c>
      <c r="P59" s="1" t="s">
        <v>219</v>
      </c>
      <c r="Q59" s="1" t="s">
        <v>266</v>
      </c>
      <c r="R59" s="54">
        <v>9.9000000000000005E-2</v>
      </c>
    </row>
    <row r="60" spans="15:18" x14ac:dyDescent="0.25">
      <c r="O60" s="1" t="s">
        <v>623</v>
      </c>
      <c r="P60" s="1" t="s">
        <v>220</v>
      </c>
      <c r="Q60" s="1" t="s">
        <v>266</v>
      </c>
      <c r="R60" s="54">
        <v>0.11900000000000001</v>
      </c>
    </row>
    <row r="61" spans="15:18" x14ac:dyDescent="0.25">
      <c r="O61" s="1" t="s">
        <v>624</v>
      </c>
      <c r="P61" s="1" t="s">
        <v>274</v>
      </c>
      <c r="Q61" s="1" t="s">
        <v>266</v>
      </c>
      <c r="R61" s="54">
        <v>0.15</v>
      </c>
    </row>
    <row r="62" spans="15:18" x14ac:dyDescent="0.25">
      <c r="O62" s="1" t="s">
        <v>625</v>
      </c>
      <c r="P62" s="1" t="s">
        <v>218</v>
      </c>
      <c r="Q62" s="1" t="s">
        <v>267</v>
      </c>
      <c r="R62" s="54">
        <v>5.9000000000000004E-2</v>
      </c>
    </row>
    <row r="63" spans="15:18" x14ac:dyDescent="0.25">
      <c r="O63" s="1" t="s">
        <v>626</v>
      </c>
      <c r="P63" s="1" t="s">
        <v>219</v>
      </c>
      <c r="Q63" s="1" t="s">
        <v>267</v>
      </c>
      <c r="R63" s="54">
        <v>9.9000000000000005E-2</v>
      </c>
    </row>
    <row r="64" spans="15:18" x14ac:dyDescent="0.25">
      <c r="O64" s="1" t="s">
        <v>627</v>
      </c>
      <c r="P64" s="1" t="s">
        <v>220</v>
      </c>
      <c r="Q64" s="1" t="s">
        <v>267</v>
      </c>
      <c r="R64" s="54">
        <v>0.11900000000000001</v>
      </c>
    </row>
    <row r="65" spans="15:18" x14ac:dyDescent="0.25">
      <c r="O65" s="1" t="s">
        <v>628</v>
      </c>
      <c r="P65" s="1" t="s">
        <v>274</v>
      </c>
      <c r="Q65" s="1" t="s">
        <v>267</v>
      </c>
      <c r="R65" s="54">
        <v>0.15</v>
      </c>
    </row>
    <row r="66" spans="15:18" x14ac:dyDescent="0.25">
      <c r="O66" s="1" t="s">
        <v>629</v>
      </c>
      <c r="P66" s="1" t="s">
        <v>218</v>
      </c>
      <c r="Q66" s="1" t="s">
        <v>268</v>
      </c>
      <c r="R66" s="54">
        <v>5.0999999999999997E-2</v>
      </c>
    </row>
    <row r="67" spans="15:18" x14ac:dyDescent="0.25">
      <c r="O67" s="1" t="s">
        <v>630</v>
      </c>
      <c r="P67" s="1" t="s">
        <v>219</v>
      </c>
      <c r="Q67" s="1" t="s">
        <v>268</v>
      </c>
      <c r="R67" s="54">
        <v>0.108</v>
      </c>
    </row>
    <row r="68" spans="15:18" x14ac:dyDescent="0.25">
      <c r="O68" s="1" t="s">
        <v>631</v>
      </c>
      <c r="P68" s="1" t="s">
        <v>220</v>
      </c>
      <c r="Q68" s="1" t="s">
        <v>268</v>
      </c>
      <c r="R68" s="54">
        <v>0.121</v>
      </c>
    </row>
    <row r="69" spans="15:18" x14ac:dyDescent="0.25">
      <c r="O69" s="1" t="s">
        <v>632</v>
      </c>
      <c r="P69" s="1" t="s">
        <v>274</v>
      </c>
      <c r="Q69" s="1" t="s">
        <v>268</v>
      </c>
      <c r="R69" s="54">
        <v>0.155</v>
      </c>
    </row>
    <row r="70" spans="15:18" x14ac:dyDescent="0.25">
      <c r="O70" s="1" t="s">
        <v>633</v>
      </c>
      <c r="P70" s="1" t="s">
        <v>218</v>
      </c>
      <c r="Q70" s="1" t="s">
        <v>60</v>
      </c>
      <c r="R70" s="54">
        <v>5.0999999999999997E-2</v>
      </c>
    </row>
    <row r="71" spans="15:18" x14ac:dyDescent="0.25">
      <c r="O71" s="1" t="s">
        <v>634</v>
      </c>
      <c r="P71" s="1" t="s">
        <v>219</v>
      </c>
      <c r="Q71" s="1" t="s">
        <v>60</v>
      </c>
      <c r="R71" s="54">
        <v>0.108</v>
      </c>
    </row>
    <row r="72" spans="15:18" x14ac:dyDescent="0.25">
      <c r="O72" s="1" t="s">
        <v>635</v>
      </c>
      <c r="P72" s="1" t="s">
        <v>220</v>
      </c>
      <c r="Q72" s="1" t="s">
        <v>60</v>
      </c>
      <c r="R72" s="54">
        <v>0.121</v>
      </c>
    </row>
    <row r="73" spans="15:18" x14ac:dyDescent="0.25">
      <c r="O73" s="1" t="s">
        <v>636</v>
      </c>
      <c r="P73" s="1" t="s">
        <v>274</v>
      </c>
      <c r="Q73" s="1" t="s">
        <v>60</v>
      </c>
      <c r="R73" s="54">
        <v>0.155</v>
      </c>
    </row>
    <row r="74" spans="15:18" x14ac:dyDescent="0.25">
      <c r="O74" s="1" t="s">
        <v>637</v>
      </c>
      <c r="P74" s="1" t="s">
        <v>218</v>
      </c>
      <c r="Q74" s="1" t="s">
        <v>20</v>
      </c>
      <c r="R74" s="54">
        <v>7.0999999999999994E-2</v>
      </c>
    </row>
    <row r="75" spans="15:18" x14ac:dyDescent="0.25">
      <c r="O75" s="1" t="s">
        <v>638</v>
      </c>
      <c r="P75" s="1" t="s">
        <v>219</v>
      </c>
      <c r="Q75" s="1" t="s">
        <v>20</v>
      </c>
      <c r="R75" s="54">
        <v>8.7999999999999995E-2</v>
      </c>
    </row>
    <row r="76" spans="15:18" x14ac:dyDescent="0.25">
      <c r="O76" s="1" t="s">
        <v>639</v>
      </c>
      <c r="P76" s="1" t="s">
        <v>220</v>
      </c>
      <c r="Q76" s="1" t="s">
        <v>20</v>
      </c>
      <c r="R76" s="54">
        <v>0.107</v>
      </c>
    </row>
    <row r="77" spans="15:18" x14ac:dyDescent="0.25">
      <c r="O77" s="1" t="s">
        <v>640</v>
      </c>
      <c r="P77" s="1" t="s">
        <v>274</v>
      </c>
      <c r="Q77" s="1" t="s">
        <v>20</v>
      </c>
      <c r="R77" s="54">
        <v>0.107</v>
      </c>
    </row>
    <row r="78" spans="15:18" x14ac:dyDescent="0.25">
      <c r="O78" s="1" t="s">
        <v>641</v>
      </c>
      <c r="P78" s="1" t="s">
        <v>218</v>
      </c>
      <c r="Q78" s="1" t="s">
        <v>269</v>
      </c>
      <c r="R78" s="54">
        <v>5.9000000000000004E-2</v>
      </c>
    </row>
    <row r="79" spans="15:18" x14ac:dyDescent="0.25">
      <c r="O79" s="1" t="s">
        <v>642</v>
      </c>
      <c r="P79" s="1" t="s">
        <v>219</v>
      </c>
      <c r="Q79" s="1" t="s">
        <v>269</v>
      </c>
      <c r="R79" s="54">
        <v>9.9000000000000005E-2</v>
      </c>
    </row>
    <row r="80" spans="15:18" x14ac:dyDescent="0.25">
      <c r="O80" s="1" t="s">
        <v>643</v>
      </c>
      <c r="P80" s="1" t="s">
        <v>220</v>
      </c>
      <c r="Q80" s="1" t="s">
        <v>269</v>
      </c>
      <c r="R80" s="54">
        <v>0.11900000000000001</v>
      </c>
    </row>
    <row r="81" spans="15:18" x14ac:dyDescent="0.25">
      <c r="O81" s="1" t="s">
        <v>644</v>
      </c>
      <c r="P81" s="1" t="s">
        <v>274</v>
      </c>
      <c r="Q81" s="1" t="s">
        <v>269</v>
      </c>
      <c r="R81" s="54">
        <v>0.15</v>
      </c>
    </row>
    <row r="82" spans="15:18" x14ac:dyDescent="0.25">
      <c r="O82" s="1" t="s">
        <v>645</v>
      </c>
      <c r="P82" s="1" t="s">
        <v>218</v>
      </c>
      <c r="Q82" s="1" t="s">
        <v>270</v>
      </c>
      <c r="R82" s="54">
        <v>5.9000000000000004E-2</v>
      </c>
    </row>
    <row r="83" spans="15:18" x14ac:dyDescent="0.25">
      <c r="O83" s="1" t="s">
        <v>646</v>
      </c>
      <c r="P83" s="1" t="s">
        <v>219</v>
      </c>
      <c r="Q83" s="1" t="s">
        <v>270</v>
      </c>
      <c r="R83" s="54">
        <v>9.9000000000000005E-2</v>
      </c>
    </row>
    <row r="84" spans="15:18" x14ac:dyDescent="0.25">
      <c r="O84" s="1" t="s">
        <v>647</v>
      </c>
      <c r="P84" s="1" t="s">
        <v>220</v>
      </c>
      <c r="Q84" s="1" t="s">
        <v>270</v>
      </c>
      <c r="R84" s="54">
        <v>0.11900000000000001</v>
      </c>
    </row>
    <row r="85" spans="15:18" x14ac:dyDescent="0.25">
      <c r="O85" s="1" t="s">
        <v>648</v>
      </c>
      <c r="P85" s="1" t="s">
        <v>274</v>
      </c>
      <c r="Q85" s="1" t="s">
        <v>270</v>
      </c>
      <c r="R85" s="54">
        <v>0.15</v>
      </c>
    </row>
    <row r="86" spans="15:18" x14ac:dyDescent="0.25">
      <c r="O86" s="1" t="s">
        <v>649</v>
      </c>
      <c r="P86" s="1" t="s">
        <v>218</v>
      </c>
      <c r="Q86" s="1" t="s">
        <v>36</v>
      </c>
      <c r="R86" s="54">
        <v>4.3999999999999997E-2</v>
      </c>
    </row>
    <row r="87" spans="15:18" x14ac:dyDescent="0.25">
      <c r="O87" s="1" t="s">
        <v>650</v>
      </c>
      <c r="P87" s="1" t="s">
        <v>219</v>
      </c>
      <c r="Q87" s="1" t="s">
        <v>36</v>
      </c>
      <c r="R87" s="54">
        <v>8.6999999999999994E-2</v>
      </c>
    </row>
    <row r="88" spans="15:18" x14ac:dyDescent="0.25">
      <c r="O88" s="1" t="s">
        <v>651</v>
      </c>
      <c r="P88" s="1" t="s">
        <v>220</v>
      </c>
      <c r="Q88" s="1" t="s">
        <v>36</v>
      </c>
      <c r="R88" s="54">
        <v>9.2999999999999999E-2</v>
      </c>
    </row>
    <row r="89" spans="15:18" x14ac:dyDescent="0.25">
      <c r="O89" s="1" t="s">
        <v>652</v>
      </c>
      <c r="P89" s="1" t="s">
        <v>274</v>
      </c>
      <c r="Q89" s="1" t="s">
        <v>36</v>
      </c>
      <c r="R89" s="54">
        <v>0.14899999999999999</v>
      </c>
    </row>
    <row r="90" spans="15:18" x14ac:dyDescent="0.25">
      <c r="O90" s="1" t="s">
        <v>653</v>
      </c>
      <c r="P90" s="1" t="s">
        <v>218</v>
      </c>
      <c r="Q90" s="1" t="s">
        <v>71</v>
      </c>
      <c r="R90" s="54">
        <v>5.9000000000000004E-2</v>
      </c>
    </row>
    <row r="91" spans="15:18" x14ac:dyDescent="0.25">
      <c r="O91" s="1" t="s">
        <v>654</v>
      </c>
      <c r="P91" s="1" t="s">
        <v>219</v>
      </c>
      <c r="Q91" s="1" t="s">
        <v>71</v>
      </c>
      <c r="R91" s="54">
        <v>9.9000000000000005E-2</v>
      </c>
    </row>
    <row r="92" spans="15:18" x14ac:dyDescent="0.25">
      <c r="O92" s="1" t="s">
        <v>655</v>
      </c>
      <c r="P92" s="1" t="s">
        <v>220</v>
      </c>
      <c r="Q92" s="1" t="s">
        <v>71</v>
      </c>
      <c r="R92" s="54">
        <v>0.11900000000000001</v>
      </c>
    </row>
    <row r="93" spans="15:18" x14ac:dyDescent="0.25">
      <c r="O93" s="1" t="s">
        <v>656</v>
      </c>
      <c r="P93" s="1" t="s">
        <v>274</v>
      </c>
      <c r="Q93" s="1" t="s">
        <v>71</v>
      </c>
      <c r="R93" s="54">
        <v>0.15</v>
      </c>
    </row>
    <row r="94" spans="15:18" x14ac:dyDescent="0.25">
      <c r="O94" s="1" t="s">
        <v>657</v>
      </c>
      <c r="P94" s="1" t="s">
        <v>218</v>
      </c>
      <c r="Q94" s="1" t="s">
        <v>11</v>
      </c>
      <c r="R94" s="54">
        <v>6.2E-2</v>
      </c>
    </row>
    <row r="95" spans="15:18" x14ac:dyDescent="0.25">
      <c r="O95" s="1" t="s">
        <v>658</v>
      </c>
      <c r="P95" s="1" t="s">
        <v>219</v>
      </c>
      <c r="Q95" s="1" t="s">
        <v>11</v>
      </c>
      <c r="R95" s="54">
        <v>9.4E-2</v>
      </c>
    </row>
    <row r="96" spans="15:18" x14ac:dyDescent="0.25">
      <c r="O96" s="1" t="s">
        <v>659</v>
      </c>
      <c r="P96" s="1" t="s">
        <v>220</v>
      </c>
      <c r="Q96" s="1" t="s">
        <v>11</v>
      </c>
      <c r="R96" s="54">
        <v>0.112</v>
      </c>
    </row>
    <row r="97" spans="15:18" x14ac:dyDescent="0.25">
      <c r="O97" s="1" t="s">
        <v>660</v>
      </c>
      <c r="P97" s="1" t="s">
        <v>274</v>
      </c>
      <c r="Q97" s="1" t="s">
        <v>11</v>
      </c>
      <c r="R97" s="54">
        <v>0.112</v>
      </c>
    </row>
    <row r="98" spans="15:18" x14ac:dyDescent="0.25">
      <c r="O98" s="1" t="s">
        <v>661</v>
      </c>
      <c r="P98" s="1" t="s">
        <v>218</v>
      </c>
      <c r="Q98" s="1" t="s">
        <v>271</v>
      </c>
      <c r="R98" s="54">
        <v>5.9000000000000004E-2</v>
      </c>
    </row>
    <row r="99" spans="15:18" x14ac:dyDescent="0.25">
      <c r="O99" s="1" t="s">
        <v>662</v>
      </c>
      <c r="P99" s="1" t="s">
        <v>219</v>
      </c>
      <c r="Q99" s="1" t="s">
        <v>271</v>
      </c>
      <c r="R99" s="54">
        <v>9.9000000000000005E-2</v>
      </c>
    </row>
    <row r="100" spans="15:18" x14ac:dyDescent="0.25">
      <c r="O100" s="1" t="s">
        <v>663</v>
      </c>
      <c r="P100" s="1" t="s">
        <v>220</v>
      </c>
      <c r="Q100" s="1" t="s">
        <v>271</v>
      </c>
      <c r="R100" s="54">
        <v>0.11900000000000001</v>
      </c>
    </row>
    <row r="101" spans="15:18" x14ac:dyDescent="0.25">
      <c r="O101" s="1" t="s">
        <v>664</v>
      </c>
      <c r="P101" s="1" t="s">
        <v>274</v>
      </c>
      <c r="Q101" s="1" t="s">
        <v>271</v>
      </c>
      <c r="R101" s="54">
        <v>0.15</v>
      </c>
    </row>
    <row r="102" spans="15:18" x14ac:dyDescent="0.25">
      <c r="O102" s="1" t="s">
        <v>665</v>
      </c>
      <c r="P102" s="1" t="s">
        <v>218</v>
      </c>
      <c r="Q102" s="1" t="s">
        <v>272</v>
      </c>
      <c r="R102" s="54">
        <v>5.9000000000000004E-2</v>
      </c>
    </row>
    <row r="103" spans="15:18" x14ac:dyDescent="0.25">
      <c r="O103" s="1" t="s">
        <v>666</v>
      </c>
      <c r="P103" s="1" t="s">
        <v>219</v>
      </c>
      <c r="Q103" s="1" t="s">
        <v>272</v>
      </c>
      <c r="R103" s="54">
        <v>9.9000000000000005E-2</v>
      </c>
    </row>
    <row r="104" spans="15:18" x14ac:dyDescent="0.25">
      <c r="O104" s="1" t="s">
        <v>667</v>
      </c>
      <c r="P104" s="1" t="s">
        <v>220</v>
      </c>
      <c r="Q104" s="1" t="s">
        <v>272</v>
      </c>
      <c r="R104" s="54">
        <v>0.11900000000000001</v>
      </c>
    </row>
    <row r="105" spans="15:18" x14ac:dyDescent="0.25">
      <c r="O105" s="1" t="s">
        <v>668</v>
      </c>
      <c r="P105" s="1" t="s">
        <v>274</v>
      </c>
      <c r="Q105" s="1" t="s">
        <v>272</v>
      </c>
      <c r="R105" s="54">
        <v>0.15</v>
      </c>
    </row>
    <row r="106" spans="15:18" x14ac:dyDescent="0.25">
      <c r="O106" s="1" t="s">
        <v>669</v>
      </c>
      <c r="P106" s="1" t="s">
        <v>218</v>
      </c>
      <c r="Q106" s="1" t="s">
        <v>9</v>
      </c>
      <c r="R106" s="54">
        <v>5.0999999999999997E-2</v>
      </c>
    </row>
    <row r="107" spans="15:18" x14ac:dyDescent="0.25">
      <c r="O107" s="1" t="s">
        <v>670</v>
      </c>
      <c r="P107" s="1" t="s">
        <v>219</v>
      </c>
      <c r="Q107" s="1" t="s">
        <v>9</v>
      </c>
      <c r="R107" s="54">
        <v>0.10100000000000001</v>
      </c>
    </row>
    <row r="108" spans="15:18" x14ac:dyDescent="0.25">
      <c r="O108" s="1" t="s">
        <v>671</v>
      </c>
      <c r="P108" s="1" t="s">
        <v>220</v>
      </c>
      <c r="Q108" s="1" t="s">
        <v>9</v>
      </c>
      <c r="R108" s="54">
        <v>0.14199999999999999</v>
      </c>
    </row>
    <row r="109" spans="15:18" x14ac:dyDescent="0.25">
      <c r="O109" s="1" t="s">
        <v>672</v>
      </c>
      <c r="P109" s="1" t="s">
        <v>274</v>
      </c>
      <c r="Q109" s="1" t="s">
        <v>9</v>
      </c>
      <c r="R109" s="54">
        <v>0.14199999999999999</v>
      </c>
    </row>
    <row r="110" spans="15:18" x14ac:dyDescent="0.25">
      <c r="O110" s="1" t="s">
        <v>673</v>
      </c>
      <c r="P110" s="1" t="s">
        <v>218</v>
      </c>
      <c r="Q110" s="1" t="s">
        <v>38</v>
      </c>
      <c r="R110" s="54">
        <v>6.5000000000000002E-2</v>
      </c>
    </row>
    <row r="111" spans="15:18" x14ac:dyDescent="0.25">
      <c r="O111" s="1" t="s">
        <v>674</v>
      </c>
      <c r="P111" s="1" t="s">
        <v>219</v>
      </c>
      <c r="Q111" s="1" t="s">
        <v>38</v>
      </c>
      <c r="R111" s="54">
        <v>0.09</v>
      </c>
    </row>
    <row r="112" spans="15:18" x14ac:dyDescent="0.25">
      <c r="O112" s="1" t="s">
        <v>675</v>
      </c>
      <c r="P112" s="1" t="s">
        <v>220</v>
      </c>
      <c r="Q112" s="1" t="s">
        <v>38</v>
      </c>
      <c r="R112" s="54">
        <v>0.09</v>
      </c>
    </row>
    <row r="113" spans="15:18" x14ac:dyDescent="0.25">
      <c r="O113" s="1" t="s">
        <v>676</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4">
    <mergeCell ref="E28:G28"/>
    <mergeCell ref="E20:G20"/>
    <mergeCell ref="E1:J1"/>
    <mergeCell ref="L1:M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16" workbookViewId="0">
      <selection activeCell="Z15" sqref="Z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991" t="s">
        <v>879</v>
      </c>
      <c r="O1" s="991"/>
      <c r="P1">
        <f>COUNTIF($AT$1:$DX$1,"New Location")</f>
        <v>0</v>
      </c>
      <c r="AT1" s="91" t="s">
        <v>842</v>
      </c>
      <c r="AU1" s="92">
        <f>'Customer Inputs'!$G$6</f>
        <v>0</v>
      </c>
      <c r="BC1" s="91" t="s">
        <v>843</v>
      </c>
      <c r="BD1" s="92">
        <f>'Customer Inputs'!$G$7</f>
        <v>0</v>
      </c>
      <c r="BL1" s="91" t="s">
        <v>844</v>
      </c>
      <c r="BM1" s="92">
        <f>'Customer Inputs'!$G$8</f>
        <v>0</v>
      </c>
      <c r="BU1" s="91" t="s">
        <v>845</v>
      </c>
      <c r="BV1" s="417">
        <f>'Customer Inputs'!$G$9</f>
        <v>0</v>
      </c>
      <c r="CD1" s="91" t="s">
        <v>846</v>
      </c>
      <c r="CE1" s="92">
        <f>'Customer Inputs'!$G$10</f>
        <v>0</v>
      </c>
      <c r="CM1" s="91" t="s">
        <v>847</v>
      </c>
      <c r="CN1" s="92">
        <f>'Customer Inputs'!$G$11</f>
        <v>0</v>
      </c>
      <c r="CV1" s="91" t="s">
        <v>848</v>
      </c>
      <c r="CW1" s="92">
        <f>'Customer Inputs'!$G$12</f>
        <v>0</v>
      </c>
      <c r="DE1" s="91" t="s">
        <v>849</v>
      </c>
      <c r="DF1" s="92">
        <f>'Customer Inputs'!$G$13</f>
        <v>0</v>
      </c>
      <c r="DN1" s="91" t="s">
        <v>850</v>
      </c>
      <c r="DO1" s="92">
        <f>'Customer Inputs'!$G$14</f>
        <v>0</v>
      </c>
      <c r="DW1" s="91" t="s">
        <v>851</v>
      </c>
      <c r="DX1" s="92">
        <f>'Customer Inputs'!$G$15</f>
        <v>0</v>
      </c>
    </row>
    <row r="2" spans="2:150" x14ac:dyDescent="0.25">
      <c r="N2" s="89"/>
      <c r="O2" s="89"/>
      <c r="AT2" s="89" t="s">
        <v>952</v>
      </c>
      <c r="AU2" s="92" t="str">
        <f>'Customer Inputs'!$H$6</f>
        <v/>
      </c>
      <c r="BC2" s="89" t="s">
        <v>952</v>
      </c>
      <c r="BD2" s="92" t="str">
        <f>'Customer Inputs'!$H$7</f>
        <v/>
      </c>
      <c r="BL2" s="89" t="s">
        <v>952</v>
      </c>
      <c r="BM2" s="92" t="str">
        <f>'Customer Inputs'!$H$8</f>
        <v/>
      </c>
      <c r="BU2" s="89" t="s">
        <v>952</v>
      </c>
      <c r="BV2" s="92" t="str">
        <f>'Customer Inputs'!$H$9</f>
        <v/>
      </c>
      <c r="CD2" s="89" t="s">
        <v>952</v>
      </c>
      <c r="CE2" s="92" t="str">
        <f>'Customer Inputs'!$H$10</f>
        <v/>
      </c>
      <c r="CM2" s="89" t="s">
        <v>952</v>
      </c>
      <c r="CN2" s="92" t="str">
        <f>'Customer Inputs'!$H$11</f>
        <v/>
      </c>
      <c r="CV2" s="89" t="s">
        <v>952</v>
      </c>
      <c r="CW2" s="92" t="str">
        <f>'Customer Inputs'!$H$12</f>
        <v/>
      </c>
      <c r="DE2" s="89" t="s">
        <v>952</v>
      </c>
      <c r="DF2" s="92" t="str">
        <f>'Customer Inputs'!$H$13</f>
        <v/>
      </c>
      <c r="DN2" s="89" t="s">
        <v>952</v>
      </c>
      <c r="DO2" s="92" t="str">
        <f>'Customer Inputs'!$H$14</f>
        <v/>
      </c>
      <c r="DW2" s="89" t="s">
        <v>952</v>
      </c>
      <c r="DX2" s="92" t="str">
        <f>'Customer Inputs'!$H$15</f>
        <v/>
      </c>
    </row>
    <row r="3" spans="2:150" x14ac:dyDescent="0.25">
      <c r="N3" s="89"/>
      <c r="O3" s="89"/>
      <c r="AT3" s="89" t="s">
        <v>953</v>
      </c>
      <c r="AU3" s="92">
        <f>'Customer Inputs'!$M$6</f>
        <v>0</v>
      </c>
      <c r="BC3" s="89" t="s">
        <v>953</v>
      </c>
      <c r="BD3" s="92">
        <f>'Customer Inputs'!$M$7</f>
        <v>0</v>
      </c>
      <c r="BL3" s="89" t="s">
        <v>953</v>
      </c>
      <c r="BM3" s="92">
        <f>'Customer Inputs'!$M$8</f>
        <v>0</v>
      </c>
      <c r="BU3" s="89" t="s">
        <v>953</v>
      </c>
      <c r="BV3" s="92">
        <f>'Customer Inputs'!$M$9</f>
        <v>0</v>
      </c>
      <c r="CD3" s="89" t="s">
        <v>953</v>
      </c>
      <c r="CE3" s="92">
        <f>'Customer Inputs'!$M$10</f>
        <v>0</v>
      </c>
      <c r="CM3" s="89" t="s">
        <v>953</v>
      </c>
      <c r="CN3" s="92">
        <f>'Customer Inputs'!$M$11</f>
        <v>0</v>
      </c>
      <c r="CV3" s="89" t="s">
        <v>953</v>
      </c>
      <c r="CW3" s="92">
        <f>'Customer Inputs'!$M$12</f>
        <v>0</v>
      </c>
      <c r="DE3" s="89" t="s">
        <v>953</v>
      </c>
      <c r="DF3" s="92">
        <f>'Customer Inputs'!$M$13</f>
        <v>0</v>
      </c>
      <c r="DN3" s="89" t="s">
        <v>953</v>
      </c>
      <c r="DO3" s="92">
        <f>'Customer Inputs'!$M$14</f>
        <v>0</v>
      </c>
      <c r="DW3" s="89" t="s">
        <v>953</v>
      </c>
      <c r="DX3" s="92">
        <f>'Customer Inputs'!$M$15</f>
        <v>0</v>
      </c>
    </row>
    <row r="4" spans="2:150" x14ac:dyDescent="0.25">
      <c r="N4" s="89"/>
      <c r="O4" s="89"/>
      <c r="AT4" s="89" t="s">
        <v>956</v>
      </c>
      <c r="AU4" s="418" t="e">
        <f>AU3/AU2</f>
        <v>#VALUE!</v>
      </c>
      <c r="BC4" s="89" t="s">
        <v>956</v>
      </c>
      <c r="BD4" s="418" t="e">
        <f>BD3/BD2</f>
        <v>#VALUE!</v>
      </c>
      <c r="BL4" s="89" t="s">
        <v>956</v>
      </c>
      <c r="BM4" s="418" t="e">
        <f>BM3/BM2</f>
        <v>#VALUE!</v>
      </c>
      <c r="BU4" s="89" t="s">
        <v>956</v>
      </c>
      <c r="BV4" s="418" t="e">
        <f>BV3/BV2</f>
        <v>#VALUE!</v>
      </c>
      <c r="CD4" s="89" t="s">
        <v>956</v>
      </c>
      <c r="CE4" s="418" t="e">
        <f>CE3/CE2</f>
        <v>#VALUE!</v>
      </c>
      <c r="CM4" s="89" t="s">
        <v>956</v>
      </c>
      <c r="CN4" s="418" t="e">
        <f>CN3/CN2</f>
        <v>#VALUE!</v>
      </c>
      <c r="CV4" s="89" t="s">
        <v>956</v>
      </c>
      <c r="CW4" s="418" t="e">
        <f>CW3/CW2</f>
        <v>#VALUE!</v>
      </c>
      <c r="DE4" s="89" t="s">
        <v>956</v>
      </c>
      <c r="DF4" s="418" t="e">
        <f>DF3/DF2</f>
        <v>#VALUE!</v>
      </c>
      <c r="DN4" s="89" t="s">
        <v>956</v>
      </c>
      <c r="DO4" s="418" t="e">
        <f>DO3/DO2</f>
        <v>#VALUE!</v>
      </c>
      <c r="DW4" s="89" t="s">
        <v>956</v>
      </c>
      <c r="DX4" s="418" t="e">
        <f>DX3/DX2</f>
        <v>#VALUE!</v>
      </c>
    </row>
    <row r="5" spans="2:150" x14ac:dyDescent="0.25">
      <c r="N5" s="991" t="s">
        <v>880</v>
      </c>
      <c r="O5" s="991"/>
      <c r="P5">
        <f>COUNT(AU1,BD1,BM1,BV1,CE1,CN1,CW1,DF1,DO1,DX1)</f>
        <v>10</v>
      </c>
      <c r="AT5" s="89" t="s">
        <v>989</v>
      </c>
      <c r="AU5">
        <f>IFERROR(VLOOKUP(AU$1,'Existing Customers'!$A:$F,6,FALSE),AU6)</f>
        <v>0</v>
      </c>
      <c r="BC5" s="89" t="s">
        <v>989</v>
      </c>
      <c r="BD5">
        <f>IFERROR(VLOOKUP(BD$1,'Existing Customers'!$A:$F,6,FALSE),BD6)</f>
        <v>0</v>
      </c>
      <c r="BL5" s="89" t="s">
        <v>989</v>
      </c>
      <c r="BM5">
        <f>IFERROR(VLOOKUP(BM$1,'Existing Customers'!$A:$F,6,FALSE),BM6)</f>
        <v>0</v>
      </c>
      <c r="BU5" s="89" t="s">
        <v>989</v>
      </c>
      <c r="BV5">
        <f>IFERROR(VLOOKUP(BV$1,'Existing Customers'!$A:$F,6,FALSE),BV6)</f>
        <v>0</v>
      </c>
      <c r="CD5" s="89" t="s">
        <v>989</v>
      </c>
      <c r="CE5">
        <f>IFERROR(VLOOKUP(CE$1,'Existing Customers'!$A:$F,6,FALSE),CE6)</f>
        <v>0</v>
      </c>
      <c r="CM5" s="89" t="s">
        <v>989</v>
      </c>
      <c r="CN5">
        <f>IFERROR(VLOOKUP(CN$1,'Existing Customers'!$A:$F,6,FALSE),CN6)</f>
        <v>0</v>
      </c>
      <c r="CV5" s="89" t="s">
        <v>989</v>
      </c>
      <c r="CW5">
        <f>IFERROR(VLOOKUP(CW$1,'Existing Customers'!$A:$F,6,FALSE),CW6)</f>
        <v>0</v>
      </c>
      <c r="DE5" s="89" t="s">
        <v>989</v>
      </c>
      <c r="DF5">
        <f>IFERROR(VLOOKUP(DF$1,'Existing Customers'!$A:$F,6,FALSE),DF6)</f>
        <v>0</v>
      </c>
      <c r="DN5" s="89" t="s">
        <v>989</v>
      </c>
      <c r="DO5">
        <f>IFERROR(VLOOKUP(DO$1,'Existing Customers'!$A:$F,6,FALSE),DO6)</f>
        <v>0</v>
      </c>
      <c r="DW5" s="89" t="s">
        <v>989</v>
      </c>
      <c r="DX5">
        <f>IFERROR(VLOOKUP(DX$1,'Existing Customers'!$A:$F,6,FALSE),DX6)</f>
        <v>0</v>
      </c>
    </row>
    <row r="6" spans="2:150" x14ac:dyDescent="0.25">
      <c r="N6" s="991"/>
      <c r="O6" s="991"/>
      <c r="AT6" s="89" t="s">
        <v>954</v>
      </c>
      <c r="AU6" s="463">
        <f>'Customer Inputs'!$O$6</f>
        <v>0</v>
      </c>
      <c r="BC6" s="89" t="s">
        <v>954</v>
      </c>
      <c r="BD6" s="92">
        <f>'Customer Inputs'!$O$7</f>
        <v>0</v>
      </c>
      <c r="BL6" s="89" t="s">
        <v>954</v>
      </c>
      <c r="BM6" s="92">
        <f>'Customer Inputs'!$O$8</f>
        <v>0</v>
      </c>
      <c r="BU6" s="89" t="s">
        <v>954</v>
      </c>
      <c r="BV6" s="92">
        <f>'Customer Inputs'!$O$9</f>
        <v>0</v>
      </c>
      <c r="CD6" s="89" t="s">
        <v>954</v>
      </c>
      <c r="CE6" s="92">
        <f>'Customer Inputs'!$O$10</f>
        <v>0</v>
      </c>
      <c r="CM6" s="89" t="s">
        <v>954</v>
      </c>
      <c r="CN6" s="92">
        <f>'Customer Inputs'!$O$11</f>
        <v>0</v>
      </c>
      <c r="CV6" s="89" t="s">
        <v>954</v>
      </c>
      <c r="CW6" s="92">
        <f>'Customer Inputs'!$O$12</f>
        <v>0</v>
      </c>
      <c r="DE6" s="89" t="s">
        <v>954</v>
      </c>
      <c r="DF6" s="92">
        <f>'Customer Inputs'!$O$13</f>
        <v>0</v>
      </c>
      <c r="DN6" s="89" t="s">
        <v>954</v>
      </c>
      <c r="DO6" s="92">
        <f>'Customer Inputs'!$O$14</f>
        <v>0</v>
      </c>
      <c r="DW6" s="89" t="s">
        <v>954</v>
      </c>
      <c r="DX6" s="92">
        <f>'Customer Inputs'!$O$15</f>
        <v>0</v>
      </c>
    </row>
    <row r="7" spans="2:150" x14ac:dyDescent="0.25">
      <c r="N7" s="89"/>
      <c r="O7" s="89"/>
      <c r="AT7" s="89" t="s">
        <v>965</v>
      </c>
      <c r="AU7" s="441">
        <f>IFERROR(SUMIFS('Existing Customers'!$O:$O,'Existing Customers'!$A:$A,'Multi-Customer'!AU$1)/SUMIFS('Existing Customers'!$N:$N,'Existing Customers'!$A:$A,'Multi-Customer'!AU$1),0)</f>
        <v>0</v>
      </c>
      <c r="BC7" s="89" t="s">
        <v>965</v>
      </c>
      <c r="BD7" s="441">
        <f>IFERROR(SUMIFS('Existing Customers'!$O:$O,'Existing Customers'!$A:$A,'Multi-Customer'!BD$1)/SUMIFS('Existing Customers'!$N:$N,'Existing Customers'!$A:$A,'Multi-Customer'!BD$1),0)</f>
        <v>0</v>
      </c>
      <c r="BL7" s="89" t="s">
        <v>965</v>
      </c>
      <c r="BM7" s="441">
        <f>IFERROR(SUMIFS('Existing Customers'!$O:$O,'Existing Customers'!$A:$A,'Multi-Customer'!BM$1)/SUMIFS('Existing Customers'!$N:$N,'Existing Customers'!$A:$A,'Multi-Customer'!BM$1),0)</f>
        <v>0</v>
      </c>
      <c r="BU7" s="89" t="s">
        <v>965</v>
      </c>
      <c r="BV7" s="441">
        <f>IFERROR(SUMIFS('Existing Customers'!$O:$O,'Existing Customers'!$A:$A,'Multi-Customer'!BV$1)/SUMIFS('Existing Customers'!$N:$N,'Existing Customers'!$A:$A,'Multi-Customer'!BV$1),0)</f>
        <v>0</v>
      </c>
      <c r="CD7" s="89" t="s">
        <v>965</v>
      </c>
      <c r="CE7" s="441">
        <f>IFERROR(SUMIFS('Existing Customers'!$O:$O,'Existing Customers'!$A:$A,'Multi-Customer'!CE$1)/SUMIFS('Existing Customers'!$N:$N,'Existing Customers'!$A:$A,'Multi-Customer'!CE$1),0)</f>
        <v>0</v>
      </c>
      <c r="CM7" s="89" t="s">
        <v>965</v>
      </c>
      <c r="CN7" s="441">
        <f>IFERROR(SUMIFS('Existing Customers'!$O:$O,'Existing Customers'!$A:$A,'Multi-Customer'!CN$1)/SUMIFS('Existing Customers'!$N:$N,'Existing Customers'!$A:$A,'Multi-Customer'!CN$1),0)</f>
        <v>0</v>
      </c>
      <c r="CV7" s="89" t="s">
        <v>965</v>
      </c>
      <c r="CW7" s="441">
        <f>IFERROR(SUMIFS('Existing Customers'!$O:$O,'Existing Customers'!$A:$A,'Multi-Customer'!CW$1)/SUMIFS('Existing Customers'!$N:$N,'Existing Customers'!$A:$A,'Multi-Customer'!CW$1),0)</f>
        <v>0</v>
      </c>
      <c r="DE7" s="89" t="s">
        <v>965</v>
      </c>
      <c r="DF7" s="441">
        <f>IFERROR(SUMIFS('Existing Customers'!$O:$O,'Existing Customers'!$A:$A,'Multi-Customer'!DF$1)/SUMIFS('Existing Customers'!$N:$N,'Existing Customers'!$A:$A,'Multi-Customer'!DF$1),0)</f>
        <v>0</v>
      </c>
      <c r="DN7" s="89" t="s">
        <v>965</v>
      </c>
      <c r="DO7" s="441">
        <f>IFERROR(SUMIFS('Existing Customers'!$O:$O,'Existing Customers'!$A:$A,'Multi-Customer'!DO$1)/SUMIFS('Existing Customers'!$N:$N,'Existing Customers'!$A:$A,'Multi-Customer'!DO$1),0)</f>
        <v>0</v>
      </c>
      <c r="DW7" s="89" t="s">
        <v>965</v>
      </c>
      <c r="DX7" s="441">
        <f>IFERROR(SUMIFS('Existing Customers'!$O:$O,'Existing Customers'!$A:$A,'Multi-Customer'!DX$1)/SUMIFS('Existing Customers'!$N:$N,'Existing Customers'!$A:$A,'Multi-Customer'!DX$1),0)</f>
        <v>0</v>
      </c>
    </row>
    <row r="8" spans="2:150" x14ac:dyDescent="0.25">
      <c r="AT8" s="89" t="s">
        <v>957</v>
      </c>
      <c r="AU8" s="420">
        <f>'Customer Inputs'!$Q$6</f>
        <v>0</v>
      </c>
      <c r="BC8" s="89" t="s">
        <v>957</v>
      </c>
      <c r="BD8" s="420">
        <f>'Customer Inputs'!$Q$7</f>
        <v>0</v>
      </c>
      <c r="BL8" s="89" t="s">
        <v>957</v>
      </c>
      <c r="BM8" s="420">
        <f>'Customer Inputs'!$Q$8</f>
        <v>0</v>
      </c>
      <c r="BU8" s="89" t="s">
        <v>957</v>
      </c>
      <c r="BV8" s="420">
        <f>'Customer Inputs'!$Q$9</f>
        <v>0</v>
      </c>
      <c r="CD8" s="89" t="s">
        <v>957</v>
      </c>
      <c r="CE8" s="420">
        <f>'Customer Inputs'!$Q$10</f>
        <v>0</v>
      </c>
      <c r="CM8" s="89" t="s">
        <v>957</v>
      </c>
      <c r="CN8" s="420">
        <f>'Customer Inputs'!$Q$11</f>
        <v>0</v>
      </c>
      <c r="CV8" s="89" t="s">
        <v>957</v>
      </c>
      <c r="CW8" s="420">
        <f>'Customer Inputs'!$Q$12</f>
        <v>0</v>
      </c>
      <c r="DE8" s="89" t="s">
        <v>957</v>
      </c>
      <c r="DF8" s="420">
        <f>'Customer Inputs'!$Q$13</f>
        <v>0</v>
      </c>
      <c r="DN8" s="89" t="s">
        <v>957</v>
      </c>
      <c r="DO8" s="420">
        <f>'Customer Inputs'!$Q$14</f>
        <v>0</v>
      </c>
      <c r="DW8" s="89" t="s">
        <v>957</v>
      </c>
      <c r="DX8" s="420">
        <f>'Customer Inputs'!$Q$15</f>
        <v>0</v>
      </c>
    </row>
    <row r="9" spans="2:150" ht="15.75" thickBot="1" x14ac:dyDescent="0.3">
      <c r="M9" s="89" t="s">
        <v>862</v>
      </c>
      <c r="O9" t="s">
        <v>1005</v>
      </c>
      <c r="P9" s="24">
        <f>IFERROR(P33/O33,0)</f>
        <v>0</v>
      </c>
      <c r="W9" t="s">
        <v>1008</v>
      </c>
      <c r="AB9" t="s">
        <v>1063</v>
      </c>
      <c r="AO9" s="992" t="s">
        <v>1064</v>
      </c>
      <c r="EE9" t="s">
        <v>1060</v>
      </c>
      <c r="EN9" t="s">
        <v>1061</v>
      </c>
    </row>
    <row r="10" spans="2:150" ht="13.9" customHeight="1" thickBot="1" x14ac:dyDescent="0.3">
      <c r="C10" t="s">
        <v>1009</v>
      </c>
      <c r="M10" s="89"/>
      <c r="V10" s="503" t="s">
        <v>959</v>
      </c>
      <c r="W10" s="504" t="s">
        <v>960</v>
      </c>
      <c r="X10" s="505" t="s">
        <v>961</v>
      </c>
      <c r="Y10" s="506"/>
      <c r="Z10" s="506"/>
      <c r="AC10" s="503" t="s">
        <v>1062</v>
      </c>
      <c r="AD10" s="506"/>
      <c r="AE10" s="506"/>
      <c r="AO10" s="992"/>
      <c r="AT10" s="89"/>
      <c r="AU10" s="434" t="str">
        <f>IF(AU2="Enter Spend&gt;&gt;&gt;","Spec"&amp;"Sales","Exist"&amp;"Sales")</f>
        <v>ExistSales</v>
      </c>
      <c r="AV10" s="435" t="str">
        <f>IF(AU2="Enter Spend&gt;&gt;&gt;","Spec"&amp;"Cases","Exist"&amp;"Cases")</f>
        <v>ExistCases</v>
      </c>
      <c r="AW10" s="435" t="str">
        <f>IF(AU2="Enter Spend&gt;&gt;&gt;","Spec"&amp;"Ebcases","Exist"&amp;"Ebcases")</f>
        <v>ExistEbcases</v>
      </c>
      <c r="AX10" s="435" t="str">
        <f>IF(AU2="Enter Spend&gt;&gt;&gt;","Spec"&amp;"Weight","Exist"&amp;"Weight")</f>
        <v>ExistWeight</v>
      </c>
      <c r="AY10" s="435" t="str">
        <f>IF(AU2="Enter Spend&gt;&gt;&gt;","Spec"&amp;"TAGP","Exist"&amp;"TAGP")</f>
        <v>ExistTAGP</v>
      </c>
      <c r="AZ10" s="436" t="str">
        <f>IF(AU2="Enter Spend&gt;&gt;&gt;","Spec"&amp;"TGP","Exist"&amp;"TGP")</f>
        <v>ExistTGP</v>
      </c>
      <c r="BA10" s="429"/>
      <c r="BB10" s="429"/>
      <c r="BC10" s="429"/>
      <c r="BD10" s="434" t="str">
        <f>IF(BD2="Enter Spend&gt;&gt;&gt;","Spec"&amp;"Sales","Exist"&amp;"Sales")</f>
        <v>ExistSales</v>
      </c>
      <c r="BE10" s="435" t="str">
        <f>IF(BD2="Enter Spend&gt;&gt;&gt;","Spec"&amp;"Cases","Exist"&amp;"Cases")</f>
        <v>ExistCases</v>
      </c>
      <c r="BF10" s="435" t="str">
        <f>IF(BD2="Enter Spend&gt;&gt;&gt;","Spec"&amp;"Ebcases","Exist"&amp;"Ebcases")</f>
        <v>ExistEbcases</v>
      </c>
      <c r="BG10" s="435" t="str">
        <f>IF(BD2="Enter Spend&gt;&gt;&gt;","Spec"&amp;"Weight","Exist"&amp;"Weight")</f>
        <v>ExistWeight</v>
      </c>
      <c r="BH10" s="435" t="str">
        <f>IF(BD2="Enter Spend&gt;&gt;&gt;","Spec"&amp;"TAGP","Exist"&amp;"TAGP")</f>
        <v>ExistTAGP</v>
      </c>
      <c r="BI10" s="436" t="str">
        <f>IF(BD2="Enter Spend&gt;&gt;&gt;","Spec"&amp;"TGP","Exist"&amp;"TGP")</f>
        <v>ExistTGP</v>
      </c>
      <c r="BJ10" s="429"/>
      <c r="BK10" s="429"/>
      <c r="BL10" s="429"/>
      <c r="BM10" s="434" t="str">
        <f>IF(BM2="Enter Spend&gt;&gt;&gt;","Spec"&amp;"Sales","Exist"&amp;"Sales")</f>
        <v>ExistSales</v>
      </c>
      <c r="BN10" s="435" t="str">
        <f>IF(BM2="Enter Spend&gt;&gt;&gt;","Spec"&amp;"Cases","Exist"&amp;"Cases")</f>
        <v>ExistCases</v>
      </c>
      <c r="BO10" s="435" t="str">
        <f>IF(BM2="Enter Spend&gt;&gt;&gt;","Spec"&amp;"Ebcases","Exist"&amp;"Ebcases")</f>
        <v>ExistEbcases</v>
      </c>
      <c r="BP10" s="435" t="str">
        <f>IF(BM2="Enter Spend&gt;&gt;&gt;","Spec"&amp;"Weight","Exist"&amp;"Weight")</f>
        <v>ExistWeight</v>
      </c>
      <c r="BQ10" s="435" t="str">
        <f>IF(BM2="Enter Spend&gt;&gt;&gt;","Spec"&amp;"TAGP","Exist"&amp;"TAGP")</f>
        <v>ExistTAGP</v>
      </c>
      <c r="BR10" s="436" t="str">
        <f>IF(BM2="Enter Spend&gt;&gt;&gt;","Spec"&amp;"TGP","Exist"&amp;"TGP")</f>
        <v>ExistTGP</v>
      </c>
      <c r="BS10" s="429"/>
      <c r="BT10" s="429"/>
      <c r="BU10" s="429"/>
      <c r="BV10" s="434" t="str">
        <f>IF(BV2="Enter Spend&gt;&gt;&gt;","Spec"&amp;"Sales","Exist"&amp;"Sales")</f>
        <v>ExistSales</v>
      </c>
      <c r="BW10" s="435" t="str">
        <f>IF(BV2="Enter Spend&gt;&gt;&gt;","Spec"&amp;"Cases","Exist"&amp;"Cases")</f>
        <v>ExistCases</v>
      </c>
      <c r="BX10" s="435" t="str">
        <f>IF(BV2="Enter Spend&gt;&gt;&gt;","Spec"&amp;"Ebcases","Exist"&amp;"Ebcases")</f>
        <v>ExistEbcases</v>
      </c>
      <c r="BY10" s="435" t="str">
        <f>IF(BV2="Enter Spend&gt;&gt;&gt;","Spec"&amp;"Weight","Exist"&amp;"Weight")</f>
        <v>ExistWeight</v>
      </c>
      <c r="BZ10" s="435" t="str">
        <f>IF(BV2="Enter Spend&gt;&gt;&gt;","Spec"&amp;"TAGP","Exist"&amp;"TAGP")</f>
        <v>ExistTAGP</v>
      </c>
      <c r="CA10" s="436" t="str">
        <f>IF(BV2="Enter Spend&gt;&gt;&gt;","Spec"&amp;"TGP","Exist"&amp;"TGP")</f>
        <v>ExistTGP</v>
      </c>
      <c r="CB10" s="429"/>
      <c r="CC10" s="429"/>
      <c r="CD10" s="429"/>
      <c r="CE10" s="434" t="str">
        <f>IF(CE2="Enter Spend&gt;&gt;&gt;","Spec"&amp;"Sales","Exist"&amp;"Sales")</f>
        <v>ExistSales</v>
      </c>
      <c r="CF10" s="435" t="str">
        <f>IF(CE2="Enter Spend&gt;&gt;&gt;","Spec"&amp;"Cases","Exist"&amp;"Cases")</f>
        <v>ExistCases</v>
      </c>
      <c r="CG10" s="435" t="str">
        <f>IF(CE2="Enter Spend&gt;&gt;&gt;","Spec"&amp;"Ebcases","Exist"&amp;"Ebcases")</f>
        <v>ExistEbcases</v>
      </c>
      <c r="CH10" s="435" t="str">
        <f>IF(CE2="Enter Spend&gt;&gt;&gt;","Spec"&amp;"Weight","Exist"&amp;"Weight")</f>
        <v>ExistWeight</v>
      </c>
      <c r="CI10" s="435" t="str">
        <f>IF(CE2="Enter Spend&gt;&gt;&gt;","Spec"&amp;"TAGP","Exist"&amp;"TAGP")</f>
        <v>ExistTAGP</v>
      </c>
      <c r="CJ10" s="436" t="str">
        <f>IF(CE2="Enter Spend&gt;&gt;&gt;","Spec"&amp;"TGP","Exist"&amp;"TGP")</f>
        <v>ExistTGP</v>
      </c>
      <c r="CK10" s="429"/>
      <c r="CL10" s="429"/>
      <c r="CM10" s="429"/>
      <c r="CN10" s="434" t="str">
        <f>IF(CN2="Enter Spend&gt;&gt;&gt;","Spec"&amp;"Sales","Exist"&amp;"Sales")</f>
        <v>ExistSales</v>
      </c>
      <c r="CO10" s="435" t="str">
        <f>IF(CN2="Enter Spend&gt;&gt;&gt;","Spec"&amp;"Cases","Exist"&amp;"Cases")</f>
        <v>ExistCases</v>
      </c>
      <c r="CP10" s="435" t="str">
        <f>IF(CN2="Enter Spend&gt;&gt;&gt;","Spec"&amp;"Ebcases","Exist"&amp;"Ebcases")</f>
        <v>ExistEbcases</v>
      </c>
      <c r="CQ10" s="435" t="str">
        <f>IF(CN2="Enter Spend&gt;&gt;&gt;","Spec"&amp;"Weight","Exist"&amp;"Weight")</f>
        <v>ExistWeight</v>
      </c>
      <c r="CR10" s="435" t="str">
        <f>IF(CN2="Enter Spend&gt;&gt;&gt;","Spec"&amp;"TAGP","Exist"&amp;"TAGP")</f>
        <v>ExistTAGP</v>
      </c>
      <c r="CS10" s="436" t="str">
        <f>IF(CN2="Enter Spend&gt;&gt;&gt;","Spec"&amp;"TGP","Exist"&amp;"TGP")</f>
        <v>ExistTGP</v>
      </c>
      <c r="CT10" s="429"/>
      <c r="CU10" s="429"/>
      <c r="CV10" s="429"/>
      <c r="CW10" s="434" t="str">
        <f>IF(CW2="Enter Spend&gt;&gt;&gt;","Spec"&amp;"Sales","Exist"&amp;"Sales")</f>
        <v>ExistSales</v>
      </c>
      <c r="CX10" s="435" t="str">
        <f>IF(CW2="Enter Spend&gt;&gt;&gt;","Spec"&amp;"Cases","Exist"&amp;"Cases")</f>
        <v>ExistCases</v>
      </c>
      <c r="CY10" s="435" t="str">
        <f>IF(CW2="Enter Spend&gt;&gt;&gt;","Spec"&amp;"Ebcases","Exist"&amp;"Ebcases")</f>
        <v>ExistEbcases</v>
      </c>
      <c r="CZ10" s="435" t="str">
        <f>IF(CW2="Enter Spend&gt;&gt;&gt;","Spec"&amp;"Weight","Exist"&amp;"Weight")</f>
        <v>ExistWeight</v>
      </c>
      <c r="DA10" s="435" t="str">
        <f>IF(CW2="Enter Spend&gt;&gt;&gt;","Spec"&amp;"TAGP","Exist"&amp;"TAGP")</f>
        <v>ExistTAGP</v>
      </c>
      <c r="DB10" s="436" t="str">
        <f>IF(CW2="Enter Spend&gt;&gt;&gt;","Spec"&amp;"TGP","Exist"&amp;"TGP")</f>
        <v>ExistTGP</v>
      </c>
      <c r="DC10" s="429"/>
      <c r="DD10" s="429"/>
      <c r="DE10" s="429"/>
      <c r="DF10" s="434" t="str">
        <f>IF(DF2="Enter Spend&gt;&gt;&gt;","Spec"&amp;"Sales","Exist"&amp;"Sales")</f>
        <v>ExistSales</v>
      </c>
      <c r="DG10" s="435" t="str">
        <f>IF(DF2="Enter Spend&gt;&gt;&gt;","Spec"&amp;"Cases","Exist"&amp;"Cases")</f>
        <v>ExistCases</v>
      </c>
      <c r="DH10" s="435" t="str">
        <f>IF(DF2="Enter Spend&gt;&gt;&gt;","Spec"&amp;"Ebcases","Exist"&amp;"Ebcases")</f>
        <v>ExistEbcases</v>
      </c>
      <c r="DI10" s="435" t="str">
        <f>IF(DF2="Enter Spend&gt;&gt;&gt;","Spec"&amp;"Weight","Exist"&amp;"Weight")</f>
        <v>ExistWeight</v>
      </c>
      <c r="DJ10" s="435" t="str">
        <f>IF(DF2="Enter Spend&gt;&gt;&gt;","Spec"&amp;"TAGP","Exist"&amp;"TAGP")</f>
        <v>ExistTAGP</v>
      </c>
      <c r="DK10" s="436" t="str">
        <f>IF(DF2="Enter Spend&gt;&gt;&gt;","Spec"&amp;"TGP","Exist"&amp;"TGP")</f>
        <v>ExistTGP</v>
      </c>
      <c r="DL10" s="429"/>
      <c r="DM10" s="429"/>
      <c r="DN10" s="429"/>
      <c r="DO10" s="434" t="str">
        <f>IF(DO2="Enter Spend&gt;&gt;&gt;","Spec"&amp;"Sales","Exist"&amp;"Sales")</f>
        <v>ExistSales</v>
      </c>
      <c r="DP10" s="435" t="str">
        <f>IF(DO2="Enter Spend&gt;&gt;&gt;","Spec"&amp;"Cases","Exist"&amp;"Cases")</f>
        <v>ExistCases</v>
      </c>
      <c r="DQ10" s="435" t="str">
        <f>IF(DO2="Enter Spend&gt;&gt;&gt;","Spec"&amp;"Ebcases","Exist"&amp;"Ebcases")</f>
        <v>ExistEbcases</v>
      </c>
      <c r="DR10" s="435" t="str">
        <f>IF(DO2="Enter Spend&gt;&gt;&gt;","Spec"&amp;"Weight","Exist"&amp;"Weight")</f>
        <v>ExistWeight</v>
      </c>
      <c r="DS10" s="435" t="str">
        <f>IF(DO2="Enter Spend&gt;&gt;&gt;","Spec"&amp;"TAGP","Exist"&amp;"TAGP")</f>
        <v>ExistTAGP</v>
      </c>
      <c r="DT10" s="436" t="str">
        <f>IF(DO2="Enter Spend&gt;&gt;&gt;","Spec"&amp;"TGP","Exist"&amp;"TGP")</f>
        <v>ExistTGP</v>
      </c>
      <c r="DU10" s="429"/>
      <c r="DV10" s="429"/>
      <c r="DW10" s="429"/>
      <c r="DX10" s="434" t="str">
        <f>IF(DX2="Enter Spend&gt;&gt;&gt;","Spec"&amp;"Sales","Exist"&amp;"Sales")</f>
        <v>ExistSales</v>
      </c>
      <c r="DY10" s="435" t="str">
        <f>IF(DX2="Enter Spend&gt;&gt;&gt;","Spec"&amp;"Cases","Exist"&amp;"Cases")</f>
        <v>ExistCases</v>
      </c>
      <c r="DZ10" s="435" t="str">
        <f>IF(DX2="Enter Spend&gt;&gt;&gt;","Spec"&amp;"Ebcases","Exist"&amp;"Ebcases")</f>
        <v>ExistEbcases</v>
      </c>
      <c r="EA10" s="435" t="str">
        <f>IF(DX2="Enter Spend&gt;&gt;&gt;","Spec"&amp;"Weight","Exist"&amp;"Weight")</f>
        <v>ExistWeight</v>
      </c>
      <c r="EB10" s="435" t="str">
        <f>IF(DX2="Enter Spend&gt;&gt;&gt;","Spec"&amp;"TAGP","Exist"&amp;"TAGP")</f>
        <v>ExistTAGP</v>
      </c>
      <c r="EC10" s="436" t="str">
        <f>IF(DX2="Enter Spend&gt;&gt;&gt;","Spec"&amp;"TGP","Exist"&amp;"TGP")</f>
        <v>ExistTGP</v>
      </c>
      <c r="EE10" s="429"/>
      <c r="EF10" s="434" t="str">
        <f>IF(EF2="Enter Spend&gt;&gt;&gt;","Spec"&amp;"Sales","Exist"&amp;"Sales")</f>
        <v>ExistSales</v>
      </c>
      <c r="EG10" s="435" t="str">
        <f>IF(EF2="Enter Spend&gt;&gt;&gt;","Spec"&amp;"Cases","Exist"&amp;"Cases")</f>
        <v>ExistCases</v>
      </c>
      <c r="EH10" s="435" t="str">
        <f>IF(EF2="Enter Spend&gt;&gt;&gt;","Spec"&amp;"Ebcases","Exist"&amp;"Ebcases")</f>
        <v>ExistEbcases</v>
      </c>
      <c r="EI10" s="435" t="str">
        <f>IF(EF2="Enter Spend&gt;&gt;&gt;","Spec"&amp;"Weight","Exist"&amp;"Weight")</f>
        <v>ExistWeight</v>
      </c>
      <c r="EJ10" s="435" t="str">
        <f>IF(EF2="Enter Spend&gt;&gt;&gt;","Spec"&amp;"TAGP","Exist"&amp;"TAGP")</f>
        <v>ExistTAGP</v>
      </c>
      <c r="EK10" s="436" t="str">
        <f>IF(EF2="Enter Spend&gt;&gt;&gt;","Spec"&amp;"TGP","Exist"&amp;"TGP")</f>
        <v>ExistTGP</v>
      </c>
      <c r="EL10" s="429"/>
      <c r="EM10" s="429"/>
      <c r="EN10" s="429"/>
      <c r="EO10" s="434" t="str">
        <f>IF(EO2="Enter Spend&gt;&gt;&gt;","Spec"&amp;"Sales","Exist"&amp;"Sales")</f>
        <v>ExistSales</v>
      </c>
      <c r="EP10" s="435" t="str">
        <f>IF(EO2="Enter Spend&gt;&gt;&gt;","Spec"&amp;"Cases","Exist"&amp;"Cases")</f>
        <v>ExistCases</v>
      </c>
      <c r="EQ10" s="435" t="str">
        <f>IF(EO2="Enter Spend&gt;&gt;&gt;","Spec"&amp;"Ebcases","Exist"&amp;"Ebcases")</f>
        <v>ExistEbcases</v>
      </c>
      <c r="ER10" s="435" t="str">
        <f>IF(EO2="Enter Spend&gt;&gt;&gt;","Spec"&amp;"Weight","Exist"&amp;"Weight")</f>
        <v>ExistWeight</v>
      </c>
      <c r="ES10" s="435" t="str">
        <f>IF(EO2="Enter Spend&gt;&gt;&gt;","Spec"&amp;"TAGP","Exist"&amp;"TAGP")</f>
        <v>ExistTAGP</v>
      </c>
      <c r="ET10" s="436" t="str">
        <f>IF(EO2="Enter Spend&gt;&gt;&gt;","Spec"&amp;"TGP","Exist"&amp;"TGP")</f>
        <v>ExistTGP</v>
      </c>
    </row>
    <row r="11" spans="2:150" ht="15.75" thickBot="1" x14ac:dyDescent="0.3">
      <c r="B11" s="94" t="s">
        <v>108</v>
      </c>
      <c r="C11" s="507" t="s">
        <v>82</v>
      </c>
      <c r="D11" s="508" t="s">
        <v>83</v>
      </c>
      <c r="E11" s="508" t="s">
        <v>411</v>
      </c>
      <c r="F11" s="508" t="s">
        <v>518</v>
      </c>
      <c r="G11" s="509" t="s">
        <v>412</v>
      </c>
      <c r="H11" s="526" t="s">
        <v>545</v>
      </c>
      <c r="M11" s="94" t="s">
        <v>108</v>
      </c>
      <c r="N11" s="116" t="s">
        <v>82</v>
      </c>
      <c r="O11" s="96" t="s">
        <v>83</v>
      </c>
      <c r="P11" s="96" t="s">
        <v>411</v>
      </c>
      <c r="Q11" s="96" t="s">
        <v>518</v>
      </c>
      <c r="R11" s="97" t="s">
        <v>412</v>
      </c>
      <c r="S11" s="113" t="s">
        <v>545</v>
      </c>
      <c r="T11" s="419"/>
      <c r="U11" s="419"/>
      <c r="V11" s="507" t="s">
        <v>408</v>
      </c>
      <c r="W11" s="508" t="s">
        <v>412</v>
      </c>
      <c r="X11" s="508" t="s">
        <v>201</v>
      </c>
      <c r="Y11" s="508" t="s">
        <v>545</v>
      </c>
      <c r="Z11" s="509" t="s">
        <v>958</v>
      </c>
      <c r="AA11" s="419"/>
      <c r="AB11" s="419"/>
      <c r="AC11" s="507" t="s">
        <v>408</v>
      </c>
      <c r="AD11" s="508" t="s">
        <v>412</v>
      </c>
      <c r="AE11" s="509" t="s">
        <v>958</v>
      </c>
      <c r="AF11" s="419"/>
      <c r="AG11" s="419"/>
      <c r="AH11" s="419"/>
      <c r="AI11" s="419"/>
      <c r="AJ11" s="545" t="s">
        <v>1051</v>
      </c>
      <c r="AK11" s="545"/>
      <c r="AL11" s="545" t="s">
        <v>1104</v>
      </c>
      <c r="AM11" s="419"/>
      <c r="AN11" s="419"/>
      <c r="AO11" s="992"/>
      <c r="AP11" s="419"/>
      <c r="AQ11" s="419"/>
      <c r="AR11" s="419"/>
      <c r="AS11" s="67" t="s">
        <v>955</v>
      </c>
      <c r="AT11" s="94" t="s">
        <v>108</v>
      </c>
      <c r="AU11" s="95" t="s">
        <v>82</v>
      </c>
      <c r="AV11" s="96" t="s">
        <v>83</v>
      </c>
      <c r="AW11" s="96" t="s">
        <v>411</v>
      </c>
      <c r="AX11" s="96" t="s">
        <v>518</v>
      </c>
      <c r="AY11" s="426" t="s">
        <v>412</v>
      </c>
      <c r="AZ11" s="97" t="s">
        <v>201</v>
      </c>
      <c r="BA11" s="419"/>
      <c r="BB11" s="67" t="s">
        <v>955</v>
      </c>
      <c r="BC11" s="94" t="s">
        <v>108</v>
      </c>
      <c r="BD11" s="95" t="s">
        <v>82</v>
      </c>
      <c r="BE11" s="96" t="s">
        <v>83</v>
      </c>
      <c r="BF11" s="96" t="s">
        <v>411</v>
      </c>
      <c r="BG11" s="96" t="s">
        <v>518</v>
      </c>
      <c r="BH11" s="97" t="s">
        <v>412</v>
      </c>
      <c r="BI11" s="97" t="s">
        <v>201</v>
      </c>
      <c r="BJ11" s="419"/>
      <c r="BK11" s="67" t="s">
        <v>955</v>
      </c>
      <c r="BL11" s="94" t="s">
        <v>108</v>
      </c>
      <c r="BM11" s="95" t="s">
        <v>82</v>
      </c>
      <c r="BN11" s="96" t="s">
        <v>83</v>
      </c>
      <c r="BO11" s="96" t="s">
        <v>411</v>
      </c>
      <c r="BP11" s="96" t="s">
        <v>518</v>
      </c>
      <c r="BQ11" s="97" t="s">
        <v>412</v>
      </c>
      <c r="BR11" s="97" t="s">
        <v>201</v>
      </c>
      <c r="BS11" s="419"/>
      <c r="BT11" s="67" t="s">
        <v>955</v>
      </c>
      <c r="BU11" s="94" t="s">
        <v>108</v>
      </c>
      <c r="BV11" s="95" t="s">
        <v>82</v>
      </c>
      <c r="BW11" s="96" t="s">
        <v>83</v>
      </c>
      <c r="BX11" s="96" t="s">
        <v>411</v>
      </c>
      <c r="BY11" s="96" t="s">
        <v>518</v>
      </c>
      <c r="BZ11" s="97" t="s">
        <v>412</v>
      </c>
      <c r="CA11" s="97" t="s">
        <v>201</v>
      </c>
      <c r="CB11" s="419"/>
      <c r="CC11" s="67" t="s">
        <v>955</v>
      </c>
      <c r="CD11" s="94" t="s">
        <v>108</v>
      </c>
      <c r="CE11" s="95" t="s">
        <v>82</v>
      </c>
      <c r="CF11" s="96" t="s">
        <v>83</v>
      </c>
      <c r="CG11" s="96" t="s">
        <v>411</v>
      </c>
      <c r="CH11" s="96" t="s">
        <v>518</v>
      </c>
      <c r="CI11" s="97" t="s">
        <v>412</v>
      </c>
      <c r="CJ11" s="97" t="s">
        <v>201</v>
      </c>
      <c r="CK11" s="419"/>
      <c r="CL11" s="67" t="s">
        <v>955</v>
      </c>
      <c r="CM11" s="94" t="s">
        <v>108</v>
      </c>
      <c r="CN11" s="95" t="s">
        <v>82</v>
      </c>
      <c r="CO11" s="96" t="s">
        <v>83</v>
      </c>
      <c r="CP11" s="96" t="s">
        <v>411</v>
      </c>
      <c r="CQ11" s="96" t="s">
        <v>518</v>
      </c>
      <c r="CR11" s="97" t="s">
        <v>412</v>
      </c>
      <c r="CS11" s="97" t="s">
        <v>201</v>
      </c>
      <c r="CT11" s="419"/>
      <c r="CU11" s="67" t="s">
        <v>955</v>
      </c>
      <c r="CV11" s="94" t="s">
        <v>108</v>
      </c>
      <c r="CW11" s="95" t="s">
        <v>82</v>
      </c>
      <c r="CX11" s="96" t="s">
        <v>83</v>
      </c>
      <c r="CY11" s="96" t="s">
        <v>411</v>
      </c>
      <c r="CZ11" s="96" t="s">
        <v>518</v>
      </c>
      <c r="DA11" s="97" t="s">
        <v>412</v>
      </c>
      <c r="DB11" s="97" t="s">
        <v>201</v>
      </c>
      <c r="DC11" s="419"/>
      <c r="DD11" s="67" t="s">
        <v>955</v>
      </c>
      <c r="DE11" s="94" t="s">
        <v>108</v>
      </c>
      <c r="DF11" s="95" t="s">
        <v>82</v>
      </c>
      <c r="DG11" s="96" t="s">
        <v>83</v>
      </c>
      <c r="DH11" s="96" t="s">
        <v>411</v>
      </c>
      <c r="DI11" s="96" t="s">
        <v>518</v>
      </c>
      <c r="DJ11" s="97" t="s">
        <v>412</v>
      </c>
      <c r="DK11" s="97" t="s">
        <v>201</v>
      </c>
      <c r="DL11" s="419"/>
      <c r="DM11" s="67" t="s">
        <v>955</v>
      </c>
      <c r="DN11" s="94" t="s">
        <v>108</v>
      </c>
      <c r="DO11" s="95" t="s">
        <v>82</v>
      </c>
      <c r="DP11" s="96" t="s">
        <v>83</v>
      </c>
      <c r="DQ11" s="96" t="s">
        <v>411</v>
      </c>
      <c r="DR11" s="96" t="s">
        <v>518</v>
      </c>
      <c r="DS11" s="426" t="s">
        <v>412</v>
      </c>
      <c r="DT11" s="97" t="s">
        <v>201</v>
      </c>
      <c r="DU11" s="419"/>
      <c r="DV11" s="67" t="s">
        <v>955</v>
      </c>
      <c r="DW11" s="94" t="s">
        <v>108</v>
      </c>
      <c r="DX11" s="430" t="s">
        <v>82</v>
      </c>
      <c r="DY11" s="431" t="s">
        <v>83</v>
      </c>
      <c r="DZ11" s="431" t="s">
        <v>411</v>
      </c>
      <c r="EA11" s="431" t="s">
        <v>518</v>
      </c>
      <c r="EB11" s="432" t="s">
        <v>412</v>
      </c>
      <c r="EC11" s="433" t="s">
        <v>201</v>
      </c>
      <c r="EE11" s="94" t="s">
        <v>108</v>
      </c>
      <c r="EF11" s="95" t="s">
        <v>82</v>
      </c>
      <c r="EG11" s="96" t="s">
        <v>83</v>
      </c>
      <c r="EH11" s="96" t="s">
        <v>411</v>
      </c>
      <c r="EI11" s="96" t="s">
        <v>518</v>
      </c>
      <c r="EJ11" s="426" t="s">
        <v>412</v>
      </c>
      <c r="EK11" s="97" t="s">
        <v>201</v>
      </c>
      <c r="EL11" s="419"/>
      <c r="EM11" s="67" t="s">
        <v>955</v>
      </c>
      <c r="EN11" s="94" t="s">
        <v>108</v>
      </c>
      <c r="EO11" s="430" t="s">
        <v>82</v>
      </c>
      <c r="EP11" s="431" t="s">
        <v>83</v>
      </c>
      <c r="EQ11" s="431" t="s">
        <v>411</v>
      </c>
      <c r="ER11" s="431" t="s">
        <v>518</v>
      </c>
      <c r="ES11" s="432" t="s">
        <v>412</v>
      </c>
      <c r="ET11" s="433" t="s">
        <v>201</v>
      </c>
    </row>
    <row r="12" spans="2:150" x14ac:dyDescent="0.25">
      <c r="B12" s="106" t="s">
        <v>99</v>
      </c>
      <c r="C12" s="510">
        <f>(AU12+BD12+BM12+BV12+CE12+CN12+CW12+DF12+DO12+DX12)</f>
        <v>0</v>
      </c>
      <c r="D12" s="527">
        <f>($AV12+$BE12+$BN12+$BW12+$CF12+$CO12+$CX12+$DG12+$DP12+$DY12)</f>
        <v>0</v>
      </c>
      <c r="E12" s="527">
        <f>($AW12+$BF12+$BO12+$BX12+$CG12+$CP12+$CY12+$DH12+$DQ12+$DZ12)</f>
        <v>0</v>
      </c>
      <c r="F12" s="527">
        <f>($AX12+$BG12+$BP12+$BY12+$CH12+$CQ12+$CZ12+$DI12+$DR12+$EA12)</f>
        <v>0</v>
      </c>
      <c r="G12" s="528">
        <f>($AY12+$BH12+$BQ12+$BZ12+$CI12+$CR12+$DA12+$DJ12+$DS12+$EB12)</f>
        <v>0</v>
      </c>
      <c r="H12" s="529">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25"/>
      <c r="U12" s="106" t="s">
        <v>99</v>
      </c>
      <c r="V12" s="510">
        <f t="shared" ref="V12:X32" si="4">SUMIFS($AU12:$EC12,$AU$10:$EC$10,V$10)</f>
        <v>0</v>
      </c>
      <c r="W12" s="511">
        <f t="shared" si="4"/>
        <v>0</v>
      </c>
      <c r="X12" s="511">
        <f t="shared" si="4"/>
        <v>0</v>
      </c>
      <c r="Y12" s="512">
        <f>IFERROR(W12/V12,0)</f>
        <v>0</v>
      </c>
      <c r="Z12" s="513">
        <f>IFERROR(X12/V12,0)</f>
        <v>0</v>
      </c>
      <c r="AA12" s="425"/>
      <c r="AB12" s="106" t="s">
        <v>99</v>
      </c>
      <c r="AC12" s="510">
        <f t="shared" ref="AC12:AC32" si="5">SUMIFS($AU12:$EC12,$AU$10:$EC$10,AC$10)</f>
        <v>0</v>
      </c>
      <c r="AD12" s="511">
        <f>AH12*AC12</f>
        <v>0</v>
      </c>
      <c r="AE12" s="513"/>
      <c r="AF12" s="425"/>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25">
        <f>VLOOKUP($AB12&amp;$AG12,'IMargin Quartiles'!$A:$F,6,FALSE)</f>
        <v>0.14000000000000001</v>
      </c>
      <c r="AI12" s="425"/>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25" t="e">
        <f>VLOOKUP($AB12&amp;$AJ12,'IMargin Quartiles'!$A:$F,6,FALSE)</f>
        <v>#DIV/0!</v>
      </c>
      <c r="AL12">
        <f>'PIM Model'!C10</f>
        <v>0</v>
      </c>
      <c r="AM12" s="425"/>
      <c r="AN12" s="425"/>
      <c r="AO12" s="425" t="e">
        <f>IF($AL12="AVG",IFERROR((W12+AD12)/(V12+AC12),AK12),(W12+AD12)/(V12+AC12))</f>
        <v>#DIV/0!</v>
      </c>
      <c r="AP12" s="425"/>
      <c r="AQ12" s="425"/>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27">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27">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27">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27"/>
      <c r="EK12" s="100"/>
      <c r="EL12" s="133"/>
      <c r="EN12" s="106" t="s">
        <v>99</v>
      </c>
      <c r="EO12" s="98"/>
      <c r="EP12" s="93"/>
      <c r="EQ12" s="99"/>
      <c r="ER12" s="99"/>
      <c r="ES12" s="427"/>
      <c r="ET12" s="100"/>
    </row>
    <row r="13" spans="2:150" x14ac:dyDescent="0.25">
      <c r="B13" s="106" t="s">
        <v>529</v>
      </c>
      <c r="C13" s="510">
        <f t="shared" ref="C13:C32" si="6">($AU13+$BD13+$BM13+$BV13+$CE13+$CN13+$CW13+$DF13+$DO13+$DX13)</f>
        <v>0</v>
      </c>
      <c r="D13" s="527">
        <f t="shared" ref="D13:D32" si="7">($AV13+$BE13+$BN13+$BW13+$CF13+$CO13+$CX13+$DG13+$DP13+$DY13)</f>
        <v>0</v>
      </c>
      <c r="E13" s="527">
        <f t="shared" ref="E13:E32" si="8">($AW13+$BF13+$BO13+$BX13+$CG13+$CP13+$CY13+$DH13+$DQ13+$DZ13)</f>
        <v>0</v>
      </c>
      <c r="F13" s="527">
        <f t="shared" ref="F13:F32" si="9">($AX13+$BG13+$BP13+$BY13+$CH13+$CQ13+$CZ13+$DI13+$DR13+$EA13)</f>
        <v>0</v>
      </c>
      <c r="G13" s="528">
        <f t="shared" ref="G13:G32" si="10">($AY13+$BH13+$BQ13+$BZ13+$CI13+$CR13+$DA13+$DJ13+$DS13+$EB13)</f>
        <v>0</v>
      </c>
      <c r="H13" s="530">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25"/>
      <c r="U13" s="106" t="s">
        <v>529</v>
      </c>
      <c r="V13" s="514">
        <f t="shared" si="4"/>
        <v>0</v>
      </c>
      <c r="W13" s="515">
        <f t="shared" si="4"/>
        <v>0</v>
      </c>
      <c r="X13" s="515">
        <f t="shared" si="4"/>
        <v>0</v>
      </c>
      <c r="Y13" s="516">
        <f t="shared" ref="Y13:Y32" si="16">IFERROR(W13/V13,0)</f>
        <v>0</v>
      </c>
      <c r="Z13" s="517">
        <f t="shared" ref="Z13:Z32" si="17">IFERROR(X13/V13,0)</f>
        <v>0</v>
      </c>
      <c r="AA13" s="425"/>
      <c r="AB13" s="106" t="s">
        <v>529</v>
      </c>
      <c r="AC13" s="514">
        <f t="shared" si="5"/>
        <v>0</v>
      </c>
      <c r="AD13" s="511">
        <f t="shared" ref="AD13:AD32" si="18">AH13*AC13</f>
        <v>0</v>
      </c>
      <c r="AE13" s="517"/>
      <c r="AF13" s="425"/>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25">
        <f>VLOOKUP($AB13&amp;$AG13,'IMargin Quartiles'!$A:$F,6,FALSE)</f>
        <v>0.1</v>
      </c>
      <c r="AI13" s="425"/>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25" t="e">
        <f>VLOOKUP($AB13&amp;$AJ13,'IMargin Quartiles'!$A:$F,6,FALSE)</f>
        <v>#DIV/0!</v>
      </c>
      <c r="AL13">
        <f>'PIM Model'!C11</f>
        <v>0</v>
      </c>
      <c r="AM13" s="425"/>
      <c r="AN13" s="425"/>
      <c r="AO13" s="425" t="e">
        <f>IF($AL13="AVG",IFERROR((W13+AD13)/(V13+AC13),AK13),(W13+AD13)/(V13+AC13))</f>
        <v>#DIV/0!</v>
      </c>
      <c r="AP13" s="425"/>
      <c r="AQ13" s="425"/>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510">
        <f t="shared" si="6"/>
        <v>0</v>
      </c>
      <c r="D14" s="527">
        <f t="shared" si="7"/>
        <v>0</v>
      </c>
      <c r="E14" s="527">
        <f t="shared" si="8"/>
        <v>0</v>
      </c>
      <c r="F14" s="527">
        <f t="shared" si="9"/>
        <v>0</v>
      </c>
      <c r="G14" s="528">
        <f t="shared" si="10"/>
        <v>0</v>
      </c>
      <c r="H14" s="530">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25"/>
      <c r="U14" s="106" t="s">
        <v>530</v>
      </c>
      <c r="V14" s="514">
        <f t="shared" si="4"/>
        <v>0</v>
      </c>
      <c r="W14" s="515">
        <f t="shared" si="4"/>
        <v>0</v>
      </c>
      <c r="X14" s="515">
        <f t="shared" si="4"/>
        <v>0</v>
      </c>
      <c r="Y14" s="516">
        <f t="shared" si="16"/>
        <v>0</v>
      </c>
      <c r="Z14" s="517">
        <f t="shared" si="17"/>
        <v>0</v>
      </c>
      <c r="AA14" s="425"/>
      <c r="AB14" s="106" t="s">
        <v>530</v>
      </c>
      <c r="AC14" s="514">
        <f t="shared" si="5"/>
        <v>0</v>
      </c>
      <c r="AD14" s="511">
        <f t="shared" si="18"/>
        <v>0</v>
      </c>
      <c r="AE14" s="517"/>
      <c r="AF14" s="425"/>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25">
        <f>VLOOKUP($AB14&amp;$AG14,'IMargin Quartiles'!$A:$F,6,FALSE)</f>
        <v>0.09</v>
      </c>
      <c r="AI14" s="425"/>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25" t="e">
        <f>VLOOKUP($AB14&amp;$AJ14,'IMargin Quartiles'!$A:$F,6,FALSE)</f>
        <v>#DIV/0!</v>
      </c>
      <c r="AL14">
        <f>'PIM Model'!C12</f>
        <v>0</v>
      </c>
      <c r="AM14" s="425"/>
      <c r="AN14" s="425"/>
      <c r="AO14" s="425" t="e">
        <f t="shared" ref="AO14:AO32" si="19">IF($AL14="AVG",IFERROR((W14+AD14)/(V14+AC14),AK14),(W14+AD14)/(V14+AC14))</f>
        <v>#DIV/0!</v>
      </c>
      <c r="AP14" s="425"/>
      <c r="AQ14" s="425"/>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510">
        <f t="shared" si="6"/>
        <v>0</v>
      </c>
      <c r="D15" s="527">
        <f t="shared" si="7"/>
        <v>0</v>
      </c>
      <c r="E15" s="527">
        <f t="shared" si="8"/>
        <v>0</v>
      </c>
      <c r="F15" s="527">
        <f t="shared" si="9"/>
        <v>0</v>
      </c>
      <c r="G15" s="528">
        <f t="shared" si="10"/>
        <v>0</v>
      </c>
      <c r="H15" s="530">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25"/>
      <c r="U15" s="106" t="s">
        <v>102</v>
      </c>
      <c r="V15" s="514">
        <f t="shared" si="4"/>
        <v>0</v>
      </c>
      <c r="W15" s="515">
        <f t="shared" si="4"/>
        <v>0</v>
      </c>
      <c r="X15" s="515">
        <f t="shared" si="4"/>
        <v>0</v>
      </c>
      <c r="Y15" s="516">
        <f t="shared" si="16"/>
        <v>0</v>
      </c>
      <c r="Z15" s="517">
        <f t="shared" si="17"/>
        <v>0</v>
      </c>
      <c r="AA15" s="425"/>
      <c r="AB15" s="106" t="s">
        <v>102</v>
      </c>
      <c r="AC15" s="514">
        <f t="shared" si="5"/>
        <v>0</v>
      </c>
      <c r="AD15" s="511">
        <f t="shared" si="18"/>
        <v>0</v>
      </c>
      <c r="AE15" s="517"/>
      <c r="AF15" s="425"/>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25">
        <f>VLOOKUP($AB15&amp;$AG15,'IMargin Quartiles'!$A:$F,6,FALSE)</f>
        <v>0.18</v>
      </c>
      <c r="AI15" s="425"/>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25" t="e">
        <f>VLOOKUP($AB15&amp;$AJ15,'IMargin Quartiles'!$A:$F,6,FALSE)</f>
        <v>#DIV/0!</v>
      </c>
      <c r="AL15">
        <f>'PIM Model'!C13</f>
        <v>0</v>
      </c>
      <c r="AM15" s="425"/>
      <c r="AN15" s="425"/>
      <c r="AO15" s="425" t="e">
        <f t="shared" si="19"/>
        <v>#DIV/0!</v>
      </c>
      <c r="AP15" s="425"/>
      <c r="AQ15" s="425"/>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510">
        <f t="shared" si="6"/>
        <v>0</v>
      </c>
      <c r="D16" s="527">
        <f t="shared" si="7"/>
        <v>0</v>
      </c>
      <c r="E16" s="527">
        <f t="shared" si="8"/>
        <v>0</v>
      </c>
      <c r="F16" s="527">
        <f t="shared" si="9"/>
        <v>0</v>
      </c>
      <c r="G16" s="528">
        <f t="shared" si="10"/>
        <v>0</v>
      </c>
      <c r="H16" s="530">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25"/>
      <c r="U16" s="106" t="s">
        <v>100</v>
      </c>
      <c r="V16" s="514">
        <f t="shared" si="4"/>
        <v>0</v>
      </c>
      <c r="W16" s="515">
        <f t="shared" si="4"/>
        <v>0</v>
      </c>
      <c r="X16" s="515">
        <f t="shared" si="4"/>
        <v>0</v>
      </c>
      <c r="Y16" s="516">
        <f t="shared" si="16"/>
        <v>0</v>
      </c>
      <c r="Z16" s="517">
        <f t="shared" si="17"/>
        <v>0</v>
      </c>
      <c r="AA16" s="425"/>
      <c r="AB16" s="106" t="s">
        <v>100</v>
      </c>
      <c r="AC16" s="514">
        <f t="shared" si="5"/>
        <v>0</v>
      </c>
      <c r="AD16" s="511">
        <f t="shared" si="18"/>
        <v>0</v>
      </c>
      <c r="AE16" s="517"/>
      <c r="AF16" s="425"/>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25">
        <f>VLOOKUP($AB16&amp;$AG16,'IMargin Quartiles'!$A:$F,6,FALSE)</f>
        <v>0.18</v>
      </c>
      <c r="AI16" s="425"/>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25" t="e">
        <f>VLOOKUP($AB16&amp;$AJ16,'IMargin Quartiles'!$A:$F,6,FALSE)</f>
        <v>#DIV/0!</v>
      </c>
      <c r="AL16">
        <f>'PIM Model'!C14</f>
        <v>0</v>
      </c>
      <c r="AM16" s="425"/>
      <c r="AN16" s="425"/>
      <c r="AO16" s="425" t="e">
        <f t="shared" si="19"/>
        <v>#DIV/0!</v>
      </c>
      <c r="AP16" s="425"/>
      <c r="AQ16" s="425"/>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510">
        <f t="shared" si="6"/>
        <v>0</v>
      </c>
      <c r="D17" s="527">
        <f t="shared" si="7"/>
        <v>0</v>
      </c>
      <c r="E17" s="527">
        <f t="shared" si="8"/>
        <v>0</v>
      </c>
      <c r="F17" s="527">
        <f t="shared" si="9"/>
        <v>0</v>
      </c>
      <c r="G17" s="528">
        <f t="shared" si="10"/>
        <v>0</v>
      </c>
      <c r="H17" s="530">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25"/>
      <c r="U17" s="106" t="s">
        <v>104</v>
      </c>
      <c r="V17" s="514">
        <f t="shared" si="4"/>
        <v>0</v>
      </c>
      <c r="W17" s="515">
        <f t="shared" si="4"/>
        <v>0</v>
      </c>
      <c r="X17" s="515">
        <f t="shared" si="4"/>
        <v>0</v>
      </c>
      <c r="Y17" s="516">
        <f t="shared" si="16"/>
        <v>0</v>
      </c>
      <c r="Z17" s="517">
        <f t="shared" si="17"/>
        <v>0</v>
      </c>
      <c r="AA17" s="425"/>
      <c r="AB17" s="106" t="s">
        <v>104</v>
      </c>
      <c r="AC17" s="514">
        <f t="shared" si="5"/>
        <v>0</v>
      </c>
      <c r="AD17" s="511">
        <f t="shared" si="18"/>
        <v>0</v>
      </c>
      <c r="AE17" s="517"/>
      <c r="AF17" s="425"/>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25">
        <f>VLOOKUP($AB17&amp;$AG17,'IMargin Quartiles'!$A:$F,6,FALSE)</f>
        <v>0.18</v>
      </c>
      <c r="AI17" s="425"/>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25" t="e">
        <f>VLOOKUP($AB17&amp;$AJ17,'IMargin Quartiles'!$A:$F,6,FALSE)</f>
        <v>#DIV/0!</v>
      </c>
      <c r="AL17">
        <f>'PIM Model'!C15</f>
        <v>0</v>
      </c>
      <c r="AM17" s="425"/>
      <c r="AN17" s="425"/>
      <c r="AO17" s="425" t="e">
        <f t="shared" si="19"/>
        <v>#DIV/0!</v>
      </c>
      <c r="AP17" s="425"/>
      <c r="AQ17" s="425"/>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510">
        <f t="shared" si="6"/>
        <v>0</v>
      </c>
      <c r="D18" s="527">
        <f t="shared" si="7"/>
        <v>0</v>
      </c>
      <c r="E18" s="527">
        <f t="shared" si="8"/>
        <v>0</v>
      </c>
      <c r="F18" s="527">
        <f t="shared" si="9"/>
        <v>0</v>
      </c>
      <c r="G18" s="528">
        <f t="shared" si="10"/>
        <v>0</v>
      </c>
      <c r="H18" s="530">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25"/>
      <c r="U18" s="106" t="s">
        <v>98</v>
      </c>
      <c r="V18" s="514">
        <f t="shared" si="4"/>
        <v>0</v>
      </c>
      <c r="W18" s="515">
        <f t="shared" si="4"/>
        <v>0</v>
      </c>
      <c r="X18" s="515">
        <f t="shared" si="4"/>
        <v>0</v>
      </c>
      <c r="Y18" s="516">
        <f t="shared" si="16"/>
        <v>0</v>
      </c>
      <c r="Z18" s="517">
        <f t="shared" si="17"/>
        <v>0</v>
      </c>
      <c r="AA18" s="425"/>
      <c r="AB18" s="106" t="s">
        <v>98</v>
      </c>
      <c r="AC18" s="514">
        <f t="shared" si="5"/>
        <v>0</v>
      </c>
      <c r="AD18" s="511">
        <f t="shared" si="18"/>
        <v>0</v>
      </c>
      <c r="AE18" s="517"/>
      <c r="AF18" s="425"/>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25">
        <f>VLOOKUP($AB18&amp;$AG18,'IMargin Quartiles'!$A:$F,6,FALSE)</f>
        <v>0.17</v>
      </c>
      <c r="AI18" s="425"/>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25" t="e">
        <f>VLOOKUP($AB18&amp;$AJ18,'IMargin Quartiles'!$A:$F,6,FALSE)</f>
        <v>#DIV/0!</v>
      </c>
      <c r="AL18">
        <f>'PIM Model'!C16</f>
        <v>0</v>
      </c>
      <c r="AM18" s="425"/>
      <c r="AN18" s="425"/>
      <c r="AO18" s="425" t="e">
        <f t="shared" si="19"/>
        <v>#DIV/0!</v>
      </c>
      <c r="AP18" s="425"/>
      <c r="AQ18" s="425"/>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510">
        <f t="shared" si="6"/>
        <v>0</v>
      </c>
      <c r="D19" s="527">
        <f t="shared" si="7"/>
        <v>0</v>
      </c>
      <c r="E19" s="527">
        <f t="shared" si="8"/>
        <v>0</v>
      </c>
      <c r="F19" s="527">
        <f t="shared" si="9"/>
        <v>0</v>
      </c>
      <c r="G19" s="528">
        <f t="shared" si="10"/>
        <v>0</v>
      </c>
      <c r="H19" s="530">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25"/>
      <c r="U19" s="106" t="s">
        <v>95</v>
      </c>
      <c r="V19" s="514">
        <f t="shared" si="4"/>
        <v>0</v>
      </c>
      <c r="W19" s="515">
        <f t="shared" si="4"/>
        <v>0</v>
      </c>
      <c r="X19" s="515">
        <f t="shared" si="4"/>
        <v>0</v>
      </c>
      <c r="Y19" s="516">
        <f t="shared" si="16"/>
        <v>0</v>
      </c>
      <c r="Z19" s="517">
        <f t="shared" si="17"/>
        <v>0</v>
      </c>
      <c r="AA19" s="425"/>
      <c r="AB19" s="106" t="s">
        <v>95</v>
      </c>
      <c r="AC19" s="514">
        <f t="shared" si="5"/>
        <v>0</v>
      </c>
      <c r="AD19" s="511">
        <f t="shared" si="18"/>
        <v>0</v>
      </c>
      <c r="AE19" s="517"/>
      <c r="AF19" s="425"/>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25">
        <f>VLOOKUP($AB19&amp;$AG19,'IMargin Quartiles'!$A:$F,6,FALSE)</f>
        <v>0.12</v>
      </c>
      <c r="AI19" s="425"/>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25" t="e">
        <f>VLOOKUP($AB19&amp;$AJ19,'IMargin Quartiles'!$A:$F,6,FALSE)</f>
        <v>#DIV/0!</v>
      </c>
      <c r="AL19">
        <f>'PIM Model'!C17</f>
        <v>0</v>
      </c>
      <c r="AM19" s="425"/>
      <c r="AN19" s="425"/>
      <c r="AO19" s="425" t="e">
        <f t="shared" si="19"/>
        <v>#DIV/0!</v>
      </c>
      <c r="AP19" s="425"/>
      <c r="AQ19" s="425"/>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510">
        <f t="shared" si="6"/>
        <v>0</v>
      </c>
      <c r="D20" s="527">
        <f t="shared" si="7"/>
        <v>0</v>
      </c>
      <c r="E20" s="527">
        <f t="shared" si="8"/>
        <v>0</v>
      </c>
      <c r="F20" s="527">
        <f t="shared" si="9"/>
        <v>0</v>
      </c>
      <c r="G20" s="528">
        <f t="shared" si="10"/>
        <v>0</v>
      </c>
      <c r="H20" s="530">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25"/>
      <c r="U20" s="106" t="s">
        <v>96</v>
      </c>
      <c r="V20" s="514">
        <f t="shared" si="4"/>
        <v>0</v>
      </c>
      <c r="W20" s="515">
        <f t="shared" si="4"/>
        <v>0</v>
      </c>
      <c r="X20" s="515">
        <f t="shared" si="4"/>
        <v>0</v>
      </c>
      <c r="Y20" s="516">
        <f t="shared" si="16"/>
        <v>0</v>
      </c>
      <c r="Z20" s="517">
        <f t="shared" si="17"/>
        <v>0</v>
      </c>
      <c r="AA20" s="425"/>
      <c r="AB20" s="106" t="s">
        <v>96</v>
      </c>
      <c r="AC20" s="514">
        <f t="shared" si="5"/>
        <v>0</v>
      </c>
      <c r="AD20" s="511">
        <f t="shared" si="18"/>
        <v>0</v>
      </c>
      <c r="AE20" s="517"/>
      <c r="AF20" s="425"/>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25">
        <f>VLOOKUP($AB20&amp;$AG20,'IMargin Quartiles'!$A:$F,6,FALSE)</f>
        <v>0.18</v>
      </c>
      <c r="AI20" s="425"/>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25" t="e">
        <f>VLOOKUP($AB20&amp;$AJ20,'IMargin Quartiles'!$A:$F,6,FALSE)</f>
        <v>#DIV/0!</v>
      </c>
      <c r="AL20">
        <f>'PIM Model'!C18</f>
        <v>0</v>
      </c>
      <c r="AM20" s="425"/>
      <c r="AN20" s="425"/>
      <c r="AO20" s="425" t="e">
        <f t="shared" si="19"/>
        <v>#DIV/0!</v>
      </c>
      <c r="AP20" s="425"/>
      <c r="AQ20" s="425"/>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510">
        <f t="shared" si="6"/>
        <v>0</v>
      </c>
      <c r="D21" s="527">
        <f t="shared" si="7"/>
        <v>0</v>
      </c>
      <c r="E21" s="527">
        <f t="shared" si="8"/>
        <v>0</v>
      </c>
      <c r="F21" s="527">
        <f t="shared" si="9"/>
        <v>0</v>
      </c>
      <c r="G21" s="528">
        <f t="shared" si="10"/>
        <v>0</v>
      </c>
      <c r="H21" s="530">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25"/>
      <c r="U21" s="106" t="s">
        <v>101</v>
      </c>
      <c r="V21" s="514">
        <f t="shared" si="4"/>
        <v>0</v>
      </c>
      <c r="W21" s="515">
        <f t="shared" si="4"/>
        <v>0</v>
      </c>
      <c r="X21" s="515">
        <f t="shared" si="4"/>
        <v>0</v>
      </c>
      <c r="Y21" s="516">
        <f t="shared" si="16"/>
        <v>0</v>
      </c>
      <c r="Z21" s="517">
        <f t="shared" si="17"/>
        <v>0</v>
      </c>
      <c r="AA21" s="425"/>
      <c r="AB21" s="106" t="s">
        <v>101</v>
      </c>
      <c r="AC21" s="514">
        <f t="shared" si="5"/>
        <v>0</v>
      </c>
      <c r="AD21" s="511">
        <f t="shared" si="18"/>
        <v>0</v>
      </c>
      <c r="AE21" s="517"/>
      <c r="AF21" s="425"/>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25">
        <f>VLOOKUP($AB21&amp;$AG21,'IMargin Quartiles'!$A:$F,6,FALSE)</f>
        <v>0.18</v>
      </c>
      <c r="AI21" s="425"/>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25" t="e">
        <f>VLOOKUP($AB21&amp;$AJ21,'IMargin Quartiles'!$A:$F,6,FALSE)</f>
        <v>#DIV/0!</v>
      </c>
      <c r="AL21">
        <f>'PIM Model'!C19</f>
        <v>0</v>
      </c>
      <c r="AM21" s="425"/>
      <c r="AN21" s="425"/>
      <c r="AO21" s="425" t="e">
        <f t="shared" si="19"/>
        <v>#DIV/0!</v>
      </c>
      <c r="AP21" s="425"/>
      <c r="AQ21" s="425"/>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510">
        <f t="shared" si="6"/>
        <v>0</v>
      </c>
      <c r="D22" s="527">
        <f t="shared" si="7"/>
        <v>0</v>
      </c>
      <c r="E22" s="527">
        <f t="shared" si="8"/>
        <v>0</v>
      </c>
      <c r="F22" s="527">
        <f t="shared" si="9"/>
        <v>0</v>
      </c>
      <c r="G22" s="528">
        <f t="shared" si="10"/>
        <v>0</v>
      </c>
      <c r="H22" s="530">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25"/>
      <c r="U22" s="106" t="s">
        <v>97</v>
      </c>
      <c r="V22" s="514">
        <f t="shared" si="4"/>
        <v>0</v>
      </c>
      <c r="W22" s="515">
        <f t="shared" si="4"/>
        <v>0</v>
      </c>
      <c r="X22" s="515">
        <f t="shared" si="4"/>
        <v>0</v>
      </c>
      <c r="Y22" s="516">
        <f t="shared" si="16"/>
        <v>0</v>
      </c>
      <c r="Z22" s="517">
        <f t="shared" si="17"/>
        <v>0</v>
      </c>
      <c r="AA22" s="425"/>
      <c r="AB22" s="106" t="s">
        <v>97</v>
      </c>
      <c r="AC22" s="514">
        <f t="shared" si="5"/>
        <v>0</v>
      </c>
      <c r="AD22" s="511">
        <f t="shared" si="18"/>
        <v>0</v>
      </c>
      <c r="AE22" s="517"/>
      <c r="AF22" s="425"/>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25">
        <f>VLOOKUP($AB22&amp;$AG22,'IMargin Quartiles'!$A:$F,6,FALSE)</f>
        <v>0.17</v>
      </c>
      <c r="AI22" s="425"/>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25" t="e">
        <f>VLOOKUP($AB22&amp;$AJ22,'IMargin Quartiles'!$A:$F,6,FALSE)</f>
        <v>#DIV/0!</v>
      </c>
      <c r="AL22">
        <f>'PIM Model'!C20</f>
        <v>0</v>
      </c>
      <c r="AM22" s="425"/>
      <c r="AN22" s="425"/>
      <c r="AO22" s="425" t="e">
        <f t="shared" si="19"/>
        <v>#DIV/0!</v>
      </c>
      <c r="AP22" s="425"/>
      <c r="AQ22" s="425"/>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510">
        <f t="shared" si="6"/>
        <v>0</v>
      </c>
      <c r="D23" s="527">
        <f t="shared" si="7"/>
        <v>0</v>
      </c>
      <c r="E23" s="527">
        <f t="shared" si="8"/>
        <v>0</v>
      </c>
      <c r="F23" s="527">
        <f t="shared" si="9"/>
        <v>0</v>
      </c>
      <c r="G23" s="528">
        <f t="shared" si="10"/>
        <v>0</v>
      </c>
      <c r="H23" s="530">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25"/>
      <c r="U23" s="106" t="s">
        <v>93</v>
      </c>
      <c r="V23" s="514">
        <f t="shared" si="4"/>
        <v>0</v>
      </c>
      <c r="W23" s="515">
        <f t="shared" si="4"/>
        <v>0</v>
      </c>
      <c r="X23" s="515">
        <f t="shared" si="4"/>
        <v>0</v>
      </c>
      <c r="Y23" s="516">
        <f t="shared" si="16"/>
        <v>0</v>
      </c>
      <c r="Z23" s="517">
        <f t="shared" si="17"/>
        <v>0</v>
      </c>
      <c r="AA23" s="425"/>
      <c r="AB23" s="106" t="s">
        <v>93</v>
      </c>
      <c r="AC23" s="514">
        <f t="shared" si="5"/>
        <v>0</v>
      </c>
      <c r="AD23" s="511">
        <f t="shared" si="18"/>
        <v>0</v>
      </c>
      <c r="AE23" s="517"/>
      <c r="AF23" s="425"/>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25">
        <f>VLOOKUP($AB23&amp;$AG23,'IMargin Quartiles'!$A:$F,6,FALSE)</f>
        <v>0.18</v>
      </c>
      <c r="AI23" s="425"/>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25" t="e">
        <f>VLOOKUP($AB23&amp;$AJ23,'IMargin Quartiles'!$A:$F,6,FALSE)</f>
        <v>#DIV/0!</v>
      </c>
      <c r="AL23">
        <f>'PIM Model'!C21</f>
        <v>0</v>
      </c>
      <c r="AM23" s="425"/>
      <c r="AN23" s="425"/>
      <c r="AO23" s="425" t="e">
        <f t="shared" si="19"/>
        <v>#DIV/0!</v>
      </c>
      <c r="AP23" s="425"/>
      <c r="AQ23" s="425"/>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510">
        <f t="shared" si="6"/>
        <v>0</v>
      </c>
      <c r="D24" s="527">
        <f t="shared" si="7"/>
        <v>0</v>
      </c>
      <c r="E24" s="527">
        <f t="shared" si="8"/>
        <v>0</v>
      </c>
      <c r="F24" s="527">
        <f t="shared" si="9"/>
        <v>0</v>
      </c>
      <c r="G24" s="528">
        <f t="shared" si="10"/>
        <v>0</v>
      </c>
      <c r="H24" s="530">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25"/>
      <c r="U24" s="106" t="s">
        <v>105</v>
      </c>
      <c r="V24" s="514">
        <f t="shared" si="4"/>
        <v>0</v>
      </c>
      <c r="W24" s="515">
        <f t="shared" si="4"/>
        <v>0</v>
      </c>
      <c r="X24" s="515">
        <f t="shared" si="4"/>
        <v>0</v>
      </c>
      <c r="Y24" s="516">
        <f t="shared" si="16"/>
        <v>0</v>
      </c>
      <c r="Z24" s="517">
        <f t="shared" si="17"/>
        <v>0</v>
      </c>
      <c r="AA24" s="425"/>
      <c r="AB24" s="106" t="s">
        <v>105</v>
      </c>
      <c r="AC24" s="514">
        <f t="shared" si="5"/>
        <v>0</v>
      </c>
      <c r="AD24" s="511">
        <f t="shared" si="18"/>
        <v>0</v>
      </c>
      <c r="AE24" s="517"/>
      <c r="AF24" s="425"/>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25">
        <f>VLOOKUP($AB24&amp;$AG24,'IMargin Quartiles'!$A:$F,6,FALSE)</f>
        <v>0.18</v>
      </c>
      <c r="AI24" s="425"/>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25" t="e">
        <f>VLOOKUP($AB24&amp;$AJ24,'IMargin Quartiles'!$A:$F,6,FALSE)</f>
        <v>#DIV/0!</v>
      </c>
      <c r="AL24">
        <f>'PIM Model'!C22</f>
        <v>0</v>
      </c>
      <c r="AM24" s="425"/>
      <c r="AN24" s="425"/>
      <c r="AO24" s="425" t="e">
        <f t="shared" si="19"/>
        <v>#DIV/0!</v>
      </c>
      <c r="AP24" s="425"/>
      <c r="AQ24" s="425"/>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510">
        <f t="shared" si="6"/>
        <v>0</v>
      </c>
      <c r="D25" s="527">
        <f t="shared" si="7"/>
        <v>0</v>
      </c>
      <c r="E25" s="527">
        <f t="shared" si="8"/>
        <v>0</v>
      </c>
      <c r="F25" s="527">
        <f t="shared" si="9"/>
        <v>0</v>
      </c>
      <c r="G25" s="528">
        <f t="shared" si="10"/>
        <v>0</v>
      </c>
      <c r="H25" s="530">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25"/>
      <c r="U25" s="106" t="s">
        <v>92</v>
      </c>
      <c r="V25" s="514">
        <f t="shared" si="4"/>
        <v>0</v>
      </c>
      <c r="W25" s="515">
        <f t="shared" si="4"/>
        <v>0</v>
      </c>
      <c r="X25" s="515">
        <f t="shared" si="4"/>
        <v>0</v>
      </c>
      <c r="Y25" s="516">
        <f t="shared" si="16"/>
        <v>0</v>
      </c>
      <c r="Z25" s="517">
        <f t="shared" si="17"/>
        <v>0</v>
      </c>
      <c r="AA25" s="425"/>
      <c r="AB25" s="106" t="s">
        <v>92</v>
      </c>
      <c r="AC25" s="514">
        <f t="shared" si="5"/>
        <v>0</v>
      </c>
      <c r="AD25" s="511">
        <f t="shared" si="18"/>
        <v>0</v>
      </c>
      <c r="AE25" s="517"/>
      <c r="AF25" s="425"/>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25">
        <f>VLOOKUP($AB25&amp;$AG25,'IMargin Quartiles'!$A:$F,6,FALSE)</f>
        <v>0.13</v>
      </c>
      <c r="AI25" s="425"/>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25" t="e">
        <f>VLOOKUP($AB25&amp;$AJ25,'IMargin Quartiles'!$A:$F,6,FALSE)</f>
        <v>#DIV/0!</v>
      </c>
      <c r="AL25">
        <f>'PIM Model'!C23</f>
        <v>0</v>
      </c>
      <c r="AM25" s="425"/>
      <c r="AN25" s="425"/>
      <c r="AO25" s="425" t="e">
        <f t="shared" si="19"/>
        <v>#DIV/0!</v>
      </c>
      <c r="AP25" s="425"/>
      <c r="AQ25" s="425"/>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510">
        <f t="shared" si="6"/>
        <v>0</v>
      </c>
      <c r="D26" s="527">
        <f t="shared" si="7"/>
        <v>0</v>
      </c>
      <c r="E26" s="527">
        <f t="shared" si="8"/>
        <v>0</v>
      </c>
      <c r="F26" s="527">
        <f t="shared" si="9"/>
        <v>0</v>
      </c>
      <c r="G26" s="528">
        <f t="shared" si="10"/>
        <v>0</v>
      </c>
      <c r="H26" s="530">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25"/>
      <c r="U26" s="106" t="s">
        <v>91</v>
      </c>
      <c r="V26" s="514">
        <f t="shared" si="4"/>
        <v>0</v>
      </c>
      <c r="W26" s="515">
        <f t="shared" si="4"/>
        <v>0</v>
      </c>
      <c r="X26" s="515">
        <f t="shared" si="4"/>
        <v>0</v>
      </c>
      <c r="Y26" s="516">
        <f t="shared" si="16"/>
        <v>0</v>
      </c>
      <c r="Z26" s="517">
        <f t="shared" si="17"/>
        <v>0</v>
      </c>
      <c r="AA26" s="425"/>
      <c r="AB26" s="106" t="s">
        <v>91</v>
      </c>
      <c r="AC26" s="514">
        <f t="shared" si="5"/>
        <v>0</v>
      </c>
      <c r="AD26" s="511">
        <f t="shared" si="18"/>
        <v>0</v>
      </c>
      <c r="AE26" s="517"/>
      <c r="AF26" s="425"/>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25">
        <f>VLOOKUP($AB26&amp;$AG26,'IMargin Quartiles'!$A:$F,6,FALSE)</f>
        <v>0.16</v>
      </c>
      <c r="AI26" s="425"/>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25" t="e">
        <f>VLOOKUP($AB26&amp;$AJ26,'IMargin Quartiles'!$A:$F,6,FALSE)</f>
        <v>#DIV/0!</v>
      </c>
      <c r="AL26">
        <f>'PIM Model'!C24</f>
        <v>0</v>
      </c>
      <c r="AM26" s="425"/>
      <c r="AN26" s="425"/>
      <c r="AO26" s="425" t="e">
        <f t="shared" si="19"/>
        <v>#DIV/0!</v>
      </c>
      <c r="AP26" s="425"/>
      <c r="AQ26" s="425"/>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510">
        <f t="shared" si="6"/>
        <v>0</v>
      </c>
      <c r="D27" s="527">
        <f t="shared" si="7"/>
        <v>0</v>
      </c>
      <c r="E27" s="527">
        <f t="shared" si="8"/>
        <v>0</v>
      </c>
      <c r="F27" s="527">
        <f t="shared" si="9"/>
        <v>0</v>
      </c>
      <c r="G27" s="528">
        <f t="shared" si="10"/>
        <v>0</v>
      </c>
      <c r="H27" s="530">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25"/>
      <c r="U27" s="106" t="s">
        <v>90</v>
      </c>
      <c r="V27" s="514">
        <f t="shared" si="4"/>
        <v>0</v>
      </c>
      <c r="W27" s="515">
        <f t="shared" si="4"/>
        <v>0</v>
      </c>
      <c r="X27" s="515">
        <f t="shared" si="4"/>
        <v>0</v>
      </c>
      <c r="Y27" s="516">
        <f t="shared" si="16"/>
        <v>0</v>
      </c>
      <c r="Z27" s="517">
        <f t="shared" si="17"/>
        <v>0</v>
      </c>
      <c r="AA27" s="425"/>
      <c r="AB27" s="106" t="s">
        <v>90</v>
      </c>
      <c r="AC27" s="514">
        <f t="shared" si="5"/>
        <v>0</v>
      </c>
      <c r="AD27" s="511">
        <f t="shared" si="18"/>
        <v>0</v>
      </c>
      <c r="AE27" s="517"/>
      <c r="AF27" s="425"/>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25">
        <f>VLOOKUP($AB27&amp;$AG27,'IMargin Quartiles'!$A:$F,6,FALSE)</f>
        <v>0.11</v>
      </c>
      <c r="AI27" s="425"/>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25" t="e">
        <f>VLOOKUP($AB27&amp;$AJ27,'IMargin Quartiles'!$A:$F,6,FALSE)</f>
        <v>#DIV/0!</v>
      </c>
      <c r="AL27">
        <f>'PIM Model'!C25</f>
        <v>0</v>
      </c>
      <c r="AM27" s="425"/>
      <c r="AN27" s="425"/>
      <c r="AO27" s="425" t="e">
        <f t="shared" si="19"/>
        <v>#DIV/0!</v>
      </c>
      <c r="AP27" s="425"/>
      <c r="AQ27" s="425"/>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510">
        <f t="shared" si="6"/>
        <v>0</v>
      </c>
      <c r="D28" s="527">
        <f t="shared" si="7"/>
        <v>0</v>
      </c>
      <c r="E28" s="527">
        <f t="shared" si="8"/>
        <v>0</v>
      </c>
      <c r="F28" s="527">
        <f t="shared" si="9"/>
        <v>0</v>
      </c>
      <c r="G28" s="528">
        <f t="shared" si="10"/>
        <v>0</v>
      </c>
      <c r="H28" s="530">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25"/>
      <c r="U28" s="106" t="s">
        <v>89</v>
      </c>
      <c r="V28" s="514">
        <f t="shared" si="4"/>
        <v>0</v>
      </c>
      <c r="W28" s="515">
        <f t="shared" si="4"/>
        <v>0</v>
      </c>
      <c r="X28" s="515">
        <f t="shared" si="4"/>
        <v>0</v>
      </c>
      <c r="Y28" s="516">
        <f t="shared" si="16"/>
        <v>0</v>
      </c>
      <c r="Z28" s="517">
        <f t="shared" si="17"/>
        <v>0</v>
      </c>
      <c r="AA28" s="425"/>
      <c r="AB28" s="106" t="s">
        <v>89</v>
      </c>
      <c r="AC28" s="514">
        <f t="shared" si="5"/>
        <v>0</v>
      </c>
      <c r="AD28" s="511">
        <f t="shared" si="18"/>
        <v>0</v>
      </c>
      <c r="AE28" s="517"/>
      <c r="AF28" s="425"/>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25">
        <f>VLOOKUP($AB28&amp;$AG28,'IMargin Quartiles'!$A:$F,6,FALSE)</f>
        <v>0.17</v>
      </c>
      <c r="AI28" s="425"/>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25" t="e">
        <f>VLOOKUP($AB28&amp;$AJ28,'IMargin Quartiles'!$A:$F,6,FALSE)</f>
        <v>#DIV/0!</v>
      </c>
      <c r="AL28">
        <f>'PIM Model'!C26</f>
        <v>0</v>
      </c>
      <c r="AM28" s="425"/>
      <c r="AN28" s="425"/>
      <c r="AO28" s="425" t="e">
        <f t="shared" si="19"/>
        <v>#DIV/0!</v>
      </c>
      <c r="AP28" s="425"/>
      <c r="AQ28" s="425"/>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510">
        <f t="shared" si="6"/>
        <v>0</v>
      </c>
      <c r="D29" s="527">
        <f t="shared" si="7"/>
        <v>0</v>
      </c>
      <c r="E29" s="527">
        <f t="shared" si="8"/>
        <v>0</v>
      </c>
      <c r="F29" s="527">
        <f t="shared" si="9"/>
        <v>0</v>
      </c>
      <c r="G29" s="528">
        <f t="shared" si="10"/>
        <v>0</v>
      </c>
      <c r="H29" s="530">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25"/>
      <c r="U29" s="106" t="s">
        <v>94</v>
      </c>
      <c r="V29" s="514">
        <f t="shared" si="4"/>
        <v>0</v>
      </c>
      <c r="W29" s="515">
        <f t="shared" si="4"/>
        <v>0</v>
      </c>
      <c r="X29" s="515">
        <f t="shared" si="4"/>
        <v>0</v>
      </c>
      <c r="Y29" s="516">
        <f t="shared" si="16"/>
        <v>0</v>
      </c>
      <c r="Z29" s="517">
        <f t="shared" si="17"/>
        <v>0</v>
      </c>
      <c r="AA29" s="425"/>
      <c r="AB29" s="106" t="s">
        <v>94</v>
      </c>
      <c r="AC29" s="514">
        <f t="shared" si="5"/>
        <v>0</v>
      </c>
      <c r="AD29" s="511">
        <f t="shared" si="18"/>
        <v>0</v>
      </c>
      <c r="AE29" s="517"/>
      <c r="AF29" s="425"/>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25">
        <f>VLOOKUP($AB29&amp;$AG29,'IMargin Quartiles'!$A:$F,6,FALSE)</f>
        <v>0.16</v>
      </c>
      <c r="AI29" s="425"/>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25" t="e">
        <f>VLOOKUP($AB29&amp;$AJ29,'IMargin Quartiles'!$A:$F,6,FALSE)</f>
        <v>#DIV/0!</v>
      </c>
      <c r="AL29">
        <f>'PIM Model'!C27</f>
        <v>0</v>
      </c>
      <c r="AM29" s="425"/>
      <c r="AN29" s="425"/>
      <c r="AO29" s="425" t="e">
        <f t="shared" si="19"/>
        <v>#DIV/0!</v>
      </c>
      <c r="AP29" s="425"/>
      <c r="AQ29" s="425"/>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510">
        <f t="shared" si="6"/>
        <v>0</v>
      </c>
      <c r="D30" s="527">
        <f t="shared" si="7"/>
        <v>0</v>
      </c>
      <c r="E30" s="527">
        <f t="shared" si="8"/>
        <v>0</v>
      </c>
      <c r="F30" s="527">
        <f t="shared" si="9"/>
        <v>0</v>
      </c>
      <c r="G30" s="528">
        <f t="shared" si="10"/>
        <v>0</v>
      </c>
      <c r="H30" s="530">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25"/>
      <c r="U30" s="106" t="s">
        <v>86</v>
      </c>
      <c r="V30" s="514">
        <f t="shared" si="4"/>
        <v>0</v>
      </c>
      <c r="W30" s="515">
        <f t="shared" si="4"/>
        <v>0</v>
      </c>
      <c r="X30" s="515">
        <f t="shared" si="4"/>
        <v>0</v>
      </c>
      <c r="Y30" s="516">
        <f t="shared" si="16"/>
        <v>0</v>
      </c>
      <c r="Z30" s="517">
        <f t="shared" si="17"/>
        <v>0</v>
      </c>
      <c r="AA30" s="425"/>
      <c r="AB30" s="106" t="s">
        <v>86</v>
      </c>
      <c r="AC30" s="514">
        <f t="shared" si="5"/>
        <v>0</v>
      </c>
      <c r="AD30" s="511">
        <f t="shared" si="18"/>
        <v>0</v>
      </c>
      <c r="AE30" s="517"/>
      <c r="AF30" s="425"/>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25">
        <f>VLOOKUP($AB30&amp;$AG30,'IMargin Quartiles'!$A:$F,6,FALSE)</f>
        <v>0.17</v>
      </c>
      <c r="AI30" s="425"/>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25" t="e">
        <f>VLOOKUP($AB30&amp;$AJ30,'IMargin Quartiles'!$A:$F,6,FALSE)</f>
        <v>#DIV/0!</v>
      </c>
      <c r="AL30">
        <f>'PIM Model'!C28</f>
        <v>0</v>
      </c>
      <c r="AM30" s="425"/>
      <c r="AN30" s="425"/>
      <c r="AO30" s="425" t="e">
        <f t="shared" si="19"/>
        <v>#DIV/0!</v>
      </c>
      <c r="AP30" s="425"/>
      <c r="AQ30" s="425"/>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510">
        <f t="shared" si="6"/>
        <v>0</v>
      </c>
      <c r="D31" s="527">
        <f t="shared" si="7"/>
        <v>0</v>
      </c>
      <c r="E31" s="527">
        <f t="shared" si="8"/>
        <v>0</v>
      </c>
      <c r="F31" s="527">
        <f t="shared" si="9"/>
        <v>0</v>
      </c>
      <c r="G31" s="528">
        <f t="shared" si="10"/>
        <v>0</v>
      </c>
      <c r="H31" s="530">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25"/>
      <c r="U31" s="106" t="s">
        <v>88</v>
      </c>
      <c r="V31" s="514">
        <f t="shared" si="4"/>
        <v>0</v>
      </c>
      <c r="W31" s="515">
        <f t="shared" si="4"/>
        <v>0</v>
      </c>
      <c r="X31" s="515">
        <f t="shared" si="4"/>
        <v>0</v>
      </c>
      <c r="Y31" s="516">
        <f t="shared" si="16"/>
        <v>0</v>
      </c>
      <c r="Z31" s="517">
        <f t="shared" si="17"/>
        <v>0</v>
      </c>
      <c r="AA31" s="425"/>
      <c r="AB31" s="106" t="s">
        <v>88</v>
      </c>
      <c r="AC31" s="514">
        <f t="shared" si="5"/>
        <v>0</v>
      </c>
      <c r="AD31" s="511">
        <f t="shared" si="18"/>
        <v>0</v>
      </c>
      <c r="AE31" s="517"/>
      <c r="AF31" s="425"/>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25">
        <f>VLOOKUP($AB31&amp;$AG31,'IMargin Quartiles'!$A:$F,6,FALSE)</f>
        <v>0.13</v>
      </c>
      <c r="AI31" s="425"/>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25" t="e">
        <f>VLOOKUP($AB31&amp;$AJ31,'IMargin Quartiles'!$A:$F,6,FALSE)</f>
        <v>#DIV/0!</v>
      </c>
      <c r="AL31">
        <f>'PIM Model'!C29</f>
        <v>0</v>
      </c>
      <c r="AM31" s="425"/>
      <c r="AN31" s="425"/>
      <c r="AO31" s="425" t="e">
        <f t="shared" si="19"/>
        <v>#DIV/0!</v>
      </c>
      <c r="AP31" s="425"/>
      <c r="AQ31" s="425"/>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510">
        <f t="shared" si="6"/>
        <v>0</v>
      </c>
      <c r="D32" s="527">
        <f t="shared" si="7"/>
        <v>0</v>
      </c>
      <c r="E32" s="527">
        <f t="shared" si="8"/>
        <v>0</v>
      </c>
      <c r="F32" s="527">
        <f t="shared" si="9"/>
        <v>0</v>
      </c>
      <c r="G32" s="528">
        <f t="shared" si="10"/>
        <v>0</v>
      </c>
      <c r="H32" s="531">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25"/>
      <c r="U32" s="107" t="s">
        <v>87</v>
      </c>
      <c r="V32" s="518">
        <f t="shared" si="4"/>
        <v>0</v>
      </c>
      <c r="W32" s="519">
        <f t="shared" si="4"/>
        <v>0</v>
      </c>
      <c r="X32" s="519">
        <f t="shared" si="4"/>
        <v>0</v>
      </c>
      <c r="Y32" s="520">
        <f t="shared" si="16"/>
        <v>0</v>
      </c>
      <c r="Z32" s="521">
        <f t="shared" si="17"/>
        <v>0</v>
      </c>
      <c r="AA32" s="425"/>
      <c r="AB32" s="107" t="s">
        <v>87</v>
      </c>
      <c r="AC32" s="518">
        <f t="shared" si="5"/>
        <v>0</v>
      </c>
      <c r="AD32" s="511">
        <f t="shared" si="18"/>
        <v>0</v>
      </c>
      <c r="AE32" s="521"/>
      <c r="AF32" s="425"/>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25">
        <f>VLOOKUP($AB32&amp;$AG32,'IMargin Quartiles'!$A:$F,6,FALSE)</f>
        <v>0.11</v>
      </c>
      <c r="AI32" s="425"/>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25" t="e">
        <f>VLOOKUP($AB32&amp;$AJ32,'IMargin Quartiles'!$A:$F,6,FALSE)</f>
        <v>#DIV/0!</v>
      </c>
      <c r="AL32">
        <f>'PIM Model'!C30</f>
        <v>0</v>
      </c>
      <c r="AM32" s="425"/>
      <c r="AN32" s="425"/>
      <c r="AO32" s="425" t="e">
        <f t="shared" si="19"/>
        <v>#DIV/0!</v>
      </c>
      <c r="AP32" s="425"/>
      <c r="AQ32" s="425"/>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22">
        <f>SUM(V12:V32)</f>
        <v>0</v>
      </c>
      <c r="W33" s="523">
        <f>SUM(W12:W32)</f>
        <v>0</v>
      </c>
      <c r="X33" s="523">
        <f>SUM(X12:X32)</f>
        <v>0</v>
      </c>
      <c r="Y33" s="524">
        <f t="shared" ref="Y33" si="20">IFERROR(W33/V33,0)</f>
        <v>0</v>
      </c>
      <c r="Z33" s="525">
        <f t="shared" ref="Z33" si="21">IFERROR(X33/V33,0)</f>
        <v>0</v>
      </c>
      <c r="AA33" s="112"/>
      <c r="AB33" s="112"/>
      <c r="AC33" s="522">
        <f>SUM(AC12:AC32)</f>
        <v>0</v>
      </c>
      <c r="AD33" s="711">
        <f>SUM(AD12:AD32)</f>
        <v>0</v>
      </c>
      <c r="AE33" s="525">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28">
        <f t="shared" si="22"/>
        <v>0</v>
      </c>
      <c r="AZ33" s="111">
        <f t="shared" si="22"/>
        <v>0</v>
      </c>
      <c r="BA33" s="421"/>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28">
        <f t="shared" si="30"/>
        <v>0</v>
      </c>
      <c r="DT33" s="111">
        <f t="shared" si="30"/>
        <v>0</v>
      </c>
      <c r="DU33" s="112"/>
      <c r="DX33" s="109">
        <f t="shared" ref="DX33:EC33" si="31">SUM(DX12:DX32)</f>
        <v>0</v>
      </c>
      <c r="DY33" s="110">
        <f t="shared" si="31"/>
        <v>0</v>
      </c>
      <c r="DZ33" s="110">
        <f t="shared" si="31"/>
        <v>0</v>
      </c>
      <c r="EA33" s="110">
        <f t="shared" si="31"/>
        <v>0</v>
      </c>
      <c r="EB33" s="428">
        <f t="shared" si="31"/>
        <v>0</v>
      </c>
      <c r="EC33" s="111">
        <f t="shared" si="31"/>
        <v>0</v>
      </c>
      <c r="EF33" s="109"/>
      <c r="EG33" s="110"/>
      <c r="EH33" s="110"/>
      <c r="EI33" s="110"/>
      <c r="EJ33" s="428"/>
      <c r="EK33" s="111"/>
      <c r="EL33" s="112"/>
      <c r="EO33" s="109"/>
      <c r="EP33" s="110"/>
      <c r="EQ33" s="110"/>
      <c r="ER33" s="110"/>
      <c r="ES33" s="428"/>
      <c r="ET33" s="111"/>
    </row>
    <row r="34" spans="3:150" ht="15.75" thickBot="1" x14ac:dyDescent="0.3">
      <c r="C34" s="23"/>
      <c r="E34" s="488" t="e">
        <f>E33/D33</f>
        <v>#DIV/0!</v>
      </c>
      <c r="AV34" s="533"/>
    </row>
    <row r="35" spans="3:150" x14ac:dyDescent="0.25">
      <c r="L35" s="379"/>
      <c r="M35" s="490" t="s">
        <v>877</v>
      </c>
      <c r="N35" s="382"/>
    </row>
    <row r="36" spans="3:150" x14ac:dyDescent="0.25">
      <c r="L36" s="491">
        <f>RANK(N36,$N$37:$N$41)</f>
        <v>1</v>
      </c>
      <c r="M36" s="489" t="s">
        <v>981</v>
      </c>
      <c r="N36" s="492">
        <f t="shared" ref="N36" si="32">COUNTIF($AU$45:$DX$45,M36)</f>
        <v>0</v>
      </c>
      <c r="AT36" s="108" t="s">
        <v>863</v>
      </c>
      <c r="AU36" s="90">
        <f>AU1</f>
        <v>0</v>
      </c>
      <c r="BC36" s="108" t="s">
        <v>863</v>
      </c>
      <c r="BD36" s="90">
        <f>BD1</f>
        <v>0</v>
      </c>
      <c r="BL36" s="108" t="s">
        <v>863</v>
      </c>
      <c r="BM36" s="90">
        <f>BM1</f>
        <v>0</v>
      </c>
      <c r="BU36" s="108" t="s">
        <v>863</v>
      </c>
      <c r="BV36" s="90">
        <f>BV1</f>
        <v>0</v>
      </c>
      <c r="CD36" s="108" t="s">
        <v>863</v>
      </c>
      <c r="CE36" s="90">
        <f>CE1</f>
        <v>0</v>
      </c>
      <c r="CM36" s="108" t="s">
        <v>863</v>
      </c>
      <c r="CN36" s="90">
        <f>CN1</f>
        <v>0</v>
      </c>
      <c r="CV36" s="108" t="s">
        <v>863</v>
      </c>
      <c r="CW36" s="90">
        <f>CW1</f>
        <v>0</v>
      </c>
      <c r="DE36" s="108" t="s">
        <v>863</v>
      </c>
      <c r="DF36" s="90">
        <f>DF1</f>
        <v>0</v>
      </c>
      <c r="DN36" s="108" t="s">
        <v>863</v>
      </c>
      <c r="DO36" s="90">
        <f>DO1</f>
        <v>0</v>
      </c>
      <c r="DW36" s="108" t="s">
        <v>863</v>
      </c>
      <c r="DX36" s="90">
        <f>DX1</f>
        <v>0</v>
      </c>
    </row>
    <row r="37" spans="3:150" x14ac:dyDescent="0.25">
      <c r="L37" s="491">
        <f t="shared" ref="L37:L45" si="33">RANK(N37,$N$37:$N$45)</f>
        <v>1</v>
      </c>
      <c r="M37" s="489" t="s">
        <v>1</v>
      </c>
      <c r="N37" s="492">
        <f>COUNTIF('Variable Costs (Back)'!$C$15:$C$24,M37)</f>
        <v>0</v>
      </c>
      <c r="AT37" s="108" t="s">
        <v>864</v>
      </c>
      <c r="AU37" s="90" t="e">
        <f>VLOOKUP(AU$1,'Existing Customers'!$A:$AA,2,FALSE)</f>
        <v>#N/A</v>
      </c>
      <c r="BC37" s="108" t="s">
        <v>864</v>
      </c>
      <c r="BD37" s="90" t="e">
        <f>VLOOKUP(BD$1,'Existing Customers'!$A:$AA,2,FALSE)</f>
        <v>#N/A</v>
      </c>
      <c r="BL37" s="108" t="s">
        <v>864</v>
      </c>
      <c r="BM37" s="90" t="e">
        <f>VLOOKUP(BM$1,'Existing Customers'!$A:$AA,2,FALSE)</f>
        <v>#N/A</v>
      </c>
      <c r="BU37" s="108" t="s">
        <v>864</v>
      </c>
      <c r="BV37" s="90" t="e">
        <f>VLOOKUP(BV$1,'Existing Customers'!$A:$AA,2,FALSE)</f>
        <v>#N/A</v>
      </c>
      <c r="CD37" s="108" t="s">
        <v>864</v>
      </c>
      <c r="CE37" s="90" t="e">
        <f>VLOOKUP(CE$1,'Existing Customers'!$A:$AA,2,FALSE)</f>
        <v>#N/A</v>
      </c>
      <c r="CM37" s="108" t="s">
        <v>864</v>
      </c>
      <c r="CN37" s="90" t="e">
        <f>VLOOKUP(CN$1,'Existing Customers'!$A:$AA,2,FALSE)</f>
        <v>#N/A</v>
      </c>
      <c r="CV37" s="108" t="s">
        <v>864</v>
      </c>
      <c r="CW37" s="90" t="e">
        <f>VLOOKUP(CW$1,'Existing Customers'!$A:$AA,2,FALSE)</f>
        <v>#N/A</v>
      </c>
      <c r="DE37" s="108" t="s">
        <v>864</v>
      </c>
      <c r="DF37" s="90" t="e">
        <f>VLOOKUP(DF$1,'Existing Customers'!$A:$AA,2,FALSE)</f>
        <v>#N/A</v>
      </c>
      <c r="DN37" s="108" t="s">
        <v>864</v>
      </c>
      <c r="DO37" s="90" t="e">
        <f>VLOOKUP(DO$1,'Existing Customers'!$A:$AA,2,FALSE)</f>
        <v>#N/A</v>
      </c>
      <c r="DW37" s="108" t="s">
        <v>864</v>
      </c>
      <c r="DX37" s="90" t="e">
        <f>VLOOKUP(DX$1,'Existing Customers'!$A:$AA,2,FALSE)</f>
        <v>#N/A</v>
      </c>
    </row>
    <row r="38" spans="3:150" x14ac:dyDescent="0.25">
      <c r="L38" s="491">
        <f t="shared" si="33"/>
        <v>1</v>
      </c>
      <c r="M38" s="489" t="s">
        <v>114</v>
      </c>
      <c r="N38" s="492">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91">
        <f t="shared" si="33"/>
        <v>1</v>
      </c>
      <c r="M39" s="489" t="s">
        <v>116</v>
      </c>
      <c r="N39" s="492">
        <f>COUNTIF('Variable Costs (Back)'!$C$15:$C$24,M39)</f>
        <v>0</v>
      </c>
      <c r="AT39" s="108" t="s">
        <v>865</v>
      </c>
      <c r="AU39" s="90" t="e">
        <f>VLOOKUP(AU$1,'Existing Customers'!$A:$AA,25,FALSE)</f>
        <v>#N/A</v>
      </c>
      <c r="BC39" s="108" t="s">
        <v>865</v>
      </c>
      <c r="BD39" s="90" t="e">
        <f>VLOOKUP(BD$1,'Existing Customers'!$A:$AA,25,FALSE)</f>
        <v>#N/A</v>
      </c>
      <c r="BL39" s="108" t="s">
        <v>865</v>
      </c>
      <c r="BM39" s="90" t="e">
        <f>VLOOKUP(BM$1,'Existing Customers'!$A:$AA,25,FALSE)</f>
        <v>#N/A</v>
      </c>
      <c r="BU39" s="108" t="s">
        <v>865</v>
      </c>
      <c r="BV39" s="90" t="e">
        <f>VLOOKUP(BV$1,'Existing Customers'!$A:$AA,25,FALSE)</f>
        <v>#N/A</v>
      </c>
      <c r="CD39" s="108" t="s">
        <v>865</v>
      </c>
      <c r="CE39" s="90" t="e">
        <f>VLOOKUP(CE$1,'Existing Customers'!$A:$AA,25,FALSE)</f>
        <v>#N/A</v>
      </c>
      <c r="CM39" s="108" t="s">
        <v>865</v>
      </c>
      <c r="CN39" s="90" t="e">
        <f>VLOOKUP(CN$1,'Existing Customers'!$A:$AA,25,FALSE)</f>
        <v>#N/A</v>
      </c>
      <c r="CV39" s="108" t="s">
        <v>865</v>
      </c>
      <c r="CW39" s="90" t="e">
        <f>VLOOKUP(CW$1,'Existing Customers'!$A:$AA,25,FALSE)</f>
        <v>#N/A</v>
      </c>
      <c r="DE39" s="108" t="s">
        <v>865</v>
      </c>
      <c r="DF39" s="90" t="e">
        <f>VLOOKUP(DF$1,'Existing Customers'!$A:$AA,25,FALSE)</f>
        <v>#N/A</v>
      </c>
      <c r="DN39" s="108" t="s">
        <v>865</v>
      </c>
      <c r="DO39" s="90" t="e">
        <f>VLOOKUP(DO$1,'Existing Customers'!$A:$AA,25,FALSE)</f>
        <v>#N/A</v>
      </c>
      <c r="DW39" s="108" t="s">
        <v>865</v>
      </c>
      <c r="DX39" s="90" t="e">
        <f>VLOOKUP(DX$1,'Existing Customers'!$A:$AA,25,FALSE)</f>
        <v>#N/A</v>
      </c>
    </row>
    <row r="40" spans="3:150" x14ac:dyDescent="0.25">
      <c r="L40" s="491">
        <f t="shared" si="33"/>
        <v>1</v>
      </c>
      <c r="M40" s="489" t="s">
        <v>112</v>
      </c>
      <c r="N40" s="492">
        <f>COUNTIF('Variable Costs (Back)'!$C$15:$C$24,M40)</f>
        <v>0</v>
      </c>
      <c r="AT40" s="108" t="s">
        <v>866</v>
      </c>
      <c r="AU40" s="90" t="e">
        <f>VLOOKUP(AU$1,'Existing Customers'!$A:$AA,26,FALSE)</f>
        <v>#N/A</v>
      </c>
      <c r="BC40" s="108" t="s">
        <v>866</v>
      </c>
      <c r="BD40" s="90" t="e">
        <f>VLOOKUP(BD$1,'Existing Customers'!$A:$AA,26,FALSE)</f>
        <v>#N/A</v>
      </c>
      <c r="BL40" s="108" t="s">
        <v>866</v>
      </c>
      <c r="BM40" s="90" t="e">
        <f>VLOOKUP(BM$1,'Existing Customers'!$A:$AA,26,FALSE)</f>
        <v>#N/A</v>
      </c>
      <c r="BU40" s="108" t="s">
        <v>866</v>
      </c>
      <c r="BV40" s="90" t="e">
        <f>VLOOKUP(BV$1,'Existing Customers'!$A:$AA,26,FALSE)</f>
        <v>#N/A</v>
      </c>
      <c r="CD40" s="108" t="s">
        <v>866</v>
      </c>
      <c r="CE40" s="90" t="e">
        <f>VLOOKUP(CE$1,'Existing Customers'!$A:$AA,26,FALSE)</f>
        <v>#N/A</v>
      </c>
      <c r="CM40" s="108" t="s">
        <v>866</v>
      </c>
      <c r="CN40" s="90" t="e">
        <f>VLOOKUP(CN$1,'Existing Customers'!$A:$AA,26,FALSE)</f>
        <v>#N/A</v>
      </c>
      <c r="CV40" s="108" t="s">
        <v>866</v>
      </c>
      <c r="CW40" s="90" t="e">
        <f>VLOOKUP(CW$1,'Existing Customers'!$A:$AA,26,FALSE)</f>
        <v>#N/A</v>
      </c>
      <c r="DE40" s="108" t="s">
        <v>866</v>
      </c>
      <c r="DF40" s="90" t="e">
        <f>VLOOKUP(DF$1,'Existing Customers'!$A:$AA,26,FALSE)</f>
        <v>#N/A</v>
      </c>
      <c r="DN40" s="108" t="s">
        <v>866</v>
      </c>
      <c r="DO40" s="90" t="e">
        <f>VLOOKUP(DO$1,'Existing Customers'!$A:$AA,26,FALSE)</f>
        <v>#N/A</v>
      </c>
      <c r="DW40" s="108" t="s">
        <v>866</v>
      </c>
      <c r="DX40" s="90" t="e">
        <f>VLOOKUP(DX$1,'Existing Customers'!$A:$AA,26,FALSE)</f>
        <v>#N/A</v>
      </c>
    </row>
    <row r="41" spans="3:150" x14ac:dyDescent="0.25">
      <c r="L41" s="491">
        <f t="shared" si="33"/>
        <v>1</v>
      </c>
      <c r="M41" s="489" t="s">
        <v>113</v>
      </c>
      <c r="N41" s="492">
        <f>COUNTIF('Variable Costs (Back)'!$C$15:$C$24,M41)</f>
        <v>0</v>
      </c>
      <c r="AT41" s="108" t="s">
        <v>867</v>
      </c>
      <c r="AU41" s="90" t="e">
        <f>VLOOKUP(AU$1,'Existing Customers'!$A:$AA,23,FALSE)</f>
        <v>#N/A</v>
      </c>
      <c r="BC41" s="108" t="s">
        <v>867</v>
      </c>
      <c r="BD41" s="90" t="e">
        <f>VLOOKUP(BD$1,'Existing Customers'!$A:$AA,23,FALSE)</f>
        <v>#N/A</v>
      </c>
      <c r="BL41" s="108" t="s">
        <v>867</v>
      </c>
      <c r="BM41" s="90" t="e">
        <f>VLOOKUP(BM$1,'Existing Customers'!$A:$AA,23,FALSE)</f>
        <v>#N/A</v>
      </c>
      <c r="BU41" s="108" t="s">
        <v>867</v>
      </c>
      <c r="BV41" s="90" t="e">
        <f>VLOOKUP(BV$1,'Existing Customers'!$A:$AA,23,FALSE)</f>
        <v>#N/A</v>
      </c>
      <c r="CD41" s="108" t="s">
        <v>867</v>
      </c>
      <c r="CE41" s="90" t="e">
        <f>VLOOKUP(CE$1,'Existing Customers'!$A:$AA,23,FALSE)</f>
        <v>#N/A</v>
      </c>
      <c r="CM41" s="108" t="s">
        <v>867</v>
      </c>
      <c r="CN41" s="90" t="e">
        <f>VLOOKUP(CN$1,'Existing Customers'!$A:$AA,23,FALSE)</f>
        <v>#N/A</v>
      </c>
      <c r="CV41" s="108" t="s">
        <v>867</v>
      </c>
      <c r="CW41" s="90" t="e">
        <f>VLOOKUP(CW$1,'Existing Customers'!$A:$AA,23,FALSE)</f>
        <v>#N/A</v>
      </c>
      <c r="DE41" s="108" t="s">
        <v>867</v>
      </c>
      <c r="DF41" s="90" t="e">
        <f>VLOOKUP(DF$1,'Existing Customers'!$A:$AA,23,FALSE)</f>
        <v>#N/A</v>
      </c>
      <c r="DN41" s="108" t="s">
        <v>867</v>
      </c>
      <c r="DO41" s="90" t="e">
        <f>VLOOKUP(DO$1,'Existing Customers'!$A:$AA,23,FALSE)</f>
        <v>#N/A</v>
      </c>
      <c r="DW41" s="108" t="s">
        <v>867</v>
      </c>
      <c r="DX41" s="90" t="e">
        <f>VLOOKUP(DX$1,'Existing Customers'!$A:$AA,23,FALSE)</f>
        <v>#N/A</v>
      </c>
    </row>
    <row r="42" spans="3:150" x14ac:dyDescent="0.25">
      <c r="L42" s="491">
        <f t="shared" si="33"/>
        <v>1</v>
      </c>
      <c r="M42" s="489" t="s">
        <v>111</v>
      </c>
      <c r="N42" s="492">
        <f>COUNTIF('Variable Costs (Back)'!$C$15:$C$24,M42)</f>
        <v>0</v>
      </c>
      <c r="AT42" s="108" t="s">
        <v>868</v>
      </c>
      <c r="AU42" s="90" t="e">
        <f>VLOOKUP(AU$1,'Existing Customers'!$A:$AA,24,FALSE)</f>
        <v>#N/A</v>
      </c>
      <c r="BC42" s="108" t="s">
        <v>868</v>
      </c>
      <c r="BD42" s="90" t="e">
        <f>VLOOKUP(BD$1,'Existing Customers'!$A:$AA,24,FALSE)</f>
        <v>#N/A</v>
      </c>
      <c r="BL42" s="108" t="s">
        <v>868</v>
      </c>
      <c r="BM42" s="90" t="e">
        <f>VLOOKUP(BM$1,'Existing Customers'!$A:$AA,24,FALSE)</f>
        <v>#N/A</v>
      </c>
      <c r="BU42" s="108" t="s">
        <v>868</v>
      </c>
      <c r="BV42" s="90" t="e">
        <f>VLOOKUP(BV$1,'Existing Customers'!$A:$AA,24,FALSE)</f>
        <v>#N/A</v>
      </c>
      <c r="CD42" s="108" t="s">
        <v>868</v>
      </c>
      <c r="CE42" s="90" t="e">
        <f>VLOOKUP(CE$1,'Existing Customers'!$A:$AA,24,FALSE)</f>
        <v>#N/A</v>
      </c>
      <c r="CM42" s="108" t="s">
        <v>868</v>
      </c>
      <c r="CN42" s="90" t="e">
        <f>VLOOKUP(CN$1,'Existing Customers'!$A:$AA,24,FALSE)</f>
        <v>#N/A</v>
      </c>
      <c r="CV42" s="108" t="s">
        <v>868</v>
      </c>
      <c r="CW42" s="90" t="e">
        <f>VLOOKUP(CW$1,'Existing Customers'!$A:$AA,24,FALSE)</f>
        <v>#N/A</v>
      </c>
      <c r="DE42" s="108" t="s">
        <v>868</v>
      </c>
      <c r="DF42" s="90" t="e">
        <f>VLOOKUP(DF$1,'Existing Customers'!$A:$AA,24,FALSE)</f>
        <v>#N/A</v>
      </c>
      <c r="DN42" s="108" t="s">
        <v>868</v>
      </c>
      <c r="DO42" s="90" t="e">
        <f>VLOOKUP(DO$1,'Existing Customers'!$A:$AA,24,FALSE)</f>
        <v>#N/A</v>
      </c>
      <c r="DW42" s="108" t="s">
        <v>868</v>
      </c>
      <c r="DX42" s="90" t="e">
        <f>VLOOKUP(DX$1,'Existing Customers'!$A:$AA,24,FALSE)</f>
        <v>#N/A</v>
      </c>
    </row>
    <row r="43" spans="3:150" x14ac:dyDescent="0.25">
      <c r="L43" s="491">
        <f t="shared" si="33"/>
        <v>1</v>
      </c>
      <c r="M43" s="489" t="s">
        <v>118</v>
      </c>
      <c r="N43" s="492">
        <f>COUNTIF('Variable Costs (Back)'!$C$15:$C$24,M43)</f>
        <v>0</v>
      </c>
      <c r="AT43" s="108" t="s">
        <v>869</v>
      </c>
      <c r="AU43" s="90" t="e">
        <f>VLOOKUP(AU$1,'Existing Customers'!$A:$AA,9,FALSE)</f>
        <v>#N/A</v>
      </c>
      <c r="BC43" s="108" t="s">
        <v>869</v>
      </c>
      <c r="BD43" s="90" t="e">
        <f>VLOOKUP(BD$1,'Existing Customers'!$A:$AA,9,FALSE)</f>
        <v>#N/A</v>
      </c>
      <c r="BL43" s="108" t="s">
        <v>869</v>
      </c>
      <c r="BM43" s="90" t="e">
        <f>VLOOKUP(BM$1,'Existing Customers'!$A:$AA,9,FALSE)</f>
        <v>#N/A</v>
      </c>
      <c r="BU43" s="108" t="s">
        <v>869</v>
      </c>
      <c r="BV43" s="90" t="e">
        <f>VLOOKUP(BV$1,'Existing Customers'!$A:$AA,9,FALSE)</f>
        <v>#N/A</v>
      </c>
      <c r="CD43" s="108" t="s">
        <v>869</v>
      </c>
      <c r="CE43" s="90" t="e">
        <f>VLOOKUP(CE$1,'Existing Customers'!$A:$AA,9,FALSE)</f>
        <v>#N/A</v>
      </c>
      <c r="CM43" s="108" t="s">
        <v>869</v>
      </c>
      <c r="CN43" s="90" t="e">
        <f>VLOOKUP(CN$1,'Existing Customers'!$A:$AA,9,FALSE)</f>
        <v>#N/A</v>
      </c>
      <c r="CV43" s="108" t="s">
        <v>869</v>
      </c>
      <c r="CW43" s="90" t="e">
        <f>VLOOKUP(CW$1,'Existing Customers'!$A:$AA,9,FALSE)</f>
        <v>#N/A</v>
      </c>
      <c r="DE43" s="108" t="s">
        <v>869</v>
      </c>
      <c r="DF43" s="90" t="e">
        <f>VLOOKUP(DF$1,'Existing Customers'!$A:$AA,9,FALSE)</f>
        <v>#N/A</v>
      </c>
      <c r="DN43" s="108" t="s">
        <v>869</v>
      </c>
      <c r="DO43" s="90" t="e">
        <f>VLOOKUP(DO$1,'Existing Customers'!$A:$AA,9,FALSE)</f>
        <v>#N/A</v>
      </c>
      <c r="DW43" s="108" t="s">
        <v>869</v>
      </c>
      <c r="DX43" s="90" t="e">
        <f>VLOOKUP(DX$1,'Existing Customers'!$A:$AA,9,FALSE)</f>
        <v>#N/A</v>
      </c>
    </row>
    <row r="44" spans="3:150" x14ac:dyDescent="0.25">
      <c r="L44" s="491">
        <f t="shared" si="33"/>
        <v>1</v>
      </c>
      <c r="M44" s="489" t="s">
        <v>115</v>
      </c>
      <c r="N44" s="492">
        <f>COUNTIF('Variable Costs (Back)'!$C$15:$C$24,M44)</f>
        <v>0</v>
      </c>
      <c r="AT44" s="108" t="s">
        <v>870</v>
      </c>
      <c r="AU44" s="90" t="e">
        <f>VLOOKUP(AU$1,'Existing Customers'!$A:$AA,27,FALSE)</f>
        <v>#N/A</v>
      </c>
      <c r="BC44" s="108" t="s">
        <v>870</v>
      </c>
      <c r="BD44" s="90" t="e">
        <f>VLOOKUP(BD$1,'Existing Customers'!$A:$AA,27,FALSE)</f>
        <v>#N/A</v>
      </c>
      <c r="BL44" s="108" t="s">
        <v>870</v>
      </c>
      <c r="BM44" s="90" t="e">
        <f>VLOOKUP(BM$1,'Existing Customers'!$A:$AA,27,FALSE)</f>
        <v>#N/A</v>
      </c>
      <c r="BU44" s="108" t="s">
        <v>870</v>
      </c>
      <c r="BV44" s="90" t="e">
        <f>VLOOKUP(BV$1,'Existing Customers'!$A:$AA,27,FALSE)</f>
        <v>#N/A</v>
      </c>
      <c r="CD44" s="108" t="s">
        <v>870</v>
      </c>
      <c r="CE44" s="90" t="e">
        <f>VLOOKUP(CE$1,'Existing Customers'!$A:$AA,27,FALSE)</f>
        <v>#N/A</v>
      </c>
      <c r="CM44" s="108" t="s">
        <v>870</v>
      </c>
      <c r="CN44" s="90" t="e">
        <f>VLOOKUP(CN$1,'Existing Customers'!$A:$AA,27,FALSE)</f>
        <v>#N/A</v>
      </c>
      <c r="CV44" s="108" t="s">
        <v>870</v>
      </c>
      <c r="CW44" s="90" t="e">
        <f>VLOOKUP(CW$1,'Existing Customers'!$A:$AA,27,FALSE)</f>
        <v>#N/A</v>
      </c>
      <c r="DE44" s="108" t="s">
        <v>870</v>
      </c>
      <c r="DF44" s="90" t="e">
        <f>VLOOKUP(DF$1,'Existing Customers'!$A:$AA,27,FALSE)</f>
        <v>#N/A</v>
      </c>
      <c r="DN44" s="108" t="s">
        <v>870</v>
      </c>
      <c r="DO44" s="90" t="e">
        <f>VLOOKUP(DO$1,'Existing Customers'!$A:$AA,27,FALSE)</f>
        <v>#N/A</v>
      </c>
      <c r="DW44" s="108" t="s">
        <v>870</v>
      </c>
      <c r="DX44" s="90" t="e">
        <f>VLOOKUP(DX$1,'Existing Customers'!$A:$AA,27,FALSE)</f>
        <v>#N/A</v>
      </c>
    </row>
    <row r="45" spans="3:150" x14ac:dyDescent="0.25">
      <c r="L45" s="491">
        <f t="shared" si="33"/>
        <v>1</v>
      </c>
      <c r="M45" s="489" t="s">
        <v>117</v>
      </c>
      <c r="N45" s="492">
        <f>COUNTIF('Variable Costs (Back)'!$C$15:$C$24,M45)</f>
        <v>0</v>
      </c>
      <c r="AT45" s="108" t="s">
        <v>1033</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876</v>
      </c>
      <c r="AU46" s="90">
        <f>IFERROR(VLOOKUP(AU$1,'Existing Customers'!$A:$AA,6,FALSE),AU6)</f>
        <v>0</v>
      </c>
      <c r="BC46" s="108" t="s">
        <v>876</v>
      </c>
      <c r="BD46" s="90">
        <f>IFERROR(VLOOKUP(BD$1,'Existing Customers'!$A:$AA,6,FALSE),BD5)</f>
        <v>0</v>
      </c>
      <c r="BL46" s="108" t="s">
        <v>876</v>
      </c>
      <c r="BM46" s="90">
        <f>IFERROR(VLOOKUP(BM$1,'Existing Customers'!$A:$AA,6,FALSE),BM6)</f>
        <v>0</v>
      </c>
      <c r="BU46" s="108" t="s">
        <v>876</v>
      </c>
      <c r="BV46" s="90">
        <f>IFERROR(VLOOKUP(BV$1,'Existing Customers'!$A:$AA,6,FALSE),BV6)</f>
        <v>0</v>
      </c>
      <c r="CD46" s="108" t="s">
        <v>876</v>
      </c>
      <c r="CE46" s="90">
        <f>IFERROR(VLOOKUP(CE$1,'Existing Customers'!$A:$AA,6,FALSE),CE6)</f>
        <v>0</v>
      </c>
      <c r="CM46" s="108" t="s">
        <v>876</v>
      </c>
      <c r="CN46" s="90">
        <f>IFERROR(VLOOKUP(CN$1,'Existing Customers'!$A:$AA,6,FALSE),CN6)</f>
        <v>0</v>
      </c>
      <c r="CV46" s="108" t="s">
        <v>876</v>
      </c>
      <c r="CW46" s="90">
        <f>IFERROR(VLOOKUP(CW$1,'Existing Customers'!$A:$AA,6,FALSE),CW6)</f>
        <v>0</v>
      </c>
      <c r="DE46" s="108" t="s">
        <v>876</v>
      </c>
      <c r="DF46" s="90">
        <f>IFERROR(VLOOKUP(DF$1,'Existing Customers'!$A:$AA,6,FALSE),DF6)</f>
        <v>0</v>
      </c>
      <c r="DN46" s="108" t="s">
        <v>876</v>
      </c>
      <c r="DO46" s="90">
        <f>IFERROR(VLOOKUP(DO$1,'Existing Customers'!$A:$AA,6,FALSE),DO6)</f>
        <v>0</v>
      </c>
      <c r="DW46" s="108" t="s">
        <v>876</v>
      </c>
      <c r="DX46" s="90">
        <f>IFERROR(VLOOKUP(DX$1,'Existing Customers'!$A:$AA,6,FALSE),DX6)</f>
        <v>0</v>
      </c>
    </row>
    <row r="47" spans="3:150" ht="15.75" thickBot="1" x14ac:dyDescent="0.3">
      <c r="L47" s="493">
        <v>1</v>
      </c>
      <c r="M47" s="494" t="str">
        <f>IF(COUNTIF($N$36:$N$45,"&gt;0")&gt;1,"MULTIPLE PYRAMID SEGMENTS",VLOOKUP(L47,$L$36:$M$45,2,FALSE))</f>
        <v>Enter Customer(s)</v>
      </c>
      <c r="N47" s="495"/>
      <c r="AT47" s="108" t="s">
        <v>1032</v>
      </c>
      <c r="AU47" s="90" t="str">
        <f>IFERROR(ROUND(VLOOKUP(AU36,'Existing Customer Variable Exp'!$B:$F,5,FALSE)/52,1),"Enter Drops &gt;")</f>
        <v>Enter Drops &gt;</v>
      </c>
      <c r="BC47" s="108" t="s">
        <v>881</v>
      </c>
      <c r="BD47" s="90" t="str">
        <f>IFERROR(ROUND(VLOOKUP(BD36,'Existing Customer Variable Exp'!$B:$F,5,FALSE)/52,1),"Enter Drops &gt;")</f>
        <v>Enter Drops &gt;</v>
      </c>
      <c r="BL47" s="108" t="s">
        <v>881</v>
      </c>
      <c r="BM47" s="90" t="str">
        <f>IFERROR(ROUND(VLOOKUP(BM36,'Existing Customer Variable Exp'!$B:$F,5,FALSE)/52,1),"Enter Drops &gt;")</f>
        <v>Enter Drops &gt;</v>
      </c>
      <c r="BU47" s="108" t="s">
        <v>881</v>
      </c>
      <c r="BV47" s="90" t="str">
        <f>IFERROR(ROUND(VLOOKUP(BV36,'Existing Customer Variable Exp'!$B:$F,5,FALSE)/52,1),"Enter Drops &gt;")</f>
        <v>Enter Drops &gt;</v>
      </c>
      <c r="CD47" s="108" t="s">
        <v>881</v>
      </c>
      <c r="CE47" s="90" t="str">
        <f>IFERROR(ROUND(VLOOKUP(CE36,'Existing Customer Variable Exp'!$B:$F,5,FALSE)/52,1),"Enter Drops &gt;")</f>
        <v>Enter Drops &gt;</v>
      </c>
      <c r="CM47" s="108" t="s">
        <v>881</v>
      </c>
      <c r="CN47" s="90" t="str">
        <f>IFERROR(ROUND(VLOOKUP(CN36,'Existing Customer Variable Exp'!$B:$F,5,FALSE)/52,1),"Enter Drops &gt;")</f>
        <v>Enter Drops &gt;</v>
      </c>
      <c r="CV47" s="108" t="s">
        <v>881</v>
      </c>
      <c r="CW47" s="90" t="str">
        <f>IFERROR(ROUND(VLOOKUP(CW36,'Existing Customer Variable Exp'!$B:$F,5,FALSE)/52,1),"Enter Drops &gt;")</f>
        <v>Enter Drops &gt;</v>
      </c>
      <c r="DE47" s="108" t="s">
        <v>881</v>
      </c>
      <c r="DF47" s="90" t="str">
        <f>IFERROR(ROUND(VLOOKUP(DF36,'Existing Customer Variable Exp'!$B:$F,5,FALSE)/52,1),"Enter Drops &gt;")</f>
        <v>Enter Drops &gt;</v>
      </c>
      <c r="DN47" s="108" t="s">
        <v>881</v>
      </c>
      <c r="DO47" s="90" t="str">
        <f>IFERROR(ROUND(VLOOKUP(DO36,'Existing Customer Variable Exp'!$B:$F,5,FALSE)/52,1),"Enter Drops &gt;")</f>
        <v>Enter Drops &gt;</v>
      </c>
      <c r="DW47" s="108" t="s">
        <v>881</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96"/>
      <c r="M49" s="490" t="s">
        <v>878</v>
      </c>
      <c r="N49" s="497"/>
      <c r="Q49" s="108"/>
      <c r="R49" s="133"/>
      <c r="AT49" s="108" t="s">
        <v>1031</v>
      </c>
      <c r="AU49" s="112">
        <f>SUMIFS('Existing Customers'!$N:$N,'Existing Customers'!$A:$A,'Multi-Customer'!AU$36)</f>
        <v>0</v>
      </c>
      <c r="BC49" s="108" t="s">
        <v>1025</v>
      </c>
      <c r="BD49" s="112">
        <f>SUMIFS('Existing Customers'!$N:$N,'Existing Customers'!$A:$A,'Multi-Customer'!BD$36)</f>
        <v>0</v>
      </c>
      <c r="BL49" s="108" t="s">
        <v>1025</v>
      </c>
      <c r="BM49" s="112">
        <f>SUMIFS('Existing Customers'!$N:$N,'Existing Customers'!$A:$A,'Multi-Customer'!BM$36)</f>
        <v>0</v>
      </c>
      <c r="BU49" s="108" t="s">
        <v>1025</v>
      </c>
      <c r="BV49" s="112">
        <f>SUMIFS('Existing Customers'!$N:$N,'Existing Customers'!$A:$A,'Multi-Customer'!BV$36)</f>
        <v>0</v>
      </c>
      <c r="CD49" s="108" t="s">
        <v>1025</v>
      </c>
      <c r="CE49" s="112">
        <f>SUMIFS('Existing Customers'!$N:$N,'Existing Customers'!$A:$A,'Multi-Customer'!CE$36)</f>
        <v>0</v>
      </c>
      <c r="CM49" s="108" t="s">
        <v>1025</v>
      </c>
      <c r="CN49" s="112">
        <f>SUMIFS('Existing Customers'!$N:$N,'Existing Customers'!$A:$A,'Multi-Customer'!CN$36)</f>
        <v>0</v>
      </c>
      <c r="CV49" s="108" t="s">
        <v>1025</v>
      </c>
      <c r="CW49" s="112">
        <f>SUMIFS('Existing Customers'!$N:$N,'Existing Customers'!$A:$A,'Multi-Customer'!CW$36)</f>
        <v>0</v>
      </c>
      <c r="DE49" s="108" t="s">
        <v>1025</v>
      </c>
      <c r="DF49" s="112">
        <f>SUMIFS('Existing Customers'!$N:$N,'Existing Customers'!$A:$A,'Multi-Customer'!DF$36)</f>
        <v>0</v>
      </c>
      <c r="DN49" s="108" t="s">
        <v>1025</v>
      </c>
      <c r="DO49" s="112">
        <f>SUMIFS('Existing Customers'!$N:$N,'Existing Customers'!$A:$A,'Multi-Customer'!DO$36)</f>
        <v>0</v>
      </c>
      <c r="DW49" s="108" t="s">
        <v>1025</v>
      </c>
      <c r="DX49" s="112">
        <f>SUMIFS('Existing Customers'!$N:$N,'Existing Customers'!$A:$A,'Multi-Customer'!DX$36)</f>
        <v>0</v>
      </c>
    </row>
    <row r="50" spans="12:128" x14ac:dyDescent="0.25">
      <c r="L50" s="491">
        <f t="shared" ref="L50:L78" si="34">RANK(N50,$N$50:$N$78)</f>
        <v>1</v>
      </c>
      <c r="M50" s="489" t="s">
        <v>981</v>
      </c>
      <c r="N50" s="492">
        <f t="shared" ref="N50:N78" si="35">COUNTIF($AT$46:$DX$46,M50)</f>
        <v>0</v>
      </c>
      <c r="Q50" s="108"/>
      <c r="R50" s="134"/>
      <c r="AT50" s="108" t="s">
        <v>1030</v>
      </c>
      <c r="AU50" s="112">
        <f>IFERROR(VLOOKUP(AU$36,'Existing Customer Variable Exp'!$B:$F,5,FALSE),0)</f>
        <v>0</v>
      </c>
      <c r="BC50" s="108" t="s">
        <v>1030</v>
      </c>
      <c r="BD50" s="112">
        <f>IFERROR(VLOOKUP(BD$36,'Existing Customer Variable Exp'!$B:$F,5,FALSE),0)</f>
        <v>0</v>
      </c>
      <c r="BL50" s="108" t="s">
        <v>1030</v>
      </c>
      <c r="BM50" s="112">
        <f>IFERROR(VLOOKUP(BM$36,'Existing Customer Variable Exp'!$B:$F,5,FALSE),0)</f>
        <v>0</v>
      </c>
      <c r="BU50" s="108" t="s">
        <v>1030</v>
      </c>
      <c r="BV50" s="112">
        <f>IFERROR(VLOOKUP(BV$36,'Existing Customer Variable Exp'!$B:$F,5,FALSE),0)</f>
        <v>0</v>
      </c>
      <c r="CD50" s="108" t="s">
        <v>1030</v>
      </c>
      <c r="CE50" s="112">
        <f>IFERROR(VLOOKUP(CE$36,'Existing Customer Variable Exp'!$B:$F,5,FALSE),0)</f>
        <v>0</v>
      </c>
      <c r="CM50" s="108" t="s">
        <v>1030</v>
      </c>
      <c r="CN50" s="112">
        <f>IFERROR(VLOOKUP(CN$36,'Existing Customer Variable Exp'!$B:$F,5,FALSE),0)</f>
        <v>0</v>
      </c>
      <c r="CV50" s="108" t="s">
        <v>1030</v>
      </c>
      <c r="CW50" s="112">
        <f>IFERROR(VLOOKUP(CW$36,'Existing Customer Variable Exp'!$B:$F,5,FALSE),0)</f>
        <v>0</v>
      </c>
      <c r="DE50" s="108" t="s">
        <v>1030</v>
      </c>
      <c r="DF50" s="112">
        <f>IFERROR(VLOOKUP(DF$36,'Existing Customer Variable Exp'!$B:$F,5,FALSE),0)</f>
        <v>0</v>
      </c>
      <c r="DN50" s="108" t="s">
        <v>1030</v>
      </c>
      <c r="DO50" s="112">
        <f>IFERROR(VLOOKUP(DO$36,'Existing Customer Variable Exp'!$B:$F,5,FALSE),0)</f>
        <v>0</v>
      </c>
      <c r="DW50" s="108" t="s">
        <v>1030</v>
      </c>
      <c r="DX50" s="112">
        <f>IFERROR(VLOOKUP(DX$36,'Existing Customer Variable Exp'!$B:$F,5,FALSE),0)</f>
        <v>0</v>
      </c>
    </row>
    <row r="51" spans="12:128" x14ac:dyDescent="0.25">
      <c r="L51" s="491">
        <f t="shared" si="34"/>
        <v>1</v>
      </c>
      <c r="M51" s="489" t="s">
        <v>14</v>
      </c>
      <c r="N51" s="492">
        <f t="shared" si="35"/>
        <v>0</v>
      </c>
    </row>
    <row r="52" spans="12:128" x14ac:dyDescent="0.25">
      <c r="L52" s="491">
        <f t="shared" si="34"/>
        <v>1</v>
      </c>
      <c r="M52" s="489" t="s">
        <v>62</v>
      </c>
      <c r="N52" s="492">
        <f t="shared" si="35"/>
        <v>0</v>
      </c>
    </row>
    <row r="53" spans="12:128" x14ac:dyDescent="0.25">
      <c r="L53" s="491">
        <f t="shared" si="34"/>
        <v>1</v>
      </c>
      <c r="M53" s="489" t="s">
        <v>74</v>
      </c>
      <c r="N53" s="492">
        <f t="shared" si="35"/>
        <v>0</v>
      </c>
    </row>
    <row r="54" spans="12:128" x14ac:dyDescent="0.25">
      <c r="L54" s="491">
        <f t="shared" si="34"/>
        <v>1</v>
      </c>
      <c r="M54" s="489" t="s">
        <v>34</v>
      </c>
      <c r="N54" s="492">
        <f t="shared" si="35"/>
        <v>0</v>
      </c>
    </row>
    <row r="55" spans="12:128" x14ac:dyDescent="0.25">
      <c r="L55" s="491">
        <f t="shared" si="34"/>
        <v>1</v>
      </c>
      <c r="M55" s="489" t="s">
        <v>0</v>
      </c>
      <c r="N55" s="492">
        <f t="shared" si="35"/>
        <v>0</v>
      </c>
    </row>
    <row r="56" spans="12:128" x14ac:dyDescent="0.25">
      <c r="L56" s="491">
        <f t="shared" si="34"/>
        <v>1</v>
      </c>
      <c r="M56" s="489" t="s">
        <v>69</v>
      </c>
      <c r="N56" s="492">
        <f t="shared" si="35"/>
        <v>0</v>
      </c>
    </row>
    <row r="57" spans="12:128" x14ac:dyDescent="0.25">
      <c r="L57" s="491">
        <f t="shared" si="34"/>
        <v>1</v>
      </c>
      <c r="M57" s="489" t="s">
        <v>4</v>
      </c>
      <c r="N57" s="492">
        <f t="shared" si="35"/>
        <v>0</v>
      </c>
    </row>
    <row r="58" spans="12:128" x14ac:dyDescent="0.25">
      <c r="L58" s="491">
        <f t="shared" si="34"/>
        <v>1</v>
      </c>
      <c r="M58" s="489" t="s">
        <v>35</v>
      </c>
      <c r="N58" s="492">
        <f t="shared" si="35"/>
        <v>0</v>
      </c>
    </row>
    <row r="59" spans="12:128" x14ac:dyDescent="0.25">
      <c r="L59" s="491">
        <f t="shared" si="34"/>
        <v>1</v>
      </c>
      <c r="M59" s="489" t="s">
        <v>6</v>
      </c>
      <c r="N59" s="492">
        <f t="shared" si="35"/>
        <v>0</v>
      </c>
    </row>
    <row r="60" spans="12:128" x14ac:dyDescent="0.25">
      <c r="L60" s="491">
        <f t="shared" si="34"/>
        <v>1</v>
      </c>
      <c r="M60" s="489" t="s">
        <v>264</v>
      </c>
      <c r="N60" s="492">
        <f t="shared" si="35"/>
        <v>0</v>
      </c>
    </row>
    <row r="61" spans="12:128" x14ac:dyDescent="0.25">
      <c r="L61" s="491">
        <f t="shared" si="34"/>
        <v>1</v>
      </c>
      <c r="M61" s="489" t="s">
        <v>15</v>
      </c>
      <c r="N61" s="492">
        <f t="shared" si="35"/>
        <v>0</v>
      </c>
    </row>
    <row r="62" spans="12:128" x14ac:dyDescent="0.25">
      <c r="L62" s="491">
        <f t="shared" si="34"/>
        <v>1</v>
      </c>
      <c r="M62" s="489" t="s">
        <v>45</v>
      </c>
      <c r="N62" s="492">
        <f t="shared" si="35"/>
        <v>0</v>
      </c>
    </row>
    <row r="63" spans="12:128" x14ac:dyDescent="0.25">
      <c r="L63" s="491">
        <f t="shared" si="34"/>
        <v>1</v>
      </c>
      <c r="M63" s="489" t="s">
        <v>265</v>
      </c>
      <c r="N63" s="492">
        <f t="shared" si="35"/>
        <v>0</v>
      </c>
    </row>
    <row r="64" spans="12:128" x14ac:dyDescent="0.25">
      <c r="L64" s="491">
        <f t="shared" si="34"/>
        <v>1</v>
      </c>
      <c r="M64" s="489" t="s">
        <v>48</v>
      </c>
      <c r="N64" s="492">
        <f t="shared" si="35"/>
        <v>0</v>
      </c>
    </row>
    <row r="65" spans="12:14" x14ac:dyDescent="0.25">
      <c r="L65" s="491">
        <f t="shared" si="34"/>
        <v>1</v>
      </c>
      <c r="M65" s="489" t="s">
        <v>266</v>
      </c>
      <c r="N65" s="492">
        <f t="shared" si="35"/>
        <v>0</v>
      </c>
    </row>
    <row r="66" spans="12:14" x14ac:dyDescent="0.25">
      <c r="L66" s="491">
        <f t="shared" si="34"/>
        <v>1</v>
      </c>
      <c r="M66" s="489" t="s">
        <v>267</v>
      </c>
      <c r="N66" s="492">
        <f t="shared" si="35"/>
        <v>0</v>
      </c>
    </row>
    <row r="67" spans="12:14" x14ac:dyDescent="0.25">
      <c r="L67" s="491">
        <f t="shared" si="34"/>
        <v>1</v>
      </c>
      <c r="M67" s="489" t="s">
        <v>268</v>
      </c>
      <c r="N67" s="492">
        <f t="shared" si="35"/>
        <v>0</v>
      </c>
    </row>
    <row r="68" spans="12:14" x14ac:dyDescent="0.25">
      <c r="L68" s="491">
        <f t="shared" si="34"/>
        <v>1</v>
      </c>
      <c r="M68" s="489" t="s">
        <v>60</v>
      </c>
      <c r="N68" s="492">
        <f t="shared" si="35"/>
        <v>0</v>
      </c>
    </row>
    <row r="69" spans="12:14" x14ac:dyDescent="0.25">
      <c r="L69" s="491">
        <f t="shared" si="34"/>
        <v>1</v>
      </c>
      <c r="M69" s="489" t="s">
        <v>20</v>
      </c>
      <c r="N69" s="492">
        <f t="shared" si="35"/>
        <v>0</v>
      </c>
    </row>
    <row r="70" spans="12:14" x14ac:dyDescent="0.25">
      <c r="L70" s="491">
        <f t="shared" si="34"/>
        <v>1</v>
      </c>
      <c r="M70" s="489" t="s">
        <v>269</v>
      </c>
      <c r="N70" s="492">
        <f t="shared" si="35"/>
        <v>0</v>
      </c>
    </row>
    <row r="71" spans="12:14" x14ac:dyDescent="0.25">
      <c r="L71" s="491">
        <f t="shared" si="34"/>
        <v>1</v>
      </c>
      <c r="M71" s="489" t="s">
        <v>270</v>
      </c>
      <c r="N71" s="492">
        <f t="shared" si="35"/>
        <v>0</v>
      </c>
    </row>
    <row r="72" spans="12:14" x14ac:dyDescent="0.25">
      <c r="L72" s="491">
        <f t="shared" si="34"/>
        <v>1</v>
      </c>
      <c r="M72" s="489" t="s">
        <v>36</v>
      </c>
      <c r="N72" s="492">
        <f t="shared" si="35"/>
        <v>0</v>
      </c>
    </row>
    <row r="73" spans="12:14" x14ac:dyDescent="0.25">
      <c r="L73" s="491">
        <f t="shared" si="34"/>
        <v>1</v>
      </c>
      <c r="M73" s="489" t="s">
        <v>71</v>
      </c>
      <c r="N73" s="492">
        <f t="shared" si="35"/>
        <v>0</v>
      </c>
    </row>
    <row r="74" spans="12:14" x14ac:dyDescent="0.25">
      <c r="L74" s="491">
        <f t="shared" si="34"/>
        <v>1</v>
      </c>
      <c r="M74" s="489" t="s">
        <v>11</v>
      </c>
      <c r="N74" s="492">
        <f t="shared" si="35"/>
        <v>0</v>
      </c>
    </row>
    <row r="75" spans="12:14" x14ac:dyDescent="0.25">
      <c r="L75" s="491">
        <f t="shared" si="34"/>
        <v>1</v>
      </c>
      <c r="M75" s="489" t="s">
        <v>271</v>
      </c>
      <c r="N75" s="492">
        <f t="shared" si="35"/>
        <v>0</v>
      </c>
    </row>
    <row r="76" spans="12:14" x14ac:dyDescent="0.25">
      <c r="L76" s="491">
        <f t="shared" si="34"/>
        <v>1</v>
      </c>
      <c r="M76" s="489" t="s">
        <v>272</v>
      </c>
      <c r="N76" s="492">
        <f t="shared" si="35"/>
        <v>0</v>
      </c>
    </row>
    <row r="77" spans="12:14" x14ac:dyDescent="0.25">
      <c r="L77" s="491">
        <f t="shared" si="34"/>
        <v>1</v>
      </c>
      <c r="M77" s="489" t="s">
        <v>9</v>
      </c>
      <c r="N77" s="492">
        <f t="shared" si="35"/>
        <v>0</v>
      </c>
    </row>
    <row r="78" spans="12:14" x14ac:dyDescent="0.25">
      <c r="L78" s="491">
        <f t="shared" si="34"/>
        <v>1</v>
      </c>
      <c r="M78" s="489" t="s">
        <v>38</v>
      </c>
      <c r="N78" s="492">
        <f t="shared" si="35"/>
        <v>0</v>
      </c>
    </row>
    <row r="79" spans="12:14" x14ac:dyDescent="0.25">
      <c r="L79" s="144"/>
      <c r="N79" s="145"/>
    </row>
    <row r="80" spans="12:14" x14ac:dyDescent="0.25">
      <c r="L80" s="144">
        <v>1</v>
      </c>
      <c r="M80" s="498" t="str">
        <f>IF($M$81&gt;1,"MULTIPLE MENU TYPES",VLOOKUP(L80,$L$50:$M$78,2,FALSE))</f>
        <v>MULTIPLE MENU TYPES</v>
      </c>
      <c r="N80" s="145"/>
    </row>
    <row r="81" spans="12:14" x14ac:dyDescent="0.25">
      <c r="L81" s="499" t="s">
        <v>883</v>
      </c>
      <c r="M81" s="500">
        <f>COUNTIF($L$50:$L$78,1)</f>
        <v>29</v>
      </c>
      <c r="N81" s="145"/>
    </row>
    <row r="82" spans="12:14" x14ac:dyDescent="0.25">
      <c r="L82" s="499" t="s">
        <v>882</v>
      </c>
      <c r="M82" s="500" t="str">
        <f>VLOOKUP(L80,$L$50:$M$78,2,FALSE)</f>
        <v>Enter Customer(s)</v>
      </c>
      <c r="N82" s="145"/>
    </row>
    <row r="83" spans="12:14" ht="15.75" thickBot="1" x14ac:dyDescent="0.3">
      <c r="L83" s="501" t="s">
        <v>1004</v>
      </c>
      <c r="M83" s="502" t="str">
        <f>IF(COUNTIF($N$51:$N$78,"&gt;0")&gt;1,"MULTIPLE MENU TYPES",$M$80)</f>
        <v>MULTIPLE MENU TYPES</v>
      </c>
      <c r="N83" s="298"/>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982</v>
      </c>
      <c r="AU2" s="41" t="e">
        <f>$AL$33</f>
        <v>#DIV/0!</v>
      </c>
      <c r="AY2" s="560" t="s">
        <v>1022</v>
      </c>
      <c r="AZ2" s="297"/>
      <c r="BA2" s="297"/>
      <c r="BB2" s="297"/>
      <c r="BC2" s="297"/>
      <c r="BD2" s="297"/>
      <c r="BE2" s="297"/>
      <c r="BF2" s="297"/>
      <c r="BK2" s="560" t="s">
        <v>1022</v>
      </c>
    </row>
    <row r="3" spans="1:70" x14ac:dyDescent="0.25">
      <c r="AT3" s="89" t="s">
        <v>477</v>
      </c>
      <c r="AU3" s="24">
        <f>'Customer Inputs'!$W$16</f>
        <v>0</v>
      </c>
      <c r="AY3" s="562">
        <v>334319</v>
      </c>
      <c r="AZ3" s="561" t="s">
        <v>218</v>
      </c>
      <c r="BA3" s="55" t="s">
        <v>218</v>
      </c>
      <c r="BB3" s="554">
        <v>0.04</v>
      </c>
      <c r="BC3" s="554">
        <v>0.08</v>
      </c>
      <c r="BD3" s="554">
        <v>9.2999999999999999E-2</v>
      </c>
      <c r="BE3" s="554">
        <v>0.11</v>
      </c>
      <c r="BF3" s="555">
        <v>0.153</v>
      </c>
      <c r="BK3" s="562">
        <v>301441</v>
      </c>
      <c r="BL3" s="561" t="s">
        <v>218</v>
      </c>
      <c r="BM3" s="55" t="s">
        <v>218</v>
      </c>
      <c r="BN3" s="554">
        <v>4.5999999999999999E-2</v>
      </c>
      <c r="BO3" s="554">
        <v>8.8999999999999996E-2</v>
      </c>
      <c r="BP3" s="554">
        <v>0.107</v>
      </c>
      <c r="BQ3" s="554">
        <v>0.127</v>
      </c>
      <c r="BR3" s="554">
        <v>0.17100000000000001</v>
      </c>
    </row>
    <row r="4" spans="1:70" ht="15.75" thickBot="1" x14ac:dyDescent="0.3">
      <c r="AY4" s="563">
        <v>723899</v>
      </c>
      <c r="AZ4" s="324" t="s">
        <v>219</v>
      </c>
      <c r="BA4" s="1" t="s">
        <v>219</v>
      </c>
      <c r="BB4" s="556">
        <v>4.2000000000000003E-2</v>
      </c>
      <c r="BC4" s="556">
        <v>7.4999999999999997E-2</v>
      </c>
      <c r="BD4" s="556">
        <v>8.6999999999999994E-2</v>
      </c>
      <c r="BE4" s="556">
        <v>0.1</v>
      </c>
      <c r="BF4" s="557">
        <v>0.13600000000000001</v>
      </c>
      <c r="BK4" s="563">
        <v>684993</v>
      </c>
      <c r="BL4" s="324" t="s">
        <v>219</v>
      </c>
      <c r="BM4" s="1" t="s">
        <v>219</v>
      </c>
      <c r="BN4" s="556">
        <v>4.8000000000000001E-2</v>
      </c>
      <c r="BO4" s="556">
        <v>8.3000000000000004E-2</v>
      </c>
      <c r="BP4" s="556">
        <v>0.1</v>
      </c>
      <c r="BQ4" s="556">
        <v>0.115</v>
      </c>
      <c r="BR4" s="556">
        <v>0.152</v>
      </c>
    </row>
    <row r="5" spans="1:70" ht="15.75" thickBot="1" x14ac:dyDescent="0.3">
      <c r="AW5" s="993" t="s">
        <v>1020</v>
      </c>
      <c r="AX5" s="994"/>
      <c r="AY5" s="563">
        <v>1757315</v>
      </c>
      <c r="AZ5" s="324" t="s">
        <v>220</v>
      </c>
      <c r="BA5" s="1" t="s">
        <v>220</v>
      </c>
      <c r="BB5" s="556">
        <v>3.2000000000000001E-2</v>
      </c>
      <c r="BC5" s="556">
        <v>6.9000000000000006E-2</v>
      </c>
      <c r="BD5" s="556">
        <v>8.2000000000000003E-2</v>
      </c>
      <c r="BE5" s="556">
        <v>9.6000000000000002E-2</v>
      </c>
      <c r="BF5" s="557">
        <v>0.13300000000000001</v>
      </c>
      <c r="BI5" s="993" t="s">
        <v>1021</v>
      </c>
      <c r="BJ5" s="994"/>
      <c r="BK5" s="563">
        <v>1554219</v>
      </c>
      <c r="BL5" s="324" t="s">
        <v>220</v>
      </c>
      <c r="BM5" s="1" t="s">
        <v>220</v>
      </c>
      <c r="BN5" s="556">
        <v>3.6999999999999998E-2</v>
      </c>
      <c r="BO5" s="556">
        <v>7.8E-2</v>
      </c>
      <c r="BP5" s="556">
        <v>9.4E-2</v>
      </c>
      <c r="BQ5" s="556">
        <v>0.11</v>
      </c>
      <c r="BR5" s="556">
        <v>0.151</v>
      </c>
    </row>
    <row r="6" spans="1:70" ht="15.75" thickBot="1" x14ac:dyDescent="0.3">
      <c r="AW6" s="51" t="s">
        <v>510</v>
      </c>
      <c r="AX6" s="52" t="e">
        <f>IF($AU$2&lt;$AY$3,$AZ$3,IF($AU$2&lt;$AY$4,$AZ$4,IF($AU$2&lt;$AY$5,$AZ$5,IF($AU$2&lt;$AY$6,$AZ$6,$AZ$7))))</f>
        <v>#DIV/0!</v>
      </c>
      <c r="AY6" s="563">
        <v>3873056</v>
      </c>
      <c r="AZ6" s="324" t="s">
        <v>274</v>
      </c>
      <c r="BA6" s="1" t="s">
        <v>274</v>
      </c>
      <c r="BB6" s="556">
        <v>2.5000000000000001E-2</v>
      </c>
      <c r="BC6" s="556">
        <v>6.3E-2</v>
      </c>
      <c r="BD6" s="556">
        <v>7.5999999999999998E-2</v>
      </c>
      <c r="BE6" s="556">
        <v>0.09</v>
      </c>
      <c r="BF6" s="557">
        <v>0.13</v>
      </c>
      <c r="BI6" s="51" t="s">
        <v>510</v>
      </c>
      <c r="BJ6" s="52" t="e">
        <f>IF($AU$2&lt;$AY$3,$AZ$3,IF($AU$2&lt;$AY$4,$AZ$4,IF($AU$2&lt;$AY$5,$AZ$5,IF($AU$2&lt;$AY$6,$AZ$6,$AZ$7))))</f>
        <v>#DIV/0!</v>
      </c>
      <c r="BK6" s="563">
        <v>3316405</v>
      </c>
      <c r="BL6" s="324" t="s">
        <v>274</v>
      </c>
      <c r="BM6" s="1" t="s">
        <v>274</v>
      </c>
      <c r="BN6" s="556">
        <v>3.1E-2</v>
      </c>
      <c r="BO6" s="556">
        <v>7.0000000000000007E-2</v>
      </c>
      <c r="BP6" s="556">
        <v>8.6999999999999994E-2</v>
      </c>
      <c r="BQ6" s="556">
        <v>0.104</v>
      </c>
      <c r="BR6" s="556">
        <v>0.14899999999999999</v>
      </c>
    </row>
    <row r="7" spans="1:70" ht="15.75" thickBot="1" x14ac:dyDescent="0.3">
      <c r="AW7" s="51" t="s">
        <v>511</v>
      </c>
      <c r="AX7" s="53" t="e">
        <f>VLOOKUP($AX$6,$BA$3:$BF$7,3,FALSE)</f>
        <v>#DIV/0!</v>
      </c>
      <c r="AY7" s="564"/>
      <c r="AZ7" s="480" t="s">
        <v>275</v>
      </c>
      <c r="BA7" s="36" t="s">
        <v>275</v>
      </c>
      <c r="BB7" s="558">
        <v>2.5999999999999999E-2</v>
      </c>
      <c r="BC7" s="558">
        <v>5.6000000000000001E-2</v>
      </c>
      <c r="BD7" s="558">
        <v>6.8000000000000005E-2</v>
      </c>
      <c r="BE7" s="558">
        <v>8.3000000000000004E-2</v>
      </c>
      <c r="BF7" s="559">
        <v>0.114</v>
      </c>
      <c r="BI7" s="51" t="s">
        <v>511</v>
      </c>
      <c r="BJ7" s="53" t="e">
        <f>VLOOKUP($BJ$6,$BM$3:$BO$7,3,FALSE)</f>
        <v>#DIV/0!</v>
      </c>
      <c r="BK7" s="565"/>
      <c r="BL7" s="480" t="s">
        <v>275</v>
      </c>
      <c r="BM7" s="36" t="s">
        <v>275</v>
      </c>
      <c r="BN7" s="558">
        <v>0.03</v>
      </c>
      <c r="BO7" s="558">
        <v>6.4000000000000001E-2</v>
      </c>
      <c r="BP7" s="558">
        <v>7.8E-2</v>
      </c>
      <c r="BQ7" s="558">
        <v>9.5000000000000001E-2</v>
      </c>
      <c r="BR7" s="558">
        <v>0.13100000000000001</v>
      </c>
    </row>
    <row r="8" spans="1:70" x14ac:dyDescent="0.25">
      <c r="AU8" s="42"/>
    </row>
    <row r="10" spans="1:70" ht="15.75" x14ac:dyDescent="0.25">
      <c r="C10" s="532" t="s">
        <v>1010</v>
      </c>
      <c r="D10" s="2" t="s">
        <v>476</v>
      </c>
      <c r="E10" s="2" t="s">
        <v>476</v>
      </c>
      <c r="F10" s="2" t="s">
        <v>476</v>
      </c>
      <c r="G10" s="2" t="s">
        <v>476</v>
      </c>
      <c r="H10" s="2" t="s">
        <v>476</v>
      </c>
      <c r="I10" s="2" t="s">
        <v>476</v>
      </c>
      <c r="J10" s="2"/>
      <c r="K10" s="2"/>
      <c r="L10" s="2"/>
      <c r="N10" s="532" t="s">
        <v>1011</v>
      </c>
      <c r="O10" s="2" t="s">
        <v>476</v>
      </c>
      <c r="P10" s="2" t="s">
        <v>476</v>
      </c>
      <c r="Q10" s="2" t="s">
        <v>476</v>
      </c>
      <c r="R10" s="2" t="s">
        <v>476</v>
      </c>
      <c r="S10" s="2" t="s">
        <v>476</v>
      </c>
      <c r="T10" s="2" t="s">
        <v>476</v>
      </c>
      <c r="U10" s="2"/>
      <c r="V10" s="2"/>
      <c r="W10" s="429" t="str">
        <f>IF('Multi-Customer'!$M$80="MULTIPLE MENU TYPES","INDEPENDENT RESTAURATEURS (PYR)",'Multi-Customer'!$M$80)</f>
        <v>INDEPENDENT RESTAURATEURS (PYR)</v>
      </c>
      <c r="X10" s="2"/>
      <c r="Y10" s="2"/>
      <c r="Z10" s="2"/>
      <c r="AA10" s="2"/>
      <c r="AB10" s="2"/>
      <c r="AC10" s="2"/>
      <c r="AD10" s="2" t="s">
        <v>1058</v>
      </c>
      <c r="AE10" s="2"/>
      <c r="AF10" s="2"/>
      <c r="AG10" s="2"/>
      <c r="AH10" s="2"/>
      <c r="AI10" s="2"/>
      <c r="AJ10" s="2"/>
      <c r="AK10" s="532" t="s">
        <v>1013</v>
      </c>
      <c r="AL10" s="43" t="s">
        <v>476</v>
      </c>
      <c r="AM10" s="43" t="s">
        <v>476</v>
      </c>
      <c r="AN10" s="43" t="s">
        <v>476</v>
      </c>
      <c r="AO10" s="43" t="s">
        <v>476</v>
      </c>
      <c r="AP10" s="43" t="s">
        <v>476</v>
      </c>
      <c r="AQ10" s="996" t="s">
        <v>1018</v>
      </c>
      <c r="AR10" s="996"/>
      <c r="AW10" s="995" t="s">
        <v>1016</v>
      </c>
      <c r="AX10" s="995"/>
      <c r="AY10" s="995"/>
      <c r="AZ10" s="995"/>
      <c r="BA10" s="995"/>
      <c r="BD10" s="995" t="s">
        <v>1017</v>
      </c>
      <c r="BE10" s="995"/>
      <c r="BF10" s="995"/>
      <c r="BG10" s="995"/>
      <c r="BH10" s="995"/>
    </row>
    <row r="11" spans="1:70" x14ac:dyDescent="0.25">
      <c r="A11" s="2" t="s">
        <v>955</v>
      </c>
      <c r="C11" t="s">
        <v>261</v>
      </c>
      <c r="D11" s="2" t="s">
        <v>408</v>
      </c>
      <c r="E11" s="2" t="s">
        <v>83</v>
      </c>
      <c r="F11" s="2" t="s">
        <v>411</v>
      </c>
      <c r="G11" s="2" t="s">
        <v>518</v>
      </c>
      <c r="H11" s="2" t="s">
        <v>521</v>
      </c>
      <c r="I11" s="2" t="s">
        <v>519</v>
      </c>
      <c r="J11" s="2"/>
      <c r="K11" s="2"/>
      <c r="L11" s="2" t="s">
        <v>955</v>
      </c>
      <c r="N11" s="2" t="s">
        <v>261</v>
      </c>
      <c r="O11" s="2" t="s">
        <v>408</v>
      </c>
      <c r="P11" s="2" t="s">
        <v>83</v>
      </c>
      <c r="Q11" s="2" t="s">
        <v>411</v>
      </c>
      <c r="R11" s="2" t="s">
        <v>518</v>
      </c>
      <c r="S11" s="2" t="s">
        <v>521</v>
      </c>
      <c r="T11" s="2" t="s">
        <v>519</v>
      </c>
      <c r="U11" s="2"/>
      <c r="V11" s="2" t="s">
        <v>1052</v>
      </c>
      <c r="W11" s="2" t="s">
        <v>1053</v>
      </c>
      <c r="X11" s="2" t="s">
        <v>1054</v>
      </c>
      <c r="Y11" s="2"/>
      <c r="Z11" s="2"/>
      <c r="AA11" s="2" t="s">
        <v>1012</v>
      </c>
      <c r="AB11" s="2" t="s">
        <v>1057</v>
      </c>
      <c r="AC11" s="2" t="s">
        <v>1055</v>
      </c>
      <c r="AD11" s="2" t="s">
        <v>1056</v>
      </c>
      <c r="AE11" s="2"/>
      <c r="AF11" s="2" t="s">
        <v>1012</v>
      </c>
      <c r="AG11" s="2"/>
      <c r="AH11" s="2"/>
      <c r="AI11" s="2"/>
      <c r="AJ11" s="2"/>
      <c r="AK11" s="43" t="s">
        <v>261</v>
      </c>
      <c r="AL11" s="43" t="s">
        <v>408</v>
      </c>
      <c r="AM11" s="43" t="s">
        <v>83</v>
      </c>
      <c r="AN11" s="43" t="s">
        <v>518</v>
      </c>
      <c r="AO11" s="43" t="s">
        <v>521</v>
      </c>
      <c r="AP11" s="43" t="s">
        <v>519</v>
      </c>
      <c r="AQ11" s="545" t="s">
        <v>382</v>
      </c>
      <c r="AR11" s="545" t="s">
        <v>1051</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68">
        <f>'Multi-Customer'!F12</f>
        <v>0</v>
      </c>
      <c r="H12" s="19">
        <f>IFERROR(D12/E12,0)</f>
        <v>0</v>
      </c>
      <c r="I12" s="19">
        <f>IFERROR(D12/G12,0)</f>
        <v>0</v>
      </c>
      <c r="J12" s="368"/>
      <c r="K12" s="368" t="str">
        <f>'PIM Model'!E10</f>
        <v>INCLUDE</v>
      </c>
      <c r="L12" s="368" t="e">
        <f t="shared" ref="L12:L32" si="0">IF($K12="Exclude",0,$A12)</f>
        <v>#DIV/0!</v>
      </c>
      <c r="M12">
        <v>3</v>
      </c>
      <c r="N12" s="368" t="s">
        <v>99</v>
      </c>
      <c r="O12" s="368" t="e">
        <f t="shared" ref="O12:O32" si="1">IF($K12="Exclude",0,D12/$L$33)</f>
        <v>#DIV/0!</v>
      </c>
      <c r="P12" s="368" t="e">
        <f t="shared" ref="P12:P32" si="2">IF($K12="Exclude",0,E12/$L$33)</f>
        <v>#DIV/0!</v>
      </c>
      <c r="Q12" s="368" t="e">
        <f t="shared" ref="Q12:Q32" si="3">IF($K12="Exclude",0,F12/$L$33)</f>
        <v>#DIV/0!</v>
      </c>
      <c r="R12" s="368" t="e">
        <f t="shared" ref="R12:R32" si="4">IF($K12="Exclude",0,G12/$L$33)</f>
        <v>#DIV/0!</v>
      </c>
      <c r="S12" s="368">
        <f>IFERROR($O12/P12,VLOOKUP($W$10,'Basket Composition'!$A$34:$W$62,'PIM Ranges'!$M12,FALSE))</f>
        <v>29.444267788744497</v>
      </c>
      <c r="T12" s="19">
        <f>IFERROR(O12/R12,VLOOKUP($W$10,'Basket Composition'!$A$65:$W$92,'PIM Ranges'!$M12,FALSE))</f>
        <v>1.2233220733848114</v>
      </c>
      <c r="U12" s="19"/>
      <c r="V12" s="2">
        <f>'PIM Model'!$C$10</f>
        <v>0</v>
      </c>
      <c r="W12" s="686">
        <f>VLOOKUP($W$10,'Basket Composition'!$A$3:$W$30,'PIM Ranges'!$AJ12)</f>
        <v>7.8799999999999995E-2</v>
      </c>
      <c r="X12" s="19" t="e">
        <f>$W12*$Z$33</f>
        <v>#DIV/0!</v>
      </c>
      <c r="Y12" s="368" t="e">
        <f>IF(V12="AVG",X12,O12)</f>
        <v>#DIV/0!</v>
      </c>
      <c r="Z12" s="368" t="e">
        <f>IF($V12="AVG",0,$Y12)</f>
        <v>#DIV/0!</v>
      </c>
      <c r="AA12" s="368">
        <f>IF($V12="AVG",IF($O12=0,$Y12,$Y12-$O12),0)</f>
        <v>0</v>
      </c>
      <c r="AB12" s="687" t="e">
        <f>$Y12/$Y$33</f>
        <v>#DIV/0!</v>
      </c>
      <c r="AC12" s="687" t="e">
        <f>IF($AA12=0,AB12,0)</f>
        <v>#DIV/0!</v>
      </c>
      <c r="AD12" s="368" t="e">
        <f t="shared" ref="AD12:AD32" si="5">IF($AA12=0,$O12-($AA$33*($AC12/$AC$33)),$Y12)</f>
        <v>#DIV/0!</v>
      </c>
      <c r="AE12" s="368"/>
      <c r="AF12" s="368" t="e">
        <f>AD12*(1+$AG12)-AD12</f>
        <v>#DIV/0!</v>
      </c>
      <c r="AG12" s="42">
        <f>'PIM Model'!B10</f>
        <v>0</v>
      </c>
      <c r="AH12" s="533" t="e">
        <f t="shared" ref="AH12:AH32" si="6">L12*(1+AG12)</f>
        <v>#DIV/0!</v>
      </c>
      <c r="AI12" s="533" t="e">
        <f>IF(AF12=0,AH12,0)</f>
        <v>#DIV/0!</v>
      </c>
      <c r="AJ12">
        <v>3</v>
      </c>
      <c r="AK12" s="534" t="s">
        <v>99</v>
      </c>
      <c r="AL12" s="534" t="e">
        <f t="shared" ref="AL12:AL32" si="7">IF($AG12=0,$AD12-($AF$33*($AI12/$AI$33)),$AD12+$AF12)</f>
        <v>#DIV/0!</v>
      </c>
      <c r="AM12" s="534">
        <f t="shared" ref="AM12:AM32" si="8">IFERROR($AL12/AO12,0)</f>
        <v>0</v>
      </c>
      <c r="AN12" s="534">
        <f t="shared" ref="AN12:AN32" si="9">IFERROR($AL12/AP12,0)</f>
        <v>0</v>
      </c>
      <c r="AO12" s="535">
        <f t="shared" ref="AO12:AO32" si="10">S12</f>
        <v>29.444267788744497</v>
      </c>
      <c r="AP12" s="535">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66"/>
      <c r="AW12" s="56" t="s">
        <v>99</v>
      </c>
      <c r="AX12" s="567">
        <v>6992</v>
      </c>
      <c r="AY12" s="567">
        <v>18976</v>
      </c>
      <c r="AZ12" s="567">
        <v>35942</v>
      </c>
      <c r="BA12" s="567">
        <v>79246</v>
      </c>
      <c r="BC12" s="2"/>
      <c r="BD12" s="56" t="s">
        <v>99</v>
      </c>
      <c r="BE12" s="567">
        <v>13830</v>
      </c>
      <c r="BF12" s="567">
        <v>40121</v>
      </c>
      <c r="BG12" s="567">
        <v>106847</v>
      </c>
      <c r="BH12" s="567">
        <v>246211</v>
      </c>
    </row>
    <row r="13" spans="1:70" x14ac:dyDescent="0.25">
      <c r="A13" t="e">
        <f t="shared" ref="A13:A32" si="13">D13/$D$33</f>
        <v>#DIV/0!</v>
      </c>
      <c r="B13">
        <v>4</v>
      </c>
      <c r="C13" t="s">
        <v>529</v>
      </c>
      <c r="D13" s="25">
        <f>'Multi-Customer'!C13</f>
        <v>0</v>
      </c>
      <c r="E13">
        <f>'Multi-Customer'!D13</f>
        <v>0</v>
      </c>
      <c r="F13">
        <f>'Multi-Customer'!E13</f>
        <v>0</v>
      </c>
      <c r="G13" s="368">
        <f>'Multi-Customer'!F13</f>
        <v>0</v>
      </c>
      <c r="H13" s="19">
        <f t="shared" ref="H13:H32" si="14">IFERROR(D13/E13,0)</f>
        <v>0</v>
      </c>
      <c r="I13" s="19">
        <f t="shared" ref="I13:I32" si="15">IFERROR(D13/G13,0)</f>
        <v>0</v>
      </c>
      <c r="J13" s="368"/>
      <c r="K13" s="368" t="str">
        <f>'PIM Model'!E11</f>
        <v>INCLUDE</v>
      </c>
      <c r="L13" s="368" t="e">
        <f t="shared" si="0"/>
        <v>#DIV/0!</v>
      </c>
      <c r="M13">
        <v>4</v>
      </c>
      <c r="N13" s="368" t="s">
        <v>529</v>
      </c>
      <c r="O13" s="368" t="e">
        <f t="shared" si="1"/>
        <v>#DIV/0!</v>
      </c>
      <c r="P13" s="368" t="e">
        <f t="shared" si="2"/>
        <v>#DIV/0!</v>
      </c>
      <c r="Q13" s="368" t="e">
        <f t="shared" si="3"/>
        <v>#DIV/0!</v>
      </c>
      <c r="R13" s="368" t="e">
        <f t="shared" si="4"/>
        <v>#DIV/0!</v>
      </c>
      <c r="S13" s="368">
        <f>IFERROR($O13/P13,VLOOKUP($W$10,'Basket Composition'!$A$34:$W$62,'PIM Ranges'!$M13,FALSE))</f>
        <v>146.33698845030094</v>
      </c>
      <c r="T13" s="19">
        <f>IFERROR(O13/R13,VLOOKUP($W$10,'Basket Composition'!$A$65:$W$92,'PIM Ranges'!$M13,FALSE))</f>
        <v>5.7994021851904813</v>
      </c>
      <c r="U13" s="19"/>
      <c r="V13" s="2">
        <f>'PIM Model'!$C$11</f>
        <v>0</v>
      </c>
      <c r="W13" s="686">
        <f>VLOOKUP($W$10,'Basket Composition'!$A$3:$W$30,'PIM Ranges'!$AJ13)</f>
        <v>3.6499999999999998E-2</v>
      </c>
      <c r="X13" s="19" t="e">
        <f t="shared" ref="X13:X32" si="16">$W13*$Z$33</f>
        <v>#DIV/0!</v>
      </c>
      <c r="Y13" s="368" t="e">
        <f t="shared" ref="Y13:Y32" si="17">IF(V13="AVG",X13,O13)</f>
        <v>#DIV/0!</v>
      </c>
      <c r="Z13" s="368" t="e">
        <f t="shared" ref="Z13:Z32" si="18">IF($V13="AVG",0,$Y13)</f>
        <v>#DIV/0!</v>
      </c>
      <c r="AA13" s="368">
        <f t="shared" ref="AA13:AA32" si="19">IF($V13="AVG",IF($O13=0,$Y13,$Y13-$O13),0)</f>
        <v>0</v>
      </c>
      <c r="AB13" s="687" t="e">
        <f t="shared" ref="AB13:AB32" si="20">$Y13/$Y$33</f>
        <v>#DIV/0!</v>
      </c>
      <c r="AC13" s="687" t="e">
        <f t="shared" ref="AC13:AC32" si="21">IF($AA13=0,AB13,0)</f>
        <v>#DIV/0!</v>
      </c>
      <c r="AD13" s="368" t="e">
        <f t="shared" si="5"/>
        <v>#DIV/0!</v>
      </c>
      <c r="AE13" s="368"/>
      <c r="AF13" s="368" t="e">
        <f t="shared" ref="AF13:AF32" si="22">AD13*(1+$AG13)-AD13</f>
        <v>#DIV/0!</v>
      </c>
      <c r="AG13" s="42">
        <f>'PIM Model'!B11</f>
        <v>0</v>
      </c>
      <c r="AH13" s="533" t="e">
        <f t="shared" si="6"/>
        <v>#DIV/0!</v>
      </c>
      <c r="AI13" s="533" t="e">
        <f t="shared" ref="AI13:AI32" si="23">IF(AF13=0,AH13,0)</f>
        <v>#DIV/0!</v>
      </c>
      <c r="AJ13">
        <v>4</v>
      </c>
      <c r="AK13" s="534" t="s">
        <v>529</v>
      </c>
      <c r="AL13" s="534" t="e">
        <f t="shared" si="7"/>
        <v>#DIV/0!</v>
      </c>
      <c r="AM13" s="534">
        <f t="shared" si="8"/>
        <v>0</v>
      </c>
      <c r="AN13" s="534">
        <f t="shared" si="9"/>
        <v>0</v>
      </c>
      <c r="AO13" s="535">
        <f>S13</f>
        <v>146.33698845030094</v>
      </c>
      <c r="AP13" s="535">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66"/>
      <c r="AW13" s="60" t="s">
        <v>529</v>
      </c>
      <c r="AX13" s="567">
        <v>9726</v>
      </c>
      <c r="AY13" s="567">
        <v>36145</v>
      </c>
      <c r="AZ13" s="567">
        <v>112255</v>
      </c>
      <c r="BA13" s="567">
        <v>235495</v>
      </c>
      <c r="BD13" s="60" t="s">
        <v>529</v>
      </c>
      <c r="BE13" s="567">
        <v>10238</v>
      </c>
      <c r="BF13" s="567">
        <v>41074</v>
      </c>
      <c r="BG13" s="567">
        <v>127563</v>
      </c>
      <c r="BH13" s="567">
        <v>301917</v>
      </c>
    </row>
    <row r="14" spans="1:70" x14ac:dyDescent="0.25">
      <c r="A14" t="e">
        <f t="shared" si="13"/>
        <v>#DIV/0!</v>
      </c>
      <c r="B14">
        <v>5</v>
      </c>
      <c r="C14" t="s">
        <v>530</v>
      </c>
      <c r="D14" s="25">
        <f>'Multi-Customer'!C14</f>
        <v>0</v>
      </c>
      <c r="E14">
        <f>'Multi-Customer'!D14</f>
        <v>0</v>
      </c>
      <c r="F14">
        <f>'Multi-Customer'!E14</f>
        <v>0</v>
      </c>
      <c r="G14" s="368">
        <f>'Multi-Customer'!F14</f>
        <v>0</v>
      </c>
      <c r="H14" s="19">
        <f t="shared" si="14"/>
        <v>0</v>
      </c>
      <c r="I14" s="19">
        <f t="shared" si="15"/>
        <v>0</v>
      </c>
      <c r="J14" s="368"/>
      <c r="K14" s="368" t="str">
        <f>'PIM Model'!E12</f>
        <v>INCLUDE</v>
      </c>
      <c r="L14" s="368" t="e">
        <f t="shared" si="0"/>
        <v>#DIV/0!</v>
      </c>
      <c r="M14">
        <v>5</v>
      </c>
      <c r="N14" s="368" t="s">
        <v>530</v>
      </c>
      <c r="O14" s="368" t="e">
        <f t="shared" si="1"/>
        <v>#DIV/0!</v>
      </c>
      <c r="P14" s="368" t="e">
        <f t="shared" si="2"/>
        <v>#DIV/0!</v>
      </c>
      <c r="Q14" s="368" t="e">
        <f t="shared" si="3"/>
        <v>#DIV/0!</v>
      </c>
      <c r="R14" s="368" t="e">
        <f t="shared" si="4"/>
        <v>#DIV/0!</v>
      </c>
      <c r="S14" s="368">
        <f>IFERROR($O14/P14,VLOOKUP($W$10,'Basket Composition'!$A$34:$W$62,'PIM Ranges'!$M14,FALSE))</f>
        <v>58.168459152386369</v>
      </c>
      <c r="T14" s="19">
        <f>IFERROR(O14/R14,VLOOKUP($W$10,'Basket Composition'!$A$65:$W$92,'PIM Ranges'!$M14,FALSE))</f>
        <v>2.963710449233258</v>
      </c>
      <c r="U14" s="19"/>
      <c r="V14" s="2">
        <f>'PIM Model'!$C$12</f>
        <v>0</v>
      </c>
      <c r="W14" s="686">
        <f>VLOOKUP($W$10,'Basket Composition'!$A$3:$W$30,'PIM Ranges'!$AJ14)</f>
        <v>0.08</v>
      </c>
      <c r="X14" s="19" t="e">
        <f t="shared" si="16"/>
        <v>#DIV/0!</v>
      </c>
      <c r="Y14" s="368" t="e">
        <f t="shared" si="17"/>
        <v>#DIV/0!</v>
      </c>
      <c r="Z14" s="368" t="e">
        <f t="shared" si="18"/>
        <v>#DIV/0!</v>
      </c>
      <c r="AA14" s="368">
        <f t="shared" si="19"/>
        <v>0</v>
      </c>
      <c r="AB14" s="687" t="e">
        <f t="shared" si="20"/>
        <v>#DIV/0!</v>
      </c>
      <c r="AC14" s="687" t="e">
        <f t="shared" si="21"/>
        <v>#DIV/0!</v>
      </c>
      <c r="AD14" s="368" t="e">
        <f t="shared" si="5"/>
        <v>#DIV/0!</v>
      </c>
      <c r="AE14" s="368"/>
      <c r="AF14" s="368" t="e">
        <f t="shared" si="22"/>
        <v>#DIV/0!</v>
      </c>
      <c r="AG14" s="42">
        <f>'PIM Model'!B12</f>
        <v>0</v>
      </c>
      <c r="AH14" s="533" t="e">
        <f t="shared" si="6"/>
        <v>#DIV/0!</v>
      </c>
      <c r="AI14" s="533" t="e">
        <f t="shared" si="23"/>
        <v>#DIV/0!</v>
      </c>
      <c r="AJ14">
        <v>5</v>
      </c>
      <c r="AK14" s="534" t="s">
        <v>530</v>
      </c>
      <c r="AL14" s="534" t="e">
        <f t="shared" si="7"/>
        <v>#DIV/0!</v>
      </c>
      <c r="AM14" s="534">
        <f t="shared" si="8"/>
        <v>0</v>
      </c>
      <c r="AN14" s="534">
        <f t="shared" si="9"/>
        <v>0</v>
      </c>
      <c r="AO14" s="535">
        <f t="shared" si="10"/>
        <v>58.168459152386369</v>
      </c>
      <c r="AP14" s="535">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66"/>
      <c r="AW14" s="60" t="s">
        <v>530</v>
      </c>
      <c r="AX14" s="567">
        <v>7627</v>
      </c>
      <c r="AY14" s="567">
        <v>25048</v>
      </c>
      <c r="AZ14" s="567">
        <v>65918</v>
      </c>
      <c r="BA14" s="567">
        <v>149490</v>
      </c>
      <c r="BD14" s="60" t="s">
        <v>530</v>
      </c>
      <c r="BE14" s="567">
        <v>8381</v>
      </c>
      <c r="BF14" s="567">
        <v>27692</v>
      </c>
      <c r="BG14" s="567">
        <v>73242</v>
      </c>
      <c r="BH14" s="567">
        <v>169875</v>
      </c>
    </row>
    <row r="15" spans="1:70" x14ac:dyDescent="0.25">
      <c r="A15" t="e">
        <f t="shared" si="13"/>
        <v>#DIV/0!</v>
      </c>
      <c r="B15">
        <v>6</v>
      </c>
      <c r="C15" t="s">
        <v>102</v>
      </c>
      <c r="D15" s="25">
        <f>'Multi-Customer'!C15</f>
        <v>0</v>
      </c>
      <c r="E15">
        <f>'Multi-Customer'!D15</f>
        <v>0</v>
      </c>
      <c r="F15">
        <f>'Multi-Customer'!E15</f>
        <v>0</v>
      </c>
      <c r="G15" s="368">
        <f>'Multi-Customer'!F15</f>
        <v>0</v>
      </c>
      <c r="H15" s="19">
        <f t="shared" si="14"/>
        <v>0</v>
      </c>
      <c r="I15" s="19">
        <f t="shared" si="15"/>
        <v>0</v>
      </c>
      <c r="J15" s="368"/>
      <c r="K15" s="368" t="str">
        <f>'PIM Model'!E13</f>
        <v>INCLUDE</v>
      </c>
      <c r="L15" s="368" t="e">
        <f t="shared" si="0"/>
        <v>#DIV/0!</v>
      </c>
      <c r="M15">
        <v>6</v>
      </c>
      <c r="N15" s="368" t="s">
        <v>102</v>
      </c>
      <c r="O15" s="368" t="e">
        <f t="shared" si="1"/>
        <v>#DIV/0!</v>
      </c>
      <c r="P15" s="368" t="e">
        <f t="shared" si="2"/>
        <v>#DIV/0!</v>
      </c>
      <c r="Q15" s="368" t="e">
        <f t="shared" si="3"/>
        <v>#DIV/0!</v>
      </c>
      <c r="R15" s="368" t="e">
        <f t="shared" si="4"/>
        <v>#DIV/0!</v>
      </c>
      <c r="S15" s="368">
        <f>IFERROR($O15/P15,VLOOKUP($W$10,'Basket Composition'!$A$34:$W$62,'PIM Ranges'!$M15,FALSE))</f>
        <v>27.482278379307612</v>
      </c>
      <c r="T15" s="19">
        <f>IFERROR(O15/R15,VLOOKUP($W$10,'Basket Composition'!$A$65:$W$92,'PIM Ranges'!$M15,FALSE))</f>
        <v>0.9944838741260712</v>
      </c>
      <c r="U15" s="19"/>
      <c r="V15" s="2">
        <f>'PIM Model'!$C$13</f>
        <v>0</v>
      </c>
      <c r="W15" s="686">
        <f>VLOOKUP($W$10,'Basket Composition'!$A$3:$W$30,'PIM Ranges'!$AJ15)</f>
        <v>3.1600000000000003E-2</v>
      </c>
      <c r="X15" s="19" t="e">
        <f t="shared" si="16"/>
        <v>#DIV/0!</v>
      </c>
      <c r="Y15" s="368" t="e">
        <f t="shared" si="17"/>
        <v>#DIV/0!</v>
      </c>
      <c r="Z15" s="368" t="e">
        <f t="shared" si="18"/>
        <v>#DIV/0!</v>
      </c>
      <c r="AA15" s="368">
        <f t="shared" si="19"/>
        <v>0</v>
      </c>
      <c r="AB15" s="687" t="e">
        <f t="shared" si="20"/>
        <v>#DIV/0!</v>
      </c>
      <c r="AC15" s="687" t="e">
        <f t="shared" si="21"/>
        <v>#DIV/0!</v>
      </c>
      <c r="AD15" s="368" t="e">
        <f t="shared" si="5"/>
        <v>#DIV/0!</v>
      </c>
      <c r="AE15" s="368"/>
      <c r="AF15" s="368" t="e">
        <f t="shared" si="22"/>
        <v>#DIV/0!</v>
      </c>
      <c r="AG15" s="42">
        <f>'PIM Model'!B13</f>
        <v>0</v>
      </c>
      <c r="AH15" s="533" t="e">
        <f t="shared" si="6"/>
        <v>#DIV/0!</v>
      </c>
      <c r="AI15" s="533" t="e">
        <f t="shared" si="23"/>
        <v>#DIV/0!</v>
      </c>
      <c r="AJ15">
        <v>6</v>
      </c>
      <c r="AK15" s="534" t="s">
        <v>102</v>
      </c>
      <c r="AL15" s="534" t="e">
        <f t="shared" si="7"/>
        <v>#DIV/0!</v>
      </c>
      <c r="AM15" s="534">
        <f t="shared" si="8"/>
        <v>0</v>
      </c>
      <c r="AN15" s="534">
        <f t="shared" si="9"/>
        <v>0</v>
      </c>
      <c r="AO15" s="535">
        <f t="shared" si="10"/>
        <v>27.482278379307612</v>
      </c>
      <c r="AP15" s="535">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66"/>
      <c r="AW15" s="56" t="s">
        <v>102</v>
      </c>
      <c r="AX15" s="567">
        <v>2926</v>
      </c>
      <c r="AY15" s="567">
        <v>7075</v>
      </c>
      <c r="AZ15" s="567">
        <v>14145</v>
      </c>
      <c r="BA15" s="567">
        <v>30916</v>
      </c>
      <c r="BD15" s="56" t="s">
        <v>102</v>
      </c>
      <c r="BE15" s="567">
        <v>5828</v>
      </c>
      <c r="BF15" s="567">
        <v>18598</v>
      </c>
      <c r="BG15" s="567">
        <v>52273</v>
      </c>
      <c r="BH15" s="567">
        <v>121106</v>
      </c>
    </row>
    <row r="16" spans="1:70" x14ac:dyDescent="0.25">
      <c r="A16" t="e">
        <f t="shared" si="13"/>
        <v>#DIV/0!</v>
      </c>
      <c r="B16">
        <v>7</v>
      </c>
      <c r="C16" t="s">
        <v>100</v>
      </c>
      <c r="D16" s="25">
        <f>'Multi-Customer'!C16</f>
        <v>0</v>
      </c>
      <c r="E16">
        <f>'Multi-Customer'!D16</f>
        <v>0</v>
      </c>
      <c r="F16">
        <f>'Multi-Customer'!E16</f>
        <v>0</v>
      </c>
      <c r="G16" s="368">
        <f>'Multi-Customer'!F16</f>
        <v>0</v>
      </c>
      <c r="H16" s="19">
        <f t="shared" si="14"/>
        <v>0</v>
      </c>
      <c r="I16" s="19">
        <f t="shared" si="15"/>
        <v>0</v>
      </c>
      <c r="J16" s="368"/>
      <c r="K16" s="368" t="str">
        <f>'PIM Model'!E14</f>
        <v>INCLUDE</v>
      </c>
      <c r="L16" s="368" t="e">
        <f t="shared" si="0"/>
        <v>#DIV/0!</v>
      </c>
      <c r="M16">
        <v>7</v>
      </c>
      <c r="N16" s="368" t="s">
        <v>100</v>
      </c>
      <c r="O16" s="368" t="e">
        <f t="shared" si="1"/>
        <v>#DIV/0!</v>
      </c>
      <c r="P16" s="368" t="e">
        <f t="shared" si="2"/>
        <v>#DIV/0!</v>
      </c>
      <c r="Q16" s="368" t="e">
        <f t="shared" si="3"/>
        <v>#DIV/0!</v>
      </c>
      <c r="R16" s="368" t="e">
        <f t="shared" si="4"/>
        <v>#DIV/0!</v>
      </c>
      <c r="S16" s="368">
        <f>IFERROR($O16/P16,VLOOKUP($W$10,'Basket Composition'!$A$34:$W$62,'PIM Ranges'!$M16,FALSE))</f>
        <v>48.296778113414874</v>
      </c>
      <c r="T16" s="19">
        <f>IFERROR(O16/R16,VLOOKUP($W$10,'Basket Composition'!$A$65:$W$92,'PIM Ranges'!$M16,FALSE))</f>
        <v>2.8964940253859632</v>
      </c>
      <c r="U16" s="19"/>
      <c r="V16" s="2">
        <f>'PIM Model'!$C$14</f>
        <v>0</v>
      </c>
      <c r="W16" s="686">
        <f>VLOOKUP($W$10,'Basket Composition'!$A$3:$W$30,'PIM Ranges'!$AJ16)</f>
        <v>6.1499999999999999E-2</v>
      </c>
      <c r="X16" s="19" t="e">
        <f t="shared" si="16"/>
        <v>#DIV/0!</v>
      </c>
      <c r="Y16" s="368" t="e">
        <f t="shared" si="17"/>
        <v>#DIV/0!</v>
      </c>
      <c r="Z16" s="368" t="e">
        <f t="shared" si="18"/>
        <v>#DIV/0!</v>
      </c>
      <c r="AA16" s="368">
        <f t="shared" si="19"/>
        <v>0</v>
      </c>
      <c r="AB16" s="687" t="e">
        <f t="shared" si="20"/>
        <v>#DIV/0!</v>
      </c>
      <c r="AC16" s="687" t="e">
        <f t="shared" si="21"/>
        <v>#DIV/0!</v>
      </c>
      <c r="AD16" s="368" t="e">
        <f t="shared" si="5"/>
        <v>#DIV/0!</v>
      </c>
      <c r="AE16" s="368"/>
      <c r="AF16" s="368" t="e">
        <f t="shared" si="22"/>
        <v>#DIV/0!</v>
      </c>
      <c r="AG16" s="42">
        <f>'PIM Model'!B14</f>
        <v>0</v>
      </c>
      <c r="AH16" s="533" t="e">
        <f t="shared" si="6"/>
        <v>#DIV/0!</v>
      </c>
      <c r="AI16" s="533" t="e">
        <f t="shared" si="23"/>
        <v>#DIV/0!</v>
      </c>
      <c r="AJ16">
        <v>7</v>
      </c>
      <c r="AK16" s="534" t="s">
        <v>100</v>
      </c>
      <c r="AL16" s="534" t="e">
        <f t="shared" si="7"/>
        <v>#DIV/0!</v>
      </c>
      <c r="AM16" s="534">
        <f t="shared" si="8"/>
        <v>0</v>
      </c>
      <c r="AN16" s="534">
        <f t="shared" si="9"/>
        <v>0</v>
      </c>
      <c r="AO16" s="535">
        <f t="shared" si="10"/>
        <v>48.296778113414874</v>
      </c>
      <c r="AP16" s="535">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66"/>
      <c r="AW16" s="56" t="s">
        <v>100</v>
      </c>
      <c r="AX16" s="567">
        <v>9661</v>
      </c>
      <c r="AY16" s="567">
        <v>18992</v>
      </c>
      <c r="AZ16" s="567">
        <v>36524</v>
      </c>
      <c r="BA16" s="567">
        <v>76773</v>
      </c>
      <c r="BD16" s="56" t="s">
        <v>100</v>
      </c>
      <c r="BE16" s="567">
        <v>14922</v>
      </c>
      <c r="BF16" s="567">
        <v>36880</v>
      </c>
      <c r="BG16" s="567">
        <v>97878</v>
      </c>
      <c r="BH16" s="567">
        <v>221341</v>
      </c>
    </row>
    <row r="17" spans="1:60" x14ac:dyDescent="0.25">
      <c r="A17" t="e">
        <f t="shared" si="13"/>
        <v>#DIV/0!</v>
      </c>
      <c r="B17">
        <v>8</v>
      </c>
      <c r="C17" t="s">
        <v>104</v>
      </c>
      <c r="D17" s="25">
        <f>'Multi-Customer'!C17</f>
        <v>0</v>
      </c>
      <c r="E17">
        <f>'Multi-Customer'!D17</f>
        <v>0</v>
      </c>
      <c r="F17">
        <f>'Multi-Customer'!E17</f>
        <v>0</v>
      </c>
      <c r="G17" s="368">
        <f>'Multi-Customer'!F17</f>
        <v>0</v>
      </c>
      <c r="H17" s="19">
        <f t="shared" si="14"/>
        <v>0</v>
      </c>
      <c r="I17" s="19">
        <f t="shared" si="15"/>
        <v>0</v>
      </c>
      <c r="J17" s="368"/>
      <c r="K17" s="368" t="str">
        <f>'PIM Model'!E15</f>
        <v>INCLUDE</v>
      </c>
      <c r="L17" s="368" t="e">
        <f t="shared" si="0"/>
        <v>#DIV/0!</v>
      </c>
      <c r="M17">
        <v>8</v>
      </c>
      <c r="N17" s="368" t="s">
        <v>104</v>
      </c>
      <c r="O17" s="368" t="e">
        <f t="shared" si="1"/>
        <v>#DIV/0!</v>
      </c>
      <c r="P17" s="368" t="e">
        <f t="shared" si="2"/>
        <v>#DIV/0!</v>
      </c>
      <c r="Q17" s="368" t="e">
        <f t="shared" si="3"/>
        <v>#DIV/0!</v>
      </c>
      <c r="R17" s="368" t="e">
        <f t="shared" si="4"/>
        <v>#DIV/0!</v>
      </c>
      <c r="S17" s="368">
        <f>IFERROR($O17/P17,VLOOKUP($W$10,'Basket Composition'!$A$34:$W$62,'PIM Ranges'!$M17,FALSE))</f>
        <v>52.756914724105769</v>
      </c>
      <c r="T17" s="19">
        <f>IFERROR(O17/R17,VLOOKUP($W$10,'Basket Composition'!$A$65:$W$92,'PIM Ranges'!$M17,FALSE))</f>
        <v>2.0540328215042263</v>
      </c>
      <c r="U17" s="19"/>
      <c r="V17" s="2">
        <f>'PIM Model'!$C$15</f>
        <v>0</v>
      </c>
      <c r="W17" s="686">
        <f>VLOOKUP($W$10,'Basket Composition'!$A$3:$W$30,'PIM Ranges'!$AJ17)</f>
        <v>2.1399999999999999E-2</v>
      </c>
      <c r="X17" s="19" t="e">
        <f t="shared" si="16"/>
        <v>#DIV/0!</v>
      </c>
      <c r="Y17" s="368" t="e">
        <f t="shared" si="17"/>
        <v>#DIV/0!</v>
      </c>
      <c r="Z17" s="368" t="e">
        <f t="shared" si="18"/>
        <v>#DIV/0!</v>
      </c>
      <c r="AA17" s="368">
        <f t="shared" si="19"/>
        <v>0</v>
      </c>
      <c r="AB17" s="687" t="e">
        <f t="shared" si="20"/>
        <v>#DIV/0!</v>
      </c>
      <c r="AC17" s="687" t="e">
        <f t="shared" si="21"/>
        <v>#DIV/0!</v>
      </c>
      <c r="AD17" s="368" t="e">
        <f t="shared" si="5"/>
        <v>#DIV/0!</v>
      </c>
      <c r="AE17" s="368"/>
      <c r="AF17" s="368" t="e">
        <f t="shared" si="22"/>
        <v>#DIV/0!</v>
      </c>
      <c r="AG17" s="42">
        <f>'PIM Model'!B15</f>
        <v>0</v>
      </c>
      <c r="AH17" s="533" t="e">
        <f t="shared" si="6"/>
        <v>#DIV/0!</v>
      </c>
      <c r="AI17" s="533" t="e">
        <f t="shared" si="23"/>
        <v>#DIV/0!</v>
      </c>
      <c r="AJ17">
        <v>8</v>
      </c>
      <c r="AK17" s="534" t="s">
        <v>104</v>
      </c>
      <c r="AL17" s="534" t="e">
        <f t="shared" si="7"/>
        <v>#DIV/0!</v>
      </c>
      <c r="AM17" s="534">
        <f t="shared" si="8"/>
        <v>0</v>
      </c>
      <c r="AN17" s="534">
        <f t="shared" si="9"/>
        <v>0</v>
      </c>
      <c r="AO17" s="535">
        <f t="shared" si="10"/>
        <v>52.756914724105769</v>
      </c>
      <c r="AP17" s="535">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66"/>
      <c r="AW17" s="56" t="s">
        <v>104</v>
      </c>
      <c r="AX17" s="567">
        <v>1374</v>
      </c>
      <c r="AY17" s="567">
        <v>4152</v>
      </c>
      <c r="AZ17" s="567">
        <v>8859</v>
      </c>
      <c r="BA17" s="567">
        <v>20083</v>
      </c>
      <c r="BD17" s="56" t="s">
        <v>104</v>
      </c>
      <c r="BE17" s="567">
        <v>2515</v>
      </c>
      <c r="BF17" s="567">
        <v>9191</v>
      </c>
      <c r="BG17" s="567">
        <v>28229</v>
      </c>
      <c r="BH17" s="567">
        <v>66332</v>
      </c>
    </row>
    <row r="18" spans="1:60" x14ac:dyDescent="0.25">
      <c r="A18" t="e">
        <f t="shared" si="13"/>
        <v>#DIV/0!</v>
      </c>
      <c r="B18">
        <v>9</v>
      </c>
      <c r="C18" t="s">
        <v>98</v>
      </c>
      <c r="D18" s="25">
        <f>'Multi-Customer'!C18</f>
        <v>0</v>
      </c>
      <c r="E18">
        <f>'Multi-Customer'!D18</f>
        <v>0</v>
      </c>
      <c r="F18">
        <f>'Multi-Customer'!E18</f>
        <v>0</v>
      </c>
      <c r="G18" s="368">
        <f>'Multi-Customer'!F18</f>
        <v>0</v>
      </c>
      <c r="H18" s="19">
        <f t="shared" si="14"/>
        <v>0</v>
      </c>
      <c r="I18" s="19">
        <f t="shared" si="15"/>
        <v>0</v>
      </c>
      <c r="J18" s="368"/>
      <c r="K18" s="368" t="str">
        <f>'PIM Model'!E16</f>
        <v>INCLUDE</v>
      </c>
      <c r="L18" s="368" t="e">
        <f t="shared" si="0"/>
        <v>#DIV/0!</v>
      </c>
      <c r="M18">
        <v>9</v>
      </c>
      <c r="N18" s="368" t="s">
        <v>98</v>
      </c>
      <c r="O18" s="368" t="e">
        <f t="shared" si="1"/>
        <v>#DIV/0!</v>
      </c>
      <c r="P18" s="368" t="e">
        <f t="shared" si="2"/>
        <v>#DIV/0!</v>
      </c>
      <c r="Q18" s="368" t="e">
        <f t="shared" si="3"/>
        <v>#DIV/0!</v>
      </c>
      <c r="R18" s="368" t="e">
        <f t="shared" si="4"/>
        <v>#DIV/0!</v>
      </c>
      <c r="S18" s="368">
        <f>IFERROR($O18/P18,VLOOKUP($W$10,'Basket Composition'!$A$34:$W$62,'PIM Ranges'!$M18,FALSE))</f>
        <v>31.155029763574035</v>
      </c>
      <c r="T18" s="19">
        <f>IFERROR(O18/R18,VLOOKUP($W$10,'Basket Composition'!$A$65:$W$92,'PIM Ranges'!$M18,FALSE))</f>
        <v>1.2404461672684504</v>
      </c>
      <c r="U18" s="19"/>
      <c r="V18" s="2">
        <f>'PIM Model'!$C$16</f>
        <v>0</v>
      </c>
      <c r="W18" s="686">
        <f>VLOOKUP($W$10,'Basket Composition'!$A$3:$W$30,'PIM Ranges'!$AJ18)</f>
        <v>3.8899999999999997E-2</v>
      </c>
      <c r="X18" s="19" t="e">
        <f t="shared" si="16"/>
        <v>#DIV/0!</v>
      </c>
      <c r="Y18" s="368" t="e">
        <f t="shared" si="17"/>
        <v>#DIV/0!</v>
      </c>
      <c r="Z18" s="368" t="e">
        <f t="shared" si="18"/>
        <v>#DIV/0!</v>
      </c>
      <c r="AA18" s="368">
        <f t="shared" si="19"/>
        <v>0</v>
      </c>
      <c r="AB18" s="687" t="e">
        <f t="shared" si="20"/>
        <v>#DIV/0!</v>
      </c>
      <c r="AC18" s="687" t="e">
        <f t="shared" si="21"/>
        <v>#DIV/0!</v>
      </c>
      <c r="AD18" s="368" t="e">
        <f t="shared" si="5"/>
        <v>#DIV/0!</v>
      </c>
      <c r="AE18" s="368"/>
      <c r="AF18" s="368" t="e">
        <f t="shared" si="22"/>
        <v>#DIV/0!</v>
      </c>
      <c r="AG18" s="42">
        <f>'PIM Model'!B16</f>
        <v>0</v>
      </c>
      <c r="AH18" s="533" t="e">
        <f t="shared" si="6"/>
        <v>#DIV/0!</v>
      </c>
      <c r="AI18" s="533" t="e">
        <f t="shared" si="23"/>
        <v>#DIV/0!</v>
      </c>
      <c r="AJ18">
        <v>9</v>
      </c>
      <c r="AK18" s="534" t="s">
        <v>98</v>
      </c>
      <c r="AL18" s="534" t="e">
        <f t="shared" si="7"/>
        <v>#DIV/0!</v>
      </c>
      <c r="AM18" s="534">
        <f t="shared" si="8"/>
        <v>0</v>
      </c>
      <c r="AN18" s="534">
        <f t="shared" si="9"/>
        <v>0</v>
      </c>
      <c r="AO18" s="535">
        <f t="shared" si="10"/>
        <v>31.155029763574035</v>
      </c>
      <c r="AP18" s="535">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66"/>
      <c r="AW18" s="56" t="s">
        <v>98</v>
      </c>
      <c r="AX18" s="567">
        <v>5735</v>
      </c>
      <c r="AY18" s="567">
        <v>12048</v>
      </c>
      <c r="AZ18" s="567">
        <v>22223</v>
      </c>
      <c r="BA18" s="567">
        <v>46885</v>
      </c>
      <c r="BD18" s="56" t="s">
        <v>98</v>
      </c>
      <c r="BE18" s="567">
        <v>11588</v>
      </c>
      <c r="BF18" s="567">
        <v>31399</v>
      </c>
      <c r="BG18" s="567">
        <v>78180</v>
      </c>
      <c r="BH18" s="567">
        <v>177577</v>
      </c>
    </row>
    <row r="19" spans="1:60" x14ac:dyDescent="0.25">
      <c r="A19" t="e">
        <f t="shared" si="13"/>
        <v>#DIV/0!</v>
      </c>
      <c r="B19">
        <v>10</v>
      </c>
      <c r="C19" t="s">
        <v>95</v>
      </c>
      <c r="D19" s="25">
        <f>'Multi-Customer'!C19</f>
        <v>0</v>
      </c>
      <c r="E19">
        <f>'Multi-Customer'!D19</f>
        <v>0</v>
      </c>
      <c r="F19">
        <f>'Multi-Customer'!E19</f>
        <v>0</v>
      </c>
      <c r="G19" s="368">
        <f>'Multi-Customer'!F19</f>
        <v>0</v>
      </c>
      <c r="H19" s="19">
        <f t="shared" si="14"/>
        <v>0</v>
      </c>
      <c r="I19" s="19">
        <f t="shared" si="15"/>
        <v>0</v>
      </c>
      <c r="J19" s="368"/>
      <c r="K19" s="368" t="str">
        <f>'PIM Model'!E17</f>
        <v>INCLUDE</v>
      </c>
      <c r="L19" s="368" t="e">
        <f t="shared" si="0"/>
        <v>#DIV/0!</v>
      </c>
      <c r="M19">
        <v>10</v>
      </c>
      <c r="N19" s="368" t="s">
        <v>95</v>
      </c>
      <c r="O19" s="368" t="e">
        <f t="shared" si="1"/>
        <v>#DIV/0!</v>
      </c>
      <c r="P19" s="368" t="e">
        <f t="shared" si="2"/>
        <v>#DIV/0!</v>
      </c>
      <c r="Q19" s="368" t="e">
        <f t="shared" si="3"/>
        <v>#DIV/0!</v>
      </c>
      <c r="R19" s="368" t="e">
        <f t="shared" si="4"/>
        <v>#DIV/0!</v>
      </c>
      <c r="S19" s="368">
        <f>IFERROR($O19/P19,VLOOKUP($W$10,'Basket Composition'!$A$34:$W$62,'PIM Ranges'!$M19,FALSE))</f>
        <v>35.422053469258316</v>
      </c>
      <c r="T19" s="19">
        <f>IFERROR(O19/R19,VLOOKUP($W$10,'Basket Composition'!$A$65:$W$92,'PIM Ranges'!$M19,FALSE))</f>
        <v>2.725036798587368</v>
      </c>
      <c r="U19" s="19"/>
      <c r="V19" s="2">
        <f>'PIM Model'!$C$17</f>
        <v>0</v>
      </c>
      <c r="W19" s="686">
        <f>VLOOKUP($W$10,'Basket Composition'!$A$3:$W$30,'PIM Ranges'!$AJ19)</f>
        <v>5.74E-2</v>
      </c>
      <c r="X19" s="19" t="e">
        <f t="shared" si="16"/>
        <v>#DIV/0!</v>
      </c>
      <c r="Y19" s="368" t="e">
        <f t="shared" si="17"/>
        <v>#DIV/0!</v>
      </c>
      <c r="Z19" s="368" t="e">
        <f t="shared" si="18"/>
        <v>#DIV/0!</v>
      </c>
      <c r="AA19" s="368">
        <f t="shared" si="19"/>
        <v>0</v>
      </c>
      <c r="AB19" s="687" t="e">
        <f t="shared" si="20"/>
        <v>#DIV/0!</v>
      </c>
      <c r="AC19" s="687" t="e">
        <f t="shared" si="21"/>
        <v>#DIV/0!</v>
      </c>
      <c r="AD19" s="368" t="e">
        <f t="shared" si="5"/>
        <v>#DIV/0!</v>
      </c>
      <c r="AE19" s="368"/>
      <c r="AF19" s="368" t="e">
        <f t="shared" si="22"/>
        <v>#DIV/0!</v>
      </c>
      <c r="AG19" s="42">
        <f>'PIM Model'!B17</f>
        <v>0</v>
      </c>
      <c r="AH19" s="533" t="e">
        <f t="shared" si="6"/>
        <v>#DIV/0!</v>
      </c>
      <c r="AI19" s="533" t="e">
        <f t="shared" si="23"/>
        <v>#DIV/0!</v>
      </c>
      <c r="AJ19">
        <v>10</v>
      </c>
      <c r="AK19" s="534" t="s">
        <v>95</v>
      </c>
      <c r="AL19" s="534" t="e">
        <f t="shared" si="7"/>
        <v>#DIV/0!</v>
      </c>
      <c r="AM19" s="534">
        <f t="shared" si="8"/>
        <v>0</v>
      </c>
      <c r="AN19" s="534">
        <f t="shared" si="9"/>
        <v>0</v>
      </c>
      <c r="AO19" s="535">
        <f t="shared" si="10"/>
        <v>35.422053469258316</v>
      </c>
      <c r="AP19" s="535">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66"/>
      <c r="AW19" s="56" t="s">
        <v>95</v>
      </c>
      <c r="AX19" s="567">
        <v>5783</v>
      </c>
      <c r="AY19" s="567">
        <v>15190</v>
      </c>
      <c r="AZ19" s="567">
        <v>28191</v>
      </c>
      <c r="BA19" s="567">
        <v>61587</v>
      </c>
      <c r="BD19" s="56" t="s">
        <v>95</v>
      </c>
      <c r="BE19" s="567">
        <v>11697</v>
      </c>
      <c r="BF19" s="567">
        <v>35019</v>
      </c>
      <c r="BG19" s="567">
        <v>103570</v>
      </c>
      <c r="BH19" s="567">
        <v>238698</v>
      </c>
    </row>
    <row r="20" spans="1:60" x14ac:dyDescent="0.25">
      <c r="A20" t="e">
        <f t="shared" si="13"/>
        <v>#DIV/0!</v>
      </c>
      <c r="B20">
        <v>11</v>
      </c>
      <c r="C20" t="s">
        <v>96</v>
      </c>
      <c r="D20" s="25">
        <f>'Multi-Customer'!C20</f>
        <v>0</v>
      </c>
      <c r="E20">
        <f>'Multi-Customer'!D20</f>
        <v>0</v>
      </c>
      <c r="F20">
        <f>'Multi-Customer'!E20</f>
        <v>0</v>
      </c>
      <c r="G20" s="368">
        <f>'Multi-Customer'!F20</f>
        <v>0</v>
      </c>
      <c r="H20" s="19">
        <f t="shared" si="14"/>
        <v>0</v>
      </c>
      <c r="I20" s="19">
        <f t="shared" si="15"/>
        <v>0</v>
      </c>
      <c r="J20" s="368"/>
      <c r="K20" s="368" t="str">
        <f>'PIM Model'!E18</f>
        <v>INCLUDE</v>
      </c>
      <c r="L20" s="368" t="e">
        <f t="shared" si="0"/>
        <v>#DIV/0!</v>
      </c>
      <c r="M20">
        <v>11</v>
      </c>
      <c r="N20" s="368" t="s">
        <v>96</v>
      </c>
      <c r="O20" s="368" t="e">
        <f t="shared" si="1"/>
        <v>#DIV/0!</v>
      </c>
      <c r="P20" s="368" t="e">
        <f t="shared" si="2"/>
        <v>#DIV/0!</v>
      </c>
      <c r="Q20" s="368" t="e">
        <f t="shared" si="3"/>
        <v>#DIV/0!</v>
      </c>
      <c r="R20" s="368" t="e">
        <f t="shared" si="4"/>
        <v>#DIV/0!</v>
      </c>
      <c r="S20" s="368">
        <f>IFERROR($O20/P20,VLOOKUP($W$10,'Basket Composition'!$A$34:$W$62,'PIM Ranges'!$M20,FALSE))</f>
        <v>36.021242068094658</v>
      </c>
      <c r="T20" s="19">
        <f>IFERROR(O20/R20,VLOOKUP($W$10,'Basket Composition'!$A$65:$W$92,'PIM Ranges'!$M20,FALSE))</f>
        <v>6.3330094511885084</v>
      </c>
      <c r="U20" s="19"/>
      <c r="V20" s="2">
        <f>'PIM Model'!$C$18</f>
        <v>0</v>
      </c>
      <c r="W20" s="686">
        <f>VLOOKUP($W$10,'Basket Composition'!$A$3:$W$30,'PIM Ranges'!$AJ20)</f>
        <v>2.1499999999999998E-2</v>
      </c>
      <c r="X20" s="19" t="e">
        <f t="shared" si="16"/>
        <v>#DIV/0!</v>
      </c>
      <c r="Y20" s="368" t="e">
        <f t="shared" si="17"/>
        <v>#DIV/0!</v>
      </c>
      <c r="Z20" s="368" t="e">
        <f t="shared" si="18"/>
        <v>#DIV/0!</v>
      </c>
      <c r="AA20" s="368">
        <f t="shared" si="19"/>
        <v>0</v>
      </c>
      <c r="AB20" s="687" t="e">
        <f t="shared" si="20"/>
        <v>#DIV/0!</v>
      </c>
      <c r="AC20" s="687" t="e">
        <f t="shared" si="21"/>
        <v>#DIV/0!</v>
      </c>
      <c r="AD20" s="368" t="e">
        <f t="shared" si="5"/>
        <v>#DIV/0!</v>
      </c>
      <c r="AE20" s="368"/>
      <c r="AF20" s="368" t="e">
        <f t="shared" si="22"/>
        <v>#DIV/0!</v>
      </c>
      <c r="AG20" s="42">
        <f>'PIM Model'!B18</f>
        <v>0</v>
      </c>
      <c r="AH20" s="533" t="e">
        <f t="shared" si="6"/>
        <v>#DIV/0!</v>
      </c>
      <c r="AI20" s="533" t="e">
        <f t="shared" si="23"/>
        <v>#DIV/0!</v>
      </c>
      <c r="AJ20">
        <v>11</v>
      </c>
      <c r="AK20" s="534" t="s">
        <v>96</v>
      </c>
      <c r="AL20" s="534" t="e">
        <f t="shared" si="7"/>
        <v>#DIV/0!</v>
      </c>
      <c r="AM20" s="534">
        <f t="shared" si="8"/>
        <v>0</v>
      </c>
      <c r="AN20" s="534">
        <f t="shared" si="9"/>
        <v>0</v>
      </c>
      <c r="AO20" s="535">
        <f t="shared" si="10"/>
        <v>36.021242068094658</v>
      </c>
      <c r="AP20" s="535">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66"/>
      <c r="AW20" s="56" t="s">
        <v>96</v>
      </c>
      <c r="AX20" s="567">
        <v>830</v>
      </c>
      <c r="AY20" s="567">
        <v>2480</v>
      </c>
      <c r="AZ20" s="567">
        <v>6004</v>
      </c>
      <c r="BA20" s="567">
        <v>13761</v>
      </c>
      <c r="BD20" s="56" t="s">
        <v>96</v>
      </c>
      <c r="BE20" s="567">
        <v>1562</v>
      </c>
      <c r="BF20" s="567">
        <v>5701</v>
      </c>
      <c r="BG20" s="567">
        <v>19578</v>
      </c>
      <c r="BH20" s="567">
        <v>45979</v>
      </c>
    </row>
    <row r="21" spans="1:60" x14ac:dyDescent="0.25">
      <c r="A21" t="e">
        <f t="shared" si="13"/>
        <v>#DIV/0!</v>
      </c>
      <c r="B21">
        <v>12</v>
      </c>
      <c r="C21" t="s">
        <v>101</v>
      </c>
      <c r="D21" s="25">
        <f>'Multi-Customer'!C21</f>
        <v>0</v>
      </c>
      <c r="E21">
        <f>'Multi-Customer'!D21</f>
        <v>0</v>
      </c>
      <c r="F21">
        <f>'Multi-Customer'!E21</f>
        <v>0</v>
      </c>
      <c r="G21" s="368">
        <f>'Multi-Customer'!F21</f>
        <v>0</v>
      </c>
      <c r="H21" s="19">
        <f t="shared" si="14"/>
        <v>0</v>
      </c>
      <c r="I21" s="19">
        <f t="shared" si="15"/>
        <v>0</v>
      </c>
      <c r="J21" s="368"/>
      <c r="K21" s="368" t="str">
        <f>'PIM Model'!E19</f>
        <v>INCLUDE</v>
      </c>
      <c r="L21" s="368" t="e">
        <f t="shared" si="0"/>
        <v>#DIV/0!</v>
      </c>
      <c r="M21">
        <v>12</v>
      </c>
      <c r="N21" s="368" t="s">
        <v>101</v>
      </c>
      <c r="O21" s="368" t="e">
        <f t="shared" si="1"/>
        <v>#DIV/0!</v>
      </c>
      <c r="P21" s="368" t="e">
        <f t="shared" si="2"/>
        <v>#DIV/0!</v>
      </c>
      <c r="Q21" s="368" t="e">
        <f t="shared" si="3"/>
        <v>#DIV/0!</v>
      </c>
      <c r="R21" s="368" t="e">
        <f t="shared" si="4"/>
        <v>#DIV/0!</v>
      </c>
      <c r="S21" s="368">
        <f>IFERROR($O21/P21,VLOOKUP($W$10,'Basket Composition'!$A$34:$W$62,'PIM Ranges'!$M21,FALSE))</f>
        <v>29.637424115670608</v>
      </c>
      <c r="T21" s="19">
        <f>IFERROR(O21/R21,VLOOKUP($W$10,'Basket Composition'!$A$65:$W$92,'PIM Ranges'!$M21,FALSE))</f>
        <v>0.89090153310810105</v>
      </c>
      <c r="U21" s="19"/>
      <c r="V21" s="2">
        <f>'PIM Model'!$C$19</f>
        <v>0</v>
      </c>
      <c r="W21" s="686">
        <f>VLOOKUP($W$10,'Basket Composition'!$A$3:$W$30,'PIM Ranges'!$AJ21)</f>
        <v>1.2200000000000001E-2</v>
      </c>
      <c r="X21" s="19" t="e">
        <f t="shared" si="16"/>
        <v>#DIV/0!</v>
      </c>
      <c r="Y21" s="368" t="e">
        <f t="shared" si="17"/>
        <v>#DIV/0!</v>
      </c>
      <c r="Z21" s="368" t="e">
        <f t="shared" si="18"/>
        <v>#DIV/0!</v>
      </c>
      <c r="AA21" s="368">
        <f t="shared" si="19"/>
        <v>0</v>
      </c>
      <c r="AB21" s="687" t="e">
        <f t="shared" si="20"/>
        <v>#DIV/0!</v>
      </c>
      <c r="AC21" s="687" t="e">
        <f t="shared" si="21"/>
        <v>#DIV/0!</v>
      </c>
      <c r="AD21" s="368" t="e">
        <f t="shared" si="5"/>
        <v>#DIV/0!</v>
      </c>
      <c r="AE21" s="368"/>
      <c r="AF21" s="368" t="e">
        <f t="shared" si="22"/>
        <v>#DIV/0!</v>
      </c>
      <c r="AG21" s="42">
        <f>'PIM Model'!B19</f>
        <v>0</v>
      </c>
      <c r="AH21" s="533" t="e">
        <f t="shared" si="6"/>
        <v>#DIV/0!</v>
      </c>
      <c r="AI21" s="533" t="e">
        <f t="shared" si="23"/>
        <v>#DIV/0!</v>
      </c>
      <c r="AJ21">
        <v>12</v>
      </c>
      <c r="AK21" s="534" t="s">
        <v>101</v>
      </c>
      <c r="AL21" s="534" t="e">
        <f t="shared" si="7"/>
        <v>#DIV/0!</v>
      </c>
      <c r="AM21" s="534">
        <f t="shared" si="8"/>
        <v>0</v>
      </c>
      <c r="AN21" s="534">
        <f t="shared" si="9"/>
        <v>0</v>
      </c>
      <c r="AO21" s="535">
        <f t="shared" si="10"/>
        <v>29.637424115670608</v>
      </c>
      <c r="AP21" s="535">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66"/>
      <c r="AW21" s="56" t="s">
        <v>101</v>
      </c>
      <c r="AX21" s="567">
        <v>2353</v>
      </c>
      <c r="AY21" s="567">
        <v>5189</v>
      </c>
      <c r="AZ21" s="567">
        <v>10687</v>
      </c>
      <c r="BA21" s="567">
        <v>23163</v>
      </c>
      <c r="BD21" s="56" t="s">
        <v>101</v>
      </c>
      <c r="BE21" s="567">
        <v>3473</v>
      </c>
      <c r="BF21" s="567">
        <v>9790</v>
      </c>
      <c r="BG21" s="567">
        <v>29037</v>
      </c>
      <c r="BH21" s="567">
        <v>66663</v>
      </c>
    </row>
    <row r="22" spans="1:60" x14ac:dyDescent="0.25">
      <c r="A22" t="e">
        <f t="shared" si="13"/>
        <v>#DIV/0!</v>
      </c>
      <c r="B22">
        <v>13</v>
      </c>
      <c r="C22" t="s">
        <v>97</v>
      </c>
      <c r="D22" s="25">
        <f>'Multi-Customer'!C22</f>
        <v>0</v>
      </c>
      <c r="E22">
        <f>'Multi-Customer'!D22</f>
        <v>0</v>
      </c>
      <c r="F22">
        <f>'Multi-Customer'!E22</f>
        <v>0</v>
      </c>
      <c r="G22" s="368">
        <f>'Multi-Customer'!F22</f>
        <v>0</v>
      </c>
      <c r="H22" s="19">
        <f t="shared" si="14"/>
        <v>0</v>
      </c>
      <c r="I22" s="19">
        <f t="shared" si="15"/>
        <v>0</v>
      </c>
      <c r="J22" s="368"/>
      <c r="K22" s="368" t="str">
        <f>'PIM Model'!E20</f>
        <v>INCLUDE</v>
      </c>
      <c r="L22" s="368" t="e">
        <f t="shared" si="0"/>
        <v>#DIV/0!</v>
      </c>
      <c r="M22">
        <v>13</v>
      </c>
      <c r="N22" s="368" t="s">
        <v>97</v>
      </c>
      <c r="O22" s="368" t="e">
        <f t="shared" si="1"/>
        <v>#DIV/0!</v>
      </c>
      <c r="P22" s="368" t="e">
        <f t="shared" si="2"/>
        <v>#DIV/0!</v>
      </c>
      <c r="Q22" s="368" t="e">
        <f t="shared" si="3"/>
        <v>#DIV/0!</v>
      </c>
      <c r="R22" s="368" t="e">
        <f t="shared" si="4"/>
        <v>#DIV/0!</v>
      </c>
      <c r="S22" s="368">
        <f>IFERROR($O22/P22,VLOOKUP($W$10,'Basket Composition'!$A$34:$W$62,'PIM Ranges'!$M22,FALSE))</f>
        <v>29.61257625386931</v>
      </c>
      <c r="T22" s="19">
        <f>IFERROR(O22/R22,VLOOKUP($W$10,'Basket Composition'!$A$65:$W$92,'PIM Ranges'!$M22,FALSE))</f>
        <v>1.3102443941917017</v>
      </c>
      <c r="U22" s="19"/>
      <c r="V22" s="2">
        <f>'PIM Model'!$C$20</f>
        <v>0</v>
      </c>
      <c r="W22" s="686">
        <f>VLOOKUP($W$10,'Basket Composition'!$A$3:$W$30,'PIM Ranges'!$AJ22)</f>
        <v>0.10654999999999992</v>
      </c>
      <c r="X22" s="19" t="e">
        <f t="shared" si="16"/>
        <v>#DIV/0!</v>
      </c>
      <c r="Y22" s="368" t="e">
        <f t="shared" si="17"/>
        <v>#DIV/0!</v>
      </c>
      <c r="Z22" s="368" t="e">
        <f t="shared" si="18"/>
        <v>#DIV/0!</v>
      </c>
      <c r="AA22" s="368">
        <f t="shared" si="19"/>
        <v>0</v>
      </c>
      <c r="AB22" s="687" t="e">
        <f t="shared" si="20"/>
        <v>#DIV/0!</v>
      </c>
      <c r="AC22" s="687" t="e">
        <f t="shared" si="21"/>
        <v>#DIV/0!</v>
      </c>
      <c r="AD22" s="368" t="e">
        <f t="shared" si="5"/>
        <v>#DIV/0!</v>
      </c>
      <c r="AE22" s="368"/>
      <c r="AF22" s="368" t="e">
        <f t="shared" si="22"/>
        <v>#DIV/0!</v>
      </c>
      <c r="AG22" s="42">
        <f>'PIM Model'!B20</f>
        <v>0</v>
      </c>
      <c r="AH22" s="533" t="e">
        <f t="shared" si="6"/>
        <v>#DIV/0!</v>
      </c>
      <c r="AI22" s="533" t="e">
        <f t="shared" si="23"/>
        <v>#DIV/0!</v>
      </c>
      <c r="AJ22">
        <v>13</v>
      </c>
      <c r="AK22" s="534" t="s">
        <v>97</v>
      </c>
      <c r="AL22" s="534" t="e">
        <f t="shared" si="7"/>
        <v>#DIV/0!</v>
      </c>
      <c r="AM22" s="534">
        <f t="shared" si="8"/>
        <v>0</v>
      </c>
      <c r="AN22" s="534">
        <f t="shared" si="9"/>
        <v>0</v>
      </c>
      <c r="AO22" s="535">
        <f t="shared" si="10"/>
        <v>29.61257625386931</v>
      </c>
      <c r="AP22" s="535">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66"/>
      <c r="AW22" s="56" t="s">
        <v>97</v>
      </c>
      <c r="AX22" s="567">
        <v>26250</v>
      </c>
      <c r="AY22" s="567">
        <v>37715</v>
      </c>
      <c r="AZ22" s="567">
        <v>54986</v>
      </c>
      <c r="BA22" s="567">
        <v>98006</v>
      </c>
      <c r="BD22" s="56" t="s">
        <v>97</v>
      </c>
      <c r="BE22" s="567">
        <v>34732</v>
      </c>
      <c r="BF22" s="567">
        <v>78310</v>
      </c>
      <c r="BG22" s="567">
        <v>203159</v>
      </c>
      <c r="BH22" s="567">
        <v>451886</v>
      </c>
    </row>
    <row r="23" spans="1:60" x14ac:dyDescent="0.25">
      <c r="A23" t="e">
        <f t="shared" si="13"/>
        <v>#DIV/0!</v>
      </c>
      <c r="B23">
        <v>14</v>
      </c>
      <c r="C23" t="s">
        <v>93</v>
      </c>
      <c r="D23" s="25">
        <f>'Multi-Customer'!C23</f>
        <v>0</v>
      </c>
      <c r="E23">
        <f>'Multi-Customer'!D23</f>
        <v>0</v>
      </c>
      <c r="F23">
        <f>'Multi-Customer'!E23</f>
        <v>0</v>
      </c>
      <c r="G23" s="368">
        <f>'Multi-Customer'!F23</f>
        <v>0</v>
      </c>
      <c r="H23" s="19">
        <f t="shared" si="14"/>
        <v>0</v>
      </c>
      <c r="I23" s="19">
        <f t="shared" si="15"/>
        <v>0</v>
      </c>
      <c r="J23" s="368"/>
      <c r="K23" s="368" t="str">
        <f>'PIM Model'!E21</f>
        <v>INCLUDE</v>
      </c>
      <c r="L23" s="368" t="e">
        <f t="shared" si="0"/>
        <v>#DIV/0!</v>
      </c>
      <c r="M23">
        <v>14</v>
      </c>
      <c r="N23" s="368" t="s">
        <v>93</v>
      </c>
      <c r="O23" s="368" t="e">
        <f t="shared" si="1"/>
        <v>#DIV/0!</v>
      </c>
      <c r="P23" s="368" t="e">
        <f t="shared" si="2"/>
        <v>#DIV/0!</v>
      </c>
      <c r="Q23" s="368" t="e">
        <f t="shared" si="3"/>
        <v>#DIV/0!</v>
      </c>
      <c r="R23" s="368" t="e">
        <f t="shared" si="4"/>
        <v>#DIV/0!</v>
      </c>
      <c r="S23" s="368">
        <f>IFERROR($O23/P23,VLOOKUP($W$10,'Basket Composition'!$A$34:$W$62,'PIM Ranges'!$M23,FALSE))</f>
        <v>31.237457327451125</v>
      </c>
      <c r="T23" s="19">
        <f>IFERROR(O23/R23,VLOOKUP($W$10,'Basket Composition'!$A$65:$W$92,'PIM Ranges'!$M23,FALSE))</f>
        <v>1.8734967774112981</v>
      </c>
      <c r="U23" s="19"/>
      <c r="V23" s="2">
        <f>'PIM Model'!$C$21</f>
        <v>0</v>
      </c>
      <c r="W23" s="686">
        <f>VLOOKUP($W$10,'Basket Composition'!$A$3:$W$30,'PIM Ranges'!$AJ23)</f>
        <v>7.3700000000000002E-2</v>
      </c>
      <c r="X23" s="19" t="e">
        <f t="shared" si="16"/>
        <v>#DIV/0!</v>
      </c>
      <c r="Y23" s="368" t="e">
        <f t="shared" si="17"/>
        <v>#DIV/0!</v>
      </c>
      <c r="Z23" s="368" t="e">
        <f t="shared" si="18"/>
        <v>#DIV/0!</v>
      </c>
      <c r="AA23" s="368">
        <f t="shared" si="19"/>
        <v>0</v>
      </c>
      <c r="AB23" s="687" t="e">
        <f t="shared" si="20"/>
        <v>#DIV/0!</v>
      </c>
      <c r="AC23" s="687" t="e">
        <f t="shared" si="21"/>
        <v>#DIV/0!</v>
      </c>
      <c r="AD23" s="368" t="e">
        <f t="shared" si="5"/>
        <v>#DIV/0!</v>
      </c>
      <c r="AE23" s="368"/>
      <c r="AF23" s="368" t="e">
        <f t="shared" si="22"/>
        <v>#DIV/0!</v>
      </c>
      <c r="AG23" s="42">
        <f>'PIM Model'!B21</f>
        <v>0</v>
      </c>
      <c r="AH23" s="533" t="e">
        <f t="shared" si="6"/>
        <v>#DIV/0!</v>
      </c>
      <c r="AI23" s="533" t="e">
        <f t="shared" si="23"/>
        <v>#DIV/0!</v>
      </c>
      <c r="AJ23">
        <v>14</v>
      </c>
      <c r="AK23" s="534" t="s">
        <v>93</v>
      </c>
      <c r="AL23" s="534" t="e">
        <f t="shared" si="7"/>
        <v>#DIV/0!</v>
      </c>
      <c r="AM23" s="534">
        <f t="shared" si="8"/>
        <v>0</v>
      </c>
      <c r="AN23" s="534">
        <f t="shared" si="9"/>
        <v>0</v>
      </c>
      <c r="AO23" s="535">
        <f t="shared" si="10"/>
        <v>31.237457327451125</v>
      </c>
      <c r="AP23" s="535">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66"/>
      <c r="AW23" s="56" t="s">
        <v>93</v>
      </c>
      <c r="AX23" s="567">
        <v>9242</v>
      </c>
      <c r="AY23" s="567">
        <v>18705</v>
      </c>
      <c r="AZ23" s="567">
        <v>31626</v>
      </c>
      <c r="BA23" s="567">
        <v>65192</v>
      </c>
      <c r="BD23" s="56" t="s">
        <v>93</v>
      </c>
      <c r="BE23" s="567">
        <v>19767</v>
      </c>
      <c r="BF23" s="567">
        <v>50065</v>
      </c>
      <c r="BG23" s="567">
        <v>124322</v>
      </c>
      <c r="BH23" s="567">
        <v>278212</v>
      </c>
    </row>
    <row r="24" spans="1:60" x14ac:dyDescent="0.25">
      <c r="A24" t="e">
        <f t="shared" si="13"/>
        <v>#DIV/0!</v>
      </c>
      <c r="B24">
        <v>15</v>
      </c>
      <c r="C24" t="s">
        <v>105</v>
      </c>
      <c r="D24" s="25">
        <f>'Multi-Customer'!C24</f>
        <v>0</v>
      </c>
      <c r="E24">
        <f>'Multi-Customer'!D24</f>
        <v>0</v>
      </c>
      <c r="F24">
        <f>'Multi-Customer'!E24</f>
        <v>0</v>
      </c>
      <c r="G24" s="368">
        <f>'Multi-Customer'!F24</f>
        <v>0</v>
      </c>
      <c r="H24" s="19">
        <f t="shared" si="14"/>
        <v>0</v>
      </c>
      <c r="I24" s="19">
        <f t="shared" si="15"/>
        <v>0</v>
      </c>
      <c r="J24" s="368"/>
      <c r="K24" s="368" t="str">
        <f>'PIM Model'!E22</f>
        <v>INCLUDE</v>
      </c>
      <c r="L24" s="368" t="e">
        <f t="shared" si="0"/>
        <v>#DIV/0!</v>
      </c>
      <c r="M24">
        <v>15</v>
      </c>
      <c r="N24" s="368" t="s">
        <v>105</v>
      </c>
      <c r="O24" s="368" t="e">
        <f t="shared" si="1"/>
        <v>#DIV/0!</v>
      </c>
      <c r="P24" s="368" t="e">
        <f t="shared" si="2"/>
        <v>#DIV/0!</v>
      </c>
      <c r="Q24" s="368" t="e">
        <f t="shared" si="3"/>
        <v>#DIV/0!</v>
      </c>
      <c r="R24" s="368" t="e">
        <f t="shared" si="4"/>
        <v>#DIV/0!</v>
      </c>
      <c r="S24" s="368">
        <f>IFERROR($O24/P24,VLOOKUP($W$10,'Basket Composition'!$A$34:$W$62,'PIM Ranges'!$M24,FALSE))</f>
        <v>49.136316232127818</v>
      </c>
      <c r="T24" s="19">
        <f>IFERROR(O24/R24,VLOOKUP($W$10,'Basket Composition'!$A$65:$W$92,'PIM Ranges'!$M24,FALSE))</f>
        <v>4.6773675222707647</v>
      </c>
      <c r="U24" s="19"/>
      <c r="V24" s="2">
        <f>'PIM Model'!$C$22</f>
        <v>0</v>
      </c>
      <c r="W24" s="686">
        <f>VLOOKUP($W$10,'Basket Composition'!$A$3:$W$30,'PIM Ranges'!$AJ24)</f>
        <v>3.0000000000000001E-3</v>
      </c>
      <c r="X24" s="19" t="e">
        <f t="shared" si="16"/>
        <v>#DIV/0!</v>
      </c>
      <c r="Y24" s="368" t="e">
        <f t="shared" si="17"/>
        <v>#DIV/0!</v>
      </c>
      <c r="Z24" s="368" t="e">
        <f t="shared" si="18"/>
        <v>#DIV/0!</v>
      </c>
      <c r="AA24" s="368">
        <f t="shared" si="19"/>
        <v>0</v>
      </c>
      <c r="AB24" s="687" t="e">
        <f t="shared" si="20"/>
        <v>#DIV/0!</v>
      </c>
      <c r="AC24" s="687" t="e">
        <f t="shared" si="21"/>
        <v>#DIV/0!</v>
      </c>
      <c r="AD24" s="368" t="e">
        <f t="shared" si="5"/>
        <v>#DIV/0!</v>
      </c>
      <c r="AE24" s="368"/>
      <c r="AF24" s="368" t="e">
        <f t="shared" si="22"/>
        <v>#DIV/0!</v>
      </c>
      <c r="AG24" s="42">
        <f>'PIM Model'!B22</f>
        <v>0</v>
      </c>
      <c r="AH24" s="533" t="e">
        <f t="shared" si="6"/>
        <v>#DIV/0!</v>
      </c>
      <c r="AI24" s="533" t="e">
        <f t="shared" si="23"/>
        <v>#DIV/0!</v>
      </c>
      <c r="AJ24">
        <v>15</v>
      </c>
      <c r="AK24" s="534" t="s">
        <v>105</v>
      </c>
      <c r="AL24" s="534" t="e">
        <f t="shared" si="7"/>
        <v>#DIV/0!</v>
      </c>
      <c r="AM24" s="534">
        <f t="shared" si="8"/>
        <v>0</v>
      </c>
      <c r="AN24" s="534">
        <f t="shared" si="9"/>
        <v>0</v>
      </c>
      <c r="AO24" s="535">
        <f t="shared" si="10"/>
        <v>49.136316232127818</v>
      </c>
      <c r="AP24" s="535">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66"/>
      <c r="AW24" s="56" t="s">
        <v>105</v>
      </c>
      <c r="AX24" s="567">
        <v>142</v>
      </c>
      <c r="AY24" s="567">
        <v>469</v>
      </c>
      <c r="AZ24" s="567">
        <v>1089</v>
      </c>
      <c r="BA24" s="567">
        <v>2473</v>
      </c>
      <c r="BD24" s="56" t="s">
        <v>105</v>
      </c>
      <c r="BE24" s="567">
        <v>179</v>
      </c>
      <c r="BF24" s="567">
        <v>732</v>
      </c>
      <c r="BG24" s="567">
        <v>2385</v>
      </c>
      <c r="BH24" s="567">
        <v>5645</v>
      </c>
    </row>
    <row r="25" spans="1:60" x14ac:dyDescent="0.25">
      <c r="A25" t="e">
        <f t="shared" si="13"/>
        <v>#DIV/0!</v>
      </c>
      <c r="B25">
        <v>16</v>
      </c>
      <c r="C25" t="s">
        <v>92</v>
      </c>
      <c r="D25" s="25">
        <f>'Multi-Customer'!C25</f>
        <v>0</v>
      </c>
      <c r="E25">
        <f>'Multi-Customer'!D25</f>
        <v>0</v>
      </c>
      <c r="F25">
        <f>'Multi-Customer'!E25</f>
        <v>0</v>
      </c>
      <c r="G25" s="368">
        <f>'Multi-Customer'!F25</f>
        <v>0</v>
      </c>
      <c r="H25" s="19">
        <f>IFERROR(D25/E25,0)</f>
        <v>0</v>
      </c>
      <c r="I25" s="19">
        <f>IFERROR(D25/G25,0)</f>
        <v>0</v>
      </c>
      <c r="J25" s="368"/>
      <c r="K25" s="368" t="str">
        <f>'PIM Model'!E23</f>
        <v>INCLUDE</v>
      </c>
      <c r="L25" s="368" t="e">
        <f t="shared" si="0"/>
        <v>#DIV/0!</v>
      </c>
      <c r="M25">
        <v>16</v>
      </c>
      <c r="N25" s="368" t="s">
        <v>92</v>
      </c>
      <c r="O25" s="368" t="e">
        <f t="shared" si="1"/>
        <v>#DIV/0!</v>
      </c>
      <c r="P25" s="368" t="e">
        <f t="shared" si="2"/>
        <v>#DIV/0!</v>
      </c>
      <c r="Q25" s="368" t="e">
        <f t="shared" si="3"/>
        <v>#DIV/0!</v>
      </c>
      <c r="R25" s="368" t="e">
        <f t="shared" si="4"/>
        <v>#DIV/0!</v>
      </c>
      <c r="S25" s="368">
        <f>IFERROR($O25/P25,VLOOKUP($W$10,'Basket Composition'!$A$34:$W$62,'PIM Ranges'!$M25,FALSE))</f>
        <v>28.048706517032524</v>
      </c>
      <c r="T25" s="19">
        <f>IFERROR(O25/R25,VLOOKUP($W$10,'Basket Composition'!$A$65:$W$92,'PIM Ranges'!$M25,FALSE))</f>
        <v>0.85361497628588379</v>
      </c>
      <c r="U25" s="19"/>
      <c r="V25" s="2">
        <f>'PIM Model'!$C$23</f>
        <v>0</v>
      </c>
      <c r="W25" s="686">
        <f>VLOOKUP($W$10,'Basket Composition'!$A$3:$W$30,'PIM Ranges'!$AJ25)</f>
        <v>3.1699999999999999E-2</v>
      </c>
      <c r="X25" s="19" t="e">
        <f t="shared" si="16"/>
        <v>#DIV/0!</v>
      </c>
      <c r="Y25" s="368" t="e">
        <f t="shared" si="17"/>
        <v>#DIV/0!</v>
      </c>
      <c r="Z25" s="368" t="e">
        <f t="shared" si="18"/>
        <v>#DIV/0!</v>
      </c>
      <c r="AA25" s="368">
        <f t="shared" si="19"/>
        <v>0</v>
      </c>
      <c r="AB25" s="687" t="e">
        <f t="shared" si="20"/>
        <v>#DIV/0!</v>
      </c>
      <c r="AC25" s="687" t="e">
        <f t="shared" si="21"/>
        <v>#DIV/0!</v>
      </c>
      <c r="AD25" s="368" t="e">
        <f t="shared" si="5"/>
        <v>#DIV/0!</v>
      </c>
      <c r="AE25" s="368"/>
      <c r="AF25" s="368" t="e">
        <f t="shared" si="22"/>
        <v>#DIV/0!</v>
      </c>
      <c r="AG25" s="42">
        <f>'PIM Model'!B23</f>
        <v>0</v>
      </c>
      <c r="AH25" s="533" t="e">
        <f t="shared" si="6"/>
        <v>#DIV/0!</v>
      </c>
      <c r="AI25" s="533" t="e">
        <f t="shared" si="23"/>
        <v>#DIV/0!</v>
      </c>
      <c r="AJ25">
        <v>16</v>
      </c>
      <c r="AK25" s="534" t="s">
        <v>92</v>
      </c>
      <c r="AL25" s="534" t="e">
        <f t="shared" si="7"/>
        <v>#DIV/0!</v>
      </c>
      <c r="AM25" s="534">
        <f t="shared" si="8"/>
        <v>0</v>
      </c>
      <c r="AN25" s="534">
        <f t="shared" si="9"/>
        <v>0</v>
      </c>
      <c r="AO25" s="535">
        <f t="shared" si="10"/>
        <v>28.048706517032524</v>
      </c>
      <c r="AP25" s="535">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66"/>
      <c r="AW25" s="56" t="s">
        <v>92</v>
      </c>
      <c r="AX25" s="567">
        <v>6610</v>
      </c>
      <c r="AY25" s="567">
        <v>11026</v>
      </c>
      <c r="AZ25" s="567">
        <v>16902</v>
      </c>
      <c r="BA25" s="567">
        <v>32235</v>
      </c>
      <c r="BD25" s="56" t="s">
        <v>92</v>
      </c>
      <c r="BE25" s="567">
        <v>7323</v>
      </c>
      <c r="BF25" s="567">
        <v>19194</v>
      </c>
      <c r="BG25" s="567">
        <v>47517</v>
      </c>
      <c r="BH25" s="567">
        <v>107183</v>
      </c>
    </row>
    <row r="26" spans="1:60" x14ac:dyDescent="0.25">
      <c r="A26" t="e">
        <f t="shared" si="13"/>
        <v>#DIV/0!</v>
      </c>
      <c r="B26">
        <v>17</v>
      </c>
      <c r="C26" t="s">
        <v>91</v>
      </c>
      <c r="D26" s="25">
        <f>'Multi-Customer'!C26</f>
        <v>0</v>
      </c>
      <c r="E26">
        <f>'Multi-Customer'!D26</f>
        <v>0</v>
      </c>
      <c r="F26">
        <f>'Multi-Customer'!E26</f>
        <v>0</v>
      </c>
      <c r="G26" s="368">
        <f>'Multi-Customer'!F26</f>
        <v>0</v>
      </c>
      <c r="H26" s="19">
        <f t="shared" si="14"/>
        <v>0</v>
      </c>
      <c r="I26" s="19">
        <f t="shared" si="15"/>
        <v>0</v>
      </c>
      <c r="J26" s="368"/>
      <c r="K26" s="368" t="str">
        <f>'PIM Model'!E24</f>
        <v>INCLUDE</v>
      </c>
      <c r="L26" s="368" t="e">
        <f t="shared" si="0"/>
        <v>#DIV/0!</v>
      </c>
      <c r="M26">
        <v>17</v>
      </c>
      <c r="N26" s="368" t="s">
        <v>91</v>
      </c>
      <c r="O26" s="368" t="e">
        <f t="shared" si="1"/>
        <v>#DIV/0!</v>
      </c>
      <c r="P26" s="368" t="e">
        <f t="shared" si="2"/>
        <v>#DIV/0!</v>
      </c>
      <c r="Q26" s="368" t="e">
        <f t="shared" si="3"/>
        <v>#DIV/0!</v>
      </c>
      <c r="R26" s="368" t="e">
        <f t="shared" si="4"/>
        <v>#DIV/0!</v>
      </c>
      <c r="S26" s="368">
        <f>IFERROR($O26/P26,VLOOKUP($W$10,'Basket Composition'!$A$34:$W$62,'PIM Ranges'!$M26,FALSE))</f>
        <v>58.888145085624338</v>
      </c>
      <c r="T26" s="19">
        <f>IFERROR(O26/R26,VLOOKUP($W$10,'Basket Composition'!$A$65:$W$92,'PIM Ranges'!$M26,FALSE))</f>
        <v>3.0802914229741019</v>
      </c>
      <c r="U26" s="19"/>
      <c r="V26" s="2">
        <f>'PIM Model'!$C$24</f>
        <v>0</v>
      </c>
      <c r="W26" s="686">
        <f>VLOOKUP($W$10,'Basket Composition'!$A$3:$W$30,'PIM Ranges'!$AJ26)</f>
        <v>5.21E-2</v>
      </c>
      <c r="X26" s="19" t="e">
        <f t="shared" si="16"/>
        <v>#DIV/0!</v>
      </c>
      <c r="Y26" s="368" t="e">
        <f t="shared" si="17"/>
        <v>#DIV/0!</v>
      </c>
      <c r="Z26" s="368" t="e">
        <f t="shared" si="18"/>
        <v>#DIV/0!</v>
      </c>
      <c r="AA26" s="368">
        <f t="shared" si="19"/>
        <v>0</v>
      </c>
      <c r="AB26" s="687" t="e">
        <f t="shared" si="20"/>
        <v>#DIV/0!</v>
      </c>
      <c r="AC26" s="687" t="e">
        <f t="shared" si="21"/>
        <v>#DIV/0!</v>
      </c>
      <c r="AD26" s="368" t="e">
        <f t="shared" si="5"/>
        <v>#DIV/0!</v>
      </c>
      <c r="AE26" s="368"/>
      <c r="AF26" s="368" t="e">
        <f t="shared" si="22"/>
        <v>#DIV/0!</v>
      </c>
      <c r="AG26" s="42">
        <f>'PIM Model'!B24</f>
        <v>0</v>
      </c>
      <c r="AH26" s="533" t="e">
        <f t="shared" si="6"/>
        <v>#DIV/0!</v>
      </c>
      <c r="AI26" s="533" t="e">
        <f t="shared" si="23"/>
        <v>#DIV/0!</v>
      </c>
      <c r="AJ26">
        <v>17</v>
      </c>
      <c r="AK26" s="534" t="s">
        <v>91</v>
      </c>
      <c r="AL26" s="534" t="e">
        <f t="shared" si="7"/>
        <v>#DIV/0!</v>
      </c>
      <c r="AM26" s="534">
        <f t="shared" si="8"/>
        <v>0</v>
      </c>
      <c r="AN26" s="534">
        <f t="shared" si="9"/>
        <v>0</v>
      </c>
      <c r="AO26" s="535">
        <f t="shared" si="10"/>
        <v>58.888145085624338</v>
      </c>
      <c r="AP26" s="535">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66"/>
      <c r="AW26" s="56" t="s">
        <v>91</v>
      </c>
      <c r="AX26" s="567">
        <v>7459</v>
      </c>
      <c r="AY26" s="567">
        <v>15542</v>
      </c>
      <c r="AZ26" s="567">
        <v>28734</v>
      </c>
      <c r="BA26" s="567">
        <v>60450</v>
      </c>
      <c r="BD26" s="56" t="s">
        <v>91</v>
      </c>
      <c r="BE26" s="567">
        <v>13315</v>
      </c>
      <c r="BF26" s="567">
        <v>33760</v>
      </c>
      <c r="BG26" s="567">
        <v>91382</v>
      </c>
      <c r="BH26" s="567">
        <v>208294</v>
      </c>
    </row>
    <row r="27" spans="1:60" x14ac:dyDescent="0.25">
      <c r="A27" t="e">
        <f t="shared" si="13"/>
        <v>#DIV/0!</v>
      </c>
      <c r="B27">
        <v>18</v>
      </c>
      <c r="C27" t="s">
        <v>90</v>
      </c>
      <c r="D27" s="25">
        <f>'Multi-Customer'!C27</f>
        <v>0</v>
      </c>
      <c r="E27">
        <f>'Multi-Customer'!D27</f>
        <v>0</v>
      </c>
      <c r="F27">
        <f>'Multi-Customer'!E27</f>
        <v>0</v>
      </c>
      <c r="G27" s="368">
        <f>'Multi-Customer'!F27</f>
        <v>0</v>
      </c>
      <c r="H27" s="19">
        <f t="shared" si="14"/>
        <v>0</v>
      </c>
      <c r="I27" s="19">
        <f t="shared" si="15"/>
        <v>0</v>
      </c>
      <c r="J27" s="368"/>
      <c r="K27" s="368" t="str">
        <f>'PIM Model'!E25</f>
        <v>INCLUDE</v>
      </c>
      <c r="L27" s="368" t="e">
        <f t="shared" si="0"/>
        <v>#DIV/0!</v>
      </c>
      <c r="M27">
        <v>18</v>
      </c>
      <c r="N27" s="368" t="s">
        <v>90</v>
      </c>
      <c r="O27" s="368" t="e">
        <f t="shared" si="1"/>
        <v>#DIV/0!</v>
      </c>
      <c r="P27" s="368" t="e">
        <f t="shared" si="2"/>
        <v>#DIV/0!</v>
      </c>
      <c r="Q27" s="368" t="e">
        <f t="shared" si="3"/>
        <v>#DIV/0!</v>
      </c>
      <c r="R27" s="368" t="e">
        <f t="shared" si="4"/>
        <v>#DIV/0!</v>
      </c>
      <c r="S27" s="368">
        <f>IFERROR($O27/P27,VLOOKUP($W$10,'Basket Composition'!$A$34:$W$62,'PIM Ranges'!$M27,FALSE))</f>
        <v>59.971758416975703</v>
      </c>
      <c r="T27" s="19">
        <f>IFERROR(O27/R27,VLOOKUP($W$10,'Basket Composition'!$A$65:$W$92,'PIM Ranges'!$M27,FALSE))</f>
        <v>2.2174786981467705</v>
      </c>
      <c r="U27" s="19"/>
      <c r="V27" s="2">
        <f>'PIM Model'!$C$25</f>
        <v>0</v>
      </c>
      <c r="W27" s="686">
        <f>VLOOKUP($W$10,'Basket Composition'!$A$3:$W$30,'PIM Ranges'!$AJ27)</f>
        <v>0.1333</v>
      </c>
      <c r="X27" s="19" t="e">
        <f t="shared" si="16"/>
        <v>#DIV/0!</v>
      </c>
      <c r="Y27" s="368" t="e">
        <f t="shared" si="17"/>
        <v>#DIV/0!</v>
      </c>
      <c r="Z27" s="368" t="e">
        <f t="shared" si="18"/>
        <v>#DIV/0!</v>
      </c>
      <c r="AA27" s="368">
        <f t="shared" si="19"/>
        <v>0</v>
      </c>
      <c r="AB27" s="687" t="e">
        <f t="shared" si="20"/>
        <v>#DIV/0!</v>
      </c>
      <c r="AC27" s="687" t="e">
        <f t="shared" si="21"/>
        <v>#DIV/0!</v>
      </c>
      <c r="AD27" s="368" t="e">
        <f t="shared" si="5"/>
        <v>#DIV/0!</v>
      </c>
      <c r="AE27" s="368"/>
      <c r="AF27" s="368" t="e">
        <f t="shared" si="22"/>
        <v>#DIV/0!</v>
      </c>
      <c r="AG27" s="42">
        <f>'PIM Model'!B25</f>
        <v>0</v>
      </c>
      <c r="AH27" s="533" t="e">
        <f t="shared" si="6"/>
        <v>#DIV/0!</v>
      </c>
      <c r="AI27" s="533" t="e">
        <f t="shared" si="23"/>
        <v>#DIV/0!</v>
      </c>
      <c r="AJ27">
        <v>18</v>
      </c>
      <c r="AK27" s="534" t="s">
        <v>90</v>
      </c>
      <c r="AL27" s="534" t="e">
        <f t="shared" si="7"/>
        <v>#DIV/0!</v>
      </c>
      <c r="AM27" s="534">
        <f t="shared" si="8"/>
        <v>0</v>
      </c>
      <c r="AN27" s="534">
        <f t="shared" si="9"/>
        <v>0</v>
      </c>
      <c r="AO27" s="535">
        <f t="shared" si="10"/>
        <v>59.971758416975703</v>
      </c>
      <c r="AP27" s="535">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66"/>
      <c r="AW27" s="56" t="s">
        <v>90</v>
      </c>
      <c r="AX27" s="567">
        <v>17969</v>
      </c>
      <c r="AY27" s="567">
        <v>34626</v>
      </c>
      <c r="AZ27" s="567">
        <v>59214</v>
      </c>
      <c r="BA27" s="567">
        <v>120996</v>
      </c>
      <c r="BD27" s="56" t="s">
        <v>90</v>
      </c>
      <c r="BE27" s="567">
        <v>25337</v>
      </c>
      <c r="BF27" s="567">
        <v>62445</v>
      </c>
      <c r="BG27" s="567">
        <v>178249</v>
      </c>
      <c r="BH27" s="567">
        <v>407116</v>
      </c>
    </row>
    <row r="28" spans="1:60" x14ac:dyDescent="0.25">
      <c r="A28" t="e">
        <f t="shared" si="13"/>
        <v>#DIV/0!</v>
      </c>
      <c r="B28">
        <v>19</v>
      </c>
      <c r="C28" t="s">
        <v>89</v>
      </c>
      <c r="D28" s="25">
        <f>'Multi-Customer'!C28</f>
        <v>0</v>
      </c>
      <c r="E28">
        <f>'Multi-Customer'!D28</f>
        <v>0</v>
      </c>
      <c r="F28">
        <f>'Multi-Customer'!E28</f>
        <v>0</v>
      </c>
      <c r="G28" s="368">
        <f>'Multi-Customer'!F28</f>
        <v>0</v>
      </c>
      <c r="H28" s="19">
        <f t="shared" si="14"/>
        <v>0</v>
      </c>
      <c r="I28" s="19">
        <f t="shared" si="15"/>
        <v>0</v>
      </c>
      <c r="J28" s="368"/>
      <c r="K28" s="368" t="str">
        <f>'PIM Model'!E26</f>
        <v>INCLUDE</v>
      </c>
      <c r="L28" s="368" t="e">
        <f t="shared" si="0"/>
        <v>#DIV/0!</v>
      </c>
      <c r="M28">
        <v>19</v>
      </c>
      <c r="N28" s="368" t="s">
        <v>89</v>
      </c>
      <c r="O28" s="368" t="e">
        <f t="shared" si="1"/>
        <v>#DIV/0!</v>
      </c>
      <c r="P28" s="368" t="e">
        <f t="shared" si="2"/>
        <v>#DIV/0!</v>
      </c>
      <c r="Q28" s="368" t="e">
        <f t="shared" si="3"/>
        <v>#DIV/0!</v>
      </c>
      <c r="R28" s="368" t="e">
        <f t="shared" si="4"/>
        <v>#DIV/0!</v>
      </c>
      <c r="S28" s="368">
        <f>IFERROR($O28/P28,VLOOKUP($W$10,'Basket Composition'!$A$34:$W$62,'PIM Ranges'!$M28,FALSE))</f>
        <v>33.134513765170311</v>
      </c>
      <c r="T28" s="19">
        <f>IFERROR(O28/R28,VLOOKUP($W$10,'Basket Composition'!$A$65:$W$92,'PIM Ranges'!$M28,FALSE))</f>
        <v>2.9108915488241602</v>
      </c>
      <c r="U28" s="19"/>
      <c r="V28" s="2">
        <f>'PIM Model'!$C$26</f>
        <v>0</v>
      </c>
      <c r="W28" s="686">
        <f>VLOOKUP($W$10,'Basket Composition'!$A$3:$W$30,'PIM Ranges'!$AJ28)</f>
        <v>8.8000000000000005E-3</v>
      </c>
      <c r="X28" s="19" t="e">
        <f t="shared" si="16"/>
        <v>#DIV/0!</v>
      </c>
      <c r="Y28" s="368" t="e">
        <f t="shared" si="17"/>
        <v>#DIV/0!</v>
      </c>
      <c r="Z28" s="368" t="e">
        <f t="shared" si="18"/>
        <v>#DIV/0!</v>
      </c>
      <c r="AA28" s="368">
        <f t="shared" si="19"/>
        <v>0</v>
      </c>
      <c r="AB28" s="687" t="e">
        <f t="shared" si="20"/>
        <v>#DIV/0!</v>
      </c>
      <c r="AC28" s="687" t="e">
        <f t="shared" si="21"/>
        <v>#DIV/0!</v>
      </c>
      <c r="AD28" s="368" t="e">
        <f t="shared" si="5"/>
        <v>#DIV/0!</v>
      </c>
      <c r="AE28" s="368"/>
      <c r="AF28" s="368" t="e">
        <f t="shared" si="22"/>
        <v>#DIV/0!</v>
      </c>
      <c r="AG28" s="42">
        <f>'PIM Model'!B26</f>
        <v>0</v>
      </c>
      <c r="AH28" s="533" t="e">
        <f t="shared" si="6"/>
        <v>#DIV/0!</v>
      </c>
      <c r="AI28" s="533" t="e">
        <f t="shared" si="23"/>
        <v>#DIV/0!</v>
      </c>
      <c r="AJ28">
        <v>19</v>
      </c>
      <c r="AK28" s="534" t="s">
        <v>89</v>
      </c>
      <c r="AL28" s="534" t="e">
        <f t="shared" si="7"/>
        <v>#DIV/0!</v>
      </c>
      <c r="AM28" s="534">
        <f t="shared" si="8"/>
        <v>0</v>
      </c>
      <c r="AN28" s="534">
        <f t="shared" si="9"/>
        <v>0</v>
      </c>
      <c r="AO28" s="535">
        <f t="shared" si="10"/>
        <v>33.134513765170311</v>
      </c>
      <c r="AP28" s="535">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66"/>
      <c r="AW28" s="56" t="s">
        <v>89</v>
      </c>
      <c r="AX28" s="567">
        <v>1058</v>
      </c>
      <c r="AY28" s="567">
        <v>3034</v>
      </c>
      <c r="AZ28" s="567">
        <v>8013</v>
      </c>
      <c r="BA28" s="567">
        <v>18443</v>
      </c>
      <c r="BD28" s="56" t="s">
        <v>89</v>
      </c>
      <c r="BE28" s="567">
        <v>2315</v>
      </c>
      <c r="BF28" s="567">
        <v>7746</v>
      </c>
      <c r="BG28" s="567">
        <v>24790</v>
      </c>
      <c r="BH28" s="567">
        <v>58388</v>
      </c>
    </row>
    <row r="29" spans="1:60" x14ac:dyDescent="0.25">
      <c r="A29" t="e">
        <f t="shared" si="13"/>
        <v>#DIV/0!</v>
      </c>
      <c r="B29">
        <v>20</v>
      </c>
      <c r="C29" t="s">
        <v>94</v>
      </c>
      <c r="D29" s="25">
        <f>'Multi-Customer'!C29</f>
        <v>0</v>
      </c>
      <c r="E29">
        <f>'Multi-Customer'!D29</f>
        <v>0</v>
      </c>
      <c r="F29">
        <f>'Multi-Customer'!E29</f>
        <v>0</v>
      </c>
      <c r="G29" s="368">
        <f>'Multi-Customer'!F29</f>
        <v>0</v>
      </c>
      <c r="H29" s="19">
        <f t="shared" si="14"/>
        <v>0</v>
      </c>
      <c r="I29" s="19">
        <f t="shared" si="15"/>
        <v>0</v>
      </c>
      <c r="J29" s="368"/>
      <c r="K29" s="368" t="str">
        <f>'PIM Model'!E27</f>
        <v>INCLUDE</v>
      </c>
      <c r="L29" s="368" t="e">
        <f t="shared" si="0"/>
        <v>#DIV/0!</v>
      </c>
      <c r="M29">
        <v>20</v>
      </c>
      <c r="N29" s="368" t="s">
        <v>94</v>
      </c>
      <c r="O29" s="368" t="e">
        <f t="shared" si="1"/>
        <v>#DIV/0!</v>
      </c>
      <c r="P29" s="368" t="e">
        <f t="shared" si="2"/>
        <v>#DIV/0!</v>
      </c>
      <c r="Q29" s="368" t="e">
        <f t="shared" si="3"/>
        <v>#DIV/0!</v>
      </c>
      <c r="R29" s="368" t="e">
        <f t="shared" si="4"/>
        <v>#DIV/0!</v>
      </c>
      <c r="S29" s="368">
        <f>IFERROR($O29/P29,VLOOKUP($W$10,'Basket Composition'!$A$34:$W$62,'PIM Ranges'!$M29,FALSE))</f>
        <v>20.785127262184727</v>
      </c>
      <c r="T29" s="19">
        <f>IFERROR(O29/R29,VLOOKUP($W$10,'Basket Composition'!$A$65:$W$92,'PIM Ranges'!$M29,FALSE))</f>
        <v>1.0168718711926215</v>
      </c>
      <c r="U29" s="19"/>
      <c r="V29" s="2">
        <f>'PIM Model'!$C$27</f>
        <v>0</v>
      </c>
      <c r="W29" s="686">
        <f>VLOOKUP($W$10,'Basket Composition'!$A$3:$W$30,'PIM Ranges'!$AJ29)</f>
        <v>7.5300000000000006E-2</v>
      </c>
      <c r="X29" s="19" t="e">
        <f t="shared" si="16"/>
        <v>#DIV/0!</v>
      </c>
      <c r="Y29" s="368" t="e">
        <f t="shared" si="17"/>
        <v>#DIV/0!</v>
      </c>
      <c r="Z29" s="368" t="e">
        <f t="shared" si="18"/>
        <v>#DIV/0!</v>
      </c>
      <c r="AA29" s="368">
        <f t="shared" si="19"/>
        <v>0</v>
      </c>
      <c r="AB29" s="687" t="e">
        <f t="shared" si="20"/>
        <v>#DIV/0!</v>
      </c>
      <c r="AC29" s="687" t="e">
        <f t="shared" si="21"/>
        <v>#DIV/0!</v>
      </c>
      <c r="AD29" s="368" t="e">
        <f t="shared" si="5"/>
        <v>#DIV/0!</v>
      </c>
      <c r="AE29" s="368"/>
      <c r="AF29" s="368" t="e">
        <f t="shared" si="22"/>
        <v>#DIV/0!</v>
      </c>
      <c r="AG29" s="42">
        <f>'PIM Model'!B27</f>
        <v>0</v>
      </c>
      <c r="AH29" s="533" t="e">
        <f t="shared" si="6"/>
        <v>#DIV/0!</v>
      </c>
      <c r="AI29" s="533" t="e">
        <f t="shared" si="23"/>
        <v>#DIV/0!</v>
      </c>
      <c r="AJ29">
        <v>20</v>
      </c>
      <c r="AK29" s="534" t="s">
        <v>94</v>
      </c>
      <c r="AL29" s="534" t="e">
        <f t="shared" si="7"/>
        <v>#DIV/0!</v>
      </c>
      <c r="AM29" s="534">
        <f t="shared" si="8"/>
        <v>0</v>
      </c>
      <c r="AN29" s="534">
        <f t="shared" si="9"/>
        <v>0</v>
      </c>
      <c r="AO29" s="535">
        <f t="shared" si="10"/>
        <v>20.785127262184727</v>
      </c>
      <c r="AP29" s="535">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66"/>
      <c r="AW29" s="56" t="s">
        <v>94</v>
      </c>
      <c r="AX29" s="567">
        <v>6052</v>
      </c>
      <c r="AY29" s="567">
        <v>19330</v>
      </c>
      <c r="AZ29" s="567">
        <v>36449</v>
      </c>
      <c r="BA29" s="567">
        <v>81904</v>
      </c>
      <c r="BD29" s="56" t="s">
        <v>94</v>
      </c>
      <c r="BE29" s="567">
        <v>8676</v>
      </c>
      <c r="BF29" s="567">
        <v>33383</v>
      </c>
      <c r="BG29" s="567">
        <v>87871</v>
      </c>
      <c r="BH29" s="567">
        <v>205967</v>
      </c>
    </row>
    <row r="30" spans="1:60" x14ac:dyDescent="0.25">
      <c r="A30" t="e">
        <f t="shared" si="13"/>
        <v>#DIV/0!</v>
      </c>
      <c r="B30">
        <v>21</v>
      </c>
      <c r="C30" t="s">
        <v>86</v>
      </c>
      <c r="D30" s="25">
        <f>'Multi-Customer'!C30</f>
        <v>0</v>
      </c>
      <c r="E30">
        <f>'Multi-Customer'!D30</f>
        <v>0</v>
      </c>
      <c r="F30">
        <f>'Multi-Customer'!E30</f>
        <v>0</v>
      </c>
      <c r="G30" s="368">
        <f>'Multi-Customer'!F30</f>
        <v>0</v>
      </c>
      <c r="H30" s="19">
        <f t="shared" si="14"/>
        <v>0</v>
      </c>
      <c r="I30" s="19">
        <f t="shared" si="15"/>
        <v>0</v>
      </c>
      <c r="J30" s="368"/>
      <c r="K30" s="368" t="str">
        <f>'PIM Model'!E28</f>
        <v>INCLUDE</v>
      </c>
      <c r="L30" s="368" t="e">
        <f t="shared" si="0"/>
        <v>#DIV/0!</v>
      </c>
      <c r="M30">
        <v>21</v>
      </c>
      <c r="N30" s="368" t="s">
        <v>86</v>
      </c>
      <c r="O30" s="368" t="e">
        <f t="shared" si="1"/>
        <v>#DIV/0!</v>
      </c>
      <c r="P30" s="368" t="e">
        <f t="shared" si="2"/>
        <v>#DIV/0!</v>
      </c>
      <c r="Q30" s="368" t="e">
        <f t="shared" si="3"/>
        <v>#DIV/0!</v>
      </c>
      <c r="R30" s="368" t="e">
        <f t="shared" si="4"/>
        <v>#DIV/0!</v>
      </c>
      <c r="S30" s="368">
        <f>IFERROR($O30/P30,VLOOKUP($W$10,'Basket Composition'!$A$34:$W$62,'PIM Ranges'!$M30,FALSE))</f>
        <v>27.809452383144958</v>
      </c>
      <c r="T30" s="19">
        <f>IFERROR(O30/R30,VLOOKUP($W$10,'Basket Composition'!$A$65:$W$92,'PIM Ranges'!$M30,FALSE))</f>
        <v>2.0278426047912248</v>
      </c>
      <c r="U30" s="19"/>
      <c r="V30" s="2">
        <f>'PIM Model'!$C$28</f>
        <v>0</v>
      </c>
      <c r="W30" s="686">
        <f>VLOOKUP($W$10,'Basket Composition'!$A$3:$W$30,'PIM Ranges'!$AJ30)</f>
        <v>7.5000000000000002E-4</v>
      </c>
      <c r="X30" s="19" t="e">
        <f t="shared" si="16"/>
        <v>#DIV/0!</v>
      </c>
      <c r="Y30" s="368" t="e">
        <f t="shared" si="17"/>
        <v>#DIV/0!</v>
      </c>
      <c r="Z30" s="368" t="e">
        <f t="shared" si="18"/>
        <v>#DIV/0!</v>
      </c>
      <c r="AA30" s="368">
        <f t="shared" si="19"/>
        <v>0</v>
      </c>
      <c r="AB30" s="687" t="e">
        <f t="shared" si="20"/>
        <v>#DIV/0!</v>
      </c>
      <c r="AC30" s="687" t="e">
        <f t="shared" si="21"/>
        <v>#DIV/0!</v>
      </c>
      <c r="AD30" s="368" t="e">
        <f t="shared" si="5"/>
        <v>#DIV/0!</v>
      </c>
      <c r="AE30" s="368"/>
      <c r="AF30" s="368" t="e">
        <f t="shared" si="22"/>
        <v>#DIV/0!</v>
      </c>
      <c r="AG30" s="42">
        <f>'PIM Model'!B28</f>
        <v>0</v>
      </c>
      <c r="AH30" s="533" t="e">
        <f t="shared" si="6"/>
        <v>#DIV/0!</v>
      </c>
      <c r="AI30" s="533" t="e">
        <f t="shared" si="23"/>
        <v>#DIV/0!</v>
      </c>
      <c r="AJ30">
        <v>21</v>
      </c>
      <c r="AK30" s="534" t="s">
        <v>86</v>
      </c>
      <c r="AL30" s="534" t="e">
        <f t="shared" si="7"/>
        <v>#DIV/0!</v>
      </c>
      <c r="AM30" s="534">
        <f t="shared" si="8"/>
        <v>0</v>
      </c>
      <c r="AN30" s="534">
        <f t="shared" si="9"/>
        <v>0</v>
      </c>
      <c r="AO30" s="535">
        <f t="shared" si="10"/>
        <v>27.809452383144958</v>
      </c>
      <c r="AP30" s="535">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66"/>
      <c r="AW30" s="56" t="s">
        <v>86</v>
      </c>
      <c r="AX30" s="567">
        <v>88</v>
      </c>
      <c r="AY30" s="567">
        <v>544</v>
      </c>
      <c r="AZ30" s="567">
        <v>2063</v>
      </c>
      <c r="BA30" s="567">
        <v>4981</v>
      </c>
      <c r="BD30" s="56" t="s">
        <v>86</v>
      </c>
      <c r="BE30" s="567">
        <v>151</v>
      </c>
      <c r="BF30" s="567">
        <v>808</v>
      </c>
      <c r="BG30" s="567">
        <v>4097</v>
      </c>
      <c r="BH30" s="567">
        <v>9886</v>
      </c>
    </row>
    <row r="31" spans="1:60" x14ac:dyDescent="0.25">
      <c r="A31" t="e">
        <f t="shared" si="13"/>
        <v>#DIV/0!</v>
      </c>
      <c r="B31">
        <v>22</v>
      </c>
      <c r="C31" t="s">
        <v>88</v>
      </c>
      <c r="D31" s="25">
        <f>'Multi-Customer'!C31</f>
        <v>0</v>
      </c>
      <c r="E31">
        <f>'Multi-Customer'!D31</f>
        <v>0</v>
      </c>
      <c r="F31">
        <f>'Multi-Customer'!E31</f>
        <v>0</v>
      </c>
      <c r="G31" s="368">
        <f>'Multi-Customer'!F31</f>
        <v>0</v>
      </c>
      <c r="H31" s="19">
        <f t="shared" si="14"/>
        <v>0</v>
      </c>
      <c r="I31" s="19">
        <f t="shared" si="15"/>
        <v>0</v>
      </c>
      <c r="J31" s="368"/>
      <c r="K31" s="368" t="str">
        <f>'PIM Model'!E29</f>
        <v>INCLUDE</v>
      </c>
      <c r="L31" s="368" t="e">
        <f t="shared" si="0"/>
        <v>#DIV/0!</v>
      </c>
      <c r="M31">
        <v>22</v>
      </c>
      <c r="N31" s="368" t="s">
        <v>88</v>
      </c>
      <c r="O31" s="368" t="e">
        <f t="shared" si="1"/>
        <v>#DIV/0!</v>
      </c>
      <c r="P31" s="368" t="e">
        <f t="shared" si="2"/>
        <v>#DIV/0!</v>
      </c>
      <c r="Q31" s="368" t="e">
        <f t="shared" si="3"/>
        <v>#DIV/0!</v>
      </c>
      <c r="R31" s="368" t="e">
        <f t="shared" si="4"/>
        <v>#DIV/0!</v>
      </c>
      <c r="S31" s="368">
        <f>IFERROR($O31/P31,VLOOKUP($W$10,'Basket Composition'!$A$34:$W$62,'PIM Ranges'!$M31,FALSE))</f>
        <v>75.081846414901534</v>
      </c>
      <c r="T31" s="19">
        <f>IFERROR(O31/R31,VLOOKUP($W$10,'Basket Composition'!$A$65:$W$92,'PIM Ranges'!$M31,FALSE))</f>
        <v>5.7776900855121935</v>
      </c>
      <c r="U31" s="19"/>
      <c r="V31" s="2">
        <f>'PIM Model'!$C$29</f>
        <v>0</v>
      </c>
      <c r="W31" s="686">
        <f>VLOOKUP($W$10,'Basket Composition'!$A$3:$W$30,'PIM Ranges'!$AJ31)</f>
        <v>6.7100000000000007E-2</v>
      </c>
      <c r="X31" s="19" t="e">
        <f t="shared" si="16"/>
        <v>#DIV/0!</v>
      </c>
      <c r="Y31" s="368" t="e">
        <f t="shared" si="17"/>
        <v>#DIV/0!</v>
      </c>
      <c r="Z31" s="368" t="e">
        <f t="shared" si="18"/>
        <v>#DIV/0!</v>
      </c>
      <c r="AA31" s="368">
        <f t="shared" si="19"/>
        <v>0</v>
      </c>
      <c r="AB31" s="687" t="e">
        <f t="shared" si="20"/>
        <v>#DIV/0!</v>
      </c>
      <c r="AC31" s="687" t="e">
        <f t="shared" si="21"/>
        <v>#DIV/0!</v>
      </c>
      <c r="AD31" s="368" t="e">
        <f t="shared" si="5"/>
        <v>#DIV/0!</v>
      </c>
      <c r="AE31" s="368"/>
      <c r="AF31" s="368" t="e">
        <f t="shared" si="22"/>
        <v>#DIV/0!</v>
      </c>
      <c r="AG31" s="42">
        <f>'PIM Model'!B29</f>
        <v>0</v>
      </c>
      <c r="AH31" s="533" t="e">
        <f t="shared" si="6"/>
        <v>#DIV/0!</v>
      </c>
      <c r="AI31" s="533" t="e">
        <f t="shared" si="23"/>
        <v>#DIV/0!</v>
      </c>
      <c r="AJ31">
        <v>22</v>
      </c>
      <c r="AK31" s="534" t="s">
        <v>88</v>
      </c>
      <c r="AL31" s="534" t="e">
        <f t="shared" si="7"/>
        <v>#DIV/0!</v>
      </c>
      <c r="AM31" s="534">
        <f t="shared" si="8"/>
        <v>0</v>
      </c>
      <c r="AN31" s="534">
        <f t="shared" si="9"/>
        <v>0</v>
      </c>
      <c r="AO31" s="535">
        <f t="shared" si="10"/>
        <v>75.081846414901534</v>
      </c>
      <c r="AP31" s="535">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66"/>
      <c r="AW31" s="56" t="s">
        <v>88</v>
      </c>
      <c r="AX31" s="567">
        <v>6782</v>
      </c>
      <c r="AY31" s="567">
        <v>19966</v>
      </c>
      <c r="AZ31" s="567">
        <v>43486</v>
      </c>
      <c r="BA31" s="567">
        <v>97858</v>
      </c>
      <c r="BD31" s="56" t="s">
        <v>88</v>
      </c>
      <c r="BE31" s="567">
        <v>8688</v>
      </c>
      <c r="BF31" s="567">
        <v>30144</v>
      </c>
      <c r="BG31" s="567">
        <v>100469</v>
      </c>
      <c r="BH31" s="567">
        <v>234604</v>
      </c>
    </row>
    <row r="32" spans="1:60" x14ac:dyDescent="0.25">
      <c r="A32" t="e">
        <f t="shared" si="13"/>
        <v>#DIV/0!</v>
      </c>
      <c r="B32">
        <v>23</v>
      </c>
      <c r="C32" t="s">
        <v>87</v>
      </c>
      <c r="D32" s="25">
        <f>'Multi-Customer'!C32</f>
        <v>0</v>
      </c>
      <c r="E32">
        <f>'Multi-Customer'!D32</f>
        <v>0</v>
      </c>
      <c r="F32">
        <f>'Multi-Customer'!E32</f>
        <v>0</v>
      </c>
      <c r="G32" s="368">
        <f>'Multi-Customer'!F32</f>
        <v>0</v>
      </c>
      <c r="H32" s="19">
        <f t="shared" si="14"/>
        <v>0</v>
      </c>
      <c r="I32" s="19">
        <f t="shared" si="15"/>
        <v>0</v>
      </c>
      <c r="J32" s="368"/>
      <c r="K32" s="368" t="str">
        <f>'PIM Model'!E30</f>
        <v>INCLUDE</v>
      </c>
      <c r="L32" s="368" t="e">
        <f t="shared" si="0"/>
        <v>#DIV/0!</v>
      </c>
      <c r="M32">
        <v>23</v>
      </c>
      <c r="N32" s="368" t="s">
        <v>87</v>
      </c>
      <c r="O32" s="368" t="e">
        <f t="shared" si="1"/>
        <v>#DIV/0!</v>
      </c>
      <c r="P32" s="368" t="e">
        <f t="shared" si="2"/>
        <v>#DIV/0!</v>
      </c>
      <c r="Q32" s="368" t="e">
        <f t="shared" si="3"/>
        <v>#DIV/0!</v>
      </c>
      <c r="R32" s="368" t="e">
        <f t="shared" si="4"/>
        <v>#DIV/0!</v>
      </c>
      <c r="S32" s="368">
        <f>IFERROR($O32/P32,VLOOKUP($W$10,'Basket Composition'!$A$34:$W$62,'PIM Ranges'!$M32,FALSE))</f>
        <v>94.577997866657739</v>
      </c>
      <c r="T32" s="19">
        <f>IFERROR(O32/R32,VLOOKUP($W$10,'Basket Composition'!$A$65:$W$92,'PIM Ranges'!$M32,FALSE))</f>
        <v>5.3941529955175316</v>
      </c>
      <c r="U32" s="19"/>
      <c r="V32" s="2">
        <f>'PIM Model'!$C$30</f>
        <v>0</v>
      </c>
      <c r="W32" s="686">
        <f>VLOOKUP($W$10,'Basket Composition'!$A$3:$W$30,'PIM Ranges'!$AJ32)</f>
        <v>7.9000000000000008E-3</v>
      </c>
      <c r="X32" s="19" t="e">
        <f t="shared" si="16"/>
        <v>#DIV/0!</v>
      </c>
      <c r="Y32" s="368" t="e">
        <f t="shared" si="17"/>
        <v>#DIV/0!</v>
      </c>
      <c r="Z32" s="368" t="e">
        <f t="shared" si="18"/>
        <v>#DIV/0!</v>
      </c>
      <c r="AA32" s="368">
        <f t="shared" si="19"/>
        <v>0</v>
      </c>
      <c r="AB32" s="687" t="e">
        <f t="shared" si="20"/>
        <v>#DIV/0!</v>
      </c>
      <c r="AC32" s="687" t="e">
        <f t="shared" si="21"/>
        <v>#DIV/0!</v>
      </c>
      <c r="AD32" s="368" t="e">
        <f t="shared" si="5"/>
        <v>#DIV/0!</v>
      </c>
      <c r="AE32" s="368"/>
      <c r="AF32" s="368" t="e">
        <f t="shared" si="22"/>
        <v>#DIV/0!</v>
      </c>
      <c r="AG32" s="42">
        <f>'PIM Model'!B30</f>
        <v>0</v>
      </c>
      <c r="AH32" s="533" t="e">
        <f t="shared" si="6"/>
        <v>#DIV/0!</v>
      </c>
      <c r="AI32" s="533" t="e">
        <f t="shared" si="23"/>
        <v>#DIV/0!</v>
      </c>
      <c r="AJ32">
        <v>23</v>
      </c>
      <c r="AK32" s="534" t="s">
        <v>87</v>
      </c>
      <c r="AL32" s="534" t="e">
        <f t="shared" si="7"/>
        <v>#DIV/0!</v>
      </c>
      <c r="AM32" s="534">
        <f t="shared" si="8"/>
        <v>0</v>
      </c>
      <c r="AN32" s="534">
        <f t="shared" si="9"/>
        <v>0</v>
      </c>
      <c r="AO32" s="535">
        <f t="shared" si="10"/>
        <v>94.577997866657739</v>
      </c>
      <c r="AP32" s="535">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66"/>
      <c r="AW32" s="56" t="s">
        <v>87</v>
      </c>
      <c r="AX32" s="567">
        <v>317</v>
      </c>
      <c r="AY32" s="567">
        <v>1177</v>
      </c>
      <c r="AZ32" s="567">
        <v>4361</v>
      </c>
      <c r="BA32" s="567">
        <v>10380</v>
      </c>
      <c r="BD32" s="56" t="s">
        <v>87</v>
      </c>
      <c r="BE32" s="567">
        <v>496</v>
      </c>
      <c r="BF32" s="567">
        <v>2401</v>
      </c>
      <c r="BG32" s="567">
        <v>10817</v>
      </c>
      <c r="BH32" s="567">
        <v>25725</v>
      </c>
    </row>
    <row r="33" spans="1:60" x14ac:dyDescent="0.25">
      <c r="A33" t="e">
        <f>SUM(A12:A32)</f>
        <v>#DIV/0!</v>
      </c>
      <c r="D33" s="25">
        <f>SUM(D$12:D$32)</f>
        <v>0</v>
      </c>
      <c r="E33">
        <f>SUM(E$12:E$32)</f>
        <v>0</v>
      </c>
      <c r="F33">
        <f>SUM(F$12:F$32)</f>
        <v>0</v>
      </c>
      <c r="G33">
        <f>SUM(G$12:G$32)</f>
        <v>0</v>
      </c>
      <c r="L33" s="368" t="e">
        <f>SUM(L12:L32)</f>
        <v>#DIV/0!</v>
      </c>
      <c r="O33" s="25" t="e">
        <f>SUM(O$12:O$32)</f>
        <v>#DIV/0!</v>
      </c>
      <c r="P33" t="e">
        <f>SUM(P$12:P$32)</f>
        <v>#DIV/0!</v>
      </c>
      <c r="Q33" t="e">
        <f>SUM(Q$12:Q$32)</f>
        <v>#DIV/0!</v>
      </c>
      <c r="R33" t="e">
        <f>SUM(R$12:R$32)</f>
        <v>#DIV/0!</v>
      </c>
      <c r="W33" s="368">
        <f>SUM($W$12:$W$32)</f>
        <v>1</v>
      </c>
      <c r="Y33" s="368" t="e">
        <f>SUM(Y12:Y32)</f>
        <v>#DIV/0!</v>
      </c>
      <c r="Z33" s="368" t="e">
        <f>SUM($Z$12:$Z$32)</f>
        <v>#DIV/0!</v>
      </c>
      <c r="AA33" s="368">
        <f>SUM(AA12:AA32)</f>
        <v>0</v>
      </c>
      <c r="AB33" s="687" t="e">
        <f>SUM(AB12:AB32)</f>
        <v>#DIV/0!</v>
      </c>
      <c r="AC33" s="687" t="e">
        <f>SUM(AC12:AC32)</f>
        <v>#DIV/0!</v>
      </c>
      <c r="AD33" s="368" t="e">
        <f>SUM(AD12:AD32)</f>
        <v>#DIV/0!</v>
      </c>
      <c r="AF33" s="368" t="e">
        <f>SUM(AF12:AF32)</f>
        <v>#DIV/0!</v>
      </c>
      <c r="AH33" s="368" t="e">
        <f>SUM(AH12:AH32)</f>
        <v>#DIV/0!</v>
      </c>
      <c r="AI33" s="368" t="e">
        <f>SUM(AI12:AI32)</f>
        <v>#DIV/0!</v>
      </c>
      <c r="AL33" s="368" t="e">
        <f>SUM(AL12:AL32)</f>
        <v>#DIV/0!</v>
      </c>
      <c r="AM33" s="368">
        <f t="shared" ref="AM33:AN33" si="24">SUM(AM12:AM32)</f>
        <v>0</v>
      </c>
      <c r="AN33" s="368">
        <f t="shared" si="24"/>
        <v>0</v>
      </c>
      <c r="AV33" s="566"/>
      <c r="AW33" s="56" t="s">
        <v>262</v>
      </c>
      <c r="AX33" s="567">
        <v>3824</v>
      </c>
      <c r="AY33" s="567">
        <v>15819</v>
      </c>
      <c r="AZ33" s="567">
        <v>31421</v>
      </c>
      <c r="BA33" s="567">
        <v>38852</v>
      </c>
      <c r="BD33" s="56" t="s">
        <v>262</v>
      </c>
      <c r="BE33" s="567">
        <v>3824</v>
      </c>
      <c r="BF33" s="567">
        <v>15819</v>
      </c>
      <c r="BG33" s="567">
        <v>31421</v>
      </c>
      <c r="BH33" s="567">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66"/>
  <sheetViews>
    <sheetView zoomScale="90" zoomScaleNormal="90" workbookViewId="0">
      <selection activeCell="G10" sqref="G10"/>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7" customWidth="1"/>
    <col min="6" max="6" width="14.140625" customWidth="1"/>
    <col min="7" max="7" width="11.5703125" bestFit="1" customWidth="1"/>
    <col min="8" max="8" width="1.7109375" style="318" customWidth="1"/>
    <col min="9" max="9" width="8.140625" customWidth="1"/>
    <col min="10" max="10" width="20.28515625" bestFit="1" customWidth="1"/>
    <col min="11" max="11" width="20.7109375" bestFit="1" customWidth="1"/>
    <col min="12" max="12" width="12.5703125" customWidth="1"/>
    <col min="13" max="13" width="1.7109375" style="318" customWidth="1"/>
    <col min="14" max="14" width="8.140625" customWidth="1"/>
    <col min="15" max="15" width="13.7109375" customWidth="1"/>
    <col min="16" max="17" width="14.7109375" customWidth="1"/>
    <col min="18" max="18" width="1.7109375" style="318" customWidth="1"/>
    <col min="19" max="19" width="8.140625" customWidth="1"/>
    <col min="20" max="20" width="15.85546875" customWidth="1"/>
    <col min="21" max="21" width="9.7109375" bestFit="1" customWidth="1"/>
    <col min="22" max="22" width="14.7109375" customWidth="1"/>
    <col min="23" max="23" width="1.7109375" style="318" customWidth="1"/>
  </cols>
  <sheetData>
    <row r="1" spans="1:23" ht="29.25" thickBot="1" x14ac:dyDescent="0.5">
      <c r="A1" s="1007" t="s">
        <v>839</v>
      </c>
      <c r="B1" s="1007"/>
      <c r="C1" s="1007"/>
      <c r="D1" s="1007"/>
      <c r="F1" s="1008" t="s">
        <v>764</v>
      </c>
      <c r="G1" s="1008"/>
      <c r="I1" s="1009" t="s">
        <v>838</v>
      </c>
      <c r="J1" s="1010"/>
      <c r="K1" s="1010"/>
      <c r="L1" s="1010"/>
      <c r="M1" s="1010"/>
      <c r="N1" s="1010"/>
      <c r="O1" s="1010"/>
      <c r="P1" s="1010"/>
      <c r="Q1" s="1010"/>
      <c r="R1" s="1010"/>
      <c r="S1" s="1010"/>
      <c r="T1" s="1010"/>
      <c r="U1" s="1010"/>
      <c r="V1" s="1011"/>
    </row>
    <row r="2" spans="1:23" x14ac:dyDescent="0.25">
      <c r="I2" s="379"/>
      <c r="J2" s="142"/>
      <c r="K2" s="142"/>
      <c r="L2" s="142"/>
      <c r="M2" s="142"/>
      <c r="N2" s="142"/>
      <c r="O2" s="142"/>
      <c r="P2" s="142"/>
      <c r="Q2" s="142"/>
      <c r="R2" s="142"/>
      <c r="S2" s="142"/>
      <c r="T2" s="142"/>
      <c r="U2" s="142"/>
      <c r="V2" s="382"/>
    </row>
    <row r="3" spans="1:23" x14ac:dyDescent="0.25">
      <c r="A3" t="s">
        <v>252</v>
      </c>
      <c r="B3" s="1004">
        <f>Welcome!$D$4</f>
        <v>0</v>
      </c>
      <c r="C3" s="1004"/>
      <c r="I3" s="373">
        <v>1</v>
      </c>
      <c r="J3" t="s">
        <v>794</v>
      </c>
      <c r="L3" s="1004" t="str">
        <f>"ALC "&amp;'Required Info to Submit'!$F$6</f>
        <v xml:space="preserve">ALC </v>
      </c>
      <c r="M3" s="1004"/>
      <c r="N3" s="1004"/>
      <c r="O3" s="1004"/>
      <c r="P3" s="1004"/>
      <c r="R3"/>
      <c r="V3" s="145"/>
    </row>
    <row r="4" spans="1:23" ht="45" x14ac:dyDescent="0.25">
      <c r="A4" t="s">
        <v>772</v>
      </c>
      <c r="B4" s="1015">
        <f>'Required Info to Submit'!$F$6</f>
        <v>0</v>
      </c>
      <c r="C4" s="1015"/>
      <c r="D4" s="2" t="s">
        <v>933</v>
      </c>
      <c r="F4" s="274" t="s">
        <v>765</v>
      </c>
      <c r="G4" s="734">
        <f>Incentives!$H$9</f>
        <v>0</v>
      </c>
      <c r="H4" s="320"/>
      <c r="I4" s="373">
        <v>2</v>
      </c>
      <c r="J4" t="s">
        <v>766</v>
      </c>
      <c r="L4" s="383">
        <f>'Required Info to Submit'!$F$14</f>
        <v>0</v>
      </c>
      <c r="M4" s="383"/>
      <c r="N4" s="383"/>
      <c r="O4" s="384">
        <v>3</v>
      </c>
      <c r="P4" s="1004" t="s">
        <v>768</v>
      </c>
      <c r="Q4" s="1004"/>
      <c r="R4" s="1004"/>
      <c r="S4" s="1017" t="e">
        <f>$L$4+(364*$G$5)+6</f>
        <v>#VALUE!</v>
      </c>
      <c r="T4" s="1017"/>
      <c r="U4" s="383"/>
      <c r="V4" s="145"/>
    </row>
    <row r="5" spans="1:23" x14ac:dyDescent="0.25">
      <c r="A5" t="s">
        <v>1077</v>
      </c>
      <c r="B5" s="1004">
        <f>'Required Info to Submit'!$F$8</f>
        <v>0</v>
      </c>
      <c r="C5" s="1004"/>
      <c r="D5" t="e">
        <f>G5*12</f>
        <v>#VALUE!</v>
      </c>
      <c r="F5" s="274" t="s">
        <v>767</v>
      </c>
      <c r="G5" s="319" t="str">
        <f>Welcome!$D$8</f>
        <v>Select Term</v>
      </c>
      <c r="H5" s="320"/>
      <c r="I5" s="375"/>
      <c r="M5"/>
      <c r="O5" s="2"/>
      <c r="P5" s="310"/>
      <c r="Q5" s="310"/>
      <c r="R5" s="310"/>
      <c r="S5" s="310"/>
      <c r="T5" s="310"/>
      <c r="V5" s="145"/>
    </row>
    <row r="6" spans="1:23" x14ac:dyDescent="0.25">
      <c r="A6" t="s">
        <v>833</v>
      </c>
      <c r="B6" s="1016">
        <f>'Required Info to Submit'!$F$14</f>
        <v>0</v>
      </c>
      <c r="C6" s="1016"/>
      <c r="F6" t="s">
        <v>769</v>
      </c>
      <c r="G6" s="853">
        <f>IF(L4&lt;43372,43372-L4+1,IF(L4&lt;43463,43463-L4+1,IF(L4&lt;43554,43554-L4+1,IF(L4&lt;43645,43645-L4+1,IF(L4&lt;43736,43736-L4+1,IF(L4&lt;43827,43827-L4+1,43827-L4+1))))))/7</f>
        <v>6196.1428571428569</v>
      </c>
      <c r="H6" s="321"/>
      <c r="I6" s="373">
        <v>5</v>
      </c>
      <c r="J6" t="s">
        <v>770</v>
      </c>
      <c r="L6" s="310">
        <f>'MDA Worksheet'!$D$95</f>
        <v>0</v>
      </c>
      <c r="M6"/>
      <c r="O6" s="384">
        <v>7</v>
      </c>
      <c r="P6" s="1004" t="s">
        <v>795</v>
      </c>
      <c r="Q6" s="1004"/>
      <c r="R6" s="1004"/>
      <c r="S6" s="1018">
        <f>-('Tracking &amp; Profitability'!$E$22)</f>
        <v>0</v>
      </c>
      <c r="T6" s="1018"/>
      <c r="U6" s="20"/>
      <c r="V6" s="145"/>
    </row>
    <row r="7" spans="1:23" x14ac:dyDescent="0.25">
      <c r="A7" t="s">
        <v>834</v>
      </c>
      <c r="B7" s="1004">
        <f>'Required Info to Submit'!$F$10</f>
        <v>0</v>
      </c>
      <c r="C7" s="1004"/>
      <c r="F7" t="s">
        <v>771</v>
      </c>
      <c r="G7" t="e">
        <f>(V13-T13+1)/7</f>
        <v>#VALUE!</v>
      </c>
      <c r="I7" s="373">
        <v>6</v>
      </c>
      <c r="J7" t="s">
        <v>796</v>
      </c>
      <c r="L7" s="1004" t="str">
        <f>'MDA Worksheet'!$K$95</f>
        <v/>
      </c>
      <c r="M7" s="1004"/>
      <c r="N7" s="1004"/>
      <c r="O7" s="384">
        <v>8</v>
      </c>
      <c r="P7" s="1004" t="s">
        <v>912</v>
      </c>
      <c r="Q7" s="1004"/>
      <c r="R7" s="1004"/>
      <c r="S7" s="1004">
        <f>'Required Info to Submit'!$F$10</f>
        <v>0</v>
      </c>
      <c r="T7" s="1004"/>
      <c r="V7" s="145"/>
    </row>
    <row r="8" spans="1:23" x14ac:dyDescent="0.25">
      <c r="A8" t="s">
        <v>835</v>
      </c>
      <c r="B8" s="1004">
        <f>'Required Info to Submit'!$F$9</f>
        <v>0</v>
      </c>
      <c r="C8" s="1004"/>
      <c r="I8" s="144"/>
      <c r="M8"/>
      <c r="R8"/>
      <c r="V8" s="145"/>
    </row>
    <row r="9" spans="1:23" x14ac:dyDescent="0.25">
      <c r="A9" t="s">
        <v>685</v>
      </c>
      <c r="B9" s="1004">
        <f>'Required Info to Submit'!$F$12</f>
        <v>0</v>
      </c>
      <c r="C9" s="1004"/>
      <c r="I9" s="385" t="s">
        <v>914</v>
      </c>
      <c r="J9" s="323" t="s">
        <v>980</v>
      </c>
      <c r="K9" s="322" t="s">
        <v>903</v>
      </c>
      <c r="L9" s="323" t="s">
        <v>915</v>
      </c>
      <c r="M9" s="323"/>
      <c r="N9" s="323"/>
      <c r="O9" s="322" t="s">
        <v>916</v>
      </c>
      <c r="P9" s="323"/>
      <c r="Q9" s="324"/>
      <c r="R9"/>
      <c r="V9" s="145"/>
    </row>
    <row r="10" spans="1:23" ht="15.75" thickBot="1" x14ac:dyDescent="0.3">
      <c r="A10" t="s">
        <v>836</v>
      </c>
      <c r="B10" s="1004">
        <f>'Required Info to Submit'!$F$11</f>
        <v>0</v>
      </c>
      <c r="C10" s="1004"/>
      <c r="I10" s="296"/>
      <c r="J10" s="297"/>
      <c r="K10" s="297"/>
      <c r="L10" s="297"/>
      <c r="M10" s="297"/>
      <c r="N10" s="297"/>
      <c r="O10" s="297"/>
      <c r="P10" s="297"/>
      <c r="Q10" s="297"/>
      <c r="R10" s="297"/>
      <c r="S10" s="297"/>
      <c r="T10" s="297"/>
      <c r="U10" s="297"/>
      <c r="V10" s="298"/>
    </row>
    <row r="11" spans="1:23" ht="19.5" thickBot="1" x14ac:dyDescent="0.35">
      <c r="B11" s="1003"/>
      <c r="C11" s="1003"/>
      <c r="I11" s="1012" t="s">
        <v>773</v>
      </c>
      <c r="J11" s="1013"/>
      <c r="K11" s="1013"/>
      <c r="L11" s="1013"/>
      <c r="M11" s="1013"/>
      <c r="N11" s="1013"/>
      <c r="O11" s="1013"/>
      <c r="P11" s="1013"/>
      <c r="Q11" s="1013"/>
      <c r="R11" s="1013"/>
      <c r="S11" s="1013"/>
      <c r="T11" s="1013"/>
      <c r="U11" s="1013"/>
      <c r="V11" s="1014"/>
    </row>
    <row r="12" spans="1:23" ht="15.75" thickBot="1" x14ac:dyDescent="0.3">
      <c r="A12" s="1005" t="s">
        <v>773</v>
      </c>
      <c r="B12" s="1006"/>
      <c r="C12" s="1006"/>
      <c r="D12" s="1006"/>
      <c r="E12" s="325"/>
      <c r="F12" s="142"/>
      <c r="G12" s="142"/>
      <c r="H12" s="326"/>
      <c r="I12" s="997" t="s">
        <v>774</v>
      </c>
      <c r="J12" s="998"/>
      <c r="K12" s="998"/>
      <c r="L12" s="998"/>
      <c r="M12" s="326"/>
      <c r="N12" s="998" t="s">
        <v>775</v>
      </c>
      <c r="O12" s="998"/>
      <c r="P12" s="998"/>
      <c r="Q12" s="998"/>
      <c r="R12" s="326"/>
      <c r="S12" s="998" t="s">
        <v>776</v>
      </c>
      <c r="T12" s="998"/>
      <c r="U12" s="998"/>
      <c r="V12" s="999"/>
    </row>
    <row r="13" spans="1:23" x14ac:dyDescent="0.25">
      <c r="A13" s="327" t="s">
        <v>777</v>
      </c>
      <c r="B13" s="328">
        <f>$L$4</f>
        <v>0</v>
      </c>
      <c r="C13" s="329" t="s">
        <v>778</v>
      </c>
      <c r="D13" s="328" t="e">
        <f>$S$4</f>
        <v>#VALUE!</v>
      </c>
      <c r="E13" s="330"/>
      <c r="F13" s="329"/>
      <c r="G13" s="329"/>
      <c r="H13" s="331"/>
      <c r="I13" s="376" t="s">
        <v>779</v>
      </c>
      <c r="J13" s="328">
        <f>L4</f>
        <v>0</v>
      </c>
      <c r="K13" s="332" t="s">
        <v>780</v>
      </c>
      <c r="L13" s="333">
        <f>$L$4+(G6*7)-1</f>
        <v>43372</v>
      </c>
      <c r="M13" s="331"/>
      <c r="N13" s="327" t="s">
        <v>779</v>
      </c>
      <c r="O13" s="328">
        <f>L13+1</f>
        <v>43373</v>
      </c>
      <c r="P13" s="332" t="s">
        <v>780</v>
      </c>
      <c r="Q13" s="333" t="e">
        <f>IF(O13+(G5*364)&gt;44193,O13+(G5*364)-85,O13+(G5*364)-92)</f>
        <v>#VALUE!</v>
      </c>
      <c r="R13" s="331"/>
      <c r="S13" s="327" t="s">
        <v>779</v>
      </c>
      <c r="T13" s="328" t="e">
        <f>Q13+1</f>
        <v>#VALUE!</v>
      </c>
      <c r="U13" s="332" t="s">
        <v>780</v>
      </c>
      <c r="V13" s="333" t="e">
        <f>D13</f>
        <v>#VALUE!</v>
      </c>
      <c r="W13" s="320"/>
    </row>
    <row r="14" spans="1:23" ht="45" x14ac:dyDescent="0.25">
      <c r="A14" s="334" t="s">
        <v>916</v>
      </c>
      <c r="B14" s="335" t="str">
        <f>Incentives!$I$14</f>
        <v>Select Payment Method</v>
      </c>
      <c r="C14" s="274"/>
      <c r="D14" s="335"/>
      <c r="E14" s="336"/>
      <c r="F14" s="274"/>
      <c r="G14" s="274"/>
      <c r="H14" s="320"/>
      <c r="I14" s="377" t="s">
        <v>935</v>
      </c>
      <c r="J14" s="335" t="str">
        <f>Incentives!$I$14</f>
        <v>Select Payment Method</v>
      </c>
      <c r="K14" s="338" t="str">
        <f>IF(J14="Check","Check","Credit Memo")</f>
        <v>Credit Memo</v>
      </c>
      <c r="L14" s="736">
        <f>Incentives!$K$14</f>
        <v>0</v>
      </c>
      <c r="M14" s="320"/>
      <c r="N14" s="377" t="s">
        <v>935</v>
      </c>
      <c r="O14" s="335" t="str">
        <f>Incentives!$I$14</f>
        <v>Select Payment Method</v>
      </c>
      <c r="P14" s="338" t="str">
        <f>IF(O14="Check","Check","Credit Memo")</f>
        <v>Credit Memo</v>
      </c>
      <c r="Q14" s="736">
        <f>Incentives!$K$14</f>
        <v>0</v>
      </c>
      <c r="R14" s="320"/>
      <c r="S14" s="377" t="s">
        <v>935</v>
      </c>
      <c r="T14" s="335" t="str">
        <f>Incentives!$I$14</f>
        <v>Select Payment Method</v>
      </c>
      <c r="U14" s="338" t="str">
        <f>IF(T14="Check","Check","Credit Memo")</f>
        <v>Credit Memo</v>
      </c>
      <c r="V14" s="736">
        <f>Incentives!$K$14</f>
        <v>0</v>
      </c>
      <c r="W14" s="320"/>
    </row>
    <row r="15" spans="1:23" x14ac:dyDescent="0.25">
      <c r="A15" s="334"/>
      <c r="B15" s="335"/>
      <c r="C15" s="274"/>
      <c r="D15" s="335"/>
      <c r="E15" s="336"/>
      <c r="F15" s="274"/>
      <c r="G15" s="274"/>
      <c r="H15" s="320"/>
      <c r="I15" s="377"/>
      <c r="J15" s="335"/>
      <c r="K15" s="338"/>
      <c r="L15" s="339"/>
      <c r="M15" s="320"/>
      <c r="N15" s="334"/>
      <c r="O15" s="335"/>
      <c r="P15" s="338"/>
      <c r="Q15" s="339"/>
      <c r="R15" s="320"/>
      <c r="S15" s="334"/>
      <c r="T15" s="335"/>
      <c r="U15" s="338"/>
      <c r="V15" s="339"/>
      <c r="W15" s="320"/>
    </row>
    <row r="16" spans="1:23" x14ac:dyDescent="0.25">
      <c r="A16" s="334"/>
      <c r="B16" s="335"/>
      <c r="C16" s="274"/>
      <c r="D16" s="335"/>
      <c r="E16" s="336"/>
      <c r="F16" s="274"/>
      <c r="G16" s="274"/>
      <c r="H16" s="320"/>
      <c r="I16" s="377"/>
      <c r="J16" s="89" t="s">
        <v>928</v>
      </c>
      <c r="K16" s="337">
        <f>Incentives!$I$18</f>
        <v>0.01</v>
      </c>
      <c r="L16" s="339"/>
      <c r="M16" s="320"/>
      <c r="N16" s="334"/>
      <c r="O16" s="335"/>
      <c r="P16" s="338"/>
      <c r="Q16" s="339"/>
      <c r="R16" s="320"/>
      <c r="S16" s="334"/>
      <c r="T16" s="335"/>
      <c r="U16" s="338"/>
      <c r="V16" s="339"/>
      <c r="W16" s="320"/>
    </row>
    <row r="17" spans="1:23" x14ac:dyDescent="0.25">
      <c r="A17" s="144"/>
      <c r="I17" s="144"/>
      <c r="J17" s="89" t="s">
        <v>929</v>
      </c>
      <c r="K17" t="s">
        <v>930</v>
      </c>
      <c r="L17" s="145"/>
      <c r="M17" s="340"/>
      <c r="N17" s="144"/>
      <c r="Q17" s="378"/>
      <c r="S17" s="144"/>
      <c r="V17" s="145"/>
    </row>
    <row r="18" spans="1:23" ht="30" x14ac:dyDescent="0.25">
      <c r="A18" s="341"/>
      <c r="B18" s="342" t="s">
        <v>781</v>
      </c>
      <c r="C18" s="342" t="s">
        <v>782</v>
      </c>
      <c r="D18" s="342" t="s">
        <v>783</v>
      </c>
      <c r="E18" s="343"/>
      <c r="F18" s="344"/>
      <c r="G18" s="344" t="s">
        <v>784</v>
      </c>
      <c r="H18" s="345"/>
      <c r="I18" s="839">
        <v>3</v>
      </c>
      <c r="J18" s="344"/>
      <c r="K18" s="840" t="s">
        <v>1114</v>
      </c>
      <c r="L18" s="841" t="s">
        <v>1115</v>
      </c>
      <c r="M18" s="345"/>
      <c r="N18" s="839">
        <v>3</v>
      </c>
      <c r="O18" s="344"/>
      <c r="P18" s="840" t="s">
        <v>1114</v>
      </c>
      <c r="Q18" s="841" t="s">
        <v>1115</v>
      </c>
      <c r="R18" s="345"/>
      <c r="S18" s="839">
        <v>3</v>
      </c>
      <c r="T18" s="344"/>
      <c r="U18" s="840" t="s">
        <v>1114</v>
      </c>
      <c r="V18" s="841" t="s">
        <v>1115</v>
      </c>
      <c r="W18" s="345"/>
    </row>
    <row r="19" spans="1:23" x14ac:dyDescent="0.25">
      <c r="A19" s="144"/>
      <c r="B19" s="1">
        <v>0</v>
      </c>
      <c r="C19" s="396">
        <f>IF(ISERROR(B20-0.01),"",B20-0.01)</f>
        <v>-0.01</v>
      </c>
      <c r="D19" s="346">
        <f>Incentives!$I$17</f>
        <v>0</v>
      </c>
      <c r="E19" s="347"/>
      <c r="I19" s="375" t="s">
        <v>1110</v>
      </c>
      <c r="K19">
        <v>0</v>
      </c>
      <c r="L19" s="145">
        <f>D19</f>
        <v>0</v>
      </c>
      <c r="N19" s="375" t="s">
        <v>1110</v>
      </c>
      <c r="P19">
        <v>0</v>
      </c>
      <c r="Q19" s="348">
        <f>D19</f>
        <v>0</v>
      </c>
      <c r="S19" s="375" t="s">
        <v>1110</v>
      </c>
      <c r="U19">
        <v>0</v>
      </c>
      <c r="V19" s="348">
        <f>D19</f>
        <v>0</v>
      </c>
    </row>
    <row r="20" spans="1:23" x14ac:dyDescent="0.25">
      <c r="A20" s="144"/>
      <c r="B20" s="390">
        <f>ROUND(Incentives!$G$18,0)</f>
        <v>0</v>
      </c>
      <c r="C20" s="396">
        <f>IF(ISERROR(B21-0.01),"",B21-0.01)</f>
        <v>-0.01</v>
      </c>
      <c r="D20" s="346">
        <f>Incentives!$I$18</f>
        <v>0.01</v>
      </c>
      <c r="E20" s="347"/>
      <c r="F20">
        <v>1</v>
      </c>
      <c r="G20" s="349">
        <f>Incentives!$E$18</f>
        <v>0</v>
      </c>
      <c r="H20" s="350"/>
      <c r="I20" s="375" t="s">
        <v>1111</v>
      </c>
      <c r="J20" t="str">
        <f>IF(AND($B$20=0, B21=0),"Flat Rate",0)</f>
        <v>Flat Rate</v>
      </c>
      <c r="K20" t="str">
        <f>IF($B$20=0,"",ROUND($B$20*$G$6,0))</f>
        <v/>
      </c>
      <c r="L20" s="364">
        <f t="shared" ref="L20:L22" si="0">D20</f>
        <v>0.01</v>
      </c>
      <c r="N20" s="375" t="s">
        <v>1116</v>
      </c>
      <c r="O20" s="42"/>
      <c r="P20" t="str">
        <f>IF($B$20=0,"",ROUND($B$20*13,0))</f>
        <v/>
      </c>
      <c r="Q20" s="348">
        <f t="shared" ref="Q20:Q22" si="1">D20</f>
        <v>0.01</v>
      </c>
      <c r="S20" s="375" t="s">
        <v>1116</v>
      </c>
      <c r="U20" t="str">
        <f>IF($B$20=0,"",ROUND($B$20*$G$7,0))</f>
        <v/>
      </c>
      <c r="V20" s="348">
        <f t="shared" ref="V20:V22" si="2">D20</f>
        <v>0.01</v>
      </c>
    </row>
    <row r="21" spans="1:23" x14ac:dyDescent="0.25">
      <c r="A21" s="144"/>
      <c r="B21" s="390">
        <f>IF(D21=0,"",ROUND(Incentives!$G$19,0))</f>
        <v>0</v>
      </c>
      <c r="C21" s="396" t="str">
        <f>IF(OR(ISERROR(B22-0.01),B22=0),"",B22-0.01)</f>
        <v/>
      </c>
      <c r="D21" s="346">
        <f>Incentives!$I$19</f>
        <v>1.4999999999999999E-2</v>
      </c>
      <c r="E21" s="347"/>
      <c r="F21">
        <v>2</v>
      </c>
      <c r="G21" s="349">
        <f>Incentives!$E$19</f>
        <v>0</v>
      </c>
      <c r="H21" s="350"/>
      <c r="I21" s="375" t="s">
        <v>1112</v>
      </c>
      <c r="K21">
        <f>IF($B$21="","",ROUND($B$21*$G$6,0))</f>
        <v>0</v>
      </c>
      <c r="L21" s="364">
        <f t="shared" si="0"/>
        <v>1.4999999999999999E-2</v>
      </c>
      <c r="N21" s="375" t="s">
        <v>1117</v>
      </c>
      <c r="O21" s="42"/>
      <c r="P21">
        <f>IF($B$21="","",ROUND($B$21*13,0))</f>
        <v>0</v>
      </c>
      <c r="Q21" s="348">
        <f t="shared" si="1"/>
        <v>1.4999999999999999E-2</v>
      </c>
      <c r="S21" s="375" t="s">
        <v>1117</v>
      </c>
      <c r="U21" t="e">
        <f>IF($B$21="","",ROUND($B$21*$G$7,0))</f>
        <v>#VALUE!</v>
      </c>
      <c r="V21" s="348">
        <f t="shared" si="2"/>
        <v>1.4999999999999999E-2</v>
      </c>
    </row>
    <row r="22" spans="1:23" ht="15.75" thickBot="1" x14ac:dyDescent="0.3">
      <c r="A22" s="296"/>
      <c r="B22" s="391">
        <f>IF(D22=0,"",Incentives!$G$20)</f>
        <v>0</v>
      </c>
      <c r="C22" s="352">
        <v>999999.99</v>
      </c>
      <c r="D22" s="353">
        <f>Incentives!$I$20</f>
        <v>0.02</v>
      </c>
      <c r="E22" s="354"/>
      <c r="F22" s="297">
        <v>3</v>
      </c>
      <c r="G22" s="355">
        <f>Incentives!$E$20</f>
        <v>0</v>
      </c>
      <c r="H22" s="356"/>
      <c r="I22" s="375" t="s">
        <v>1113</v>
      </c>
      <c r="J22" s="297"/>
      <c r="K22" s="297">
        <f>IF($B$22="","",ROUND($B$22*$G$6,0))</f>
        <v>0</v>
      </c>
      <c r="L22" s="367">
        <f t="shared" si="0"/>
        <v>0.02</v>
      </c>
      <c r="M22" s="357"/>
      <c r="N22" s="842" t="s">
        <v>1118</v>
      </c>
      <c r="O22" s="358"/>
      <c r="P22" s="297">
        <f>IF($B$22="","",ROUND($B$22*13,0))</f>
        <v>0</v>
      </c>
      <c r="Q22" s="359">
        <f t="shared" si="1"/>
        <v>0.02</v>
      </c>
      <c r="R22" s="357"/>
      <c r="S22" s="842" t="s">
        <v>1118</v>
      </c>
      <c r="T22" s="297"/>
      <c r="U22" s="297" t="e">
        <f>IF($B$22="","",ROUND($B$22*$G$7,0))</f>
        <v>#VALUE!</v>
      </c>
      <c r="V22" s="359">
        <f t="shared" si="2"/>
        <v>0.02</v>
      </c>
    </row>
    <row r="23" spans="1:23" ht="16.5" thickBot="1" x14ac:dyDescent="0.3">
      <c r="I23" s="1000" t="s">
        <v>491</v>
      </c>
      <c r="J23" s="1001"/>
      <c r="K23" s="1001"/>
      <c r="L23" s="1002"/>
      <c r="N23" s="1000" t="s">
        <v>555</v>
      </c>
      <c r="O23" s="1001"/>
      <c r="P23" s="1001"/>
      <c r="Q23" s="1002"/>
      <c r="S23" s="1000" t="s">
        <v>787</v>
      </c>
      <c r="T23" s="1001"/>
      <c r="U23" s="1001"/>
      <c r="V23" s="1002"/>
    </row>
    <row r="24" spans="1:23" ht="15.75" thickBot="1" x14ac:dyDescent="0.3">
      <c r="A24" s="1005" t="s">
        <v>491</v>
      </c>
      <c r="B24" s="1006"/>
      <c r="C24" s="1006"/>
      <c r="D24" s="1006"/>
      <c r="E24" s="325"/>
      <c r="F24" s="142"/>
      <c r="G24" s="142"/>
      <c r="H24" s="326"/>
      <c r="I24" s="997" t="s">
        <v>785</v>
      </c>
      <c r="J24" s="998"/>
      <c r="K24" s="998"/>
      <c r="L24" s="999"/>
      <c r="N24" s="997" t="s">
        <v>786</v>
      </c>
      <c r="O24" s="998"/>
      <c r="P24" s="998"/>
      <c r="Q24" s="999"/>
      <c r="S24" s="997" t="s">
        <v>791</v>
      </c>
      <c r="T24" s="998"/>
      <c r="U24" s="998"/>
      <c r="V24" s="999"/>
    </row>
    <row r="25" spans="1:23" x14ac:dyDescent="0.25">
      <c r="A25" s="334" t="s">
        <v>766</v>
      </c>
      <c r="B25" s="335">
        <f>$L$4</f>
        <v>0</v>
      </c>
      <c r="C25" s="274" t="s">
        <v>778</v>
      </c>
      <c r="D25" s="335" t="e">
        <f>$S$4</f>
        <v>#VALUE!</v>
      </c>
      <c r="I25" s="360" t="s">
        <v>779</v>
      </c>
      <c r="J25" s="335">
        <f>$L$4</f>
        <v>0</v>
      </c>
      <c r="K25" s="89" t="s">
        <v>780</v>
      </c>
      <c r="L25" s="361" t="e">
        <f>$S$4</f>
        <v>#VALUE!</v>
      </c>
      <c r="N25" s="144" t="s">
        <v>779</v>
      </c>
      <c r="O25" s="335">
        <f>$L$4</f>
        <v>0</v>
      </c>
      <c r="P25" s="89" t="s">
        <v>780</v>
      </c>
      <c r="Q25" s="361" t="e">
        <f>$S$4</f>
        <v>#VALUE!</v>
      </c>
      <c r="S25" s="379" t="s">
        <v>779</v>
      </c>
      <c r="T25" s="328">
        <f>$L$4</f>
        <v>0</v>
      </c>
      <c r="U25" s="380" t="s">
        <v>780</v>
      </c>
      <c r="V25" s="381" t="e">
        <f>$S$4</f>
        <v>#VALUE!</v>
      </c>
    </row>
    <row r="26" spans="1:23" ht="45" x14ac:dyDescent="0.25">
      <c r="A26" s="334" t="s">
        <v>916</v>
      </c>
      <c r="B26" s="335" t="str">
        <f>Incentives!$I$25</f>
        <v>Select Payment Method</v>
      </c>
      <c r="C26" s="274"/>
      <c r="D26" s="335"/>
      <c r="I26" s="377" t="s">
        <v>936</v>
      </c>
      <c r="J26" s="335" t="str">
        <f>Incentives!$I$25</f>
        <v>Select Payment Method</v>
      </c>
      <c r="K26" s="338" t="str">
        <f>IF(J26="Check","Check","Credit Memo")</f>
        <v>Credit Memo</v>
      </c>
      <c r="L26" s="736">
        <f>Incentives!$K$25</f>
        <v>0</v>
      </c>
      <c r="N26" s="334" t="s">
        <v>936</v>
      </c>
      <c r="O26" s="335" t="str">
        <f>Incentives!$I$36</f>
        <v>Select Payment Method</v>
      </c>
      <c r="P26" s="338" t="str">
        <f>IF(O26="Check","Check","Credit Memo")</f>
        <v>Credit Memo</v>
      </c>
      <c r="Q26" s="736">
        <f>Incentives!$K$36</f>
        <v>0</v>
      </c>
      <c r="S26" s="334" t="s">
        <v>936</v>
      </c>
      <c r="T26" s="335" t="str">
        <f>Incentives!$I$47</f>
        <v>Select Payment Method</v>
      </c>
      <c r="U26" s="338" t="str">
        <f>IF(T26="Check","Check","Credit Memo")</f>
        <v>Credit Memo</v>
      </c>
      <c r="V26" s="736">
        <f>Incentives!$K$47</f>
        <v>0</v>
      </c>
    </row>
    <row r="27" spans="1:23" x14ac:dyDescent="0.25">
      <c r="A27" s="144"/>
      <c r="I27" s="144"/>
      <c r="J27" s="89" t="s">
        <v>929</v>
      </c>
      <c r="K27" t="s">
        <v>930</v>
      </c>
      <c r="L27" s="145"/>
      <c r="N27" s="144"/>
      <c r="O27" s="89" t="s">
        <v>929</v>
      </c>
      <c r="P27" t="s">
        <v>930</v>
      </c>
      <c r="Q27" s="145"/>
      <c r="S27" s="144"/>
      <c r="V27" s="145"/>
    </row>
    <row r="28" spans="1:23" ht="30" x14ac:dyDescent="0.25">
      <c r="A28" s="144"/>
      <c r="B28" s="342" t="s">
        <v>127</v>
      </c>
      <c r="C28" s="342" t="s">
        <v>129</v>
      </c>
      <c r="D28" s="342" t="s">
        <v>783</v>
      </c>
      <c r="E28" s="362"/>
      <c r="I28" s="839">
        <v>3</v>
      </c>
      <c r="K28" s="840" t="s">
        <v>1114</v>
      </c>
      <c r="L28" s="841" t="s">
        <v>1115</v>
      </c>
      <c r="N28" s="839">
        <v>2</v>
      </c>
      <c r="P28" s="840" t="s">
        <v>1119</v>
      </c>
      <c r="Q28" s="841" t="s">
        <v>1120</v>
      </c>
      <c r="S28" s="144"/>
      <c r="V28" s="145"/>
    </row>
    <row r="29" spans="1:23" ht="30" x14ac:dyDescent="0.25">
      <c r="A29" s="144"/>
      <c r="B29" s="392">
        <v>0</v>
      </c>
      <c r="C29" s="396">
        <f>ROUND(IF(ISERROR(B30-0.01),"",B30-0.01),2)</f>
        <v>-0.01</v>
      </c>
      <c r="D29" s="363">
        <f>Incentives!$I$28</f>
        <v>0</v>
      </c>
      <c r="I29" s="375" t="s">
        <v>1110</v>
      </c>
      <c r="K29" s="393">
        <f>B29</f>
        <v>0</v>
      </c>
      <c r="L29" s="364">
        <f>D29</f>
        <v>0</v>
      </c>
      <c r="N29" s="375" t="s">
        <v>1110</v>
      </c>
      <c r="P29" s="24">
        <f>B39</f>
        <v>0</v>
      </c>
      <c r="Q29" s="827">
        <f>D39</f>
        <v>0</v>
      </c>
      <c r="S29" s="144"/>
      <c r="T29" s="344" t="s">
        <v>788</v>
      </c>
      <c r="U29" s="42">
        <f>D48</f>
        <v>0</v>
      </c>
      <c r="V29" s="145"/>
    </row>
    <row r="30" spans="1:23" x14ac:dyDescent="0.25">
      <c r="A30" s="144"/>
      <c r="B30" s="390">
        <f>ROUND(Incentives!$G$29,0)</f>
        <v>0</v>
      </c>
      <c r="C30" s="396">
        <f t="shared" ref="C30:C31" si="3">ROUND(IF(ISERROR(B31-0.01),"",B31-0.01),2)</f>
        <v>-0.01</v>
      </c>
      <c r="D30" s="363">
        <f>Incentives!$I$29</f>
        <v>0.01</v>
      </c>
      <c r="I30" s="375" t="s">
        <v>1111</v>
      </c>
      <c r="K30" s="394">
        <f t="shared" ref="K30:K32" si="4">B30</f>
        <v>0</v>
      </c>
      <c r="L30" s="364">
        <f t="shared" ref="L30:L32" si="5">D30</f>
        <v>0.01</v>
      </c>
      <c r="N30" s="375" t="s">
        <v>1111</v>
      </c>
      <c r="P30" s="24">
        <f>B40</f>
        <v>0</v>
      </c>
      <c r="Q30" s="827">
        <f>D40</f>
        <v>0.01</v>
      </c>
      <c r="S30" s="144"/>
      <c r="V30" s="145"/>
    </row>
    <row r="31" spans="1:23" x14ac:dyDescent="0.25">
      <c r="A31" s="144"/>
      <c r="B31" s="390">
        <f>ROUND(Incentives!$G$30,0)</f>
        <v>0</v>
      </c>
      <c r="C31" s="396">
        <f t="shared" si="3"/>
        <v>-0.01</v>
      </c>
      <c r="D31" s="363">
        <f>Incentives!$I$30</f>
        <v>1.4999999999999999E-2</v>
      </c>
      <c r="I31" s="375" t="s">
        <v>1112</v>
      </c>
      <c r="K31" s="394">
        <f t="shared" si="4"/>
        <v>0</v>
      </c>
      <c r="L31" s="364">
        <f t="shared" si="5"/>
        <v>1.4999999999999999E-2</v>
      </c>
      <c r="N31" s="375" t="s">
        <v>1112</v>
      </c>
      <c r="P31" s="59">
        <f>B41</f>
        <v>0</v>
      </c>
      <c r="Q31" s="826">
        <f>D41</f>
        <v>1.4999999999999999E-2</v>
      </c>
      <c r="S31" s="144"/>
      <c r="V31" s="145"/>
    </row>
    <row r="32" spans="1:23" ht="15.75" thickBot="1" x14ac:dyDescent="0.3">
      <c r="A32" s="296"/>
      <c r="B32" s="390">
        <f>ROUND(Incentives!$G$31,0)</f>
        <v>0</v>
      </c>
      <c r="C32" s="352">
        <v>999999.99</v>
      </c>
      <c r="D32" s="363">
        <f>Incentives!$I$31</f>
        <v>0.02</v>
      </c>
      <c r="E32" s="365"/>
      <c r="F32" s="297"/>
      <c r="G32" s="297"/>
      <c r="H32" s="357"/>
      <c r="I32" s="375" t="s">
        <v>1113</v>
      </c>
      <c r="J32" s="297"/>
      <c r="K32" s="395">
        <f t="shared" si="4"/>
        <v>0</v>
      </c>
      <c r="L32" s="367">
        <f t="shared" si="5"/>
        <v>0.02</v>
      </c>
      <c r="N32" s="375" t="s">
        <v>1113</v>
      </c>
      <c r="P32" s="59">
        <f>B42</f>
        <v>0</v>
      </c>
      <c r="Q32" s="826">
        <f>D42</f>
        <v>0.02</v>
      </c>
      <c r="S32" s="296"/>
      <c r="T32" s="297"/>
      <c r="U32" s="297"/>
      <c r="V32" s="298"/>
    </row>
    <row r="33" spans="1:22" ht="16.5" thickBot="1" x14ac:dyDescent="0.3">
      <c r="I33" s="1000" t="s">
        <v>556</v>
      </c>
      <c r="J33" s="1001"/>
      <c r="K33" s="1001"/>
      <c r="L33" s="1002"/>
      <c r="N33" s="1000" t="s">
        <v>792</v>
      </c>
      <c r="O33" s="1001"/>
      <c r="P33" s="1001"/>
      <c r="Q33" s="1002"/>
      <c r="S33" s="1019" t="s">
        <v>1125</v>
      </c>
      <c r="T33" s="1020"/>
      <c r="U33" s="1020"/>
      <c r="V33" s="1021"/>
    </row>
    <row r="34" spans="1:22" ht="15.75" thickBot="1" x14ac:dyDescent="0.3">
      <c r="A34" s="1005" t="s">
        <v>555</v>
      </c>
      <c r="B34" s="1006"/>
      <c r="C34" s="1006"/>
      <c r="D34" s="1025"/>
      <c r="E34" s="325"/>
      <c r="F34" s="142"/>
      <c r="G34" s="142"/>
      <c r="H34" s="326"/>
      <c r="I34" s="997" t="s">
        <v>790</v>
      </c>
      <c r="J34" s="998"/>
      <c r="K34" s="998"/>
      <c r="L34" s="999"/>
      <c r="N34" s="997" t="s">
        <v>793</v>
      </c>
      <c r="O34" s="998"/>
      <c r="P34" s="998"/>
      <c r="Q34" s="999"/>
      <c r="S34" s="1022" t="s">
        <v>1126</v>
      </c>
      <c r="T34" s="1023"/>
      <c r="U34" s="1023"/>
      <c r="V34" s="1024"/>
    </row>
    <row r="35" spans="1:22" x14ac:dyDescent="0.25">
      <c r="A35" s="334" t="s">
        <v>766</v>
      </c>
      <c r="B35" s="335">
        <f>$L$4</f>
        <v>0</v>
      </c>
      <c r="C35" s="274" t="s">
        <v>778</v>
      </c>
      <c r="D35" s="339" t="e">
        <f>$S$4</f>
        <v>#VALUE!</v>
      </c>
      <c r="I35" s="360" t="s">
        <v>779</v>
      </c>
      <c r="J35" s="335">
        <f>$L$4</f>
        <v>0</v>
      </c>
      <c r="K35" s="89" t="s">
        <v>780</v>
      </c>
      <c r="L35" s="361" t="e">
        <f>$S$4</f>
        <v>#VALUE!</v>
      </c>
      <c r="N35" s="379" t="s">
        <v>779</v>
      </c>
      <c r="O35" s="328">
        <f>$L$4</f>
        <v>0</v>
      </c>
      <c r="P35" s="380" t="s">
        <v>780</v>
      </c>
      <c r="Q35" s="381" t="e">
        <f>$S$4</f>
        <v>#VALUE!</v>
      </c>
      <c r="S35" s="144" t="s">
        <v>1127</v>
      </c>
      <c r="T35" s="383">
        <f>$L$4</f>
        <v>0</v>
      </c>
      <c r="U35" t="s">
        <v>780</v>
      </c>
      <c r="V35" s="361" t="e">
        <f>$S$4</f>
        <v>#VALUE!</v>
      </c>
    </row>
    <row r="36" spans="1:22" ht="45" x14ac:dyDescent="0.25">
      <c r="A36" s="334" t="s">
        <v>937</v>
      </c>
      <c r="B36" s="335" t="str">
        <f>Incentives!$I$36</f>
        <v>Select Payment Method</v>
      </c>
      <c r="C36" s="274"/>
      <c r="D36" s="339"/>
      <c r="I36" s="360"/>
      <c r="J36" s="89" t="str">
        <f>IF(Incentives!$I$55="Check","Check","Credit Memo")</f>
        <v>Credit Memo</v>
      </c>
      <c r="K36">
        <f>Incentives!$K$55</f>
        <v>0</v>
      </c>
      <c r="L36" s="361"/>
      <c r="N36" s="334" t="s">
        <v>936</v>
      </c>
      <c r="O36" s="335" t="str">
        <f>Incentives!$I$63</f>
        <v>Select Payment Method</v>
      </c>
      <c r="P36" s="338" t="str">
        <f>IF($O$36="Check","Check","Credit Memo")</f>
        <v>Credit Memo</v>
      </c>
      <c r="Q36" s="736">
        <f>Incentives!$K$63</f>
        <v>0</v>
      </c>
      <c r="S36" s="334" t="s">
        <v>936</v>
      </c>
      <c r="T36" s="274" t="str">
        <f>$B$58</f>
        <v>Select Payment Method</v>
      </c>
      <c r="V36" s="145"/>
    </row>
    <row r="37" spans="1:22" x14ac:dyDescent="0.25">
      <c r="A37" s="144"/>
      <c r="D37" s="145"/>
      <c r="I37" s="375"/>
      <c r="J37" s="89"/>
      <c r="L37" s="145"/>
      <c r="N37" s="144"/>
      <c r="O37" t="s">
        <v>913</v>
      </c>
      <c r="Q37" s="145"/>
      <c r="S37" s="144"/>
      <c r="V37" s="145"/>
    </row>
    <row r="38" spans="1:22" ht="30" x14ac:dyDescent="0.25">
      <c r="A38" s="144"/>
      <c r="B38" s="342" t="s">
        <v>127</v>
      </c>
      <c r="C38" s="342" t="s">
        <v>129</v>
      </c>
      <c r="D38" s="822" t="s">
        <v>543</v>
      </c>
      <c r="I38" s="373">
        <v>1</v>
      </c>
      <c r="J38" s="344" t="s">
        <v>789</v>
      </c>
      <c r="K38" s="20">
        <f>Incentives!$K$58</f>
        <v>0</v>
      </c>
      <c r="L38" s="145"/>
      <c r="N38" s="373">
        <v>2</v>
      </c>
      <c r="O38" s="344" t="s">
        <v>789</v>
      </c>
      <c r="P38" s="20">
        <f>Incentives!$K$66</f>
        <v>0</v>
      </c>
      <c r="Q38" s="145"/>
      <c r="S38" s="144"/>
      <c r="T38" t="s">
        <v>789</v>
      </c>
      <c r="U38" s="62" t="str">
        <f>D66</f>
        <v/>
      </c>
      <c r="V38" s="145"/>
    </row>
    <row r="39" spans="1:22" x14ac:dyDescent="0.25">
      <c r="A39" s="144"/>
      <c r="B39" s="820">
        <v>0</v>
      </c>
      <c r="C39" s="821">
        <f>IF(ISERROR(B40-0.01),"",(B40-0.0001))</f>
        <v>-1E-4</v>
      </c>
      <c r="D39" s="823">
        <v>0</v>
      </c>
      <c r="I39" s="375"/>
      <c r="J39" s="344" t="s">
        <v>720</v>
      </c>
      <c r="K39" s="19">
        <f>$G$4</f>
        <v>0</v>
      </c>
      <c r="L39" s="145" t="s">
        <v>917</v>
      </c>
      <c r="N39" s="375"/>
      <c r="O39" s="344"/>
      <c r="P39" s="368"/>
      <c r="Q39" s="145"/>
      <c r="S39" s="144"/>
      <c r="V39" s="145"/>
    </row>
    <row r="40" spans="1:22" ht="15.75" thickBot="1" x14ac:dyDescent="0.3">
      <c r="A40" s="144"/>
      <c r="B40" s="346">
        <f>Incentives!$G$40</f>
        <v>0</v>
      </c>
      <c r="C40" s="821" t="str">
        <f>IF(OR(ISERROR(B41-0.01),B41=0),"",(B41-0.0001))</f>
        <v/>
      </c>
      <c r="D40" s="825">
        <f>Incentives!$I$40</f>
        <v>0.01</v>
      </c>
      <c r="F40" s="297"/>
      <c r="G40" s="297"/>
      <c r="H40" s="357"/>
      <c r="I40" s="374">
        <v>3</v>
      </c>
      <c r="J40" s="297"/>
      <c r="K40" s="366" t="e">
        <f>$G$4*$G$5</f>
        <v>#VALUE!</v>
      </c>
      <c r="L40" s="371" t="s">
        <v>797</v>
      </c>
      <c r="N40" s="842"/>
      <c r="O40" s="297"/>
      <c r="P40" s="366"/>
      <c r="Q40" s="298"/>
      <c r="S40" s="296"/>
      <c r="T40" s="297"/>
      <c r="U40" s="297"/>
      <c r="V40" s="298"/>
    </row>
    <row r="41" spans="1:22" ht="15.75" thickBot="1" x14ac:dyDescent="0.3">
      <c r="A41" s="144"/>
      <c r="B41" s="346">
        <f>Incentives!$G$41</f>
        <v>0</v>
      </c>
      <c r="C41" s="821" t="str">
        <f>IF(OR(ISERROR(B42-0.01),B42=0),"",(B42-0.0001))</f>
        <v/>
      </c>
      <c r="D41" s="825">
        <f>Incentives!$I$41</f>
        <v>1.4999999999999999E-2</v>
      </c>
      <c r="E41" s="365"/>
      <c r="I41" s="144"/>
      <c r="V41" s="145"/>
    </row>
    <row r="42" spans="1:22" ht="15.75" thickBot="1" x14ac:dyDescent="0.3">
      <c r="A42" s="296"/>
      <c r="B42" s="353">
        <f>Incentives!$G$42</f>
        <v>0</v>
      </c>
      <c r="C42" s="369">
        <v>1</v>
      </c>
      <c r="D42" s="824">
        <f>Incentives!$I$42</f>
        <v>0.02</v>
      </c>
      <c r="F42" s="142"/>
      <c r="G42" s="142"/>
      <c r="H42" s="326"/>
      <c r="I42" s="144"/>
      <c r="V42" s="145"/>
    </row>
    <row r="43" spans="1:22" ht="15.75" thickBot="1" x14ac:dyDescent="0.3">
      <c r="E43" s="325"/>
      <c r="I43" s="788"/>
      <c r="J43" s="388" t="s">
        <v>770</v>
      </c>
      <c r="K43" s="389" t="s">
        <v>772</v>
      </c>
      <c r="L43" s="387"/>
      <c r="V43" s="145"/>
    </row>
    <row r="44" spans="1:22" x14ac:dyDescent="0.25">
      <c r="A44" s="1005" t="s">
        <v>787</v>
      </c>
      <c r="B44" s="1006"/>
      <c r="C44" s="1006"/>
      <c r="D44" s="1006"/>
      <c r="I44" s="771">
        <v>1</v>
      </c>
      <c r="J44" s="303">
        <f>IFERROR('MDA Worksheet'!D95,"")</f>
        <v>0</v>
      </c>
      <c r="K44" s="810" t="str">
        <f>IFERROR('MDA Worksheet'!$K$95,"")</f>
        <v/>
      </c>
      <c r="V44" s="145"/>
    </row>
    <row r="45" spans="1:22" x14ac:dyDescent="0.25">
      <c r="A45" s="334" t="s">
        <v>766</v>
      </c>
      <c r="B45" s="335">
        <f>$L$4</f>
        <v>0</v>
      </c>
      <c r="C45" s="274" t="s">
        <v>778</v>
      </c>
      <c r="D45" s="335" t="e">
        <f>$S$4</f>
        <v>#VALUE!</v>
      </c>
      <c r="I45" s="33">
        <v>2</v>
      </c>
      <c r="J45" s="304">
        <f>IFERROR('MDA Worksheet'!D96,"")</f>
        <v>0</v>
      </c>
      <c r="K45" s="1" t="str">
        <f>IFERROR('MDA Worksheet'!K96,"")</f>
        <v/>
      </c>
      <c r="V45" s="145"/>
    </row>
    <row r="46" spans="1:22" ht="15.75" thickBot="1" x14ac:dyDescent="0.3">
      <c r="A46" s="144" t="s">
        <v>916</v>
      </c>
      <c r="B46" t="str">
        <f>Incentives!$I$47</f>
        <v>Select Payment Method</v>
      </c>
      <c r="F46" s="297"/>
      <c r="G46" s="297"/>
      <c r="H46" s="357"/>
      <c r="I46" s="33">
        <v>3</v>
      </c>
      <c r="J46" s="304">
        <f>IFERROR('MDA Worksheet'!D97,"")</f>
        <v>0</v>
      </c>
      <c r="K46" s="1" t="str">
        <f>IFERROR('MDA Worksheet'!K97,"")</f>
        <v/>
      </c>
      <c r="V46" s="145"/>
    </row>
    <row r="47" spans="1:22" ht="30.75" thickBot="1" x14ac:dyDescent="0.3">
      <c r="A47" s="144"/>
      <c r="C47" s="372" t="s">
        <v>236</v>
      </c>
      <c r="D47" s="342" t="s">
        <v>543</v>
      </c>
      <c r="E47" s="365"/>
      <c r="I47" s="33">
        <v>4</v>
      </c>
      <c r="J47" s="304">
        <f>IFERROR('MDA Worksheet'!D98,"")</f>
        <v>0</v>
      </c>
      <c r="K47" s="1" t="str">
        <f>IFERROR('MDA Worksheet'!K98,"")</f>
        <v/>
      </c>
      <c r="V47" s="145"/>
    </row>
    <row r="48" spans="1:22" ht="15.75" thickBot="1" x14ac:dyDescent="0.3">
      <c r="A48" s="296"/>
      <c r="B48" s="297"/>
      <c r="C48" s="735">
        <f>Incentives!$G$50</f>
        <v>0</v>
      </c>
      <c r="D48" s="370">
        <f>Incentives!$K$50</f>
        <v>0</v>
      </c>
      <c r="F48" s="142"/>
      <c r="G48" s="142"/>
      <c r="H48" s="326"/>
      <c r="I48" s="33">
        <v>5</v>
      </c>
      <c r="J48" s="304">
        <f>IFERROR('MDA Worksheet'!D99,"")</f>
        <v>0</v>
      </c>
      <c r="K48" s="1" t="str">
        <f>IFERROR('MDA Worksheet'!K99,"")</f>
        <v/>
      </c>
      <c r="V48" s="145"/>
    </row>
    <row r="49" spans="1:22" ht="15.75" thickBot="1" x14ac:dyDescent="0.3">
      <c r="E49" s="325"/>
      <c r="I49" s="33">
        <v>6</v>
      </c>
      <c r="J49" s="304">
        <f>IFERROR('MDA Worksheet'!D100,"")</f>
        <v>0</v>
      </c>
      <c r="K49" s="1" t="str">
        <f>IFERROR('MDA Worksheet'!K100,"")</f>
        <v/>
      </c>
      <c r="V49" s="145"/>
    </row>
    <row r="50" spans="1:22" x14ac:dyDescent="0.25">
      <c r="A50" s="1005" t="s">
        <v>556</v>
      </c>
      <c r="B50" s="1006"/>
      <c r="C50" s="1006"/>
      <c r="D50" s="1006"/>
      <c r="I50" s="33">
        <v>7</v>
      </c>
      <c r="J50" s="304">
        <f>IFERROR('MDA Worksheet'!D101,"")</f>
        <v>0</v>
      </c>
      <c r="K50" s="1" t="str">
        <f>IFERROR('MDA Worksheet'!K101,"")</f>
        <v/>
      </c>
      <c r="V50" s="145"/>
    </row>
    <row r="51" spans="1:22" x14ac:dyDescent="0.25">
      <c r="A51" s="334" t="s">
        <v>766</v>
      </c>
      <c r="B51" s="335">
        <f>$L$4</f>
        <v>0</v>
      </c>
      <c r="C51" s="274" t="s">
        <v>778</v>
      </c>
      <c r="D51" s="335" t="e">
        <f>$S$4</f>
        <v>#VALUE!</v>
      </c>
      <c r="I51" s="33">
        <v>8</v>
      </c>
      <c r="J51" s="304">
        <f>IFERROR('MDA Worksheet'!D102,"")</f>
        <v>0</v>
      </c>
      <c r="K51" s="1" t="str">
        <f>IFERROR('MDA Worksheet'!K102,"")</f>
        <v/>
      </c>
      <c r="V51" s="145"/>
    </row>
    <row r="52" spans="1:22" ht="15.75" thickBot="1" x14ac:dyDescent="0.3">
      <c r="A52" s="144" t="s">
        <v>916</v>
      </c>
      <c r="B52" t="str">
        <f>Incentives!$I$55</f>
        <v>Select Payment Method</v>
      </c>
      <c r="F52" s="297"/>
      <c r="G52" s="297"/>
      <c r="H52" s="357"/>
      <c r="I52" s="33">
        <v>9</v>
      </c>
      <c r="J52" s="304">
        <f>IFERROR('MDA Worksheet'!D103,"")</f>
        <v>0</v>
      </c>
      <c r="K52" s="1" t="str">
        <f>IFERROR('MDA Worksheet'!K103,"")</f>
        <v/>
      </c>
      <c r="V52" s="145"/>
    </row>
    <row r="53" spans="1:22" ht="15.75" thickBot="1" x14ac:dyDescent="0.3">
      <c r="A53" s="144"/>
      <c r="C53" s="1" t="s">
        <v>789</v>
      </c>
      <c r="D53" s="1" t="s">
        <v>837</v>
      </c>
      <c r="E53" s="365"/>
      <c r="I53" s="35">
        <v>10</v>
      </c>
      <c r="J53" s="306">
        <f>IFERROR('MDA Worksheet'!D104,"")</f>
        <v>0</v>
      </c>
      <c r="K53" s="36" t="str">
        <f>IFERROR('MDA Worksheet'!K104,"")</f>
        <v/>
      </c>
      <c r="L53" s="297"/>
      <c r="M53" s="357"/>
      <c r="N53" s="297"/>
      <c r="O53" s="297"/>
      <c r="P53" s="297"/>
      <c r="Q53" s="297"/>
      <c r="R53" s="357"/>
      <c r="S53" s="297"/>
      <c r="T53" s="297"/>
      <c r="U53" s="297"/>
      <c r="V53" s="298"/>
    </row>
    <row r="54" spans="1:22" ht="15.75" thickBot="1" x14ac:dyDescent="0.3">
      <c r="A54" s="296"/>
      <c r="B54" s="297"/>
      <c r="C54" s="351">
        <f>Incentives!$K$58</f>
        <v>0</v>
      </c>
      <c r="D54" s="386">
        <f>$G$4</f>
        <v>0</v>
      </c>
      <c r="F54" s="142"/>
      <c r="G54" s="142"/>
      <c r="H54" s="326"/>
    </row>
    <row r="55" spans="1:22" ht="15.75" thickBot="1" x14ac:dyDescent="0.3">
      <c r="E55" s="325"/>
    </row>
    <row r="56" spans="1:22" x14ac:dyDescent="0.25">
      <c r="A56" s="1005" t="s">
        <v>792</v>
      </c>
      <c r="B56" s="1006"/>
      <c r="C56" s="1006"/>
      <c r="D56" s="1006"/>
    </row>
    <row r="57" spans="1:22" x14ac:dyDescent="0.25">
      <c r="A57" s="334" t="s">
        <v>766</v>
      </c>
      <c r="B57" s="335">
        <f>$L$4</f>
        <v>0</v>
      </c>
      <c r="C57" s="274" t="s">
        <v>778</v>
      </c>
      <c r="D57" s="335" t="e">
        <f>$S$4</f>
        <v>#VALUE!</v>
      </c>
    </row>
    <row r="58" spans="1:22" ht="15.75" thickBot="1" x14ac:dyDescent="0.3">
      <c r="A58" s="144" t="s">
        <v>916</v>
      </c>
      <c r="B58" t="str">
        <f>Incentives!$I$63</f>
        <v>Select Payment Method</v>
      </c>
      <c r="F58" s="297"/>
      <c r="G58" s="297"/>
      <c r="H58" s="357"/>
    </row>
    <row r="59" spans="1:22" ht="15.75" thickBot="1" x14ac:dyDescent="0.3">
      <c r="A59" s="144"/>
      <c r="C59" s="1" t="s">
        <v>837</v>
      </c>
      <c r="D59" s="1" t="s">
        <v>789</v>
      </c>
      <c r="E59" s="365"/>
    </row>
    <row r="60" spans="1:22" ht="15.75" thickBot="1" x14ac:dyDescent="0.3">
      <c r="A60" s="296"/>
      <c r="B60" s="297"/>
      <c r="C60" s="386">
        <f>Incentives!$H$9</f>
        <v>0</v>
      </c>
      <c r="D60" s="351">
        <f>Incentives!$K$66</f>
        <v>0</v>
      </c>
    </row>
    <row r="61" spans="1:22" ht="15.75" thickBot="1" x14ac:dyDescent="0.3"/>
    <row r="62" spans="1:22" x14ac:dyDescent="0.25">
      <c r="A62" s="1005" t="s">
        <v>1122</v>
      </c>
      <c r="B62" s="1006"/>
      <c r="C62" s="1006"/>
      <c r="D62" s="1025"/>
    </row>
    <row r="63" spans="1:22" x14ac:dyDescent="0.25">
      <c r="A63" s="144" t="s">
        <v>766</v>
      </c>
      <c r="C63" t="s">
        <v>768</v>
      </c>
      <c r="D63" s="145"/>
    </row>
    <row r="64" spans="1:22" x14ac:dyDescent="0.25">
      <c r="A64" s="144" t="s">
        <v>937</v>
      </c>
      <c r="B64" t="str">
        <f>Incentives!$I$71</f>
        <v>Select Payment Method</v>
      </c>
      <c r="D64" s="145"/>
    </row>
    <row r="65" spans="1:4" x14ac:dyDescent="0.25">
      <c r="A65" s="144"/>
      <c r="C65" s="1"/>
      <c r="D65" s="1" t="s">
        <v>789</v>
      </c>
    </row>
    <row r="66" spans="1:4" ht="15.75" thickBot="1" x14ac:dyDescent="0.3">
      <c r="A66" s="296"/>
      <c r="B66" s="297"/>
      <c r="C66" s="1"/>
      <c r="D66" s="54" t="str">
        <f>Incentives!$G$74</f>
        <v/>
      </c>
    </row>
  </sheetData>
  <sheetProtection algorithmName="SHA-512" hashValue="SP9st3qf9sUDZUW/fhkIHK6IXCJq36xqhmewI1a7lMi2f8lsnqrChDswhla+8x6FT3eDZfRDiyww0x9AFoZuTg==" saltValue="bLA8iswj3vV4Yuw+zf0jVw==" spinCount="100000" sheet="1" objects="1" scenarios="1"/>
  <mergeCells count="43">
    <mergeCell ref="A62:D62"/>
    <mergeCell ref="A56:D56"/>
    <mergeCell ref="N34:Q34"/>
    <mergeCell ref="A50:D50"/>
    <mergeCell ref="A34:D34"/>
    <mergeCell ref="A44:D44"/>
    <mergeCell ref="N33:Q33"/>
    <mergeCell ref="I33:L33"/>
    <mergeCell ref="I34:L34"/>
    <mergeCell ref="S33:V33"/>
    <mergeCell ref="S34:V34"/>
    <mergeCell ref="A1:D1"/>
    <mergeCell ref="F1:G1"/>
    <mergeCell ref="I1:V1"/>
    <mergeCell ref="B7:C7"/>
    <mergeCell ref="I11:V11"/>
    <mergeCell ref="B3:C3"/>
    <mergeCell ref="B4:C4"/>
    <mergeCell ref="B6:C6"/>
    <mergeCell ref="L3:P3"/>
    <mergeCell ref="B8:C8"/>
    <mergeCell ref="B9:C9"/>
    <mergeCell ref="S4:T4"/>
    <mergeCell ref="S6:T6"/>
    <mergeCell ref="S7:T7"/>
    <mergeCell ref="L7:N7"/>
    <mergeCell ref="P4:R4"/>
    <mergeCell ref="S24:V24"/>
    <mergeCell ref="S23:V23"/>
    <mergeCell ref="S12:V12"/>
    <mergeCell ref="B11:C11"/>
    <mergeCell ref="B5:C5"/>
    <mergeCell ref="B10:C10"/>
    <mergeCell ref="P6:R6"/>
    <mergeCell ref="P7:R7"/>
    <mergeCell ref="A12:D12"/>
    <mergeCell ref="I12:L12"/>
    <mergeCell ref="I23:L23"/>
    <mergeCell ref="N23:Q23"/>
    <mergeCell ref="N12:Q12"/>
    <mergeCell ref="A24:D24"/>
    <mergeCell ref="I24:L24"/>
    <mergeCell ref="N24:Q24"/>
  </mergeCells>
  <printOptions horizontalCentered="1"/>
  <pageMargins left="0.25" right="0.25" top="0.75" bottom="0.75" header="0.3" footer="0.3"/>
  <pageSetup scale="62" orientation="portrait" r:id="rId1"/>
  <headerFooter scaleWithDoc="0">
    <oddFooter>&amp;L&amp;P&amp;CCIA Worksheet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43" id="{F732F595-315A-486C-81E2-3043CF6D565C}">
            <xm:f>Incentives!$E$15="NO"</xm:f>
            <x14:dxf>
              <font>
                <strike/>
              </font>
            </x14:dxf>
          </x14:cfRule>
          <xm:sqref>I11:V11</xm:sqref>
        </x14:conditionalFormatting>
        <x14:conditionalFormatting xmlns:xm="http://schemas.microsoft.com/office/excel/2006/main">
          <x14:cfRule type="expression" priority="42" id="{54BCC204-483D-4B36-BF4C-1F3D91B3A2A3}">
            <xm:f>Incentives!$E$15="NO"</xm:f>
            <x14:dxf>
              <font>
                <strike/>
              </font>
            </x14:dxf>
          </x14:cfRule>
          <xm:sqref>I12:V12</xm:sqref>
        </x14:conditionalFormatting>
        <x14:conditionalFormatting xmlns:xm="http://schemas.microsoft.com/office/excel/2006/main">
          <x14:cfRule type="expression" priority="41" id="{F5ECA23D-DC13-4557-A00F-68D326FDBFB2}">
            <xm:f>Incentives!$E$15="NO"</xm:f>
            <x14:dxf>
              <font>
                <color theme="0"/>
              </font>
              <fill>
                <patternFill patternType="none">
                  <bgColor auto="1"/>
                </patternFill>
              </fill>
            </x14:dxf>
          </x14:cfRule>
          <xm:sqref>I13:V22</xm:sqref>
        </x14:conditionalFormatting>
        <x14:conditionalFormatting xmlns:xm="http://schemas.microsoft.com/office/excel/2006/main">
          <x14:cfRule type="expression" priority="40" id="{85AFC805-D9D2-486E-900A-8D1F247BCA42}">
            <xm:f>Incentives!$E$26="NO"</xm:f>
            <x14:dxf>
              <font>
                <strike/>
              </font>
            </x14:dxf>
          </x14:cfRule>
          <xm:sqref>I23:L24</xm:sqref>
        </x14:conditionalFormatting>
        <x14:conditionalFormatting xmlns:xm="http://schemas.microsoft.com/office/excel/2006/main">
          <x14:cfRule type="expression" priority="39" id="{198A80E2-53E2-4FC8-AE73-B8EF1F8166E5}">
            <xm:f>Incentives!$E$26="NO"</xm:f>
            <x14:dxf>
              <font>
                <color theme="0"/>
              </font>
              <fill>
                <patternFill patternType="none">
                  <bgColor auto="1"/>
                </patternFill>
              </fill>
            </x14:dxf>
          </x14:cfRule>
          <xm:sqref>I25:L27 J29:L32 J28</xm:sqref>
        </x14:conditionalFormatting>
        <x14:conditionalFormatting xmlns:xm="http://schemas.microsoft.com/office/excel/2006/main">
          <x14:cfRule type="expression" priority="38" id="{3D5FF556-B0B7-4B29-AD33-392964C5DB35}">
            <xm:f>Incentives!$E$37="NO"</xm:f>
            <x14:dxf>
              <font>
                <strike/>
              </font>
            </x14:dxf>
          </x14:cfRule>
          <xm:sqref>N23:Q24</xm:sqref>
        </x14:conditionalFormatting>
        <x14:conditionalFormatting xmlns:xm="http://schemas.microsoft.com/office/excel/2006/main">
          <x14:cfRule type="expression" priority="37" id="{9D37C152-7D61-4DB8-B763-1DBE6C5FC21E}">
            <xm:f>Incentives!$E$37="NO"</xm:f>
            <x14:dxf>
              <font>
                <color theme="0"/>
              </font>
              <fill>
                <patternFill patternType="none">
                  <bgColor auto="1"/>
                </patternFill>
              </fill>
            </x14:dxf>
          </x14:cfRule>
          <xm:sqref>N25:Q27 O29:Q32 O28</xm:sqref>
        </x14:conditionalFormatting>
        <x14:conditionalFormatting xmlns:xm="http://schemas.microsoft.com/office/excel/2006/main">
          <x14:cfRule type="expression" priority="36" id="{5E53A66A-3644-45EF-A3DF-7E7A300D5D31}">
            <xm:f>Incentives!$E$48="NO"</xm:f>
            <x14:dxf>
              <font>
                <strike/>
              </font>
            </x14:dxf>
          </x14:cfRule>
          <xm:sqref>S23:V24</xm:sqref>
        </x14:conditionalFormatting>
        <x14:conditionalFormatting xmlns:xm="http://schemas.microsoft.com/office/excel/2006/main">
          <x14:cfRule type="expression" priority="35" id="{C29FE038-1440-45A8-BA51-7E60D6D3D945}">
            <xm:f>Incentives!$E$48="NO"</xm:f>
            <x14:dxf>
              <font>
                <color theme="0"/>
              </font>
              <fill>
                <patternFill patternType="none">
                  <bgColor auto="1"/>
                </patternFill>
              </fill>
            </x14:dxf>
          </x14:cfRule>
          <xm:sqref>S25:V32</xm:sqref>
        </x14:conditionalFormatting>
        <x14:conditionalFormatting xmlns:xm="http://schemas.microsoft.com/office/excel/2006/main">
          <x14:cfRule type="expression" priority="34" id="{5EC75B7A-6615-4B9C-BE6B-2ACE99EC6DA0}">
            <xm:f>Incentives!$E$56="NO"</xm:f>
            <x14:dxf>
              <font>
                <strike/>
              </font>
            </x14:dxf>
          </x14:cfRule>
          <xm:sqref>I33:L34</xm:sqref>
        </x14:conditionalFormatting>
        <x14:conditionalFormatting xmlns:xm="http://schemas.microsoft.com/office/excel/2006/main">
          <x14:cfRule type="expression" priority="33" id="{9F46BA46-96FF-41F0-82A4-6274DC11F02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32" id="{150A25ED-C049-4022-B832-77D3107793B8}">
            <xm:f>Incentives!$E$64="NO"</xm:f>
            <x14:dxf>
              <font>
                <strike/>
              </font>
            </x14:dxf>
          </x14:cfRule>
          <xm:sqref>N33:Q34</xm:sqref>
        </x14:conditionalFormatting>
        <x14:conditionalFormatting xmlns:xm="http://schemas.microsoft.com/office/excel/2006/main">
          <x14:cfRule type="expression" priority="31" id="{F208DEBA-544E-48AB-8F5E-2E709D27F248}">
            <xm:f>Incentives!$E$64="NO"</xm:f>
            <x14:dxf>
              <font>
                <color theme="0"/>
              </font>
              <fill>
                <patternFill patternType="none">
                  <bgColor auto="1"/>
                </patternFill>
              </fill>
            </x14:dxf>
          </x14:cfRule>
          <xm:sqref>N35:Q40</xm:sqref>
        </x14:conditionalFormatting>
        <x14:conditionalFormatting xmlns:xm="http://schemas.microsoft.com/office/excel/2006/main">
          <x14:cfRule type="expression" priority="30"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28"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27" id="{E26E775A-9E8C-4595-9496-495AC4CE043F}">
            <xm:f>Incentives!$E$48="NO"</xm:f>
            <x14:dxf>
              <fill>
                <patternFill>
                  <bgColor theme="0" tint="-0.24994659260841701"/>
                </patternFill>
              </fill>
            </x14:dxf>
          </x14:cfRule>
          <xm:sqref>A45:D48</xm:sqref>
        </x14:conditionalFormatting>
        <x14:conditionalFormatting xmlns:xm="http://schemas.microsoft.com/office/excel/2006/main">
          <x14:cfRule type="expression" priority="26" id="{871BF669-AA33-4FF8-8384-72AE752D0F89}">
            <xm:f>Incentives!$E$56="NO"</xm:f>
            <x14:dxf>
              <fill>
                <patternFill>
                  <bgColor theme="0" tint="-0.24994659260841701"/>
                </patternFill>
              </fill>
            </x14:dxf>
          </x14:cfRule>
          <xm:sqref>A51:D54</xm:sqref>
        </x14:conditionalFormatting>
        <x14:conditionalFormatting xmlns:xm="http://schemas.microsoft.com/office/excel/2006/main">
          <x14:cfRule type="expression" priority="25" id="{9D4A13A1-05F5-4967-91BB-FC73016C8603}">
            <xm:f>Incentives!$E$64="NO"</xm:f>
            <x14:dxf>
              <fill>
                <patternFill>
                  <bgColor theme="0" tint="-0.24994659260841701"/>
                </patternFill>
              </fill>
            </x14:dxf>
          </x14:cfRule>
          <xm:sqref>A57:D60</xm:sqref>
        </x14:conditionalFormatting>
        <x14:conditionalFormatting xmlns:xm="http://schemas.microsoft.com/office/excel/2006/main">
          <x14:cfRule type="expression" priority="21" id="{66ECB206-6A64-45F8-A61A-C3656BDF250A}">
            <xm:f>Incentives!$I$14="Check"</xm:f>
            <x14:dxf>
              <fill>
                <patternFill>
                  <bgColor theme="4" tint="0.39994506668294322"/>
                </patternFill>
              </fill>
            </x14:dxf>
          </x14:cfRule>
          <xm:sqref>I14:L14</xm:sqref>
        </x14:conditionalFormatting>
        <x14:conditionalFormatting xmlns:xm="http://schemas.microsoft.com/office/excel/2006/main">
          <x14:cfRule type="expression" priority="19" id="{0FFE2E3A-0753-4B22-9B4A-2E4E5EF991CD}">
            <xm:f>Incentives!$I$14="Check"</xm:f>
            <x14:dxf>
              <fill>
                <patternFill>
                  <bgColor theme="4" tint="0.39994506668294322"/>
                </patternFill>
              </fill>
            </x14:dxf>
          </x14:cfRule>
          <xm:sqref>S14:V14</xm:sqref>
        </x14:conditionalFormatting>
        <x14:conditionalFormatting xmlns:xm="http://schemas.microsoft.com/office/excel/2006/main">
          <x14:cfRule type="expression" priority="20" id="{6417E367-0994-441F-96AD-D2D7352175C5}">
            <xm:f>Incentives!$I$14="Check"</xm:f>
            <x14:dxf>
              <fill>
                <patternFill>
                  <bgColor theme="4" tint="0.39994506668294322"/>
                </patternFill>
              </fill>
            </x14:dxf>
          </x14:cfRule>
          <xm:sqref>N14:Q14</xm:sqref>
        </x14:conditionalFormatting>
        <x14:conditionalFormatting xmlns:xm="http://schemas.microsoft.com/office/excel/2006/main">
          <x14:cfRule type="expression" priority="18" id="{B4DBADC9-6184-4E92-891A-38E2F8444A32}">
            <xm:f>Incentives!$I$25="Check"</xm:f>
            <x14:dxf>
              <fill>
                <patternFill>
                  <bgColor theme="4" tint="0.39994506668294322"/>
                </patternFill>
              </fill>
            </x14:dxf>
          </x14:cfRule>
          <xm:sqref>I26:L26</xm:sqref>
        </x14:conditionalFormatting>
        <x14:conditionalFormatting xmlns:xm="http://schemas.microsoft.com/office/excel/2006/main">
          <x14:cfRule type="expression" priority="17" id="{39892AE7-2233-4F0F-9627-C6244C5222CE}">
            <xm:f>Incentives!$I$36="Check"</xm:f>
            <x14:dxf>
              <fill>
                <patternFill>
                  <bgColor theme="4" tint="0.39994506668294322"/>
                </patternFill>
              </fill>
            </x14:dxf>
          </x14:cfRule>
          <xm:sqref>N26:Q26</xm:sqref>
        </x14:conditionalFormatting>
        <x14:conditionalFormatting xmlns:xm="http://schemas.microsoft.com/office/excel/2006/main">
          <x14:cfRule type="expression" priority="16" id="{F626339D-E55C-43F9-B24E-2C3013827C5C}">
            <xm:f>Incentives!$I$47="Check"</xm:f>
            <x14:dxf>
              <fill>
                <patternFill>
                  <bgColor theme="4" tint="0.39994506668294322"/>
                </patternFill>
              </fill>
            </x14:dxf>
          </x14:cfRule>
          <xm:sqref>S26:V26</xm:sqref>
        </x14:conditionalFormatting>
        <x14:conditionalFormatting xmlns:xm="http://schemas.microsoft.com/office/excel/2006/main">
          <x14:cfRule type="expression" priority="15" id="{2CC54069-093C-45D4-BE33-84E51BBBE837}">
            <xm:f>Incentives!$I$63="Check"</xm:f>
            <x14:dxf>
              <fill>
                <patternFill>
                  <bgColor theme="4" tint="0.39994506668294322"/>
                </patternFill>
              </fill>
            </x14:dxf>
          </x14:cfRule>
          <xm:sqref>N36:Q36</xm:sqref>
        </x14:conditionalFormatting>
        <x14:conditionalFormatting xmlns:xm="http://schemas.microsoft.com/office/excel/2006/main">
          <x14:cfRule type="expression" priority="14" id="{3D4E1CAF-5B04-427D-866A-00A01E7BA103}">
            <xm:f>Incentives!$I$55="Check"</xm:f>
            <x14:dxf>
              <fill>
                <patternFill>
                  <bgColor theme="8" tint="0.59996337778862885"/>
                </patternFill>
              </fill>
            </x14:dxf>
          </x14:cfRule>
          <xm:sqref>J36:K36</xm:sqref>
        </x14:conditionalFormatting>
        <x14:conditionalFormatting xmlns:xm="http://schemas.microsoft.com/office/excel/2006/main">
          <x14:cfRule type="expression" priority="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2" id="{44F50DA5-5B09-440C-AB8F-C32A62895879}">
            <xm:f>Incentives!$E$26="NO"</xm:f>
            <x14:dxf>
              <font>
                <color theme="0"/>
              </font>
              <fill>
                <patternFill patternType="none">
                  <bgColor auto="1"/>
                </patternFill>
              </fill>
            </x14:dxf>
          </x14:cfRule>
          <xm:sqref>I29:I32</xm:sqref>
        </x14:conditionalFormatting>
        <x14:conditionalFormatting xmlns:xm="http://schemas.microsoft.com/office/excel/2006/main">
          <x14:cfRule type="expression" priority="11" id="{B148EEAA-80BF-4422-82FA-2E21DB94A2C0}">
            <xm:f>Incentives!$E$26="NO"</xm:f>
            <x14:dxf>
              <font>
                <color theme="0"/>
              </font>
              <fill>
                <patternFill patternType="none">
                  <bgColor auto="1"/>
                </patternFill>
              </fill>
            </x14:dxf>
          </x14:cfRule>
          <xm:sqref>K28:L28</xm:sqref>
        </x14:conditionalFormatting>
        <x14:conditionalFormatting xmlns:xm="http://schemas.microsoft.com/office/excel/2006/main">
          <x14:cfRule type="expression" priority="10" id="{D23A59C5-2678-4098-A280-31A7462A3B30}">
            <xm:f>Incentives!$E$37="NO"</xm:f>
            <x14:dxf>
              <font>
                <color theme="0"/>
              </font>
              <fill>
                <patternFill patternType="none">
                  <bgColor auto="1"/>
                </patternFill>
              </fill>
            </x14:dxf>
          </x14:cfRule>
          <xm:sqref>P28:Q28</xm:sqref>
        </x14:conditionalFormatting>
        <x14:conditionalFormatting xmlns:xm="http://schemas.microsoft.com/office/excel/2006/main">
          <x14:cfRule type="expression" priority="9" id="{102D46B3-78AA-44B4-8F2F-4EFB85383D92}">
            <xm:f>Incentives!$E$37="NO"</xm:f>
            <x14:dxf>
              <font>
                <color theme="0"/>
              </font>
              <fill>
                <patternFill patternType="none">
                  <bgColor auto="1"/>
                </patternFill>
              </fill>
            </x14:dxf>
          </x14:cfRule>
          <xm:sqref>N29:N32</xm:sqref>
        </x14:conditionalFormatting>
        <x14:conditionalFormatting xmlns:xm="http://schemas.microsoft.com/office/excel/2006/main">
          <x14:cfRule type="expression" priority="8" id="{37F8B2A5-6E28-4166-BF34-16D442A65333}">
            <xm:f>Incentives!$E$26="NO"</xm:f>
            <x14:dxf>
              <font>
                <color theme="0"/>
              </font>
              <fill>
                <patternFill patternType="none">
                  <bgColor auto="1"/>
                </patternFill>
              </fill>
            </x14:dxf>
          </x14:cfRule>
          <xm:sqref>I28</xm:sqref>
        </x14:conditionalFormatting>
        <x14:conditionalFormatting xmlns:xm="http://schemas.microsoft.com/office/excel/2006/main">
          <x14:cfRule type="expression" priority="7" id="{03F305A5-415A-45F2-BB43-01CA890ECFAB}">
            <xm:f>Incentives!$E$37="NO"</xm:f>
            <x14:dxf>
              <font>
                <color theme="0"/>
              </font>
              <fill>
                <patternFill patternType="none">
                  <bgColor auto="1"/>
                </patternFill>
              </fill>
            </x14:dxf>
          </x14:cfRule>
          <xm:sqref>N28</xm:sqref>
        </x14:conditionalFormatting>
        <x14:conditionalFormatting xmlns:xm="http://schemas.microsoft.com/office/excel/2006/main">
          <x14:cfRule type="expression" priority="6" id="{F8CDE5E1-E7DA-4917-AC4A-C3EDE5A0AF6D}">
            <xm:f>Incentives!$E$72="No"</xm:f>
            <x14:dxf>
              <fill>
                <patternFill>
                  <bgColor theme="0" tint="-0.24994659260841701"/>
                </patternFill>
              </fill>
            </x14:dxf>
          </x14:cfRule>
          <xm:sqref>A63:D66</xm:sqref>
        </x14:conditionalFormatting>
        <x14:conditionalFormatting xmlns:xm="http://schemas.microsoft.com/office/excel/2006/main">
          <x14:cfRule type="expression" priority="5" id="{211780EF-D5C8-4705-BF83-3899DBF4B253}">
            <xm:f>Incentives!E72="No"</xm:f>
            <x14:dxf>
              <font>
                <strike/>
              </font>
            </x14:dxf>
          </x14:cfRule>
          <xm:sqref>S33:V34</xm:sqref>
        </x14:conditionalFormatting>
        <x14:conditionalFormatting xmlns:xm="http://schemas.microsoft.com/office/excel/2006/main">
          <x14:cfRule type="expression" priority="3" id="{799FA6FD-05EC-4263-AAF4-997CBC295F04}">
            <xm:f>Incentives!$I$71="Check"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2" id="{3393305D-FC1E-4CCC-8023-9A6095A5E924}">
            <xm:f>Incentives!$E$72="No"</xm:f>
            <x14:dxf>
              <font>
                <strike/>
              </font>
            </x14:dxf>
          </x14:cfRule>
          <xm:sqref>S34:V34</xm:sqref>
        </x14:conditionalFormatting>
        <x14:conditionalFormatting xmlns:xm="http://schemas.microsoft.com/office/excel/2006/main">
          <x14:cfRule type="expression" priority="1" id="{C3D22A38-E5E7-4DC7-A2BE-7EEE7BAFB7C4}">
            <xm:f>Incentives!$E$72="No"</xm:f>
            <x14:dxf>
              <font>
                <color theme="0"/>
              </font>
            </x14:dxf>
          </x14:cfRule>
          <xm:sqref>S35:V40</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pageSetUpPr fitToPage="1"/>
  </sheetPr>
  <dimension ref="A1:CN132"/>
  <sheetViews>
    <sheetView showGridLines="0" zoomScaleNormal="100" workbookViewId="0">
      <selection activeCell="BM6" sqref="BM6"/>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79"/>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82"/>
    </row>
    <row r="2" spans="2:68" ht="36" x14ac:dyDescent="0.55000000000000004">
      <c r="B2" s="1107" t="s">
        <v>755</v>
      </c>
      <c r="C2" s="1108"/>
      <c r="D2" s="1108"/>
      <c r="E2" s="1108"/>
      <c r="F2" s="1108"/>
      <c r="G2" s="1108"/>
      <c r="H2" s="1108"/>
      <c r="I2" s="1108"/>
      <c r="J2" s="1108"/>
      <c r="K2" s="1108"/>
      <c r="L2" s="1108"/>
      <c r="M2" s="1108"/>
      <c r="N2" s="1108"/>
      <c r="O2" s="1108"/>
      <c r="P2" s="1108"/>
      <c r="Q2" s="1108"/>
      <c r="R2" s="1108"/>
      <c r="S2" s="1108"/>
      <c r="T2" s="1108"/>
      <c r="U2" s="1108"/>
      <c r="V2" s="1108"/>
      <c r="W2" s="1108"/>
      <c r="X2" s="1108"/>
      <c r="Y2" s="1108"/>
      <c r="Z2" s="1108"/>
      <c r="AA2" s="1108"/>
      <c r="AB2" s="1108"/>
      <c r="AC2" s="1108"/>
      <c r="AD2" s="1108"/>
      <c r="AE2" s="1108"/>
      <c r="AF2" s="1108"/>
      <c r="AG2" s="1108"/>
      <c r="AH2" s="1108"/>
      <c r="AI2" s="1108"/>
      <c r="AJ2" s="1108"/>
      <c r="AK2" s="1108"/>
      <c r="AL2" s="1108"/>
      <c r="AM2" s="1108"/>
      <c r="AN2" s="1108"/>
      <c r="AO2" s="1108"/>
      <c r="AP2" s="1108"/>
      <c r="AQ2" s="1108"/>
      <c r="AR2" s="1108"/>
      <c r="AS2" s="1108"/>
      <c r="AT2" s="1108"/>
      <c r="AU2" s="1108"/>
      <c r="AV2" s="1108"/>
      <c r="AW2" s="1108"/>
      <c r="AX2" s="1108"/>
      <c r="AY2" s="1108"/>
      <c r="AZ2" s="1108"/>
      <c r="BA2" s="1108"/>
      <c r="BB2" s="1108"/>
      <c r="BC2" s="1108"/>
      <c r="BD2" s="1108"/>
      <c r="BE2" s="1108"/>
      <c r="BF2" s="1109"/>
    </row>
    <row r="3" spans="2:68" x14ac:dyDescent="0.25">
      <c r="B3" s="1110"/>
      <c r="C3" s="1080"/>
      <c r="D3" s="1080"/>
      <c r="E3" s="1080"/>
      <c r="F3" s="1080"/>
      <c r="G3" s="1080"/>
      <c r="H3" s="1080"/>
      <c r="I3" s="1080"/>
      <c r="J3" s="1080"/>
      <c r="K3" s="1080"/>
      <c r="L3" s="1080"/>
      <c r="M3" s="1080"/>
      <c r="N3" s="1080"/>
      <c r="O3" s="1080"/>
      <c r="P3" s="1080"/>
      <c r="Q3" s="1080"/>
      <c r="R3" s="1080"/>
      <c r="S3" s="1080"/>
      <c r="T3" s="1080"/>
      <c r="U3" s="1080"/>
      <c r="V3" s="1080"/>
      <c r="W3" s="1080"/>
      <c r="X3" s="1080"/>
      <c r="Y3" s="1080"/>
      <c r="Z3" s="1080"/>
      <c r="AA3" s="1080"/>
      <c r="AB3" s="1080"/>
      <c r="AC3" s="1080"/>
      <c r="AD3" s="1080"/>
      <c r="AE3" s="1080"/>
      <c r="AF3" s="1080"/>
      <c r="AG3" s="1080"/>
      <c r="AH3" s="1080"/>
      <c r="AI3" s="1080"/>
      <c r="AJ3" s="1080"/>
      <c r="AK3" s="1080"/>
      <c r="AL3" s="1080"/>
      <c r="AM3" s="1080"/>
      <c r="AN3" s="1080"/>
      <c r="AO3" s="1080"/>
      <c r="AP3" s="1080"/>
      <c r="AQ3" s="1080"/>
      <c r="AR3" s="1080"/>
      <c r="AS3" s="1080"/>
      <c r="AT3" s="1080"/>
      <c r="AU3" s="1080"/>
      <c r="AV3" s="1080"/>
      <c r="AW3" s="1080"/>
      <c r="AX3" s="1080"/>
      <c r="AY3" s="1080"/>
      <c r="AZ3" s="1080"/>
      <c r="BA3" s="1080"/>
      <c r="BB3" s="1080"/>
      <c r="BC3" s="1080"/>
      <c r="BD3" s="1080"/>
      <c r="BE3" s="1080"/>
      <c r="BF3" s="1111"/>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092" t="s">
        <v>680</v>
      </c>
      <c r="C8" s="1093"/>
      <c r="D8" s="1093"/>
      <c r="E8" s="1093"/>
      <c r="F8" s="1093"/>
      <c r="G8" s="1093"/>
      <c r="H8" s="1093"/>
      <c r="I8" s="1093"/>
      <c r="J8" s="1093"/>
      <c r="K8" s="1093"/>
      <c r="L8" s="1093"/>
      <c r="M8" s="1093"/>
      <c r="N8" s="1093"/>
      <c r="O8" s="1093"/>
      <c r="P8" s="1093"/>
      <c r="Q8" s="1093"/>
      <c r="R8" s="1093"/>
      <c r="S8" s="1093"/>
      <c r="T8" s="1093"/>
      <c r="U8" s="1093"/>
      <c r="V8" s="1093"/>
      <c r="W8" s="1093"/>
      <c r="X8" s="1093"/>
      <c r="Y8" s="1093"/>
      <c r="Z8" s="1093"/>
      <c r="AA8" s="1093"/>
      <c r="AB8" s="1093"/>
      <c r="AC8" s="1093"/>
      <c r="AD8" s="1093"/>
      <c r="AE8" s="1093"/>
      <c r="AF8" s="1093"/>
      <c r="AG8" s="1093"/>
      <c r="AH8" s="1093"/>
      <c r="AI8" s="1093"/>
      <c r="AJ8" s="1093"/>
      <c r="AK8" s="1093"/>
      <c r="AL8" s="1093"/>
      <c r="AM8" s="1093"/>
      <c r="AN8" s="1093"/>
      <c r="AO8" s="1093"/>
      <c r="AP8" s="1093"/>
      <c r="AQ8" s="1093"/>
      <c r="AR8" s="1093"/>
      <c r="AS8" s="1093"/>
      <c r="AT8" s="1093"/>
      <c r="AU8" s="1093"/>
      <c r="AV8" s="1093"/>
      <c r="AW8" s="1093"/>
      <c r="AX8" s="1093"/>
      <c r="AY8" s="1093"/>
      <c r="AZ8" s="1093"/>
      <c r="BA8" s="1093"/>
      <c r="BB8" s="1093"/>
      <c r="BC8" s="1093"/>
      <c r="BD8" s="1093"/>
      <c r="BE8" s="1093"/>
      <c r="BF8" s="1094"/>
    </row>
    <row r="9" spans="2:68" x14ac:dyDescent="0.25">
      <c r="B9" s="789"/>
      <c r="C9" s="305"/>
      <c r="D9" s="305"/>
      <c r="E9" s="305"/>
      <c r="F9" s="305"/>
      <c r="G9" s="305"/>
      <c r="H9" s="305"/>
      <c r="I9" s="305"/>
      <c r="J9" s="305"/>
      <c r="K9" s="305"/>
      <c r="L9" s="305"/>
      <c r="M9" s="305"/>
      <c r="N9" s="305"/>
      <c r="O9" s="305"/>
      <c r="P9" s="305"/>
      <c r="Q9" s="305"/>
      <c r="R9" s="305"/>
      <c r="S9" s="305"/>
      <c r="T9" s="305"/>
      <c r="U9" s="305"/>
      <c r="V9" s="305"/>
      <c r="W9" s="305"/>
      <c r="X9" s="305"/>
      <c r="Y9" s="305"/>
      <c r="Z9" s="305"/>
      <c r="AA9" s="305"/>
      <c r="AB9" s="305"/>
      <c r="AC9" s="305"/>
      <c r="AD9" s="305"/>
      <c r="AE9" s="305"/>
      <c r="AF9" s="305"/>
      <c r="AG9" s="305"/>
      <c r="AH9" s="305"/>
      <c r="AI9" s="305"/>
      <c r="AJ9" s="305"/>
      <c r="AK9" s="305"/>
      <c r="AL9" s="301"/>
      <c r="AM9" s="301"/>
      <c r="AN9" s="301"/>
      <c r="AO9" s="301"/>
      <c r="AP9" s="301"/>
      <c r="AQ9" s="301"/>
      <c r="AR9" s="301"/>
      <c r="AS9" s="301"/>
      <c r="AT9" s="301"/>
      <c r="AU9" s="301"/>
      <c r="AV9" s="301"/>
      <c r="AW9" s="301"/>
      <c r="AX9" s="301"/>
      <c r="AY9" s="301"/>
      <c r="AZ9" s="301"/>
      <c r="BA9" s="301"/>
      <c r="BB9" s="301"/>
      <c r="BC9" s="305"/>
      <c r="BD9" s="305"/>
      <c r="BE9" s="305"/>
      <c r="BF9" s="790"/>
    </row>
    <row r="10" spans="2:68" x14ac:dyDescent="0.25">
      <c r="B10" s="1086" t="s">
        <v>924</v>
      </c>
      <c r="C10" s="991"/>
      <c r="D10" s="991"/>
      <c r="E10" s="991"/>
      <c r="F10" s="991"/>
      <c r="G10" s="991"/>
      <c r="H10" s="991"/>
      <c r="I10" s="991"/>
      <c r="J10" s="991"/>
      <c r="K10" s="1087">
        <f>'Tracking &amp; Profitability'!$H$5</f>
        <v>0</v>
      </c>
      <c r="L10" s="1087"/>
      <c r="M10" s="1087"/>
      <c r="N10" s="1087"/>
      <c r="O10" s="1087"/>
      <c r="P10" s="1087"/>
      <c r="Q10" s="1087"/>
      <c r="R10" s="1087"/>
      <c r="S10" s="1087"/>
      <c r="T10" s="1087"/>
      <c r="U10" s="1087"/>
      <c r="V10" s="1087"/>
      <c r="W10" s="1087"/>
      <c r="X10" s="1087"/>
      <c r="Y10" s="1087"/>
      <c r="Z10" s="1087"/>
      <c r="AA10" s="1087"/>
      <c r="AB10" s="1087"/>
      <c r="AC10" s="1087"/>
      <c r="AD10" s="1087"/>
      <c r="AE10" s="1087"/>
      <c r="AI10" s="991" t="s">
        <v>754</v>
      </c>
      <c r="AJ10" s="991"/>
      <c r="AK10" s="991"/>
      <c r="AL10" s="991"/>
      <c r="AM10" s="991"/>
      <c r="AN10" s="991"/>
      <c r="AO10" s="991"/>
      <c r="AP10" s="991"/>
      <c r="AQ10" s="991"/>
      <c r="AR10" s="991"/>
      <c r="AT10" s="1102"/>
      <c r="AU10" s="1102"/>
      <c r="AV10" s="1102"/>
      <c r="AW10" s="1102"/>
      <c r="AX10" s="1102"/>
      <c r="AY10" s="1102"/>
      <c r="AZ10" s="1102"/>
      <c r="BA10" s="1102"/>
      <c r="BB10" s="1102"/>
      <c r="BC10" s="1102"/>
      <c r="BD10" s="1102"/>
      <c r="BF10" s="145"/>
    </row>
    <row r="11" spans="2:68" x14ac:dyDescent="0.25">
      <c r="B11" s="144"/>
      <c r="AL11" s="2"/>
      <c r="AM11" s="2"/>
      <c r="AN11" s="2"/>
      <c r="AO11" s="2"/>
      <c r="AP11" s="2"/>
      <c r="AQ11" s="2"/>
      <c r="AR11" s="2"/>
      <c r="AS11" s="2"/>
      <c r="AT11" s="2"/>
      <c r="AU11" s="2"/>
      <c r="AV11" s="2"/>
      <c r="BF11" s="145"/>
    </row>
    <row r="12" spans="2:68" x14ac:dyDescent="0.25">
      <c r="B12" s="1088" t="s">
        <v>925</v>
      </c>
      <c r="C12" s="1084"/>
      <c r="D12" s="1084"/>
      <c r="E12" s="1084"/>
      <c r="F12" s="1084"/>
      <c r="G12" s="1084"/>
      <c r="H12" s="1084"/>
      <c r="I12" s="1084"/>
      <c r="J12" s="1084"/>
      <c r="K12" s="1063">
        <f>'Required Info to Submit'!$F$4</f>
        <v>0</v>
      </c>
      <c r="L12" s="1063"/>
      <c r="M12" s="1063"/>
      <c r="N12" s="1063"/>
      <c r="O12" s="1063"/>
      <c r="P12" s="1063"/>
      <c r="Q12" s="1063"/>
      <c r="R12" s="1063"/>
      <c r="S12" s="1063"/>
      <c r="T12" s="1063"/>
      <c r="U12" s="1063"/>
      <c r="V12" s="1063"/>
      <c r="W12" s="1063"/>
      <c r="X12" s="1063"/>
      <c r="Y12" s="1063"/>
      <c r="Z12" s="1063"/>
      <c r="AA12" s="1063"/>
      <c r="AB12" s="1063"/>
      <c r="AC12" s="1063"/>
      <c r="AD12" s="1063"/>
      <c r="AE12" s="1063"/>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088" t="s">
        <v>949</v>
      </c>
      <c r="C14" s="1084"/>
      <c r="D14" s="1084"/>
      <c r="E14" s="1084"/>
      <c r="F14" s="1084"/>
      <c r="G14" s="1084"/>
      <c r="H14" s="1084"/>
      <c r="I14" s="1084"/>
      <c r="J14" s="1084"/>
      <c r="K14" s="1084"/>
      <c r="L14" s="1084"/>
      <c r="M14" s="1084"/>
      <c r="N14" s="1084"/>
      <c r="O14" s="1084"/>
      <c r="P14" s="1084"/>
      <c r="Q14" s="1084"/>
      <c r="R14" s="1087">
        <f>'Required Info to Submit'!$F$6</f>
        <v>0</v>
      </c>
      <c r="S14" s="1087"/>
      <c r="T14" s="1087"/>
      <c r="U14" s="1087"/>
      <c r="V14" s="1087"/>
      <c r="W14" s="1087"/>
      <c r="X14" s="1087"/>
      <c r="Y14" s="1087"/>
      <c r="Z14" s="1087"/>
      <c r="AA14" s="1087"/>
      <c r="AB14" s="1087"/>
      <c r="AC14" s="1087"/>
      <c r="AD14" s="1087"/>
      <c r="AE14" s="1087"/>
      <c r="AF14" s="1087"/>
      <c r="AG14" s="1087"/>
      <c r="AH14" s="1087"/>
      <c r="AI14" s="1087"/>
      <c r="AJ14" s="1087"/>
      <c r="AK14" s="1087"/>
      <c r="AL14" s="1087"/>
      <c r="AM14" s="1087"/>
      <c r="AN14" s="1087"/>
      <c r="AO14" s="1087"/>
      <c r="AP14" s="1087"/>
      <c r="AQ14" s="1087"/>
      <c r="AR14" s="1087"/>
      <c r="AS14" s="1087"/>
      <c r="AT14" s="1087"/>
      <c r="AU14" s="1087"/>
      <c r="AV14" s="1087"/>
      <c r="AW14" s="1087"/>
      <c r="AX14" s="1087"/>
      <c r="AY14" s="1087"/>
      <c r="AZ14" s="1087"/>
      <c r="BA14" s="1087"/>
      <c r="BB14" s="1087"/>
      <c r="BC14" s="1087"/>
      <c r="BD14" s="1087"/>
      <c r="BF14" s="145"/>
    </row>
    <row r="15" spans="2:68" x14ac:dyDescent="0.25">
      <c r="B15" s="719"/>
      <c r="C15" s="141"/>
      <c r="D15" s="141"/>
      <c r="E15" s="141"/>
      <c r="F15" s="141"/>
      <c r="G15" s="141"/>
      <c r="H15" s="141"/>
      <c r="I15" s="141"/>
      <c r="J15" s="141"/>
      <c r="K15" s="141"/>
      <c r="L15" s="141"/>
      <c r="M15" s="141"/>
      <c r="N15" s="141"/>
      <c r="O15" s="141"/>
      <c r="P15" s="141"/>
      <c r="Q15" s="141"/>
      <c r="BF15" s="145"/>
    </row>
    <row r="16" spans="2:68" x14ac:dyDescent="0.25">
      <c r="B16" s="1088" t="s">
        <v>753</v>
      </c>
      <c r="C16" s="1084"/>
      <c r="D16" s="1084"/>
      <c r="E16" s="1084"/>
      <c r="F16" s="1084"/>
      <c r="G16" s="1084"/>
      <c r="H16" s="1084"/>
      <c r="I16" s="1084"/>
      <c r="J16" s="1084"/>
      <c r="K16" s="1084"/>
      <c r="L16" s="1084"/>
      <c r="M16" s="1084"/>
      <c r="N16" s="1084"/>
      <c r="O16" s="1084"/>
      <c r="P16" s="1084"/>
      <c r="Q16" s="1084"/>
      <c r="R16" s="1063" t="s">
        <v>248</v>
      </c>
      <c r="S16" s="1063"/>
      <c r="T16" s="1080" t="s">
        <v>681</v>
      </c>
      <c r="U16" s="1080"/>
      <c r="V16" s="1080"/>
      <c r="W16" s="1080"/>
      <c r="X16" s="1080"/>
      <c r="Y16" s="1080"/>
      <c r="Z16" s="1080"/>
      <c r="AA16" s="1080"/>
      <c r="AB16" s="1080"/>
      <c r="AC16" s="1080"/>
      <c r="AD16" s="1080"/>
      <c r="AE16" s="1080"/>
      <c r="AF16" s="1080"/>
      <c r="AG16" s="1080"/>
      <c r="AH16" s="1080"/>
      <c r="AI16" s="1080"/>
      <c r="AJ16" s="1080"/>
      <c r="AK16" s="1080"/>
      <c r="AL16" s="1080"/>
      <c r="AO16" s="1080"/>
      <c r="AP16" s="1080"/>
      <c r="BF16" s="145"/>
      <c r="BP16" s="307"/>
    </row>
    <row r="17" spans="2:68" x14ac:dyDescent="0.25">
      <c r="B17" s="719"/>
      <c r="C17" s="141"/>
      <c r="D17" s="141"/>
      <c r="E17" s="141"/>
      <c r="F17" s="141"/>
      <c r="G17" s="141"/>
      <c r="H17" s="141"/>
      <c r="I17" s="141"/>
      <c r="J17" s="141"/>
      <c r="K17" s="141"/>
      <c r="L17" s="141"/>
      <c r="M17" s="141"/>
      <c r="N17" s="141"/>
      <c r="O17" s="141"/>
      <c r="P17" s="141"/>
      <c r="Q17" s="141"/>
      <c r="BF17" s="145"/>
    </row>
    <row r="18" spans="2:68" x14ac:dyDescent="0.25">
      <c r="B18" s="1098" t="s">
        <v>918</v>
      </c>
      <c r="C18" s="1099"/>
      <c r="D18" s="1099"/>
      <c r="E18" s="1099"/>
      <c r="F18" s="1099"/>
      <c r="G18" s="1099"/>
      <c r="H18" s="1099"/>
      <c r="I18" s="1099"/>
      <c r="J18" s="1099"/>
      <c r="K18" s="1099"/>
      <c r="L18" s="1099"/>
      <c r="M18" s="1099"/>
      <c r="N18" s="1099"/>
      <c r="O18" s="1099"/>
      <c r="P18" s="1099"/>
      <c r="Q18" s="1099"/>
      <c r="R18" s="1087">
        <f>'Required Info to Submit'!$F$8</f>
        <v>0</v>
      </c>
      <c r="S18" s="1087"/>
      <c r="T18" s="1087"/>
      <c r="U18" s="1087"/>
      <c r="V18" s="1087"/>
      <c r="W18" s="1087"/>
      <c r="X18" s="1087"/>
      <c r="Y18" s="1087"/>
      <c r="Z18" s="1087"/>
      <c r="AA18" s="1087"/>
      <c r="AB18" s="1087"/>
      <c r="AC18" s="1087"/>
      <c r="AD18" s="1087"/>
      <c r="AE18" s="1087"/>
      <c r="AF18" s="1087"/>
      <c r="AG18" s="1087"/>
      <c r="AH18" s="1087"/>
      <c r="AI18" s="1087"/>
      <c r="AJ18" s="1087"/>
      <c r="AK18" s="1087"/>
      <c r="AL18" s="1087"/>
      <c r="AN18" s="1084" t="s">
        <v>920</v>
      </c>
      <c r="AO18" s="1084"/>
      <c r="AP18" s="1084"/>
      <c r="AQ18" s="1084"/>
      <c r="AR18" s="1084"/>
      <c r="AS18" s="1084"/>
      <c r="AT18" s="1084"/>
      <c r="AU18" s="1084"/>
      <c r="AV18" s="1087">
        <f>'Required Info to Submit'!F10</f>
        <v>0</v>
      </c>
      <c r="AW18" s="1087"/>
      <c r="AX18" s="1087"/>
      <c r="AY18" s="1087"/>
      <c r="AZ18" s="1087"/>
      <c r="BA18" s="1087"/>
      <c r="BB18" s="1087"/>
      <c r="BC18" s="1087"/>
      <c r="BD18" s="1087"/>
      <c r="BF18" s="145"/>
      <c r="BP18" s="307"/>
    </row>
    <row r="19" spans="2:68" x14ac:dyDescent="0.25">
      <c r="B19" s="719"/>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088" t="s">
        <v>919</v>
      </c>
      <c r="C20" s="1084"/>
      <c r="D20" s="1084"/>
      <c r="E20" s="1084"/>
      <c r="F20" s="1084"/>
      <c r="G20" s="1084"/>
      <c r="H20" s="1084"/>
      <c r="I20" s="1084"/>
      <c r="J20" s="1084"/>
      <c r="K20" s="1084"/>
      <c r="L20" s="1084"/>
      <c r="M20" s="1084"/>
      <c r="N20" s="1084"/>
      <c r="O20" s="1084"/>
      <c r="P20" s="1084"/>
      <c r="Q20" s="1084"/>
      <c r="R20" s="1087">
        <f>'Required Info to Submit'!F9</f>
        <v>0</v>
      </c>
      <c r="S20" s="1087"/>
      <c r="T20" s="1087"/>
      <c r="U20" s="1087"/>
      <c r="V20" s="1087"/>
      <c r="W20" s="1087"/>
      <c r="X20" s="1087"/>
      <c r="Y20" s="1087"/>
      <c r="Z20" s="1087"/>
      <c r="AA20" s="1087"/>
      <c r="AB20" s="1087"/>
      <c r="AC20" s="1087"/>
      <c r="AD20" s="1087"/>
      <c r="AE20" s="1087"/>
      <c r="AF20" s="1087"/>
      <c r="AG20" s="1087"/>
      <c r="AH20" s="1087"/>
      <c r="AI20" s="1087"/>
      <c r="AJ20" s="1087"/>
      <c r="AK20" s="1087"/>
      <c r="AL20" s="1087"/>
      <c r="AN20" s="1084" t="s">
        <v>870</v>
      </c>
      <c r="AO20" s="1084"/>
      <c r="AP20" s="1084"/>
      <c r="AQ20" s="1084"/>
      <c r="AR20" s="1084"/>
      <c r="AS20" s="1084"/>
      <c r="AT20" s="1084"/>
      <c r="AU20" s="1084"/>
      <c r="AV20" s="1087">
        <f>'Required Info to Submit'!F11</f>
        <v>0</v>
      </c>
      <c r="AW20" s="1087"/>
      <c r="AX20" s="1087"/>
      <c r="AY20" s="1087"/>
      <c r="AZ20" s="1087"/>
      <c r="BA20" s="1087"/>
      <c r="BB20" s="1087"/>
      <c r="BC20" s="1087"/>
      <c r="BD20" s="1087"/>
      <c r="BF20" s="145"/>
      <c r="BP20" s="307"/>
    </row>
    <row r="21" spans="2:68" x14ac:dyDescent="0.25">
      <c r="B21" s="719"/>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088" t="s">
        <v>921</v>
      </c>
      <c r="C22" s="1084"/>
      <c r="D22" s="1084"/>
      <c r="E22" s="1084"/>
      <c r="F22" s="1084"/>
      <c r="G22" s="1084"/>
      <c r="H22" s="1084"/>
      <c r="I22" s="1084"/>
      <c r="J22" s="1084"/>
      <c r="K22" s="1084"/>
      <c r="L22" s="1084"/>
      <c r="M22" s="1084"/>
      <c r="N22" s="1084"/>
      <c r="O22" s="1084"/>
      <c r="P22" s="1084"/>
      <c r="Q22" s="1084"/>
      <c r="R22" s="1087">
        <f>'Required Info to Submit'!F12</f>
        <v>0</v>
      </c>
      <c r="S22" s="1087"/>
      <c r="T22" s="1087"/>
      <c r="U22" s="1087"/>
      <c r="V22" s="1087"/>
      <c r="W22" s="1087"/>
      <c r="X22" s="1087"/>
      <c r="Y22" s="1087"/>
      <c r="Z22" s="1087"/>
      <c r="AA22" s="1087"/>
      <c r="AB22" s="1087"/>
      <c r="AC22" s="1087"/>
      <c r="AD22" s="1087"/>
      <c r="AE22" s="1087"/>
      <c r="AF22" s="1087"/>
      <c r="AG22" s="1087"/>
      <c r="AH22" s="1087"/>
      <c r="AI22" s="1087"/>
      <c r="AJ22" s="1087"/>
      <c r="AK22" s="1087"/>
      <c r="AL22" s="1087"/>
      <c r="AN22" s="1084"/>
      <c r="AO22" s="1084"/>
      <c r="AP22" s="1084"/>
      <c r="AQ22" s="1084"/>
      <c r="AR22" s="1084"/>
      <c r="AS22" s="1084"/>
      <c r="AT22" s="1084"/>
      <c r="AU22" s="1084"/>
      <c r="AV22" s="1100"/>
      <c r="AW22" s="1100"/>
      <c r="AX22" s="1100"/>
      <c r="AY22" s="1100"/>
      <c r="AZ22" s="1100"/>
      <c r="BA22" s="1100"/>
      <c r="BB22" s="1100"/>
      <c r="BC22" s="1100"/>
      <c r="BD22" s="1100"/>
      <c r="BF22" s="145"/>
      <c r="BP22" s="307"/>
    </row>
    <row r="23" spans="2:68" x14ac:dyDescent="0.25">
      <c r="B23" s="719"/>
      <c r="C23" s="141"/>
      <c r="D23" s="141"/>
      <c r="E23" s="141"/>
      <c r="F23" s="141"/>
      <c r="G23" s="141"/>
      <c r="H23" s="141"/>
      <c r="I23" s="141"/>
      <c r="J23" s="141"/>
      <c r="K23" s="141"/>
      <c r="L23" s="141"/>
      <c r="M23" s="141"/>
      <c r="N23" s="141"/>
      <c r="O23" s="141"/>
      <c r="P23" s="141"/>
      <c r="Q23" s="141"/>
      <c r="BF23" s="145"/>
    </row>
    <row r="24" spans="2:68" x14ac:dyDescent="0.25">
      <c r="B24" s="1088" t="s">
        <v>922</v>
      </c>
      <c r="C24" s="1084"/>
      <c r="D24" s="1084"/>
      <c r="E24" s="1084"/>
      <c r="F24" s="1084"/>
      <c r="G24" s="1084"/>
      <c r="H24" s="1084"/>
      <c r="I24" s="1084"/>
      <c r="J24" s="1084"/>
      <c r="K24" s="1084"/>
      <c r="L24" s="1084"/>
      <c r="M24" s="1084"/>
      <c r="N24" s="1084"/>
      <c r="O24" s="1084"/>
      <c r="P24" s="1084"/>
      <c r="Q24" s="1084"/>
      <c r="R24" s="1096">
        <f>'Required Info to Submit'!$F$14</f>
        <v>0</v>
      </c>
      <c r="S24" s="1096"/>
      <c r="T24" s="1096"/>
      <c r="U24" s="1096"/>
      <c r="V24" s="1096"/>
      <c r="W24" s="1096"/>
      <c r="X24" s="1096"/>
      <c r="Y24" s="1096"/>
      <c r="Z24" s="1096"/>
      <c r="AA24" s="1096"/>
      <c r="AB24" s="1096"/>
      <c r="AC24" s="1096"/>
      <c r="AN24" s="991" t="s">
        <v>926</v>
      </c>
      <c r="AO24" s="991"/>
      <c r="AP24" s="991"/>
      <c r="AQ24" s="991"/>
      <c r="AR24" s="991"/>
      <c r="AS24" s="991"/>
      <c r="AT24" s="991"/>
      <c r="AU24" s="991"/>
      <c r="AV24" s="1101" t="e">
        <f>'Incentive Setup'!$S$4</f>
        <v>#VALUE!</v>
      </c>
      <c r="AW24" s="1101"/>
      <c r="AX24" s="1101"/>
      <c r="AY24" s="1101"/>
      <c r="AZ24" s="1101"/>
      <c r="BA24" s="1101"/>
      <c r="BB24" s="1101"/>
      <c r="BC24" s="1101"/>
      <c r="BD24" s="1101"/>
      <c r="BF24" s="145"/>
    </row>
    <row r="25" spans="2:68" ht="17.25" x14ac:dyDescent="0.25">
      <c r="B25" s="144"/>
      <c r="C25" s="308"/>
      <c r="D25" s="308"/>
      <c r="E25" s="308"/>
      <c r="F25" s="308"/>
      <c r="G25" s="308"/>
      <c r="H25" s="1095" t="s">
        <v>752</v>
      </c>
      <c r="I25" s="1095"/>
      <c r="J25" s="1095"/>
      <c r="K25" s="1095"/>
      <c r="L25" s="1095"/>
      <c r="M25" s="1095"/>
      <c r="N25" s="1095"/>
      <c r="O25" s="1095"/>
      <c r="P25" s="1095"/>
      <c r="Q25" s="308"/>
      <c r="AN25" s="1095" t="s">
        <v>751</v>
      </c>
      <c r="AO25" s="1095"/>
      <c r="AP25" s="1095"/>
      <c r="AQ25" s="1095"/>
      <c r="AR25" s="1095"/>
      <c r="AS25" s="1095"/>
      <c r="AT25" s="1095"/>
      <c r="BF25" s="145"/>
    </row>
    <row r="26" spans="2:68" ht="18.75" x14ac:dyDescent="0.3">
      <c r="B26" s="1092" t="s">
        <v>686</v>
      </c>
      <c r="C26" s="1093"/>
      <c r="D26" s="1093"/>
      <c r="E26" s="1093"/>
      <c r="F26" s="1093"/>
      <c r="G26" s="1093"/>
      <c r="H26" s="1093"/>
      <c r="I26" s="1093"/>
      <c r="J26" s="1093"/>
      <c r="K26" s="1093"/>
      <c r="L26" s="1093"/>
      <c r="M26" s="1093"/>
      <c r="N26" s="1093"/>
      <c r="O26" s="1093"/>
      <c r="P26" s="1093"/>
      <c r="Q26" s="1093"/>
      <c r="R26" s="1093"/>
      <c r="S26" s="1093"/>
      <c r="T26" s="1093"/>
      <c r="U26" s="1093"/>
      <c r="V26" s="1093"/>
      <c r="W26" s="1093"/>
      <c r="X26" s="1093"/>
      <c r="Y26" s="1093"/>
      <c r="Z26" s="1093"/>
      <c r="AA26" s="1093"/>
      <c r="AB26" s="1093"/>
      <c r="AC26" s="1093"/>
      <c r="AD26" s="1093"/>
      <c r="AE26" s="1093"/>
      <c r="AF26" s="1093"/>
      <c r="AG26" s="1093"/>
      <c r="AH26" s="1093"/>
      <c r="AI26" s="1093"/>
      <c r="AJ26" s="1093"/>
      <c r="AK26" s="1093"/>
      <c r="AL26" s="1093"/>
      <c r="AM26" s="1093"/>
      <c r="AN26" s="1093"/>
      <c r="AO26" s="1093"/>
      <c r="AP26" s="1093"/>
      <c r="AQ26" s="1093"/>
      <c r="AR26" s="1093"/>
      <c r="AS26" s="1093"/>
      <c r="AT26" s="1093"/>
      <c r="AU26" s="1093"/>
      <c r="AV26" s="1093"/>
      <c r="AW26" s="1093"/>
      <c r="AX26" s="1093"/>
      <c r="AY26" s="1093"/>
      <c r="AZ26" s="1093"/>
      <c r="BA26" s="1093"/>
      <c r="BB26" s="1093"/>
      <c r="BC26" s="1093"/>
      <c r="BD26" s="1093"/>
      <c r="BE26" s="1093"/>
      <c r="BF26" s="1094"/>
      <c r="BP26" s="307"/>
    </row>
    <row r="27" spans="2:68" x14ac:dyDescent="0.25">
      <c r="B27" s="712"/>
      <c r="C27" s="301"/>
      <c r="D27" s="301"/>
      <c r="E27" s="301"/>
      <c r="F27" s="301"/>
      <c r="G27" s="301"/>
      <c r="H27" s="301"/>
      <c r="I27" s="301"/>
      <c r="J27" s="301"/>
      <c r="K27" s="301"/>
      <c r="L27" s="301"/>
      <c r="M27" s="301"/>
      <c r="N27" s="301"/>
      <c r="O27" s="301"/>
      <c r="P27" s="301"/>
      <c r="Q27" s="301"/>
      <c r="R27" s="301"/>
      <c r="S27" s="301"/>
      <c r="T27" s="301"/>
      <c r="U27" s="301"/>
      <c r="V27" s="301"/>
      <c r="W27" s="301"/>
      <c r="X27" s="301"/>
      <c r="Y27" s="301"/>
      <c r="Z27" s="301"/>
      <c r="AA27" s="301"/>
      <c r="AB27" s="301"/>
      <c r="AC27" s="301"/>
      <c r="AD27" s="301"/>
      <c r="AE27" s="301"/>
      <c r="AF27" s="301"/>
      <c r="AG27" s="301"/>
      <c r="AH27" s="301"/>
      <c r="AI27" s="301"/>
      <c r="AJ27" s="301"/>
      <c r="AK27" s="301"/>
      <c r="AL27" s="301"/>
      <c r="AM27" s="301"/>
      <c r="AN27" s="301"/>
      <c r="AO27" s="301"/>
      <c r="AP27" s="301"/>
      <c r="AQ27" s="301"/>
      <c r="AR27" s="301"/>
      <c r="AS27" s="301"/>
      <c r="AT27" s="301"/>
      <c r="AU27" s="301"/>
      <c r="AV27" s="301"/>
      <c r="AW27" s="301"/>
      <c r="AX27" s="301"/>
      <c r="AY27" s="301"/>
      <c r="AZ27" s="301"/>
      <c r="BA27" s="301"/>
      <c r="BB27" s="301"/>
      <c r="BC27" s="301"/>
      <c r="BD27" s="301"/>
      <c r="BE27" s="301"/>
      <c r="BF27" s="713"/>
    </row>
    <row r="28" spans="2:68" x14ac:dyDescent="0.25">
      <c r="B28" s="1086" t="s">
        <v>687</v>
      </c>
      <c r="C28" s="991"/>
      <c r="D28" s="991"/>
      <c r="E28" s="991"/>
      <c r="F28" s="991"/>
      <c r="G28" s="991"/>
      <c r="H28" s="991"/>
      <c r="I28" s="991"/>
      <c r="J28" s="991"/>
      <c r="K28" s="991"/>
      <c r="L28" s="991"/>
      <c r="M28" s="991"/>
      <c r="N28" s="991"/>
      <c r="O28" s="991"/>
      <c r="P28" s="991"/>
      <c r="Q28" s="991"/>
      <c r="T28" s="1089">
        <f>'Tracking &amp; Profitability'!$E$6</f>
        <v>0</v>
      </c>
      <c r="U28" s="1089"/>
      <c r="V28" s="1089"/>
      <c r="W28" s="1089"/>
      <c r="X28" s="1089"/>
      <c r="Y28" s="1089"/>
      <c r="Z28" s="1089"/>
      <c r="AA28" s="1089"/>
      <c r="AB28" s="1089"/>
      <c r="AF28" t="s">
        <v>750</v>
      </c>
      <c r="AO28" s="1063">
        <v>5</v>
      </c>
      <c r="AP28" s="1063"/>
      <c r="AQ28" s="1063"/>
      <c r="AR28" s="1080" t="s">
        <v>688</v>
      </c>
      <c r="AS28" s="1080"/>
      <c r="AU28" s="1063">
        <v>5</v>
      </c>
      <c r="AV28" s="1063"/>
      <c r="AW28" s="1063"/>
      <c r="AX28" s="1080" t="s">
        <v>749</v>
      </c>
      <c r="AY28" s="1080"/>
      <c r="BA28" s="1063">
        <v>5</v>
      </c>
      <c r="BB28" s="1063"/>
      <c r="BC28" s="1063"/>
      <c r="BD28" s="1080" t="s">
        <v>689</v>
      </c>
      <c r="BE28" s="1080"/>
      <c r="BF28" s="145"/>
    </row>
    <row r="29" spans="2:68" ht="17.25" x14ac:dyDescent="0.25">
      <c r="B29" s="144"/>
      <c r="T29" s="141"/>
      <c r="U29" s="141"/>
      <c r="V29" s="141"/>
      <c r="W29" s="141"/>
      <c r="X29" s="141"/>
      <c r="Y29" s="141"/>
      <c r="Z29" s="141"/>
      <c r="AA29" s="141"/>
      <c r="AB29" s="141"/>
      <c r="AF29" s="1095" t="s">
        <v>748</v>
      </c>
      <c r="AG29" s="1095"/>
      <c r="AH29" s="1095"/>
      <c r="AI29" s="1095"/>
      <c r="AJ29" s="1095"/>
      <c r="AK29" s="1095"/>
      <c r="AL29" s="1095"/>
      <c r="AM29" s="1095"/>
      <c r="AN29" s="1095"/>
      <c r="AO29" s="1095"/>
      <c r="AP29" s="1095"/>
      <c r="AQ29" s="1095"/>
      <c r="AR29" s="1095"/>
      <c r="AS29" s="1095"/>
      <c r="AT29" s="1095"/>
      <c r="AU29" s="1095"/>
      <c r="AV29" s="1095"/>
      <c r="AW29" s="1095"/>
      <c r="AX29" s="1095"/>
      <c r="AY29" s="1095"/>
      <c r="AZ29" s="1095"/>
      <c r="BA29" s="1095"/>
      <c r="BB29" s="1095"/>
      <c r="BC29" s="1095"/>
      <c r="BD29" s="1095"/>
      <c r="BE29" s="1095"/>
      <c r="BF29" s="145"/>
    </row>
    <row r="30" spans="2:68" x14ac:dyDescent="0.25">
      <c r="B30" s="1086" t="s">
        <v>745</v>
      </c>
      <c r="C30" s="991"/>
      <c r="D30" s="991"/>
      <c r="E30" s="991"/>
      <c r="F30" s="991"/>
      <c r="G30" s="991"/>
      <c r="H30" s="991"/>
      <c r="I30" s="991"/>
      <c r="J30" s="991"/>
      <c r="K30" s="991"/>
      <c r="L30" s="991"/>
      <c r="M30" s="991"/>
      <c r="N30" s="991"/>
      <c r="O30" s="991"/>
      <c r="P30" s="991"/>
      <c r="Q30" s="991"/>
      <c r="T30" s="1091">
        <v>1</v>
      </c>
      <c r="U30" s="1091"/>
      <c r="V30" s="1091"/>
      <c r="W30" s="1091"/>
      <c r="AF30" s="1004" t="s">
        <v>747</v>
      </c>
      <c r="AG30" s="1004"/>
      <c r="AH30" s="1004"/>
      <c r="AI30" s="1004"/>
      <c r="AJ30" s="1004"/>
      <c r="AK30" s="1004"/>
      <c r="AL30" s="1004"/>
      <c r="AM30" s="1004"/>
      <c r="AN30" s="1004"/>
      <c r="AO30" s="1004"/>
      <c r="AP30" s="1063" t="s">
        <v>1106</v>
      </c>
      <c r="AQ30" s="1063"/>
      <c r="AR30" s="1063"/>
      <c r="AT30" s="1004" t="s">
        <v>746</v>
      </c>
      <c r="AU30" s="1004"/>
      <c r="AV30" s="1004"/>
      <c r="AW30" s="1004"/>
      <c r="AX30" s="1004"/>
      <c r="AY30" s="1004"/>
      <c r="AZ30" s="1004"/>
      <c r="BA30" s="1004"/>
      <c r="BB30" s="1004"/>
      <c r="BC30" s="1004"/>
      <c r="BF30" s="145"/>
    </row>
    <row r="31" spans="2:68" x14ac:dyDescent="0.25">
      <c r="B31" s="144"/>
      <c r="BF31" s="145"/>
      <c r="BP31" s="307"/>
    </row>
    <row r="32" spans="2:68" x14ac:dyDescent="0.25">
      <c r="B32" s="1086" t="s">
        <v>742</v>
      </c>
      <c r="C32" s="991"/>
      <c r="D32" s="991"/>
      <c r="E32" s="991"/>
      <c r="F32" s="991"/>
      <c r="G32" s="991"/>
      <c r="H32" s="991"/>
      <c r="I32" s="991"/>
      <c r="J32" s="991"/>
      <c r="K32" s="991"/>
      <c r="L32" s="991"/>
      <c r="M32" s="991"/>
      <c r="N32" s="991"/>
      <c r="O32" s="991"/>
      <c r="P32" s="991"/>
      <c r="Q32" s="991"/>
      <c r="T32" s="1097" t="s">
        <v>1078</v>
      </c>
      <c r="U32" s="1097"/>
      <c r="V32" s="1097"/>
      <c r="W32" s="1097"/>
      <c r="X32" s="1097"/>
      <c r="Y32" s="1097"/>
      <c r="Z32" s="1097"/>
      <c r="AA32" s="1097"/>
      <c r="AB32" s="1097"/>
      <c r="AC32" s="1097"/>
      <c r="AD32" s="1097"/>
      <c r="AE32" s="1097"/>
      <c r="AF32" s="1097"/>
      <c r="AG32" s="1097"/>
      <c r="AH32" s="1097"/>
      <c r="AI32" s="1097"/>
      <c r="AJ32" s="1097"/>
      <c r="AK32" s="1097"/>
      <c r="AL32" s="1097"/>
      <c r="AM32" s="1097"/>
      <c r="AN32" s="1097"/>
      <c r="AO32" s="1097"/>
      <c r="BF32" s="145"/>
    </row>
    <row r="33" spans="2:92" x14ac:dyDescent="0.25">
      <c r="B33" s="144"/>
      <c r="BF33" s="145"/>
    </row>
    <row r="34" spans="2:92" x14ac:dyDescent="0.25">
      <c r="B34" s="144"/>
      <c r="C34" s="89"/>
      <c r="D34" s="89"/>
      <c r="E34" s="89"/>
      <c r="F34" s="89"/>
      <c r="G34" s="89"/>
      <c r="H34" s="89"/>
      <c r="I34" s="1063"/>
      <c r="J34" s="1063"/>
      <c r="K34" s="1080" t="s">
        <v>499</v>
      </c>
      <c r="L34" s="1080"/>
      <c r="M34" s="1080"/>
      <c r="N34" s="1080"/>
      <c r="O34" s="1080"/>
      <c r="P34" s="1080"/>
      <c r="Q34" s="1080"/>
      <c r="R34" s="1063" t="s">
        <v>248</v>
      </c>
      <c r="S34" s="1063"/>
      <c r="T34" s="1080" t="s">
        <v>498</v>
      </c>
      <c r="U34" s="1080"/>
      <c r="V34" s="1080"/>
      <c r="W34" s="1080"/>
      <c r="X34" s="1063"/>
      <c r="Y34" s="1063"/>
      <c r="Z34" s="1080" t="s">
        <v>497</v>
      </c>
      <c r="AA34" s="1080"/>
      <c r="AB34" s="1080"/>
      <c r="AF34" t="s">
        <v>744</v>
      </c>
      <c r="AL34" s="1063">
        <v>5</v>
      </c>
      <c r="AM34" s="1063"/>
      <c r="AN34" s="1063"/>
      <c r="AO34" t="s">
        <v>743</v>
      </c>
      <c r="BF34" s="145"/>
    </row>
    <row r="35" spans="2:92" x14ac:dyDescent="0.25">
      <c r="B35" s="144"/>
      <c r="BF35" s="145"/>
      <c r="BP35" s="309"/>
      <c r="CN35" s="307"/>
    </row>
    <row r="36" spans="2:92" x14ac:dyDescent="0.25">
      <c r="B36" s="1086" t="s">
        <v>741</v>
      </c>
      <c r="C36" s="991"/>
      <c r="D36" s="991"/>
      <c r="E36" s="991"/>
      <c r="F36" s="991"/>
      <c r="G36" s="991"/>
      <c r="H36" s="991"/>
      <c r="I36" s="991"/>
      <c r="J36" s="991"/>
      <c r="K36" s="991"/>
      <c r="L36" s="991"/>
      <c r="M36" s="991"/>
      <c r="N36" s="991"/>
      <c r="O36" s="991"/>
      <c r="P36" s="991"/>
      <c r="Q36" s="991"/>
      <c r="R36" s="991"/>
      <c r="T36" s="1071" t="str">
        <f>IFERROR($T$28/('Tracking &amp; Profitability'!$E$7*52*Welcome!$D$10),"Error on A La Carte")</f>
        <v>Error on A La Carte</v>
      </c>
      <c r="U36" s="1071"/>
      <c r="V36" s="1071"/>
      <c r="W36" s="1071"/>
      <c r="X36" s="1071"/>
      <c r="Y36" s="1071"/>
      <c r="Z36" s="1071"/>
      <c r="AA36" s="1071"/>
      <c r="AB36" s="1071"/>
      <c r="AF36" s="991" t="s">
        <v>494</v>
      </c>
      <c r="AG36" s="991"/>
      <c r="AH36" s="991"/>
      <c r="AI36" s="991"/>
      <c r="AJ36" s="991"/>
      <c r="AK36" s="991"/>
      <c r="AL36" s="991"/>
      <c r="AM36" s="991"/>
      <c r="AN36" s="991"/>
      <c r="AO36" s="991"/>
      <c r="AP36" s="991"/>
      <c r="AQ36" s="991"/>
      <c r="AR36" s="991"/>
      <c r="AS36" s="991"/>
      <c r="AU36" s="1063" t="e">
        <f>ROUND(((1-(('PIM Model'!$G$15+'PIM Model'!$G$17+'PIM Model'!$G$18)/'PIM Model'!$G$31))*100),0)&amp;"%/"&amp;ROUND((('PIM Model'!$G$15+'PIM Model'!$G$17+'PIM Model'!$G$18)/'PIM Model'!$G$31*100),0)&amp;"%"</f>
        <v>#DIV/0!</v>
      </c>
      <c r="AV36" s="1063"/>
      <c r="AW36" s="1063"/>
      <c r="AX36" s="1063"/>
      <c r="AY36" s="1063"/>
      <c r="AZ36" s="1063"/>
      <c r="BF36" s="145"/>
    </row>
    <row r="37" spans="2:92" x14ac:dyDescent="0.25">
      <c r="B37" s="360"/>
      <c r="C37" s="89"/>
      <c r="D37" s="89"/>
      <c r="E37" s="89"/>
      <c r="F37" s="89"/>
      <c r="G37" s="89"/>
      <c r="H37" s="89"/>
      <c r="I37" s="89"/>
      <c r="J37" s="89"/>
      <c r="K37" s="89"/>
      <c r="L37" s="89"/>
      <c r="M37" s="89"/>
      <c r="N37" s="89"/>
      <c r="O37" s="89"/>
      <c r="P37" s="89"/>
      <c r="Q37" s="89"/>
      <c r="T37" s="310"/>
      <c r="U37" s="310"/>
      <c r="V37" s="310"/>
      <c r="W37" s="310"/>
      <c r="X37" s="310"/>
      <c r="Y37" s="310"/>
      <c r="Z37" s="310"/>
      <c r="AA37" s="310"/>
      <c r="AB37" s="310"/>
      <c r="AC37" s="310"/>
      <c r="AD37" s="310"/>
      <c r="AF37" s="2"/>
      <c r="AG37" s="2"/>
      <c r="AH37" s="2"/>
      <c r="AI37" s="2"/>
      <c r="AJ37" s="2"/>
      <c r="AK37" s="2"/>
      <c r="AL37" s="2"/>
      <c r="AM37" s="2"/>
      <c r="AN37" s="2"/>
      <c r="AO37" s="2"/>
      <c r="AP37" s="2"/>
      <c r="AQ37" s="2"/>
      <c r="AR37" s="2"/>
      <c r="AS37" s="2"/>
      <c r="AT37" s="2"/>
      <c r="AU37" s="2"/>
      <c r="AV37" s="2"/>
      <c r="AW37" s="2"/>
      <c r="AX37" s="2"/>
      <c r="AY37" s="2"/>
      <c r="BF37" s="145"/>
      <c r="BP37" s="309"/>
      <c r="CN37" s="307"/>
    </row>
    <row r="38" spans="2:92" x14ac:dyDescent="0.25">
      <c r="B38" s="1086" t="s">
        <v>739</v>
      </c>
      <c r="C38" s="991"/>
      <c r="D38" s="991"/>
      <c r="E38" s="991"/>
      <c r="F38" s="991"/>
      <c r="G38" s="991"/>
      <c r="H38" s="991"/>
      <c r="I38" s="991"/>
      <c r="J38" s="991"/>
      <c r="K38" s="991"/>
      <c r="L38" s="991"/>
      <c r="M38" s="991"/>
      <c r="N38" s="991"/>
      <c r="O38" s="991"/>
      <c r="P38" s="991"/>
      <c r="Q38" s="991"/>
      <c r="R38" s="991"/>
      <c r="T38" s="1072" t="str">
        <f>IFERROR('PIM Model'!$H$31/('PIM Model'!$E$6*52*Welcome!$D$10),"Error on A La Carte")</f>
        <v>Error on A La Carte</v>
      </c>
      <c r="U38" s="1072"/>
      <c r="V38" s="1072"/>
      <c r="W38" s="1072"/>
      <c r="X38" s="1072"/>
      <c r="Y38" s="1072"/>
      <c r="Z38" s="1072"/>
      <c r="AA38" s="1072"/>
      <c r="AB38" s="1072"/>
      <c r="AC38" s="310"/>
      <c r="AD38" s="310"/>
      <c r="AF38" s="991" t="s">
        <v>690</v>
      </c>
      <c r="AG38" s="991"/>
      <c r="AH38" s="991"/>
      <c r="AI38" s="991"/>
      <c r="AJ38" s="991"/>
      <c r="AK38" s="991"/>
      <c r="AL38" s="991"/>
      <c r="AM38" s="991"/>
      <c r="AN38" s="991"/>
      <c r="AO38" s="991"/>
      <c r="AP38" s="991"/>
      <c r="AQ38" s="991"/>
      <c r="AR38" s="991"/>
      <c r="AS38" s="991"/>
      <c r="AU38" s="1063">
        <f>COUNTIF('PIM Model'!$E$10:$E$30,"Include")</f>
        <v>21</v>
      </c>
      <c r="AV38" s="1063"/>
      <c r="AW38" s="1063"/>
      <c r="AX38" s="1063"/>
      <c r="AY38" s="1063"/>
      <c r="AZ38" s="1063"/>
      <c r="BF38" s="145"/>
    </row>
    <row r="39" spans="2:92" x14ac:dyDescent="0.25">
      <c r="B39" s="144"/>
      <c r="BF39" s="145"/>
    </row>
    <row r="40" spans="2:92" x14ac:dyDescent="0.25">
      <c r="B40" s="1086" t="s">
        <v>737</v>
      </c>
      <c r="C40" s="991"/>
      <c r="D40" s="991"/>
      <c r="E40" s="991"/>
      <c r="F40" s="991"/>
      <c r="G40" s="991"/>
      <c r="H40" s="991"/>
      <c r="I40" s="991"/>
      <c r="J40" s="991"/>
      <c r="K40" s="991"/>
      <c r="L40" s="991"/>
      <c r="M40" s="991"/>
      <c r="N40" s="991"/>
      <c r="O40" s="991"/>
      <c r="P40" s="991"/>
      <c r="Q40" s="991"/>
      <c r="R40" s="991"/>
      <c r="T40" s="1089">
        <f>IFERROR('PIM Model'!$G$31/'PIM Model'!$H$31,0)</f>
        <v>0</v>
      </c>
      <c r="U40" s="1089"/>
      <c r="V40" s="1089"/>
      <c r="W40" s="1089"/>
      <c r="X40" s="1089"/>
      <c r="Y40" s="1089"/>
      <c r="Z40" s="1089"/>
      <c r="AA40" s="1089"/>
      <c r="AB40" s="1089"/>
      <c r="AF40" s="991" t="s">
        <v>740</v>
      </c>
      <c r="AG40" s="991"/>
      <c r="AH40" s="991"/>
      <c r="AI40" s="991"/>
      <c r="AJ40" s="991"/>
      <c r="AK40" s="991"/>
      <c r="AL40" s="991"/>
      <c r="AM40" s="991"/>
      <c r="AN40" s="991"/>
      <c r="AO40" s="991"/>
      <c r="AP40" s="991"/>
      <c r="AQ40" s="991"/>
      <c r="AR40" s="991"/>
      <c r="AS40" s="991"/>
      <c r="AU40" s="1063">
        <f>$AO$28+$AU$28+$BA$28</f>
        <v>15</v>
      </c>
      <c r="AV40" s="1063"/>
      <c r="AW40" s="1063"/>
      <c r="BC40" s="1080"/>
      <c r="BD40" s="1080"/>
      <c r="BE40" s="1080"/>
      <c r="BF40" s="145"/>
    </row>
    <row r="41" spans="2:92" x14ac:dyDescent="0.25">
      <c r="B41" s="144"/>
      <c r="BF41" s="145"/>
      <c r="BP41" s="307"/>
      <c r="CN41" s="309"/>
    </row>
    <row r="42" spans="2:92" x14ac:dyDescent="0.25">
      <c r="B42" s="1086" t="s">
        <v>735</v>
      </c>
      <c r="C42" s="991"/>
      <c r="D42" s="991"/>
      <c r="E42" s="991"/>
      <c r="F42" s="991"/>
      <c r="G42" s="991"/>
      <c r="H42" s="991"/>
      <c r="I42" s="991"/>
      <c r="J42" s="991"/>
      <c r="K42" s="991"/>
      <c r="L42" s="991"/>
      <c r="M42" s="991"/>
      <c r="N42" s="991"/>
      <c r="O42" s="991"/>
      <c r="P42" s="991"/>
      <c r="Q42" s="991"/>
      <c r="R42" s="991"/>
      <c r="T42" s="1089" t="s">
        <v>798</v>
      </c>
      <c r="U42" s="1089"/>
      <c r="V42" s="1089"/>
      <c r="W42" s="1089"/>
      <c r="X42" s="1089"/>
      <c r="Y42" s="1089"/>
      <c r="Z42" s="1089"/>
      <c r="AA42" s="1089"/>
      <c r="AB42" s="1089"/>
      <c r="AF42" s="991" t="s">
        <v>738</v>
      </c>
      <c r="AG42" s="991"/>
      <c r="AH42" s="991"/>
      <c r="AI42" s="991"/>
      <c r="AJ42" s="991"/>
      <c r="AK42" s="991"/>
      <c r="AL42" s="991"/>
      <c r="AM42" s="991"/>
      <c r="AN42" s="991"/>
      <c r="AO42" s="991"/>
      <c r="AP42" s="991"/>
      <c r="AQ42" s="991"/>
      <c r="AR42" s="991"/>
      <c r="AS42" s="991"/>
      <c r="AU42" s="1063" t="s">
        <v>682</v>
      </c>
      <c r="AV42" s="1063"/>
      <c r="AW42" s="1063"/>
      <c r="BC42" s="1080"/>
      <c r="BD42" s="1080"/>
      <c r="BE42" s="1080"/>
      <c r="BF42" s="145"/>
    </row>
    <row r="43" spans="2:92" x14ac:dyDescent="0.25">
      <c r="B43" s="144"/>
      <c r="BF43" s="145"/>
      <c r="BP43" s="307"/>
      <c r="CN43" s="309"/>
    </row>
    <row r="44" spans="2:92" x14ac:dyDescent="0.25">
      <c r="B44" s="1086" t="s">
        <v>733</v>
      </c>
      <c r="C44" s="991"/>
      <c r="D44" s="991"/>
      <c r="E44" s="991"/>
      <c r="F44" s="991"/>
      <c r="G44" s="991"/>
      <c r="H44" s="991"/>
      <c r="I44" s="991"/>
      <c r="J44" s="991"/>
      <c r="K44" s="991"/>
      <c r="L44" s="991"/>
      <c r="M44" s="991"/>
      <c r="N44" s="991"/>
      <c r="O44" s="991"/>
      <c r="P44" s="991"/>
      <c r="Q44" s="991"/>
      <c r="R44" s="991"/>
      <c r="T44" s="1090">
        <f>'Tracking &amp; Profitability'!$E$7</f>
        <v>0</v>
      </c>
      <c r="U44" s="1090"/>
      <c r="V44" s="1090"/>
      <c r="W44" s="1090"/>
      <c r="X44" s="1090"/>
      <c r="Y44" s="1090"/>
      <c r="Z44" s="1090"/>
      <c r="AA44" s="1090"/>
      <c r="AB44" s="1090"/>
      <c r="AF44" s="991" t="s">
        <v>736</v>
      </c>
      <c r="AG44" s="991"/>
      <c r="AH44" s="991"/>
      <c r="AI44" s="991"/>
      <c r="AJ44" s="991"/>
      <c r="AK44" s="991"/>
      <c r="AL44" s="991"/>
      <c r="AM44" s="991"/>
      <c r="AN44" s="991"/>
      <c r="AO44" s="991"/>
      <c r="AP44" s="991"/>
      <c r="AQ44" s="991"/>
      <c r="AR44" s="991"/>
      <c r="AS44" s="991"/>
      <c r="AU44" s="1063" t="s">
        <v>682</v>
      </c>
      <c r="AV44" s="1063"/>
      <c r="AW44" s="1063"/>
      <c r="BC44" s="1080"/>
      <c r="BD44" s="1080"/>
      <c r="BE44" s="1080"/>
      <c r="BF44" s="145"/>
    </row>
    <row r="45" spans="2:92" x14ac:dyDescent="0.25">
      <c r="B45" s="144"/>
      <c r="BF45" s="145"/>
      <c r="CN45" s="309"/>
    </row>
    <row r="46" spans="2:92" x14ac:dyDescent="0.25">
      <c r="B46" s="1086" t="s">
        <v>691</v>
      </c>
      <c r="C46" s="991"/>
      <c r="D46" s="991"/>
      <c r="E46" s="991"/>
      <c r="F46" s="991"/>
      <c r="G46" s="991"/>
      <c r="H46" s="991"/>
      <c r="I46" s="991"/>
      <c r="J46" s="991"/>
      <c r="K46" s="991"/>
      <c r="L46" s="991"/>
      <c r="M46" s="991"/>
      <c r="N46" s="991"/>
      <c r="O46" s="991"/>
      <c r="P46" s="991"/>
      <c r="Q46" s="991"/>
      <c r="R46" s="991"/>
      <c r="T46" s="1087">
        <v>150</v>
      </c>
      <c r="U46" s="1087"/>
      <c r="V46" s="1087"/>
      <c r="W46" s="1087"/>
      <c r="X46" s="1087"/>
      <c r="Y46" s="1087"/>
      <c r="Z46" s="1087"/>
      <c r="AA46" s="1087"/>
      <c r="AB46" s="1087"/>
      <c r="AF46" s="1069" t="s">
        <v>734</v>
      </c>
      <c r="AG46" s="1069"/>
      <c r="AH46" s="1069"/>
      <c r="AI46" s="1069"/>
      <c r="AJ46" s="1069"/>
      <c r="AK46" s="1069"/>
      <c r="AL46" s="1069"/>
      <c r="AM46" s="1069"/>
      <c r="AN46" s="1069"/>
      <c r="AO46" s="1069"/>
      <c r="AP46" s="1069"/>
      <c r="AQ46" s="1069"/>
      <c r="AR46" s="1069"/>
      <c r="AS46" s="1069"/>
      <c r="AU46" s="1076">
        <v>0.25</v>
      </c>
      <c r="AV46" s="1076"/>
      <c r="AW46" s="1076"/>
      <c r="AX46" s="1076"/>
      <c r="AY46" s="1076"/>
      <c r="AZ46" s="1076"/>
      <c r="BF46" s="145"/>
    </row>
    <row r="47" spans="2:92" x14ac:dyDescent="0.25">
      <c r="B47" s="144"/>
      <c r="BF47" s="145"/>
      <c r="CN47" s="309"/>
    </row>
    <row r="48" spans="2:92" x14ac:dyDescent="0.25">
      <c r="B48" s="1086" t="s">
        <v>495</v>
      </c>
      <c r="C48" s="991"/>
      <c r="D48" s="991"/>
      <c r="E48" s="991"/>
      <c r="F48" s="991"/>
      <c r="G48" s="991"/>
      <c r="H48" s="991"/>
      <c r="I48" s="991"/>
      <c r="J48" s="991"/>
      <c r="K48" s="991"/>
      <c r="L48" s="991"/>
      <c r="M48" s="991"/>
      <c r="N48" s="991"/>
      <c r="O48" s="991"/>
      <c r="P48" s="991"/>
      <c r="Q48" s="991"/>
      <c r="R48" s="991"/>
      <c r="T48" s="1087">
        <f>$K$10</f>
        <v>0</v>
      </c>
      <c r="U48" s="1087"/>
      <c r="V48" s="1087"/>
      <c r="W48" s="1087"/>
      <c r="X48" s="1087"/>
      <c r="Y48" s="1087"/>
      <c r="Z48" s="1087"/>
      <c r="AA48" s="1087"/>
      <c r="AB48" s="1087"/>
      <c r="AF48" s="1069" t="s">
        <v>732</v>
      </c>
      <c r="AG48" s="1069"/>
      <c r="AH48" s="1069"/>
      <c r="AI48" s="1069"/>
      <c r="AJ48" s="1069"/>
      <c r="AK48" s="1069"/>
      <c r="AL48" s="1069"/>
      <c r="AM48" s="1069"/>
      <c r="AN48" s="1069"/>
      <c r="AO48" s="1069"/>
      <c r="AP48" s="1069"/>
      <c r="AQ48" s="1069"/>
      <c r="AR48" s="1069"/>
      <c r="AS48" s="1069"/>
      <c r="AU48" s="1061">
        <v>1.75</v>
      </c>
      <c r="AV48" s="1062"/>
      <c r="AW48" s="1062"/>
      <c r="AX48" s="1062"/>
      <c r="AY48" s="1062"/>
      <c r="AZ48" s="1062"/>
      <c r="BF48" s="145"/>
    </row>
    <row r="49" spans="2:92" x14ac:dyDescent="0.25">
      <c r="B49" s="144"/>
      <c r="BF49" s="145"/>
      <c r="CN49" s="309"/>
    </row>
    <row r="50" spans="2:92" x14ac:dyDescent="0.25">
      <c r="B50" s="1068" t="s">
        <v>731</v>
      </c>
      <c r="C50" s="1069"/>
      <c r="D50" s="1069"/>
      <c r="E50" s="1069"/>
      <c r="F50" s="1069"/>
      <c r="G50" s="1069"/>
      <c r="H50" s="1069"/>
      <c r="I50" s="1069"/>
      <c r="J50" s="1069"/>
      <c r="K50" s="1069"/>
      <c r="L50" s="1069"/>
      <c r="M50" s="1069"/>
      <c r="N50" s="1069"/>
      <c r="O50" s="1069"/>
      <c r="P50" s="1069"/>
      <c r="Q50" s="1069"/>
      <c r="R50" s="1069"/>
      <c r="T50" s="1070">
        <v>500</v>
      </c>
      <c r="U50" s="1070"/>
      <c r="V50" s="1070"/>
      <c r="W50" s="1070"/>
      <c r="X50" s="1070"/>
      <c r="Y50" s="1070"/>
      <c r="Z50" s="991" t="s">
        <v>730</v>
      </c>
      <c r="AA50" s="991"/>
      <c r="AB50" s="991"/>
      <c r="AC50" s="1070">
        <v>25</v>
      </c>
      <c r="AD50" s="1070"/>
      <c r="AE50" s="1070"/>
      <c r="AF50" s="1070"/>
      <c r="AG50" s="1070"/>
      <c r="BF50" s="145"/>
    </row>
    <row r="51" spans="2:92" x14ac:dyDescent="0.25">
      <c r="B51" s="144"/>
      <c r="BF51" s="145"/>
      <c r="BP51" s="307"/>
      <c r="CN51" s="309"/>
    </row>
    <row r="52" spans="2:92" ht="15.75" thickBot="1" x14ac:dyDescent="0.3">
      <c r="B52" s="296"/>
      <c r="C52" s="297"/>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98"/>
    </row>
    <row r="53" spans="2:92" ht="18.75" x14ac:dyDescent="0.3">
      <c r="B53" s="1073" t="s">
        <v>713</v>
      </c>
      <c r="C53" s="1074"/>
      <c r="D53" s="1074"/>
      <c r="E53" s="1074"/>
      <c r="F53" s="1074"/>
      <c r="G53" s="1074"/>
      <c r="H53" s="1074"/>
      <c r="I53" s="1074"/>
      <c r="J53" s="1074"/>
      <c r="K53" s="1074"/>
      <c r="L53" s="1074"/>
      <c r="M53" s="1074"/>
      <c r="N53" s="1074"/>
      <c r="O53" s="1074"/>
      <c r="P53" s="1074"/>
      <c r="Q53" s="1074"/>
      <c r="R53" s="1074"/>
      <c r="S53" s="1074"/>
      <c r="T53" s="1074"/>
      <c r="U53" s="1074"/>
      <c r="V53" s="1074"/>
      <c r="W53" s="1074"/>
      <c r="X53" s="1074"/>
      <c r="Y53" s="1074"/>
      <c r="Z53" s="1074"/>
      <c r="AA53" s="1074"/>
      <c r="AB53" s="1074"/>
      <c r="AC53" s="1074"/>
      <c r="AD53" s="1074"/>
      <c r="AE53" s="1074"/>
      <c r="AF53" s="1074"/>
      <c r="AG53" s="1074"/>
      <c r="AH53" s="1074"/>
      <c r="AI53" s="1074"/>
      <c r="AJ53" s="1074"/>
      <c r="AK53" s="1074"/>
      <c r="AL53" s="1074"/>
      <c r="AM53" s="1074"/>
      <c r="AN53" s="1074"/>
      <c r="AO53" s="1074"/>
      <c r="AP53" s="1074"/>
      <c r="AQ53" s="1074"/>
      <c r="AR53" s="1074"/>
      <c r="AS53" s="1074"/>
      <c r="AT53" s="1074"/>
      <c r="AU53" s="1074"/>
      <c r="AV53" s="1074"/>
      <c r="AW53" s="1074"/>
      <c r="AX53" s="1074"/>
      <c r="AY53" s="1074"/>
      <c r="AZ53" s="1074"/>
      <c r="BA53" s="1074"/>
      <c r="BB53" s="1074"/>
      <c r="BC53" s="1074"/>
      <c r="BD53" s="1074"/>
      <c r="BE53" s="1074"/>
      <c r="BF53" s="1075"/>
    </row>
    <row r="54" spans="2:92" x14ac:dyDescent="0.25">
      <c r="B54" s="1077" t="s">
        <v>729</v>
      </c>
      <c r="C54" s="1078"/>
      <c r="D54" s="1078"/>
      <c r="E54" s="1078"/>
      <c r="F54" s="1078"/>
      <c r="G54" s="1078"/>
      <c r="H54" s="1078"/>
      <c r="I54" s="1078"/>
      <c r="J54" s="1078"/>
      <c r="K54" s="1078"/>
      <c r="L54" s="1078"/>
      <c r="M54" s="1078"/>
      <c r="N54" s="1078"/>
      <c r="O54" s="1078"/>
      <c r="P54" s="1078"/>
      <c r="Q54" s="1078"/>
      <c r="R54" s="1078"/>
      <c r="S54" s="1078"/>
      <c r="T54" s="1078"/>
      <c r="U54" s="1078"/>
      <c r="V54" s="1078"/>
      <c r="W54" s="1078"/>
      <c r="X54" s="1078"/>
      <c r="Y54" s="1078"/>
      <c r="Z54" s="1078"/>
      <c r="AA54" s="1078"/>
      <c r="AB54" s="1078"/>
      <c r="AC54" s="1078"/>
      <c r="AD54" s="1078"/>
      <c r="AE54" s="1078"/>
      <c r="AF54" s="1078"/>
      <c r="AG54" s="1078"/>
      <c r="AH54" s="1078"/>
      <c r="AI54" s="1078"/>
      <c r="AJ54" s="1078"/>
      <c r="AK54" s="1078"/>
      <c r="AL54" s="1078"/>
      <c r="AM54" s="1078"/>
      <c r="AN54" s="1078"/>
      <c r="AO54" s="1078"/>
      <c r="AP54" s="1078"/>
      <c r="AQ54" s="1078"/>
      <c r="AR54" s="1078"/>
      <c r="AS54" s="1078"/>
      <c r="AT54" s="1078"/>
      <c r="AU54" s="1078"/>
      <c r="AV54" s="1078"/>
      <c r="AW54" s="1078"/>
      <c r="AX54" s="1078"/>
      <c r="AY54" s="1078"/>
      <c r="AZ54" s="1078"/>
      <c r="BA54" s="1078"/>
      <c r="BB54" s="1078"/>
      <c r="BC54" s="1078"/>
      <c r="BD54" s="1078"/>
      <c r="BE54" s="1078"/>
      <c r="BF54" s="1079"/>
      <c r="BP54" s="307"/>
    </row>
    <row r="55" spans="2:92" x14ac:dyDescent="0.25">
      <c r="B55" s="144"/>
      <c r="AC55" s="312"/>
      <c r="AD55" s="312"/>
      <c r="AE55" s="312"/>
      <c r="AF55" s="312"/>
      <c r="AG55" s="312"/>
      <c r="AH55" s="312"/>
      <c r="AK55" s="1084"/>
      <c r="AL55" s="1084"/>
      <c r="AM55" s="1084"/>
      <c r="AN55" s="1084"/>
      <c r="AO55" s="981"/>
      <c r="AP55" s="981"/>
      <c r="AQ55" s="981"/>
      <c r="AR55" s="141"/>
      <c r="AS55" s="141"/>
      <c r="AT55" s="981"/>
      <c r="AU55" s="981"/>
      <c r="AV55" s="981"/>
      <c r="AW55" s="141"/>
      <c r="AX55" s="141"/>
      <c r="AY55" s="981"/>
      <c r="AZ55" s="981"/>
      <c r="BA55" s="981"/>
      <c r="BB55" s="141"/>
      <c r="BC55" s="141"/>
      <c r="BD55" s="981"/>
      <c r="BE55" s="981"/>
      <c r="BF55" s="1060"/>
      <c r="BP55" s="313"/>
    </row>
    <row r="56" spans="2:92" x14ac:dyDescent="0.25">
      <c r="B56" s="144"/>
      <c r="C56" s="1004" t="s">
        <v>103</v>
      </c>
      <c r="D56" s="1004"/>
      <c r="E56" s="1004"/>
      <c r="F56" s="1004"/>
      <c r="G56" s="1004"/>
      <c r="H56" s="1004"/>
      <c r="I56" s="1004"/>
      <c r="J56" s="1004"/>
      <c r="K56" s="1004"/>
      <c r="L56" s="1004"/>
      <c r="M56" s="1004"/>
      <c r="N56" s="1004"/>
      <c r="O56" s="1004"/>
      <c r="P56" s="1004"/>
      <c r="Q56" s="1004"/>
      <c r="R56" s="1004"/>
      <c r="S56" s="1004"/>
      <c r="T56" s="1004"/>
      <c r="U56" s="1004"/>
      <c r="V56" s="1004"/>
      <c r="W56" s="1004"/>
      <c r="X56" s="1004"/>
      <c r="Y56" s="1004"/>
      <c r="Z56" s="1004"/>
      <c r="AC56" s="1063" t="str">
        <f>'PIM Model'!$AD$11</f>
        <v/>
      </c>
      <c r="AD56" s="1063"/>
      <c r="AE56" s="1063" t="str">
        <f>'PIM Model'!$D$11</f>
        <v>%</v>
      </c>
      <c r="AF56" s="1063"/>
      <c r="AG56" s="1063" t="str">
        <f>'PIM Model'!$D$11</f>
        <v>%</v>
      </c>
      <c r="AH56" s="1063"/>
      <c r="AI56" s="1080" t="str">
        <f>'PIM Model'!$D$11</f>
        <v>%</v>
      </c>
      <c r="AJ56" s="1080"/>
      <c r="AK56" s="141"/>
      <c r="AL56" s="141"/>
      <c r="AM56" s="141"/>
      <c r="AN56" s="141"/>
      <c r="AO56" s="981"/>
      <c r="AP56" s="981"/>
      <c r="AQ56" s="981"/>
      <c r="AR56" s="141"/>
      <c r="AS56" s="141"/>
      <c r="AT56" s="981"/>
      <c r="AU56" s="981"/>
      <c r="AV56" s="981"/>
      <c r="AW56" s="141"/>
      <c r="AX56" s="141"/>
      <c r="AY56" s="981"/>
      <c r="AZ56" s="981"/>
      <c r="BA56" s="981"/>
      <c r="BB56" s="141"/>
      <c r="BC56" s="141"/>
      <c r="BD56" s="981"/>
      <c r="BE56" s="981"/>
      <c r="BF56" s="1060"/>
      <c r="BP56" s="307"/>
    </row>
    <row r="57" spans="2:92" x14ac:dyDescent="0.25">
      <c r="B57" s="144"/>
      <c r="C57" s="1004" t="s">
        <v>102</v>
      </c>
      <c r="D57" s="1004"/>
      <c r="E57" s="1004"/>
      <c r="F57" s="1004"/>
      <c r="G57" s="1004"/>
      <c r="H57" s="1004"/>
      <c r="I57" s="1004"/>
      <c r="J57" s="1004"/>
      <c r="K57" s="1004"/>
      <c r="L57" s="1004"/>
      <c r="M57" s="1004"/>
      <c r="N57" s="1004"/>
      <c r="O57" s="1004"/>
      <c r="P57" s="1004"/>
      <c r="Q57" s="1004"/>
      <c r="R57" s="1004"/>
      <c r="S57" s="1004"/>
      <c r="T57" s="1004"/>
      <c r="U57" s="1004"/>
      <c r="V57" s="1004"/>
      <c r="W57" s="1004"/>
      <c r="X57" s="1004"/>
      <c r="Y57" s="1004"/>
      <c r="Z57" s="1004"/>
      <c r="AC57" s="1083" t="str">
        <f>'PIM Model'!$AD$13</f>
        <v/>
      </c>
      <c r="AD57" s="1083"/>
      <c r="AE57" s="1083" t="str">
        <f>'PIM Model'!$D$13</f>
        <v>%</v>
      </c>
      <c r="AF57" s="1083"/>
      <c r="AG57" s="1083" t="str">
        <f>'PIM Model'!$D$13</f>
        <v>%</v>
      </c>
      <c r="AH57" s="1083"/>
      <c r="AI57" s="1080" t="str">
        <f>'PIM Model'!$D$13</f>
        <v>%</v>
      </c>
      <c r="AJ57" s="1080"/>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720"/>
    </row>
    <row r="58" spans="2:92" x14ac:dyDescent="0.25">
      <c r="B58" s="144"/>
      <c r="C58" s="1004" t="s">
        <v>101</v>
      </c>
      <c r="D58" s="1004"/>
      <c r="E58" s="1004"/>
      <c r="F58" s="1004"/>
      <c r="G58" s="1004"/>
      <c r="H58" s="1004"/>
      <c r="I58" s="1004"/>
      <c r="J58" s="1004"/>
      <c r="K58" s="1004"/>
      <c r="L58" s="1004"/>
      <c r="M58" s="1004"/>
      <c r="N58" s="1004"/>
      <c r="O58" s="1004"/>
      <c r="P58" s="1004"/>
      <c r="Q58" s="1004"/>
      <c r="R58" s="1004"/>
      <c r="S58" s="1004"/>
      <c r="T58" s="1004"/>
      <c r="U58" s="1004"/>
      <c r="V58" s="1004"/>
      <c r="W58" s="1004"/>
      <c r="X58" s="1004"/>
      <c r="Y58" s="1004"/>
      <c r="Z58" s="1004"/>
      <c r="AC58" s="1083" t="str">
        <f>'PIM Model'!$AD$19</f>
        <v/>
      </c>
      <c r="AD58" s="1083"/>
      <c r="AE58" s="1083" t="str">
        <f>'PIM Model'!$D$19</f>
        <v>%</v>
      </c>
      <c r="AF58" s="1083"/>
      <c r="AG58" s="1083" t="str">
        <f>'PIM Model'!$D$19</f>
        <v>%</v>
      </c>
      <c r="AH58" s="1083"/>
      <c r="AI58" s="1080" t="str">
        <f>'PIM Model'!$D$19</f>
        <v>%</v>
      </c>
      <c r="AJ58" s="1080"/>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720"/>
      <c r="BP58" s="307"/>
    </row>
    <row r="59" spans="2:92" x14ac:dyDescent="0.25">
      <c r="B59" s="144"/>
      <c r="C59" s="1004" t="s">
        <v>100</v>
      </c>
      <c r="D59" s="1004"/>
      <c r="E59" s="1004"/>
      <c r="F59" s="1004"/>
      <c r="G59" s="1004"/>
      <c r="H59" s="1004"/>
      <c r="I59" s="1004"/>
      <c r="J59" s="1004"/>
      <c r="K59" s="1004"/>
      <c r="L59" s="1004"/>
      <c r="M59" s="1004"/>
      <c r="N59" s="1004"/>
      <c r="O59" s="1004"/>
      <c r="P59" s="1004"/>
      <c r="Q59" s="1004"/>
      <c r="R59" s="1004"/>
      <c r="S59" s="1004"/>
      <c r="T59" s="1004"/>
      <c r="U59" s="1004"/>
      <c r="V59" s="1004"/>
      <c r="W59" s="1004"/>
      <c r="X59" s="1004"/>
      <c r="Y59" s="1004"/>
      <c r="Z59" s="1004"/>
      <c r="AC59" s="1083" t="str">
        <f>'PIM Model'!$AD$14</f>
        <v/>
      </c>
      <c r="AD59" s="1083"/>
      <c r="AE59" s="1083" t="str">
        <f>'PIM Model'!$D$14</f>
        <v>%</v>
      </c>
      <c r="AF59" s="1083"/>
      <c r="AG59" s="1083" t="str">
        <f>'PIM Model'!$D$14</f>
        <v>%</v>
      </c>
      <c r="AH59" s="1083"/>
      <c r="AI59" s="1080" t="str">
        <f>'PIM Model'!$D$14</f>
        <v>%</v>
      </c>
      <c r="AJ59" s="1080"/>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720"/>
    </row>
    <row r="60" spans="2:92" x14ac:dyDescent="0.25">
      <c r="B60" s="144"/>
      <c r="C60" s="1004" t="s">
        <v>104</v>
      </c>
      <c r="D60" s="1004"/>
      <c r="E60" s="1004"/>
      <c r="F60" s="1004"/>
      <c r="G60" s="1004"/>
      <c r="H60" s="1004"/>
      <c r="I60" s="1004"/>
      <c r="J60" s="1004"/>
      <c r="K60" s="1004"/>
      <c r="L60" s="1004"/>
      <c r="M60" s="1004"/>
      <c r="N60" s="1004"/>
      <c r="O60" s="1004"/>
      <c r="P60" s="1004"/>
      <c r="Q60" s="1004"/>
      <c r="R60" s="1004"/>
      <c r="S60" s="1004"/>
      <c r="T60" s="1004"/>
      <c r="U60" s="1004"/>
      <c r="V60" s="1004"/>
      <c r="W60" s="1004"/>
      <c r="X60" s="1004"/>
      <c r="Y60" s="1004"/>
      <c r="Z60" s="1004"/>
      <c r="AC60" s="1083" t="str">
        <f>'PIM Model'!$AD$15</f>
        <v/>
      </c>
      <c r="AD60" s="1083"/>
      <c r="AE60" s="1083" t="str">
        <f>'PIM Model'!$D$15</f>
        <v>%</v>
      </c>
      <c r="AF60" s="1083"/>
      <c r="AG60" s="1083" t="str">
        <f>'PIM Model'!$D$15</f>
        <v>%</v>
      </c>
      <c r="AH60" s="1083"/>
      <c r="AI60" s="1080" t="str">
        <f>'PIM Model'!$D$15</f>
        <v>%</v>
      </c>
      <c r="AJ60" s="1080"/>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720"/>
    </row>
    <row r="61" spans="2:92" x14ac:dyDescent="0.25">
      <c r="B61" s="144"/>
      <c r="C61" s="1004" t="s">
        <v>99</v>
      </c>
      <c r="D61" s="1004"/>
      <c r="E61" s="1004"/>
      <c r="F61" s="1004"/>
      <c r="G61" s="1004"/>
      <c r="H61" s="1004"/>
      <c r="I61" s="1004"/>
      <c r="J61" s="1004"/>
      <c r="K61" s="1004"/>
      <c r="L61" s="1004"/>
      <c r="M61" s="1004"/>
      <c r="N61" s="1004"/>
      <c r="O61" s="1004"/>
      <c r="P61" s="1004"/>
      <c r="Q61" s="1004"/>
      <c r="R61" s="1004"/>
      <c r="S61" s="1004"/>
      <c r="T61" s="1004"/>
      <c r="U61" s="1004"/>
      <c r="V61" s="1004"/>
      <c r="W61" s="1004"/>
      <c r="X61" s="1004"/>
      <c r="Y61" s="1004"/>
      <c r="Z61" s="1004"/>
      <c r="AC61" s="1083" t="str">
        <f>'PIM Model'!$AD$10</f>
        <v/>
      </c>
      <c r="AD61" s="1083"/>
      <c r="AE61" s="1083" t="str">
        <f>'PIM Model'!$D$10</f>
        <v>%</v>
      </c>
      <c r="AF61" s="1083"/>
      <c r="AG61" s="1083" t="str">
        <f>'PIM Model'!$D$10</f>
        <v>%</v>
      </c>
      <c r="AH61" s="1083"/>
      <c r="AI61" s="1080" t="str">
        <f>'PIM Model'!$D$10</f>
        <v>%</v>
      </c>
      <c r="AJ61" s="1080"/>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720"/>
    </row>
    <row r="62" spans="2:92" x14ac:dyDescent="0.25">
      <c r="B62" s="144"/>
      <c r="C62" s="950" t="s">
        <v>98</v>
      </c>
      <c r="D62" s="950"/>
      <c r="E62" s="950"/>
      <c r="F62" s="950"/>
      <c r="G62" s="950"/>
      <c r="H62" s="950"/>
      <c r="I62" s="950"/>
      <c r="J62" s="950"/>
      <c r="K62" s="950"/>
      <c r="L62" s="950"/>
      <c r="M62" s="950"/>
      <c r="N62" s="950"/>
      <c r="O62" s="950"/>
      <c r="P62" s="950"/>
      <c r="Q62" s="950"/>
      <c r="R62" s="950"/>
      <c r="S62" s="950"/>
      <c r="T62" s="950"/>
      <c r="U62" s="950"/>
      <c r="V62" s="950"/>
      <c r="W62" s="950"/>
      <c r="X62" s="950"/>
      <c r="Y62" s="950"/>
      <c r="Z62" s="950"/>
      <c r="AC62" s="1083" t="str">
        <f>'PIM Model'!$AD$16</f>
        <v/>
      </c>
      <c r="AD62" s="1083"/>
      <c r="AE62" s="1083" t="str">
        <f>'PIM Model'!$D$16</f>
        <v>%</v>
      </c>
      <c r="AF62" s="1083"/>
      <c r="AG62" s="1083" t="str">
        <f>'PIM Model'!$D$16</f>
        <v>%</v>
      </c>
      <c r="AH62" s="1083"/>
      <c r="AI62" s="1080" t="str">
        <f>'PIM Model'!$D$16</f>
        <v>%</v>
      </c>
      <c r="AJ62" s="1080"/>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720"/>
    </row>
    <row r="63" spans="2:92" x14ac:dyDescent="0.25">
      <c r="B63" s="144"/>
      <c r="C63" s="950" t="s">
        <v>97</v>
      </c>
      <c r="D63" s="950"/>
      <c r="E63" s="950"/>
      <c r="F63" s="950"/>
      <c r="G63" s="950"/>
      <c r="H63" s="950"/>
      <c r="I63" s="950"/>
      <c r="J63" s="950"/>
      <c r="K63" s="950"/>
      <c r="L63" s="950"/>
      <c r="M63" s="950"/>
      <c r="N63" s="950"/>
      <c r="O63" s="950"/>
      <c r="P63" s="950"/>
      <c r="Q63" s="950"/>
      <c r="R63" s="950"/>
      <c r="S63" s="950"/>
      <c r="T63" s="950"/>
      <c r="U63" s="950"/>
      <c r="V63" s="950"/>
      <c r="W63" s="950"/>
      <c r="X63" s="950"/>
      <c r="Y63" s="950"/>
      <c r="Z63" s="950"/>
      <c r="AC63" s="1083" t="str">
        <f>'PIM Model'!$AD$20</f>
        <v/>
      </c>
      <c r="AD63" s="1083"/>
      <c r="AE63" s="1083" t="str">
        <f>'PIM Model'!$D$20</f>
        <v>%</v>
      </c>
      <c r="AF63" s="1083"/>
      <c r="AG63" s="1083" t="str">
        <f>'PIM Model'!$D$20</f>
        <v>%</v>
      </c>
      <c r="AH63" s="1083"/>
      <c r="AI63" s="1080" t="str">
        <f>'PIM Model'!$D$20</f>
        <v>%</v>
      </c>
      <c r="AJ63" s="1080"/>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720"/>
    </row>
    <row r="64" spans="2:92" x14ac:dyDescent="0.25">
      <c r="B64" s="144"/>
      <c r="C64" s="950" t="s">
        <v>96</v>
      </c>
      <c r="D64" s="950"/>
      <c r="E64" s="950"/>
      <c r="F64" s="950"/>
      <c r="G64" s="950"/>
      <c r="H64" s="950"/>
      <c r="I64" s="950"/>
      <c r="J64" s="950"/>
      <c r="K64" s="950"/>
      <c r="L64" s="950"/>
      <c r="M64" s="950"/>
      <c r="N64" s="950"/>
      <c r="O64" s="950"/>
      <c r="P64" s="950"/>
      <c r="Q64" s="950"/>
      <c r="R64" s="950"/>
      <c r="S64" s="950"/>
      <c r="T64" s="950"/>
      <c r="U64" s="950"/>
      <c r="V64" s="950"/>
      <c r="W64" s="950"/>
      <c r="X64" s="950"/>
      <c r="Y64" s="950"/>
      <c r="Z64" s="950"/>
      <c r="AC64" s="1083" t="str">
        <f>'PIM Model'!$AD$18</f>
        <v/>
      </c>
      <c r="AD64" s="1083"/>
      <c r="AE64" s="1083" t="str">
        <f>'PIM Model'!$D$18</f>
        <v>%</v>
      </c>
      <c r="AF64" s="1083"/>
      <c r="AG64" s="1083" t="str">
        <f>'PIM Model'!$D$18</f>
        <v>%</v>
      </c>
      <c r="AH64" s="1083"/>
      <c r="AI64" s="1080" t="str">
        <f>'PIM Model'!$D$18</f>
        <v>%</v>
      </c>
      <c r="AJ64" s="1080"/>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720"/>
    </row>
    <row r="65" spans="2:70" x14ac:dyDescent="0.25">
      <c r="B65" s="144"/>
      <c r="C65" s="950" t="s">
        <v>95</v>
      </c>
      <c r="D65" s="950"/>
      <c r="E65" s="950"/>
      <c r="F65" s="950"/>
      <c r="G65" s="950"/>
      <c r="H65" s="950"/>
      <c r="I65" s="950"/>
      <c r="J65" s="950"/>
      <c r="K65" s="950"/>
      <c r="L65" s="950"/>
      <c r="M65" s="950"/>
      <c r="N65" s="950"/>
      <c r="O65" s="950"/>
      <c r="P65" s="950"/>
      <c r="Q65" s="950"/>
      <c r="R65" s="950"/>
      <c r="S65" s="950"/>
      <c r="T65" s="950"/>
      <c r="U65" s="950"/>
      <c r="V65" s="950"/>
      <c r="W65" s="950"/>
      <c r="X65" s="950"/>
      <c r="Y65" s="950"/>
      <c r="Z65" s="950"/>
      <c r="AC65" s="1083" t="str">
        <f>'PIM Model'!$AD$17</f>
        <v/>
      </c>
      <c r="AD65" s="1083"/>
      <c r="AE65" s="1083" t="str">
        <f>'PIM Model'!$D$17</f>
        <v>%</v>
      </c>
      <c r="AF65" s="1083"/>
      <c r="AG65" s="1083" t="str">
        <f>'PIM Model'!$D$17</f>
        <v>%</v>
      </c>
      <c r="AH65" s="1083"/>
      <c r="AI65" s="1080" t="str">
        <f>'PIM Model'!$D$17</f>
        <v>%</v>
      </c>
      <c r="AJ65" s="1080"/>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720"/>
    </row>
    <row r="66" spans="2:70" x14ac:dyDescent="0.25">
      <c r="B66" s="144"/>
      <c r="C66" s="950" t="s">
        <v>94</v>
      </c>
      <c r="D66" s="950"/>
      <c r="E66" s="950"/>
      <c r="F66" s="950"/>
      <c r="G66" s="950"/>
      <c r="H66" s="950"/>
      <c r="I66" s="950"/>
      <c r="J66" s="950"/>
      <c r="K66" s="950"/>
      <c r="L66" s="950"/>
      <c r="M66" s="950"/>
      <c r="N66" s="950"/>
      <c r="O66" s="950"/>
      <c r="P66" s="950"/>
      <c r="Q66" s="950"/>
      <c r="R66" s="950"/>
      <c r="S66" s="950"/>
      <c r="T66" s="950"/>
      <c r="U66" s="950"/>
      <c r="V66" s="950"/>
      <c r="W66" s="950"/>
      <c r="X66" s="950"/>
      <c r="Y66" s="950"/>
      <c r="Z66" s="950"/>
      <c r="AC66" s="1083" t="str">
        <f>'PIM Model'!$AD$27</f>
        <v/>
      </c>
      <c r="AD66" s="1083"/>
      <c r="AE66" s="1083" t="str">
        <f>'PIM Model'!$D$27</f>
        <v>%</v>
      </c>
      <c r="AF66" s="1083"/>
      <c r="AG66" s="1083" t="str">
        <f>'PIM Model'!$D$27</f>
        <v>%</v>
      </c>
      <c r="AH66" s="1083"/>
      <c r="AI66" s="1080" t="str">
        <f>'PIM Model'!$D$27</f>
        <v>%</v>
      </c>
      <c r="AJ66" s="1080"/>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720"/>
    </row>
    <row r="67" spans="2:70" x14ac:dyDescent="0.25">
      <c r="B67" s="144"/>
      <c r="E67" s="1080" t="s">
        <v>728</v>
      </c>
      <c r="F67" s="1080"/>
      <c r="G67" s="1080"/>
      <c r="H67" s="1080"/>
      <c r="I67" s="1080"/>
      <c r="J67" s="1080"/>
      <c r="K67" s="1080"/>
      <c r="M67" s="1081" t="s">
        <v>248</v>
      </c>
      <c r="N67" s="1081"/>
      <c r="O67" s="1081"/>
      <c r="P67" t="s">
        <v>682</v>
      </c>
      <c r="S67" s="1082"/>
      <c r="T67" s="1082"/>
      <c r="U67" s="1082"/>
      <c r="V67" s="1080" t="s">
        <v>684</v>
      </c>
      <c r="W67" s="1080"/>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720"/>
    </row>
    <row r="68" spans="2:70" x14ac:dyDescent="0.25">
      <c r="B68" s="144"/>
      <c r="C68" s="950" t="s">
        <v>93</v>
      </c>
      <c r="D68" s="950"/>
      <c r="E68" s="950"/>
      <c r="F68" s="950"/>
      <c r="G68" s="950"/>
      <c r="H68" s="950"/>
      <c r="I68" s="950"/>
      <c r="J68" s="950"/>
      <c r="K68" s="950"/>
      <c r="L68" s="950"/>
      <c r="M68" s="950"/>
      <c r="N68" s="950"/>
      <c r="O68" s="950"/>
      <c r="P68" s="950"/>
      <c r="Q68" s="950"/>
      <c r="R68" s="950"/>
      <c r="S68" s="950"/>
      <c r="T68" s="950"/>
      <c r="U68" s="950"/>
      <c r="V68" s="950"/>
      <c r="W68" s="950"/>
      <c r="X68" s="950"/>
      <c r="Y68" s="950"/>
      <c r="Z68" s="950"/>
      <c r="AC68" s="1083" t="str">
        <f>'PIM Model'!$AD$21</f>
        <v/>
      </c>
      <c r="AD68" s="1083"/>
      <c r="AE68" s="1083" t="str">
        <f>'PIM Model'!$D$21</f>
        <v>%</v>
      </c>
      <c r="AF68" s="1083"/>
      <c r="AG68" s="1083" t="str">
        <f>'PIM Model'!$D$21</f>
        <v>%</v>
      </c>
      <c r="AH68" s="1083"/>
      <c r="AI68" s="1080" t="str">
        <f>'PIM Model'!$D$21</f>
        <v>%</v>
      </c>
      <c r="AJ68" s="1080"/>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720"/>
    </row>
    <row r="69" spans="2:70" x14ac:dyDescent="0.25">
      <c r="B69" s="144"/>
      <c r="C69" s="950" t="s">
        <v>92</v>
      </c>
      <c r="D69" s="950"/>
      <c r="E69" s="950"/>
      <c r="F69" s="950"/>
      <c r="G69" s="950"/>
      <c r="H69" s="950"/>
      <c r="I69" s="950"/>
      <c r="J69" s="950"/>
      <c r="K69" s="950"/>
      <c r="L69" s="950"/>
      <c r="M69" s="950"/>
      <c r="N69" s="950"/>
      <c r="O69" s="950"/>
      <c r="P69" s="950"/>
      <c r="Q69" s="950"/>
      <c r="R69" s="950"/>
      <c r="S69" s="950"/>
      <c r="T69" s="950"/>
      <c r="U69" s="950"/>
      <c r="V69" s="950"/>
      <c r="W69" s="950"/>
      <c r="X69" s="950"/>
      <c r="Y69" s="950"/>
      <c r="Z69" s="950"/>
      <c r="AC69" s="1083" t="str">
        <f>'PIM Model'!$AD$23</f>
        <v/>
      </c>
      <c r="AD69" s="1083"/>
      <c r="AE69" s="1083" t="str">
        <f>'PIM Model'!$D$23</f>
        <v>%</v>
      </c>
      <c r="AF69" s="1083"/>
      <c r="AG69" s="1083" t="str">
        <f>'PIM Model'!$D$23</f>
        <v>%</v>
      </c>
      <c r="AH69" s="1083"/>
      <c r="AI69" s="1080" t="str">
        <f>'PIM Model'!$D$23</f>
        <v>%</v>
      </c>
      <c r="AJ69" s="1080"/>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720"/>
    </row>
    <row r="70" spans="2:70" x14ac:dyDescent="0.25">
      <c r="B70" s="144"/>
      <c r="C70" s="950" t="s">
        <v>91</v>
      </c>
      <c r="D70" s="950"/>
      <c r="E70" s="950"/>
      <c r="F70" s="950"/>
      <c r="G70" s="950"/>
      <c r="H70" s="950"/>
      <c r="I70" s="950"/>
      <c r="J70" s="950"/>
      <c r="K70" s="950"/>
      <c r="L70" s="950"/>
      <c r="M70" s="950"/>
      <c r="N70" s="950"/>
      <c r="O70" s="950"/>
      <c r="P70" s="950"/>
      <c r="Q70" s="950"/>
      <c r="R70" s="950"/>
      <c r="S70" s="950"/>
      <c r="T70" s="950"/>
      <c r="U70" s="950"/>
      <c r="V70" s="950"/>
      <c r="W70" s="950"/>
      <c r="X70" s="950"/>
      <c r="Y70" s="950"/>
      <c r="Z70" s="950"/>
      <c r="AC70" s="1083" t="str">
        <f>'PIM Model'!$AD$24</f>
        <v/>
      </c>
      <c r="AD70" s="1083"/>
      <c r="AE70" s="1083" t="str">
        <f>'PIM Model'!$D$24</f>
        <v>%</v>
      </c>
      <c r="AF70" s="1083"/>
      <c r="AG70" s="1083" t="str">
        <f>'PIM Model'!$D$24</f>
        <v>%</v>
      </c>
      <c r="AH70" s="1083"/>
      <c r="AI70" s="1080" t="str">
        <f>'PIM Model'!$D$24</f>
        <v>%</v>
      </c>
      <c r="AJ70" s="1080"/>
      <c r="AK70" s="141"/>
      <c r="AL70" s="141"/>
      <c r="AM70" s="141"/>
      <c r="AN70" s="141"/>
      <c r="AO70" s="981"/>
      <c r="AP70" s="981"/>
      <c r="AQ70" s="981"/>
      <c r="AR70" s="141"/>
      <c r="AS70" s="141"/>
      <c r="AT70" s="981"/>
      <c r="AU70" s="981"/>
      <c r="AV70" s="981"/>
      <c r="AW70" s="141"/>
      <c r="AX70" s="141"/>
      <c r="AY70" s="981"/>
      <c r="AZ70" s="981"/>
      <c r="BA70" s="981"/>
      <c r="BB70" s="141"/>
      <c r="BC70" s="141"/>
      <c r="BD70" s="981"/>
      <c r="BE70" s="981"/>
      <c r="BF70" s="1060"/>
    </row>
    <row r="71" spans="2:70" x14ac:dyDescent="0.25">
      <c r="B71" s="144"/>
      <c r="C71" s="950" t="s">
        <v>90</v>
      </c>
      <c r="D71" s="950"/>
      <c r="E71" s="950"/>
      <c r="F71" s="950"/>
      <c r="G71" s="950"/>
      <c r="H71" s="950"/>
      <c r="I71" s="950"/>
      <c r="J71" s="950"/>
      <c r="K71" s="950"/>
      <c r="L71" s="950"/>
      <c r="M71" s="950"/>
      <c r="N71" s="950"/>
      <c r="O71" s="950"/>
      <c r="P71" s="950"/>
      <c r="Q71" s="950"/>
      <c r="R71" s="950"/>
      <c r="S71" s="950"/>
      <c r="T71" s="950"/>
      <c r="U71" s="950"/>
      <c r="V71" s="950"/>
      <c r="W71" s="950"/>
      <c r="X71" s="950"/>
      <c r="Y71" s="950"/>
      <c r="Z71" s="950"/>
      <c r="AC71" s="1083" t="str">
        <f>'PIM Model'!$AD$25</f>
        <v/>
      </c>
      <c r="AD71" s="1083"/>
      <c r="AE71" s="1083" t="str">
        <f>'PIM Model'!$D$25</f>
        <v>%</v>
      </c>
      <c r="AF71" s="1083"/>
      <c r="AG71" s="1083" t="str">
        <f>'PIM Model'!$D$25</f>
        <v>%</v>
      </c>
      <c r="AH71" s="1083"/>
      <c r="AI71" s="1080" t="str">
        <f>'PIM Model'!$D$25</f>
        <v>%</v>
      </c>
      <c r="AJ71" s="1080"/>
      <c r="AK71" s="141"/>
      <c r="AL71" s="141"/>
      <c r="AM71" s="141"/>
      <c r="AN71" s="141"/>
      <c r="AO71" s="981"/>
      <c r="AP71" s="981"/>
      <c r="AQ71" s="981"/>
      <c r="AR71" s="141"/>
      <c r="AS71" s="141"/>
      <c r="AT71" s="981"/>
      <c r="AU71" s="981"/>
      <c r="AV71" s="981"/>
      <c r="AW71" s="141"/>
      <c r="AX71" s="141"/>
      <c r="AY71" s="981"/>
      <c r="AZ71" s="981"/>
      <c r="BA71" s="981"/>
      <c r="BB71" s="141"/>
      <c r="BC71" s="141"/>
      <c r="BD71" s="981"/>
      <c r="BE71" s="981"/>
      <c r="BF71" s="1060"/>
    </row>
    <row r="72" spans="2:70" x14ac:dyDescent="0.25">
      <c r="B72" s="144"/>
      <c r="C72" s="950" t="s">
        <v>89</v>
      </c>
      <c r="D72" s="950"/>
      <c r="E72" s="950"/>
      <c r="F72" s="950"/>
      <c r="G72" s="950"/>
      <c r="H72" s="950"/>
      <c r="I72" s="950"/>
      <c r="J72" s="950"/>
      <c r="K72" s="950"/>
      <c r="L72" s="950"/>
      <c r="M72" s="950"/>
      <c r="N72" s="950"/>
      <c r="O72" s="950"/>
      <c r="P72" s="950"/>
      <c r="Q72" s="950"/>
      <c r="R72" s="950"/>
      <c r="S72" s="950"/>
      <c r="T72" s="950"/>
      <c r="U72" s="950"/>
      <c r="V72" s="950"/>
      <c r="W72" s="950"/>
      <c r="X72" s="950"/>
      <c r="Y72" s="950"/>
      <c r="Z72" s="950"/>
      <c r="AC72" s="1083" t="str">
        <f>'PIM Model'!$AD$26</f>
        <v/>
      </c>
      <c r="AD72" s="1083"/>
      <c r="AE72" s="1083" t="str">
        <f>'PIM Model'!$D$26</f>
        <v>%</v>
      </c>
      <c r="AF72" s="1083"/>
      <c r="AG72" s="1083" t="str">
        <f>'PIM Model'!$D$26</f>
        <v>%</v>
      </c>
      <c r="AH72" s="1083"/>
      <c r="AI72" s="1080" t="str">
        <f>'PIM Model'!$D$26</f>
        <v>%</v>
      </c>
      <c r="AJ72" s="1080"/>
      <c r="AK72" s="141"/>
      <c r="AL72" s="141"/>
      <c r="AM72" s="141"/>
      <c r="AN72" s="141"/>
      <c r="AO72" s="981"/>
      <c r="AP72" s="981"/>
      <c r="AQ72" s="981"/>
      <c r="AR72" s="141"/>
      <c r="AS72" s="141"/>
      <c r="AT72" s="981"/>
      <c r="AU72" s="981"/>
      <c r="AV72" s="981"/>
      <c r="AW72" s="141"/>
      <c r="AX72" s="141"/>
      <c r="AY72" s="981"/>
      <c r="AZ72" s="981"/>
      <c r="BA72" s="981"/>
      <c r="BB72" s="141"/>
      <c r="BC72" s="141"/>
      <c r="BD72" s="981"/>
      <c r="BE72" s="981"/>
      <c r="BF72" s="1060"/>
    </row>
    <row r="73" spans="2:70" x14ac:dyDescent="0.25">
      <c r="B73" s="144"/>
      <c r="C73" s="950" t="s">
        <v>88</v>
      </c>
      <c r="D73" s="950"/>
      <c r="E73" s="950"/>
      <c r="F73" s="950"/>
      <c r="G73" s="950"/>
      <c r="H73" s="950"/>
      <c r="I73" s="950"/>
      <c r="J73" s="950"/>
      <c r="K73" s="950"/>
      <c r="L73" s="950"/>
      <c r="M73" s="950"/>
      <c r="N73" s="950"/>
      <c r="O73" s="950"/>
      <c r="P73" s="950"/>
      <c r="Q73" s="950"/>
      <c r="R73" s="950"/>
      <c r="S73" s="950"/>
      <c r="T73" s="950"/>
      <c r="U73" s="950"/>
      <c r="V73" s="950"/>
      <c r="W73" s="950"/>
      <c r="X73" s="950"/>
      <c r="Y73" s="950"/>
      <c r="Z73" s="950"/>
      <c r="AC73" s="1083" t="str">
        <f>'PIM Model'!$AD$29</f>
        <v/>
      </c>
      <c r="AD73" s="1083"/>
      <c r="AE73" s="1083" t="str">
        <f>'PIM Model'!$D$29</f>
        <v>%</v>
      </c>
      <c r="AF73" s="1083"/>
      <c r="AG73" s="1083" t="str">
        <f>'PIM Model'!$D$29</f>
        <v>%</v>
      </c>
      <c r="AH73" s="1083"/>
      <c r="AI73" s="1080" t="str">
        <f>'PIM Model'!$D$29</f>
        <v>%</v>
      </c>
      <c r="AJ73" s="1080"/>
      <c r="AK73" s="141"/>
      <c r="AL73" s="141"/>
      <c r="AM73" s="141"/>
      <c r="AN73" s="141"/>
      <c r="AO73" s="981"/>
      <c r="AP73" s="981"/>
      <c r="AQ73" s="981"/>
      <c r="AR73" s="141"/>
      <c r="AS73" s="141"/>
      <c r="AT73" s="981"/>
      <c r="AU73" s="981"/>
      <c r="AV73" s="981"/>
      <c r="AW73" s="141"/>
      <c r="AX73" s="141"/>
      <c r="AY73" s="981"/>
      <c r="AZ73" s="981"/>
      <c r="BA73" s="981"/>
      <c r="BB73" s="141"/>
      <c r="BC73" s="141"/>
      <c r="BD73" s="981"/>
      <c r="BE73" s="981"/>
      <c r="BF73" s="1060"/>
    </row>
    <row r="74" spans="2:70" x14ac:dyDescent="0.25">
      <c r="B74" s="144"/>
      <c r="C74" s="950" t="s">
        <v>87</v>
      </c>
      <c r="D74" s="950"/>
      <c r="E74" s="950"/>
      <c r="F74" s="950"/>
      <c r="G74" s="950"/>
      <c r="H74" s="950"/>
      <c r="I74" s="950"/>
      <c r="J74" s="950"/>
      <c r="K74" s="950"/>
      <c r="L74" s="950"/>
      <c r="M74" s="950"/>
      <c r="N74" s="950"/>
      <c r="O74" s="950"/>
      <c r="P74" s="950"/>
      <c r="Q74" s="950"/>
      <c r="R74" s="950"/>
      <c r="S74" s="950"/>
      <c r="T74" s="950"/>
      <c r="U74" s="950"/>
      <c r="V74" s="950"/>
      <c r="W74" s="950"/>
      <c r="X74" s="950"/>
      <c r="Y74" s="950"/>
      <c r="Z74" s="950"/>
      <c r="AC74" s="1083" t="str">
        <f>'PIM Model'!$AD$30</f>
        <v/>
      </c>
      <c r="AD74" s="1083"/>
      <c r="AE74" s="1083" t="str">
        <f>'PIM Model'!$D$30</f>
        <v>%</v>
      </c>
      <c r="AF74" s="1083"/>
      <c r="AG74" s="1083" t="str">
        <f>'PIM Model'!$D$30</f>
        <v>%</v>
      </c>
      <c r="AH74" s="1083"/>
      <c r="AI74" s="1080" t="str">
        <f>'PIM Model'!$D$30</f>
        <v>%</v>
      </c>
      <c r="AJ74" s="1080"/>
      <c r="AK74" s="141"/>
      <c r="AL74" s="141"/>
      <c r="AM74" s="141"/>
      <c r="AN74" s="141"/>
      <c r="AO74" s="981"/>
      <c r="AP74" s="981"/>
      <c r="AQ74" s="981"/>
      <c r="AR74" s="141"/>
      <c r="AS74" s="141"/>
      <c r="AT74" s="981"/>
      <c r="AU74" s="981"/>
      <c r="AV74" s="981"/>
      <c r="AW74" s="141"/>
      <c r="AX74" s="141"/>
      <c r="AY74" s="981"/>
      <c r="AZ74" s="981"/>
      <c r="BA74" s="981"/>
      <c r="BB74" s="141"/>
      <c r="BC74" s="141"/>
      <c r="BD74" s="981"/>
      <c r="BE74" s="981"/>
      <c r="BF74" s="1060"/>
    </row>
    <row r="75" spans="2:70" x14ac:dyDescent="0.25">
      <c r="B75" s="144"/>
      <c r="C75" s="950" t="s">
        <v>86</v>
      </c>
      <c r="D75" s="950"/>
      <c r="E75" s="950"/>
      <c r="F75" s="950"/>
      <c r="G75" s="950"/>
      <c r="H75" s="950"/>
      <c r="I75" s="950"/>
      <c r="J75" s="950"/>
      <c r="K75" s="950"/>
      <c r="L75" s="950"/>
      <c r="M75" s="950"/>
      <c r="N75" s="950"/>
      <c r="O75" s="950"/>
      <c r="P75" s="950"/>
      <c r="Q75" s="950"/>
      <c r="R75" s="950"/>
      <c r="S75" s="950"/>
      <c r="T75" s="950"/>
      <c r="U75" s="950"/>
      <c r="V75" s="950"/>
      <c r="W75" s="950"/>
      <c r="X75" s="950"/>
      <c r="Y75" s="950"/>
      <c r="Z75" s="950"/>
      <c r="AC75" s="1083" t="str">
        <f>'PIM Model'!$AD$28</f>
        <v/>
      </c>
      <c r="AD75" s="1083"/>
      <c r="AE75" s="1083" t="str">
        <f>'PIM Model'!$D$28</f>
        <v>%</v>
      </c>
      <c r="AF75" s="1083"/>
      <c r="AG75" s="1083" t="str">
        <f>'PIM Model'!$D$28</f>
        <v>%</v>
      </c>
      <c r="AH75" s="1083"/>
      <c r="AI75" s="1080" t="str">
        <f>'PIM Model'!$D$28</f>
        <v>%</v>
      </c>
      <c r="AJ75" s="1080"/>
      <c r="BF75" s="145"/>
    </row>
    <row r="76" spans="2:70" x14ac:dyDescent="0.25">
      <c r="B76" s="144"/>
      <c r="C76" s="950" t="s">
        <v>105</v>
      </c>
      <c r="D76" s="950"/>
      <c r="E76" s="950"/>
      <c r="F76" s="950"/>
      <c r="G76" s="950"/>
      <c r="H76" s="950"/>
      <c r="I76" s="950"/>
      <c r="J76" s="950"/>
      <c r="K76" s="950"/>
      <c r="L76" s="950"/>
      <c r="M76" s="950"/>
      <c r="N76" s="950"/>
      <c r="O76" s="950"/>
      <c r="P76" s="950"/>
      <c r="Q76" s="950"/>
      <c r="R76" s="950"/>
      <c r="S76" s="950"/>
      <c r="T76" s="950"/>
      <c r="U76" s="950"/>
      <c r="V76" s="950"/>
      <c r="W76" s="950"/>
      <c r="X76" s="950"/>
      <c r="Y76" s="950"/>
      <c r="Z76" s="950"/>
      <c r="AC76" s="1083" t="str">
        <f>'PIM Model'!$AD$22</f>
        <v/>
      </c>
      <c r="AD76" s="1083"/>
      <c r="AE76" s="1083" t="str">
        <f>'PIM Model'!$D$22</f>
        <v>%</v>
      </c>
      <c r="AF76" s="1083"/>
      <c r="AG76" s="1083" t="str">
        <f>'PIM Model'!$D$22</f>
        <v>%</v>
      </c>
      <c r="AH76" s="1083"/>
      <c r="AI76" s="1080" t="str">
        <f>'PIM Model'!$D$22</f>
        <v>%</v>
      </c>
      <c r="AJ76" s="1080"/>
      <c r="BF76" s="145"/>
    </row>
    <row r="77" spans="2:70" x14ac:dyDescent="0.25">
      <c r="B77" s="791"/>
      <c r="C77" s="1085" t="s">
        <v>762</v>
      </c>
      <c r="D77" s="1085"/>
      <c r="E77" s="1085"/>
      <c r="F77" s="1085"/>
      <c r="G77" s="1085"/>
      <c r="H77" s="1085"/>
      <c r="I77" s="1085"/>
      <c r="J77" s="1085"/>
      <c r="K77" s="1085"/>
      <c r="L77" s="1085"/>
      <c r="M77" s="1085"/>
      <c r="N77" s="1085"/>
      <c r="O77" s="1085"/>
      <c r="P77" s="1085"/>
      <c r="Q77" s="1085"/>
      <c r="R77" s="1085"/>
      <c r="S77" s="1085"/>
      <c r="T77" s="1085"/>
      <c r="U77" s="1085"/>
      <c r="V77" s="1085"/>
      <c r="W77" s="1085"/>
      <c r="X77" s="1085"/>
      <c r="Y77" s="1085"/>
      <c r="Z77" s="1085"/>
      <c r="AC77" s="1083" t="str">
        <f>'PIM Model'!$AD$12</f>
        <v/>
      </c>
      <c r="AD77" s="1083"/>
      <c r="AE77" s="1083" t="str">
        <f>'PIM Model'!$D$12</f>
        <v>%</v>
      </c>
      <c r="AF77" s="1083"/>
      <c r="AG77" s="1083" t="str">
        <f>'PIM Model'!$D$12</f>
        <v>%</v>
      </c>
      <c r="AH77" s="1083"/>
      <c r="AI77" s="1080" t="str">
        <f>'PIM Model'!$D$12</f>
        <v>%</v>
      </c>
      <c r="AJ77" s="1080"/>
      <c r="BF77" s="145"/>
    </row>
    <row r="78" spans="2:70" x14ac:dyDescent="0.25">
      <c r="B78" s="144"/>
      <c r="C78" s="1085" t="s">
        <v>763</v>
      </c>
      <c r="D78" s="1085"/>
      <c r="E78" s="1085"/>
      <c r="F78" s="1085"/>
      <c r="G78" s="1085"/>
      <c r="H78" s="1085"/>
      <c r="I78" s="1085"/>
      <c r="J78" s="1085"/>
      <c r="K78" s="1085"/>
      <c r="L78" s="1085"/>
      <c r="M78" s="1085"/>
      <c r="N78" s="1085"/>
      <c r="O78" s="1085"/>
      <c r="P78" s="1085"/>
      <c r="Q78" s="1085"/>
      <c r="R78" s="1085"/>
      <c r="S78" s="1085"/>
      <c r="T78" s="1085"/>
      <c r="U78" s="1085"/>
      <c r="V78" s="1085"/>
      <c r="W78" s="1085"/>
      <c r="X78" s="1085"/>
      <c r="Y78" s="1085"/>
      <c r="Z78" s="1085"/>
      <c r="AC78" s="772"/>
      <c r="AD78" s="772"/>
      <c r="AE78" s="772"/>
      <c r="AF78" s="772"/>
      <c r="AG78" s="772"/>
      <c r="AH78" s="772"/>
      <c r="BF78" s="145"/>
      <c r="BR78" s="307"/>
    </row>
    <row r="79" spans="2:70" x14ac:dyDescent="0.25">
      <c r="B79" s="144"/>
      <c r="BF79" s="145"/>
    </row>
    <row r="80" spans="2:70" x14ac:dyDescent="0.25">
      <c r="B80" s="144"/>
      <c r="BF80" s="145"/>
    </row>
    <row r="81" spans="1:70" x14ac:dyDescent="0.25">
      <c r="B81" s="144"/>
      <c r="D81" s="1080" t="s">
        <v>727</v>
      </c>
      <c r="E81" s="1080"/>
      <c r="F81" s="1080"/>
      <c r="G81" s="1080"/>
      <c r="H81" s="1080"/>
      <c r="I81" s="1080"/>
      <c r="J81" s="1080"/>
      <c r="K81" s="1080"/>
      <c r="L81" s="1080"/>
      <c r="M81" s="1080"/>
      <c r="N81" s="1080"/>
      <c r="O81" s="1080"/>
      <c r="P81" s="1080"/>
      <c r="Q81" s="1080"/>
      <c r="R81" s="1080"/>
      <c r="S81" s="1080"/>
      <c r="T81" s="1080"/>
      <c r="U81" s="1080"/>
      <c r="V81" s="1080"/>
      <c r="W81" s="1080"/>
      <c r="X81" s="1080"/>
      <c r="Y81" s="1080"/>
      <c r="Z81" s="1080"/>
      <c r="AA81" s="1080"/>
      <c r="AB81" s="1080"/>
      <c r="AC81" s="1080"/>
      <c r="AD81" s="1080"/>
      <c r="AE81" s="1080"/>
      <c r="AF81" s="1080"/>
      <c r="AG81" s="1080"/>
      <c r="AH81" s="1080"/>
      <c r="AI81" s="1080"/>
      <c r="AJ81" s="1080"/>
      <c r="AK81" s="1080"/>
      <c r="AL81" s="1080"/>
      <c r="AM81" s="1080"/>
      <c r="AN81" s="1080"/>
      <c r="AO81" s="1080"/>
      <c r="AP81" s="1080"/>
      <c r="AQ81" s="1080"/>
      <c r="AR81" s="1080"/>
      <c r="AS81" s="1080"/>
      <c r="AT81" s="1080"/>
      <c r="AU81" s="1080"/>
      <c r="AV81" s="1080"/>
      <c r="AW81" s="1080"/>
      <c r="AX81" s="1080"/>
      <c r="AY81" s="1080"/>
      <c r="AZ81" s="1080"/>
      <c r="BA81" s="1080"/>
      <c r="BB81" s="1080"/>
      <c r="BC81" s="1080"/>
      <c r="BD81" s="1080"/>
      <c r="BF81" s="145"/>
    </row>
    <row r="82" spans="1:70" x14ac:dyDescent="0.25">
      <c r="B82" s="144"/>
      <c r="D82" s="1081" t="s">
        <v>248</v>
      </c>
      <c r="E82" s="1081"/>
      <c r="F82" s="1080" t="s">
        <v>726</v>
      </c>
      <c r="G82" s="1080"/>
      <c r="H82" s="1080"/>
      <c r="I82" s="1080"/>
      <c r="J82" s="1080"/>
      <c r="K82" s="1080"/>
      <c r="L82" s="1080"/>
      <c r="M82" s="1080"/>
      <c r="N82" s="1080"/>
      <c r="O82" s="1080"/>
      <c r="P82" s="1080"/>
      <c r="Q82" s="1080"/>
      <c r="R82" s="1080"/>
      <c r="S82" s="1080"/>
      <c r="T82" s="1080"/>
      <c r="U82" s="1080"/>
      <c r="V82" s="1080"/>
      <c r="W82" s="1080"/>
      <c r="X82" s="1080"/>
      <c r="Y82" s="1080"/>
      <c r="Z82" s="1080"/>
      <c r="AA82" s="1080"/>
      <c r="AB82" s="1080"/>
      <c r="AC82" s="1080"/>
      <c r="AD82" s="1080"/>
      <c r="AE82" s="1080"/>
      <c r="AF82" s="1080"/>
      <c r="AG82" s="1080"/>
      <c r="AH82" s="1080"/>
      <c r="AI82" s="1080"/>
      <c r="AJ82" s="1080"/>
      <c r="AK82" s="1080"/>
      <c r="AL82" s="1080"/>
      <c r="AM82" s="1080"/>
      <c r="AN82" s="1080"/>
      <c r="AO82" s="1080"/>
      <c r="AP82" s="1080"/>
      <c r="AQ82" s="1080"/>
      <c r="AR82" s="1080"/>
      <c r="AS82" s="1080"/>
      <c r="AT82" s="1080"/>
      <c r="AU82" s="1080"/>
      <c r="AV82" s="1080"/>
      <c r="AW82" s="1080"/>
      <c r="AX82" s="1080"/>
      <c r="AY82" s="1080"/>
      <c r="AZ82" s="1080"/>
      <c r="BA82" s="1080"/>
      <c r="BB82" s="1080"/>
      <c r="BC82" s="1080"/>
      <c r="BD82" s="1080"/>
      <c r="BF82" s="145"/>
    </row>
    <row r="83" spans="1:70" x14ac:dyDescent="0.25">
      <c r="B83" s="144"/>
      <c r="D83" s="1082"/>
      <c r="E83" s="1082"/>
      <c r="F83" s="1080" t="s">
        <v>725</v>
      </c>
      <c r="G83" s="1080"/>
      <c r="H83" s="1080"/>
      <c r="I83" s="1080"/>
      <c r="J83" s="1080"/>
      <c r="K83" s="1080"/>
      <c r="L83" s="1080"/>
      <c r="M83" s="1080"/>
      <c r="N83" s="1080"/>
      <c r="O83" s="1080"/>
      <c r="P83" s="1080"/>
      <c r="Q83" s="1080"/>
      <c r="R83" s="1080"/>
      <c r="S83" s="1080"/>
      <c r="T83" s="1080"/>
      <c r="U83" s="1080"/>
      <c r="V83" s="1080"/>
      <c r="W83" s="1080"/>
      <c r="X83" s="1080"/>
      <c r="Y83" s="1080"/>
      <c r="Z83" s="1080"/>
      <c r="AA83" s="1080"/>
      <c r="AB83" s="1080"/>
      <c r="AC83" s="1080"/>
      <c r="AD83" s="1080"/>
      <c r="AE83" s="1080"/>
      <c r="AF83" s="1080"/>
      <c r="AG83" s="1080"/>
      <c r="AH83" s="1080"/>
      <c r="AI83" s="1080"/>
      <c r="AJ83" s="1080"/>
      <c r="AK83" s="1080"/>
      <c r="AL83" s="1080"/>
      <c r="AM83" s="1080"/>
      <c r="AN83" s="1080"/>
      <c r="AO83" s="1080"/>
      <c r="AP83" s="1080"/>
      <c r="AQ83" s="1080"/>
      <c r="AR83" s="1080"/>
      <c r="AS83" s="1080"/>
      <c r="AT83" s="1080"/>
      <c r="AU83" s="1080"/>
      <c r="AV83" s="1080"/>
      <c r="AW83" s="1080"/>
      <c r="AX83" s="1080"/>
      <c r="AY83" s="1080"/>
      <c r="AZ83" s="1080"/>
      <c r="BA83" s="1080"/>
      <c r="BB83" s="1080"/>
      <c r="BC83" s="1080"/>
      <c r="BD83" s="1080"/>
      <c r="BF83" s="145"/>
    </row>
    <row r="84" spans="1:70" x14ac:dyDescent="0.25">
      <c r="A84" s="314"/>
      <c r="B84" s="144"/>
      <c r="D84" s="1082"/>
      <c r="E84" s="1082"/>
      <c r="F84" s="1080" t="s">
        <v>724</v>
      </c>
      <c r="G84" s="1080"/>
      <c r="H84" s="1080"/>
      <c r="I84" s="1080"/>
      <c r="J84" s="1080"/>
      <c r="K84" s="1080"/>
      <c r="L84" s="1080"/>
      <c r="M84" s="1080"/>
      <c r="N84" s="1080"/>
      <c r="O84" s="1080"/>
      <c r="P84" s="1080"/>
      <c r="Q84" s="1080"/>
      <c r="R84" s="1080"/>
      <c r="S84" s="1080"/>
      <c r="T84" s="1080"/>
      <c r="U84" s="1080"/>
      <c r="V84" s="1080"/>
      <c r="W84" s="1080"/>
      <c r="X84" s="1080"/>
      <c r="Y84" s="1080"/>
      <c r="Z84" s="1080"/>
      <c r="AA84" s="1080"/>
      <c r="AB84" s="1080"/>
      <c r="AC84" s="1080"/>
      <c r="AD84" s="1080"/>
      <c r="AE84" s="1080"/>
      <c r="AF84" s="1080"/>
      <c r="AG84" s="1080"/>
      <c r="AH84" s="1080"/>
      <c r="AI84" s="1080"/>
      <c r="AJ84" s="1080"/>
      <c r="AK84" s="1080"/>
      <c r="AL84" s="1080"/>
      <c r="AM84" s="1080"/>
      <c r="AN84" s="1080"/>
      <c r="AO84" s="1080"/>
      <c r="AP84" s="1080"/>
      <c r="AQ84" s="1080"/>
      <c r="AR84" s="1080"/>
      <c r="AS84" s="1080"/>
      <c r="AT84" s="1080"/>
      <c r="AU84" s="1080"/>
      <c r="AV84" s="1080"/>
      <c r="AW84" s="1080"/>
      <c r="AX84" s="1080"/>
      <c r="AY84" s="1080"/>
      <c r="AZ84" s="1080"/>
      <c r="BA84" s="1080"/>
      <c r="BB84" s="1080"/>
      <c r="BC84" s="1080"/>
      <c r="BD84" s="1080"/>
      <c r="BF84" s="145"/>
    </row>
    <row r="85" spans="1:70" x14ac:dyDescent="0.25">
      <c r="B85" s="144"/>
      <c r="BF85" s="145"/>
    </row>
    <row r="86" spans="1:70" x14ac:dyDescent="0.25">
      <c r="B86" s="144"/>
      <c r="D86" s="1080" t="s">
        <v>723</v>
      </c>
      <c r="E86" s="1080"/>
      <c r="F86" s="1080"/>
      <c r="G86" s="1080"/>
      <c r="H86" s="1080"/>
      <c r="I86" s="1080"/>
      <c r="J86" s="1080"/>
      <c r="K86" s="1080"/>
      <c r="L86" s="1080"/>
      <c r="M86" s="1080"/>
      <c r="N86" s="1080"/>
      <c r="O86" s="1080"/>
      <c r="P86" s="1080"/>
      <c r="Q86" s="1080"/>
      <c r="R86" s="1080"/>
      <c r="S86" s="1080"/>
      <c r="T86" s="1080"/>
      <c r="U86" s="1080"/>
      <c r="V86" s="1080"/>
      <c r="W86" s="1080"/>
      <c r="X86" s="1080"/>
      <c r="Y86" s="1080"/>
      <c r="Z86" s="1080"/>
      <c r="AA86" s="1080"/>
      <c r="AB86" s="1080"/>
      <c r="AC86" s="1080"/>
      <c r="AD86" s="1080"/>
      <c r="AE86" s="1080"/>
      <c r="AF86" s="1080"/>
      <c r="AG86" s="1080"/>
      <c r="AH86" s="1080"/>
      <c r="AI86" s="1080"/>
      <c r="AJ86" s="1080"/>
      <c r="AK86" s="1080"/>
      <c r="AL86" s="1080"/>
      <c r="AM86" s="1080"/>
      <c r="AN86" s="1080"/>
      <c r="AO86" s="1080"/>
      <c r="AP86" s="1080"/>
      <c r="AQ86" s="1080"/>
      <c r="AR86" s="1080"/>
      <c r="AS86" s="1080"/>
      <c r="AT86" s="1080"/>
      <c r="AU86" s="1080"/>
      <c r="AV86" s="1080"/>
      <c r="AW86" s="1080"/>
      <c r="AX86" s="1080"/>
      <c r="AY86" s="1080"/>
      <c r="AZ86" s="1080"/>
      <c r="BA86" s="1080"/>
      <c r="BB86" s="1080"/>
      <c r="BC86" s="1080"/>
      <c r="BD86" s="1080"/>
      <c r="BF86" s="145"/>
    </row>
    <row r="87" spans="1:70" x14ac:dyDescent="0.25">
      <c r="B87" s="144"/>
      <c r="D87" s="1081" t="s">
        <v>248</v>
      </c>
      <c r="E87" s="1081"/>
      <c r="F87" s="1080" t="s">
        <v>722</v>
      </c>
      <c r="G87" s="1080"/>
      <c r="H87" s="1080"/>
      <c r="I87" s="1080"/>
      <c r="J87" s="1080"/>
      <c r="K87" s="1080"/>
      <c r="L87" s="1080"/>
      <c r="M87" s="1080"/>
      <c r="N87" s="1080"/>
      <c r="O87" s="1080"/>
      <c r="P87" s="1080"/>
      <c r="Q87" s="1080"/>
      <c r="R87" s="1080"/>
      <c r="S87" s="1080"/>
      <c r="T87" s="1080"/>
      <c r="U87" s="1080"/>
      <c r="V87" s="1080"/>
      <c r="W87" s="1080"/>
      <c r="X87" s="1080"/>
      <c r="Y87" s="1080"/>
      <c r="Z87" s="1080"/>
      <c r="AA87" s="1080"/>
      <c r="AB87" s="1080"/>
      <c r="AC87" s="1080"/>
      <c r="AD87" s="1080"/>
      <c r="AE87" s="1080"/>
      <c r="AF87" s="1080"/>
      <c r="AG87" s="1080"/>
      <c r="AH87" s="1080"/>
      <c r="AI87" s="1080"/>
      <c r="AJ87" s="1080"/>
      <c r="AK87" s="1080"/>
      <c r="AL87" s="1080"/>
      <c r="AM87" s="1080"/>
      <c r="AN87" s="1080"/>
      <c r="AO87" s="1080"/>
      <c r="AP87" s="1080"/>
      <c r="AQ87" s="1080"/>
      <c r="AR87" s="1080"/>
      <c r="AS87" s="1080"/>
      <c r="AT87" s="1080"/>
      <c r="AU87" s="1080"/>
      <c r="AV87" s="1080"/>
      <c r="AW87" s="1080"/>
      <c r="AX87" s="1080"/>
      <c r="AY87" s="1080"/>
      <c r="AZ87" s="1080"/>
      <c r="BA87" s="1080"/>
      <c r="BB87" s="1080"/>
      <c r="BC87" s="1080"/>
      <c r="BD87" s="1080"/>
      <c r="BF87" s="145"/>
    </row>
    <row r="88" spans="1:70" x14ac:dyDescent="0.25">
      <c r="B88" s="144"/>
      <c r="D88" s="1082"/>
      <c r="E88" s="1082"/>
      <c r="F88" s="1080" t="s">
        <v>721</v>
      </c>
      <c r="G88" s="1080"/>
      <c r="H88" s="1080"/>
      <c r="I88" s="1080"/>
      <c r="J88" s="1080"/>
      <c r="K88" s="1080"/>
      <c r="L88" s="1080"/>
      <c r="M88" s="1080"/>
      <c r="N88" s="1080"/>
      <c r="O88" s="1080"/>
      <c r="P88" s="1080"/>
      <c r="Q88" s="1080"/>
      <c r="R88" s="1080"/>
      <c r="S88" s="1080"/>
      <c r="T88" s="1080"/>
      <c r="U88" s="1080"/>
      <c r="V88" s="1080"/>
      <c r="W88" s="1080"/>
      <c r="X88" s="1080"/>
      <c r="Y88" s="1080"/>
      <c r="Z88" s="1080"/>
      <c r="AA88" s="1080"/>
      <c r="AB88" s="1080"/>
      <c r="AC88" s="1080"/>
      <c r="AD88" s="1080"/>
      <c r="AE88" s="1080"/>
      <c r="AF88" s="1080"/>
      <c r="AG88" s="1080"/>
      <c r="AH88" s="1080"/>
      <c r="AI88" s="1080"/>
      <c r="AJ88" s="1080"/>
      <c r="AK88" s="1080"/>
      <c r="AL88" s="1080"/>
      <c r="AM88" s="1080"/>
      <c r="AN88" s="1080"/>
      <c r="AO88" s="1080"/>
      <c r="AP88" s="1080"/>
      <c r="AQ88" s="1080"/>
      <c r="AR88" s="1080"/>
      <c r="AS88" s="1080"/>
      <c r="AT88" s="1080"/>
      <c r="AU88" s="1080"/>
      <c r="AV88" s="1080"/>
      <c r="AW88" s="1080"/>
      <c r="AX88" s="1080"/>
      <c r="AY88" s="1080"/>
      <c r="AZ88" s="1080"/>
      <c r="BA88" s="1080"/>
      <c r="BB88" s="1080"/>
      <c r="BC88" s="1080"/>
      <c r="BD88" s="1080"/>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92"/>
      <c r="C90" s="311"/>
      <c r="D90" s="311"/>
      <c r="E90" s="311"/>
      <c r="F90" s="311"/>
      <c r="G90" s="311"/>
      <c r="H90" s="311"/>
      <c r="I90" s="311"/>
      <c r="J90" s="311"/>
      <c r="K90" s="311"/>
      <c r="L90" s="311"/>
      <c r="M90" s="311"/>
      <c r="N90" s="311"/>
      <c r="O90" s="311"/>
      <c r="P90" s="311"/>
      <c r="Q90" s="311"/>
      <c r="R90" s="311"/>
      <c r="S90" s="311"/>
      <c r="T90" s="311"/>
      <c r="U90" s="311"/>
      <c r="V90" s="311"/>
      <c r="W90" s="311"/>
      <c r="X90" s="311"/>
      <c r="Y90" s="311"/>
      <c r="Z90" s="311"/>
      <c r="AA90" s="311"/>
      <c r="AB90" s="311"/>
      <c r="AC90" s="311"/>
      <c r="AD90" s="311"/>
      <c r="AE90" s="311"/>
      <c r="AF90" s="311"/>
      <c r="AG90" s="311"/>
      <c r="AH90" s="311"/>
      <c r="AI90" s="311"/>
      <c r="AJ90" s="311"/>
      <c r="AK90" s="311"/>
      <c r="AL90" s="311"/>
      <c r="AM90" s="311"/>
      <c r="AN90" s="311"/>
      <c r="AO90" s="311"/>
      <c r="AP90" s="311"/>
      <c r="AQ90" s="311"/>
      <c r="AR90" s="311"/>
      <c r="AS90" s="311"/>
      <c r="AT90" s="311"/>
      <c r="AU90" s="311"/>
      <c r="AV90" s="311"/>
      <c r="AW90" s="311"/>
      <c r="AX90" s="311"/>
      <c r="AY90" s="311"/>
      <c r="AZ90" s="311"/>
      <c r="BA90" s="311"/>
      <c r="BB90" s="311"/>
      <c r="BC90" s="311"/>
      <c r="BD90" s="311"/>
      <c r="BE90" s="311"/>
      <c r="BF90" s="770"/>
    </row>
    <row r="91" spans="1:70" x14ac:dyDescent="0.25">
      <c r="B91" s="144"/>
      <c r="BF91" s="145"/>
    </row>
    <row r="92" spans="1:70" ht="18.75" x14ac:dyDescent="0.3">
      <c r="B92" s="1092" t="s">
        <v>1067</v>
      </c>
      <c r="C92" s="1093"/>
      <c r="D92" s="1093"/>
      <c r="E92" s="1093"/>
      <c r="F92" s="1093"/>
      <c r="G92" s="1093"/>
      <c r="H92" s="1093"/>
      <c r="I92" s="1093"/>
      <c r="J92" s="1093"/>
      <c r="K92" s="1093"/>
      <c r="L92" s="1093"/>
      <c r="M92" s="1093"/>
      <c r="N92" s="1093"/>
      <c r="O92" s="1093"/>
      <c r="P92" s="1093"/>
      <c r="Q92" s="1093"/>
      <c r="R92" s="1093"/>
      <c r="S92" s="1093"/>
      <c r="T92" s="1093"/>
      <c r="U92" s="1093"/>
      <c r="V92" s="1093"/>
      <c r="W92" s="1093"/>
      <c r="X92" s="1093"/>
      <c r="Y92" s="1093"/>
      <c r="Z92" s="1093"/>
      <c r="AA92" s="1093"/>
      <c r="AB92" s="1093"/>
      <c r="AC92" s="1093"/>
      <c r="AD92" s="1093"/>
      <c r="AE92" s="1093"/>
      <c r="AF92" s="1093"/>
      <c r="AG92" s="1093"/>
      <c r="AH92" s="1093"/>
      <c r="AI92" s="1093"/>
      <c r="AJ92" s="1093"/>
      <c r="AK92" s="1093"/>
      <c r="AL92" s="1093"/>
      <c r="AM92" s="1093"/>
      <c r="AN92" s="1093"/>
      <c r="AO92" s="1093"/>
      <c r="AP92" s="1093"/>
      <c r="AQ92" s="1093"/>
      <c r="AR92" s="1093"/>
      <c r="AS92" s="1093"/>
      <c r="AT92" s="1093"/>
      <c r="AU92" s="1093"/>
      <c r="AV92" s="1093"/>
      <c r="AW92" s="1093"/>
      <c r="AX92" s="1093"/>
      <c r="AY92" s="1093"/>
      <c r="AZ92" s="1093"/>
      <c r="BA92" s="1093"/>
      <c r="BB92" s="1093"/>
      <c r="BC92" s="1093"/>
      <c r="BD92" s="1093"/>
      <c r="BE92" s="1093"/>
      <c r="BF92" s="1094"/>
    </row>
    <row r="93" spans="1:70" ht="15.75" thickBot="1" x14ac:dyDescent="0.3">
      <c r="B93" s="144"/>
      <c r="BF93" s="145"/>
      <c r="BR93" s="307"/>
    </row>
    <row r="94" spans="1:70" ht="15.75" thickBot="1" x14ac:dyDescent="0.3">
      <c r="B94" s="144"/>
      <c r="D94" s="1105" t="s">
        <v>770</v>
      </c>
      <c r="E94" s="1106"/>
      <c r="F94" s="1106"/>
      <c r="G94" s="1106"/>
      <c r="H94" s="1106"/>
      <c r="I94" s="1106"/>
      <c r="J94" s="1106"/>
      <c r="K94" s="1112" t="s">
        <v>772</v>
      </c>
      <c r="L94" s="1106"/>
      <c r="M94" s="1106"/>
      <c r="N94" s="1106"/>
      <c r="O94" s="1106"/>
      <c r="P94" s="1106"/>
      <c r="Q94" s="1106"/>
      <c r="R94" s="1106"/>
      <c r="S94" s="1106"/>
      <c r="T94" s="1106"/>
      <c r="U94" s="1112" t="s">
        <v>835</v>
      </c>
      <c r="V94" s="1106"/>
      <c r="W94" s="1106"/>
      <c r="X94" s="1106"/>
      <c r="Y94" s="1106"/>
      <c r="Z94" s="1106"/>
      <c r="AA94" s="1106"/>
      <c r="AB94" s="1106"/>
      <c r="AC94" s="1106"/>
      <c r="AD94" s="1106"/>
      <c r="AE94" s="1106"/>
      <c r="AF94" s="1106"/>
      <c r="AG94" s="1106"/>
      <c r="AH94" s="1106"/>
      <c r="AI94" s="1106"/>
      <c r="AJ94" s="1112" t="s">
        <v>840</v>
      </c>
      <c r="AK94" s="1106"/>
      <c r="AL94" s="1106"/>
      <c r="AM94" s="1106"/>
      <c r="AN94" s="1106"/>
      <c r="AO94" s="1106"/>
      <c r="AP94" s="1106"/>
      <c r="AQ94" s="1106"/>
      <c r="AR94" s="1106"/>
      <c r="AS94" s="1106"/>
      <c r="AT94" s="1124"/>
      <c r="AU94" s="1112" t="s">
        <v>841</v>
      </c>
      <c r="AV94" s="1106"/>
      <c r="AW94" s="1106"/>
      <c r="AX94" s="1124"/>
      <c r="AY94" s="1112" t="s">
        <v>887</v>
      </c>
      <c r="AZ94" s="1106"/>
      <c r="BA94" s="1106"/>
      <c r="BB94" s="1106"/>
      <c r="BC94" s="1134"/>
      <c r="BF94" s="145"/>
    </row>
    <row r="95" spans="1:70" x14ac:dyDescent="0.25">
      <c r="B95" s="144"/>
      <c r="C95" s="729">
        <v>1</v>
      </c>
      <c r="D95" s="1104">
        <f>'Customer Inputs'!$B$6</f>
        <v>0</v>
      </c>
      <c r="E95" s="1104"/>
      <c r="F95" s="1104"/>
      <c r="G95" s="1104"/>
      <c r="H95" s="1104"/>
      <c r="I95" s="1104"/>
      <c r="J95" s="1104"/>
      <c r="K95" s="1065" t="str">
        <f>IFERROR(IFERROR('Multi-Customer'!$AU$37,VLOOKUP($D95,'Required Info to Submit'!$E$18:$J$27,2,FALSE)),"")</f>
        <v/>
      </c>
      <c r="L95" s="1065"/>
      <c r="M95" s="1065"/>
      <c r="N95" s="1065"/>
      <c r="O95" s="1065"/>
      <c r="P95" s="1065"/>
      <c r="Q95" s="1065"/>
      <c r="R95" s="1065"/>
      <c r="S95" s="1065"/>
      <c r="T95" s="1065"/>
      <c r="U95" s="1065" t="str">
        <f>IFERROR(IFERROR('Multi-Customer'!$AU$39&amp;" "&amp;'Multi-Customer'!$AU$40,VLOOKUP($D95,'Required Info to Submit'!$E$18:$J$27,3,FALSE)),"")</f>
        <v/>
      </c>
      <c r="V95" s="1065"/>
      <c r="W95" s="1065"/>
      <c r="X95" s="1065"/>
      <c r="Y95" s="1065"/>
      <c r="Z95" s="1065"/>
      <c r="AA95" s="1065"/>
      <c r="AB95" s="1065"/>
      <c r="AC95" s="1065"/>
      <c r="AD95" s="1065"/>
      <c r="AE95" s="1065"/>
      <c r="AF95" s="1065"/>
      <c r="AG95" s="1065"/>
      <c r="AH95" s="1065"/>
      <c r="AI95" s="1065"/>
      <c r="AJ95" s="1121" t="str">
        <f>IFERROR(IFERROR('Multi-Customer'!$AU$41,VLOOKUP($D95,'Required Info to Submit'!$E$18:$J$27,4,FALSE)),"")</f>
        <v/>
      </c>
      <c r="AK95" s="1122"/>
      <c r="AL95" s="1122"/>
      <c r="AM95" s="1122"/>
      <c r="AN95" s="1122"/>
      <c r="AO95" s="1122"/>
      <c r="AP95" s="1122"/>
      <c r="AQ95" s="1122"/>
      <c r="AR95" s="1122"/>
      <c r="AS95" s="1122"/>
      <c r="AT95" s="1123"/>
      <c r="AU95" s="1125" t="str">
        <f>IFERROR(IFERROR('Multi-Customer'!$AU$42,VLOOKUP($D95,'Required Info to Submit'!$E$18:$J$27,5,FALSE)),"")</f>
        <v/>
      </c>
      <c r="AV95" s="1126"/>
      <c r="AW95" s="1126"/>
      <c r="AX95" s="1127"/>
      <c r="AY95" s="1131" t="str">
        <f>IFERROR(IFERROR('Multi-Customer'!$AU$43,VLOOKUP($D95,'Required Info to Submit'!$E$18:$J$27,6,FALSE)),"")</f>
        <v/>
      </c>
      <c r="AZ95" s="1132"/>
      <c r="BA95" s="1132"/>
      <c r="BB95" s="1132"/>
      <c r="BC95" s="1133"/>
      <c r="BF95" s="145"/>
    </row>
    <row r="96" spans="1:70" x14ac:dyDescent="0.25">
      <c r="B96" s="144"/>
      <c r="C96" s="730">
        <v>2</v>
      </c>
      <c r="D96" s="1103">
        <f>'Customer Inputs'!$B$7</f>
        <v>0</v>
      </c>
      <c r="E96" s="1103"/>
      <c r="F96" s="1103"/>
      <c r="G96" s="1103"/>
      <c r="H96" s="1103"/>
      <c r="I96" s="1103"/>
      <c r="J96" s="1103"/>
      <c r="K96" s="1052" t="str">
        <f>IFERROR(IFERROR('Multi-Customer'!$BD$37,VLOOKUP($D96,'Required Info to Submit'!$E$18:$J$27,2,FALSE)),"")</f>
        <v/>
      </c>
      <c r="L96" s="1052"/>
      <c r="M96" s="1052"/>
      <c r="N96" s="1052"/>
      <c r="O96" s="1052"/>
      <c r="P96" s="1052"/>
      <c r="Q96" s="1052"/>
      <c r="R96" s="1052"/>
      <c r="S96" s="1052"/>
      <c r="T96" s="1052"/>
      <c r="U96" s="1052" t="str">
        <f>IFERROR(IFERROR('Multi-Customer'!$BD$39&amp;" "&amp;'Multi-Customer'!$BD$40,VLOOKUP($D96,'Required Info to Submit'!$E$18:$J$27,3,FALSE)),"")</f>
        <v/>
      </c>
      <c r="V96" s="1052"/>
      <c r="W96" s="1052"/>
      <c r="X96" s="1052"/>
      <c r="Y96" s="1052"/>
      <c r="Z96" s="1052"/>
      <c r="AA96" s="1052"/>
      <c r="AB96" s="1052"/>
      <c r="AC96" s="1052"/>
      <c r="AD96" s="1052"/>
      <c r="AE96" s="1052"/>
      <c r="AF96" s="1052"/>
      <c r="AG96" s="1052"/>
      <c r="AH96" s="1052"/>
      <c r="AI96" s="1052"/>
      <c r="AJ96" s="1118" t="str">
        <f>IFERROR(IFERROR('Multi-Customer'!$BD$41,VLOOKUP($D96,'Required Info to Submit'!$E$18:$J$27,4,FALSE)),"")</f>
        <v/>
      </c>
      <c r="AK96" s="1119"/>
      <c r="AL96" s="1119"/>
      <c r="AM96" s="1119"/>
      <c r="AN96" s="1119"/>
      <c r="AO96" s="1119"/>
      <c r="AP96" s="1119"/>
      <c r="AQ96" s="1119"/>
      <c r="AR96" s="1119"/>
      <c r="AS96" s="1119"/>
      <c r="AT96" s="1120"/>
      <c r="AU96" s="988" t="str">
        <f>IFERROR(IFERROR('Multi-Customer'!$BD$42,VLOOKUP($D96,'Required Info to Submit'!$E$18:$J$27,5,FALSE)),"")</f>
        <v/>
      </c>
      <c r="AV96" s="989"/>
      <c r="AW96" s="989"/>
      <c r="AX96" s="990"/>
      <c r="AY96" s="1043" t="str">
        <f>IFERROR(IFERROR('Multi-Customer'!$BD$43,VLOOKUP($D96,'Required Info to Submit'!$E$18:$J$27,6,FALSE)),"")</f>
        <v/>
      </c>
      <c r="AZ96" s="1044"/>
      <c r="BA96" s="1044"/>
      <c r="BB96" s="1044"/>
      <c r="BC96" s="1045"/>
      <c r="BF96" s="145"/>
    </row>
    <row r="97" spans="2:58" x14ac:dyDescent="0.25">
      <c r="B97" s="144"/>
      <c r="C97" s="730">
        <v>3</v>
      </c>
      <c r="D97" s="1103">
        <f>'Customer Inputs'!$B$8</f>
        <v>0</v>
      </c>
      <c r="E97" s="1103"/>
      <c r="F97" s="1103"/>
      <c r="G97" s="1103"/>
      <c r="H97" s="1103"/>
      <c r="I97" s="1103"/>
      <c r="J97" s="1103"/>
      <c r="K97" s="1052" t="str">
        <f>IFERROR(IFERROR('Multi-Customer'!$BM$37,VLOOKUP($D97,'Required Info to Submit'!$E$18:$J$27,2,FALSE)),"")</f>
        <v/>
      </c>
      <c r="L97" s="1052"/>
      <c r="M97" s="1052"/>
      <c r="N97" s="1052"/>
      <c r="O97" s="1052"/>
      <c r="P97" s="1052"/>
      <c r="Q97" s="1052"/>
      <c r="R97" s="1052"/>
      <c r="S97" s="1052"/>
      <c r="T97" s="1052"/>
      <c r="U97" s="1052" t="str">
        <f>IFERROR(IFERROR('Multi-Customer'!$BM$39&amp;" "&amp;'Multi-Customer'!$BM$40,VLOOKUP($D97,'Required Info to Submit'!$E$18:$J$27,3,FALSE)),"")</f>
        <v/>
      </c>
      <c r="V97" s="1052"/>
      <c r="W97" s="1052"/>
      <c r="X97" s="1052"/>
      <c r="Y97" s="1052"/>
      <c r="Z97" s="1052"/>
      <c r="AA97" s="1052"/>
      <c r="AB97" s="1052"/>
      <c r="AC97" s="1052"/>
      <c r="AD97" s="1052"/>
      <c r="AE97" s="1052"/>
      <c r="AF97" s="1052"/>
      <c r="AG97" s="1052"/>
      <c r="AH97" s="1052"/>
      <c r="AI97" s="1052"/>
      <c r="AJ97" s="1118" t="str">
        <f>IFERROR(IFERROR('Multi-Customer'!$BM$41,VLOOKUP($D97,'Required Info to Submit'!$E$18:$J$27,4,FALSE)),"")</f>
        <v/>
      </c>
      <c r="AK97" s="1119"/>
      <c r="AL97" s="1119"/>
      <c r="AM97" s="1119"/>
      <c r="AN97" s="1119"/>
      <c r="AO97" s="1119"/>
      <c r="AP97" s="1119"/>
      <c r="AQ97" s="1119"/>
      <c r="AR97" s="1119"/>
      <c r="AS97" s="1119"/>
      <c r="AT97" s="1120"/>
      <c r="AU97" s="988" t="str">
        <f>IFERROR(IFERROR('Multi-Customer'!$BM$42,VLOOKUP($D97,'Required Info to Submit'!$E$18:$J$27,5,FALSE)),"")</f>
        <v/>
      </c>
      <c r="AV97" s="989"/>
      <c r="AW97" s="989"/>
      <c r="AX97" s="990"/>
      <c r="AY97" s="1043" t="str">
        <f>IFERROR(IFERROR('Multi-Customer'!$BM$43,VLOOKUP($D97,'Required Info to Submit'!$E$18:$J$27,6,FALSE)),"")</f>
        <v/>
      </c>
      <c r="AZ97" s="1044"/>
      <c r="BA97" s="1044"/>
      <c r="BB97" s="1044"/>
      <c r="BC97" s="1045"/>
      <c r="BF97" s="145"/>
    </row>
    <row r="98" spans="2:58" x14ac:dyDescent="0.25">
      <c r="B98" s="144"/>
      <c r="C98" s="730">
        <v>4</v>
      </c>
      <c r="D98" s="1103">
        <f>'Customer Inputs'!$B$9</f>
        <v>0</v>
      </c>
      <c r="E98" s="1103"/>
      <c r="F98" s="1103"/>
      <c r="G98" s="1103"/>
      <c r="H98" s="1103"/>
      <c r="I98" s="1103"/>
      <c r="J98" s="1103"/>
      <c r="K98" s="1052" t="str">
        <f>IFERROR(IFERROR('Multi-Customer'!$BV$37,VLOOKUP($D98,'Required Info to Submit'!$E$18:$J$27,2,FALSE)),"")</f>
        <v/>
      </c>
      <c r="L98" s="1052"/>
      <c r="M98" s="1052"/>
      <c r="N98" s="1052"/>
      <c r="O98" s="1052"/>
      <c r="P98" s="1052"/>
      <c r="Q98" s="1052"/>
      <c r="R98" s="1052"/>
      <c r="S98" s="1052"/>
      <c r="T98" s="1052"/>
      <c r="U98" s="1052" t="str">
        <f>IFERROR(IFERROR('Multi-Customer'!$BV$39&amp;" "&amp;'Multi-Customer'!$BV$40,VLOOKUP($D98,'Required Info to Submit'!$E$18:$J$27,3,FALSE)),"")</f>
        <v/>
      </c>
      <c r="V98" s="1052"/>
      <c r="W98" s="1052"/>
      <c r="X98" s="1052"/>
      <c r="Y98" s="1052"/>
      <c r="Z98" s="1052"/>
      <c r="AA98" s="1052"/>
      <c r="AB98" s="1052"/>
      <c r="AC98" s="1052"/>
      <c r="AD98" s="1052"/>
      <c r="AE98" s="1052"/>
      <c r="AF98" s="1052"/>
      <c r="AG98" s="1052"/>
      <c r="AH98" s="1052"/>
      <c r="AI98" s="1052"/>
      <c r="AJ98" s="1118" t="str">
        <f>IFERROR(IFERROR('Multi-Customer'!$BV$41,VLOOKUP($D98,'Required Info to Submit'!$E$18:$J$27,4,FALSE)),"")</f>
        <v/>
      </c>
      <c r="AK98" s="1119"/>
      <c r="AL98" s="1119"/>
      <c r="AM98" s="1119"/>
      <c r="AN98" s="1119"/>
      <c r="AO98" s="1119"/>
      <c r="AP98" s="1119"/>
      <c r="AQ98" s="1119"/>
      <c r="AR98" s="1119"/>
      <c r="AS98" s="1119"/>
      <c r="AT98" s="1120"/>
      <c r="AU98" s="988" t="str">
        <f>IFERROR(IFERROR('Multi-Customer'!$BV$42,VLOOKUP($D98,'Required Info to Submit'!$E$18:$J$27,5,FALSE)),"")</f>
        <v/>
      </c>
      <c r="AV98" s="989"/>
      <c r="AW98" s="989"/>
      <c r="AX98" s="990"/>
      <c r="AY98" s="1043" t="str">
        <f>IFERROR(IFERROR('Multi-Customer'!$BV$43,VLOOKUP($D98,'Required Info to Submit'!$E$18:$J$27,6,FALSE)),"")</f>
        <v/>
      </c>
      <c r="AZ98" s="1044"/>
      <c r="BA98" s="1044"/>
      <c r="BB98" s="1044"/>
      <c r="BC98" s="1045"/>
      <c r="BF98" s="145"/>
    </row>
    <row r="99" spans="2:58" x14ac:dyDescent="0.25">
      <c r="B99" s="144"/>
      <c r="C99" s="730">
        <v>5</v>
      </c>
      <c r="D99" s="1103">
        <f>'Customer Inputs'!$B$10</f>
        <v>0</v>
      </c>
      <c r="E99" s="1103"/>
      <c r="F99" s="1103"/>
      <c r="G99" s="1103"/>
      <c r="H99" s="1103"/>
      <c r="I99" s="1103"/>
      <c r="J99" s="1103"/>
      <c r="K99" s="1052" t="str">
        <f>IFERROR(IFERROR('Multi-Customer'!$CE$37,VLOOKUP($D99,'Required Info to Submit'!$E$18:$J$27,2,FALSE)),"")</f>
        <v/>
      </c>
      <c r="L99" s="1052"/>
      <c r="M99" s="1052"/>
      <c r="N99" s="1052"/>
      <c r="O99" s="1052"/>
      <c r="P99" s="1052"/>
      <c r="Q99" s="1052"/>
      <c r="R99" s="1052"/>
      <c r="S99" s="1052"/>
      <c r="T99" s="1052"/>
      <c r="U99" s="1052" t="str">
        <f>IFERROR(IFERROR('Multi-Customer'!$CE$39&amp;" "&amp;'Multi-Customer'!$CE$40,VLOOKUP($D99,'Required Info to Submit'!$E$18:$J$27,3,FALSE)),"")</f>
        <v/>
      </c>
      <c r="V99" s="1052"/>
      <c r="W99" s="1052"/>
      <c r="X99" s="1052"/>
      <c r="Y99" s="1052"/>
      <c r="Z99" s="1052"/>
      <c r="AA99" s="1052"/>
      <c r="AB99" s="1052"/>
      <c r="AC99" s="1052"/>
      <c r="AD99" s="1052"/>
      <c r="AE99" s="1052"/>
      <c r="AF99" s="1052"/>
      <c r="AG99" s="1052"/>
      <c r="AH99" s="1052"/>
      <c r="AI99" s="1052"/>
      <c r="AJ99" s="1118" t="str">
        <f>IFERROR(IFERROR('Multi-Customer'!$CE$41,VLOOKUP($D99,'Required Info to Submit'!$E$18:$J$27,4,FALSE)),"")</f>
        <v/>
      </c>
      <c r="AK99" s="1119"/>
      <c r="AL99" s="1119"/>
      <c r="AM99" s="1119"/>
      <c r="AN99" s="1119"/>
      <c r="AO99" s="1119"/>
      <c r="AP99" s="1119"/>
      <c r="AQ99" s="1119"/>
      <c r="AR99" s="1119"/>
      <c r="AS99" s="1119"/>
      <c r="AT99" s="1120"/>
      <c r="AU99" s="988" t="str">
        <f>IFERROR(IFERROR('Multi-Customer'!$CE$42,VLOOKUP($D99,'Required Info to Submit'!$E$18:$J$27,5,FALSE)),"")</f>
        <v/>
      </c>
      <c r="AV99" s="989"/>
      <c r="AW99" s="989"/>
      <c r="AX99" s="990"/>
      <c r="AY99" s="1043" t="str">
        <f>IFERROR(IFERROR('Multi-Customer'!$CE$43,VLOOKUP($D99,'Required Info to Submit'!$E$18:$J$27,6,FALSE)),"")</f>
        <v/>
      </c>
      <c r="AZ99" s="1044"/>
      <c r="BA99" s="1044"/>
      <c r="BB99" s="1044"/>
      <c r="BC99" s="1045"/>
      <c r="BF99" s="145"/>
    </row>
    <row r="100" spans="2:58" x14ac:dyDescent="0.25">
      <c r="B100" s="144"/>
      <c r="C100" s="730">
        <v>6</v>
      </c>
      <c r="D100" s="1103">
        <f>'Customer Inputs'!$B$11</f>
        <v>0</v>
      </c>
      <c r="E100" s="1103"/>
      <c r="F100" s="1103"/>
      <c r="G100" s="1103"/>
      <c r="H100" s="1103"/>
      <c r="I100" s="1103"/>
      <c r="J100" s="1103"/>
      <c r="K100" s="1052" t="str">
        <f>IFERROR(IFERROR('Multi-Customer'!$CN$37,VLOOKUP($D100,'Required Info to Submit'!$E$18:$J$27,2,FALSE)),"")</f>
        <v/>
      </c>
      <c r="L100" s="1052"/>
      <c r="M100" s="1052"/>
      <c r="N100" s="1052"/>
      <c r="O100" s="1052"/>
      <c r="P100" s="1052"/>
      <c r="Q100" s="1052"/>
      <c r="R100" s="1052"/>
      <c r="S100" s="1052"/>
      <c r="T100" s="1052"/>
      <c r="U100" s="1052" t="str">
        <f>IFERROR(IFERROR('Multi-Customer'!$CN$39&amp;" "&amp;'Multi-Customer'!$CN$40,VLOOKUP($D100,'Required Info to Submit'!$E$18:$J$27,3,FALSE)),"")</f>
        <v/>
      </c>
      <c r="V100" s="1052"/>
      <c r="W100" s="1052"/>
      <c r="X100" s="1052"/>
      <c r="Y100" s="1052"/>
      <c r="Z100" s="1052"/>
      <c r="AA100" s="1052"/>
      <c r="AB100" s="1052"/>
      <c r="AC100" s="1052"/>
      <c r="AD100" s="1052"/>
      <c r="AE100" s="1052"/>
      <c r="AF100" s="1052"/>
      <c r="AG100" s="1052"/>
      <c r="AH100" s="1052"/>
      <c r="AI100" s="1052"/>
      <c r="AJ100" s="1118" t="str">
        <f>IFERROR(IFERROR('Multi-Customer'!$CN$41,VLOOKUP($D100,'Required Info to Submit'!$E$18:$J$27,4,FALSE)),"")</f>
        <v/>
      </c>
      <c r="AK100" s="1119"/>
      <c r="AL100" s="1119"/>
      <c r="AM100" s="1119"/>
      <c r="AN100" s="1119"/>
      <c r="AO100" s="1119"/>
      <c r="AP100" s="1119"/>
      <c r="AQ100" s="1119"/>
      <c r="AR100" s="1119"/>
      <c r="AS100" s="1119"/>
      <c r="AT100" s="1120"/>
      <c r="AU100" s="988" t="str">
        <f>IFERROR(IFERROR('Multi-Customer'!$CN$42,VLOOKUP($D100,'Required Info to Submit'!$E$18:$J$27,5,FALSE)),"")</f>
        <v/>
      </c>
      <c r="AV100" s="989"/>
      <c r="AW100" s="989"/>
      <c r="AX100" s="990"/>
      <c r="AY100" s="1043" t="str">
        <f>IFERROR(IFERROR('Multi-Customer'!$CN$43,VLOOKUP($D100,'Required Info to Submit'!$E$18:$J$27,6,FALSE)),"")</f>
        <v/>
      </c>
      <c r="AZ100" s="1044"/>
      <c r="BA100" s="1044"/>
      <c r="BB100" s="1044"/>
      <c r="BC100" s="1045"/>
      <c r="BF100" s="145"/>
    </row>
    <row r="101" spans="2:58" x14ac:dyDescent="0.25">
      <c r="B101" s="144"/>
      <c r="C101" s="730">
        <v>7</v>
      </c>
      <c r="D101" s="1103">
        <f>'Customer Inputs'!$B$12</f>
        <v>0</v>
      </c>
      <c r="E101" s="1103"/>
      <c r="F101" s="1103"/>
      <c r="G101" s="1103"/>
      <c r="H101" s="1103"/>
      <c r="I101" s="1103"/>
      <c r="J101" s="1103"/>
      <c r="K101" s="1052" t="str">
        <f>IFERROR(IFERROR('Multi-Customer'!$CW$37,VLOOKUP($D101,'Required Info to Submit'!$E$18:$J$27,2,FALSE)),"")</f>
        <v/>
      </c>
      <c r="L101" s="1052"/>
      <c r="M101" s="1052"/>
      <c r="N101" s="1052"/>
      <c r="O101" s="1052"/>
      <c r="P101" s="1052"/>
      <c r="Q101" s="1052"/>
      <c r="R101" s="1052"/>
      <c r="S101" s="1052"/>
      <c r="T101" s="1052"/>
      <c r="U101" s="1052" t="str">
        <f>IFERROR(IFERROR('Multi-Customer'!$CW$39&amp;" "&amp;'Multi-Customer'!$CW$40,VLOOKUP($D101,'Required Info to Submit'!$E$18:$J$27,3,FALSE)),"")</f>
        <v/>
      </c>
      <c r="V101" s="1052"/>
      <c r="W101" s="1052"/>
      <c r="X101" s="1052"/>
      <c r="Y101" s="1052"/>
      <c r="Z101" s="1052"/>
      <c r="AA101" s="1052"/>
      <c r="AB101" s="1052"/>
      <c r="AC101" s="1052"/>
      <c r="AD101" s="1052"/>
      <c r="AE101" s="1052"/>
      <c r="AF101" s="1052"/>
      <c r="AG101" s="1052"/>
      <c r="AH101" s="1052"/>
      <c r="AI101" s="1052"/>
      <c r="AJ101" s="1118" t="str">
        <f>IFERROR(IFERROR('Multi-Customer'!$CW$41,VLOOKUP($D101,'Required Info to Submit'!$E$18:$J$27,4,FALSE)),"")</f>
        <v/>
      </c>
      <c r="AK101" s="1119"/>
      <c r="AL101" s="1119"/>
      <c r="AM101" s="1119"/>
      <c r="AN101" s="1119"/>
      <c r="AO101" s="1119"/>
      <c r="AP101" s="1119"/>
      <c r="AQ101" s="1119"/>
      <c r="AR101" s="1119"/>
      <c r="AS101" s="1119"/>
      <c r="AT101" s="1120"/>
      <c r="AU101" s="988" t="str">
        <f>IFERROR(IFERROR('Multi-Customer'!$CW$42,VLOOKUP($D101,'Required Info to Submit'!$E$18:$J$27,5,FALSE)),"")</f>
        <v/>
      </c>
      <c r="AV101" s="989"/>
      <c r="AW101" s="989"/>
      <c r="AX101" s="990"/>
      <c r="AY101" s="1043" t="str">
        <f>IFERROR(IFERROR('Multi-Customer'!$CW$43,VLOOKUP($D101,'Required Info to Submit'!$E$18:$J$27,6,FALSE)),"")</f>
        <v/>
      </c>
      <c r="AZ101" s="1044"/>
      <c r="BA101" s="1044"/>
      <c r="BB101" s="1044"/>
      <c r="BC101" s="1045"/>
      <c r="BF101" s="145"/>
    </row>
    <row r="102" spans="2:58" x14ac:dyDescent="0.25">
      <c r="B102" s="144"/>
      <c r="C102" s="730">
        <v>8</v>
      </c>
      <c r="D102" s="1103">
        <f>'Customer Inputs'!$B$13</f>
        <v>0</v>
      </c>
      <c r="E102" s="1103"/>
      <c r="F102" s="1103"/>
      <c r="G102" s="1103"/>
      <c r="H102" s="1103"/>
      <c r="I102" s="1103"/>
      <c r="J102" s="1103"/>
      <c r="K102" s="1052" t="str">
        <f>IFERROR(IFERROR('Multi-Customer'!$DF$37,VLOOKUP($D102,'Required Info to Submit'!$E$18:$J$27,2,FALSE)),"")</f>
        <v/>
      </c>
      <c r="L102" s="1052"/>
      <c r="M102" s="1052"/>
      <c r="N102" s="1052"/>
      <c r="O102" s="1052"/>
      <c r="P102" s="1052"/>
      <c r="Q102" s="1052"/>
      <c r="R102" s="1052"/>
      <c r="S102" s="1052"/>
      <c r="T102" s="1052"/>
      <c r="U102" s="1052" t="str">
        <f>IFERROR(IFERROR('Multi-Customer'!$DF$39&amp;" "&amp;'Multi-Customer'!$DF$40,VLOOKUP($D102,'Required Info to Submit'!$E$18:$J$27,3,FALSE)),"")</f>
        <v/>
      </c>
      <c r="V102" s="1052"/>
      <c r="W102" s="1052"/>
      <c r="X102" s="1052"/>
      <c r="Y102" s="1052"/>
      <c r="Z102" s="1052"/>
      <c r="AA102" s="1052"/>
      <c r="AB102" s="1052"/>
      <c r="AC102" s="1052"/>
      <c r="AD102" s="1052"/>
      <c r="AE102" s="1052"/>
      <c r="AF102" s="1052"/>
      <c r="AG102" s="1052"/>
      <c r="AH102" s="1052"/>
      <c r="AI102" s="1052"/>
      <c r="AJ102" s="1118" t="str">
        <f>IFERROR(IFERROR('Multi-Customer'!$DF$41,VLOOKUP($D102,'Required Info to Submit'!$E$18:$J$27,4,FALSE)),"")</f>
        <v/>
      </c>
      <c r="AK102" s="1119"/>
      <c r="AL102" s="1119"/>
      <c r="AM102" s="1119"/>
      <c r="AN102" s="1119"/>
      <c r="AO102" s="1119"/>
      <c r="AP102" s="1119"/>
      <c r="AQ102" s="1119"/>
      <c r="AR102" s="1119"/>
      <c r="AS102" s="1119"/>
      <c r="AT102" s="1120"/>
      <c r="AU102" s="988" t="str">
        <f>IFERROR(IFERROR('Multi-Customer'!$DF$42,VLOOKUP($D102,'Required Info to Submit'!$E$18:$J$27,5,FALSE)),"")</f>
        <v/>
      </c>
      <c r="AV102" s="989"/>
      <c r="AW102" s="989"/>
      <c r="AX102" s="990"/>
      <c r="AY102" s="1043" t="str">
        <f>IFERROR(IFERROR('Multi-Customer'!$DF$43,VLOOKUP($D102,'Required Info to Submit'!$E$18:$J$27,6,FALSE)),"")</f>
        <v/>
      </c>
      <c r="AZ102" s="1044"/>
      <c r="BA102" s="1044"/>
      <c r="BB102" s="1044"/>
      <c r="BC102" s="1045"/>
      <c r="BF102" s="145"/>
    </row>
    <row r="103" spans="2:58" x14ac:dyDescent="0.25">
      <c r="B103" s="144"/>
      <c r="C103" s="730">
        <v>9</v>
      </c>
      <c r="D103" s="1103">
        <f>'Customer Inputs'!$B$14</f>
        <v>0</v>
      </c>
      <c r="E103" s="1103"/>
      <c r="F103" s="1103"/>
      <c r="G103" s="1103"/>
      <c r="H103" s="1103"/>
      <c r="I103" s="1103"/>
      <c r="J103" s="1103"/>
      <c r="K103" s="1052" t="str">
        <f>IFERROR(IFERROR('Multi-Customer'!$DO$37,VLOOKUP($D103,'Required Info to Submit'!$E$18:$J$27,2,FALSE)),"")</f>
        <v/>
      </c>
      <c r="L103" s="1052"/>
      <c r="M103" s="1052"/>
      <c r="N103" s="1052"/>
      <c r="O103" s="1052"/>
      <c r="P103" s="1052"/>
      <c r="Q103" s="1052"/>
      <c r="R103" s="1052"/>
      <c r="S103" s="1052"/>
      <c r="T103" s="1052"/>
      <c r="U103" s="1052" t="str">
        <f>IFERROR(IFERROR('Multi-Customer'!$DO$39&amp;" "&amp;'Multi-Customer'!$DO$40,VLOOKUP($D103,'Required Info to Submit'!$E$18:$J$27,3,FALSE)),"")</f>
        <v/>
      </c>
      <c r="V103" s="1052"/>
      <c r="W103" s="1052"/>
      <c r="X103" s="1052"/>
      <c r="Y103" s="1052"/>
      <c r="Z103" s="1052"/>
      <c r="AA103" s="1052"/>
      <c r="AB103" s="1052"/>
      <c r="AC103" s="1052"/>
      <c r="AD103" s="1052"/>
      <c r="AE103" s="1052"/>
      <c r="AF103" s="1052"/>
      <c r="AG103" s="1052"/>
      <c r="AH103" s="1052"/>
      <c r="AI103" s="1052"/>
      <c r="AJ103" s="1118" t="str">
        <f>IFERROR(IFERROR('Multi-Customer'!$DO$41,VLOOKUP($D103,'Required Info to Submit'!$E$18:$J$27,4,FALSE)),"")</f>
        <v/>
      </c>
      <c r="AK103" s="1119"/>
      <c r="AL103" s="1119"/>
      <c r="AM103" s="1119"/>
      <c r="AN103" s="1119"/>
      <c r="AO103" s="1119"/>
      <c r="AP103" s="1119"/>
      <c r="AQ103" s="1119"/>
      <c r="AR103" s="1119"/>
      <c r="AS103" s="1119"/>
      <c r="AT103" s="1120"/>
      <c r="AU103" s="988" t="str">
        <f>IFERROR(IFERROR('Multi-Customer'!$DO$42,VLOOKUP($D103,'Required Info to Submit'!$E$18:$J$27,5,FALSE)),"")</f>
        <v/>
      </c>
      <c r="AV103" s="989"/>
      <c r="AW103" s="989"/>
      <c r="AX103" s="990"/>
      <c r="AY103" s="1043" t="str">
        <f>IFERROR(IFERROR('Multi-Customer'!$DO$43,VLOOKUP($D103,'Required Info to Submit'!$E$18:$J$27,6,FALSE)),"")</f>
        <v/>
      </c>
      <c r="AZ103" s="1044"/>
      <c r="BA103" s="1044"/>
      <c r="BB103" s="1044"/>
      <c r="BC103" s="1045"/>
      <c r="BF103" s="145"/>
    </row>
    <row r="104" spans="2:58" ht="15.75" thickBot="1" x14ac:dyDescent="0.3">
      <c r="B104" s="144"/>
      <c r="C104" s="731">
        <v>10</v>
      </c>
      <c r="D104" s="1114">
        <f>'Customer Inputs'!$B$15</f>
        <v>0</v>
      </c>
      <c r="E104" s="1114"/>
      <c r="F104" s="1114"/>
      <c r="G104" s="1114"/>
      <c r="H104" s="1114"/>
      <c r="I104" s="1114"/>
      <c r="J104" s="1114"/>
      <c r="K104" s="1113" t="str">
        <f>IFERROR(IFERROR('Multi-Customer'!$DX$37,VLOOKUP($D104,'Required Info to Submit'!$E$18:$J$27,2,FALSE)),"")</f>
        <v/>
      </c>
      <c r="L104" s="1113"/>
      <c r="M104" s="1113"/>
      <c r="N104" s="1113"/>
      <c r="O104" s="1113"/>
      <c r="P104" s="1113"/>
      <c r="Q104" s="1113"/>
      <c r="R104" s="1113"/>
      <c r="S104" s="1113"/>
      <c r="T104" s="1113"/>
      <c r="U104" s="1113" t="str">
        <f>IFERROR(IFERROR('Multi-Customer'!$DX$39&amp;" "&amp;'Multi-Customer'!$DX$40,VLOOKUP($D104,'Required Info to Submit'!$E$18:$J$27,3,FALSE)),"")</f>
        <v/>
      </c>
      <c r="V104" s="1113"/>
      <c r="W104" s="1113"/>
      <c r="X104" s="1113"/>
      <c r="Y104" s="1113"/>
      <c r="Z104" s="1113"/>
      <c r="AA104" s="1113"/>
      <c r="AB104" s="1113"/>
      <c r="AC104" s="1113"/>
      <c r="AD104" s="1113"/>
      <c r="AE104" s="1113"/>
      <c r="AF104" s="1113"/>
      <c r="AG104" s="1113"/>
      <c r="AH104" s="1113"/>
      <c r="AI104" s="1113"/>
      <c r="AJ104" s="1115" t="str">
        <f>IFERROR(IFERROR('Multi-Customer'!$DX$41,VLOOKUP($D104,'Required Info to Submit'!$E$18:$J$27,4,FALSE)),"")</f>
        <v/>
      </c>
      <c r="AK104" s="1116"/>
      <c r="AL104" s="1116"/>
      <c r="AM104" s="1116"/>
      <c r="AN104" s="1116"/>
      <c r="AO104" s="1116"/>
      <c r="AP104" s="1116"/>
      <c r="AQ104" s="1116"/>
      <c r="AR104" s="1116"/>
      <c r="AS104" s="1116"/>
      <c r="AT104" s="1117"/>
      <c r="AU104" s="1135" t="str">
        <f>IFERROR(IFERROR('Multi-Customer'!$DX$42,VLOOKUP($D104,'Required Info to Submit'!$E$18:$J$27,5,FALSE)),"")</f>
        <v/>
      </c>
      <c r="AV104" s="1136"/>
      <c r="AW104" s="1136"/>
      <c r="AX104" s="1137"/>
      <c r="AY104" s="1128" t="str">
        <f>IFERROR(IFERROR('Multi-Customer'!$DX$43,VLOOKUP($D104,'Required Info to Submit'!$E$18:$J$27,6,FALSE)),"")</f>
        <v/>
      </c>
      <c r="AZ104" s="1129"/>
      <c r="BA104" s="1129"/>
      <c r="BB104" s="1129"/>
      <c r="BC104" s="1130"/>
      <c r="BF104" s="145"/>
    </row>
    <row r="105" spans="2:58" x14ac:dyDescent="0.25">
      <c r="B105" s="144"/>
      <c r="BF105" s="145"/>
    </row>
    <row r="106" spans="2:58" x14ac:dyDescent="0.25">
      <c r="B106" s="144"/>
      <c r="BF106" s="145"/>
    </row>
    <row r="107" spans="2:58" ht="18.75" x14ac:dyDescent="0.3">
      <c r="B107" s="1092" t="s">
        <v>1075</v>
      </c>
      <c r="C107" s="1093"/>
      <c r="D107" s="1093"/>
      <c r="E107" s="1093"/>
      <c r="F107" s="1093"/>
      <c r="G107" s="1093"/>
      <c r="H107" s="1093"/>
      <c r="I107" s="1093"/>
      <c r="J107" s="1093"/>
      <c r="K107" s="1093"/>
      <c r="L107" s="1093"/>
      <c r="M107" s="1093"/>
      <c r="N107" s="1093"/>
      <c r="O107" s="1093"/>
      <c r="P107" s="1093"/>
      <c r="Q107" s="1093"/>
      <c r="R107" s="1093"/>
      <c r="S107" s="1093"/>
      <c r="T107" s="1093"/>
      <c r="U107" s="1093"/>
      <c r="V107" s="1093"/>
      <c r="W107" s="1093"/>
      <c r="X107" s="1093"/>
      <c r="Y107" s="1093"/>
      <c r="Z107" s="1093"/>
      <c r="AA107" s="1093"/>
      <c r="AB107" s="1093"/>
      <c r="AC107" s="1093"/>
      <c r="AD107" s="1093"/>
      <c r="AE107" s="1093"/>
      <c r="AF107" s="1093"/>
      <c r="AG107" s="1093"/>
      <c r="AH107" s="1093"/>
      <c r="AI107" s="1093"/>
      <c r="AJ107" s="1093"/>
      <c r="AK107" s="1093"/>
      <c r="AL107" s="1093"/>
      <c r="AM107" s="1093"/>
      <c r="AN107" s="1093"/>
      <c r="AO107" s="1093"/>
      <c r="AP107" s="1093"/>
      <c r="AQ107" s="1093"/>
      <c r="AR107" s="1093"/>
      <c r="AS107" s="1093"/>
      <c r="AT107" s="1093"/>
      <c r="AU107" s="1093"/>
      <c r="AV107" s="1093"/>
      <c r="AW107" s="1093"/>
      <c r="AX107" s="1093"/>
      <c r="AY107" s="1093"/>
      <c r="AZ107" s="1093"/>
      <c r="BA107" s="1093"/>
      <c r="BB107" s="1093"/>
      <c r="BC107" s="1093"/>
      <c r="BD107" s="1093"/>
      <c r="BE107" s="1093"/>
      <c r="BF107" s="1094"/>
    </row>
    <row r="108" spans="2:58" ht="15.75" thickBot="1" x14ac:dyDescent="0.3">
      <c r="B108" s="144"/>
      <c r="BF108" s="145"/>
    </row>
    <row r="109" spans="2:58" ht="29.45" customHeight="1" thickBot="1" x14ac:dyDescent="0.3">
      <c r="B109" s="793" t="s">
        <v>1068</v>
      </c>
      <c r="D109" s="274"/>
      <c r="E109" s="274"/>
      <c r="F109" s="274"/>
      <c r="G109" s="274"/>
      <c r="H109" s="274"/>
      <c r="I109" s="274"/>
      <c r="J109" s="274"/>
      <c r="K109" s="274"/>
      <c r="L109" s="274"/>
      <c r="M109" s="274"/>
      <c r="N109" s="274"/>
      <c r="O109" s="274"/>
      <c r="P109" s="274"/>
      <c r="Q109" s="274"/>
      <c r="R109" s="274"/>
      <c r="S109" s="274"/>
      <c r="T109" s="274"/>
      <c r="U109" s="1067" t="s">
        <v>1076</v>
      </c>
      <c r="V109" s="1038"/>
      <c r="W109" s="1038"/>
      <c r="X109" s="1038"/>
      <c r="Y109" s="1038"/>
      <c r="Z109" s="1038" t="s">
        <v>1069</v>
      </c>
      <c r="AA109" s="1038"/>
      <c r="AB109" s="1038"/>
      <c r="AC109" s="1038"/>
      <c r="AD109" s="1038"/>
      <c r="AE109" s="1038"/>
      <c r="AF109" s="1038" t="s">
        <v>1070</v>
      </c>
      <c r="AG109" s="1038"/>
      <c r="AH109" s="1038"/>
      <c r="AI109" s="1038"/>
      <c r="AJ109" s="1038"/>
      <c r="AK109" s="1038"/>
      <c r="AL109" s="1038"/>
      <c r="AM109" s="1038" t="s">
        <v>1073</v>
      </c>
      <c r="AN109" s="1038"/>
      <c r="AO109" s="1038"/>
      <c r="AP109" s="1038"/>
      <c r="AQ109" s="1038"/>
      <c r="AR109" s="1038"/>
      <c r="AS109" s="1039"/>
      <c r="AT109" s="274"/>
      <c r="AU109" s="274"/>
      <c r="AV109" s="274"/>
      <c r="AW109" s="274"/>
      <c r="AX109" s="274"/>
      <c r="AY109" s="274"/>
      <c r="AZ109" s="274"/>
      <c r="BA109" s="274"/>
      <c r="BB109" s="274"/>
      <c r="BC109" s="274"/>
      <c r="BD109" s="274"/>
      <c r="BE109" s="274"/>
      <c r="BF109" s="736"/>
    </row>
    <row r="110" spans="2:58" x14ac:dyDescent="0.25">
      <c r="B110" s="144"/>
      <c r="D110" s="1064" t="s">
        <v>99</v>
      </c>
      <c r="E110" s="1065"/>
      <c r="F110" s="1065"/>
      <c r="G110" s="1065"/>
      <c r="H110" s="1065"/>
      <c r="I110" s="1065"/>
      <c r="J110" s="1065"/>
      <c r="K110" s="1065"/>
      <c r="L110" s="1065"/>
      <c r="M110" s="1065"/>
      <c r="N110" s="1065"/>
      <c r="O110" s="1065"/>
      <c r="P110" s="1065"/>
      <c r="Q110" s="1065"/>
      <c r="R110" s="1065"/>
      <c r="S110" s="1065"/>
      <c r="T110" s="1066"/>
      <c r="U110" s="1055" t="str">
        <f>IF('PIM Model'!$B$10=0,"",'PIM Model'!$B$10)</f>
        <v/>
      </c>
      <c r="V110" s="1056"/>
      <c r="W110" s="1056"/>
      <c r="X110" s="1056"/>
      <c r="Y110" s="1056"/>
      <c r="Z110" s="1056" t="str">
        <f>'PIM Model'!$AF$10</f>
        <v/>
      </c>
      <c r="AA110" s="1056"/>
      <c r="AB110" s="1056"/>
      <c r="AC110" s="1056"/>
      <c r="AD110" s="1056"/>
      <c r="AE110" s="1056"/>
      <c r="AF110" s="1040" t="str">
        <f>'PIM Model'!$AG$10</f>
        <v/>
      </c>
      <c r="AG110" s="1041"/>
      <c r="AH110" s="1041"/>
      <c r="AI110" s="1041"/>
      <c r="AJ110" s="1041"/>
      <c r="AK110" s="1041"/>
      <c r="AL110" s="1048"/>
      <c r="AM110" s="1040" t="str">
        <f>'PIM Model'!$AH$10</f>
        <v/>
      </c>
      <c r="AN110" s="1041"/>
      <c r="AO110" s="1041"/>
      <c r="AP110" s="1041"/>
      <c r="AQ110" s="1041"/>
      <c r="AR110" s="1041"/>
      <c r="AS110" s="1042"/>
      <c r="BF110" s="145"/>
    </row>
    <row r="111" spans="2:58" x14ac:dyDescent="0.25">
      <c r="B111" s="144"/>
      <c r="D111" s="1051" t="s">
        <v>529</v>
      </c>
      <c r="E111" s="1052"/>
      <c r="F111" s="1052"/>
      <c r="G111" s="1052"/>
      <c r="H111" s="1052"/>
      <c r="I111" s="1052"/>
      <c r="J111" s="1052"/>
      <c r="K111" s="1052"/>
      <c r="L111" s="1052"/>
      <c r="M111" s="1052"/>
      <c r="N111" s="1052"/>
      <c r="O111" s="1052"/>
      <c r="P111" s="1052"/>
      <c r="Q111" s="1052"/>
      <c r="R111" s="1052"/>
      <c r="S111" s="1052"/>
      <c r="T111" s="1053"/>
      <c r="U111" s="1050" t="str">
        <f>IF('PIM Model'!$B$11=0,"",'PIM Model'!$B$11)</f>
        <v/>
      </c>
      <c r="V111" s="987"/>
      <c r="W111" s="987"/>
      <c r="X111" s="987"/>
      <c r="Y111" s="987"/>
      <c r="Z111" s="987" t="str">
        <f>'PIM Model'!$AF$11</f>
        <v/>
      </c>
      <c r="AA111" s="987"/>
      <c r="AB111" s="987"/>
      <c r="AC111" s="987"/>
      <c r="AD111" s="987"/>
      <c r="AE111" s="987"/>
      <c r="AF111" s="1043" t="str">
        <f>'PIM Model'!$AG$11</f>
        <v/>
      </c>
      <c r="AG111" s="1044"/>
      <c r="AH111" s="1044"/>
      <c r="AI111" s="1044"/>
      <c r="AJ111" s="1044"/>
      <c r="AK111" s="1044"/>
      <c r="AL111" s="1049"/>
      <c r="AM111" s="1043" t="str">
        <f>'PIM Model'!$AH$11</f>
        <v/>
      </c>
      <c r="AN111" s="1044"/>
      <c r="AO111" s="1044"/>
      <c r="AP111" s="1044"/>
      <c r="AQ111" s="1044"/>
      <c r="AR111" s="1044"/>
      <c r="AS111" s="1045"/>
      <c r="BF111" s="145"/>
    </row>
    <row r="112" spans="2:58" x14ac:dyDescent="0.25">
      <c r="B112" s="144"/>
      <c r="D112" s="1051" t="s">
        <v>530</v>
      </c>
      <c r="E112" s="1052"/>
      <c r="F112" s="1052"/>
      <c r="G112" s="1052"/>
      <c r="H112" s="1052"/>
      <c r="I112" s="1052"/>
      <c r="J112" s="1052"/>
      <c r="K112" s="1052"/>
      <c r="L112" s="1052"/>
      <c r="M112" s="1052"/>
      <c r="N112" s="1052"/>
      <c r="O112" s="1052"/>
      <c r="P112" s="1052"/>
      <c r="Q112" s="1052"/>
      <c r="R112" s="1052"/>
      <c r="S112" s="1052"/>
      <c r="T112" s="1053"/>
      <c r="U112" s="1050" t="str">
        <f>IF('PIM Model'!$B$12=0,"",'PIM Model'!$B$12)</f>
        <v/>
      </c>
      <c r="V112" s="987"/>
      <c r="W112" s="987"/>
      <c r="X112" s="987"/>
      <c r="Y112" s="987"/>
      <c r="Z112" s="987" t="str">
        <f>'PIM Model'!$AF$12</f>
        <v/>
      </c>
      <c r="AA112" s="987"/>
      <c r="AB112" s="987"/>
      <c r="AC112" s="987"/>
      <c r="AD112" s="987"/>
      <c r="AE112" s="987"/>
      <c r="AF112" s="1043" t="str">
        <f>'PIM Model'!$AG$12</f>
        <v/>
      </c>
      <c r="AG112" s="1044"/>
      <c r="AH112" s="1044"/>
      <c r="AI112" s="1044"/>
      <c r="AJ112" s="1044"/>
      <c r="AK112" s="1044"/>
      <c r="AL112" s="1049"/>
      <c r="AM112" s="1043" t="str">
        <f>'PIM Model'!$AH$12</f>
        <v/>
      </c>
      <c r="AN112" s="1044"/>
      <c r="AO112" s="1044"/>
      <c r="AP112" s="1044"/>
      <c r="AQ112" s="1044"/>
      <c r="AR112" s="1044"/>
      <c r="AS112" s="1045"/>
      <c r="BF112" s="145"/>
    </row>
    <row r="113" spans="2:58" x14ac:dyDescent="0.25">
      <c r="B113" s="144"/>
      <c r="D113" s="1051" t="s">
        <v>102</v>
      </c>
      <c r="E113" s="1052"/>
      <c r="F113" s="1052"/>
      <c r="G113" s="1052"/>
      <c r="H113" s="1052"/>
      <c r="I113" s="1052"/>
      <c r="J113" s="1052"/>
      <c r="K113" s="1052"/>
      <c r="L113" s="1052"/>
      <c r="M113" s="1052"/>
      <c r="N113" s="1052"/>
      <c r="O113" s="1052"/>
      <c r="P113" s="1052"/>
      <c r="Q113" s="1052"/>
      <c r="R113" s="1052"/>
      <c r="S113" s="1052"/>
      <c r="T113" s="1053"/>
      <c r="U113" s="1050" t="str">
        <f>IF('PIM Model'!$B$13=0,"",'PIM Model'!$B$13)</f>
        <v/>
      </c>
      <c r="V113" s="987"/>
      <c r="W113" s="987"/>
      <c r="X113" s="987"/>
      <c r="Y113" s="987"/>
      <c r="Z113" s="987" t="str">
        <f>'PIM Model'!$AF$13</f>
        <v/>
      </c>
      <c r="AA113" s="987"/>
      <c r="AB113" s="987"/>
      <c r="AC113" s="987"/>
      <c r="AD113" s="987"/>
      <c r="AE113" s="987"/>
      <c r="AF113" s="1043" t="str">
        <f>'PIM Model'!$AG$13</f>
        <v/>
      </c>
      <c r="AG113" s="1044"/>
      <c r="AH113" s="1044"/>
      <c r="AI113" s="1044"/>
      <c r="AJ113" s="1044"/>
      <c r="AK113" s="1044"/>
      <c r="AL113" s="1049"/>
      <c r="AM113" s="1043" t="str">
        <f>'PIM Model'!$AH$13</f>
        <v/>
      </c>
      <c r="AN113" s="1044"/>
      <c r="AO113" s="1044"/>
      <c r="AP113" s="1044"/>
      <c r="AQ113" s="1044"/>
      <c r="AR113" s="1044"/>
      <c r="AS113" s="1045"/>
      <c r="BF113" s="145"/>
    </row>
    <row r="114" spans="2:58" x14ac:dyDescent="0.25">
      <c r="B114" s="144"/>
      <c r="D114" s="1051" t="s">
        <v>100</v>
      </c>
      <c r="E114" s="1052"/>
      <c r="F114" s="1052"/>
      <c r="G114" s="1052"/>
      <c r="H114" s="1052"/>
      <c r="I114" s="1052"/>
      <c r="J114" s="1052"/>
      <c r="K114" s="1052"/>
      <c r="L114" s="1052"/>
      <c r="M114" s="1052"/>
      <c r="N114" s="1052"/>
      <c r="O114" s="1052"/>
      <c r="P114" s="1052"/>
      <c r="Q114" s="1052"/>
      <c r="R114" s="1052"/>
      <c r="S114" s="1052"/>
      <c r="T114" s="1053"/>
      <c r="U114" s="1050" t="str">
        <f>IF('PIM Model'!$B$14=0,"",'PIM Model'!$B$14)</f>
        <v/>
      </c>
      <c r="V114" s="987"/>
      <c r="W114" s="987"/>
      <c r="X114" s="987"/>
      <c r="Y114" s="987"/>
      <c r="Z114" s="987" t="str">
        <f>'PIM Model'!$AF$14</f>
        <v/>
      </c>
      <c r="AA114" s="987"/>
      <c r="AB114" s="987"/>
      <c r="AC114" s="987"/>
      <c r="AD114" s="987"/>
      <c r="AE114" s="987"/>
      <c r="AF114" s="1043" t="str">
        <f>'PIM Model'!$AG$14</f>
        <v/>
      </c>
      <c r="AG114" s="1044"/>
      <c r="AH114" s="1044"/>
      <c r="AI114" s="1044"/>
      <c r="AJ114" s="1044"/>
      <c r="AK114" s="1044"/>
      <c r="AL114" s="1049"/>
      <c r="AM114" s="1043" t="str">
        <f>'PIM Model'!$AH$14</f>
        <v/>
      </c>
      <c r="AN114" s="1044"/>
      <c r="AO114" s="1044"/>
      <c r="AP114" s="1044"/>
      <c r="AQ114" s="1044"/>
      <c r="AR114" s="1044"/>
      <c r="AS114" s="1045"/>
      <c r="BF114" s="145"/>
    </row>
    <row r="115" spans="2:58" x14ac:dyDescent="0.25">
      <c r="B115" s="144"/>
      <c r="D115" s="1051" t="s">
        <v>104</v>
      </c>
      <c r="E115" s="1052"/>
      <c r="F115" s="1052"/>
      <c r="G115" s="1052"/>
      <c r="H115" s="1052"/>
      <c r="I115" s="1052"/>
      <c r="J115" s="1052"/>
      <c r="K115" s="1052"/>
      <c r="L115" s="1052"/>
      <c r="M115" s="1052"/>
      <c r="N115" s="1052"/>
      <c r="O115" s="1052"/>
      <c r="P115" s="1052"/>
      <c r="Q115" s="1052"/>
      <c r="R115" s="1052"/>
      <c r="S115" s="1052"/>
      <c r="T115" s="1053"/>
      <c r="U115" s="1050" t="str">
        <f>IF('PIM Model'!$B$15=0,"",'PIM Model'!$B$15)</f>
        <v/>
      </c>
      <c r="V115" s="987"/>
      <c r="W115" s="987"/>
      <c r="X115" s="987"/>
      <c r="Y115" s="987"/>
      <c r="Z115" s="987" t="str">
        <f>'PIM Model'!$AF$15</f>
        <v/>
      </c>
      <c r="AA115" s="987"/>
      <c r="AB115" s="987"/>
      <c r="AC115" s="987"/>
      <c r="AD115" s="987"/>
      <c r="AE115" s="987"/>
      <c r="AF115" s="1043" t="str">
        <f>'PIM Model'!$AG$15</f>
        <v/>
      </c>
      <c r="AG115" s="1044"/>
      <c r="AH115" s="1044"/>
      <c r="AI115" s="1044"/>
      <c r="AJ115" s="1044"/>
      <c r="AK115" s="1044"/>
      <c r="AL115" s="1049"/>
      <c r="AM115" s="1043" t="str">
        <f>'PIM Model'!$AH$15</f>
        <v/>
      </c>
      <c r="AN115" s="1044"/>
      <c r="AO115" s="1044"/>
      <c r="AP115" s="1044"/>
      <c r="AQ115" s="1044"/>
      <c r="AR115" s="1044"/>
      <c r="AS115" s="1045"/>
      <c r="BF115" s="145"/>
    </row>
    <row r="116" spans="2:58" x14ac:dyDescent="0.25">
      <c r="B116" s="144"/>
      <c r="D116" s="1051" t="s">
        <v>98</v>
      </c>
      <c r="E116" s="1052"/>
      <c r="F116" s="1052"/>
      <c r="G116" s="1052"/>
      <c r="H116" s="1052"/>
      <c r="I116" s="1052"/>
      <c r="J116" s="1052"/>
      <c r="K116" s="1052"/>
      <c r="L116" s="1052"/>
      <c r="M116" s="1052"/>
      <c r="N116" s="1052"/>
      <c r="O116" s="1052"/>
      <c r="P116" s="1052"/>
      <c r="Q116" s="1052"/>
      <c r="R116" s="1052"/>
      <c r="S116" s="1052"/>
      <c r="T116" s="1053"/>
      <c r="U116" s="1050" t="str">
        <f>IF('PIM Model'!$B$16=0,"",'PIM Model'!$B$16)</f>
        <v/>
      </c>
      <c r="V116" s="987"/>
      <c r="W116" s="987"/>
      <c r="X116" s="987"/>
      <c r="Y116" s="987"/>
      <c r="Z116" s="987" t="str">
        <f>'PIM Model'!$AF$16</f>
        <v/>
      </c>
      <c r="AA116" s="987"/>
      <c r="AB116" s="987"/>
      <c r="AC116" s="987"/>
      <c r="AD116" s="987"/>
      <c r="AE116" s="987"/>
      <c r="AF116" s="1043" t="str">
        <f>'PIM Model'!$AG$16</f>
        <v/>
      </c>
      <c r="AG116" s="1044"/>
      <c r="AH116" s="1044"/>
      <c r="AI116" s="1044"/>
      <c r="AJ116" s="1044"/>
      <c r="AK116" s="1044"/>
      <c r="AL116" s="1049"/>
      <c r="AM116" s="1043" t="str">
        <f>'PIM Model'!$AH$16</f>
        <v/>
      </c>
      <c r="AN116" s="1044"/>
      <c r="AO116" s="1044"/>
      <c r="AP116" s="1044"/>
      <c r="AQ116" s="1044"/>
      <c r="AR116" s="1044"/>
      <c r="AS116" s="1045"/>
      <c r="BF116" s="145"/>
    </row>
    <row r="117" spans="2:58" x14ac:dyDescent="0.25">
      <c r="B117" s="144"/>
      <c r="D117" s="1051" t="s">
        <v>95</v>
      </c>
      <c r="E117" s="1052"/>
      <c r="F117" s="1052"/>
      <c r="G117" s="1052"/>
      <c r="H117" s="1052"/>
      <c r="I117" s="1052"/>
      <c r="J117" s="1052"/>
      <c r="K117" s="1052"/>
      <c r="L117" s="1052"/>
      <c r="M117" s="1052"/>
      <c r="N117" s="1052"/>
      <c r="O117" s="1052"/>
      <c r="P117" s="1052"/>
      <c r="Q117" s="1052"/>
      <c r="R117" s="1052"/>
      <c r="S117" s="1052"/>
      <c r="T117" s="1053"/>
      <c r="U117" s="1050" t="str">
        <f>IF('PIM Model'!$B$17=0,"",'PIM Model'!$B$17)</f>
        <v/>
      </c>
      <c r="V117" s="987"/>
      <c r="W117" s="987"/>
      <c r="X117" s="987"/>
      <c r="Y117" s="987"/>
      <c r="Z117" s="987" t="str">
        <f>'PIM Model'!$AF$17</f>
        <v/>
      </c>
      <c r="AA117" s="987"/>
      <c r="AB117" s="987"/>
      <c r="AC117" s="987"/>
      <c r="AD117" s="987"/>
      <c r="AE117" s="987"/>
      <c r="AF117" s="1043" t="str">
        <f>'PIM Model'!$AG$17</f>
        <v/>
      </c>
      <c r="AG117" s="1044"/>
      <c r="AH117" s="1044"/>
      <c r="AI117" s="1044"/>
      <c r="AJ117" s="1044"/>
      <c r="AK117" s="1044"/>
      <c r="AL117" s="1049"/>
      <c r="AM117" s="1043" t="str">
        <f>'PIM Model'!$AH$17</f>
        <v/>
      </c>
      <c r="AN117" s="1044"/>
      <c r="AO117" s="1044"/>
      <c r="AP117" s="1044"/>
      <c r="AQ117" s="1044"/>
      <c r="AR117" s="1044"/>
      <c r="AS117" s="1045"/>
      <c r="BF117" s="145"/>
    </row>
    <row r="118" spans="2:58" x14ac:dyDescent="0.25">
      <c r="B118" s="144"/>
      <c r="D118" s="1051" t="s">
        <v>96</v>
      </c>
      <c r="E118" s="1052"/>
      <c r="F118" s="1052"/>
      <c r="G118" s="1052"/>
      <c r="H118" s="1052"/>
      <c r="I118" s="1052"/>
      <c r="J118" s="1052"/>
      <c r="K118" s="1052"/>
      <c r="L118" s="1052"/>
      <c r="M118" s="1052"/>
      <c r="N118" s="1052"/>
      <c r="O118" s="1052"/>
      <c r="P118" s="1052"/>
      <c r="Q118" s="1052"/>
      <c r="R118" s="1052"/>
      <c r="S118" s="1052"/>
      <c r="T118" s="1053"/>
      <c r="U118" s="1050" t="str">
        <f>IF('PIM Model'!$B$18=0,"",'PIM Model'!$B$18)</f>
        <v/>
      </c>
      <c r="V118" s="987"/>
      <c r="W118" s="987"/>
      <c r="X118" s="987"/>
      <c r="Y118" s="987"/>
      <c r="Z118" s="987" t="str">
        <f>'PIM Model'!$AF$18</f>
        <v/>
      </c>
      <c r="AA118" s="987"/>
      <c r="AB118" s="987"/>
      <c r="AC118" s="987"/>
      <c r="AD118" s="987"/>
      <c r="AE118" s="987"/>
      <c r="AF118" s="1043" t="str">
        <f>'PIM Model'!$AG$18</f>
        <v/>
      </c>
      <c r="AG118" s="1044"/>
      <c r="AH118" s="1044"/>
      <c r="AI118" s="1044"/>
      <c r="AJ118" s="1044"/>
      <c r="AK118" s="1044"/>
      <c r="AL118" s="1049"/>
      <c r="AM118" s="1043" t="str">
        <f>'PIM Model'!$AH$18</f>
        <v/>
      </c>
      <c r="AN118" s="1044"/>
      <c r="AO118" s="1044"/>
      <c r="AP118" s="1044"/>
      <c r="AQ118" s="1044"/>
      <c r="AR118" s="1044"/>
      <c r="AS118" s="1045"/>
      <c r="BF118" s="145"/>
    </row>
    <row r="119" spans="2:58" x14ac:dyDescent="0.25">
      <c r="B119" s="144"/>
      <c r="D119" s="1051" t="s">
        <v>101</v>
      </c>
      <c r="E119" s="1052"/>
      <c r="F119" s="1052"/>
      <c r="G119" s="1052"/>
      <c r="H119" s="1052"/>
      <c r="I119" s="1052"/>
      <c r="J119" s="1052"/>
      <c r="K119" s="1052"/>
      <c r="L119" s="1052"/>
      <c r="M119" s="1052"/>
      <c r="N119" s="1052"/>
      <c r="O119" s="1052"/>
      <c r="P119" s="1052"/>
      <c r="Q119" s="1052"/>
      <c r="R119" s="1052"/>
      <c r="S119" s="1052"/>
      <c r="T119" s="1053"/>
      <c r="U119" s="1050" t="str">
        <f>IF('PIM Model'!$B$19=0,"",'PIM Model'!$B$19)</f>
        <v/>
      </c>
      <c r="V119" s="987"/>
      <c r="W119" s="987"/>
      <c r="X119" s="987"/>
      <c r="Y119" s="987"/>
      <c r="Z119" s="987" t="str">
        <f>'PIM Model'!$AF$19</f>
        <v/>
      </c>
      <c r="AA119" s="987"/>
      <c r="AB119" s="987"/>
      <c r="AC119" s="987"/>
      <c r="AD119" s="987"/>
      <c r="AE119" s="987"/>
      <c r="AF119" s="1043" t="str">
        <f>'PIM Model'!$AG$19</f>
        <v/>
      </c>
      <c r="AG119" s="1044"/>
      <c r="AH119" s="1044"/>
      <c r="AI119" s="1044"/>
      <c r="AJ119" s="1044"/>
      <c r="AK119" s="1044"/>
      <c r="AL119" s="1049"/>
      <c r="AM119" s="1043" t="str">
        <f>'PIM Model'!$AH$19</f>
        <v/>
      </c>
      <c r="AN119" s="1044"/>
      <c r="AO119" s="1044"/>
      <c r="AP119" s="1044"/>
      <c r="AQ119" s="1044"/>
      <c r="AR119" s="1044"/>
      <c r="AS119" s="1045"/>
      <c r="BF119" s="145"/>
    </row>
    <row r="120" spans="2:58" x14ac:dyDescent="0.25">
      <c r="B120" s="144"/>
      <c r="D120" s="1051" t="s">
        <v>97</v>
      </c>
      <c r="E120" s="1052"/>
      <c r="F120" s="1052"/>
      <c r="G120" s="1052"/>
      <c r="H120" s="1052"/>
      <c r="I120" s="1052"/>
      <c r="J120" s="1052"/>
      <c r="K120" s="1052"/>
      <c r="L120" s="1052"/>
      <c r="M120" s="1052"/>
      <c r="N120" s="1052"/>
      <c r="O120" s="1052"/>
      <c r="P120" s="1052"/>
      <c r="Q120" s="1052"/>
      <c r="R120" s="1052"/>
      <c r="S120" s="1052"/>
      <c r="T120" s="1053"/>
      <c r="U120" s="1050" t="str">
        <f>IF('PIM Model'!$B$20=0,"",'PIM Model'!$B$20)</f>
        <v/>
      </c>
      <c r="V120" s="987"/>
      <c r="W120" s="987"/>
      <c r="X120" s="987"/>
      <c r="Y120" s="987"/>
      <c r="Z120" s="987" t="str">
        <f>'PIM Model'!$AF$20</f>
        <v/>
      </c>
      <c r="AA120" s="987"/>
      <c r="AB120" s="987"/>
      <c r="AC120" s="987"/>
      <c r="AD120" s="987"/>
      <c r="AE120" s="987"/>
      <c r="AF120" s="1043" t="str">
        <f>'PIM Model'!$AG$20</f>
        <v/>
      </c>
      <c r="AG120" s="1044"/>
      <c r="AH120" s="1044"/>
      <c r="AI120" s="1044"/>
      <c r="AJ120" s="1044"/>
      <c r="AK120" s="1044"/>
      <c r="AL120" s="1049"/>
      <c r="AM120" s="1043" t="str">
        <f>'PIM Model'!$AH$20</f>
        <v/>
      </c>
      <c r="AN120" s="1044"/>
      <c r="AO120" s="1044"/>
      <c r="AP120" s="1044"/>
      <c r="AQ120" s="1044"/>
      <c r="AR120" s="1044"/>
      <c r="AS120" s="1045"/>
      <c r="BF120" s="145"/>
    </row>
    <row r="121" spans="2:58" x14ac:dyDescent="0.25">
      <c r="B121" s="144"/>
      <c r="D121" s="1051" t="s">
        <v>93</v>
      </c>
      <c r="E121" s="1052"/>
      <c r="F121" s="1052"/>
      <c r="G121" s="1052"/>
      <c r="H121" s="1052"/>
      <c r="I121" s="1052"/>
      <c r="J121" s="1052"/>
      <c r="K121" s="1052"/>
      <c r="L121" s="1052"/>
      <c r="M121" s="1052"/>
      <c r="N121" s="1052"/>
      <c r="O121" s="1052"/>
      <c r="P121" s="1052"/>
      <c r="Q121" s="1052"/>
      <c r="R121" s="1052"/>
      <c r="S121" s="1052"/>
      <c r="T121" s="1053"/>
      <c r="U121" s="1050" t="str">
        <f>IF('PIM Model'!$B$21=0,"",'PIM Model'!$B$21)</f>
        <v/>
      </c>
      <c r="V121" s="987"/>
      <c r="W121" s="987"/>
      <c r="X121" s="987"/>
      <c r="Y121" s="987"/>
      <c r="Z121" s="987" t="str">
        <f>'PIM Model'!$AF$21</f>
        <v/>
      </c>
      <c r="AA121" s="987"/>
      <c r="AB121" s="987"/>
      <c r="AC121" s="987"/>
      <c r="AD121" s="987"/>
      <c r="AE121" s="987"/>
      <c r="AF121" s="1043" t="str">
        <f>'PIM Model'!$AG$21</f>
        <v/>
      </c>
      <c r="AG121" s="1044"/>
      <c r="AH121" s="1044"/>
      <c r="AI121" s="1044"/>
      <c r="AJ121" s="1044"/>
      <c r="AK121" s="1044"/>
      <c r="AL121" s="1049"/>
      <c r="AM121" s="1043" t="str">
        <f>'PIM Model'!$AH$21</f>
        <v/>
      </c>
      <c r="AN121" s="1044"/>
      <c r="AO121" s="1044"/>
      <c r="AP121" s="1044"/>
      <c r="AQ121" s="1044"/>
      <c r="AR121" s="1044"/>
      <c r="AS121" s="1045"/>
      <c r="BF121" s="145"/>
    </row>
    <row r="122" spans="2:58" x14ac:dyDescent="0.25">
      <c r="B122" s="144"/>
      <c r="D122" s="1051" t="s">
        <v>105</v>
      </c>
      <c r="E122" s="1052"/>
      <c r="F122" s="1052"/>
      <c r="G122" s="1052"/>
      <c r="H122" s="1052"/>
      <c r="I122" s="1052"/>
      <c r="J122" s="1052"/>
      <c r="K122" s="1052"/>
      <c r="L122" s="1052"/>
      <c r="M122" s="1052"/>
      <c r="N122" s="1052"/>
      <c r="O122" s="1052"/>
      <c r="P122" s="1052"/>
      <c r="Q122" s="1052"/>
      <c r="R122" s="1052"/>
      <c r="S122" s="1052"/>
      <c r="T122" s="1053"/>
      <c r="U122" s="1050" t="str">
        <f>IF('PIM Model'!$B$22=0,"",'PIM Model'!$B$22)</f>
        <v/>
      </c>
      <c r="V122" s="987"/>
      <c r="W122" s="987"/>
      <c r="X122" s="987"/>
      <c r="Y122" s="987"/>
      <c r="Z122" s="987" t="str">
        <f>'PIM Model'!$AF$22</f>
        <v/>
      </c>
      <c r="AA122" s="987"/>
      <c r="AB122" s="987"/>
      <c r="AC122" s="987"/>
      <c r="AD122" s="987"/>
      <c r="AE122" s="987"/>
      <c r="AF122" s="1043" t="str">
        <f>'PIM Model'!$AG$22</f>
        <v/>
      </c>
      <c r="AG122" s="1044"/>
      <c r="AH122" s="1044"/>
      <c r="AI122" s="1044"/>
      <c r="AJ122" s="1044"/>
      <c r="AK122" s="1044"/>
      <c r="AL122" s="1049"/>
      <c r="AM122" s="1043" t="str">
        <f>'PIM Model'!$AH$22</f>
        <v/>
      </c>
      <c r="AN122" s="1044"/>
      <c r="AO122" s="1044"/>
      <c r="AP122" s="1044"/>
      <c r="AQ122" s="1044"/>
      <c r="AR122" s="1044"/>
      <c r="AS122" s="1045"/>
      <c r="BF122" s="145"/>
    </row>
    <row r="123" spans="2:58" x14ac:dyDescent="0.25">
      <c r="B123" s="144"/>
      <c r="D123" s="1051" t="s">
        <v>92</v>
      </c>
      <c r="E123" s="1052"/>
      <c r="F123" s="1052"/>
      <c r="G123" s="1052"/>
      <c r="H123" s="1052"/>
      <c r="I123" s="1052"/>
      <c r="J123" s="1052"/>
      <c r="K123" s="1052"/>
      <c r="L123" s="1052"/>
      <c r="M123" s="1052"/>
      <c r="N123" s="1052"/>
      <c r="O123" s="1052"/>
      <c r="P123" s="1052"/>
      <c r="Q123" s="1052"/>
      <c r="R123" s="1052"/>
      <c r="S123" s="1052"/>
      <c r="T123" s="1053"/>
      <c r="U123" s="1050" t="str">
        <f>IF('PIM Model'!$B$23=0,"",'PIM Model'!$B$23)</f>
        <v/>
      </c>
      <c r="V123" s="987"/>
      <c r="W123" s="987"/>
      <c r="X123" s="987"/>
      <c r="Y123" s="987"/>
      <c r="Z123" s="987" t="str">
        <f>'PIM Model'!$AF$23</f>
        <v/>
      </c>
      <c r="AA123" s="987"/>
      <c r="AB123" s="987"/>
      <c r="AC123" s="987"/>
      <c r="AD123" s="987"/>
      <c r="AE123" s="987"/>
      <c r="AF123" s="1043" t="str">
        <f>'PIM Model'!$AG$23</f>
        <v/>
      </c>
      <c r="AG123" s="1044"/>
      <c r="AH123" s="1044"/>
      <c r="AI123" s="1044"/>
      <c r="AJ123" s="1044"/>
      <c r="AK123" s="1044"/>
      <c r="AL123" s="1049"/>
      <c r="AM123" s="1043" t="str">
        <f>'PIM Model'!$AH$23</f>
        <v/>
      </c>
      <c r="AN123" s="1044"/>
      <c r="AO123" s="1044"/>
      <c r="AP123" s="1044"/>
      <c r="AQ123" s="1044"/>
      <c r="AR123" s="1044"/>
      <c r="AS123" s="1045"/>
      <c r="BF123" s="145"/>
    </row>
    <row r="124" spans="2:58" x14ac:dyDescent="0.25">
      <c r="B124" s="144"/>
      <c r="D124" s="1051" t="s">
        <v>91</v>
      </c>
      <c r="E124" s="1052"/>
      <c r="F124" s="1052"/>
      <c r="G124" s="1052"/>
      <c r="H124" s="1052"/>
      <c r="I124" s="1052"/>
      <c r="J124" s="1052"/>
      <c r="K124" s="1052"/>
      <c r="L124" s="1052"/>
      <c r="M124" s="1052"/>
      <c r="N124" s="1052"/>
      <c r="O124" s="1052"/>
      <c r="P124" s="1052"/>
      <c r="Q124" s="1052"/>
      <c r="R124" s="1052"/>
      <c r="S124" s="1052"/>
      <c r="T124" s="1053"/>
      <c r="U124" s="1050" t="str">
        <f>IF('PIM Model'!$B$24=0,"",'PIM Model'!$B$24)</f>
        <v/>
      </c>
      <c r="V124" s="987"/>
      <c r="W124" s="987"/>
      <c r="X124" s="987"/>
      <c r="Y124" s="987"/>
      <c r="Z124" s="987" t="str">
        <f>'PIM Model'!$AF$24</f>
        <v/>
      </c>
      <c r="AA124" s="987"/>
      <c r="AB124" s="987"/>
      <c r="AC124" s="987"/>
      <c r="AD124" s="987"/>
      <c r="AE124" s="987"/>
      <c r="AF124" s="1043" t="str">
        <f>'PIM Model'!$AG$24</f>
        <v/>
      </c>
      <c r="AG124" s="1044"/>
      <c r="AH124" s="1044"/>
      <c r="AI124" s="1044"/>
      <c r="AJ124" s="1044"/>
      <c r="AK124" s="1044"/>
      <c r="AL124" s="1049"/>
      <c r="AM124" s="1043" t="str">
        <f>'PIM Model'!$AH$24</f>
        <v/>
      </c>
      <c r="AN124" s="1044"/>
      <c r="AO124" s="1044"/>
      <c r="AP124" s="1044"/>
      <c r="AQ124" s="1044"/>
      <c r="AR124" s="1044"/>
      <c r="AS124" s="1045"/>
      <c r="BF124" s="145"/>
    </row>
    <row r="125" spans="2:58" x14ac:dyDescent="0.25">
      <c r="B125" s="144"/>
      <c r="D125" s="1051" t="s">
        <v>90</v>
      </c>
      <c r="E125" s="1052"/>
      <c r="F125" s="1052"/>
      <c r="G125" s="1052"/>
      <c r="H125" s="1052"/>
      <c r="I125" s="1052"/>
      <c r="J125" s="1052"/>
      <c r="K125" s="1052"/>
      <c r="L125" s="1052"/>
      <c r="M125" s="1052"/>
      <c r="N125" s="1052"/>
      <c r="O125" s="1052"/>
      <c r="P125" s="1052"/>
      <c r="Q125" s="1052"/>
      <c r="R125" s="1052"/>
      <c r="S125" s="1052"/>
      <c r="T125" s="1053"/>
      <c r="U125" s="1050" t="str">
        <f>IF('PIM Model'!$B$25=0,"",'PIM Model'!$B$25)</f>
        <v/>
      </c>
      <c r="V125" s="987"/>
      <c r="W125" s="987"/>
      <c r="X125" s="987"/>
      <c r="Y125" s="987"/>
      <c r="Z125" s="987" t="str">
        <f>'PIM Model'!$AF$25</f>
        <v/>
      </c>
      <c r="AA125" s="987"/>
      <c r="AB125" s="987"/>
      <c r="AC125" s="987"/>
      <c r="AD125" s="987"/>
      <c r="AE125" s="987"/>
      <c r="AF125" s="1043" t="str">
        <f>'PIM Model'!$AG$25</f>
        <v/>
      </c>
      <c r="AG125" s="1044"/>
      <c r="AH125" s="1044"/>
      <c r="AI125" s="1044"/>
      <c r="AJ125" s="1044"/>
      <c r="AK125" s="1044"/>
      <c r="AL125" s="1049"/>
      <c r="AM125" s="1043" t="str">
        <f>'PIM Model'!$AH$25</f>
        <v/>
      </c>
      <c r="AN125" s="1044"/>
      <c r="AO125" s="1044"/>
      <c r="AP125" s="1044"/>
      <c r="AQ125" s="1044"/>
      <c r="AR125" s="1044"/>
      <c r="AS125" s="1045"/>
      <c r="BF125" s="145"/>
    </row>
    <row r="126" spans="2:58" x14ac:dyDescent="0.25">
      <c r="B126" s="144"/>
      <c r="D126" s="1051" t="s">
        <v>89</v>
      </c>
      <c r="E126" s="1052"/>
      <c r="F126" s="1052"/>
      <c r="G126" s="1052"/>
      <c r="H126" s="1052"/>
      <c r="I126" s="1052"/>
      <c r="J126" s="1052"/>
      <c r="K126" s="1052"/>
      <c r="L126" s="1052"/>
      <c r="M126" s="1052"/>
      <c r="N126" s="1052"/>
      <c r="O126" s="1052"/>
      <c r="P126" s="1052"/>
      <c r="Q126" s="1052"/>
      <c r="R126" s="1052"/>
      <c r="S126" s="1052"/>
      <c r="T126" s="1053"/>
      <c r="U126" s="1050" t="str">
        <f>IF('PIM Model'!$B$26=0,"",'PIM Model'!$B$26)</f>
        <v/>
      </c>
      <c r="V126" s="987"/>
      <c r="W126" s="987"/>
      <c r="X126" s="987"/>
      <c r="Y126" s="987"/>
      <c r="Z126" s="987" t="str">
        <f>'PIM Model'!$AF$26</f>
        <v/>
      </c>
      <c r="AA126" s="987"/>
      <c r="AB126" s="987"/>
      <c r="AC126" s="987"/>
      <c r="AD126" s="987"/>
      <c r="AE126" s="987"/>
      <c r="AF126" s="1043" t="str">
        <f>'PIM Model'!$AG$26</f>
        <v/>
      </c>
      <c r="AG126" s="1044"/>
      <c r="AH126" s="1044"/>
      <c r="AI126" s="1044"/>
      <c r="AJ126" s="1044"/>
      <c r="AK126" s="1044"/>
      <c r="AL126" s="1049"/>
      <c r="AM126" s="1043" t="str">
        <f>'PIM Model'!$AH$26</f>
        <v/>
      </c>
      <c r="AN126" s="1044"/>
      <c r="AO126" s="1044"/>
      <c r="AP126" s="1044"/>
      <c r="AQ126" s="1044"/>
      <c r="AR126" s="1044"/>
      <c r="AS126" s="1045"/>
      <c r="BF126" s="145"/>
    </row>
    <row r="127" spans="2:58" x14ac:dyDescent="0.25">
      <c r="B127" s="144"/>
      <c r="D127" s="1051" t="s">
        <v>94</v>
      </c>
      <c r="E127" s="1052"/>
      <c r="F127" s="1052"/>
      <c r="G127" s="1052"/>
      <c r="H127" s="1052"/>
      <c r="I127" s="1052"/>
      <c r="J127" s="1052"/>
      <c r="K127" s="1052"/>
      <c r="L127" s="1052"/>
      <c r="M127" s="1052"/>
      <c r="N127" s="1052"/>
      <c r="O127" s="1052"/>
      <c r="P127" s="1052"/>
      <c r="Q127" s="1052"/>
      <c r="R127" s="1052"/>
      <c r="S127" s="1052"/>
      <c r="T127" s="1053"/>
      <c r="U127" s="1050" t="str">
        <f>IF('PIM Model'!$B$27=0,"",'PIM Model'!$B$27)</f>
        <v/>
      </c>
      <c r="V127" s="987"/>
      <c r="W127" s="987"/>
      <c r="X127" s="987"/>
      <c r="Y127" s="987"/>
      <c r="Z127" s="987" t="str">
        <f>'PIM Model'!$AF$27</f>
        <v/>
      </c>
      <c r="AA127" s="987"/>
      <c r="AB127" s="987"/>
      <c r="AC127" s="987"/>
      <c r="AD127" s="987"/>
      <c r="AE127" s="987"/>
      <c r="AF127" s="1043" t="str">
        <f>'PIM Model'!$AG$27</f>
        <v/>
      </c>
      <c r="AG127" s="1044"/>
      <c r="AH127" s="1044"/>
      <c r="AI127" s="1044"/>
      <c r="AJ127" s="1044"/>
      <c r="AK127" s="1044"/>
      <c r="AL127" s="1049"/>
      <c r="AM127" s="1043" t="str">
        <f>'PIM Model'!$AH$27</f>
        <v/>
      </c>
      <c r="AN127" s="1044"/>
      <c r="AO127" s="1044"/>
      <c r="AP127" s="1044"/>
      <c r="AQ127" s="1044"/>
      <c r="AR127" s="1044"/>
      <c r="AS127" s="1045"/>
      <c r="BF127" s="145"/>
    </row>
    <row r="128" spans="2:58" x14ac:dyDescent="0.25">
      <c r="B128" s="144"/>
      <c r="D128" s="1051" t="s">
        <v>86</v>
      </c>
      <c r="E128" s="1052"/>
      <c r="F128" s="1052"/>
      <c r="G128" s="1052"/>
      <c r="H128" s="1052"/>
      <c r="I128" s="1052"/>
      <c r="J128" s="1052"/>
      <c r="K128" s="1052"/>
      <c r="L128" s="1052"/>
      <c r="M128" s="1052"/>
      <c r="N128" s="1052"/>
      <c r="O128" s="1052"/>
      <c r="P128" s="1052"/>
      <c r="Q128" s="1052"/>
      <c r="R128" s="1052"/>
      <c r="S128" s="1052"/>
      <c r="T128" s="1053"/>
      <c r="U128" s="1050" t="str">
        <f>IF('PIM Model'!$B$28=0,"",'PIM Model'!$B$28)</f>
        <v/>
      </c>
      <c r="V128" s="987"/>
      <c r="W128" s="987"/>
      <c r="X128" s="987"/>
      <c r="Y128" s="987"/>
      <c r="Z128" s="987" t="str">
        <f>'PIM Model'!$AF$28</f>
        <v/>
      </c>
      <c r="AA128" s="987"/>
      <c r="AB128" s="987"/>
      <c r="AC128" s="987"/>
      <c r="AD128" s="987"/>
      <c r="AE128" s="987"/>
      <c r="AF128" s="1043" t="str">
        <f>'PIM Model'!$AG$28</f>
        <v/>
      </c>
      <c r="AG128" s="1044"/>
      <c r="AH128" s="1044"/>
      <c r="AI128" s="1044"/>
      <c r="AJ128" s="1044"/>
      <c r="AK128" s="1044"/>
      <c r="AL128" s="1049"/>
      <c r="AM128" s="1043" t="str">
        <f>'PIM Model'!$AH$28</f>
        <v/>
      </c>
      <c r="AN128" s="1044"/>
      <c r="AO128" s="1044"/>
      <c r="AP128" s="1044"/>
      <c r="AQ128" s="1044"/>
      <c r="AR128" s="1044"/>
      <c r="AS128" s="1045"/>
      <c r="BF128" s="145"/>
    </row>
    <row r="129" spans="2:58" x14ac:dyDescent="0.25">
      <c r="B129" s="144"/>
      <c r="D129" s="1051" t="s">
        <v>88</v>
      </c>
      <c r="E129" s="1052"/>
      <c r="F129" s="1052"/>
      <c r="G129" s="1052"/>
      <c r="H129" s="1052"/>
      <c r="I129" s="1052"/>
      <c r="J129" s="1052"/>
      <c r="K129" s="1052"/>
      <c r="L129" s="1052"/>
      <c r="M129" s="1052"/>
      <c r="N129" s="1052"/>
      <c r="O129" s="1052"/>
      <c r="P129" s="1052"/>
      <c r="Q129" s="1052"/>
      <c r="R129" s="1052"/>
      <c r="S129" s="1052"/>
      <c r="T129" s="1053"/>
      <c r="U129" s="1050" t="str">
        <f>IF('PIM Model'!$B$29=0,"",'PIM Model'!$B$29)</f>
        <v/>
      </c>
      <c r="V129" s="987"/>
      <c r="W129" s="987"/>
      <c r="X129" s="987"/>
      <c r="Y129" s="987"/>
      <c r="Z129" s="987" t="str">
        <f>'PIM Model'!$AF$29</f>
        <v/>
      </c>
      <c r="AA129" s="987"/>
      <c r="AB129" s="987"/>
      <c r="AC129" s="987"/>
      <c r="AD129" s="987"/>
      <c r="AE129" s="987"/>
      <c r="AF129" s="1043" t="str">
        <f>'PIM Model'!$AG$29</f>
        <v/>
      </c>
      <c r="AG129" s="1044"/>
      <c r="AH129" s="1044"/>
      <c r="AI129" s="1044"/>
      <c r="AJ129" s="1044"/>
      <c r="AK129" s="1044"/>
      <c r="AL129" s="1049"/>
      <c r="AM129" s="1043" t="str">
        <f>'PIM Model'!$AH$29</f>
        <v/>
      </c>
      <c r="AN129" s="1044"/>
      <c r="AO129" s="1044"/>
      <c r="AP129" s="1044"/>
      <c r="AQ129" s="1044"/>
      <c r="AR129" s="1044"/>
      <c r="AS129" s="1045"/>
      <c r="BF129" s="145"/>
    </row>
    <row r="130" spans="2:58" ht="15.75" thickBot="1" x14ac:dyDescent="0.3">
      <c r="B130" s="144"/>
      <c r="D130" s="1057" t="s">
        <v>87</v>
      </c>
      <c r="E130" s="1058"/>
      <c r="F130" s="1058"/>
      <c r="G130" s="1058"/>
      <c r="H130" s="1058"/>
      <c r="I130" s="1058"/>
      <c r="J130" s="1058"/>
      <c r="K130" s="1058"/>
      <c r="L130" s="1058"/>
      <c r="M130" s="1058"/>
      <c r="N130" s="1058"/>
      <c r="O130" s="1058"/>
      <c r="P130" s="1058"/>
      <c r="Q130" s="1058"/>
      <c r="R130" s="1058"/>
      <c r="S130" s="1058"/>
      <c r="T130" s="1059"/>
      <c r="U130" s="1054" t="str">
        <f>IF('PIM Model'!$B$30=0,"",'PIM Model'!$B$30)</f>
        <v/>
      </c>
      <c r="V130" s="1047"/>
      <c r="W130" s="1047"/>
      <c r="X130" s="1047"/>
      <c r="Y130" s="1047"/>
      <c r="Z130" s="1047" t="str">
        <f>'PIM Model'!$AF$30</f>
        <v/>
      </c>
      <c r="AA130" s="1047"/>
      <c r="AB130" s="1047"/>
      <c r="AC130" s="1047"/>
      <c r="AD130" s="1047"/>
      <c r="AE130" s="1047"/>
      <c r="AF130" s="1035" t="str">
        <f>'PIM Model'!$AG$30</f>
        <v/>
      </c>
      <c r="AG130" s="1036"/>
      <c r="AH130" s="1036"/>
      <c r="AI130" s="1036"/>
      <c r="AJ130" s="1036"/>
      <c r="AK130" s="1036"/>
      <c r="AL130" s="1037"/>
      <c r="AM130" s="1035" t="str">
        <f>'PIM Model'!$AH$30</f>
        <v/>
      </c>
      <c r="AN130" s="1036"/>
      <c r="AO130" s="1036"/>
      <c r="AP130" s="1036"/>
      <c r="AQ130" s="1036"/>
      <c r="AR130" s="1036"/>
      <c r="AS130" s="1046"/>
      <c r="BF130" s="145"/>
    </row>
    <row r="131" spans="2:58" ht="16.5" thickTop="1" thickBot="1" x14ac:dyDescent="0.3">
      <c r="B131" s="144"/>
      <c r="D131" s="1026" t="s">
        <v>1074</v>
      </c>
      <c r="E131" s="1027"/>
      <c r="F131" s="1027"/>
      <c r="G131" s="1027"/>
      <c r="H131" s="1027"/>
      <c r="I131" s="1027"/>
      <c r="J131" s="1027"/>
      <c r="K131" s="1027"/>
      <c r="L131" s="1027"/>
      <c r="M131" s="1027"/>
      <c r="N131" s="1027"/>
      <c r="O131" s="1027"/>
      <c r="P131" s="1027"/>
      <c r="Q131" s="1027"/>
      <c r="R131" s="1027"/>
      <c r="S131" s="1027"/>
      <c r="T131" s="1028"/>
      <c r="U131" s="1029">
        <f>COUNT($U$110:$Y$130)</f>
        <v>0</v>
      </c>
      <c r="V131" s="1030"/>
      <c r="W131" s="1030"/>
      <c r="X131" s="1030"/>
      <c r="Y131" s="1030"/>
      <c r="Z131" s="1027">
        <f>COUNTIF($Z$110:$AE$130,"ABOVE")+COUNTIF($Z$110:$AE$130,"BELOW")</f>
        <v>0</v>
      </c>
      <c r="AA131" s="1027"/>
      <c r="AB131" s="1027"/>
      <c r="AC131" s="1027"/>
      <c r="AD131" s="1027"/>
      <c r="AE131" s="1027"/>
      <c r="AF131" s="1031"/>
      <c r="AG131" s="1032"/>
      <c r="AH131" s="1032"/>
      <c r="AI131" s="1032"/>
      <c r="AJ131" s="1032"/>
      <c r="AK131" s="1032"/>
      <c r="AL131" s="1033"/>
      <c r="AM131" s="1031"/>
      <c r="AN131" s="1032"/>
      <c r="AO131" s="1032"/>
      <c r="AP131" s="1032"/>
      <c r="AQ131" s="1032"/>
      <c r="AR131" s="1032"/>
      <c r="AS131" s="1034"/>
      <c r="BF131" s="145"/>
    </row>
    <row r="132" spans="2:58" ht="15.75" thickBot="1" x14ac:dyDescent="0.3">
      <c r="B132" s="296"/>
      <c r="C132" s="297"/>
      <c r="D132" s="297"/>
      <c r="E132" s="297"/>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c r="AR132" s="297"/>
      <c r="AS132" s="297"/>
      <c r="AT132" s="297"/>
      <c r="AU132" s="297"/>
      <c r="AV132" s="297"/>
      <c r="AW132" s="297"/>
      <c r="AX132" s="297"/>
      <c r="AY132" s="297"/>
      <c r="AZ132" s="297"/>
      <c r="BA132" s="297"/>
      <c r="BB132" s="297"/>
      <c r="BC132" s="297"/>
      <c r="BD132" s="297"/>
      <c r="BE132" s="297"/>
      <c r="BF132" s="298"/>
    </row>
  </sheetData>
  <sheetProtection password="9889"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16" right="0.16" top="0.34" bottom="0.41" header="0.16" footer="0.17"/>
  <pageSetup scale="77" fitToHeight="0" orientation="portrait" r:id="rId1"/>
  <headerFooter scaleWithDoc="0">
    <oddFooter>&amp;L&amp;P&amp;CContract Worksheet | US Foods Confidential</oddFooter>
  </headerFooter>
  <rowBreaks count="2" manualBreakCount="2">
    <brk id="52" min="1" max="57" man="1"/>
    <brk id="90"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workbookViewId="0"/>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714</v>
      </c>
      <c r="B1" s="64" t="s">
        <v>713</v>
      </c>
      <c r="C1" s="64" t="s">
        <v>761</v>
      </c>
      <c r="D1" s="64" t="s">
        <v>712</v>
      </c>
      <c r="E1" s="64" t="s">
        <v>711</v>
      </c>
      <c r="F1" s="66" t="s">
        <v>710</v>
      </c>
      <c r="G1" s="66" t="s">
        <v>709</v>
      </c>
      <c r="H1" s="64" t="s">
        <v>708</v>
      </c>
      <c r="I1" s="64" t="s">
        <v>707</v>
      </c>
      <c r="J1" s="64" t="s">
        <v>706</v>
      </c>
      <c r="K1" s="65" t="s">
        <v>705</v>
      </c>
      <c r="L1" s="64" t="s">
        <v>704</v>
      </c>
      <c r="M1" s="64" t="s">
        <v>703</v>
      </c>
      <c r="N1" s="64" t="s">
        <v>702</v>
      </c>
      <c r="O1" s="64" t="s">
        <v>701</v>
      </c>
      <c r="P1" s="64" t="s">
        <v>700</v>
      </c>
    </row>
    <row r="2" spans="1:16" x14ac:dyDescent="0.25">
      <c r="A2" s="63">
        <v>15</v>
      </c>
      <c r="B2" s="63">
        <v>0</v>
      </c>
      <c r="C2" s="63">
        <v>0</v>
      </c>
      <c r="D2" s="63" t="s">
        <v>697</v>
      </c>
      <c r="E2" s="63" t="s">
        <v>696</v>
      </c>
      <c r="F2" s="77" t="str">
        <f>'PIM Model'!$AD$11</f>
        <v/>
      </c>
      <c r="G2" s="69" t="str">
        <f>F2</f>
        <v/>
      </c>
      <c r="H2" s="77" t="str">
        <f>IF('PIM Model'!$D$11="$/LB","#","%")</f>
        <v>%</v>
      </c>
      <c r="I2" s="72" t="s">
        <v>699</v>
      </c>
      <c r="J2">
        <v>1.75</v>
      </c>
      <c r="K2" s="71">
        <v>25</v>
      </c>
      <c r="L2" s="63" t="s">
        <v>496</v>
      </c>
    </row>
    <row r="3" spans="1:16" x14ac:dyDescent="0.25">
      <c r="A3" s="63">
        <v>15</v>
      </c>
      <c r="B3" s="63">
        <v>131</v>
      </c>
      <c r="C3" s="63">
        <v>0</v>
      </c>
      <c r="D3" s="63" t="s">
        <v>697</v>
      </c>
      <c r="E3" s="63" t="s">
        <v>696</v>
      </c>
      <c r="F3" s="77" t="str">
        <f>'PIM Model'!$AD$12</f>
        <v/>
      </c>
      <c r="G3" s="69" t="str">
        <f t="shared" ref="G3:G68" si="0">F3</f>
        <v/>
      </c>
      <c r="H3" s="77" t="str">
        <f>IF('PIM Model'!$D$12="$/LB","#","%")</f>
        <v>%</v>
      </c>
      <c r="I3" s="72" t="s">
        <v>699</v>
      </c>
      <c r="J3">
        <v>1.75</v>
      </c>
      <c r="K3" s="71">
        <v>25</v>
      </c>
      <c r="L3" s="63" t="s">
        <v>496</v>
      </c>
    </row>
    <row r="4" spans="1:16" x14ac:dyDescent="0.25">
      <c r="A4" s="63">
        <v>15</v>
      </c>
      <c r="B4" s="63">
        <v>254</v>
      </c>
      <c r="C4" s="63">
        <v>0</v>
      </c>
      <c r="D4" s="63" t="s">
        <v>697</v>
      </c>
      <c r="E4" s="63" t="s">
        <v>696</v>
      </c>
      <c r="F4" s="77" t="str">
        <f>'PIM Model'!$AD$12</f>
        <v/>
      </c>
      <c r="G4" s="69" t="str">
        <f t="shared" si="0"/>
        <v/>
      </c>
      <c r="H4" s="77" t="str">
        <f>IF('PIM Model'!$D$12="$/LB","#","%")</f>
        <v>%</v>
      </c>
      <c r="I4" s="72" t="s">
        <v>699</v>
      </c>
      <c r="J4">
        <v>1.75</v>
      </c>
      <c r="K4" s="71">
        <v>25</v>
      </c>
      <c r="L4" s="63" t="s">
        <v>496</v>
      </c>
    </row>
    <row r="5" spans="1:16" x14ac:dyDescent="0.25">
      <c r="A5" s="63">
        <v>15</v>
      </c>
      <c r="B5" s="63">
        <v>373</v>
      </c>
      <c r="C5" s="63">
        <v>0</v>
      </c>
      <c r="D5" s="63" t="s">
        <v>697</v>
      </c>
      <c r="E5" s="63" t="s">
        <v>696</v>
      </c>
      <c r="F5" s="77" t="str">
        <f>'PIM Model'!$AD$12</f>
        <v/>
      </c>
      <c r="G5" s="69" t="str">
        <f t="shared" si="0"/>
        <v/>
      </c>
      <c r="H5" s="77" t="str">
        <f>IF('PIM Model'!$D$12="$/LB","#","%")</f>
        <v>%</v>
      </c>
      <c r="I5" s="72" t="s">
        <v>699</v>
      </c>
      <c r="J5">
        <v>1.75</v>
      </c>
      <c r="K5" s="71">
        <v>25</v>
      </c>
      <c r="L5" s="63" t="s">
        <v>496</v>
      </c>
    </row>
    <row r="6" spans="1:16" x14ac:dyDescent="0.25">
      <c r="A6" s="63">
        <v>15</v>
      </c>
      <c r="B6" s="63">
        <v>132</v>
      </c>
      <c r="C6" s="63">
        <v>0</v>
      </c>
      <c r="D6" s="63" t="s">
        <v>697</v>
      </c>
      <c r="E6" s="63" t="s">
        <v>696</v>
      </c>
      <c r="F6" s="77" t="str">
        <f>'PIM Model'!$AD$12</f>
        <v/>
      </c>
      <c r="G6" s="69" t="str">
        <f t="shared" si="0"/>
        <v/>
      </c>
      <c r="H6" s="77" t="str">
        <f>IF('PIM Model'!$D$12="$/LB","#","%")</f>
        <v>%</v>
      </c>
      <c r="I6" s="72" t="s">
        <v>699</v>
      </c>
      <c r="J6">
        <v>1.75</v>
      </c>
      <c r="K6" s="71">
        <v>25</v>
      </c>
      <c r="L6" s="63" t="s">
        <v>496</v>
      </c>
    </row>
    <row r="7" spans="1:16" x14ac:dyDescent="0.25">
      <c r="A7" s="63">
        <v>15</v>
      </c>
      <c r="B7" s="63">
        <v>368</v>
      </c>
      <c r="C7" s="63">
        <v>0</v>
      </c>
      <c r="D7" s="63" t="s">
        <v>697</v>
      </c>
      <c r="E7" s="63" t="s">
        <v>696</v>
      </c>
      <c r="F7" s="77" t="str">
        <f>'PIM Model'!$AD$12</f>
        <v/>
      </c>
      <c r="G7" s="69" t="str">
        <f t="shared" si="0"/>
        <v/>
      </c>
      <c r="H7" s="77" t="str">
        <f>IF('PIM Model'!$D$12="$/LB","#","%")</f>
        <v>%</v>
      </c>
      <c r="I7" s="72" t="s">
        <v>699</v>
      </c>
      <c r="J7">
        <v>1.75</v>
      </c>
      <c r="K7" s="71">
        <v>25</v>
      </c>
      <c r="L7" s="63" t="s">
        <v>496</v>
      </c>
    </row>
    <row r="8" spans="1:16" x14ac:dyDescent="0.25">
      <c r="A8" s="63">
        <v>15</v>
      </c>
      <c r="B8" s="63">
        <v>369</v>
      </c>
      <c r="C8" s="63">
        <v>0</v>
      </c>
      <c r="D8" s="63" t="s">
        <v>697</v>
      </c>
      <c r="E8" s="63" t="s">
        <v>696</v>
      </c>
      <c r="F8" s="77" t="str">
        <f>'PIM Model'!$AD$12</f>
        <v/>
      </c>
      <c r="G8" s="69" t="str">
        <f t="shared" si="0"/>
        <v/>
      </c>
      <c r="H8" s="77" t="str">
        <f>IF('PIM Model'!$D$12="$/LB","#","%")</f>
        <v>%</v>
      </c>
      <c r="I8" s="72" t="s">
        <v>699</v>
      </c>
      <c r="J8">
        <v>1.75</v>
      </c>
      <c r="K8" s="71">
        <v>25</v>
      </c>
      <c r="L8" s="63" t="s">
        <v>496</v>
      </c>
    </row>
    <row r="9" spans="1:16" x14ac:dyDescent="0.25">
      <c r="A9" s="63">
        <v>15</v>
      </c>
      <c r="B9" s="63">
        <v>384</v>
      </c>
      <c r="C9" s="63">
        <v>0</v>
      </c>
      <c r="D9" s="63" t="s">
        <v>697</v>
      </c>
      <c r="E9" s="63" t="s">
        <v>696</v>
      </c>
      <c r="F9" s="77" t="str">
        <f>'PIM Model'!$AD$12</f>
        <v/>
      </c>
      <c r="G9" s="69" t="str">
        <f t="shared" si="0"/>
        <v/>
      </c>
      <c r="H9" s="77" t="str">
        <f>IF('PIM Model'!$D$12="$/LB","#","%")</f>
        <v>%</v>
      </c>
      <c r="I9" s="72" t="s">
        <v>699</v>
      </c>
      <c r="J9">
        <v>1.75</v>
      </c>
      <c r="K9" s="71">
        <v>25</v>
      </c>
      <c r="L9" s="63" t="s">
        <v>496</v>
      </c>
    </row>
    <row r="10" spans="1:16" x14ac:dyDescent="0.25">
      <c r="A10" s="63">
        <v>15</v>
      </c>
      <c r="B10" s="63">
        <v>381</v>
      </c>
      <c r="C10" s="63">
        <v>0</v>
      </c>
      <c r="D10" s="63" t="s">
        <v>697</v>
      </c>
      <c r="E10" s="63" t="s">
        <v>696</v>
      </c>
      <c r="F10" s="77" t="str">
        <f>'PIM Model'!$AD$12</f>
        <v/>
      </c>
      <c r="G10" s="69" t="str">
        <f t="shared" si="0"/>
        <v/>
      </c>
      <c r="H10" s="77" t="str">
        <f>IF('PIM Model'!$D$12="$/LB","#","%")</f>
        <v>%</v>
      </c>
      <c r="I10" s="72" t="s">
        <v>699</v>
      </c>
      <c r="J10">
        <v>1.75</v>
      </c>
      <c r="K10" s="71">
        <v>25</v>
      </c>
      <c r="L10" s="63" t="s">
        <v>496</v>
      </c>
    </row>
    <row r="11" spans="1:16" x14ac:dyDescent="0.25">
      <c r="A11" s="63">
        <v>15</v>
      </c>
      <c r="B11" s="63">
        <v>377</v>
      </c>
      <c r="C11" s="63">
        <v>0</v>
      </c>
      <c r="D11" s="63" t="s">
        <v>697</v>
      </c>
      <c r="E11" s="63" t="s">
        <v>696</v>
      </c>
      <c r="F11" s="77" t="str">
        <f>'PIM Model'!$AD$12</f>
        <v/>
      </c>
      <c r="G11" s="69" t="str">
        <f t="shared" si="0"/>
        <v/>
      </c>
      <c r="H11" s="77" t="str">
        <f>IF('PIM Model'!$D$12="$/LB","#","%")</f>
        <v>%</v>
      </c>
      <c r="I11" s="72" t="s">
        <v>699</v>
      </c>
      <c r="J11">
        <v>1.75</v>
      </c>
      <c r="K11" s="71">
        <v>25</v>
      </c>
      <c r="L11" s="63" t="s">
        <v>496</v>
      </c>
    </row>
    <row r="12" spans="1:16" x14ac:dyDescent="0.25">
      <c r="A12" s="63">
        <v>15</v>
      </c>
      <c r="B12" s="63">
        <v>388</v>
      </c>
      <c r="C12" s="63">
        <v>0</v>
      </c>
      <c r="D12" s="63" t="s">
        <v>697</v>
      </c>
      <c r="E12" s="63" t="s">
        <v>696</v>
      </c>
      <c r="F12" s="77" t="str">
        <f>'PIM Model'!$AD$12</f>
        <v/>
      </c>
      <c r="G12" s="69" t="str">
        <f t="shared" si="0"/>
        <v/>
      </c>
      <c r="H12" s="77" t="str">
        <f>IF('PIM Model'!$D$12="$/LB","#","%")</f>
        <v>%</v>
      </c>
      <c r="I12" s="72" t="s">
        <v>699</v>
      </c>
      <c r="J12">
        <v>1.75</v>
      </c>
      <c r="K12" s="71">
        <v>25</v>
      </c>
      <c r="L12" s="63" t="s">
        <v>496</v>
      </c>
    </row>
    <row r="13" spans="1:16" x14ac:dyDescent="0.25">
      <c r="A13" s="63">
        <v>16</v>
      </c>
      <c r="B13" s="63">
        <v>0</v>
      </c>
      <c r="C13" s="63">
        <v>0</v>
      </c>
      <c r="D13" s="63" t="s">
        <v>695</v>
      </c>
      <c r="E13" s="63" t="s">
        <v>694</v>
      </c>
      <c r="F13" s="70" t="str">
        <f>'PIM Model'!$AD$13</f>
        <v/>
      </c>
      <c r="G13" s="69" t="str">
        <f t="shared" si="0"/>
        <v/>
      </c>
      <c r="H13" s="77" t="str">
        <f>'PIM Model'!$D$13</f>
        <v>%</v>
      </c>
      <c r="I13" s="72" t="s">
        <v>699</v>
      </c>
      <c r="J13">
        <v>1.75</v>
      </c>
      <c r="K13" s="71">
        <v>25</v>
      </c>
      <c r="L13" s="63" t="s">
        <v>496</v>
      </c>
    </row>
    <row r="14" spans="1:16" x14ac:dyDescent="0.25">
      <c r="A14" s="63">
        <v>16</v>
      </c>
      <c r="B14" s="63">
        <v>135</v>
      </c>
      <c r="C14" s="63">
        <v>0</v>
      </c>
      <c r="D14" s="63" t="s">
        <v>697</v>
      </c>
      <c r="E14" s="63" t="s">
        <v>696</v>
      </c>
      <c r="F14" s="70" t="str">
        <f>'PIM Model'!$AD$13</f>
        <v/>
      </c>
      <c r="G14" s="69" t="str">
        <f t="shared" si="0"/>
        <v/>
      </c>
      <c r="H14" s="77" t="str">
        <f>'PIM Model'!$D$13</f>
        <v>%</v>
      </c>
      <c r="I14" s="72" t="s">
        <v>699</v>
      </c>
      <c r="J14">
        <v>1.75</v>
      </c>
      <c r="K14" s="71">
        <v>25</v>
      </c>
      <c r="L14" s="63" t="s">
        <v>496</v>
      </c>
    </row>
    <row r="15" spans="1:16" x14ac:dyDescent="0.25">
      <c r="A15" s="63">
        <v>16</v>
      </c>
      <c r="B15" s="63">
        <v>136</v>
      </c>
      <c r="C15" s="63">
        <v>7626</v>
      </c>
      <c r="D15" s="63" t="s">
        <v>697</v>
      </c>
      <c r="E15" s="63" t="s">
        <v>696</v>
      </c>
      <c r="F15" s="70" t="str">
        <f>'PIM Model'!$AD$13</f>
        <v/>
      </c>
      <c r="G15" s="69" t="str">
        <f t="shared" si="0"/>
        <v/>
      </c>
      <c r="H15" s="77" t="str">
        <f>'PIM Model'!$D$13</f>
        <v>%</v>
      </c>
      <c r="I15" s="72" t="s">
        <v>699</v>
      </c>
      <c r="J15">
        <v>1.75</v>
      </c>
      <c r="K15" s="71">
        <v>25</v>
      </c>
      <c r="L15" s="63" t="s">
        <v>496</v>
      </c>
    </row>
    <row r="16" spans="1:16" x14ac:dyDescent="0.25">
      <c r="A16" s="63">
        <v>16</v>
      </c>
      <c r="B16" s="63">
        <v>136</v>
      </c>
      <c r="C16" s="63">
        <v>7627</v>
      </c>
      <c r="D16" s="63" t="s">
        <v>697</v>
      </c>
      <c r="E16" s="63" t="s">
        <v>696</v>
      </c>
      <c r="F16" s="70" t="str">
        <f>'PIM Model'!$AD$13</f>
        <v/>
      </c>
      <c r="G16" s="69" t="str">
        <f t="shared" si="0"/>
        <v/>
      </c>
      <c r="H16" s="77" t="str">
        <f>'PIM Model'!$D$13</f>
        <v>%</v>
      </c>
      <c r="I16" s="72" t="s">
        <v>699</v>
      </c>
      <c r="J16">
        <v>1.75</v>
      </c>
      <c r="K16" s="71">
        <v>25</v>
      </c>
      <c r="L16" s="63" t="s">
        <v>496</v>
      </c>
    </row>
    <row r="17" spans="1:12" x14ac:dyDescent="0.25">
      <c r="A17" s="63">
        <v>16</v>
      </c>
      <c r="B17" s="63">
        <v>136</v>
      </c>
      <c r="C17" s="63">
        <v>7628</v>
      </c>
      <c r="D17" s="63" t="s">
        <v>697</v>
      </c>
      <c r="E17" s="63" t="s">
        <v>696</v>
      </c>
      <c r="F17" s="70" t="str">
        <f>'PIM Model'!$AD$13</f>
        <v/>
      </c>
      <c r="G17" s="69" t="str">
        <f t="shared" si="0"/>
        <v/>
      </c>
      <c r="H17" s="77" t="str">
        <f>'PIM Model'!$D$13</f>
        <v>%</v>
      </c>
      <c r="I17" s="72" t="s">
        <v>699</v>
      </c>
      <c r="J17">
        <v>1.75</v>
      </c>
      <c r="K17" s="71">
        <v>25</v>
      </c>
      <c r="L17" s="63" t="s">
        <v>496</v>
      </c>
    </row>
    <row r="18" spans="1:12" x14ac:dyDescent="0.25">
      <c r="A18" s="63">
        <v>16</v>
      </c>
      <c r="B18" s="63">
        <v>136</v>
      </c>
      <c r="C18" s="63">
        <v>7629</v>
      </c>
      <c r="D18" s="63" t="s">
        <v>697</v>
      </c>
      <c r="E18" s="63" t="s">
        <v>696</v>
      </c>
      <c r="F18" s="70" t="str">
        <f>'PIM Model'!$AD$13</f>
        <v/>
      </c>
      <c r="G18" s="69" t="str">
        <f t="shared" si="0"/>
        <v/>
      </c>
      <c r="H18" s="77" t="str">
        <f>'PIM Model'!$D$13</f>
        <v>%</v>
      </c>
      <c r="I18" s="72" t="s">
        <v>699</v>
      </c>
      <c r="J18">
        <v>1.75</v>
      </c>
      <c r="K18" s="71">
        <v>25</v>
      </c>
      <c r="L18" s="63" t="s">
        <v>496</v>
      </c>
    </row>
    <row r="19" spans="1:12" x14ac:dyDescent="0.25">
      <c r="A19" s="63">
        <v>16</v>
      </c>
      <c r="B19" s="63">
        <v>136</v>
      </c>
      <c r="C19" s="63">
        <v>7643</v>
      </c>
      <c r="D19" s="63" t="s">
        <v>697</v>
      </c>
      <c r="E19" s="63" t="s">
        <v>696</v>
      </c>
      <c r="F19" s="70" t="str">
        <f>'PIM Model'!$AD$13</f>
        <v/>
      </c>
      <c r="G19" s="69" t="str">
        <f t="shared" si="0"/>
        <v/>
      </c>
      <c r="H19" s="77" t="str">
        <f>'PIM Model'!$D$13</f>
        <v>%</v>
      </c>
      <c r="I19" s="72" t="s">
        <v>699</v>
      </c>
      <c r="J19">
        <v>1.75</v>
      </c>
      <c r="K19" s="71">
        <v>25</v>
      </c>
      <c r="L19" s="63" t="s">
        <v>496</v>
      </c>
    </row>
    <row r="20" spans="1:12" x14ac:dyDescent="0.25">
      <c r="A20" s="63">
        <v>16</v>
      </c>
      <c r="B20" s="63">
        <v>136</v>
      </c>
      <c r="C20" s="63">
        <v>7644</v>
      </c>
      <c r="D20" s="63" t="s">
        <v>697</v>
      </c>
      <c r="E20" s="63" t="s">
        <v>696</v>
      </c>
      <c r="F20" s="70" t="str">
        <f>'PIM Model'!$AD$13</f>
        <v/>
      </c>
      <c r="G20" s="69" t="str">
        <f t="shared" si="0"/>
        <v/>
      </c>
      <c r="H20" s="77" t="str">
        <f>'PIM Model'!$D$13</f>
        <v>%</v>
      </c>
      <c r="I20" s="72" t="s">
        <v>699</v>
      </c>
      <c r="J20">
        <v>1.75</v>
      </c>
      <c r="K20" s="71">
        <v>25</v>
      </c>
      <c r="L20" s="63" t="s">
        <v>496</v>
      </c>
    </row>
    <row r="21" spans="1:12" x14ac:dyDescent="0.25">
      <c r="A21" s="63">
        <v>16</v>
      </c>
      <c r="B21" s="63">
        <v>136</v>
      </c>
      <c r="C21" s="63">
        <v>7645</v>
      </c>
      <c r="D21" s="63" t="s">
        <v>697</v>
      </c>
      <c r="E21" s="63" t="s">
        <v>696</v>
      </c>
      <c r="F21" s="70" t="str">
        <f>'PIM Model'!$AD$13</f>
        <v/>
      </c>
      <c r="G21" s="69" t="str">
        <f t="shared" si="0"/>
        <v/>
      </c>
      <c r="H21" s="77" t="str">
        <f>'PIM Model'!$D$13</f>
        <v>%</v>
      </c>
      <c r="I21" s="72" t="s">
        <v>699</v>
      </c>
      <c r="J21">
        <v>1.75</v>
      </c>
      <c r="K21" s="71">
        <v>25</v>
      </c>
      <c r="L21" s="63" t="s">
        <v>496</v>
      </c>
    </row>
    <row r="22" spans="1:12" x14ac:dyDescent="0.25">
      <c r="A22" s="63">
        <v>16</v>
      </c>
      <c r="B22" s="63">
        <v>136</v>
      </c>
      <c r="C22" s="63">
        <v>7646</v>
      </c>
      <c r="D22" s="63" t="s">
        <v>697</v>
      </c>
      <c r="E22" s="63" t="s">
        <v>696</v>
      </c>
      <c r="F22" s="70" t="str">
        <f>'PIM Model'!$AD$13</f>
        <v/>
      </c>
      <c r="G22" s="69" t="str">
        <f t="shared" si="0"/>
        <v/>
      </c>
      <c r="H22" s="77" t="str">
        <f>'PIM Model'!$D$13</f>
        <v>%</v>
      </c>
      <c r="I22" s="72" t="s">
        <v>699</v>
      </c>
      <c r="J22">
        <v>1.75</v>
      </c>
      <c r="K22" s="71">
        <v>25</v>
      </c>
      <c r="L22" s="63" t="s">
        <v>496</v>
      </c>
    </row>
    <row r="23" spans="1:12" x14ac:dyDescent="0.25">
      <c r="A23" s="63">
        <v>16</v>
      </c>
      <c r="B23" s="63">
        <v>136</v>
      </c>
      <c r="C23" s="63">
        <v>7647</v>
      </c>
      <c r="D23" s="63" t="s">
        <v>697</v>
      </c>
      <c r="E23" s="63" t="s">
        <v>696</v>
      </c>
      <c r="F23" s="70" t="str">
        <f>'PIM Model'!$AD$13</f>
        <v/>
      </c>
      <c r="G23" s="69" t="str">
        <f t="shared" si="0"/>
        <v/>
      </c>
      <c r="H23" s="77" t="str">
        <f>'PIM Model'!$D$13</f>
        <v>%</v>
      </c>
      <c r="I23" s="72" t="s">
        <v>699</v>
      </c>
      <c r="J23">
        <v>1.75</v>
      </c>
      <c r="K23" s="71">
        <v>25</v>
      </c>
      <c r="L23" s="63" t="s">
        <v>496</v>
      </c>
    </row>
    <row r="24" spans="1:12" x14ac:dyDescent="0.25">
      <c r="A24" s="63">
        <v>16</v>
      </c>
      <c r="B24" s="63">
        <v>136</v>
      </c>
      <c r="C24" s="63">
        <v>7648</v>
      </c>
      <c r="D24" s="63" t="s">
        <v>697</v>
      </c>
      <c r="E24" s="63" t="s">
        <v>696</v>
      </c>
      <c r="F24" s="70" t="str">
        <f>'PIM Model'!$AD$13</f>
        <v/>
      </c>
      <c r="G24" s="69" t="str">
        <f t="shared" si="0"/>
        <v/>
      </c>
      <c r="H24" s="77" t="str">
        <f>'PIM Model'!$D$13</f>
        <v>%</v>
      </c>
      <c r="I24" s="72" t="s">
        <v>699</v>
      </c>
      <c r="J24">
        <v>1.75</v>
      </c>
      <c r="K24" s="71">
        <v>25</v>
      </c>
      <c r="L24" s="63" t="s">
        <v>496</v>
      </c>
    </row>
    <row r="25" spans="1:12" x14ac:dyDescent="0.25">
      <c r="A25" s="63">
        <v>16</v>
      </c>
      <c r="B25" s="63">
        <v>136</v>
      </c>
      <c r="C25" s="63">
        <v>7649</v>
      </c>
      <c r="D25" s="63" t="s">
        <v>697</v>
      </c>
      <c r="E25" s="63" t="s">
        <v>696</v>
      </c>
      <c r="F25" s="70" t="str">
        <f>'PIM Model'!$AD$13</f>
        <v/>
      </c>
      <c r="G25" s="69" t="str">
        <f t="shared" si="0"/>
        <v/>
      </c>
      <c r="H25" s="77" t="str">
        <f>'PIM Model'!$D$13</f>
        <v>%</v>
      </c>
      <c r="I25" s="72" t="s">
        <v>699</v>
      </c>
      <c r="J25">
        <v>1.75</v>
      </c>
      <c r="K25" s="71">
        <v>25</v>
      </c>
      <c r="L25" s="63" t="s">
        <v>496</v>
      </c>
    </row>
    <row r="26" spans="1:12" x14ac:dyDescent="0.25">
      <c r="A26" s="63">
        <v>16</v>
      </c>
      <c r="B26" s="63">
        <v>136</v>
      </c>
      <c r="C26" s="63">
        <v>7738</v>
      </c>
      <c r="D26" s="63" t="s">
        <v>697</v>
      </c>
      <c r="E26" s="63" t="s">
        <v>696</v>
      </c>
      <c r="F26" s="70" t="str">
        <f>'PIM Model'!$AD$13</f>
        <v/>
      </c>
      <c r="G26" s="69" t="str">
        <f t="shared" si="0"/>
        <v/>
      </c>
      <c r="H26" s="77" t="str">
        <f>'PIM Model'!$D$13</f>
        <v>%</v>
      </c>
      <c r="I26" s="72" t="s">
        <v>699</v>
      </c>
      <c r="J26">
        <v>1.75</v>
      </c>
      <c r="K26" s="71">
        <v>25</v>
      </c>
      <c r="L26" s="63" t="s">
        <v>496</v>
      </c>
    </row>
    <row r="27" spans="1:12" x14ac:dyDescent="0.25">
      <c r="A27" s="63">
        <v>16</v>
      </c>
      <c r="B27" s="63">
        <v>136</v>
      </c>
      <c r="C27" s="63">
        <v>7739</v>
      </c>
      <c r="D27" s="63" t="s">
        <v>697</v>
      </c>
      <c r="E27" s="63" t="s">
        <v>696</v>
      </c>
      <c r="F27" s="70" t="str">
        <f>'PIM Model'!$AD$13</f>
        <v/>
      </c>
      <c r="G27" s="69" t="str">
        <f t="shared" si="0"/>
        <v/>
      </c>
      <c r="H27" s="77" t="str">
        <f>'PIM Model'!$D$13</f>
        <v>%</v>
      </c>
      <c r="I27" s="72" t="s">
        <v>699</v>
      </c>
      <c r="J27">
        <v>1.75</v>
      </c>
      <c r="K27" s="71">
        <v>25</v>
      </c>
      <c r="L27" s="63" t="s">
        <v>496</v>
      </c>
    </row>
    <row r="28" spans="1:12" x14ac:dyDescent="0.25">
      <c r="A28" s="63">
        <v>16</v>
      </c>
      <c r="B28" s="63">
        <v>136</v>
      </c>
      <c r="C28" s="63">
        <v>7744</v>
      </c>
      <c r="D28" s="63" t="s">
        <v>697</v>
      </c>
      <c r="E28" s="63" t="s">
        <v>696</v>
      </c>
      <c r="F28" s="70" t="str">
        <f>'PIM Model'!$AD$13</f>
        <v/>
      </c>
      <c r="G28" s="69" t="str">
        <f t="shared" si="0"/>
        <v/>
      </c>
      <c r="H28" s="77" t="str">
        <f>'PIM Model'!$D$13</f>
        <v>%</v>
      </c>
      <c r="I28" s="72" t="s">
        <v>699</v>
      </c>
      <c r="J28">
        <v>1.75</v>
      </c>
      <c r="K28" s="71">
        <v>25</v>
      </c>
      <c r="L28" s="63" t="s">
        <v>496</v>
      </c>
    </row>
    <row r="29" spans="1:12" x14ac:dyDescent="0.25">
      <c r="A29" s="63">
        <v>16</v>
      </c>
      <c r="B29" s="63">
        <v>136</v>
      </c>
      <c r="C29" s="63">
        <v>7745</v>
      </c>
      <c r="D29" s="63" t="s">
        <v>697</v>
      </c>
      <c r="E29" s="63" t="s">
        <v>696</v>
      </c>
      <c r="F29" s="70" t="str">
        <f>'PIM Model'!$AD$13</f>
        <v/>
      </c>
      <c r="G29" s="69" t="str">
        <f t="shared" si="0"/>
        <v/>
      </c>
      <c r="H29" s="77" t="str">
        <f>'PIM Model'!$D$13</f>
        <v>%</v>
      </c>
      <c r="I29" s="72" t="s">
        <v>699</v>
      </c>
      <c r="J29">
        <v>1.75</v>
      </c>
      <c r="K29" s="71">
        <v>25</v>
      </c>
      <c r="L29" s="63" t="s">
        <v>496</v>
      </c>
    </row>
    <row r="30" spans="1:12" x14ac:dyDescent="0.25">
      <c r="A30" s="63">
        <v>16</v>
      </c>
      <c r="B30" s="63">
        <v>136</v>
      </c>
      <c r="C30" s="63">
        <v>7746</v>
      </c>
      <c r="D30" s="63" t="s">
        <v>697</v>
      </c>
      <c r="E30" s="63" t="s">
        <v>696</v>
      </c>
      <c r="F30" s="70" t="str">
        <f>'PIM Model'!$AD$13</f>
        <v/>
      </c>
      <c r="G30" s="69" t="str">
        <f t="shared" si="0"/>
        <v/>
      </c>
      <c r="H30" s="77" t="str">
        <f>'PIM Model'!$D$13</f>
        <v>%</v>
      </c>
      <c r="I30" s="72" t="s">
        <v>699</v>
      </c>
      <c r="J30">
        <v>1.75</v>
      </c>
      <c r="K30" s="71">
        <v>25</v>
      </c>
      <c r="L30" s="63" t="s">
        <v>496</v>
      </c>
    </row>
    <row r="31" spans="1:12" x14ac:dyDescent="0.25">
      <c r="A31" s="63">
        <v>16</v>
      </c>
      <c r="B31" s="63">
        <v>136</v>
      </c>
      <c r="C31" s="63">
        <v>8216</v>
      </c>
      <c r="D31" s="63" t="s">
        <v>697</v>
      </c>
      <c r="E31" s="63" t="s">
        <v>696</v>
      </c>
      <c r="F31" s="70" t="str">
        <f>'PIM Model'!$AD$13</f>
        <v/>
      </c>
      <c r="G31" s="69" t="str">
        <f t="shared" ref="G31:G32" si="1">F31</f>
        <v/>
      </c>
      <c r="H31" s="77" t="str">
        <f>'PIM Model'!$D$13</f>
        <v>%</v>
      </c>
      <c r="I31" s="72" t="s">
        <v>699</v>
      </c>
      <c r="J31">
        <v>1.75</v>
      </c>
      <c r="K31" s="71">
        <v>25</v>
      </c>
      <c r="L31" s="63" t="s">
        <v>496</v>
      </c>
    </row>
    <row r="32" spans="1:12" x14ac:dyDescent="0.25">
      <c r="A32" s="63">
        <v>16</v>
      </c>
      <c r="B32" s="63">
        <v>136</v>
      </c>
      <c r="C32" s="63">
        <v>8219</v>
      </c>
      <c r="D32" s="63" t="s">
        <v>697</v>
      </c>
      <c r="E32" s="63" t="s">
        <v>696</v>
      </c>
      <c r="F32" s="70" t="str">
        <f>'PIM Model'!$AD$13</f>
        <v/>
      </c>
      <c r="G32" s="69" t="str">
        <f t="shared" si="1"/>
        <v/>
      </c>
      <c r="H32" s="77" t="str">
        <f>'PIM Model'!$D$13</f>
        <v>%</v>
      </c>
      <c r="I32" s="72" t="s">
        <v>699</v>
      </c>
      <c r="J32">
        <v>1.75</v>
      </c>
      <c r="K32" s="71">
        <v>25</v>
      </c>
      <c r="L32" s="63" t="s">
        <v>496</v>
      </c>
    </row>
    <row r="33" spans="1:12" x14ac:dyDescent="0.25">
      <c r="A33" s="63">
        <v>17</v>
      </c>
      <c r="B33" s="63">
        <v>0</v>
      </c>
      <c r="C33" s="63">
        <v>0</v>
      </c>
      <c r="D33" s="63" t="s">
        <v>695</v>
      </c>
      <c r="E33" s="63" t="s">
        <v>694</v>
      </c>
      <c r="F33" s="70" t="str">
        <f>'PIM Model'!$AD$19</f>
        <v/>
      </c>
      <c r="G33" s="69" t="str">
        <f t="shared" si="0"/>
        <v/>
      </c>
      <c r="H33" s="77" t="str">
        <f>'PIM Model'!$D$19</f>
        <v>%</v>
      </c>
      <c r="I33" s="72" t="s">
        <v>699</v>
      </c>
      <c r="J33">
        <v>1.75</v>
      </c>
      <c r="K33" s="71">
        <v>25</v>
      </c>
      <c r="L33" s="63" t="s">
        <v>496</v>
      </c>
    </row>
    <row r="34" spans="1:12" x14ac:dyDescent="0.25">
      <c r="A34" s="63">
        <v>18</v>
      </c>
      <c r="B34" s="63">
        <v>0</v>
      </c>
      <c r="C34" s="63">
        <v>0</v>
      </c>
      <c r="D34" s="63" t="s">
        <v>697</v>
      </c>
      <c r="E34" s="63" t="s">
        <v>696</v>
      </c>
      <c r="F34" s="70" t="str">
        <f>'PIM Model'!$AD$14</f>
        <v/>
      </c>
      <c r="G34" s="69" t="str">
        <f t="shared" si="0"/>
        <v/>
      </c>
      <c r="H34" s="77" t="str">
        <f>'PIM Model'!$D$14</f>
        <v>%</v>
      </c>
      <c r="I34" s="72" t="s">
        <v>699</v>
      </c>
      <c r="J34">
        <v>1.75</v>
      </c>
      <c r="K34" s="71">
        <v>25</v>
      </c>
      <c r="L34" s="63" t="s">
        <v>496</v>
      </c>
    </row>
    <row r="35" spans="1:12" x14ac:dyDescent="0.25">
      <c r="A35" s="63">
        <v>19</v>
      </c>
      <c r="B35" s="63">
        <v>0</v>
      </c>
      <c r="C35" s="63">
        <v>0</v>
      </c>
      <c r="D35" s="63" t="s">
        <v>695</v>
      </c>
      <c r="E35" s="63" t="s">
        <v>694</v>
      </c>
      <c r="F35" s="70" t="str">
        <f>'PIM Model'!$AD$15</f>
        <v/>
      </c>
      <c r="G35" s="69" t="str">
        <f t="shared" si="0"/>
        <v/>
      </c>
      <c r="H35" s="77" t="str">
        <f>'PIM Model'!$D$15</f>
        <v>%</v>
      </c>
      <c r="I35" s="72" t="s">
        <v>699</v>
      </c>
      <c r="J35">
        <v>1.75</v>
      </c>
      <c r="K35" s="71">
        <v>25</v>
      </c>
      <c r="L35" s="63" t="s">
        <v>496</v>
      </c>
    </row>
    <row r="36" spans="1:12" x14ac:dyDescent="0.25">
      <c r="A36" s="63">
        <v>20</v>
      </c>
      <c r="B36" s="63">
        <v>0</v>
      </c>
      <c r="C36" s="63">
        <v>0</v>
      </c>
      <c r="D36" s="63" t="s">
        <v>695</v>
      </c>
      <c r="E36" s="63" t="s">
        <v>694</v>
      </c>
      <c r="F36" s="69" t="str">
        <f>'PIM Model'!$AD$10</f>
        <v/>
      </c>
      <c r="G36" s="69" t="str">
        <f t="shared" si="0"/>
        <v/>
      </c>
      <c r="H36" s="77" t="str">
        <f>'PIM Model'!$D$10</f>
        <v>%</v>
      </c>
      <c r="I36" s="72" t="s">
        <v>699</v>
      </c>
      <c r="J36">
        <v>1.75</v>
      </c>
      <c r="K36" s="71">
        <v>25</v>
      </c>
      <c r="L36" s="63" t="s">
        <v>496</v>
      </c>
    </row>
    <row r="37" spans="1:12" x14ac:dyDescent="0.25">
      <c r="A37" s="63">
        <v>21</v>
      </c>
      <c r="B37" s="63">
        <v>0</v>
      </c>
      <c r="C37" s="63">
        <v>0</v>
      </c>
      <c r="D37" s="63" t="s">
        <v>697</v>
      </c>
      <c r="E37" s="63" t="s">
        <v>696</v>
      </c>
      <c r="F37" s="70" t="str">
        <f>'PIM Model'!$AD$16</f>
        <v/>
      </c>
      <c r="G37" s="69" t="str">
        <f>F37</f>
        <v/>
      </c>
      <c r="H37" s="77" t="str">
        <f>'PIM Model'!$D$16</f>
        <v>%</v>
      </c>
      <c r="I37" s="72" t="s">
        <v>699</v>
      </c>
      <c r="J37">
        <v>1.75</v>
      </c>
      <c r="K37" s="71">
        <v>25</v>
      </c>
      <c r="L37" s="63" t="s">
        <v>496</v>
      </c>
    </row>
    <row r="38" spans="1:12" x14ac:dyDescent="0.25">
      <c r="A38" s="63">
        <v>21</v>
      </c>
      <c r="B38" s="63">
        <v>158</v>
      </c>
      <c r="C38" s="63">
        <v>1957</v>
      </c>
      <c r="D38" s="63" t="s">
        <v>695</v>
      </c>
      <c r="E38" s="63" t="s">
        <v>694</v>
      </c>
      <c r="F38" s="70" t="str">
        <f>'PIM Model'!$AD$16</f>
        <v/>
      </c>
      <c r="G38" s="69" t="str">
        <f t="shared" si="0"/>
        <v/>
      </c>
      <c r="H38" s="77" t="str">
        <f>'PIM Model'!$D$16</f>
        <v>%</v>
      </c>
      <c r="I38" s="72" t="s">
        <v>699</v>
      </c>
      <c r="J38">
        <v>1.75</v>
      </c>
      <c r="K38" s="71">
        <v>25</v>
      </c>
      <c r="L38" s="63" t="s">
        <v>496</v>
      </c>
    </row>
    <row r="39" spans="1:12" x14ac:dyDescent="0.25">
      <c r="A39" s="63">
        <v>21</v>
      </c>
      <c r="B39" s="63">
        <v>158</v>
      </c>
      <c r="C39" s="63">
        <v>5800</v>
      </c>
      <c r="D39" s="63" t="s">
        <v>695</v>
      </c>
      <c r="E39" s="63" t="s">
        <v>694</v>
      </c>
      <c r="F39" s="70" t="str">
        <f>'PIM Model'!$AD$16</f>
        <v/>
      </c>
      <c r="G39" s="69" t="str">
        <f t="shared" si="0"/>
        <v/>
      </c>
      <c r="H39" s="77" t="str">
        <f>'PIM Model'!$D$16</f>
        <v>%</v>
      </c>
      <c r="I39" s="72" t="s">
        <v>699</v>
      </c>
      <c r="J39">
        <v>1.75</v>
      </c>
      <c r="K39" s="71">
        <v>25</v>
      </c>
      <c r="L39" s="63" t="s">
        <v>496</v>
      </c>
    </row>
    <row r="40" spans="1:12" x14ac:dyDescent="0.25">
      <c r="A40" s="63">
        <v>21</v>
      </c>
      <c r="B40" s="63">
        <v>161</v>
      </c>
      <c r="C40" s="63">
        <v>0</v>
      </c>
      <c r="D40" s="63" t="s">
        <v>695</v>
      </c>
      <c r="E40" s="63" t="s">
        <v>694</v>
      </c>
      <c r="F40" s="70" t="str">
        <f>'PIM Model'!$AD$16</f>
        <v/>
      </c>
      <c r="G40" s="69" t="str">
        <f t="shared" si="0"/>
        <v/>
      </c>
      <c r="H40" s="77" t="str">
        <f>'PIM Model'!$D$16</f>
        <v>%</v>
      </c>
      <c r="I40" s="72" t="s">
        <v>699</v>
      </c>
      <c r="J40">
        <v>1.75</v>
      </c>
      <c r="K40" s="71">
        <v>25</v>
      </c>
      <c r="L40" s="63" t="s">
        <v>496</v>
      </c>
    </row>
    <row r="41" spans="1:12" x14ac:dyDescent="0.25">
      <c r="A41" s="63">
        <v>21</v>
      </c>
      <c r="B41" s="63">
        <v>162</v>
      </c>
      <c r="C41" s="63">
        <v>1622</v>
      </c>
      <c r="D41" s="63" t="s">
        <v>695</v>
      </c>
      <c r="E41" s="63" t="s">
        <v>694</v>
      </c>
      <c r="F41" s="70" t="str">
        <f>'PIM Model'!$AD$16</f>
        <v/>
      </c>
      <c r="G41" s="69" t="str">
        <f t="shared" si="0"/>
        <v/>
      </c>
      <c r="H41" s="77" t="str">
        <f>'PIM Model'!$D$16</f>
        <v>%</v>
      </c>
      <c r="I41" s="72" t="s">
        <v>699</v>
      </c>
      <c r="J41">
        <v>1.75</v>
      </c>
      <c r="K41" s="71">
        <v>25</v>
      </c>
      <c r="L41" s="63" t="s">
        <v>496</v>
      </c>
    </row>
    <row r="42" spans="1:12" x14ac:dyDescent="0.25">
      <c r="A42" s="63">
        <v>21</v>
      </c>
      <c r="B42" s="63">
        <v>162</v>
      </c>
      <c r="C42" s="63">
        <v>1623</v>
      </c>
      <c r="D42" s="63" t="s">
        <v>695</v>
      </c>
      <c r="E42" s="63" t="s">
        <v>694</v>
      </c>
      <c r="F42" s="70" t="str">
        <f>'PIM Model'!$AD$16</f>
        <v/>
      </c>
      <c r="G42" s="69" t="str">
        <f t="shared" si="0"/>
        <v/>
      </c>
      <c r="H42" s="77" t="str">
        <f>'PIM Model'!$D$16</f>
        <v>%</v>
      </c>
      <c r="I42" s="72" t="s">
        <v>699</v>
      </c>
      <c r="J42">
        <v>1.75</v>
      </c>
      <c r="K42" s="71">
        <v>25</v>
      </c>
      <c r="L42" s="63" t="s">
        <v>496</v>
      </c>
    </row>
    <row r="43" spans="1:12" x14ac:dyDescent="0.25">
      <c r="A43" s="63">
        <v>21</v>
      </c>
      <c r="B43" s="63">
        <v>162</v>
      </c>
      <c r="C43" s="63">
        <v>3490</v>
      </c>
      <c r="D43" s="63" t="s">
        <v>695</v>
      </c>
      <c r="E43" s="63" t="s">
        <v>694</v>
      </c>
      <c r="F43" s="70" t="str">
        <f>'PIM Model'!$AD$16</f>
        <v/>
      </c>
      <c r="G43" s="69" t="str">
        <f t="shared" si="0"/>
        <v/>
      </c>
      <c r="H43" s="77" t="str">
        <f>'PIM Model'!$D$16</f>
        <v>%</v>
      </c>
      <c r="I43" s="72" t="s">
        <v>699</v>
      </c>
      <c r="J43">
        <v>1.75</v>
      </c>
      <c r="K43" s="71">
        <v>25</v>
      </c>
      <c r="L43" s="63" t="s">
        <v>496</v>
      </c>
    </row>
    <row r="44" spans="1:12" x14ac:dyDescent="0.25">
      <c r="A44" s="63">
        <v>21</v>
      </c>
      <c r="B44" s="63">
        <v>162</v>
      </c>
      <c r="C44" s="63">
        <v>3500</v>
      </c>
      <c r="D44" s="63" t="s">
        <v>695</v>
      </c>
      <c r="E44" s="63" t="s">
        <v>694</v>
      </c>
      <c r="F44" s="70" t="str">
        <f>'PIM Model'!$AD$16</f>
        <v/>
      </c>
      <c r="G44" s="69" t="str">
        <f t="shared" si="0"/>
        <v/>
      </c>
      <c r="H44" s="77" t="str">
        <f>'PIM Model'!$D$16</f>
        <v>%</v>
      </c>
      <c r="I44" s="72" t="s">
        <v>699</v>
      </c>
      <c r="J44">
        <v>1.75</v>
      </c>
      <c r="K44" s="71">
        <v>25</v>
      </c>
      <c r="L44" s="63" t="s">
        <v>496</v>
      </c>
    </row>
    <row r="45" spans="1:12" x14ac:dyDescent="0.25">
      <c r="A45" s="63">
        <v>21</v>
      </c>
      <c r="B45" s="63">
        <v>162</v>
      </c>
      <c r="C45" s="63">
        <v>7625</v>
      </c>
      <c r="D45" s="63" t="s">
        <v>695</v>
      </c>
      <c r="E45" s="63" t="s">
        <v>694</v>
      </c>
      <c r="F45" s="70" t="str">
        <f>'PIM Model'!$AD$16</f>
        <v/>
      </c>
      <c r="G45" s="69" t="str">
        <f t="shared" si="0"/>
        <v/>
      </c>
      <c r="H45" s="77" t="str">
        <f>'PIM Model'!$D$16</f>
        <v>%</v>
      </c>
      <c r="I45" s="72" t="s">
        <v>699</v>
      </c>
      <c r="J45">
        <v>1.75</v>
      </c>
      <c r="K45" s="71">
        <v>25</v>
      </c>
      <c r="L45" s="63" t="s">
        <v>496</v>
      </c>
    </row>
    <row r="46" spans="1:12" x14ac:dyDescent="0.25">
      <c r="A46" s="63">
        <v>21</v>
      </c>
      <c r="B46" s="63">
        <v>162</v>
      </c>
      <c r="C46" s="63">
        <v>7636</v>
      </c>
      <c r="D46" s="63" t="s">
        <v>695</v>
      </c>
      <c r="E46" s="63" t="s">
        <v>694</v>
      </c>
      <c r="F46" s="70" t="str">
        <f>'PIM Model'!$AD$16</f>
        <v/>
      </c>
      <c r="G46" s="69" t="str">
        <f t="shared" si="0"/>
        <v/>
      </c>
      <c r="H46" s="77" t="str">
        <f>'PIM Model'!$D$16</f>
        <v>%</v>
      </c>
      <c r="I46" s="72" t="s">
        <v>699</v>
      </c>
      <c r="J46">
        <v>1.75</v>
      </c>
      <c r="K46" s="71">
        <v>25</v>
      </c>
      <c r="L46" s="63" t="s">
        <v>496</v>
      </c>
    </row>
    <row r="47" spans="1:12" x14ac:dyDescent="0.25">
      <c r="A47" s="63">
        <v>22</v>
      </c>
      <c r="B47" s="63">
        <v>0</v>
      </c>
      <c r="C47" s="63">
        <v>0</v>
      </c>
      <c r="D47" s="63" t="s">
        <v>695</v>
      </c>
      <c r="E47" s="63" t="s">
        <v>694</v>
      </c>
      <c r="F47" s="70" t="str">
        <f>'PIM Model'!$AD$20</f>
        <v/>
      </c>
      <c r="G47" s="69" t="str">
        <f t="shared" si="0"/>
        <v/>
      </c>
      <c r="H47" s="77" t="str">
        <f>'PIM Model'!$D$20</f>
        <v>%</v>
      </c>
      <c r="I47" s="72" t="s">
        <v>699</v>
      </c>
      <c r="J47">
        <v>1.75</v>
      </c>
      <c r="K47" s="71">
        <v>25</v>
      </c>
      <c r="L47" s="63" t="s">
        <v>496</v>
      </c>
    </row>
    <row r="48" spans="1:12" x14ac:dyDescent="0.25">
      <c r="A48" s="63">
        <v>22</v>
      </c>
      <c r="B48" s="63">
        <v>171</v>
      </c>
      <c r="C48" s="63">
        <v>1400</v>
      </c>
      <c r="D48" s="63" t="s">
        <v>697</v>
      </c>
      <c r="E48" s="63" t="s">
        <v>696</v>
      </c>
      <c r="F48" s="70" t="str">
        <f>'PIM Model'!$AD$20</f>
        <v/>
      </c>
      <c r="G48" s="69" t="str">
        <f t="shared" si="0"/>
        <v/>
      </c>
      <c r="H48" s="77" t="str">
        <f>'PIM Model'!$D$20</f>
        <v>%</v>
      </c>
      <c r="I48" s="72" t="s">
        <v>699</v>
      </c>
      <c r="J48">
        <v>1.75</v>
      </c>
      <c r="K48" s="71">
        <v>25</v>
      </c>
      <c r="L48" s="63" t="s">
        <v>496</v>
      </c>
    </row>
    <row r="49" spans="1:12" x14ac:dyDescent="0.25">
      <c r="A49" s="63">
        <v>22</v>
      </c>
      <c r="B49" s="63">
        <v>174</v>
      </c>
      <c r="C49" s="63">
        <v>1414</v>
      </c>
      <c r="D49" s="63" t="s">
        <v>697</v>
      </c>
      <c r="E49" s="63" t="s">
        <v>696</v>
      </c>
      <c r="F49" s="70" t="str">
        <f>'PIM Model'!$AD$20</f>
        <v/>
      </c>
      <c r="G49" s="69" t="str">
        <f t="shared" si="0"/>
        <v/>
      </c>
      <c r="H49" s="77" t="str">
        <f>'PIM Model'!$D$20</f>
        <v>%</v>
      </c>
      <c r="I49" s="72" t="s">
        <v>699</v>
      </c>
      <c r="J49">
        <v>1.75</v>
      </c>
      <c r="K49" s="71">
        <v>25</v>
      </c>
      <c r="L49" s="63" t="s">
        <v>496</v>
      </c>
    </row>
    <row r="50" spans="1:12" x14ac:dyDescent="0.25">
      <c r="A50" s="63">
        <v>22</v>
      </c>
      <c r="B50" s="63">
        <v>176</v>
      </c>
      <c r="C50" s="63">
        <v>0</v>
      </c>
      <c r="D50" s="63" t="s">
        <v>697</v>
      </c>
      <c r="E50" s="63" t="s">
        <v>696</v>
      </c>
      <c r="F50" s="70" t="str">
        <f>'PIM Model'!$AD$20</f>
        <v/>
      </c>
      <c r="G50" s="69" t="str">
        <f t="shared" si="0"/>
        <v/>
      </c>
      <c r="H50" s="77" t="str">
        <f>'PIM Model'!$D$20</f>
        <v>%</v>
      </c>
      <c r="I50" s="72" t="s">
        <v>699</v>
      </c>
      <c r="J50">
        <v>1.75</v>
      </c>
      <c r="K50" s="71">
        <v>25</v>
      </c>
      <c r="L50" s="63" t="s">
        <v>496</v>
      </c>
    </row>
    <row r="51" spans="1:12" x14ac:dyDescent="0.25">
      <c r="A51" s="63">
        <v>22</v>
      </c>
      <c r="B51" s="63">
        <v>177</v>
      </c>
      <c r="C51" s="63">
        <v>1886</v>
      </c>
      <c r="D51" s="63" t="s">
        <v>695</v>
      </c>
      <c r="E51" s="63" t="s">
        <v>694</v>
      </c>
      <c r="F51" s="70" t="str">
        <f>'PIM Model'!$AD$20</f>
        <v/>
      </c>
      <c r="G51" s="69" t="str">
        <f t="shared" si="0"/>
        <v/>
      </c>
      <c r="H51" s="77" t="str">
        <f>'PIM Model'!$D$20</f>
        <v>%</v>
      </c>
      <c r="I51" s="72" t="s">
        <v>699</v>
      </c>
      <c r="J51">
        <v>1.75</v>
      </c>
      <c r="K51" s="76">
        <v>0</v>
      </c>
      <c r="L51" s="76" t="s">
        <v>249</v>
      </c>
    </row>
    <row r="52" spans="1:12" x14ac:dyDescent="0.25">
      <c r="A52" s="63">
        <v>22</v>
      </c>
      <c r="B52" s="63">
        <v>177</v>
      </c>
      <c r="C52" s="63">
        <v>1908</v>
      </c>
      <c r="D52" s="63" t="s">
        <v>695</v>
      </c>
      <c r="E52" s="63" t="s">
        <v>694</v>
      </c>
      <c r="F52" s="70" t="str">
        <f>'PIM Model'!$AD$20</f>
        <v/>
      </c>
      <c r="G52" s="69" t="str">
        <f t="shared" si="0"/>
        <v/>
      </c>
      <c r="H52" s="77" t="str">
        <f>'PIM Model'!$D$20</f>
        <v>%</v>
      </c>
      <c r="I52" s="72" t="s">
        <v>699</v>
      </c>
      <c r="J52">
        <v>1.75</v>
      </c>
      <c r="K52" s="76">
        <v>0</v>
      </c>
      <c r="L52" s="76" t="s">
        <v>249</v>
      </c>
    </row>
    <row r="53" spans="1:12" x14ac:dyDescent="0.25">
      <c r="A53" s="63">
        <v>22</v>
      </c>
      <c r="B53" s="63">
        <v>177</v>
      </c>
      <c r="C53" s="63">
        <v>3340</v>
      </c>
      <c r="D53" s="63" t="s">
        <v>695</v>
      </c>
      <c r="E53" s="63" t="s">
        <v>694</v>
      </c>
      <c r="F53" s="70" t="str">
        <f>'PIM Model'!$AD$20</f>
        <v/>
      </c>
      <c r="G53" s="69" t="str">
        <f t="shared" si="0"/>
        <v/>
      </c>
      <c r="H53" s="77" t="str">
        <f>'PIM Model'!$D$20</f>
        <v>%</v>
      </c>
      <c r="I53" s="72" t="s">
        <v>699</v>
      </c>
      <c r="J53">
        <v>1.75</v>
      </c>
      <c r="K53" s="76">
        <v>0</v>
      </c>
      <c r="L53" s="76" t="s">
        <v>249</v>
      </c>
    </row>
    <row r="54" spans="1:12" x14ac:dyDescent="0.25">
      <c r="A54" s="63">
        <v>22</v>
      </c>
      <c r="B54" s="63">
        <v>177</v>
      </c>
      <c r="C54" s="63">
        <v>3820</v>
      </c>
      <c r="D54" s="63" t="s">
        <v>695</v>
      </c>
      <c r="E54" s="63" t="s">
        <v>694</v>
      </c>
      <c r="F54" s="70" t="str">
        <f>'PIM Model'!$AD$20</f>
        <v/>
      </c>
      <c r="G54" s="69" t="str">
        <f t="shared" si="0"/>
        <v/>
      </c>
      <c r="H54" s="77" t="str">
        <f>'PIM Model'!$D$20</f>
        <v>%</v>
      </c>
      <c r="I54" s="72" t="s">
        <v>699</v>
      </c>
      <c r="J54">
        <v>1.75</v>
      </c>
      <c r="K54" s="76">
        <v>0</v>
      </c>
      <c r="L54" s="76" t="s">
        <v>249</v>
      </c>
    </row>
    <row r="55" spans="1:12" x14ac:dyDescent="0.25">
      <c r="A55" s="63">
        <v>22</v>
      </c>
      <c r="B55" s="63">
        <v>177</v>
      </c>
      <c r="C55" s="63">
        <v>7733</v>
      </c>
      <c r="D55" s="63" t="s">
        <v>695</v>
      </c>
      <c r="E55" s="63" t="s">
        <v>694</v>
      </c>
      <c r="F55" s="70" t="str">
        <f>'PIM Model'!$AD$20</f>
        <v/>
      </c>
      <c r="G55" s="69" t="str">
        <f t="shared" si="0"/>
        <v/>
      </c>
      <c r="H55" s="77" t="str">
        <f>'PIM Model'!$D$20</f>
        <v>%</v>
      </c>
      <c r="I55" s="72" t="s">
        <v>699</v>
      </c>
      <c r="J55">
        <v>1.75</v>
      </c>
      <c r="K55" s="76">
        <v>0</v>
      </c>
      <c r="L55" s="76" t="s">
        <v>249</v>
      </c>
    </row>
    <row r="56" spans="1:12" x14ac:dyDescent="0.25">
      <c r="A56" s="63">
        <v>22</v>
      </c>
      <c r="B56" s="63">
        <v>180</v>
      </c>
      <c r="C56" s="63">
        <v>0</v>
      </c>
      <c r="D56" s="63" t="s">
        <v>697</v>
      </c>
      <c r="E56" s="63" t="s">
        <v>696</v>
      </c>
      <c r="F56" s="70" t="str">
        <f>'PIM Model'!$AD$20</f>
        <v/>
      </c>
      <c r="G56" s="69" t="str">
        <f t="shared" si="0"/>
        <v/>
      </c>
      <c r="H56" s="77" t="str">
        <f>'PIM Model'!$D$20</f>
        <v>%</v>
      </c>
      <c r="I56" s="72" t="s">
        <v>699</v>
      </c>
      <c r="J56">
        <v>1.75</v>
      </c>
      <c r="K56" s="71">
        <v>25</v>
      </c>
      <c r="L56" s="63" t="s">
        <v>496</v>
      </c>
    </row>
    <row r="57" spans="1:12" x14ac:dyDescent="0.25">
      <c r="A57" s="63">
        <v>22</v>
      </c>
      <c r="B57" s="63">
        <v>232</v>
      </c>
      <c r="C57" s="63">
        <v>1727</v>
      </c>
      <c r="D57" s="63" t="s">
        <v>697</v>
      </c>
      <c r="E57" s="63" t="s">
        <v>696</v>
      </c>
      <c r="F57" s="70" t="str">
        <f>'PIM Model'!$AD$20</f>
        <v/>
      </c>
      <c r="G57" s="69" t="str">
        <f t="shared" si="0"/>
        <v/>
      </c>
      <c r="H57" s="77" t="str">
        <f>'PIM Model'!$D$20</f>
        <v>%</v>
      </c>
      <c r="I57" s="72" t="s">
        <v>699</v>
      </c>
      <c r="J57">
        <v>1.75</v>
      </c>
      <c r="K57" s="71">
        <v>25</v>
      </c>
      <c r="L57" s="63" t="s">
        <v>496</v>
      </c>
    </row>
    <row r="58" spans="1:12" x14ac:dyDescent="0.25">
      <c r="A58" s="63">
        <v>22</v>
      </c>
      <c r="B58" s="63">
        <v>235</v>
      </c>
      <c r="C58" s="63">
        <v>1728</v>
      </c>
      <c r="D58" s="63" t="s">
        <v>697</v>
      </c>
      <c r="E58" s="63" t="s">
        <v>696</v>
      </c>
      <c r="F58" s="70" t="str">
        <f>'PIM Model'!$AD$20</f>
        <v/>
      </c>
      <c r="G58" s="69" t="str">
        <f t="shared" si="0"/>
        <v/>
      </c>
      <c r="H58" s="77" t="str">
        <f>'PIM Model'!$D$20</f>
        <v>%</v>
      </c>
      <c r="I58" s="72" t="s">
        <v>699</v>
      </c>
      <c r="J58">
        <v>1.75</v>
      </c>
      <c r="K58" s="71">
        <v>25</v>
      </c>
      <c r="L58" s="63" t="s">
        <v>496</v>
      </c>
    </row>
    <row r="59" spans="1:12" x14ac:dyDescent="0.25">
      <c r="A59" s="63">
        <v>23</v>
      </c>
      <c r="B59" s="63">
        <v>0</v>
      </c>
      <c r="C59" s="63">
        <v>0</v>
      </c>
      <c r="D59" s="63" t="s">
        <v>695</v>
      </c>
      <c r="E59" s="63" t="s">
        <v>694</v>
      </c>
      <c r="F59" s="70" t="str">
        <f>'PIM Model'!$AD$18</f>
        <v/>
      </c>
      <c r="G59" s="69" t="str">
        <f>F59</f>
        <v/>
      </c>
      <c r="H59" s="77" t="str">
        <f>'PIM Model'!$D$18</f>
        <v>%</v>
      </c>
      <c r="I59" s="72" t="s">
        <v>699</v>
      </c>
      <c r="J59">
        <v>1.75</v>
      </c>
      <c r="K59" s="71">
        <v>25</v>
      </c>
      <c r="L59" s="63" t="s">
        <v>496</v>
      </c>
    </row>
    <row r="60" spans="1:12" x14ac:dyDescent="0.25">
      <c r="A60" s="63">
        <v>24</v>
      </c>
      <c r="B60" s="63">
        <v>0</v>
      </c>
      <c r="C60" s="63">
        <v>0</v>
      </c>
      <c r="D60" s="63" t="s">
        <v>695</v>
      </c>
      <c r="E60" s="63" t="s">
        <v>694</v>
      </c>
      <c r="F60" s="70" t="str">
        <f>'PIM Model'!$AD$17</f>
        <v/>
      </c>
      <c r="G60" s="69" t="str">
        <f t="shared" si="0"/>
        <v/>
      </c>
      <c r="H60" s="77" t="str">
        <f>'PIM Model'!$D$17</f>
        <v>%</v>
      </c>
      <c r="I60" s="72" t="s">
        <v>699</v>
      </c>
      <c r="J60">
        <v>1.75</v>
      </c>
      <c r="K60" s="71">
        <v>25</v>
      </c>
      <c r="L60" s="63" t="s">
        <v>496</v>
      </c>
    </row>
    <row r="61" spans="1:12" x14ac:dyDescent="0.25">
      <c r="A61" s="63">
        <v>25</v>
      </c>
      <c r="B61" s="63">
        <v>0</v>
      </c>
      <c r="C61" s="63">
        <v>0</v>
      </c>
      <c r="D61" s="63" t="s">
        <v>697</v>
      </c>
      <c r="E61" s="63" t="s">
        <v>698</v>
      </c>
      <c r="F61" s="70" t="str">
        <f>'PIM Model'!$AD$27</f>
        <v/>
      </c>
      <c r="G61" s="69" t="str">
        <f t="shared" si="0"/>
        <v/>
      </c>
      <c r="H61" s="77" t="str">
        <f>IF('PIM Model'!$D$27="$/CS","$","%")</f>
        <v>%</v>
      </c>
      <c r="I61" s="72" t="s">
        <v>699</v>
      </c>
      <c r="J61">
        <v>1.75</v>
      </c>
      <c r="K61" s="71">
        <v>25</v>
      </c>
      <c r="L61" s="63" t="s">
        <v>496</v>
      </c>
    </row>
    <row r="62" spans="1:12" x14ac:dyDescent="0.25">
      <c r="A62" s="63">
        <v>26</v>
      </c>
      <c r="B62" s="63">
        <v>0</v>
      </c>
      <c r="C62" s="63">
        <v>0</v>
      </c>
      <c r="D62" s="63" t="s">
        <v>695</v>
      </c>
      <c r="E62" s="63" t="s">
        <v>694</v>
      </c>
      <c r="F62" s="70" t="str">
        <f>'PIM Model'!$AD$21</f>
        <v/>
      </c>
      <c r="G62" s="69" t="str">
        <f t="shared" si="0"/>
        <v/>
      </c>
      <c r="H62" s="77" t="str">
        <f>'PIM Model'!$D$21</f>
        <v>%</v>
      </c>
      <c r="I62" s="72" t="s">
        <v>699</v>
      </c>
      <c r="J62">
        <v>1.75</v>
      </c>
      <c r="K62" s="71">
        <v>25</v>
      </c>
      <c r="L62" s="63" t="s">
        <v>496</v>
      </c>
    </row>
    <row r="63" spans="1:12" x14ac:dyDescent="0.25">
      <c r="A63" s="63">
        <v>26</v>
      </c>
      <c r="B63" s="63">
        <v>310</v>
      </c>
      <c r="C63" s="63">
        <v>5390</v>
      </c>
      <c r="D63" s="63" t="s">
        <v>697</v>
      </c>
      <c r="E63" s="63" t="s">
        <v>696</v>
      </c>
      <c r="F63" s="70" t="str">
        <f>'PIM Model'!$AD$21</f>
        <v/>
      </c>
      <c r="G63" s="69" t="str">
        <f t="shared" si="0"/>
        <v/>
      </c>
      <c r="H63" s="77" t="str">
        <f>'PIM Model'!$D$22</f>
        <v>%</v>
      </c>
      <c r="I63" s="72" t="s">
        <v>699</v>
      </c>
      <c r="J63">
        <v>1.75</v>
      </c>
      <c r="K63" s="71">
        <v>25</v>
      </c>
      <c r="L63" s="63" t="s">
        <v>496</v>
      </c>
    </row>
    <row r="64" spans="1:12" x14ac:dyDescent="0.25">
      <c r="A64" s="63">
        <v>29</v>
      </c>
      <c r="B64" s="63">
        <v>0</v>
      </c>
      <c r="C64" s="63">
        <v>0</v>
      </c>
      <c r="D64" s="63" t="s">
        <v>697</v>
      </c>
      <c r="E64" s="63" t="s">
        <v>696</v>
      </c>
      <c r="F64" s="70" t="str">
        <f>'PIM Model'!$AD$23</f>
        <v/>
      </c>
      <c r="G64" s="69" t="str">
        <f t="shared" si="0"/>
        <v/>
      </c>
      <c r="H64" s="77" t="str">
        <f>'PIM Model'!$D$23</f>
        <v>%</v>
      </c>
      <c r="I64" s="72" t="s">
        <v>699</v>
      </c>
      <c r="J64">
        <v>1.75</v>
      </c>
      <c r="K64" s="71">
        <v>25</v>
      </c>
      <c r="L64" s="63" t="s">
        <v>496</v>
      </c>
    </row>
    <row r="65" spans="1:12" x14ac:dyDescent="0.25">
      <c r="A65" s="63">
        <v>30</v>
      </c>
      <c r="B65" s="63">
        <v>0</v>
      </c>
      <c r="C65" s="63">
        <v>0</v>
      </c>
      <c r="D65" s="63" t="s">
        <v>697</v>
      </c>
      <c r="E65" s="63" t="s">
        <v>696</v>
      </c>
      <c r="F65" s="70" t="str">
        <f>'PIM Model'!$AD$24</f>
        <v/>
      </c>
      <c r="G65" s="69" t="str">
        <f t="shared" si="0"/>
        <v/>
      </c>
      <c r="H65" s="77" t="str">
        <f>IF('PIM Model'!$D$24="$/LB","#","%")</f>
        <v>%</v>
      </c>
      <c r="I65" s="72" t="s">
        <v>699</v>
      </c>
      <c r="J65">
        <v>1.75</v>
      </c>
      <c r="K65" s="71">
        <v>25</v>
      </c>
      <c r="L65" s="63" t="s">
        <v>496</v>
      </c>
    </row>
    <row r="66" spans="1:12" x14ac:dyDescent="0.25">
      <c r="A66" s="63">
        <v>31</v>
      </c>
      <c r="B66" s="63">
        <v>0</v>
      </c>
      <c r="C66" s="63">
        <v>0</v>
      </c>
      <c r="D66" s="63" t="s">
        <v>697</v>
      </c>
      <c r="E66" s="63" t="s">
        <v>696</v>
      </c>
      <c r="F66" s="70" t="str">
        <f>'PIM Model'!$AD$25</f>
        <v/>
      </c>
      <c r="G66" s="69" t="str">
        <f t="shared" si="0"/>
        <v/>
      </c>
      <c r="H66" s="77" t="str">
        <f>IF('PIM Model'!$D$25="$/LB","#","%")</f>
        <v>%</v>
      </c>
      <c r="I66" s="72" t="s">
        <v>699</v>
      </c>
      <c r="J66">
        <v>1.75</v>
      </c>
      <c r="K66" s="71">
        <v>25</v>
      </c>
      <c r="L66" s="63" t="s">
        <v>496</v>
      </c>
    </row>
    <row r="67" spans="1:12" x14ac:dyDescent="0.25">
      <c r="A67" s="63">
        <v>32</v>
      </c>
      <c r="B67" s="63">
        <v>0</v>
      </c>
      <c r="C67" s="63">
        <v>0</v>
      </c>
      <c r="D67" s="63" t="s">
        <v>697</v>
      </c>
      <c r="E67" s="63" t="s">
        <v>696</v>
      </c>
      <c r="F67" s="70" t="str">
        <f>'PIM Model'!$AD$26</f>
        <v/>
      </c>
      <c r="G67" s="69" t="str">
        <f t="shared" si="0"/>
        <v/>
      </c>
      <c r="H67" s="77" t="str">
        <f>IF('PIM Model'!$D$26="$/LB","#","%")</f>
        <v>%</v>
      </c>
      <c r="I67" s="72" t="s">
        <v>699</v>
      </c>
      <c r="J67">
        <v>1.75</v>
      </c>
      <c r="K67" s="71">
        <v>25</v>
      </c>
      <c r="L67" s="63" t="s">
        <v>496</v>
      </c>
    </row>
    <row r="68" spans="1:12" x14ac:dyDescent="0.25">
      <c r="A68" s="63">
        <v>33</v>
      </c>
      <c r="B68" s="63">
        <v>0</v>
      </c>
      <c r="C68" s="63">
        <v>0</v>
      </c>
      <c r="D68" s="63" t="s">
        <v>697</v>
      </c>
      <c r="E68" s="63" t="s">
        <v>696</v>
      </c>
      <c r="F68" s="70" t="str">
        <f>'PIM Model'!$AD$29</f>
        <v/>
      </c>
      <c r="G68" s="69" t="str">
        <f t="shared" si="0"/>
        <v/>
      </c>
      <c r="H68" s="77" t="str">
        <f>IF('PIM Model'!$D$29="$/LB","#","%")</f>
        <v>%</v>
      </c>
      <c r="I68" s="72" t="s">
        <v>699</v>
      </c>
      <c r="J68">
        <v>1.75</v>
      </c>
      <c r="K68" s="71">
        <v>25</v>
      </c>
      <c r="L68" s="63" t="s">
        <v>496</v>
      </c>
    </row>
    <row r="69" spans="1:12" x14ac:dyDescent="0.25">
      <c r="A69" s="63">
        <v>34</v>
      </c>
      <c r="B69" s="63">
        <v>0</v>
      </c>
      <c r="C69" s="63">
        <v>0</v>
      </c>
      <c r="D69" s="63" t="s">
        <v>697</v>
      </c>
      <c r="E69" s="63" t="s">
        <v>696</v>
      </c>
      <c r="F69" s="70" t="str">
        <f>'PIM Model'!$AD$30</f>
        <v/>
      </c>
      <c r="G69" s="69" t="str">
        <f t="shared" ref="G69:G72" si="2">F69</f>
        <v/>
      </c>
      <c r="H69" s="77" t="str">
        <f>IF('PIM Model'!$D$30="$/LB","#","%")</f>
        <v>%</v>
      </c>
      <c r="I69" s="72" t="s">
        <v>699</v>
      </c>
      <c r="J69">
        <v>1.75</v>
      </c>
      <c r="K69" s="71">
        <v>25</v>
      </c>
      <c r="L69" s="63" t="s">
        <v>496</v>
      </c>
    </row>
    <row r="70" spans="1:12" x14ac:dyDescent="0.25">
      <c r="A70" s="63">
        <v>35</v>
      </c>
      <c r="B70" s="63">
        <v>0</v>
      </c>
      <c r="C70" s="63">
        <v>0</v>
      </c>
      <c r="D70" s="63" t="s">
        <v>697</v>
      </c>
      <c r="E70" s="63" t="s">
        <v>696</v>
      </c>
      <c r="F70" s="70" t="str">
        <f>'PIM Model'!$AD$28</f>
        <v/>
      </c>
      <c r="G70" s="69" t="str">
        <f t="shared" si="2"/>
        <v/>
      </c>
      <c r="H70" s="77" t="str">
        <f>'PIM Model'!$D$28</f>
        <v>%</v>
      </c>
      <c r="I70" s="72" t="s">
        <v>699</v>
      </c>
      <c r="J70">
        <v>1.75</v>
      </c>
      <c r="K70" s="71">
        <v>25</v>
      </c>
      <c r="L70" s="63" t="s">
        <v>496</v>
      </c>
    </row>
    <row r="71" spans="1:12" x14ac:dyDescent="0.25">
      <c r="A71" s="63">
        <v>35</v>
      </c>
      <c r="B71" s="63">
        <v>272</v>
      </c>
      <c r="C71" s="63">
        <v>3470</v>
      </c>
      <c r="D71" s="63" t="s">
        <v>695</v>
      </c>
      <c r="E71" s="63" t="s">
        <v>694</v>
      </c>
      <c r="F71" s="70" t="str">
        <f>'PIM Model'!$AD$28</f>
        <v/>
      </c>
      <c r="G71" s="69" t="str">
        <f t="shared" ref="G71" si="3">F71</f>
        <v/>
      </c>
      <c r="H71" s="77" t="str">
        <f>'PIM Model'!$D$28</f>
        <v>%</v>
      </c>
      <c r="I71" s="72" t="s">
        <v>699</v>
      </c>
      <c r="J71">
        <v>1.75</v>
      </c>
      <c r="K71" s="71">
        <v>25</v>
      </c>
      <c r="L71" s="63" t="s">
        <v>496</v>
      </c>
    </row>
    <row r="72" spans="1:12" x14ac:dyDescent="0.25">
      <c r="A72" s="63">
        <v>37</v>
      </c>
      <c r="B72" s="63">
        <v>0</v>
      </c>
      <c r="C72" s="63">
        <v>0</v>
      </c>
      <c r="D72" s="63" t="s">
        <v>695</v>
      </c>
      <c r="E72" s="63" t="s">
        <v>694</v>
      </c>
      <c r="F72" s="70" t="str">
        <f>'PIM Model'!$AD$22</f>
        <v/>
      </c>
      <c r="G72" s="69" t="str">
        <f t="shared" si="2"/>
        <v/>
      </c>
      <c r="H72" s="77" t="str">
        <f>IF('PIM Model'!$D$22="$/LB","#","%")</f>
        <v>%</v>
      </c>
      <c r="I72" s="72" t="s">
        <v>699</v>
      </c>
      <c r="J72">
        <v>1.75</v>
      </c>
      <c r="K72" s="71">
        <v>25</v>
      </c>
      <c r="L72" s="63" t="s">
        <v>496</v>
      </c>
    </row>
    <row r="73" spans="1:12" x14ac:dyDescent="0.25">
      <c r="A73" s="63">
        <v>996</v>
      </c>
      <c r="B73" s="63">
        <v>0</v>
      </c>
      <c r="C73" s="63">
        <v>0</v>
      </c>
      <c r="D73" s="63" t="s">
        <v>695</v>
      </c>
      <c r="E73" s="63" t="s">
        <v>694</v>
      </c>
      <c r="F73" s="70" t="str">
        <f>IF(COUNTIF('PIM Model'!$E$10:$E$30,"Exclude"),"",'PIM Model'!$AD$20)</f>
        <v/>
      </c>
      <c r="G73" s="69" t="str">
        <f>F73</f>
        <v/>
      </c>
      <c r="H73" s="77" t="str">
        <f>'PIM Model'!$D$20</f>
        <v>%</v>
      </c>
      <c r="I73" s="72" t="s">
        <v>699</v>
      </c>
      <c r="J73">
        <v>1.75</v>
      </c>
      <c r="K73" s="71">
        <v>25</v>
      </c>
      <c r="L73" s="63" t="s">
        <v>496</v>
      </c>
    </row>
    <row r="74" spans="1:12" x14ac:dyDescent="0.25">
      <c r="A74" s="63">
        <v>997</v>
      </c>
      <c r="B74" s="63">
        <v>0</v>
      </c>
      <c r="C74" s="63">
        <v>0</v>
      </c>
      <c r="D74" s="63" t="s">
        <v>695</v>
      </c>
      <c r="E74" s="63" t="s">
        <v>694</v>
      </c>
      <c r="F74" s="70" t="str">
        <f>IF(COUNTIF('PIM Model'!$E$10:$E$30,"Exclude"),"",'PIM Model'!$AD$21)</f>
        <v/>
      </c>
      <c r="G74" s="69" t="str">
        <f t="shared" ref="G74:G76" si="4">F74</f>
        <v/>
      </c>
      <c r="H74" s="77" t="str">
        <f>'PIM Model'!$D$21</f>
        <v>%</v>
      </c>
      <c r="I74" s="72" t="s">
        <v>699</v>
      </c>
      <c r="J74">
        <v>1.75</v>
      </c>
      <c r="K74" s="71">
        <v>25</v>
      </c>
      <c r="L74" s="63" t="s">
        <v>496</v>
      </c>
    </row>
    <row r="75" spans="1:12" x14ac:dyDescent="0.25">
      <c r="A75" s="63">
        <v>998</v>
      </c>
      <c r="B75" s="63">
        <v>0</v>
      </c>
      <c r="C75" s="63">
        <v>0</v>
      </c>
      <c r="D75" s="63" t="s">
        <v>695</v>
      </c>
      <c r="E75" s="63" t="s">
        <v>694</v>
      </c>
      <c r="F75" s="70" t="str">
        <f>IF(COUNTIF('PIM Model'!$E$10:$E$30,"Exclude"),"",'PIM Model'!$AD$21)</f>
        <v/>
      </c>
      <c r="G75" s="69" t="str">
        <f t="shared" si="4"/>
        <v/>
      </c>
      <c r="H75" s="77" t="str">
        <f>'PIM Model'!$D$21</f>
        <v>%</v>
      </c>
      <c r="I75" s="72" t="s">
        <v>699</v>
      </c>
      <c r="J75">
        <v>1.75</v>
      </c>
      <c r="K75" s="71">
        <v>25</v>
      </c>
      <c r="L75" s="63" t="s">
        <v>496</v>
      </c>
    </row>
    <row r="76" spans="1:12" x14ac:dyDescent="0.25">
      <c r="A76" s="63">
        <v>999</v>
      </c>
      <c r="B76" s="63">
        <v>0</v>
      </c>
      <c r="C76" s="63">
        <v>0</v>
      </c>
      <c r="D76" s="63" t="s">
        <v>693</v>
      </c>
      <c r="E76" s="63" t="s">
        <v>692</v>
      </c>
      <c r="F76" s="70" t="str">
        <f>IF(COUNTIF('PIM Model'!$E$10:$E$30,"Exclude"),"",'PIM Model'!$AD$20)</f>
        <v/>
      </c>
      <c r="G76" s="69" t="str">
        <f t="shared" si="4"/>
        <v/>
      </c>
      <c r="H76" s="77" t="str">
        <f>'PIM Model'!$D$20</f>
        <v>%</v>
      </c>
      <c r="I76" s="72" t="s">
        <v>699</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fhadvfsNz15DF0bX4YatZ/z2e4yJLOXod1BWgrkLBsGYlCrUfR/lB4BmfT5O+xW1p13G5pbrnwfbP1KvNuvEQg==" saltValue="TUp67JkUufRPGaE1zTxdig==" spinCount="100000" sheet="1" objects="1" scenarios="1"/>
  <pageMargins left="0.7" right="0.7" top="0.75" bottom="0.75" header="0.3" footer="0.3"/>
  <pageSetup orientation="portrait" r:id="rId1"/>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402" t="s">
        <v>99</v>
      </c>
      <c r="D2" s="402" t="s">
        <v>529</v>
      </c>
      <c r="E2" s="402" t="s">
        <v>530</v>
      </c>
      <c r="F2" s="402" t="s">
        <v>102</v>
      </c>
      <c r="G2" s="402" t="s">
        <v>100</v>
      </c>
      <c r="H2" s="402" t="s">
        <v>104</v>
      </c>
      <c r="I2" s="402" t="s">
        <v>98</v>
      </c>
      <c r="J2" s="402" t="s">
        <v>95</v>
      </c>
      <c r="K2" s="402" t="s">
        <v>96</v>
      </c>
      <c r="L2" s="402" t="s">
        <v>101</v>
      </c>
      <c r="M2" s="402" t="s">
        <v>97</v>
      </c>
      <c r="N2" s="402" t="s">
        <v>93</v>
      </c>
      <c r="O2" s="402" t="s">
        <v>105</v>
      </c>
      <c r="P2" s="402" t="s">
        <v>92</v>
      </c>
      <c r="Q2" s="402" t="s">
        <v>91</v>
      </c>
      <c r="R2" s="402" t="s">
        <v>90</v>
      </c>
      <c r="S2" s="402" t="s">
        <v>89</v>
      </c>
      <c r="T2" s="402" t="s">
        <v>94</v>
      </c>
      <c r="U2" s="402" t="s">
        <v>86</v>
      </c>
      <c r="V2" s="402" t="s">
        <v>88</v>
      </c>
      <c r="W2" s="402" t="s">
        <v>87</v>
      </c>
      <c r="X2" s="40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40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40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40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40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40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40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40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40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40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40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40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40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40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40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40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40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40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40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40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40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40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40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40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40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40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40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40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40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pageSetUpPr fitToPage="1"/>
  </sheetPr>
  <dimension ref="A1:F27"/>
  <sheetViews>
    <sheetView zoomScaleNormal="100" workbookViewId="0">
      <selection activeCell="C24" sqref="C24"/>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94"/>
      <c r="D1" s="141"/>
      <c r="E1" s="141"/>
      <c r="F1" s="141"/>
    </row>
    <row r="2" spans="1:6" ht="15.75" x14ac:dyDescent="0.25">
      <c r="A2" s="141"/>
      <c r="B2" s="1140" t="s">
        <v>1098</v>
      </c>
      <c r="C2" s="1141"/>
      <c r="D2" s="141"/>
      <c r="E2" s="141"/>
      <c r="F2" s="141"/>
    </row>
    <row r="3" spans="1:6" x14ac:dyDescent="0.25">
      <c r="A3" s="141"/>
      <c r="B3" s="719" t="s">
        <v>888</v>
      </c>
      <c r="C3" s="795" t="str">
        <f>"ALCM "&amp;'MDA Worksheet'!$R$14</f>
        <v>ALCM 0</v>
      </c>
      <c r="D3" s="141"/>
      <c r="E3" s="141"/>
      <c r="F3" s="141"/>
    </row>
    <row r="4" spans="1:6" x14ac:dyDescent="0.25">
      <c r="A4" s="141"/>
      <c r="B4" s="719" t="s">
        <v>892</v>
      </c>
      <c r="C4" s="796">
        <f>'Required Info to Submit'!$F$14</f>
        <v>0</v>
      </c>
      <c r="D4" s="141"/>
      <c r="E4" s="141"/>
      <c r="F4" s="141"/>
    </row>
    <row r="5" spans="1:6" x14ac:dyDescent="0.25">
      <c r="A5" s="141"/>
      <c r="B5" s="719" t="s">
        <v>893</v>
      </c>
      <c r="C5" s="795" t="s">
        <v>894</v>
      </c>
      <c r="D5" s="141"/>
      <c r="E5" s="141"/>
      <c r="F5" s="141"/>
    </row>
    <row r="6" spans="1:6" x14ac:dyDescent="0.25">
      <c r="A6" s="141"/>
      <c r="B6" s="1138" t="s">
        <v>897</v>
      </c>
      <c r="C6" s="1139"/>
      <c r="D6" s="141"/>
      <c r="E6" s="141"/>
      <c r="F6" s="141"/>
    </row>
    <row r="7" spans="1:6" x14ac:dyDescent="0.25">
      <c r="A7" s="141"/>
      <c r="B7" s="719" t="s">
        <v>889</v>
      </c>
      <c r="C7" s="795" t="s">
        <v>890</v>
      </c>
      <c r="D7" s="141"/>
      <c r="E7" s="141"/>
      <c r="F7" s="141"/>
    </row>
    <row r="8" spans="1:6" x14ac:dyDescent="0.25">
      <c r="A8" s="141"/>
      <c r="B8" s="719" t="s">
        <v>891</v>
      </c>
      <c r="C8" s="795" t="s">
        <v>684</v>
      </c>
      <c r="D8" s="141"/>
      <c r="E8" s="141"/>
      <c r="F8" s="141"/>
    </row>
    <row r="9" spans="1:6" x14ac:dyDescent="0.25">
      <c r="A9" s="141"/>
      <c r="B9" s="719" t="s">
        <v>895</v>
      </c>
      <c r="C9" s="795">
        <f>'MDA Worksheet'!$K$10</f>
        <v>0</v>
      </c>
      <c r="D9" s="141"/>
      <c r="E9" s="141"/>
      <c r="F9" s="141"/>
    </row>
    <row r="10" spans="1:6" x14ac:dyDescent="0.25">
      <c r="A10" s="141"/>
      <c r="B10" s="719" t="s">
        <v>810</v>
      </c>
      <c r="C10" s="796">
        <f>'Required Info to Submit'!$F$14</f>
        <v>0</v>
      </c>
      <c r="D10" s="141"/>
      <c r="E10" s="141"/>
      <c r="F10" s="141"/>
    </row>
    <row r="11" spans="1:6" x14ac:dyDescent="0.25">
      <c r="A11" s="141"/>
      <c r="B11" s="719" t="s">
        <v>811</v>
      </c>
      <c r="C11" s="796" t="e">
        <f>'MDA Worksheet'!$AV$24</f>
        <v>#VALUE!</v>
      </c>
      <c r="D11" s="141"/>
      <c r="E11" s="141"/>
      <c r="F11" s="141"/>
    </row>
    <row r="12" spans="1:6" x14ac:dyDescent="0.25">
      <c r="A12" s="141"/>
      <c r="B12" s="719" t="s">
        <v>896</v>
      </c>
      <c r="C12" s="795" t="s">
        <v>711</v>
      </c>
      <c r="D12" s="141"/>
      <c r="E12" s="141"/>
      <c r="F12" s="141"/>
    </row>
    <row r="13" spans="1:6" x14ac:dyDescent="0.25">
      <c r="A13" s="141"/>
      <c r="B13" s="1138" t="s">
        <v>898</v>
      </c>
      <c r="C13" s="1139"/>
      <c r="D13" s="141"/>
      <c r="E13" s="141"/>
      <c r="F13" s="141"/>
    </row>
    <row r="14" spans="1:6" x14ac:dyDescent="0.25">
      <c r="A14" s="141"/>
      <c r="B14" s="797" t="s">
        <v>899</v>
      </c>
      <c r="C14" s="795">
        <v>1.75</v>
      </c>
      <c r="D14" s="141"/>
      <c r="E14" s="141"/>
      <c r="F14" s="141"/>
    </row>
    <row r="15" spans="1:6" x14ac:dyDescent="0.25">
      <c r="A15" s="141"/>
      <c r="B15" s="797" t="s">
        <v>900</v>
      </c>
      <c r="C15" s="795" t="s">
        <v>901</v>
      </c>
      <c r="D15" s="141"/>
      <c r="E15" s="141"/>
      <c r="F15" s="141"/>
    </row>
    <row r="16" spans="1:6" x14ac:dyDescent="0.25">
      <c r="A16" s="141"/>
      <c r="B16" s="797" t="s">
        <v>902</v>
      </c>
      <c r="C16" s="795" t="s">
        <v>696</v>
      </c>
      <c r="D16" s="141"/>
      <c r="E16" s="141"/>
      <c r="F16" s="141"/>
    </row>
    <row r="17" spans="1:6" x14ac:dyDescent="0.25">
      <c r="A17" s="141"/>
      <c r="B17" s="797" t="s">
        <v>903</v>
      </c>
      <c r="C17" s="795" t="s">
        <v>904</v>
      </c>
      <c r="D17" s="141"/>
      <c r="E17" s="141"/>
      <c r="F17" s="141"/>
    </row>
    <row r="18" spans="1:6" x14ac:dyDescent="0.25">
      <c r="A18" s="141"/>
      <c r="B18" s="797" t="s">
        <v>905</v>
      </c>
      <c r="C18" s="795">
        <v>25</v>
      </c>
      <c r="D18" s="141"/>
      <c r="E18" s="141"/>
      <c r="F18" s="141"/>
    </row>
    <row r="19" spans="1:6" x14ac:dyDescent="0.25">
      <c r="A19" s="141"/>
      <c r="B19" s="797" t="s">
        <v>906</v>
      </c>
      <c r="C19" s="795" t="s">
        <v>496</v>
      </c>
      <c r="D19" s="141"/>
      <c r="E19" s="141"/>
      <c r="F19" s="141"/>
    </row>
    <row r="20" spans="1:6" x14ac:dyDescent="0.25">
      <c r="A20" s="141"/>
      <c r="B20" s="797" t="s">
        <v>907</v>
      </c>
      <c r="C20" s="795"/>
      <c r="D20" s="141"/>
      <c r="E20" s="141"/>
      <c r="F20" s="141"/>
    </row>
    <row r="21" spans="1:6" x14ac:dyDescent="0.25">
      <c r="A21" s="141"/>
      <c r="B21" s="797" t="s">
        <v>908</v>
      </c>
      <c r="C21" s="795" t="s">
        <v>927</v>
      </c>
      <c r="D21" s="141"/>
      <c r="E21" s="141"/>
      <c r="F21" s="141"/>
    </row>
    <row r="22" spans="1:6" x14ac:dyDescent="0.25">
      <c r="A22" s="141"/>
      <c r="B22" s="797" t="s">
        <v>909</v>
      </c>
      <c r="C22" s="798" t="str">
        <f>'MDA Worksheet'!$T$38</f>
        <v>Error on A La Carte</v>
      </c>
      <c r="D22" s="141"/>
      <c r="E22" s="141"/>
      <c r="F22" s="141"/>
    </row>
    <row r="23" spans="1:6" x14ac:dyDescent="0.25">
      <c r="A23" s="141"/>
      <c r="B23" s="797" t="s">
        <v>910</v>
      </c>
      <c r="C23" s="799" t="str">
        <f>'MDA Worksheet'!$T$36</f>
        <v>Error on A La Carte</v>
      </c>
      <c r="D23" s="141"/>
      <c r="E23" s="141"/>
      <c r="F23" s="141"/>
    </row>
    <row r="24" spans="1:6" ht="15.75" thickBot="1" x14ac:dyDescent="0.3">
      <c r="A24" s="141"/>
      <c r="B24" s="800" t="s">
        <v>911</v>
      </c>
      <c r="C24" s="801">
        <v>2</v>
      </c>
      <c r="D24" s="141"/>
      <c r="E24" s="141"/>
      <c r="F24" s="141"/>
    </row>
    <row r="25" spans="1:6" x14ac:dyDescent="0.25">
      <c r="A25" s="141"/>
      <c r="B25" s="141"/>
      <c r="C25" s="794"/>
      <c r="D25" s="141"/>
      <c r="E25" s="141"/>
      <c r="F25" s="141"/>
    </row>
    <row r="26" spans="1:6" x14ac:dyDescent="0.25">
      <c r="A26" s="141"/>
      <c r="B26" s="141"/>
      <c r="C26" s="794"/>
      <c r="D26" s="141"/>
      <c r="E26" s="141"/>
      <c r="F26" s="141"/>
    </row>
    <row r="27" spans="1:6" x14ac:dyDescent="0.25">
      <c r="A27" s="141"/>
      <c r="B27" s="141"/>
      <c r="C27" s="794"/>
      <c r="D27" s="141"/>
      <c r="E27" s="141"/>
      <c r="F27" s="141"/>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portrait" r:id="rId1"/>
  <headerFooter scaleWithDoc="0">
    <oddFooter>&amp;L&amp;P&amp;CPRIME Headers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AB1"/>
  <sheetViews>
    <sheetView workbookViewId="0">
      <selection activeCell="B2" sqref="B2"/>
    </sheetView>
  </sheetViews>
  <sheetFormatPr defaultRowHeight="15" x14ac:dyDescent="0.25"/>
  <cols>
    <col min="1" max="1" width="10.28515625" style="148" bestFit="1" customWidth="1"/>
    <col min="2" max="2" width="9.85546875" style="148" bestFit="1" customWidth="1"/>
    <col min="3" max="3" width="20.42578125" style="148" bestFit="1" customWidth="1"/>
    <col min="4" max="4" width="25" style="148" bestFit="1" customWidth="1"/>
    <col min="5" max="5" width="16" style="148" bestFit="1" customWidth="1"/>
    <col min="6" max="6" width="18" style="148" bestFit="1" customWidth="1"/>
    <col min="7" max="7" width="23.28515625" style="148" bestFit="1" customWidth="1"/>
    <col min="8" max="8" width="16.42578125" style="148" bestFit="1" customWidth="1"/>
    <col min="9" max="9" width="9.5703125" style="148" bestFit="1" customWidth="1"/>
    <col min="10" max="10" width="6.7109375" style="148" bestFit="1" customWidth="1"/>
    <col min="11" max="11" width="14.7109375" style="148" bestFit="1" customWidth="1"/>
    <col min="12" max="12" width="15.85546875" style="148" bestFit="1" customWidth="1"/>
    <col min="13" max="13" width="12.42578125" style="148" bestFit="1" customWidth="1"/>
    <col min="14" max="14" width="24.42578125" style="148" bestFit="1" customWidth="1"/>
    <col min="15" max="15" width="9.5703125" style="148" bestFit="1" customWidth="1"/>
    <col min="16" max="16" width="27" style="148" bestFit="1" customWidth="1"/>
    <col min="17" max="17" width="29.140625" style="148" bestFit="1" customWidth="1"/>
    <col min="18" max="18" width="17" style="148" bestFit="1" customWidth="1"/>
    <col min="19" max="19" width="24.5703125" style="148" bestFit="1" customWidth="1"/>
    <col min="20" max="20" width="36.28515625" style="148" bestFit="1" customWidth="1"/>
    <col min="21" max="21" width="37.42578125" style="148" bestFit="1" customWidth="1"/>
    <col min="22" max="22" width="5.85546875" style="148" bestFit="1" customWidth="1"/>
    <col min="23" max="23" width="4.85546875" style="148" bestFit="1" customWidth="1"/>
    <col min="24" max="24" width="6.28515625" style="148" bestFit="1" customWidth="1"/>
    <col min="25" max="26" width="11" style="148" bestFit="1" customWidth="1"/>
    <col min="27" max="27" width="16.42578125" style="148" bestFit="1" customWidth="1"/>
    <col min="28" max="28" width="10.5703125" style="148" bestFit="1" customWidth="1"/>
    <col min="29" max="16384" width="9.140625" style="148"/>
  </cols>
  <sheetData>
    <row r="1" spans="1:28" x14ac:dyDescent="0.25">
      <c r="A1" s="857" t="s">
        <v>1135</v>
      </c>
      <c r="B1" s="857" t="s">
        <v>1134</v>
      </c>
      <c r="C1" s="857" t="s">
        <v>1164</v>
      </c>
      <c r="D1" s="857" t="s">
        <v>1165</v>
      </c>
      <c r="E1" s="857" t="s">
        <v>1166</v>
      </c>
      <c r="F1" s="857" t="s">
        <v>1167</v>
      </c>
      <c r="G1" s="857" t="s">
        <v>1168</v>
      </c>
      <c r="H1" s="857" t="s">
        <v>1169</v>
      </c>
      <c r="I1" s="857" t="s">
        <v>1163</v>
      </c>
      <c r="J1" s="857" t="s">
        <v>1170</v>
      </c>
      <c r="K1" s="857" t="s">
        <v>1171</v>
      </c>
      <c r="L1" s="857" t="s">
        <v>1172</v>
      </c>
      <c r="M1" s="857" t="s">
        <v>1173</v>
      </c>
      <c r="N1" s="857" t="s">
        <v>1174</v>
      </c>
      <c r="O1" s="857" t="s">
        <v>1175</v>
      </c>
      <c r="P1" s="857" t="s">
        <v>1176</v>
      </c>
      <c r="Q1" s="857" t="s">
        <v>1177</v>
      </c>
      <c r="R1" s="857" t="s">
        <v>1178</v>
      </c>
      <c r="S1" s="857" t="s">
        <v>1179</v>
      </c>
      <c r="T1" s="857" t="s">
        <v>1180</v>
      </c>
      <c r="U1" s="857" t="s">
        <v>1181</v>
      </c>
      <c r="V1" s="857" t="s">
        <v>412</v>
      </c>
      <c r="W1" s="857" t="s">
        <v>1161</v>
      </c>
      <c r="X1" s="857" t="s">
        <v>1182</v>
      </c>
      <c r="Y1" s="857" t="s">
        <v>1183</v>
      </c>
      <c r="Z1" s="857" t="s">
        <v>1184</v>
      </c>
      <c r="AA1" s="857" t="s">
        <v>1185</v>
      </c>
      <c r="AB1" s="857" t="s">
        <v>1129</v>
      </c>
    </row>
  </sheetData>
  <sheetProtection selectLockedCells="1" selectUnlockedCell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A49" workbookViewId="0">
      <selection activeCell="B2" sqref="A2:B1048576"/>
    </sheetView>
  </sheetViews>
  <sheetFormatPr defaultRowHeight="15" x14ac:dyDescent="0.25"/>
  <cols>
    <col min="1" max="1" width="9.85546875" style="148" bestFit="1" customWidth="1"/>
    <col min="2" max="2" width="10.28515625" style="148" bestFit="1" customWidth="1"/>
    <col min="3" max="3" width="20.85546875" style="148" bestFit="1" customWidth="1"/>
    <col min="4" max="4" width="19.42578125" style="148" bestFit="1" customWidth="1"/>
    <col min="5" max="5" width="23.85546875" style="148" bestFit="1" customWidth="1"/>
    <col min="6" max="6" width="7" style="148" bestFit="1" customWidth="1"/>
    <col min="7" max="16384" width="9.140625" style="148"/>
  </cols>
  <sheetData>
    <row r="1" spans="1:6" x14ac:dyDescent="0.25">
      <c r="A1" s="857" t="s">
        <v>1134</v>
      </c>
      <c r="B1" s="857" t="s">
        <v>1135</v>
      </c>
      <c r="C1" s="857" t="s">
        <v>1136</v>
      </c>
      <c r="D1" s="857" t="s">
        <v>1137</v>
      </c>
      <c r="E1" s="857" t="s">
        <v>1138</v>
      </c>
      <c r="F1" s="857" t="s">
        <v>1139</v>
      </c>
    </row>
  </sheetData>
  <sheetProtection selectLockedCells="1" selectUnlockedCells="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B2" sqref="B2"/>
    </sheetView>
  </sheetViews>
  <sheetFormatPr defaultRowHeight="15" x14ac:dyDescent="0.25"/>
  <cols>
    <col min="1" max="1" width="10.28515625" style="148" bestFit="1" customWidth="1"/>
    <col min="2" max="2" width="9.85546875" style="148" bestFit="1" customWidth="1"/>
    <col min="3" max="3" width="11.28515625" style="148" bestFit="1" customWidth="1"/>
    <col min="4" max="4" width="4.85546875" style="148" bestFit="1" customWidth="1"/>
    <col min="5" max="5" width="3" style="148" bestFit="1" customWidth="1"/>
    <col min="6" max="6" width="9.5703125" style="148" bestFit="1" customWidth="1"/>
    <col min="7" max="16384" width="9.140625" style="148"/>
  </cols>
  <sheetData>
    <row r="1" spans="1:6" x14ac:dyDescent="0.25">
      <c r="A1" s="857" t="s">
        <v>1135</v>
      </c>
      <c r="B1" s="857" t="s">
        <v>1134</v>
      </c>
      <c r="C1" s="857" t="s">
        <v>1160</v>
      </c>
      <c r="D1" s="857" t="s">
        <v>1161</v>
      </c>
      <c r="E1" s="857" t="s">
        <v>1162</v>
      </c>
      <c r="F1" s="857" t="s">
        <v>1163</v>
      </c>
    </row>
  </sheetData>
  <sheetProtection selectLockedCells="1" selectUn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heetViews>
  <sheetFormatPr defaultRowHeight="15" x14ac:dyDescent="0.25"/>
  <cols>
    <col min="1" max="1" width="10.5703125" style="148" bestFit="1" customWidth="1"/>
    <col min="2" max="2" width="8.42578125" style="148" bestFit="1" customWidth="1"/>
    <col min="3" max="3" width="15.140625" style="148" bestFit="1" customWidth="1"/>
    <col min="4" max="4" width="8.85546875" style="148" bestFit="1" customWidth="1"/>
    <col min="5" max="5" width="14.42578125" style="148" bestFit="1" customWidth="1"/>
    <col min="6" max="6" width="18.85546875" style="148" bestFit="1" customWidth="1"/>
    <col min="7" max="7" width="18" style="148" bestFit="1" customWidth="1"/>
    <col min="8" max="8" width="31" style="148" bestFit="1" customWidth="1"/>
    <col min="9" max="9" width="32.5703125" style="148" bestFit="1" customWidth="1"/>
    <col min="10" max="10" width="27.140625" style="148" bestFit="1" customWidth="1"/>
    <col min="11" max="11" width="29.7109375" style="148" bestFit="1" customWidth="1"/>
    <col min="12" max="12" width="20.140625" style="148" bestFit="1" customWidth="1"/>
    <col min="13" max="13" width="20.5703125" style="148" bestFit="1" customWidth="1"/>
    <col min="14" max="15" width="22.140625" style="148" bestFit="1" customWidth="1"/>
    <col min="16" max="16384" width="9.140625" style="148"/>
  </cols>
  <sheetData>
    <row r="1" spans="1:15" x14ac:dyDescent="0.25">
      <c r="A1" s="857" t="s">
        <v>1129</v>
      </c>
      <c r="B1" s="857" t="s">
        <v>251</v>
      </c>
      <c r="C1" s="857" t="s">
        <v>1186</v>
      </c>
      <c r="D1" s="857" t="s">
        <v>1130</v>
      </c>
      <c r="E1" s="857" t="s">
        <v>1131</v>
      </c>
      <c r="F1" s="857" t="s">
        <v>1132</v>
      </c>
      <c r="G1" s="857" t="s">
        <v>1133</v>
      </c>
      <c r="H1" s="857" t="s">
        <v>1187</v>
      </c>
      <c r="I1" s="857" t="s">
        <v>1188</v>
      </c>
      <c r="J1" s="857" t="s">
        <v>1189</v>
      </c>
      <c r="K1" s="857" t="s">
        <v>1190</v>
      </c>
      <c r="L1" s="857" t="s">
        <v>1191</v>
      </c>
      <c r="M1" s="857" t="s">
        <v>1192</v>
      </c>
      <c r="N1" s="857" t="s">
        <v>1193</v>
      </c>
      <c r="O1" s="857" t="s">
        <v>1193</v>
      </c>
    </row>
  </sheetData>
  <sheetProtection selectLockedCells="1" selectUn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heetViews>
  <sheetFormatPr defaultRowHeight="15" x14ac:dyDescent="0.25"/>
  <cols>
    <col min="1" max="1" width="18.85546875" style="148" bestFit="1" customWidth="1"/>
    <col min="2" max="2" width="10.5703125" style="148" bestFit="1" customWidth="1"/>
    <col min="3" max="3" width="8.85546875" style="148" bestFit="1" customWidth="1"/>
    <col min="4" max="4" width="8.42578125" style="148" bestFit="1" customWidth="1"/>
    <col min="5" max="5" width="29.7109375" style="148" bestFit="1" customWidth="1"/>
    <col min="6" max="6" width="16.42578125" style="148" bestFit="1" customWidth="1"/>
    <col min="7" max="7" width="27.140625" style="148" bestFit="1" customWidth="1"/>
    <col min="8" max="8" width="40.5703125" style="148" bestFit="1" customWidth="1"/>
    <col min="9" max="9" width="44" style="148" bestFit="1" customWidth="1"/>
    <col min="10" max="10" width="39.42578125" style="148" bestFit="1" customWidth="1"/>
    <col min="11" max="11" width="26.140625" style="148" bestFit="1" customWidth="1"/>
    <col min="12" max="12" width="17.42578125" style="148" bestFit="1" customWidth="1"/>
    <col min="13" max="13" width="12" style="148" bestFit="1" customWidth="1"/>
    <col min="14" max="16384" width="9.140625" style="148"/>
  </cols>
  <sheetData>
    <row r="1" spans="1:13" x14ac:dyDescent="0.25">
      <c r="A1" s="857" t="s">
        <v>1132</v>
      </c>
      <c r="B1" s="857" t="s">
        <v>1129</v>
      </c>
      <c r="C1" s="857" t="s">
        <v>1130</v>
      </c>
      <c r="D1" s="857" t="s">
        <v>1140</v>
      </c>
      <c r="E1" s="857" t="s">
        <v>1190</v>
      </c>
      <c r="F1" s="857" t="s">
        <v>1194</v>
      </c>
      <c r="G1" s="857" t="s">
        <v>1189</v>
      </c>
      <c r="H1" s="857" t="s">
        <v>1195</v>
      </c>
      <c r="I1" s="857" t="s">
        <v>1196</v>
      </c>
      <c r="J1" s="857" t="s">
        <v>1197</v>
      </c>
      <c r="K1" s="857" t="s">
        <v>1141</v>
      </c>
      <c r="L1" s="857" t="s">
        <v>1142</v>
      </c>
      <c r="M1" s="857" t="s">
        <v>1143</v>
      </c>
    </row>
  </sheetData>
  <sheetProtection selectLockedCells="1" selectUn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D8" sqref="D8"/>
    </sheetView>
  </sheetViews>
  <sheetFormatPr defaultRowHeight="15" x14ac:dyDescent="0.25"/>
  <cols>
    <col min="1" max="1" width="8.42578125" style="148" bestFit="1" customWidth="1"/>
    <col min="2" max="2" width="12.85546875" style="148" bestFit="1" customWidth="1"/>
    <col min="3" max="3" width="10.5703125" style="148" bestFit="1" customWidth="1"/>
    <col min="4" max="4" width="21.5703125" style="148" bestFit="1" customWidth="1"/>
    <col min="5" max="5" width="12.7109375" style="148" bestFit="1" customWidth="1"/>
    <col min="6" max="6" width="25.7109375" style="148" bestFit="1" customWidth="1"/>
    <col min="7" max="16384" width="9.140625" style="148"/>
  </cols>
  <sheetData>
    <row r="1" spans="1:6" x14ac:dyDescent="0.25">
      <c r="A1" s="857" t="s">
        <v>251</v>
      </c>
      <c r="B1" s="857" t="s">
        <v>1203</v>
      </c>
      <c r="C1" s="857" t="s">
        <v>1129</v>
      </c>
      <c r="D1" s="857" t="s">
        <v>1199</v>
      </c>
      <c r="E1" s="857" t="s">
        <v>1200</v>
      </c>
      <c r="F1" s="857" t="s">
        <v>1201</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D8" sqref="D8"/>
    </sheetView>
  </sheetViews>
  <sheetFormatPr defaultRowHeight="15" x14ac:dyDescent="0.25"/>
  <cols>
    <col min="1" max="1" width="8.42578125" style="148" bestFit="1" customWidth="1"/>
    <col min="2" max="2" width="12.85546875" style="148" bestFit="1" customWidth="1"/>
    <col min="3" max="3" width="10.5703125" style="148" bestFit="1" customWidth="1"/>
    <col min="4" max="4" width="21.5703125" style="148" bestFit="1" customWidth="1"/>
    <col min="5" max="5" width="12.7109375" style="148" bestFit="1" customWidth="1"/>
    <col min="6" max="6" width="25.7109375" style="148" bestFit="1" customWidth="1"/>
    <col min="7" max="16384" width="9.140625" style="148"/>
  </cols>
  <sheetData>
    <row r="1" spans="1:6" x14ac:dyDescent="0.25">
      <c r="A1" s="857" t="s">
        <v>251</v>
      </c>
      <c r="B1" s="857" t="s">
        <v>1202</v>
      </c>
      <c r="C1" s="857" t="s">
        <v>1129</v>
      </c>
      <c r="D1" s="857" t="s">
        <v>1199</v>
      </c>
      <c r="E1" s="857" t="s">
        <v>1200</v>
      </c>
      <c r="F1" s="857" t="s">
        <v>1201</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E9" sqref="E9"/>
    </sheetView>
  </sheetViews>
  <sheetFormatPr defaultRowHeight="15" x14ac:dyDescent="0.25"/>
  <cols>
    <col min="1" max="1" width="8.42578125" style="148" bestFit="1" customWidth="1"/>
    <col min="2" max="2" width="12.85546875" style="148" bestFit="1" customWidth="1"/>
    <col min="3" max="3" width="10.5703125" style="148" bestFit="1" customWidth="1"/>
    <col min="4" max="4" width="21.5703125" style="148" bestFit="1" customWidth="1"/>
    <col min="5" max="5" width="12.7109375" style="148" bestFit="1" customWidth="1"/>
    <col min="6" max="6" width="25.7109375" style="148" bestFit="1" customWidth="1"/>
    <col min="7" max="16384" width="9.140625" style="148"/>
  </cols>
  <sheetData>
    <row r="1" spans="1:6" x14ac:dyDescent="0.25">
      <c r="A1" s="857" t="s">
        <v>251</v>
      </c>
      <c r="B1" s="857" t="s">
        <v>1198</v>
      </c>
      <c r="C1" s="857" t="s">
        <v>1129</v>
      </c>
      <c r="D1" s="857" t="s">
        <v>1199</v>
      </c>
      <c r="E1" s="857" t="s">
        <v>1200</v>
      </c>
      <c r="F1" s="857" t="s">
        <v>1201</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78F87-87A9-42B6-8681-38D66FBEA956}">
  <sheetPr codeName="Sheet3"/>
  <dimension ref="A1"/>
  <sheetViews>
    <sheetView workbookViewId="0"/>
  </sheetViews>
  <sheetFormatPr defaultRowHeight="15"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
  <sheetViews>
    <sheetView workbookViewId="0">
      <selection activeCell="H2" sqref="H2"/>
    </sheetView>
  </sheetViews>
  <sheetFormatPr defaultRowHeight="15" x14ac:dyDescent="0.25"/>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1023</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1023</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I1758"/>
  <sheetViews>
    <sheetView topLeftCell="T1" workbookViewId="0">
      <selection activeCell="AI2" sqref="AI2:AI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4.42578125" bestFit="1" customWidth="1"/>
    <col min="29" max="29" width="11.7109375" bestFit="1" customWidth="1"/>
    <col min="32" max="32" width="12.42578125" bestFit="1" customWidth="1"/>
    <col min="35" max="35" width="20.5703125" bestFit="1" customWidth="1"/>
  </cols>
  <sheetData>
    <row r="1" spans="1:35"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1024</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1107</v>
      </c>
    </row>
    <row r="2" spans="1:35" x14ac:dyDescent="0.25">
      <c r="A2" t="s">
        <v>445</v>
      </c>
      <c r="B2" t="s">
        <v>106</v>
      </c>
      <c r="C2" t="s">
        <v>1</v>
      </c>
      <c r="E2" t="s">
        <v>58</v>
      </c>
      <c r="F2" s="3">
        <v>1</v>
      </c>
      <c r="G2" s="14" t="s">
        <v>131</v>
      </c>
      <c r="H2" s="14" t="s">
        <v>226</v>
      </c>
      <c r="I2" s="14" t="s">
        <v>528</v>
      </c>
      <c r="J2" s="14">
        <v>0.01</v>
      </c>
      <c r="K2" s="14">
        <v>1.4999999999999999E-2</v>
      </c>
      <c r="L2" t="s">
        <v>211</v>
      </c>
      <c r="M2">
        <v>2</v>
      </c>
      <c r="N2" t="s">
        <v>1059</v>
      </c>
      <c r="O2" s="2" t="s">
        <v>558</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1052</v>
      </c>
      <c r="AI2" t="s">
        <v>499</v>
      </c>
    </row>
    <row r="3" spans="1:35"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t="s">
        <v>383</v>
      </c>
      <c r="AC3" t="s">
        <v>475</v>
      </c>
      <c r="AD3" t="s">
        <v>514</v>
      </c>
      <c r="AE3" t="s">
        <v>515</v>
      </c>
      <c r="AF3" s="62">
        <v>0.09</v>
      </c>
      <c r="AI3" t="s">
        <v>498</v>
      </c>
    </row>
    <row r="4" spans="1:35"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F4" s="62">
        <v>0.1</v>
      </c>
    </row>
    <row r="5" spans="1:35"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F5" s="62">
        <v>0.11</v>
      </c>
    </row>
    <row r="6" spans="1:35" x14ac:dyDescent="0.25">
      <c r="A6" t="s">
        <v>438</v>
      </c>
      <c r="B6" t="s">
        <v>8</v>
      </c>
      <c r="C6" t="s">
        <v>115</v>
      </c>
      <c r="D6" t="s">
        <v>34</v>
      </c>
      <c r="E6" t="s">
        <v>37</v>
      </c>
      <c r="F6" s="3">
        <v>5</v>
      </c>
      <c r="G6" s="14" t="s">
        <v>486</v>
      </c>
      <c r="H6" s="14" t="s">
        <v>483</v>
      </c>
      <c r="I6" s="14">
        <v>5</v>
      </c>
      <c r="J6" s="14"/>
      <c r="K6" s="14"/>
      <c r="P6" t="s">
        <v>244</v>
      </c>
      <c r="Q6">
        <v>7</v>
      </c>
      <c r="AA6" s="26">
        <v>5</v>
      </c>
      <c r="AF6" s="62">
        <v>0.12</v>
      </c>
    </row>
    <row r="7" spans="1:35" x14ac:dyDescent="0.25">
      <c r="A7" t="s">
        <v>429</v>
      </c>
      <c r="B7" t="s">
        <v>18</v>
      </c>
      <c r="D7" t="s">
        <v>0</v>
      </c>
      <c r="E7"/>
      <c r="G7" s="14" t="s">
        <v>133</v>
      </c>
      <c r="H7" s="14"/>
      <c r="I7" s="14">
        <v>6</v>
      </c>
      <c r="J7" s="14"/>
      <c r="K7" s="14"/>
      <c r="P7" t="s">
        <v>245</v>
      </c>
      <c r="Q7">
        <v>8</v>
      </c>
      <c r="AA7" s="26">
        <v>6</v>
      </c>
    </row>
    <row r="8" spans="1:35" x14ac:dyDescent="0.25">
      <c r="A8" t="s">
        <v>432</v>
      </c>
      <c r="D8" t="s">
        <v>69</v>
      </c>
      <c r="E8"/>
      <c r="G8" s="14"/>
      <c r="H8" s="14"/>
      <c r="I8" s="14">
        <v>7</v>
      </c>
      <c r="J8" s="14"/>
      <c r="K8" s="14"/>
      <c r="P8" t="s">
        <v>246</v>
      </c>
      <c r="Q8">
        <v>9</v>
      </c>
      <c r="AA8" s="26">
        <v>7</v>
      </c>
    </row>
    <row r="9" spans="1:35" x14ac:dyDescent="0.25">
      <c r="A9" t="s">
        <v>425</v>
      </c>
      <c r="D9" t="s">
        <v>4</v>
      </c>
      <c r="E9"/>
      <c r="I9" s="14">
        <v>8</v>
      </c>
      <c r="J9" s="14"/>
      <c r="K9" s="14"/>
      <c r="AA9" s="26">
        <v>8</v>
      </c>
    </row>
    <row r="10" spans="1:35" x14ac:dyDescent="0.25">
      <c r="A10" t="s">
        <v>464</v>
      </c>
      <c r="D10" t="s">
        <v>35</v>
      </c>
      <c r="E10"/>
      <c r="I10" s="14">
        <v>8</v>
      </c>
      <c r="J10" s="14"/>
      <c r="K10" s="14"/>
      <c r="AA10" s="26">
        <v>9</v>
      </c>
    </row>
    <row r="11" spans="1:35" x14ac:dyDescent="0.25">
      <c r="A11" t="s">
        <v>436</v>
      </c>
      <c r="D11" t="s">
        <v>6</v>
      </c>
      <c r="E11"/>
      <c r="I11" s="14">
        <v>9</v>
      </c>
      <c r="J11" s="46" t="s">
        <v>490</v>
      </c>
      <c r="K11" s="48">
        <f>'EB_CM (Back)'!$B$7</f>
        <v>0</v>
      </c>
      <c r="L11" s="46" t="s">
        <v>488</v>
      </c>
      <c r="M11" s="1" t="s">
        <v>489</v>
      </c>
      <c r="AA11" s="26">
        <v>10</v>
      </c>
    </row>
    <row r="12" spans="1:35"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5" x14ac:dyDescent="0.25">
      <c r="A13" t="s">
        <v>463</v>
      </c>
      <c r="C13" t="s">
        <v>114</v>
      </c>
      <c r="D13" t="s">
        <v>45</v>
      </c>
      <c r="E13"/>
      <c r="G13" s="14"/>
      <c r="H13" s="14"/>
      <c r="I13" s="14"/>
      <c r="J13" s="14"/>
      <c r="L13" s="46">
        <v>0.55000000000000004</v>
      </c>
      <c r="M13" s="49">
        <v>1.4999999999999999E-2</v>
      </c>
    </row>
    <row r="14" spans="1:35" x14ac:dyDescent="0.25">
      <c r="A14" t="s">
        <v>418</v>
      </c>
      <c r="C14" t="s">
        <v>116</v>
      </c>
      <c r="D14" t="s">
        <v>48</v>
      </c>
      <c r="E14" t="s">
        <v>42</v>
      </c>
      <c r="G14" s="14"/>
      <c r="H14" s="14"/>
      <c r="I14" s="14"/>
      <c r="J14" s="14" t="s">
        <v>500</v>
      </c>
      <c r="L14" s="46">
        <v>0.5</v>
      </c>
      <c r="M14" s="49">
        <v>1.2500000000000001E-2</v>
      </c>
    </row>
    <row r="15" spans="1:35" x14ac:dyDescent="0.25">
      <c r="A15" t="s">
        <v>460</v>
      </c>
      <c r="C15" t="s">
        <v>118</v>
      </c>
      <c r="D15" t="s">
        <v>60</v>
      </c>
      <c r="E15" t="s">
        <v>29</v>
      </c>
      <c r="G15" s="9"/>
      <c r="H15" s="9"/>
      <c r="I15" s="9"/>
      <c r="J15" s="9"/>
      <c r="L15" s="47">
        <v>0.43009999999999998</v>
      </c>
      <c r="M15" s="49">
        <v>0.01</v>
      </c>
    </row>
    <row r="16" spans="1:35"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topLeftCell="A31" workbookViewId="0">
      <selection activeCell="F38" sqref="F37:F38"/>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1145</v>
      </c>
      <c r="D2" s="32" t="s">
        <v>939</v>
      </c>
      <c r="E2" s="30">
        <v>2345</v>
      </c>
      <c r="F2" s="30" t="s">
        <v>181</v>
      </c>
      <c r="G2" s="31" t="s">
        <v>23</v>
      </c>
    </row>
    <row r="3" spans="1:7" x14ac:dyDescent="0.25">
      <c r="A3" s="15" t="s">
        <v>179</v>
      </c>
      <c r="B3" s="33" t="s">
        <v>23</v>
      </c>
      <c r="C3" s="1" t="s">
        <v>1145</v>
      </c>
      <c r="D3" s="1" t="s">
        <v>940</v>
      </c>
      <c r="E3" s="15">
        <v>2340</v>
      </c>
      <c r="F3" s="15" t="s">
        <v>179</v>
      </c>
      <c r="G3" s="33" t="s">
        <v>23</v>
      </c>
    </row>
    <row r="4" spans="1:7" x14ac:dyDescent="0.25">
      <c r="A4" s="15" t="s">
        <v>1146</v>
      </c>
      <c r="B4" s="33" t="s">
        <v>23</v>
      </c>
      <c r="C4" s="1" t="s">
        <v>1145</v>
      </c>
      <c r="D4" s="1" t="s">
        <v>1147</v>
      </c>
      <c r="E4" s="15">
        <v>2375</v>
      </c>
      <c r="F4" s="15" t="s">
        <v>1146</v>
      </c>
      <c r="G4" s="33" t="s">
        <v>23</v>
      </c>
    </row>
    <row r="5" spans="1:7" x14ac:dyDescent="0.25">
      <c r="A5" s="15" t="s">
        <v>1148</v>
      </c>
      <c r="B5" s="33" t="s">
        <v>23</v>
      </c>
      <c r="C5" s="1" t="s">
        <v>1145</v>
      </c>
      <c r="D5" s="1" t="s">
        <v>1149</v>
      </c>
      <c r="E5" s="15">
        <v>2355</v>
      </c>
      <c r="F5" s="15" t="s">
        <v>1148</v>
      </c>
      <c r="G5" s="33" t="s">
        <v>23</v>
      </c>
    </row>
    <row r="6" spans="1:7" x14ac:dyDescent="0.25">
      <c r="A6" s="15" t="s">
        <v>1150</v>
      </c>
      <c r="B6" s="33" t="s">
        <v>23</v>
      </c>
      <c r="C6" s="1" t="s">
        <v>199</v>
      </c>
      <c r="D6" s="1" t="s">
        <v>1151</v>
      </c>
      <c r="E6" s="15">
        <v>2365</v>
      </c>
      <c r="F6" s="15" t="s">
        <v>1150</v>
      </c>
      <c r="G6" s="33" t="s">
        <v>23</v>
      </c>
    </row>
    <row r="7" spans="1:7" x14ac:dyDescent="0.25">
      <c r="A7" s="15" t="s">
        <v>152</v>
      </c>
      <c r="B7" s="33" t="s">
        <v>23</v>
      </c>
      <c r="C7" s="1" t="s">
        <v>199</v>
      </c>
      <c r="D7" s="1" t="s">
        <v>37</v>
      </c>
      <c r="E7" s="15">
        <v>3230</v>
      </c>
      <c r="F7" s="15" t="s">
        <v>152</v>
      </c>
      <c r="G7" s="33" t="s">
        <v>23</v>
      </c>
    </row>
    <row r="8" spans="1:7" x14ac:dyDescent="0.25">
      <c r="A8" s="15" t="s">
        <v>136</v>
      </c>
      <c r="B8" s="33" t="s">
        <v>23</v>
      </c>
      <c r="C8" s="1" t="s">
        <v>199</v>
      </c>
      <c r="D8" s="1" t="s">
        <v>72</v>
      </c>
      <c r="E8" s="15">
        <v>2360</v>
      </c>
      <c r="F8" s="15" t="s">
        <v>136</v>
      </c>
      <c r="G8" s="33" t="s">
        <v>23</v>
      </c>
    </row>
    <row r="9" spans="1:7" x14ac:dyDescent="0.25">
      <c r="A9" s="15" t="s">
        <v>174</v>
      </c>
      <c r="B9" s="33" t="s">
        <v>23</v>
      </c>
      <c r="C9" s="1" t="s">
        <v>197</v>
      </c>
      <c r="D9" s="1" t="s">
        <v>43</v>
      </c>
      <c r="E9" s="15">
        <v>1104</v>
      </c>
      <c r="F9" s="15" t="s">
        <v>174</v>
      </c>
      <c r="G9" s="33" t="s">
        <v>23</v>
      </c>
    </row>
    <row r="10" spans="1:7" x14ac:dyDescent="0.25">
      <c r="A10" s="15" t="s">
        <v>143</v>
      </c>
      <c r="B10" s="33" t="s">
        <v>23</v>
      </c>
      <c r="C10" s="1" t="s">
        <v>197</v>
      </c>
      <c r="D10" s="1" t="s">
        <v>67</v>
      </c>
      <c r="E10" s="15">
        <v>1106</v>
      </c>
      <c r="F10" s="15" t="s">
        <v>143</v>
      </c>
      <c r="G10" s="33" t="s">
        <v>23</v>
      </c>
    </row>
    <row r="11" spans="1:7" x14ac:dyDescent="0.25">
      <c r="A11" s="15" t="s">
        <v>175</v>
      </c>
      <c r="B11" s="33" t="s">
        <v>23</v>
      </c>
      <c r="C11" s="1" t="s">
        <v>195</v>
      </c>
      <c r="D11" s="1" t="s">
        <v>58</v>
      </c>
      <c r="E11" s="15">
        <v>2099</v>
      </c>
      <c r="F11" s="15" t="s">
        <v>175</v>
      </c>
      <c r="G11" s="33" t="s">
        <v>23</v>
      </c>
    </row>
    <row r="12" spans="1:7" x14ac:dyDescent="0.25">
      <c r="A12" s="15" t="s">
        <v>180</v>
      </c>
      <c r="B12" s="33" t="s">
        <v>23</v>
      </c>
      <c r="C12" s="1" t="s">
        <v>195</v>
      </c>
      <c r="D12" s="1" t="s">
        <v>31</v>
      </c>
      <c r="E12" s="15">
        <v>2330</v>
      </c>
      <c r="F12" s="15" t="s">
        <v>180</v>
      </c>
      <c r="G12" s="33" t="s">
        <v>23</v>
      </c>
    </row>
    <row r="13" spans="1:7" x14ac:dyDescent="0.25">
      <c r="A13" s="15" t="s">
        <v>183</v>
      </c>
      <c r="B13" s="33" t="s">
        <v>23</v>
      </c>
      <c r="C13" s="1" t="s">
        <v>195</v>
      </c>
      <c r="D13" s="1" t="s">
        <v>78</v>
      </c>
      <c r="E13" s="15">
        <v>2310</v>
      </c>
      <c r="F13" s="15" t="s">
        <v>183</v>
      </c>
      <c r="G13" s="33" t="s">
        <v>23</v>
      </c>
    </row>
    <row r="14" spans="1:7" x14ac:dyDescent="0.25">
      <c r="A14" s="15" t="s">
        <v>184</v>
      </c>
      <c r="B14" s="33" t="s">
        <v>23</v>
      </c>
      <c r="C14" s="1" t="s">
        <v>195</v>
      </c>
      <c r="D14" s="1" t="s">
        <v>1128</v>
      </c>
      <c r="E14" s="15">
        <v>248</v>
      </c>
      <c r="F14" s="15" t="s">
        <v>184</v>
      </c>
      <c r="G14" s="33" t="s">
        <v>23</v>
      </c>
    </row>
    <row r="15" spans="1:7" x14ac:dyDescent="0.25">
      <c r="A15" s="15" t="s">
        <v>140</v>
      </c>
      <c r="B15" s="33" t="s">
        <v>23</v>
      </c>
      <c r="C15" s="1" t="s">
        <v>198</v>
      </c>
      <c r="D15" s="1" t="s">
        <v>47</v>
      </c>
      <c r="E15" s="15">
        <v>3210</v>
      </c>
      <c r="F15" s="15" t="s">
        <v>140</v>
      </c>
      <c r="G15" s="33" t="s">
        <v>23</v>
      </c>
    </row>
    <row r="16" spans="1:7" x14ac:dyDescent="0.25">
      <c r="A16" s="15" t="s">
        <v>134</v>
      </c>
      <c r="B16" s="33" t="s">
        <v>23</v>
      </c>
      <c r="C16" s="1" t="s">
        <v>198</v>
      </c>
      <c r="D16" s="1" t="s">
        <v>44</v>
      </c>
      <c r="E16" s="15">
        <v>3220</v>
      </c>
      <c r="F16" s="15" t="s">
        <v>134</v>
      </c>
      <c r="G16" s="33" t="s">
        <v>23</v>
      </c>
    </row>
    <row r="17" spans="1:7" x14ac:dyDescent="0.25">
      <c r="A17" s="15" t="s">
        <v>176</v>
      </c>
      <c r="B17" s="33" t="s">
        <v>23</v>
      </c>
      <c r="C17" s="1" t="s">
        <v>196</v>
      </c>
      <c r="D17" s="1" t="s">
        <v>22</v>
      </c>
      <c r="E17" s="15">
        <v>1103</v>
      </c>
      <c r="F17" s="15" t="s">
        <v>176</v>
      </c>
      <c r="G17" s="33" t="s">
        <v>23</v>
      </c>
    </row>
    <row r="18" spans="1:7" x14ac:dyDescent="0.25">
      <c r="A18" s="15" t="s">
        <v>177</v>
      </c>
      <c r="B18" s="33" t="s">
        <v>23</v>
      </c>
      <c r="C18" s="1" t="s">
        <v>196</v>
      </c>
      <c r="D18" s="1" t="s">
        <v>46</v>
      </c>
      <c r="E18" s="15">
        <v>1054</v>
      </c>
      <c r="F18" s="15" t="s">
        <v>177</v>
      </c>
      <c r="G18" s="33" t="s">
        <v>23</v>
      </c>
    </row>
    <row r="19" spans="1:7" x14ac:dyDescent="0.25">
      <c r="A19" s="15" t="s">
        <v>155</v>
      </c>
      <c r="B19" s="33" t="s">
        <v>23</v>
      </c>
      <c r="C19" s="1" t="s">
        <v>200</v>
      </c>
      <c r="D19" s="1" t="s">
        <v>77</v>
      </c>
      <c r="E19" s="15">
        <v>2370</v>
      </c>
      <c r="F19" s="15" t="s">
        <v>155</v>
      </c>
      <c r="G19" s="33" t="s">
        <v>23</v>
      </c>
    </row>
    <row r="20" spans="1:7" x14ac:dyDescent="0.25">
      <c r="A20" s="15" t="s">
        <v>182</v>
      </c>
      <c r="B20" s="33" t="s">
        <v>23</v>
      </c>
      <c r="C20" s="1" t="s">
        <v>200</v>
      </c>
      <c r="D20" s="1" t="s">
        <v>39</v>
      </c>
      <c r="E20" s="15">
        <v>2350</v>
      </c>
      <c r="F20" s="15" t="s">
        <v>182</v>
      </c>
      <c r="G20" s="33" t="s">
        <v>23</v>
      </c>
    </row>
    <row r="21" spans="1:7" x14ac:dyDescent="0.25">
      <c r="A21" s="15" t="s">
        <v>190</v>
      </c>
      <c r="B21" s="33" t="s">
        <v>13</v>
      </c>
      <c r="C21" s="1" t="s">
        <v>388</v>
      </c>
      <c r="D21" s="1" t="s">
        <v>33</v>
      </c>
      <c r="E21" s="15">
        <v>2110</v>
      </c>
      <c r="F21" s="15" t="s">
        <v>190</v>
      </c>
      <c r="G21" s="33" t="s">
        <v>13</v>
      </c>
    </row>
    <row r="22" spans="1:7" x14ac:dyDescent="0.25">
      <c r="A22" s="15" t="s">
        <v>165</v>
      </c>
      <c r="B22" s="33" t="s">
        <v>13</v>
      </c>
      <c r="C22" s="1" t="s">
        <v>388</v>
      </c>
      <c r="D22" s="1" t="s">
        <v>27</v>
      </c>
      <c r="E22" s="15">
        <v>3190</v>
      </c>
      <c r="F22" s="15" t="s">
        <v>165</v>
      </c>
      <c r="G22" s="33" t="s">
        <v>13</v>
      </c>
    </row>
    <row r="23" spans="1:7" x14ac:dyDescent="0.25">
      <c r="A23" s="15" t="s">
        <v>185</v>
      </c>
      <c r="B23" s="33" t="s">
        <v>13</v>
      </c>
      <c r="C23" s="1" t="s">
        <v>388</v>
      </c>
      <c r="D23" s="1" t="s">
        <v>59</v>
      </c>
      <c r="E23" s="15">
        <v>2116</v>
      </c>
      <c r="F23" s="15" t="s">
        <v>185</v>
      </c>
      <c r="G23" s="33" t="s">
        <v>13</v>
      </c>
    </row>
    <row r="24" spans="1:7" x14ac:dyDescent="0.25">
      <c r="A24" s="15" t="s">
        <v>191</v>
      </c>
      <c r="B24" s="33" t="s">
        <v>13</v>
      </c>
      <c r="C24" s="1" t="s">
        <v>389</v>
      </c>
      <c r="D24" s="1" t="s">
        <v>28</v>
      </c>
      <c r="E24" s="15">
        <v>2160</v>
      </c>
      <c r="F24" s="15" t="s">
        <v>191</v>
      </c>
      <c r="G24" s="33" t="s">
        <v>13</v>
      </c>
    </row>
    <row r="25" spans="1:7" x14ac:dyDescent="0.25">
      <c r="A25" s="15" t="s">
        <v>188</v>
      </c>
      <c r="B25" s="33" t="s">
        <v>13</v>
      </c>
      <c r="C25" s="1" t="s">
        <v>389</v>
      </c>
      <c r="D25" s="1" t="s">
        <v>122</v>
      </c>
      <c r="E25" s="15">
        <v>2170</v>
      </c>
      <c r="F25" s="15" t="s">
        <v>188</v>
      </c>
      <c r="G25" s="33" t="s">
        <v>13</v>
      </c>
    </row>
    <row r="26" spans="1:7" x14ac:dyDescent="0.25">
      <c r="A26" s="15" t="s">
        <v>187</v>
      </c>
      <c r="B26" s="33" t="s">
        <v>13</v>
      </c>
      <c r="C26" s="1" t="s">
        <v>1152</v>
      </c>
      <c r="D26" s="1" t="s">
        <v>64</v>
      </c>
      <c r="E26" s="15">
        <v>2148</v>
      </c>
      <c r="F26" s="15" t="s">
        <v>187</v>
      </c>
      <c r="G26" s="33" t="s">
        <v>13</v>
      </c>
    </row>
    <row r="27" spans="1:7" x14ac:dyDescent="0.25">
      <c r="A27" s="15" t="s">
        <v>193</v>
      </c>
      <c r="B27" s="33" t="s">
        <v>13</v>
      </c>
      <c r="C27" s="1" t="s">
        <v>61</v>
      </c>
      <c r="D27" s="1" t="s">
        <v>938</v>
      </c>
      <c r="E27" s="15">
        <v>2020</v>
      </c>
      <c r="F27" s="15" t="s">
        <v>193</v>
      </c>
      <c r="G27" s="33" t="s">
        <v>13</v>
      </c>
    </row>
    <row r="28" spans="1:7" x14ac:dyDescent="0.25">
      <c r="A28" s="15" t="s">
        <v>390</v>
      </c>
      <c r="B28" s="33" t="s">
        <v>13</v>
      </c>
      <c r="C28" s="1" t="s">
        <v>61</v>
      </c>
      <c r="D28" s="1" t="s">
        <v>391</v>
      </c>
      <c r="E28" s="15">
        <v>2030</v>
      </c>
      <c r="F28" s="15" t="s">
        <v>390</v>
      </c>
      <c r="G28" s="33" t="s">
        <v>13</v>
      </c>
    </row>
    <row r="29" spans="1:7" x14ac:dyDescent="0.25">
      <c r="A29" s="15" t="s">
        <v>138</v>
      </c>
      <c r="B29" s="33" t="s">
        <v>13</v>
      </c>
      <c r="C29" s="1" t="s">
        <v>392</v>
      </c>
      <c r="D29" s="1" t="s">
        <v>12</v>
      </c>
      <c r="E29" s="15">
        <v>2140</v>
      </c>
      <c r="F29" s="15" t="s">
        <v>138</v>
      </c>
      <c r="G29" s="33" t="s">
        <v>13</v>
      </c>
    </row>
    <row r="30" spans="1:7" x14ac:dyDescent="0.25">
      <c r="A30" s="15" t="s">
        <v>186</v>
      </c>
      <c r="B30" s="33" t="s">
        <v>13</v>
      </c>
      <c r="C30" s="1" t="s">
        <v>392</v>
      </c>
      <c r="D30" s="1" t="s">
        <v>19</v>
      </c>
      <c r="E30" s="15">
        <v>2190</v>
      </c>
      <c r="F30" s="15" t="s">
        <v>186</v>
      </c>
      <c r="G30" s="33" t="s">
        <v>13</v>
      </c>
    </row>
    <row r="31" spans="1:7" x14ac:dyDescent="0.25">
      <c r="A31" s="15" t="s">
        <v>192</v>
      </c>
      <c r="B31" s="33" t="s">
        <v>13</v>
      </c>
      <c r="C31" s="1" t="s">
        <v>1153</v>
      </c>
      <c r="D31" s="1" t="s">
        <v>79</v>
      </c>
      <c r="E31" s="15">
        <v>2180</v>
      </c>
      <c r="F31" s="15" t="s">
        <v>192</v>
      </c>
      <c r="G31" s="33" t="s">
        <v>13</v>
      </c>
    </row>
    <row r="32" spans="1:7" x14ac:dyDescent="0.25">
      <c r="A32" s="15" t="s">
        <v>144</v>
      </c>
      <c r="B32" s="33" t="s">
        <v>13</v>
      </c>
      <c r="C32" s="1" t="s">
        <v>1153</v>
      </c>
      <c r="D32" s="1" t="s">
        <v>53</v>
      </c>
      <c r="E32" s="15">
        <v>2185</v>
      </c>
      <c r="F32" s="15" t="s">
        <v>144</v>
      </c>
      <c r="G32" s="33" t="s">
        <v>13</v>
      </c>
    </row>
    <row r="33" spans="1:7" x14ac:dyDescent="0.25">
      <c r="A33" s="15" t="s">
        <v>156</v>
      </c>
      <c r="B33" s="33" t="s">
        <v>3</v>
      </c>
      <c r="C33" s="1" t="s">
        <v>1154</v>
      </c>
      <c r="D33" s="1" t="s">
        <v>76</v>
      </c>
      <c r="E33" s="15">
        <v>3051</v>
      </c>
      <c r="F33" s="15" t="s">
        <v>156</v>
      </c>
      <c r="G33" s="33" t="s">
        <v>3</v>
      </c>
    </row>
    <row r="34" spans="1:7" x14ac:dyDescent="0.25">
      <c r="A34" s="15" t="s">
        <v>141</v>
      </c>
      <c r="B34" s="33" t="s">
        <v>3</v>
      </c>
      <c r="C34" s="1" t="s">
        <v>1154</v>
      </c>
      <c r="D34" s="1" t="s">
        <v>51</v>
      </c>
      <c r="E34" s="15">
        <v>3147</v>
      </c>
      <c r="F34" s="15" t="s">
        <v>141</v>
      </c>
      <c r="G34" s="33" t="s">
        <v>3</v>
      </c>
    </row>
    <row r="35" spans="1:7" x14ac:dyDescent="0.25">
      <c r="A35" s="15" t="s">
        <v>149</v>
      </c>
      <c r="B35" s="33" t="s">
        <v>3</v>
      </c>
      <c r="C35" s="1" t="s">
        <v>393</v>
      </c>
      <c r="D35" s="1" t="s">
        <v>65</v>
      </c>
      <c r="E35" s="15">
        <v>3186</v>
      </c>
      <c r="F35" s="15" t="s">
        <v>149</v>
      </c>
      <c r="G35" s="33" t="s">
        <v>3</v>
      </c>
    </row>
    <row r="36" spans="1:7" x14ac:dyDescent="0.25">
      <c r="A36" s="15" t="s">
        <v>159</v>
      </c>
      <c r="B36" s="33" t="s">
        <v>3</v>
      </c>
      <c r="C36" s="1" t="s">
        <v>393</v>
      </c>
      <c r="D36" s="1" t="s">
        <v>49</v>
      </c>
      <c r="E36" s="15">
        <v>2230</v>
      </c>
      <c r="F36" s="15" t="s">
        <v>159</v>
      </c>
      <c r="G36" s="33" t="s">
        <v>3</v>
      </c>
    </row>
    <row r="37" spans="1:7" x14ac:dyDescent="0.25">
      <c r="A37" s="15" t="s">
        <v>161</v>
      </c>
      <c r="B37" s="33" t="s">
        <v>3</v>
      </c>
      <c r="C37" s="1" t="s">
        <v>394</v>
      </c>
      <c r="D37" s="1" t="s">
        <v>5</v>
      </c>
      <c r="E37" s="15">
        <v>2220</v>
      </c>
      <c r="F37" s="15" t="s">
        <v>161</v>
      </c>
      <c r="G37" s="33" t="s">
        <v>3</v>
      </c>
    </row>
    <row r="38" spans="1:7" x14ac:dyDescent="0.25">
      <c r="A38" s="15" t="s">
        <v>153</v>
      </c>
      <c r="B38" s="33" t="s">
        <v>3</v>
      </c>
      <c r="C38" s="1" t="s">
        <v>394</v>
      </c>
      <c r="D38" s="1" t="s">
        <v>2</v>
      </c>
      <c r="E38" s="15">
        <v>2270</v>
      </c>
      <c r="F38" s="15" t="s">
        <v>153</v>
      </c>
      <c r="G38" s="33" t="s">
        <v>3</v>
      </c>
    </row>
    <row r="39" spans="1:7" x14ac:dyDescent="0.25">
      <c r="A39" s="15" t="s">
        <v>385</v>
      </c>
      <c r="B39" s="33" t="s">
        <v>3</v>
      </c>
      <c r="C39" s="1" t="s">
        <v>394</v>
      </c>
      <c r="D39" s="1" t="s">
        <v>250</v>
      </c>
      <c r="E39" s="15">
        <v>3139</v>
      </c>
      <c r="F39" s="15" t="s">
        <v>385</v>
      </c>
      <c r="G39" s="33" t="s">
        <v>3</v>
      </c>
    </row>
    <row r="40" spans="1:7" x14ac:dyDescent="0.25">
      <c r="A40" s="15" t="s">
        <v>145</v>
      </c>
      <c r="B40" s="33" t="s">
        <v>3</v>
      </c>
      <c r="C40" s="1" t="s">
        <v>395</v>
      </c>
      <c r="D40" s="1" t="s">
        <v>42</v>
      </c>
      <c r="E40" s="15">
        <v>3023</v>
      </c>
      <c r="F40" s="15" t="s">
        <v>145</v>
      </c>
      <c r="G40" s="33" t="s">
        <v>3</v>
      </c>
    </row>
    <row r="41" spans="1:7" x14ac:dyDescent="0.25">
      <c r="A41" s="15" t="s">
        <v>146</v>
      </c>
      <c r="B41" s="33" t="s">
        <v>3</v>
      </c>
      <c r="C41" s="1" t="s">
        <v>395</v>
      </c>
      <c r="D41" s="1" t="s">
        <v>80</v>
      </c>
      <c r="E41" s="15">
        <v>3126</v>
      </c>
      <c r="F41" s="15" t="s">
        <v>146</v>
      </c>
      <c r="G41" s="33" t="s">
        <v>3</v>
      </c>
    </row>
    <row r="42" spans="1:7" x14ac:dyDescent="0.25">
      <c r="A42" s="15" t="s">
        <v>150</v>
      </c>
      <c r="B42" s="33" t="s">
        <v>3</v>
      </c>
      <c r="C42" s="1" t="s">
        <v>395</v>
      </c>
      <c r="D42" s="1" t="s">
        <v>68</v>
      </c>
      <c r="E42" s="15">
        <v>3120</v>
      </c>
      <c r="F42" s="15" t="s">
        <v>150</v>
      </c>
      <c r="G42" s="33" t="s">
        <v>3</v>
      </c>
    </row>
    <row r="43" spans="1:7" x14ac:dyDescent="0.25">
      <c r="A43" s="15" t="s">
        <v>1155</v>
      </c>
      <c r="B43" s="33" t="s">
        <v>3</v>
      </c>
      <c r="C43" s="1" t="s">
        <v>1156</v>
      </c>
      <c r="D43" s="1" t="s">
        <v>1157</v>
      </c>
      <c r="E43" s="15">
        <v>3040</v>
      </c>
      <c r="F43" s="15" t="s">
        <v>1155</v>
      </c>
      <c r="G43" s="33" t="s">
        <v>3</v>
      </c>
    </row>
    <row r="44" spans="1:7" x14ac:dyDescent="0.25">
      <c r="A44" s="15" t="s">
        <v>147</v>
      </c>
      <c r="B44" s="33" t="s">
        <v>3</v>
      </c>
      <c r="C44" s="1" t="s">
        <v>396</v>
      </c>
      <c r="D44" s="1" t="s">
        <v>26</v>
      </c>
      <c r="E44" s="15">
        <v>3150</v>
      </c>
      <c r="F44" s="15" t="s">
        <v>147</v>
      </c>
      <c r="G44" s="33" t="s">
        <v>3</v>
      </c>
    </row>
    <row r="45" spans="1:7" x14ac:dyDescent="0.25">
      <c r="A45" s="15" t="s">
        <v>151</v>
      </c>
      <c r="B45" s="33" t="s">
        <v>3</v>
      </c>
      <c r="C45" s="1" t="s">
        <v>396</v>
      </c>
      <c r="D45" s="1" t="s">
        <v>24</v>
      </c>
      <c r="E45" s="15">
        <v>3170</v>
      </c>
      <c r="F45" s="15" t="s">
        <v>151</v>
      </c>
      <c r="G45" s="33" t="s">
        <v>3</v>
      </c>
    </row>
    <row r="46" spans="1:7" x14ac:dyDescent="0.25">
      <c r="A46" s="15" t="s">
        <v>162</v>
      </c>
      <c r="B46" s="33" t="s">
        <v>8</v>
      </c>
      <c r="C46" s="1" t="s">
        <v>397</v>
      </c>
      <c r="D46" s="1" t="s">
        <v>16</v>
      </c>
      <c r="E46" s="15">
        <v>2240</v>
      </c>
      <c r="F46" s="15" t="s">
        <v>162</v>
      </c>
      <c r="G46" s="33" t="s">
        <v>8</v>
      </c>
    </row>
    <row r="47" spans="1:7" x14ac:dyDescent="0.25">
      <c r="A47" s="15" t="s">
        <v>1158</v>
      </c>
      <c r="B47" s="33" t="s">
        <v>8</v>
      </c>
      <c r="C47" s="1" t="s">
        <v>398</v>
      </c>
      <c r="D47" s="1" t="s">
        <v>1159</v>
      </c>
      <c r="E47" s="15">
        <v>2010</v>
      </c>
      <c r="F47" s="15" t="s">
        <v>1158</v>
      </c>
      <c r="G47" s="33" t="s">
        <v>8</v>
      </c>
    </row>
    <row r="48" spans="1:7" x14ac:dyDescent="0.25">
      <c r="A48" s="15" t="s">
        <v>160</v>
      </c>
      <c r="B48" s="33" t="s">
        <v>8</v>
      </c>
      <c r="C48" s="1" t="s">
        <v>398</v>
      </c>
      <c r="D48" s="1" t="s">
        <v>21</v>
      </c>
      <c r="E48" s="15">
        <v>2125</v>
      </c>
      <c r="F48" s="15" t="s">
        <v>160</v>
      </c>
      <c r="G48" s="33" t="s">
        <v>8</v>
      </c>
    </row>
    <row r="49" spans="1:7" x14ac:dyDescent="0.25">
      <c r="A49" s="15" t="s">
        <v>154</v>
      </c>
      <c r="B49" s="33" t="s">
        <v>8</v>
      </c>
      <c r="C49" s="1" t="s">
        <v>398</v>
      </c>
      <c r="D49" s="1" t="s">
        <v>25</v>
      </c>
      <c r="E49" s="15">
        <v>2135</v>
      </c>
      <c r="F49" s="15" t="s">
        <v>154</v>
      </c>
      <c r="G49" s="33" t="s">
        <v>8</v>
      </c>
    </row>
    <row r="50" spans="1:7" x14ac:dyDescent="0.25">
      <c r="A50" s="15" t="s">
        <v>189</v>
      </c>
      <c r="B50" s="33" t="s">
        <v>8</v>
      </c>
      <c r="C50" s="1" t="s">
        <v>398</v>
      </c>
      <c r="D50" s="1" t="s">
        <v>81</v>
      </c>
      <c r="E50" s="15">
        <v>2165</v>
      </c>
      <c r="F50" s="15" t="s">
        <v>189</v>
      </c>
      <c r="G50" s="33" t="s">
        <v>8</v>
      </c>
    </row>
    <row r="51" spans="1:7" x14ac:dyDescent="0.25">
      <c r="A51" s="15" t="s">
        <v>158</v>
      </c>
      <c r="B51" s="33" t="s">
        <v>8</v>
      </c>
      <c r="C51" s="1" t="s">
        <v>399</v>
      </c>
      <c r="D51" s="1" t="s">
        <v>7</v>
      </c>
      <c r="E51" s="15">
        <v>3055</v>
      </c>
      <c r="F51" s="15" t="s">
        <v>158</v>
      </c>
      <c r="G51" s="33" t="s">
        <v>8</v>
      </c>
    </row>
    <row r="52" spans="1:7" x14ac:dyDescent="0.25">
      <c r="A52" s="15" t="s">
        <v>164</v>
      </c>
      <c r="B52" s="33" t="s">
        <v>8</v>
      </c>
      <c r="C52" s="1" t="s">
        <v>400</v>
      </c>
      <c r="D52" s="1" t="s">
        <v>10</v>
      </c>
      <c r="E52" s="15">
        <v>2260</v>
      </c>
      <c r="F52" s="15" t="s">
        <v>164</v>
      </c>
      <c r="G52" s="33" t="s">
        <v>8</v>
      </c>
    </row>
    <row r="53" spans="1:7" x14ac:dyDescent="0.25">
      <c r="A53" s="15" t="s">
        <v>142</v>
      </c>
      <c r="B53" s="33" t="s">
        <v>8</v>
      </c>
      <c r="C53" s="1" t="s">
        <v>401</v>
      </c>
      <c r="D53" s="1" t="s">
        <v>29</v>
      </c>
      <c r="E53" s="15">
        <v>3135</v>
      </c>
      <c r="F53" s="15" t="s">
        <v>142</v>
      </c>
      <c r="G53" s="33" t="s">
        <v>8</v>
      </c>
    </row>
    <row r="54" spans="1:7" x14ac:dyDescent="0.25">
      <c r="A54" s="15" t="s">
        <v>137</v>
      </c>
      <c r="B54" s="33" t="s">
        <v>8</v>
      </c>
      <c r="C54" s="1" t="s">
        <v>401</v>
      </c>
      <c r="D54" s="1" t="s">
        <v>57</v>
      </c>
      <c r="E54" s="15">
        <v>3103</v>
      </c>
      <c r="F54" s="15" t="s">
        <v>137</v>
      </c>
      <c r="G54" s="33" t="s">
        <v>8</v>
      </c>
    </row>
    <row r="55" spans="1:7" x14ac:dyDescent="0.25">
      <c r="A55" s="15" t="s">
        <v>163</v>
      </c>
      <c r="B55" s="33" t="s">
        <v>8</v>
      </c>
      <c r="C55" s="1" t="s">
        <v>402</v>
      </c>
      <c r="D55" s="1" t="s">
        <v>121</v>
      </c>
      <c r="E55" s="15">
        <v>2210</v>
      </c>
      <c r="F55" s="15" t="s">
        <v>163</v>
      </c>
      <c r="G55" s="33" t="s">
        <v>8</v>
      </c>
    </row>
    <row r="56" spans="1:7" x14ac:dyDescent="0.25">
      <c r="A56" s="15" t="s">
        <v>157</v>
      </c>
      <c r="B56" s="33" t="s">
        <v>8</v>
      </c>
      <c r="C56" s="1" t="s">
        <v>402</v>
      </c>
      <c r="D56" s="1" t="s">
        <v>32</v>
      </c>
      <c r="E56" s="15">
        <v>2250</v>
      </c>
      <c r="F56" s="15" t="s">
        <v>157</v>
      </c>
      <c r="G56" s="33" t="s">
        <v>8</v>
      </c>
    </row>
    <row r="57" spans="1:7" x14ac:dyDescent="0.25">
      <c r="A57" s="15" t="s">
        <v>172</v>
      </c>
      <c r="B57" s="33" t="s">
        <v>18</v>
      </c>
      <c r="C57" s="1" t="s">
        <v>403</v>
      </c>
      <c r="D57" s="1" t="s">
        <v>30</v>
      </c>
      <c r="E57" s="15">
        <v>4118</v>
      </c>
      <c r="F57" s="15" t="s">
        <v>172</v>
      </c>
      <c r="G57" s="33" t="s">
        <v>18</v>
      </c>
    </row>
    <row r="58" spans="1:7" x14ac:dyDescent="0.25">
      <c r="A58" s="15" t="s">
        <v>168</v>
      </c>
      <c r="B58" s="33" t="s">
        <v>18</v>
      </c>
      <c r="C58" s="1" t="s">
        <v>403</v>
      </c>
      <c r="D58" s="1" t="s">
        <v>75</v>
      </c>
      <c r="E58" s="15">
        <v>4147</v>
      </c>
      <c r="F58" s="15" t="s">
        <v>168</v>
      </c>
      <c r="G58" s="33" t="s">
        <v>18</v>
      </c>
    </row>
    <row r="59" spans="1:7" x14ac:dyDescent="0.25">
      <c r="A59" s="15" t="s">
        <v>167</v>
      </c>
      <c r="B59" s="33" t="s">
        <v>18</v>
      </c>
      <c r="C59" s="1" t="s">
        <v>404</v>
      </c>
      <c r="D59" s="1" t="s">
        <v>73</v>
      </c>
      <c r="E59" s="15">
        <v>4110</v>
      </c>
      <c r="F59" s="15" t="s">
        <v>167</v>
      </c>
      <c r="G59" s="33" t="s">
        <v>18</v>
      </c>
    </row>
    <row r="60" spans="1:7" x14ac:dyDescent="0.25">
      <c r="A60" s="15" t="s">
        <v>169</v>
      </c>
      <c r="B60" s="33" t="s">
        <v>18</v>
      </c>
      <c r="C60" s="1" t="s">
        <v>404</v>
      </c>
      <c r="D60" s="1" t="s">
        <v>17</v>
      </c>
      <c r="E60" s="15">
        <v>4117</v>
      </c>
      <c r="F60" s="15" t="s">
        <v>169</v>
      </c>
      <c r="G60" s="33" t="s">
        <v>18</v>
      </c>
    </row>
    <row r="61" spans="1:7" x14ac:dyDescent="0.25">
      <c r="A61" s="15" t="s">
        <v>139</v>
      </c>
      <c r="B61" s="33" t="s">
        <v>18</v>
      </c>
      <c r="C61" s="1" t="s">
        <v>405</v>
      </c>
      <c r="D61" s="1" t="s">
        <v>56</v>
      </c>
      <c r="E61" s="15">
        <v>1933</v>
      </c>
      <c r="F61" s="15" t="s">
        <v>139</v>
      </c>
      <c r="G61" s="33" t="s">
        <v>18</v>
      </c>
    </row>
    <row r="62" spans="1:7" x14ac:dyDescent="0.25">
      <c r="A62" s="15" t="s">
        <v>148</v>
      </c>
      <c r="B62" s="33" t="s">
        <v>18</v>
      </c>
      <c r="C62" s="1" t="s">
        <v>405</v>
      </c>
      <c r="D62" s="1" t="s">
        <v>50</v>
      </c>
      <c r="E62" s="15">
        <v>3160</v>
      </c>
      <c r="F62" s="15" t="s">
        <v>148</v>
      </c>
      <c r="G62" s="33" t="s">
        <v>18</v>
      </c>
    </row>
    <row r="63" spans="1:7" ht="15.75" thickBot="1" x14ac:dyDescent="0.3">
      <c r="A63" s="34" t="s">
        <v>166</v>
      </c>
      <c r="B63" s="35" t="s">
        <v>18</v>
      </c>
      <c r="C63" s="36" t="s">
        <v>406</v>
      </c>
      <c r="D63" s="36" t="s">
        <v>55</v>
      </c>
      <c r="E63" s="34">
        <v>4150</v>
      </c>
      <c r="F63" s="34" t="s">
        <v>166</v>
      </c>
      <c r="G63" s="35"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terms/"/>
    <ds:schemaRef ds:uri="http://www.w3.org/XML/1998/namespace"/>
    <ds:schemaRef ds:uri="http://schemas.microsoft.com/office/infopath/2007/PartnerControls"/>
    <ds:schemaRef ds:uri="http://purl.org/dc/dcmitype/"/>
    <ds:schemaRef ds:uri="http://schemas.microsoft.com/office/2006/documentManagement/types"/>
    <ds:schemaRef ds:uri="4e4f4788-50b0-4bfd-9b98-739002335d2d"/>
    <ds:schemaRef ds:uri="http://schemas.openxmlformats.org/package/2006/metadata/core-properties"/>
    <ds:schemaRef ds:uri="http://schemas.microsoft.com/office/2006/metadata/properties"/>
    <ds:schemaRef ds:uri="059d2c23-e1e9-4508-90cf-3522122f4e16"/>
    <ds:schemaRef ds:uri="http://purl.org/dc/elements/1.1/"/>
  </ds:schemaRefs>
</ds:datastoreItem>
</file>

<file path=customXml/itemProps2.xml><?xml version="1.0" encoding="utf-8"?>
<ds:datastoreItem xmlns:ds="http://schemas.openxmlformats.org/officeDocument/2006/customXml" ds:itemID="{4F83E05E-5586-4428-A1D2-74B926E21A10}"/>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21</vt:i4>
      </vt:variant>
    </vt:vector>
  </HeadingPairs>
  <TitlesOfParts>
    <vt:vector size="43"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Existing Customers</vt:lpstr>
      <vt:lpstr>Existing Customer Variable Exp</vt:lpstr>
      <vt:lpstr>Customer Info</vt:lpstr>
      <vt:lpstr>Variable Selling</vt:lpstr>
      <vt:lpstr>Variable Div Avgs</vt:lpstr>
      <vt:lpstr>3zip</vt:lpstr>
      <vt:lpstr>4zip</vt:lpstr>
      <vt:lpstr>5zip</vt:lpstr>
      <vt:lpstr>Sheet1</vt:lpstr>
      <vt:lpstr>Modellable Customers</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'Customer Inputs'!Print_Area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cp:lastModifiedBy>
  <cp:lastPrinted>2018-05-10T14:10:26Z</cp:lastPrinted>
  <dcterms:created xsi:type="dcterms:W3CDTF">2017-05-14T21:09:52Z</dcterms:created>
  <dcterms:modified xsi:type="dcterms:W3CDTF">2019-04-10T21:41:44Z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