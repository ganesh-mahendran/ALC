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onnections.xml" ContentType="application/vnd.openxmlformats-officedocument.spreadsheetml.connection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queryTables/queryTable1.xml" ContentType="application/vnd.openxmlformats-officedocument.spreadsheetml.queryTable+xml"/>
  <Override PartName="/xl/queryTables/queryTable7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queryTables/queryTable5.xml" ContentType="application/vnd.openxmlformats-officedocument.spreadsheetml.queryTable+xml"/>
  <Override PartName="/xl/queryTables/queryTable4.xml" ContentType="application/vnd.openxmlformats-officedocument.spreadsheetml.query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2q6026\Desktop\ALC\Archive\"/>
    </mc:Choice>
  </mc:AlternateContent>
  <xr:revisionPtr revIDLastSave="0" documentId="13_ncr:1_{C5EFB4EF-270E-47FB-AC69-C5B3EDC21F67}" xr6:coauthVersionLast="40" xr6:coauthVersionMax="40" xr10:uidLastSave="{00000000-0000-0000-0000-000000000000}"/>
  <bookViews>
    <workbookView xWindow="0" yWindow="0" windowWidth="28800" windowHeight="11865" firstSheet="5" activeTab="7" xr2:uid="{AC0A4C25-4EEE-49B4-AAE9-BC4AD5F0BE4E}"/>
  </bookViews>
  <sheets>
    <sheet name="Sheet4" sheetId="6288" r:id="rId1"/>
    <sheet name="HOS_Modellable Customers" sheetId="6311" r:id="rId2"/>
    <sheet name="Modellable Customers" sheetId="6310" r:id="rId3"/>
    <sheet name="HOS_Customer Info" sheetId="6309" r:id="rId4"/>
    <sheet name="Customer Info" sheetId="6308" r:id="rId5"/>
    <sheet name="HExisting Customer Variable Exp" sheetId="6301" r:id="rId6"/>
    <sheet name="HOS_Existing Customers" sheetId="6299" r:id="rId7"/>
    <sheet name="REFERENCE" sheetId="1" r:id="rId8"/>
    <sheet name="MARKET LIST" sheetId="47" r:id="rId9"/>
    <sheet name="MarketDividerAuto" sheetId="2369" r:id="rId10"/>
    <sheet name="PushToSharePoint" sheetId="146" state="hidden" r:id="rId11"/>
    <sheet name="Start Here" sheetId="112" r:id="rId12"/>
    <sheet name="Markets" sheetId="826" r:id="rId13"/>
  </sheets>
  <definedNames>
    <definedName name="_xlnm._FilterDatabase" localSheetId="1" hidden="1">'HOS_Modellable Customers'!$A$1:$B$1</definedName>
    <definedName name="_xlnm._FilterDatabase" localSheetId="12" hidden="1">Markets!$A$1:$E$1</definedName>
    <definedName name="_xlnm._FilterDatabase" localSheetId="2" hidden="1">'Modellable Customers'!$A$1:$B$1</definedName>
    <definedName name="ExternalData_1" localSheetId="4">'Customer Info'!$A$1:$F$5594</definedName>
    <definedName name="ExternalData_1" localSheetId="5">'HExisting Customer Variable Exp'!$A$1:$F$137</definedName>
    <definedName name="ExternalData_1" localSheetId="3">'HOS_Customer Info'!$A$1:$F$1009</definedName>
    <definedName name="ExternalData_1" localSheetId="6">'HOS_Existing Customers'!$A$1:$AB$2486</definedName>
    <definedName name="ExternalData_1" localSheetId="1">'HOS_Modellable Customers'!$A$1:$B$138</definedName>
    <definedName name="ExternalData_1" localSheetId="2">'Modellable Customers'!$A$1:$B$917</definedName>
    <definedName name="ExternalData_1" localSheetId="0">Sheet4!$A$1:$F$137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C2" i="1"/>
  <c r="B2" i="1"/>
  <c r="D59" i="146" l="1"/>
  <c r="D20" i="146" l="1"/>
  <c r="F2" i="1" l="1"/>
  <c r="D58" i="146" l="1"/>
  <c r="D57" i="146"/>
  <c r="D56" i="146"/>
  <c r="D55" i="146"/>
  <c r="D54" i="146"/>
  <c r="D53" i="146"/>
  <c r="D52" i="146"/>
  <c r="D51" i="146"/>
  <c r="D50" i="146"/>
  <c r="D49" i="146"/>
  <c r="D48" i="146"/>
  <c r="D47" i="146"/>
  <c r="D46" i="146"/>
  <c r="D45" i="146"/>
  <c r="D44" i="146"/>
  <c r="D43" i="146"/>
  <c r="D42" i="146"/>
  <c r="D41" i="146"/>
  <c r="D40" i="146"/>
  <c r="D39" i="146"/>
  <c r="D38" i="146"/>
  <c r="D37" i="146"/>
  <c r="D36" i="146"/>
  <c r="D35" i="146"/>
  <c r="D34" i="146"/>
  <c r="D33" i="146"/>
  <c r="D32" i="146"/>
  <c r="D31" i="146"/>
  <c r="D30" i="146"/>
  <c r="D29" i="146"/>
  <c r="D28" i="146"/>
  <c r="D27" i="146"/>
  <c r="D26" i="146"/>
  <c r="D25" i="146"/>
  <c r="D24" i="146"/>
  <c r="D23" i="146"/>
  <c r="D22" i="146"/>
  <c r="D21" i="146"/>
  <c r="D19" i="146"/>
  <c r="D18" i="146"/>
  <c r="D17" i="146"/>
  <c r="D16" i="146"/>
  <c r="D15" i="146"/>
  <c r="D14" i="146"/>
  <c r="D13" i="146"/>
  <c r="D12" i="146"/>
  <c r="D11" i="146"/>
  <c r="D10" i="146"/>
  <c r="D9" i="146"/>
  <c r="D8" i="146"/>
  <c r="D7" i="146"/>
  <c r="D6" i="146"/>
  <c r="D5" i="146"/>
  <c r="D4" i="146"/>
  <c r="D3" i="146"/>
  <c r="D2" i="146"/>
  <c r="E2" i="1" l="1"/>
  <c r="I2" i="1"/>
  <c r="I3" i="1" s="1"/>
  <c r="I4" i="1" s="1"/>
  <c r="I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500B2B-0387-4827-B772-446084AB31AE}" name="Connection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<sst xmlns="http://schemas.openxmlformats.org/spreadsheetml/2006/main" count="87793" uniqueCount="20486">
  <si>
    <t>CHICAGO</t>
  </si>
  <si>
    <t>Time To Run</t>
  </si>
  <si>
    <t>2018Q4</t>
  </si>
  <si>
    <t>2018Q3</t>
  </si>
  <si>
    <t>2018Q2</t>
  </si>
  <si>
    <t>2018Q1</t>
  </si>
  <si>
    <t>Markets To Run</t>
  </si>
  <si>
    <t>ROANOKE</t>
  </si>
  <si>
    <t>MONTGOMERY</t>
  </si>
  <si>
    <t>SIOUX FALLS</t>
  </si>
  <si>
    <t>OMAHA</t>
  </si>
  <si>
    <t>JACKSON</t>
  </si>
  <si>
    <t>F. CHRISTIANA</t>
  </si>
  <si>
    <t>ALBANY</t>
  </si>
  <si>
    <t>ALBUQUERQUE</t>
  </si>
  <si>
    <t>ALLENTOWN</t>
  </si>
  <si>
    <t>ATLANTA</t>
  </si>
  <si>
    <t>AUSTIN</t>
  </si>
  <si>
    <t>BALTIMORE</t>
  </si>
  <si>
    <t>BISMARCK</t>
  </si>
  <si>
    <t>BOCA RATON</t>
  </si>
  <si>
    <t>BOSTON</t>
  </si>
  <si>
    <t>BUFFALO</t>
  </si>
  <si>
    <t>CHARLOTTE</t>
  </si>
  <si>
    <t>CINCINNATI</t>
  </si>
  <si>
    <t>CLEVELAND</t>
  </si>
  <si>
    <t>COLUMBIA</t>
  </si>
  <si>
    <t>CONNECTICUT</t>
  </si>
  <si>
    <t>CORONA</t>
  </si>
  <si>
    <t>DALLAS</t>
  </si>
  <si>
    <t>DENVER</t>
  </si>
  <si>
    <t>DETROIT</t>
  </si>
  <si>
    <t>FORT MILL</t>
  </si>
  <si>
    <t>GRAND FORKS</t>
  </si>
  <si>
    <t>GRAND ISLAND</t>
  </si>
  <si>
    <t>HOUSTON</t>
  </si>
  <si>
    <t>INDIANAPOLIS</t>
  </si>
  <si>
    <t>IOWA</t>
  </si>
  <si>
    <t>KANSAS CITY</t>
  </si>
  <si>
    <t>KNOXVILLE</t>
  </si>
  <si>
    <t>LAS VEGAS</t>
  </si>
  <si>
    <t>LITTLE ROCK</t>
  </si>
  <si>
    <t>LOS ANGELES</t>
  </si>
  <si>
    <t>LUBBOCK</t>
  </si>
  <si>
    <t>MANASSAS</t>
  </si>
  <si>
    <t>MEMPHIS</t>
  </si>
  <si>
    <t>METRO NEW YORK</t>
  </si>
  <si>
    <t>MINNESOTA</t>
  </si>
  <si>
    <t>NORCROSS</t>
  </si>
  <si>
    <t>OKLAHOMA CITY</t>
  </si>
  <si>
    <t>PHILADELPHIA - BRIDGEPORT</t>
  </si>
  <si>
    <t>PHILADELPHIA - SWEDESBORO</t>
  </si>
  <si>
    <t>PHOENIX</t>
  </si>
  <si>
    <t>PITTSTON</t>
  </si>
  <si>
    <t>PORT ORANGE</t>
  </si>
  <si>
    <t>RALEIGH</t>
  </si>
  <si>
    <t>RENO</t>
  </si>
  <si>
    <t>RHODE ISLAND</t>
  </si>
  <si>
    <t>SALEM</t>
  </si>
  <si>
    <t>SALT LAKE CITY</t>
  </si>
  <si>
    <t>SAN DIEGO</t>
  </si>
  <si>
    <t>SAN FRANCISCO</t>
  </si>
  <si>
    <t>SEATTLE</t>
  </si>
  <si>
    <t>ST.LOUIS</t>
  </si>
  <si>
    <t>STREATOR</t>
  </si>
  <si>
    <t>TAMPA</t>
  </si>
  <si>
    <t>WAUKESHA</t>
  </si>
  <si>
    <t>WEST VIRGINIA</t>
  </si>
  <si>
    <t>WESTERN PA - ALTOONA</t>
  </si>
  <si>
    <t>WESTERN PA - GREENSBURG</t>
  </si>
  <si>
    <t>Existing Customers</t>
  </si>
  <si>
    <t>Existing Customer Variable Exp</t>
  </si>
  <si>
    <t>Variable Selling</t>
  </si>
  <si>
    <t>Variable Div Avgs</t>
  </si>
  <si>
    <t>5zip</t>
  </si>
  <si>
    <t>4zip</t>
  </si>
  <si>
    <t>3zip</t>
  </si>
  <si>
    <t>2019Q1</t>
  </si>
  <si>
    <t>Customer Info</t>
  </si>
  <si>
    <t>YES</t>
  </si>
  <si>
    <t>Minneapolis</t>
  </si>
  <si>
    <t>Philadelphia</t>
  </si>
  <si>
    <t>St Louis</t>
  </si>
  <si>
    <t>Iowa City</t>
  </si>
  <si>
    <t>MARKET NAME</t>
  </si>
  <si>
    <t>IN SHAREPOINT?</t>
  </si>
  <si>
    <t>Alternate Folder Name</t>
  </si>
  <si>
    <t>Modellable Customers</t>
  </si>
  <si>
    <t>Altoona</t>
  </si>
  <si>
    <t>Greensburg</t>
  </si>
  <si>
    <t>ADD?</t>
  </si>
  <si>
    <t>Folder Name Actual</t>
  </si>
  <si>
    <t>WEST</t>
  </si>
  <si>
    <t>4I</t>
  </si>
  <si>
    <t>SOUTHWEST</t>
  </si>
  <si>
    <t>3M</t>
  </si>
  <si>
    <t>4J</t>
  </si>
  <si>
    <t>SOUTHERN CALIFORNIA</t>
  </si>
  <si>
    <t>4C</t>
  </si>
  <si>
    <t>4U</t>
  </si>
  <si>
    <t>6V</t>
  </si>
  <si>
    <t>ROCKY MOUNTAIN</t>
  </si>
  <si>
    <t>8V</t>
  </si>
  <si>
    <t>4O</t>
  </si>
  <si>
    <t>NORTHERN CALIFORNIA</t>
  </si>
  <si>
    <t>4R</t>
  </si>
  <si>
    <t>4Q</t>
  </si>
  <si>
    <t>MOUNTAIN WEST</t>
  </si>
  <si>
    <t>4H</t>
  </si>
  <si>
    <t>SOUTHEAST</t>
  </si>
  <si>
    <t>6B</t>
  </si>
  <si>
    <t>WESTERN NORTH CAROLINA</t>
  </si>
  <si>
    <t>5E</t>
  </si>
  <si>
    <t>9D</t>
  </si>
  <si>
    <t>SOUTH FLORIDA</t>
  </si>
  <si>
    <t>8N</t>
  </si>
  <si>
    <t>5D</t>
  </si>
  <si>
    <t>SOUTH CAROLINA</t>
  </si>
  <si>
    <t>5Z</t>
  </si>
  <si>
    <t>NORTH FLORIDA</t>
  </si>
  <si>
    <t>2L</t>
  </si>
  <si>
    <t>METRO DC</t>
  </si>
  <si>
    <t>6G</t>
  </si>
  <si>
    <t>5O</t>
  </si>
  <si>
    <t>2C</t>
  </si>
  <si>
    <t>5G</t>
  </si>
  <si>
    <t>EASTERN NORTH CAROLINA</t>
  </si>
  <si>
    <t>SOUTH</t>
  </si>
  <si>
    <t>6J</t>
  </si>
  <si>
    <t>TEXHOMA</t>
  </si>
  <si>
    <t>6W</t>
  </si>
  <si>
    <t>5T</t>
  </si>
  <si>
    <t>SOUTHERN LOUISIANA AREA</t>
  </si>
  <si>
    <t>6N</t>
  </si>
  <si>
    <t>SOUTH TEXAS</t>
  </si>
  <si>
    <t>6Y</t>
  </si>
  <si>
    <t>6Z</t>
  </si>
  <si>
    <t>8O</t>
  </si>
  <si>
    <t>MID-SOUTH</t>
  </si>
  <si>
    <t>6H</t>
  </si>
  <si>
    <t>5I</t>
  </si>
  <si>
    <t>5Y</t>
  </si>
  <si>
    <t>GULF STATES</t>
  </si>
  <si>
    <t>6U</t>
  </si>
  <si>
    <t>8S</t>
  </si>
  <si>
    <t>BLUFF STATES</t>
  </si>
  <si>
    <t>6D</t>
  </si>
  <si>
    <t>NORTHEAST</t>
  </si>
  <si>
    <t>8E</t>
  </si>
  <si>
    <t>WESTERN PA</t>
  </si>
  <si>
    <t>2H</t>
  </si>
  <si>
    <t>2R</t>
  </si>
  <si>
    <t>UPSTATE NEW YORK</t>
  </si>
  <si>
    <t>9B</t>
  </si>
  <si>
    <t>9F</t>
  </si>
  <si>
    <t>SOUTHERN NEW ENGLAND</t>
  </si>
  <si>
    <t>2G</t>
  </si>
  <si>
    <t>2O</t>
  </si>
  <si>
    <t>NORTHERN NEW ENGLAND</t>
  </si>
  <si>
    <t>2N</t>
  </si>
  <si>
    <t>METRO NY</t>
  </si>
  <si>
    <t>2I</t>
  </si>
  <si>
    <t>2Z</t>
  </si>
  <si>
    <t>DELAWARE VALLEY</t>
  </si>
  <si>
    <t>4V</t>
  </si>
  <si>
    <t>2J</t>
  </si>
  <si>
    <t>MIDWEST</t>
  </si>
  <si>
    <t>3F</t>
  </si>
  <si>
    <t>UPPER MIDWEST</t>
  </si>
  <si>
    <t>6F</t>
  </si>
  <si>
    <t>3V</t>
  </si>
  <si>
    <t>OHIO VALLEY</t>
  </si>
  <si>
    <t>3W</t>
  </si>
  <si>
    <t>9U</t>
  </si>
  <si>
    <t>MISSOURI</t>
  </si>
  <si>
    <t>8U</t>
  </si>
  <si>
    <t>3D</t>
  </si>
  <si>
    <t>WISCONSIN</t>
  </si>
  <si>
    <t>LAKE MICHIGAN</t>
  </si>
  <si>
    <t>3E</t>
  </si>
  <si>
    <t>3K</t>
  </si>
  <si>
    <t>3Y</t>
  </si>
  <si>
    <t>8L</t>
  </si>
  <si>
    <t>LAKE ERIE</t>
  </si>
  <si>
    <t>3Z</t>
  </si>
  <si>
    <t>9I</t>
  </si>
  <si>
    <t>GREAT PLAINS</t>
  </si>
  <si>
    <t>6I</t>
  </si>
  <si>
    <t>6A</t>
  </si>
  <si>
    <t>3S</t>
  </si>
  <si>
    <t>DAKOTAS</t>
  </si>
  <si>
    <t>6S</t>
  </si>
  <si>
    <t>SIOUX CITY</t>
  </si>
  <si>
    <t>3L</t>
  </si>
  <si>
    <t>3J</t>
  </si>
  <si>
    <t>Region Name</t>
  </si>
  <si>
    <t>Branch Code</t>
  </si>
  <si>
    <t>Market Number</t>
  </si>
  <si>
    <t>Market Name</t>
  </si>
  <si>
    <t>Area Name</t>
  </si>
  <si>
    <t>SQL REF</t>
  </si>
  <si>
    <t>FOLDER TO SAVE</t>
  </si>
  <si>
    <t>NAME OF FILE</t>
  </si>
  <si>
    <t>SharePointFolder</t>
  </si>
  <si>
    <t>SharePointFile</t>
  </si>
  <si>
    <t>CUST_NBR</t>
  </si>
  <si>
    <t>CUST_NM</t>
  </si>
  <si>
    <t>ZIP_CODE</t>
  </si>
  <si>
    <t>CITY</t>
  </si>
  <si>
    <t>ADDR_LN_1</t>
  </si>
  <si>
    <t>ST</t>
  </si>
  <si>
    <t>CLINTON</t>
  </si>
  <si>
    <t>CA</t>
  </si>
  <si>
    <t>BURLINGTON</t>
  </si>
  <si>
    <t>LAKEWOOD</t>
  </si>
  <si>
    <t>TONY'S PIZZA</t>
  </si>
  <si>
    <t>Bismark</t>
  </si>
  <si>
    <t>Quarter 1 2019*</t>
  </si>
  <si>
    <t>MADISON</t>
  </si>
  <si>
    <t>BERLIN</t>
  </si>
  <si>
    <t>BRISTOL</t>
  </si>
  <si>
    <t>THE VAULT</t>
  </si>
  <si>
    <t>PLAINFIELD</t>
  </si>
  <si>
    <t>UNION</t>
  </si>
  <si>
    <t>QUALITY INN</t>
  </si>
  <si>
    <t>GEORGIO'S PIZZA</t>
  </si>
  <si>
    <t>COUNTRY KITCHEN</t>
  </si>
  <si>
    <t>THE PUB</t>
  </si>
  <si>
    <t>FL</t>
  </si>
  <si>
    <t>GA</t>
  </si>
  <si>
    <t>MN</t>
  </si>
  <si>
    <t>TX</t>
  </si>
  <si>
    <t>PARK RIDGE</t>
  </si>
  <si>
    <t>BELVIDERE</t>
  </si>
  <si>
    <t>RIVERSIDE</t>
  </si>
  <si>
    <t>SUNRISE RESTAURANT</t>
  </si>
  <si>
    <t>FREEPORT</t>
  </si>
  <si>
    <t>ELMHURST</t>
  </si>
  <si>
    <t>LINDENHURST</t>
  </si>
  <si>
    <t>HIGHLAND PARK</t>
  </si>
  <si>
    <t>TONY'S CAFE</t>
  </si>
  <si>
    <t>WADSWORTH</t>
  </si>
  <si>
    <t>CHATTERBOX</t>
  </si>
  <si>
    <t>CASA BIANCA</t>
  </si>
  <si>
    <t>ANNIE'S CAFE</t>
  </si>
  <si>
    <t>RICHMOND</t>
  </si>
  <si>
    <t>ANTIOCH</t>
  </si>
  <si>
    <t>FREMONT</t>
  </si>
  <si>
    <t>DIXON</t>
  </si>
  <si>
    <t>LA HACIENDA</t>
  </si>
  <si>
    <t>PLYMOUTH</t>
  </si>
  <si>
    <t>CHINA GARDEN</t>
  </si>
  <si>
    <t>RIPON</t>
  </si>
  <si>
    <t>LAS PALMAS</t>
  </si>
  <si>
    <t>VILLAGE CAFE</t>
  </si>
  <si>
    <t>PLANO</t>
  </si>
  <si>
    <t>LA CABANA</t>
  </si>
  <si>
    <t>HOLIDAY INN EXPRESS</t>
  </si>
  <si>
    <t>LAKE FOREST</t>
  </si>
  <si>
    <t>VILLAGE PIZZA</t>
  </si>
  <si>
    <t>DAVENPORT</t>
  </si>
  <si>
    <t>SPORTS CORNER</t>
  </si>
  <si>
    <t>MONA LISA</t>
  </si>
  <si>
    <t>100 W MAIN ST</t>
  </si>
  <si>
    <t>EL MARIACHI</t>
  </si>
  <si>
    <t>IA</t>
  </si>
  <si>
    <t>LYONS</t>
  </si>
  <si>
    <t>ROUND LAKE</t>
  </si>
  <si>
    <t>SPORTS PAGE BAR &amp; GRILL</t>
  </si>
  <si>
    <t>IN</t>
  </si>
  <si>
    <t>105 E MAIN ST</t>
  </si>
  <si>
    <t>IL</t>
  </si>
  <si>
    <t>HIGHLAND</t>
  </si>
  <si>
    <t>119 S MAIN ST</t>
  </si>
  <si>
    <t>430 N MAIN ST</t>
  </si>
  <si>
    <t>201 MAIN ST</t>
  </si>
  <si>
    <t>111 N MAIN ST</t>
  </si>
  <si>
    <t>OUR PLACE</t>
  </si>
  <si>
    <t>WINFIELD</t>
  </si>
  <si>
    <t>NEW CHINA BUFFET</t>
  </si>
  <si>
    <t>ASIAN BUFFET</t>
  </si>
  <si>
    <t>CHINA WOK</t>
  </si>
  <si>
    <t>BROOKFIELD</t>
  </si>
  <si>
    <t>501 MAIN ST</t>
  </si>
  <si>
    <t>SUPER CHINA BUFFET</t>
  </si>
  <si>
    <t>TEST CUSTOMER</t>
  </si>
  <si>
    <t>MICHAELS RESTAURANT</t>
  </si>
  <si>
    <t>CHAMPAIGN</t>
  </si>
  <si>
    <t>ROCKFORD</t>
  </si>
  <si>
    <t>PEORIA</t>
  </si>
  <si>
    <t>61115</t>
  </si>
  <si>
    <t>MACHESNEY PARK</t>
  </si>
  <si>
    <t>60404</t>
  </si>
  <si>
    <t>SHOREWOOD</t>
  </si>
  <si>
    <t>60435</t>
  </si>
  <si>
    <t>JOLIET</t>
  </si>
  <si>
    <t>61611</t>
  </si>
  <si>
    <t>60178</t>
  </si>
  <si>
    <t>SYCAMORE</t>
  </si>
  <si>
    <t>61112</t>
  </si>
  <si>
    <t>61108</t>
  </si>
  <si>
    <t>61111</t>
  </si>
  <si>
    <t>LOVES PARK</t>
  </si>
  <si>
    <t>61021</t>
  </si>
  <si>
    <t>61054</t>
  </si>
  <si>
    <t>MOUNT MORRIS</t>
  </si>
  <si>
    <t>61032</t>
  </si>
  <si>
    <t>60152</t>
  </si>
  <si>
    <t>MARENGO</t>
  </si>
  <si>
    <t>60410</t>
  </si>
  <si>
    <t>CHANNAHON</t>
  </si>
  <si>
    <t>60148</t>
  </si>
  <si>
    <t>LOMBARD</t>
  </si>
  <si>
    <t>60544</t>
  </si>
  <si>
    <t>NAPERVILLE</t>
  </si>
  <si>
    <t>61103</t>
  </si>
  <si>
    <t>61109</t>
  </si>
  <si>
    <t>60714</t>
  </si>
  <si>
    <t>60031</t>
  </si>
  <si>
    <t>60610</t>
  </si>
  <si>
    <t>53719</t>
  </si>
  <si>
    <t>60061</t>
  </si>
  <si>
    <t>53226</t>
  </si>
  <si>
    <t>60611</t>
  </si>
  <si>
    <t>60014</t>
  </si>
  <si>
    <t>60614</t>
  </si>
  <si>
    <t>60025</t>
  </si>
  <si>
    <t>60188</t>
  </si>
  <si>
    <t>61008</t>
  </si>
  <si>
    <t>60068</t>
  </si>
  <si>
    <t>61038</t>
  </si>
  <si>
    <t>61061</t>
  </si>
  <si>
    <t>60634</t>
  </si>
  <si>
    <t>60018</t>
  </si>
  <si>
    <t>60067</t>
  </si>
  <si>
    <t>60101</t>
  </si>
  <si>
    <t>60062</t>
  </si>
  <si>
    <t>53703</t>
  </si>
  <si>
    <t>53202</t>
  </si>
  <si>
    <t>60106</t>
  </si>
  <si>
    <t>NILES</t>
  </si>
  <si>
    <t>WI</t>
  </si>
  <si>
    <t>IOWA CITY</t>
  </si>
  <si>
    <t>OREGON</t>
  </si>
  <si>
    <t>52240</t>
  </si>
  <si>
    <t>LOWELL</t>
  </si>
  <si>
    <t>TJ'S BAR &amp; GRILL</t>
  </si>
  <si>
    <t>CAROL STREAM</t>
  </si>
  <si>
    <t>FIESTA PALACE</t>
  </si>
  <si>
    <t>MOUNT PLEASANT</t>
  </si>
  <si>
    <t>HARVARD</t>
  </si>
  <si>
    <t>60033</t>
  </si>
  <si>
    <t>60540</t>
  </si>
  <si>
    <t>STEGER</t>
  </si>
  <si>
    <t>60475</t>
  </si>
  <si>
    <t>60613</t>
  </si>
  <si>
    <t>60657</t>
  </si>
  <si>
    <t>WAUKEGAN</t>
  </si>
  <si>
    <t>60085</t>
  </si>
  <si>
    <t>FILLING STATION</t>
  </si>
  <si>
    <t>BACKYARD GRILL</t>
  </si>
  <si>
    <t>ELGIN</t>
  </si>
  <si>
    <t>HOMESTEAD</t>
  </si>
  <si>
    <t>WHEATON</t>
  </si>
  <si>
    <t>60187</t>
  </si>
  <si>
    <t>7200 HARRISON AVE</t>
  </si>
  <si>
    <t>1427 W GALENA AVE</t>
  </si>
  <si>
    <t>HARWOOD HEIGHTS</t>
  </si>
  <si>
    <t>60706</t>
  </si>
  <si>
    <t>FIESTA MEXICANA</t>
  </si>
  <si>
    <t>60563</t>
  </si>
  <si>
    <t>BUFFET CITY</t>
  </si>
  <si>
    <t>LAS MARGARITAS</t>
  </si>
  <si>
    <t>DUNDEE</t>
  </si>
  <si>
    <t>108 MAIN ST</t>
  </si>
  <si>
    <t>MOM'S PLACE</t>
  </si>
  <si>
    <t>RACINE</t>
  </si>
  <si>
    <t>PORTAGE</t>
  </si>
  <si>
    <t>MILWAUKEE</t>
  </si>
  <si>
    <t>OSHKOSH</t>
  </si>
  <si>
    <t>53105</t>
  </si>
  <si>
    <t>54901</t>
  </si>
  <si>
    <t>53705</t>
  </si>
  <si>
    <t>53143</t>
  </si>
  <si>
    <t>KENOSHA</t>
  </si>
  <si>
    <t>53129</t>
  </si>
  <si>
    <t>GREENDALE</t>
  </si>
  <si>
    <t>53147</t>
  </si>
  <si>
    <t>LAKE GENEVA</t>
  </si>
  <si>
    <t>53203</t>
  </si>
  <si>
    <t>53140</t>
  </si>
  <si>
    <t>GREENFIELD</t>
  </si>
  <si>
    <t>SONNY'S</t>
  </si>
  <si>
    <t>53207</t>
  </si>
  <si>
    <t>53191</t>
  </si>
  <si>
    <t>WILLIAMS BAY</t>
  </si>
  <si>
    <t>53005</t>
  </si>
  <si>
    <t>53224</t>
  </si>
  <si>
    <t>54220</t>
  </si>
  <si>
    <t>MANITOWOC</t>
  </si>
  <si>
    <t>FRED'S DINER</t>
  </si>
  <si>
    <t>60030</t>
  </si>
  <si>
    <t>GRAYSLAKE</t>
  </si>
  <si>
    <t>225 CENTER STREET</t>
  </si>
  <si>
    <t>60096</t>
  </si>
  <si>
    <t>WINTHROP HARBOR</t>
  </si>
  <si>
    <t>MERCHANT</t>
  </si>
  <si>
    <t>PRIMO</t>
  </si>
  <si>
    <t>WAUWATOSA</t>
  </si>
  <si>
    <t>JANESVILLE</t>
  </si>
  <si>
    <t>MONONA</t>
  </si>
  <si>
    <t>53214</t>
  </si>
  <si>
    <t>53220</t>
  </si>
  <si>
    <t>60071</t>
  </si>
  <si>
    <t>53545</t>
  </si>
  <si>
    <t>53406</t>
  </si>
  <si>
    <t>FOX LAKE</t>
  </si>
  <si>
    <t>WEST ALLIS</t>
  </si>
  <si>
    <t>54971</t>
  </si>
  <si>
    <t>53716</t>
  </si>
  <si>
    <t>53142</t>
  </si>
  <si>
    <t>TAILGATORS</t>
  </si>
  <si>
    <t>53181</t>
  </si>
  <si>
    <t>53714</t>
  </si>
  <si>
    <t>60051</t>
  </si>
  <si>
    <t>60081</t>
  </si>
  <si>
    <t>60002</t>
  </si>
  <si>
    <t>60126</t>
  </si>
  <si>
    <t>60047</t>
  </si>
  <si>
    <t>53168</t>
  </si>
  <si>
    <t>53109</t>
  </si>
  <si>
    <t>60618</t>
  </si>
  <si>
    <t>60630</t>
  </si>
  <si>
    <t>60099</t>
  </si>
  <si>
    <t>60091</t>
  </si>
  <si>
    <t>60050</t>
  </si>
  <si>
    <t>60622</t>
  </si>
  <si>
    <t>60173</t>
  </si>
  <si>
    <t>60453</t>
  </si>
  <si>
    <t>60020</t>
  </si>
  <si>
    <t>WEST CHICAGO</t>
  </si>
  <si>
    <t>60185</t>
  </si>
  <si>
    <t>HEBRON</t>
  </si>
  <si>
    <t>CAFE ROMEO</t>
  </si>
  <si>
    <t>DARIEN</t>
  </si>
  <si>
    <t>GOLDEN FLAME</t>
  </si>
  <si>
    <t>MUNDELEIN</t>
  </si>
  <si>
    <t>60060</t>
  </si>
  <si>
    <t>NORTH CHICAGO</t>
  </si>
  <si>
    <t>60064</t>
  </si>
  <si>
    <t>GLENVIEW</t>
  </si>
  <si>
    <t>BEACH PARK</t>
  </si>
  <si>
    <t>60087</t>
  </si>
  <si>
    <t>SKOKIE</t>
  </si>
  <si>
    <t>60077</t>
  </si>
  <si>
    <t>TWIN LAKES</t>
  </si>
  <si>
    <t>MANGIA MANGIA</t>
  </si>
  <si>
    <t>MI</t>
  </si>
  <si>
    <t>PAPA BELLO PIZZA</t>
  </si>
  <si>
    <t>BACKYARD GRILLE</t>
  </si>
  <si>
    <t>MCHENRY</t>
  </si>
  <si>
    <t>NORTHBROOK</t>
  </si>
  <si>
    <t>TIN ROOF</t>
  </si>
  <si>
    <t>AFFRESCO INC</t>
  </si>
  <si>
    <t>11 N NORTHWEST HWY</t>
  </si>
  <si>
    <t>LEONIDAS CAFE</t>
  </si>
  <si>
    <t>WILMETTE</t>
  </si>
  <si>
    <t>899 MAIN ST</t>
  </si>
  <si>
    <t>GOLDEN BASKET</t>
  </si>
  <si>
    <t>LAKE VILLA</t>
  </si>
  <si>
    <t>60046</t>
  </si>
  <si>
    <t>FRANKSVILLE</t>
  </si>
  <si>
    <t>GURNEE</t>
  </si>
  <si>
    <t>ZION</t>
  </si>
  <si>
    <t>PROSPECT HEIGHTS</t>
  </si>
  <si>
    <t>60070</t>
  </si>
  <si>
    <t>PADDOCK LAKE</t>
  </si>
  <si>
    <t>1541 BELVIDERE RD</t>
  </si>
  <si>
    <t>60180</t>
  </si>
  <si>
    <t>1 N MAIN ST</t>
  </si>
  <si>
    <t>60073</t>
  </si>
  <si>
    <t>819 HARLEM AVE</t>
  </si>
  <si>
    <t>FOREST PARK</t>
  </si>
  <si>
    <t>60130</t>
  </si>
  <si>
    <t>RAINBOW RESTAURANT</t>
  </si>
  <si>
    <t>CAMP LAKE</t>
  </si>
  <si>
    <t>1015 HARLEM AVE</t>
  </si>
  <si>
    <t>SOUTHRIDGE MALL</t>
  </si>
  <si>
    <t>LINCOLNWOOD</t>
  </si>
  <si>
    <t>60712</t>
  </si>
  <si>
    <t>LIBERTYVILLE</t>
  </si>
  <si>
    <t>60048</t>
  </si>
  <si>
    <t>DOWNERS GROVE</t>
  </si>
  <si>
    <t>60515</t>
  </si>
  <si>
    <t>11183670</t>
  </si>
  <si>
    <t>JESTERS DOUBLE D PIZZA</t>
  </si>
  <si>
    <t>1500 N LEWIS AV</t>
  </si>
  <si>
    <t>PYRAMID CLUB</t>
  </si>
  <si>
    <t>EVANSTON</t>
  </si>
  <si>
    <t>60202</t>
  </si>
  <si>
    <t>SOUTH ELGIN</t>
  </si>
  <si>
    <t>60177</t>
  </si>
  <si>
    <t>SPRING GROVE</t>
  </si>
  <si>
    <t>ROLLING MEADOWS</t>
  </si>
  <si>
    <t>60008</t>
  </si>
  <si>
    <t>TOMMY'S ITALIAN BEEF</t>
  </si>
  <si>
    <t>MOUNT PROSPECT</t>
  </si>
  <si>
    <t>60056</t>
  </si>
  <si>
    <t>BACCHUS RESTAURANT</t>
  </si>
  <si>
    <t>PARKWAY RESTAURANT</t>
  </si>
  <si>
    <t>SCHAUMBURG</t>
  </si>
  <si>
    <t>60194</t>
  </si>
  <si>
    <t>60190</t>
  </si>
  <si>
    <t>GLORIA JEANS COFFEES</t>
  </si>
  <si>
    <t>1101 BROADWAY</t>
  </si>
  <si>
    <t>4200 IL-173</t>
  </si>
  <si>
    <t>CHASERS BAR AND GRILL</t>
  </si>
  <si>
    <t>HOG HAVEN</t>
  </si>
  <si>
    <t>OVERTIME SPORTS BAR</t>
  </si>
  <si>
    <t>CRYSTAL LAKE</t>
  </si>
  <si>
    <t>TRINITY HALL</t>
  </si>
  <si>
    <t>MAYFAIR MALL</t>
  </si>
  <si>
    <t>PITA EXPRESS</t>
  </si>
  <si>
    <t>ALEXANDER'S RESTAURANT</t>
  </si>
  <si>
    <t>60045</t>
  </si>
  <si>
    <t>RED ROOSTER</t>
  </si>
  <si>
    <t>THE GREAT ESCAPE</t>
  </si>
  <si>
    <t>11198926</t>
  </si>
  <si>
    <t>POTESTAS PIZZA</t>
  </si>
  <si>
    <t>434 S GREEN BAY RD</t>
  </si>
  <si>
    <t>NORRIDGE</t>
  </si>
  <si>
    <t>60631</t>
  </si>
  <si>
    <t>CHINA ONE BUFFET</t>
  </si>
  <si>
    <t>GARDEN PRAIRIE</t>
  </si>
  <si>
    <t>3350 N HARLEM AVE</t>
  </si>
  <si>
    <t>STEVENSVILLE</t>
  </si>
  <si>
    <t>49127</t>
  </si>
  <si>
    <t>BAMBINO'S FAMILY RESTAURA</t>
  </si>
  <si>
    <t>37 E 34TH ST</t>
  </si>
  <si>
    <t>EL PUEBLITO</t>
  </si>
  <si>
    <t>BENSENVILLE</t>
  </si>
  <si>
    <t>MIA'S</t>
  </si>
  <si>
    <t>LUKE'S OF MUNDELEIN</t>
  </si>
  <si>
    <t>BAILEYS BAR AND GRILL</t>
  </si>
  <si>
    <t>60035</t>
  </si>
  <si>
    <t>SMOKIN' T'S</t>
  </si>
  <si>
    <t>3976 IL ROUTE 22 UNIT A</t>
  </si>
  <si>
    <t>LONG GROVE</t>
  </si>
  <si>
    <t>60083</t>
  </si>
  <si>
    <t>430 MAIN ST</t>
  </si>
  <si>
    <t>GALVINS PUBLIC HOUSE</t>
  </si>
  <si>
    <t>HARP &amp; FIDDLE</t>
  </si>
  <si>
    <t>EDEN PRAIRIE</t>
  </si>
  <si>
    <t>55344</t>
  </si>
  <si>
    <t>EL JARDIN RESTAURANT</t>
  </si>
  <si>
    <t>GLAZE TERIYAKI</t>
  </si>
  <si>
    <t>DEERFIELD</t>
  </si>
  <si>
    <t>121 E MAIN ST</t>
  </si>
  <si>
    <t>RAJUN CAJUN</t>
  </si>
  <si>
    <t>109 N MAIN ST</t>
  </si>
  <si>
    <t>GRAHAM ELLIOTT BISTRO</t>
  </si>
  <si>
    <t>841 W. RANDOLPH ST</t>
  </si>
  <si>
    <t>60607</t>
  </si>
  <si>
    <t>CADDY SHACK</t>
  </si>
  <si>
    <t>ROSIE'S</t>
  </si>
  <si>
    <t>20 E SCRANTON AVE</t>
  </si>
  <si>
    <t>LAKE BLUFF</t>
  </si>
  <si>
    <t>60044</t>
  </si>
  <si>
    <t>STARLINE FACTORY</t>
  </si>
  <si>
    <t>300 FRONT STREET</t>
  </si>
  <si>
    <t>KENOSHA COUNTRY CLUB</t>
  </si>
  <si>
    <t>7910 328TH AVE</t>
  </si>
  <si>
    <t>ADDISON</t>
  </si>
  <si>
    <t>CAPTAIN'S QUARTERS</t>
  </si>
  <si>
    <t>COACHES CORNER</t>
  </si>
  <si>
    <t>60647</t>
  </si>
  <si>
    <t>KAT'S CAFE</t>
  </si>
  <si>
    <t>EL MATADOR</t>
  </si>
  <si>
    <t>VERNON HILLS</t>
  </si>
  <si>
    <t>MELI CAFE</t>
  </si>
  <si>
    <t>1158 PRAIRIE DR</t>
  </si>
  <si>
    <t>LAREDO'S MEXICAN REST.</t>
  </si>
  <si>
    <t>60120</t>
  </si>
  <si>
    <t>PARADISE CAFE</t>
  </si>
  <si>
    <t>COUNTRY CLUB HILLS</t>
  </si>
  <si>
    <t>60478</t>
  </si>
  <si>
    <t>PALATINE</t>
  </si>
  <si>
    <t>110 S MAIN ST</t>
  </si>
  <si>
    <t>BILLYS</t>
  </si>
  <si>
    <t>3 BROTHERS RESTAURANT</t>
  </si>
  <si>
    <t>PIZZA PANTRY</t>
  </si>
  <si>
    <t>PANCAKE CAFE</t>
  </si>
  <si>
    <t>4113 MAIN ST</t>
  </si>
  <si>
    <t>60707</t>
  </si>
  <si>
    <t>RIDGEVIEW GRILL</t>
  </si>
  <si>
    <t>5604 MILL ST</t>
  </si>
  <si>
    <t>38342 N. GREEN BAY ROAD</t>
  </si>
  <si>
    <t>WINGERS</t>
  </si>
  <si>
    <t>GLEN ELLYN</t>
  </si>
  <si>
    <t>60137</t>
  </si>
  <si>
    <t>305 W MAIN ST</t>
  </si>
  <si>
    <t>RADISSON HOTEL</t>
  </si>
  <si>
    <t>EL JARDIN</t>
  </si>
  <si>
    <t>DAVID'S BISTRO</t>
  </si>
  <si>
    <t>883 MAIN ST</t>
  </si>
  <si>
    <t>GREEK ISLAND</t>
  </si>
  <si>
    <t>207 W. MAIN STREET</t>
  </si>
  <si>
    <t>CASEY MORANS</t>
  </si>
  <si>
    <t>3660 N CLARK ST.</t>
  </si>
  <si>
    <t>800 W FOND DU LAC ST</t>
  </si>
  <si>
    <t>GLENDALE HEIGHTS</t>
  </si>
  <si>
    <t>60139</t>
  </si>
  <si>
    <t>215 N MAIN ST</t>
  </si>
  <si>
    <t>CAPTAIN PORKY'S</t>
  </si>
  <si>
    <t>PRINCESS CAFE</t>
  </si>
  <si>
    <t>LAKESIDE FOODS</t>
  </si>
  <si>
    <t>DES PLAINES</t>
  </si>
  <si>
    <t>OAK LAWN</t>
  </si>
  <si>
    <t>OH MY PITA</t>
  </si>
  <si>
    <t>Including Hospitatlity in this version upgrade</t>
  </si>
  <si>
    <t>PARENT_MULTI_UNIT</t>
  </si>
  <si>
    <t>PYRAMID_SEGMENT_DESC</t>
  </si>
  <si>
    <t>ACCOUNTABLITY</t>
  </si>
  <si>
    <t>MENU_GROUPING</t>
  </si>
  <si>
    <t>SIMPLIFIED_MENU_TYPE</t>
  </si>
  <si>
    <t>PIM_CLASS_DESC</t>
  </si>
  <si>
    <t>Z5_ZIP</t>
  </si>
  <si>
    <t>REGION_NAME</t>
  </si>
  <si>
    <t>DIVISION_NAME</t>
  </si>
  <si>
    <t>ZONE_NAME</t>
  </si>
  <si>
    <t>QUANTITY_SHIPPED_SUM</t>
  </si>
  <si>
    <t>EB_CASES</t>
  </si>
  <si>
    <t>NET_WEIGHT_SHIPPED_SUM</t>
  </si>
  <si>
    <t>GROSS_SALES_EXTENDED_SUM</t>
  </si>
  <si>
    <t>GROSS_TGP_SUM</t>
  </si>
  <si>
    <t>TOTAL_ALLOWANCE_SUM</t>
  </si>
  <si>
    <t>TOTAL_VENDOR_FUNDED_DEVIATIONS</t>
  </si>
  <si>
    <t>TOTAL_INTERNAL_FUNDED_DEVIATIONS</t>
  </si>
  <si>
    <t>TAGP</t>
  </si>
  <si>
    <t>STATE</t>
  </si>
  <si>
    <t>ADDRESS_1</t>
  </si>
  <si>
    <t>ADDRESS_2</t>
  </si>
  <si>
    <t>PHONE_NUMBER</t>
  </si>
  <si>
    <t>BRNCH_CD</t>
  </si>
  <si>
    <t>80747355</t>
  </si>
  <si>
    <t>BULLDOG'S</t>
  </si>
  <si>
    <t>UNASSIGNED</t>
  </si>
  <si>
    <t>L</t>
  </si>
  <si>
    <t>AMERICAN AND AMERICAN TRADITIONAL</t>
  </si>
  <si>
    <t>POULTRY</t>
  </si>
  <si>
    <t>60084</t>
  </si>
  <si>
    <t>WAUCONDA</t>
  </si>
  <si>
    <t>122 S. MAIN ST.</t>
  </si>
  <si>
    <t>60482957</t>
  </si>
  <si>
    <t>PICK ME UP CAFE</t>
  </si>
  <si>
    <t>3408 N. CLARK STREET</t>
  </si>
  <si>
    <t>81217812</t>
  </si>
  <si>
    <t>LATINICITY</t>
  </si>
  <si>
    <t>60602</t>
  </si>
  <si>
    <t>108 N STATE ST FL 3</t>
  </si>
  <si>
    <t>80932882</t>
  </si>
  <si>
    <t>ALLEY 64 PALATINE</t>
  </si>
  <si>
    <t>60074</t>
  </si>
  <si>
    <t>2001 N. RAND RD.</t>
  </si>
  <si>
    <t>50902378</t>
  </si>
  <si>
    <t>GEORGIA'S RESTAURANT</t>
  </si>
  <si>
    <t>CLASSIC &amp; VARIED MENU</t>
  </si>
  <si>
    <t>60102</t>
  </si>
  <si>
    <t>ALGONQUIN</t>
  </si>
  <si>
    <t>1470 S. RANDALL RD</t>
  </si>
  <si>
    <t>911651</t>
  </si>
  <si>
    <t>BOTTOMS UP SPORTS BAR&amp;GRL</t>
  </si>
  <si>
    <t>APPETIZERS, ENTREES, &amp; POTATOES REF &amp; FZN</t>
  </si>
  <si>
    <t>604380000</t>
  </si>
  <si>
    <t>60438</t>
  </si>
  <si>
    <t>LANSING</t>
  </si>
  <si>
    <t>1696 THORTON-LANSING ROAD</t>
  </si>
  <si>
    <t>11162955</t>
  </si>
  <si>
    <t>CATCH 35 NAPERVILLE</t>
  </si>
  <si>
    <t>DISPOSABLES</t>
  </si>
  <si>
    <t>35 S WASHINGTON ST</t>
  </si>
  <si>
    <t>21154018</t>
  </si>
  <si>
    <t>DAM BAR AND GRILL</t>
  </si>
  <si>
    <t>GROCERY, REF &amp; FZN</t>
  </si>
  <si>
    <t>46356</t>
  </si>
  <si>
    <t>4665 W MAIN ST</t>
  </si>
  <si>
    <t>41269168</t>
  </si>
  <si>
    <t>ACEBOUNCE</t>
  </si>
  <si>
    <t>60601</t>
  </si>
  <si>
    <t>230 N CLARK ST</t>
  </si>
  <si>
    <t>30482335</t>
  </si>
  <si>
    <t>ALBERTO'S</t>
  </si>
  <si>
    <t>150 S GARY AVE</t>
  </si>
  <si>
    <t>31265838</t>
  </si>
  <si>
    <t>CARLOS MEXICAN GRILL 3</t>
  </si>
  <si>
    <t>282 W VIRGINIA ST</t>
  </si>
  <si>
    <t>80896830</t>
  </si>
  <si>
    <t>CEDAR LAKE KITCHEN #2 :)</t>
  </si>
  <si>
    <t>46303</t>
  </si>
  <si>
    <t>CEDAR LAKE</t>
  </si>
  <si>
    <t>10325 W 133RD AVE</t>
  </si>
  <si>
    <t>71295612</t>
  </si>
  <si>
    <t>AUSTRIA CAFE  / BURGER JO</t>
  </si>
  <si>
    <t>GROCERY, DRY</t>
  </si>
  <si>
    <t>60644</t>
  </si>
  <si>
    <t>646 N CICERO AVE</t>
  </si>
  <si>
    <t>21220280</t>
  </si>
  <si>
    <t>FRONTIER WEST TOWN</t>
  </si>
  <si>
    <t>EQUIPMENT &amp; SUPPLIES</t>
  </si>
  <si>
    <t>60642</t>
  </si>
  <si>
    <t>1072 N MILWAUKEE AVE</t>
  </si>
  <si>
    <t>21164975</t>
  </si>
  <si>
    <t>BROWNSTONE</t>
  </si>
  <si>
    <t>BEVERAGE</t>
  </si>
  <si>
    <t>3937 N LINCOLN AVE</t>
  </si>
  <si>
    <t>61158358</t>
  </si>
  <si>
    <t>FOODBARZ ROSEMONT</t>
  </si>
  <si>
    <t>BEEF-GROUND/PROCESSED</t>
  </si>
  <si>
    <t>ROSEMONT</t>
  </si>
  <si>
    <t>6133 N RIVER RD</t>
  </si>
  <si>
    <t>11188539</t>
  </si>
  <si>
    <t>FOODBARZ OIC</t>
  </si>
  <si>
    <t>10275 W HIGGINS RD</t>
  </si>
  <si>
    <t>30929186</t>
  </si>
  <si>
    <t>JEFFERSON TAP</t>
  </si>
  <si>
    <t>606610000</t>
  </si>
  <si>
    <t>60661</t>
  </si>
  <si>
    <t>325 N JEFFERSON</t>
  </si>
  <si>
    <t>51278323</t>
  </si>
  <si>
    <t>STEADFAST</t>
  </si>
  <si>
    <t>CHEMICALS &amp; CLEANING AGENTS</t>
  </si>
  <si>
    <t>60603</t>
  </si>
  <si>
    <t>120 W MONROE ST</t>
  </si>
  <si>
    <t>21283171</t>
  </si>
  <si>
    <t>BUTTERMILK - NAPERVILLE :</t>
  </si>
  <si>
    <t>1715 FREEDOM DR</t>
  </si>
  <si>
    <t>1224161</t>
  </si>
  <si>
    <t>TOBACCO ROAD</t>
  </si>
  <si>
    <t>2249 N LINCOLN AVE</t>
  </si>
  <si>
    <t>41196601</t>
  </si>
  <si>
    <t>CRUSADE BURGER BAR</t>
  </si>
  <si>
    <t>60560</t>
  </si>
  <si>
    <t>YORKVILLE</t>
  </si>
  <si>
    <t>209 S BRIDGE ST</t>
  </si>
  <si>
    <t>90950254</t>
  </si>
  <si>
    <t>FOODBARZ-RM</t>
  </si>
  <si>
    <t>600080000</t>
  </si>
  <si>
    <t>1701 GOLF ROAD</t>
  </si>
  <si>
    <t>31135700</t>
  </si>
  <si>
    <t>DURTY NELLIE'S</t>
  </si>
  <si>
    <t>180 N SMITH ST</t>
  </si>
  <si>
    <t>71286959</t>
  </si>
  <si>
    <t>TACO MADRE MONTGOMERY 2</t>
  </si>
  <si>
    <t>60538</t>
  </si>
  <si>
    <t>2112 BASELINE RD</t>
  </si>
  <si>
    <t>51237899</t>
  </si>
  <si>
    <t>GIANNI'S CAFE-PALATINE</t>
  </si>
  <si>
    <t>DAIRY</t>
  </si>
  <si>
    <t>18 W STATION ST</t>
  </si>
  <si>
    <t>41179219</t>
  </si>
  <si>
    <t>WYLER ROAD</t>
  </si>
  <si>
    <t>FRUITS &amp; VEGETABLES, CANNED &amp; DRIED</t>
  </si>
  <si>
    <t>3581 W BELDEN AVE</t>
  </si>
  <si>
    <t>80473929</t>
  </si>
  <si>
    <t>HOLLYWOOD GRILL</t>
  </si>
  <si>
    <t>606220000</t>
  </si>
  <si>
    <t>1601 WEST NORTH AVE</t>
  </si>
  <si>
    <t>336628</t>
  </si>
  <si>
    <t>GREEN DOOR TAVERN</t>
  </si>
  <si>
    <t>SMT UNAVAILABLE</t>
  </si>
  <si>
    <t>PRODUCE, FRESH</t>
  </si>
  <si>
    <t>606100000</t>
  </si>
  <si>
    <t>678 N. ORLEANS ST.</t>
  </si>
  <si>
    <t>91227843</t>
  </si>
  <si>
    <t>CHIEF O'NEILLS - CHICAGO</t>
  </si>
  <si>
    <t>3471 N ELSTON AVE</t>
  </si>
  <si>
    <t>70482070</t>
  </si>
  <si>
    <t>VILLAGE TAVERN,</t>
  </si>
  <si>
    <t>600470000</t>
  </si>
  <si>
    <t>135 OLD MCHENRY</t>
  </si>
  <si>
    <t>10947729</t>
  </si>
  <si>
    <t>DUNLAYS ON CLARK</t>
  </si>
  <si>
    <t>2600-02 NORTH CLARK ST</t>
  </si>
  <si>
    <t>1278464</t>
  </si>
  <si>
    <t>BACON &amp; JAM</t>
  </si>
  <si>
    <t>60655</t>
  </si>
  <si>
    <t>3335 WEST 111 ST</t>
  </si>
  <si>
    <t>30482855</t>
  </si>
  <si>
    <t>DUFFYS TAVERN</t>
  </si>
  <si>
    <t>420 1/2 DIVERSEY</t>
  </si>
  <si>
    <t>10592954</t>
  </si>
  <si>
    <t>ALLEY 64</t>
  </si>
  <si>
    <t>60174</t>
  </si>
  <si>
    <t>SAINT CHARLES</t>
  </si>
  <si>
    <t>212 W. MAIN ST.</t>
  </si>
  <si>
    <t>10950509</t>
  </si>
  <si>
    <t>MARKET HOUSE</t>
  </si>
  <si>
    <t>PROCESSED MEAT</t>
  </si>
  <si>
    <t>600450000</t>
  </si>
  <si>
    <t>655 FOREST AVE</t>
  </si>
  <si>
    <t>61243895</t>
  </si>
  <si>
    <t>LADY GREGORY'S OLD TOWN</t>
  </si>
  <si>
    <t>CHEESE</t>
  </si>
  <si>
    <t>1525 N WELLS ST</t>
  </si>
  <si>
    <t>31270150</t>
  </si>
  <si>
    <t>FLAGSHIP</t>
  </si>
  <si>
    <t>1622 W BELMONT AVE</t>
  </si>
  <si>
    <t>90682568</t>
  </si>
  <si>
    <t>CHARCOAL DELIGHTS</t>
  </si>
  <si>
    <t>60625</t>
  </si>
  <si>
    <t>3139 W. FOSTER AVE</t>
  </si>
  <si>
    <t>70345467</t>
  </si>
  <si>
    <t>CHICAGO DINER(THE)</t>
  </si>
  <si>
    <t>3411 N. HALSTED ST.</t>
  </si>
  <si>
    <t>1317668</t>
  </si>
  <si>
    <t>LITTLE RICKY'S</t>
  </si>
  <si>
    <t>60093</t>
  </si>
  <si>
    <t>WINNETKA</t>
  </si>
  <si>
    <t>540 LINCOLN AVE</t>
  </si>
  <si>
    <t>41237140</t>
  </si>
  <si>
    <t>FRESHWATER LLC</t>
  </si>
  <si>
    <t>46360</t>
  </si>
  <si>
    <t>MICHIGAN CITY</t>
  </si>
  <si>
    <t>12 ON THE LK</t>
  </si>
  <si>
    <t>80686355</t>
  </si>
  <si>
    <t>THE BEETLE</t>
  </si>
  <si>
    <t>2532 W CHICAGO AVE</t>
  </si>
  <si>
    <t>90534066</t>
  </si>
  <si>
    <t>LEGENDS SPORTS BAR</t>
  </si>
  <si>
    <t>60176</t>
  </si>
  <si>
    <t>SCHILLER PARK</t>
  </si>
  <si>
    <t>4200 N. RIVER RD.</t>
  </si>
  <si>
    <t>1098300</t>
  </si>
  <si>
    <t>TRUE BBQ &amp; WHISKEY BAR:)</t>
  </si>
  <si>
    <t>46321</t>
  </si>
  <si>
    <t>MUNSTER</t>
  </si>
  <si>
    <t>8940 CALUMET AVENUE</t>
  </si>
  <si>
    <t>50551746</t>
  </si>
  <si>
    <t>YANNI'S CAFE/MANTENO  :)</t>
  </si>
  <si>
    <t>60950</t>
  </si>
  <si>
    <t>MANTENO</t>
  </si>
  <si>
    <t>145 NORTH MAIN STREET</t>
  </si>
  <si>
    <t>71175863</t>
  </si>
  <si>
    <t>SOUTHERN BELLES-BARRNGT:)</t>
  </si>
  <si>
    <t>60010</t>
  </si>
  <si>
    <t>BARRINGTON</t>
  </si>
  <si>
    <t>210 S COOK ST</t>
  </si>
  <si>
    <t>51308153</t>
  </si>
  <si>
    <t>HARVEST 365</t>
  </si>
  <si>
    <t>7610 W ROOSEVELT RD</t>
  </si>
  <si>
    <t>40552457</t>
  </si>
  <si>
    <t>OMEGA REST SCHAUMBURG :)</t>
  </si>
  <si>
    <t>60193</t>
  </si>
  <si>
    <t>1823 W. WISE RD.</t>
  </si>
  <si>
    <t>41200338</t>
  </si>
  <si>
    <t>PARK GRILL</t>
  </si>
  <si>
    <t>SPECIALTY MEATS</t>
  </si>
  <si>
    <t>11 N MICHIGAN AVE</t>
  </si>
  <si>
    <t>51252567</t>
  </si>
  <si>
    <t>TAPHOUSE GRILL STC #101</t>
  </si>
  <si>
    <t>60175</t>
  </si>
  <si>
    <t>3341 W MAIN ST</t>
  </si>
  <si>
    <t>21233168</t>
  </si>
  <si>
    <t>MAIN STREET SOCIAL</t>
  </si>
  <si>
    <t>608 N. MILWAUKEE AVE</t>
  </si>
  <si>
    <t>70936364</t>
  </si>
  <si>
    <t>UP COMEDY CLUB</t>
  </si>
  <si>
    <t>230 W. NORTH AVE.</t>
  </si>
  <si>
    <t>91270702</t>
  </si>
  <si>
    <t>DAVIDSON'S BAR AND GRILL</t>
  </si>
  <si>
    <t>60491</t>
  </si>
  <si>
    <t>HOMER GLEN</t>
  </si>
  <si>
    <t>14136 S BELL RD</t>
  </si>
  <si>
    <t>50030303</t>
  </si>
  <si>
    <t>MOTHERS DAY REST :)</t>
  </si>
  <si>
    <t>60546</t>
  </si>
  <si>
    <t>NORTH RIVERSIDE</t>
  </si>
  <si>
    <t>8815 W CERMAK RD</t>
  </si>
  <si>
    <t>50857515</t>
  </si>
  <si>
    <t>MOE'S CANTINA</t>
  </si>
  <si>
    <t>606540000</t>
  </si>
  <si>
    <t>60654</t>
  </si>
  <si>
    <t>155 W. KINZIE</t>
  </si>
  <si>
    <t>70552195</t>
  </si>
  <si>
    <t>NICK'S PIZZA &amp; PUB CRYSTA</t>
  </si>
  <si>
    <t>600140000</t>
  </si>
  <si>
    <t>856 PYOTT ROAD</t>
  </si>
  <si>
    <t>1209097</t>
  </si>
  <si>
    <t>TUCO &amp; BLONDIE</t>
  </si>
  <si>
    <t>3358 N SOUTHPORT AVE</t>
  </si>
  <si>
    <t>61229654</t>
  </si>
  <si>
    <t>DOS AMIGOS MEXICAN RESTAU</t>
  </si>
  <si>
    <t>101 W ROCKLAND RD</t>
  </si>
  <si>
    <t>61231841</t>
  </si>
  <si>
    <t>EMPIRICAL BREW PUB</t>
  </si>
  <si>
    <t>60626</t>
  </si>
  <si>
    <t>1328 W MORSE AVE</t>
  </si>
  <si>
    <t>90609264</t>
  </si>
  <si>
    <t>JAMESONS PUB</t>
  </si>
  <si>
    <t>2755 BLACK ROAD</t>
  </si>
  <si>
    <t>50035468</t>
  </si>
  <si>
    <t>MANNYS COFFEE SHOP</t>
  </si>
  <si>
    <t>606070000</t>
  </si>
  <si>
    <t>1139 S JEFFERSON      A/L</t>
  </si>
  <si>
    <t>10552073</t>
  </si>
  <si>
    <t>THEO'S :)</t>
  </si>
  <si>
    <t>463220000</t>
  </si>
  <si>
    <t>46322</t>
  </si>
  <si>
    <t>9144 INDIANAPOLIS BLVD</t>
  </si>
  <si>
    <t>OILS &amp; SHORTENING</t>
  </si>
  <si>
    <t>1313691</t>
  </si>
  <si>
    <t>TACO MAYA NILES</t>
  </si>
  <si>
    <t>8610 W GOLF RD</t>
  </si>
  <si>
    <t>61138202</t>
  </si>
  <si>
    <t>BLUEBERRY FIELD :)</t>
  </si>
  <si>
    <t>60473</t>
  </si>
  <si>
    <t>SOUTH HOLLAND</t>
  </si>
  <si>
    <t>558 E. 162ND ST.</t>
  </si>
  <si>
    <t>81158792</t>
  </si>
  <si>
    <t>GEMINI BISTRO NEW</t>
  </si>
  <si>
    <t>2075 N LINCOLN AVE</t>
  </si>
  <si>
    <t>10616795</t>
  </si>
  <si>
    <t>MARGE'S STILL</t>
  </si>
  <si>
    <t>1758 N. SEDGWICK ST.</t>
  </si>
  <si>
    <t>91315390</t>
  </si>
  <si>
    <t>BAT 17</t>
  </si>
  <si>
    <t>60201</t>
  </si>
  <si>
    <t>1709 BENSON AVE</t>
  </si>
  <si>
    <t>71212088</t>
  </si>
  <si>
    <t>JUICY O 59 NAPERVILLE :)</t>
  </si>
  <si>
    <t>844 IL-59</t>
  </si>
  <si>
    <t>21267513</t>
  </si>
  <si>
    <t>TAP HOUSE GRILL - PLAINFI</t>
  </si>
  <si>
    <t>24402 W LOCKPORT ST</t>
  </si>
  <si>
    <t>30517155</t>
  </si>
  <si>
    <t>AL'S CAFE &amp; CREAMERY  JL</t>
  </si>
  <si>
    <t>601200000</t>
  </si>
  <si>
    <t>43 DUPAGE COURT</t>
  </si>
  <si>
    <t>41165010</t>
  </si>
  <si>
    <t>NAANSENSE CLINTON</t>
  </si>
  <si>
    <t>113 S CLINTON ST</t>
  </si>
  <si>
    <t>50035625</t>
  </si>
  <si>
    <t>TOP NOTCH</t>
  </si>
  <si>
    <t>8813 INDIANAPOLIS BLVD.</t>
  </si>
  <si>
    <t>50573807</t>
  </si>
  <si>
    <t>DANTE'S HOUSE OF PIZZA</t>
  </si>
  <si>
    <t>1734 45TH ST</t>
  </si>
  <si>
    <t>60552395</t>
  </si>
  <si>
    <t>CHOPPERS</t>
  </si>
  <si>
    <t>1659 N. ASHLAND</t>
  </si>
  <si>
    <t>81080541</t>
  </si>
  <si>
    <t>VALLEY LODGE TAVERN</t>
  </si>
  <si>
    <t>600910000</t>
  </si>
  <si>
    <t>1141 CENTRAL ROAD</t>
  </si>
  <si>
    <t>60646379</t>
  </si>
  <si>
    <t>SWEETWATER</t>
  </si>
  <si>
    <t>225 N MICHIGAN-SUITE 100</t>
  </si>
  <si>
    <t>21281431</t>
  </si>
  <si>
    <t>FOODA DRW</t>
  </si>
  <si>
    <t>540 W MADISON ST</t>
  </si>
  <si>
    <t>11017274</t>
  </si>
  <si>
    <t>URBAN COUNTER WHEATON</t>
  </si>
  <si>
    <t>PORK</t>
  </si>
  <si>
    <t>25W 420 GENEVA RD</t>
  </si>
  <si>
    <t>11123734</t>
  </si>
  <si>
    <t>DINO'S CAFE :)</t>
  </si>
  <si>
    <t>60108</t>
  </si>
  <si>
    <t>BLOOMINGDALE</t>
  </si>
  <si>
    <t>171 E LAKE ST</t>
  </si>
  <si>
    <t>61228359</t>
  </si>
  <si>
    <t>OFF SQUARE BREWERY</t>
  </si>
  <si>
    <t>46307</t>
  </si>
  <si>
    <t>CROWN POINT</t>
  </si>
  <si>
    <t>11000 DELAWARE PKWY</t>
  </si>
  <si>
    <t>91256842</t>
  </si>
  <si>
    <t>BARRIO RESTAURANT</t>
  </si>
  <si>
    <t>65 W KINZIE ST</t>
  </si>
  <si>
    <t>61059374</t>
  </si>
  <si>
    <t>SPEARS BOURBON BURGERS</t>
  </si>
  <si>
    <t>60090</t>
  </si>
  <si>
    <t>WHEELING</t>
  </si>
  <si>
    <t>723 MILWAUKEE AVE</t>
  </si>
  <si>
    <t>1101989</t>
  </si>
  <si>
    <t>SQUARE CELT ALEHOUSE</t>
  </si>
  <si>
    <t>604620000</t>
  </si>
  <si>
    <t>60462</t>
  </si>
  <si>
    <t>ORLAND PARK</t>
  </si>
  <si>
    <t>39 ORLAND SQUARE DRIVE</t>
  </si>
  <si>
    <t>40326977</t>
  </si>
  <si>
    <t>FAMOUS FRDS FOX LK #1600</t>
  </si>
  <si>
    <t>510 PARK AVE.</t>
  </si>
  <si>
    <t>71249205</t>
  </si>
  <si>
    <t>BROWN BAG SEAFOOD ROSCOE</t>
  </si>
  <si>
    <t>3400 N LINCOLN AVE</t>
  </si>
  <si>
    <t>71285134</t>
  </si>
  <si>
    <t>AMERICAN FAMILY REST</t>
  </si>
  <si>
    <t>60411</t>
  </si>
  <si>
    <t>SAUK VILLAGE</t>
  </si>
  <si>
    <t>1699 E SAUK TRL</t>
  </si>
  <si>
    <t>41257452</t>
  </si>
  <si>
    <t>TINY TAVERN</t>
  </si>
  <si>
    <t>848 E GRAND AVE</t>
  </si>
  <si>
    <t>80552011</t>
  </si>
  <si>
    <t>JOHNNY K'S PATIO</t>
  </si>
  <si>
    <t>17816 S. TORRENCE AVE</t>
  </si>
  <si>
    <t>966119</t>
  </si>
  <si>
    <t>LAKE HOUSE LAKE VILLA</t>
  </si>
  <si>
    <t>850 TOWER DR UNIT 100</t>
  </si>
  <si>
    <t>172882</t>
  </si>
  <si>
    <t>PIZZA CAPRI H.P.</t>
  </si>
  <si>
    <t>606150000</t>
  </si>
  <si>
    <t>60615</t>
  </si>
  <si>
    <t>1501 E. 53RD</t>
  </si>
  <si>
    <t>21271622</t>
  </si>
  <si>
    <t>NICKS PIZZA &amp; PUB CHICAGO</t>
  </si>
  <si>
    <t>2434 W MONTROSE AVE</t>
  </si>
  <si>
    <t>30482103</t>
  </si>
  <si>
    <t>FROGGYS FRENCH CAFE,</t>
  </si>
  <si>
    <t>60040</t>
  </si>
  <si>
    <t>HIGHWOOD</t>
  </si>
  <si>
    <t>306 GREENBAY RD</t>
  </si>
  <si>
    <t>41292277</t>
  </si>
  <si>
    <t>HONEY JAM CAFE / DOWNER:)</t>
  </si>
  <si>
    <t>3000 OAK GROVE RD</t>
  </si>
  <si>
    <t>61285870</t>
  </si>
  <si>
    <t>STEVE BURESH'S CHEESECAKE</t>
  </si>
  <si>
    <t>60543</t>
  </si>
  <si>
    <t>OSWEGO</t>
  </si>
  <si>
    <t>1019 STATION DR</t>
  </si>
  <si>
    <t>80648918</t>
  </si>
  <si>
    <t>THE TURF ROOM</t>
  </si>
  <si>
    <t>60542</t>
  </si>
  <si>
    <t>NORTH AURORA</t>
  </si>
  <si>
    <t>650  RANDALL ROAD</t>
  </si>
  <si>
    <t>20510475</t>
  </si>
  <si>
    <t>THE VINE-WINE&amp;MARTINIBAR</t>
  </si>
  <si>
    <t>101 CENTER ST.</t>
  </si>
  <si>
    <t>90552308</t>
  </si>
  <si>
    <t>OLD FASHION PANCAKE HS</t>
  </si>
  <si>
    <t>2022 WEST JEFFERSON ST.</t>
  </si>
  <si>
    <t>11202884</t>
  </si>
  <si>
    <t>LALO'S RESTAURANT NAVY PI</t>
  </si>
  <si>
    <t>600 E GRAND AVE</t>
  </si>
  <si>
    <t>90335415</t>
  </si>
  <si>
    <t>PAPPAS RESTAURANT  :)</t>
  </si>
  <si>
    <t>SEAFOOD</t>
  </si>
  <si>
    <t>463070000</t>
  </si>
  <si>
    <t>1130 N. MAIN ST.</t>
  </si>
  <si>
    <t>20552055</t>
  </si>
  <si>
    <t>YOLKS &amp; BERRIES CAFE :)</t>
  </si>
  <si>
    <t>60915</t>
  </si>
  <si>
    <t>BRADLEY</t>
  </si>
  <si>
    <t>505 N KINZIE AVE.</t>
  </si>
  <si>
    <t>40483562</t>
  </si>
  <si>
    <t>VERDICT REST :)</t>
  </si>
  <si>
    <t>600 COUNTY FARM RD</t>
  </si>
  <si>
    <t>520395</t>
  </si>
  <si>
    <t>SIMON'S</t>
  </si>
  <si>
    <t>60181</t>
  </si>
  <si>
    <t>VILLA PARK</t>
  </si>
  <si>
    <t>2 W. ROOSEVELT ROAD</t>
  </si>
  <si>
    <t>41244120</t>
  </si>
  <si>
    <t>CORNER CAFE REST INC   :)</t>
  </si>
  <si>
    <t>46319</t>
  </si>
  <si>
    <t>GRIFFITH</t>
  </si>
  <si>
    <t>101 N BROAD ST</t>
  </si>
  <si>
    <t>81259335</t>
  </si>
  <si>
    <t>BRIANA'S SOUTH ELGIN</t>
  </si>
  <si>
    <t>601770000</t>
  </si>
  <si>
    <t>572 RANDAL RD</t>
  </si>
  <si>
    <t>20482584</t>
  </si>
  <si>
    <t>ANDYS II EAST LOUNGE</t>
  </si>
  <si>
    <t>11 E HUBBARD ST</t>
  </si>
  <si>
    <t>30994701</t>
  </si>
  <si>
    <t>CHICAGO DINER LOGANSQUARE</t>
  </si>
  <si>
    <t>2333 N. MILWAUKEE AVE</t>
  </si>
  <si>
    <t>30482392</t>
  </si>
  <si>
    <t>BASIL'S :)</t>
  </si>
  <si>
    <t>60504</t>
  </si>
  <si>
    <t>AURORA</t>
  </si>
  <si>
    <t>4000 FOXVALLEY CENTER DR</t>
  </si>
  <si>
    <t>10509016</t>
  </si>
  <si>
    <t>THE GAGE</t>
  </si>
  <si>
    <t>606030000</t>
  </si>
  <si>
    <t>24 S.MICHIGAN</t>
  </si>
  <si>
    <t>20483129</t>
  </si>
  <si>
    <t>MRS P AND ME</t>
  </si>
  <si>
    <t>100 E PROSPECT AVE</t>
  </si>
  <si>
    <t>109819</t>
  </si>
  <si>
    <t>PURPLE STEER HIGHLAND</t>
  </si>
  <si>
    <t>8601 INDIANAPLIS</t>
  </si>
  <si>
    <t>40497885</t>
  </si>
  <si>
    <t>MARKET SQUARE</t>
  </si>
  <si>
    <t>600 W DUNDEE</t>
  </si>
  <si>
    <t>51283927</t>
  </si>
  <si>
    <t>KAMEHACHI OF TOKYO</t>
  </si>
  <si>
    <t>1320 SHERMER RD</t>
  </si>
  <si>
    <t>70350053</t>
  </si>
  <si>
    <t>MELLOW YELLOW</t>
  </si>
  <si>
    <t>1508 E. 53RD ST.</t>
  </si>
  <si>
    <t>1232016</t>
  </si>
  <si>
    <t>TAP HOUSE GRILL DP #106</t>
  </si>
  <si>
    <t>60016</t>
  </si>
  <si>
    <t>1472 MARKET ST STE 103</t>
  </si>
  <si>
    <t>30316707</t>
  </si>
  <si>
    <t>LUMES PANCAKE ORLAND PK3</t>
  </si>
  <si>
    <t>9060 W. 159TH STREET</t>
  </si>
  <si>
    <t>41252651</t>
  </si>
  <si>
    <t>HALF DAY BREWING #501</t>
  </si>
  <si>
    <t>60069</t>
  </si>
  <si>
    <t>LINCOLNSHIRE</t>
  </si>
  <si>
    <t>200 VILLAGE GRN</t>
  </si>
  <si>
    <t>30604474</t>
  </si>
  <si>
    <t>SIMONE'S</t>
  </si>
  <si>
    <t>606080000</t>
  </si>
  <si>
    <t>60608</t>
  </si>
  <si>
    <t>960 W. 18TH STREET</t>
  </si>
  <si>
    <t>40925927</t>
  </si>
  <si>
    <t>OAK STREET REST &amp; BAR</t>
  </si>
  <si>
    <t>945 OAK STREET</t>
  </si>
  <si>
    <t>1258409</t>
  </si>
  <si>
    <t>TACO URBANO VILLA PARK</t>
  </si>
  <si>
    <t>151 W NORTH AVE</t>
  </si>
  <si>
    <t>80718307</t>
  </si>
  <si>
    <t>THE DAM BAR &amp; GRILL</t>
  </si>
  <si>
    <t>60134</t>
  </si>
  <si>
    <t>GENEVA</t>
  </si>
  <si>
    <t>65 N. RIVER LANE</t>
  </si>
  <si>
    <t>40109597</t>
  </si>
  <si>
    <t>COUNTRYSIDE SALOON</t>
  </si>
  <si>
    <t>2501 E BALLARD</t>
  </si>
  <si>
    <t>60917275</t>
  </si>
  <si>
    <t>TOONS</t>
  </si>
  <si>
    <t>3857 N. SOUTHPORT AVE.</t>
  </si>
  <si>
    <t>20471009</t>
  </si>
  <si>
    <t>SUNRISE FAMILY REST. :)</t>
  </si>
  <si>
    <t>46304</t>
  </si>
  <si>
    <t>CHESTERTON</t>
  </si>
  <si>
    <t>475 SANDCREEK DR.</t>
  </si>
  <si>
    <t>41224403</t>
  </si>
  <si>
    <t>PEARLS SOUTHERN COMFORT</t>
  </si>
  <si>
    <t>60640</t>
  </si>
  <si>
    <t>5352 N BROADWAY ST</t>
  </si>
  <si>
    <t>71236152</t>
  </si>
  <si>
    <t>100 WASHINGTON</t>
  </si>
  <si>
    <t>100 WASHINGTON ST</t>
  </si>
  <si>
    <t>10531127</t>
  </si>
  <si>
    <t>REGGIES BAR &amp; GRILL</t>
  </si>
  <si>
    <t>60616</t>
  </si>
  <si>
    <t>2105 S. STATE</t>
  </si>
  <si>
    <t>40488892</t>
  </si>
  <si>
    <t>O'HARE BAR &amp; GRILL</t>
  </si>
  <si>
    <t>60666</t>
  </si>
  <si>
    <t>11601 W. TOUHY</t>
  </si>
  <si>
    <t>51143758</t>
  </si>
  <si>
    <t>LINKS GRILLE</t>
  </si>
  <si>
    <t>21200 W SOUTH CARILLON DR</t>
  </si>
  <si>
    <t>20680443</t>
  </si>
  <si>
    <t>THE CLAIM CO</t>
  </si>
  <si>
    <t>MEAT SUBSTITUTE</t>
  </si>
  <si>
    <t>600620000</t>
  </si>
  <si>
    <t>2000 NORTHBROOK COURT</t>
  </si>
  <si>
    <t>51292274</t>
  </si>
  <si>
    <t>HONEY JAM CAFE / ARLGTN:)</t>
  </si>
  <si>
    <t>60005</t>
  </si>
  <si>
    <t>ARLINGTON HEIGHTS</t>
  </si>
  <si>
    <t>2944 W EUCLID AVE</t>
  </si>
  <si>
    <t>21175534</t>
  </si>
  <si>
    <t>LINDYS LANDING</t>
  </si>
  <si>
    <t>115 PARK ST</t>
  </si>
  <si>
    <t>1094077</t>
  </si>
  <si>
    <t>BEEF-BOXED/STEAKS</t>
  </si>
  <si>
    <t>1229 S MAIN ST</t>
  </si>
  <si>
    <t>80502495</t>
  </si>
  <si>
    <t>GASLITE MANOR    :)</t>
  </si>
  <si>
    <t>SALADS, WET, REF &amp; FZN</t>
  </si>
  <si>
    <t>60502</t>
  </si>
  <si>
    <t>2485 CHURCH RD</t>
  </si>
  <si>
    <t>91309062</t>
  </si>
  <si>
    <t>CMM CAFE MALCOLM X</t>
  </si>
  <si>
    <t>60612</t>
  </si>
  <si>
    <t>1900 W JACKSON BLVD</t>
  </si>
  <si>
    <t>20905600</t>
  </si>
  <si>
    <t>ORIGINAL BAGEL</t>
  </si>
  <si>
    <t>600890000</t>
  </si>
  <si>
    <t>60089</t>
  </si>
  <si>
    <t>BUFFALO GROVE</t>
  </si>
  <si>
    <t>105 MCHENRY ROAD</t>
  </si>
  <si>
    <t>30552186</t>
  </si>
  <si>
    <t>TONY'S BREAKFAST CAFE :)</t>
  </si>
  <si>
    <t>605130000</t>
  </si>
  <si>
    <t>60513</t>
  </si>
  <si>
    <t>8900 W OGDEN AVE</t>
  </si>
  <si>
    <t>81205502</t>
  </si>
  <si>
    <t>FOODA FOOD HALL- LA SALLE</t>
  </si>
  <si>
    <t>50 S LA SALLE ST FL 5</t>
  </si>
  <si>
    <t>61228268</t>
  </si>
  <si>
    <t>THE DOUBLE YOLK CAFE</t>
  </si>
  <si>
    <t>60098</t>
  </si>
  <si>
    <t>WOODSTOCK</t>
  </si>
  <si>
    <t>117 VAN BUREN</t>
  </si>
  <si>
    <t>91169615</t>
  </si>
  <si>
    <t>VILLAGE PIZZA PUB</t>
  </si>
  <si>
    <t>60110</t>
  </si>
  <si>
    <t>CARPENTERSVILLE</t>
  </si>
  <si>
    <t>145 N KENNEDY DR</t>
  </si>
  <si>
    <t>1036722</t>
  </si>
  <si>
    <t>HIBACHI GRILL/STREAMWOOD</t>
  </si>
  <si>
    <t>601070000</t>
  </si>
  <si>
    <t>60107</t>
  </si>
  <si>
    <t>STREAMWOOD</t>
  </si>
  <si>
    <t>948 S BARRINGTON ROAD</t>
  </si>
  <si>
    <t>41321415</t>
  </si>
  <si>
    <t>TEQUILA CJ CANTINA GRILL</t>
  </si>
  <si>
    <t>60638</t>
  </si>
  <si>
    <t>5728 S ARCHER AVE</t>
  </si>
  <si>
    <t>10482511</t>
  </si>
  <si>
    <t>CAFE SELMARIE</t>
  </si>
  <si>
    <t>4729 N. LINCOLN AVE.</t>
  </si>
  <si>
    <t>995233</t>
  </si>
  <si>
    <t>OMEGA/DOWNERS GROVE:)</t>
  </si>
  <si>
    <t>60516</t>
  </si>
  <si>
    <t>1300 W OGDEN AVE</t>
  </si>
  <si>
    <t>21256508</t>
  </si>
  <si>
    <t>LOPEZ/OPEN OUT CRY BREWER</t>
  </si>
  <si>
    <t>60643</t>
  </si>
  <si>
    <t>10932 S WESTERN AVE</t>
  </si>
  <si>
    <t>11200243</t>
  </si>
  <si>
    <t>GRIDDLE 24</t>
  </si>
  <si>
    <t>334 W CHICAGO AVE</t>
  </si>
  <si>
    <t>71135123</t>
  </si>
  <si>
    <t>ROUNDHEADS PIZZA AND PUB</t>
  </si>
  <si>
    <t>500 W. 75TH ST</t>
  </si>
  <si>
    <t>1212083</t>
  </si>
  <si>
    <t>SOUTHERN BELLES PLAINFI:)</t>
  </si>
  <si>
    <t>15051 S VAN DYKE RD</t>
  </si>
  <si>
    <t>81017261</t>
  </si>
  <si>
    <t>JOE DANIELS</t>
  </si>
  <si>
    <t>60463</t>
  </si>
  <si>
    <t>PALOS HEIGHTS</t>
  </si>
  <si>
    <t>12218 S HARLEM</t>
  </si>
  <si>
    <t>80932585</t>
  </si>
  <si>
    <t>LA TAQUERIA</t>
  </si>
  <si>
    <t>60133</t>
  </si>
  <si>
    <t>HANOVER PARK</t>
  </si>
  <si>
    <t>1818 W ARMY TRAIL RD</t>
  </si>
  <si>
    <t>935163</t>
  </si>
  <si>
    <t>POMEGRANATE RESTAURANT</t>
  </si>
  <si>
    <t>55 S COMMONS DR</t>
  </si>
  <si>
    <t>71098370</t>
  </si>
  <si>
    <t>MUCHO MAS MICHIGAN CITY</t>
  </si>
  <si>
    <t>463600000</t>
  </si>
  <si>
    <t>729 FRANKLIN STREET</t>
  </si>
  <si>
    <t>51091296</t>
  </si>
  <si>
    <t>RANDOLPH TAVERN</t>
  </si>
  <si>
    <t>188 W RANDOLPH</t>
  </si>
  <si>
    <t>71205504</t>
  </si>
  <si>
    <t>FOODA FOOD HALL-CANAL</t>
  </si>
  <si>
    <t>801 S CANAL ST</t>
  </si>
  <si>
    <t>41130832</t>
  </si>
  <si>
    <t>PRIME &amp; PROVISIONS</t>
  </si>
  <si>
    <t>222 N. LASALLE</t>
  </si>
  <si>
    <t>61274759</t>
  </si>
  <si>
    <t>POINT &amp; FEATHER</t>
  </si>
  <si>
    <t>113 W HUBBARD ST</t>
  </si>
  <si>
    <t>70552302</t>
  </si>
  <si>
    <t>RASPBERRY'S PANCAKE  :)</t>
  </si>
  <si>
    <t>3145 CHICAGO ROAD</t>
  </si>
  <si>
    <t>30596043</t>
  </si>
  <si>
    <t>JAM N JELLY PANCAKE HSE:)</t>
  </si>
  <si>
    <t>60561</t>
  </si>
  <si>
    <t>7511 LEMONT RD</t>
  </si>
  <si>
    <t>91220731</t>
  </si>
  <si>
    <t>RHYME OR REASON</t>
  </si>
  <si>
    <t>1938 W DIVISION ST</t>
  </si>
  <si>
    <t>40030645</t>
  </si>
  <si>
    <t>AXION CORP</t>
  </si>
  <si>
    <t>60604</t>
  </si>
  <si>
    <t>141 W. JACKSON BLVD</t>
  </si>
  <si>
    <t>71069660</t>
  </si>
  <si>
    <t>KILROYS</t>
  </si>
  <si>
    <t>3502 RIDGE RD</t>
  </si>
  <si>
    <t>30453260</t>
  </si>
  <si>
    <t>GINOS REST / DYER   :)</t>
  </si>
  <si>
    <t>463110000</t>
  </si>
  <si>
    <t>46311</t>
  </si>
  <si>
    <t>DYER</t>
  </si>
  <si>
    <t>1259 US 30</t>
  </si>
  <si>
    <t>10551984</t>
  </si>
  <si>
    <t>KINGSBERRY/FLOSSMOOR :)</t>
  </si>
  <si>
    <t>604220000</t>
  </si>
  <si>
    <t>60422</t>
  </si>
  <si>
    <t>FLOSSMOOR</t>
  </si>
  <si>
    <t>3345 W VOLLMER ROAD</t>
  </si>
  <si>
    <t>60602273</t>
  </si>
  <si>
    <t>BIG APPLE -WESTERN :)</t>
  </si>
  <si>
    <t>604110000</t>
  </si>
  <si>
    <t>CHICAGO HEIGHTS</t>
  </si>
  <si>
    <t>1425 S WESTERN AVE</t>
  </si>
  <si>
    <t>60811163</t>
  </si>
  <si>
    <t>OMELETTE HOUSE INC :)</t>
  </si>
  <si>
    <t>463750000</t>
  </si>
  <si>
    <t>46375</t>
  </si>
  <si>
    <t>SCHERERVILLE</t>
  </si>
  <si>
    <t>1910 US ROUTE 41</t>
  </si>
  <si>
    <t>90552449</t>
  </si>
  <si>
    <t>DANBY'S STATION</t>
  </si>
  <si>
    <t>750 E. ROOSEVELT ROAD</t>
  </si>
  <si>
    <t>71114623</t>
  </si>
  <si>
    <t>FLO AND SANTO</t>
  </si>
  <si>
    <t>1310 S. WABASH</t>
  </si>
  <si>
    <t>1274935</t>
  </si>
  <si>
    <t>HOUSE OF KOBE-SCHERERVILL</t>
  </si>
  <si>
    <t>1951 US HIGHWAY 41</t>
  </si>
  <si>
    <t>41156597</t>
  </si>
  <si>
    <t>URBAN COUNTER HINSDALE</t>
  </si>
  <si>
    <t>60521</t>
  </si>
  <si>
    <t>HINSDALE</t>
  </si>
  <si>
    <t>149 E OGDEN AVE</t>
  </si>
  <si>
    <t>80987225</t>
  </si>
  <si>
    <t>NESH MEDITERRANEAN GRILL</t>
  </si>
  <si>
    <t>60606</t>
  </si>
  <si>
    <t>205 W. MONROE STREET</t>
  </si>
  <si>
    <t>50431782</t>
  </si>
  <si>
    <t>ISLAND LAKE CAFE</t>
  </si>
  <si>
    <t>60042</t>
  </si>
  <si>
    <t>ISLAND LAKE</t>
  </si>
  <si>
    <t>310 E. STATE ROAD</t>
  </si>
  <si>
    <t>31028327</t>
  </si>
  <si>
    <t>AUSTIN'S CAFE INC</t>
  </si>
  <si>
    <t>481 PETERSON</t>
  </si>
  <si>
    <t>50042399</t>
  </si>
  <si>
    <t>TOP NOTCH/95TH STREET</t>
  </si>
  <si>
    <t>2116 W 95TH</t>
  </si>
  <si>
    <t>61259339</t>
  </si>
  <si>
    <t>BRIANA'S BATAVIA</t>
  </si>
  <si>
    <t>60510</t>
  </si>
  <si>
    <t>BATAVIA</t>
  </si>
  <si>
    <t>10 N ISLAND AVE</t>
  </si>
  <si>
    <t>51174886</t>
  </si>
  <si>
    <t>BUTTERMILK GENEVA</t>
  </si>
  <si>
    <t>7 W STATE ST</t>
  </si>
  <si>
    <t>70389937</t>
  </si>
  <si>
    <t>O'DONOVAN'S PUB</t>
  </si>
  <si>
    <t>2100 W. IRVING PARK ROAD</t>
  </si>
  <si>
    <t>91272252</t>
  </si>
  <si>
    <t>STACKED CRESTWOOD :)</t>
  </si>
  <si>
    <t>60418</t>
  </si>
  <si>
    <t>CRESTWOOD</t>
  </si>
  <si>
    <t>14306 CICERO AVE</t>
  </si>
  <si>
    <t>71273320</t>
  </si>
  <si>
    <t>STEINGOLD OF CHICAGO</t>
  </si>
  <si>
    <t>1840 W IRVING PARK RD</t>
  </si>
  <si>
    <t>41212374</t>
  </si>
  <si>
    <t>254 N YORK ST</t>
  </si>
  <si>
    <t>80381502</t>
  </si>
  <si>
    <t>MORETTI'S FOX LAKE #1700</t>
  </si>
  <si>
    <t>164 S RT. 12</t>
  </si>
  <si>
    <t>41127929</t>
  </si>
  <si>
    <t>MORETTIS HOFFMN ESTS #700</t>
  </si>
  <si>
    <t>60169</t>
  </si>
  <si>
    <t>HOFFMAN ESTATES</t>
  </si>
  <si>
    <t>2475 W. HIGGINS ROAD</t>
  </si>
  <si>
    <t>1108208</t>
  </si>
  <si>
    <t>ACANTO</t>
  </si>
  <si>
    <t>24 S MICHIGAN AVE</t>
  </si>
  <si>
    <t>11112976</t>
  </si>
  <si>
    <t>EL BURRITO REY</t>
  </si>
  <si>
    <t>604520000</t>
  </si>
  <si>
    <t>60452</t>
  </si>
  <si>
    <t>OAK FOREST</t>
  </si>
  <si>
    <t>4142 W. 167TH ST.</t>
  </si>
  <si>
    <t>70917265</t>
  </si>
  <si>
    <t>EGG YOLK CAFE</t>
  </si>
  <si>
    <t>601850000</t>
  </si>
  <si>
    <t>100 S. NELTNOR</t>
  </si>
  <si>
    <t>30552350</t>
  </si>
  <si>
    <t>HI-VIEW RESTAURANT  :)</t>
  </si>
  <si>
    <t>425 W. ST.CHARLES ROAD</t>
  </si>
  <si>
    <t>40552093</t>
  </si>
  <si>
    <t>OAKLAWN RESTAURANT :)</t>
  </si>
  <si>
    <t>5769 W 95TH ST</t>
  </si>
  <si>
    <t>31284953</t>
  </si>
  <si>
    <t>WALTON STREET KITCHEN</t>
  </si>
  <si>
    <t>912 N STATE ST</t>
  </si>
  <si>
    <t>90486515</t>
  </si>
  <si>
    <t>HARNERS BAKERY, REST</t>
  </si>
  <si>
    <t>10 WEST STATE ST</t>
  </si>
  <si>
    <t>11150018</t>
  </si>
  <si>
    <t>EL CANTARITO-MICHIGAN CTY</t>
  </si>
  <si>
    <t>336 DUNES PLZ</t>
  </si>
  <si>
    <t>20552378</t>
  </si>
  <si>
    <t>BILL'S DINER</t>
  </si>
  <si>
    <t>597 SOUTH KENNEDY DRIVE</t>
  </si>
  <si>
    <t>60764404</t>
  </si>
  <si>
    <t>ROCKIT BAR WRIGLEY</t>
  </si>
  <si>
    <t>3700 N. CLARK</t>
  </si>
  <si>
    <t>21254560</t>
  </si>
  <si>
    <t>OVO FRITO CAFE</t>
  </si>
  <si>
    <t>1936 MAPLE AVE</t>
  </si>
  <si>
    <t>90572348</t>
  </si>
  <si>
    <t>GATSBY'S PIZZA &amp; PUB</t>
  </si>
  <si>
    <t>60004</t>
  </si>
  <si>
    <t>427 EAST RAND ROAD</t>
  </si>
  <si>
    <t>70790605</t>
  </si>
  <si>
    <t>RACINE PLUMBING</t>
  </si>
  <si>
    <t>2642 N. LINCOLN</t>
  </si>
  <si>
    <t>955922</t>
  </si>
  <si>
    <t>JB ALBERTO</t>
  </si>
  <si>
    <t>1326  MORSE</t>
  </si>
  <si>
    <t>21116462</t>
  </si>
  <si>
    <t>PEPPOS PALOS HILLS</t>
  </si>
  <si>
    <t>60465</t>
  </si>
  <si>
    <t>PALOS HILLS</t>
  </si>
  <si>
    <t>10303 S ROBERTS RD</t>
  </si>
  <si>
    <t>21047667</t>
  </si>
  <si>
    <t>THE DAWSON</t>
  </si>
  <si>
    <t>730 W GRAND AVE</t>
  </si>
  <si>
    <t>21239769</t>
  </si>
  <si>
    <t>CARY'S FAMILY RESTAURANT</t>
  </si>
  <si>
    <t>60013</t>
  </si>
  <si>
    <t>CARY</t>
  </si>
  <si>
    <t>350 NORTHWEST HWY</t>
  </si>
  <si>
    <t>40482291</t>
  </si>
  <si>
    <t>RAYS FAMILY REST :)</t>
  </si>
  <si>
    <t>801 ST CHARLES ST</t>
  </si>
  <si>
    <t>90482563</t>
  </si>
  <si>
    <t>LUXBAR</t>
  </si>
  <si>
    <t>18 E BELLVUE</t>
  </si>
  <si>
    <t>70552427</t>
  </si>
  <si>
    <t>MATTY'S RESTAURANT  :)</t>
  </si>
  <si>
    <t>605270000</t>
  </si>
  <si>
    <t>60527</t>
  </si>
  <si>
    <t>WILLOWBROOK</t>
  </si>
  <si>
    <t>10 S. 642 RT 83</t>
  </si>
  <si>
    <t>60552403</t>
  </si>
  <si>
    <t>L &amp; M STARLIGHT REST  :)</t>
  </si>
  <si>
    <t>60652</t>
  </si>
  <si>
    <t>8300 SO. KEDZIE AVE</t>
  </si>
  <si>
    <t>30702583</t>
  </si>
  <si>
    <t>REVOLUTION BREWING</t>
  </si>
  <si>
    <t>2323 N. MILWAUKEE AVE</t>
  </si>
  <si>
    <t>70920426</t>
  </si>
  <si>
    <t>HIBACHI GRILL GLENDALE</t>
  </si>
  <si>
    <t>240 TOWN CENTER LANE</t>
  </si>
  <si>
    <t>20636072</t>
  </si>
  <si>
    <t>BYRONS HOT DOG LAWRENCE</t>
  </si>
  <si>
    <t>1701 W LAWRENCE</t>
  </si>
  <si>
    <t>51212231</t>
  </si>
  <si>
    <t>MILLHURST ALE HOUSE :)</t>
  </si>
  <si>
    <t>2075 MARKETVIEW DR</t>
  </si>
  <si>
    <t>50911023</t>
  </si>
  <si>
    <t>LA DOLCE VITA OF LEMONT</t>
  </si>
  <si>
    <t>604390000</t>
  </si>
  <si>
    <t>60439</t>
  </si>
  <si>
    <t>LEMONT</t>
  </si>
  <si>
    <t>107 STEPHEN ST</t>
  </si>
  <si>
    <t>10552438</t>
  </si>
  <si>
    <t>RIVERS RESTAURANT</t>
  </si>
  <si>
    <t>30 S.LOWER WACKER</t>
  </si>
  <si>
    <t>61280293</t>
  </si>
  <si>
    <t>KENNY'S RIBS &amp; DUSTIE'S E</t>
  </si>
  <si>
    <t>60827</t>
  </si>
  <si>
    <t>CALUMET PARK</t>
  </si>
  <si>
    <t>1746 W 127TH ST</t>
  </si>
  <si>
    <t>50551779</t>
  </si>
  <si>
    <t>DENVERS FAMILY REST :)</t>
  </si>
  <si>
    <t>60469</t>
  </si>
  <si>
    <t>POSEN</t>
  </si>
  <si>
    <t>14710 S. WESTERN AVE</t>
  </si>
  <si>
    <t>71274948</t>
  </si>
  <si>
    <t>THE BROWN ONION PUB</t>
  </si>
  <si>
    <t>11 W 34TH ST</t>
  </si>
  <si>
    <t>90032269</t>
  </si>
  <si>
    <t>HARRY CARAY'S REST</t>
  </si>
  <si>
    <t>33 W KINZIE</t>
  </si>
  <si>
    <t>41020678</t>
  </si>
  <si>
    <t>POTATO CREEK JOHNNYS</t>
  </si>
  <si>
    <t>1850 WAUKEGAN RD</t>
  </si>
  <si>
    <t>61266482</t>
  </si>
  <si>
    <t>IRONSIDE BAR</t>
  </si>
  <si>
    <t>546 N WELLS ST</t>
  </si>
  <si>
    <t>81088577</t>
  </si>
  <si>
    <t>CASA MARGARITA-BOLINGBRK</t>
  </si>
  <si>
    <t>60490</t>
  </si>
  <si>
    <t>BOLINGBROOK</t>
  </si>
  <si>
    <t>145 S WEBER RD</t>
  </si>
  <si>
    <t>60645702</t>
  </si>
  <si>
    <t>HAPP BAR AND GRILL</t>
  </si>
  <si>
    <t>600930000</t>
  </si>
  <si>
    <t>NORTHFIELD</t>
  </si>
  <si>
    <t>305 S. HAPP RD.</t>
  </si>
  <si>
    <t>70483581</t>
  </si>
  <si>
    <t>JU RIN</t>
  </si>
  <si>
    <t>588 RANDALL RD</t>
  </si>
  <si>
    <t>60489812</t>
  </si>
  <si>
    <t>QUARTINO</t>
  </si>
  <si>
    <t>626 N STATE ST</t>
  </si>
  <si>
    <t>30982771</t>
  </si>
  <si>
    <t>CROSBY'S KITCHEN</t>
  </si>
  <si>
    <t>3455 N SOUTHPORT</t>
  </si>
  <si>
    <t>70730676</t>
  </si>
  <si>
    <t>CARDISS COLLINS CAFE:)CAF</t>
  </si>
  <si>
    <t>60699</t>
  </si>
  <si>
    <t>433 W. HARRISON ST.</t>
  </si>
  <si>
    <t>41055724</t>
  </si>
  <si>
    <t>OLD CROW SMOKEHOUSE</t>
  </si>
  <si>
    <t>3506 N. CLARK ST</t>
  </si>
  <si>
    <t>71119028</t>
  </si>
  <si>
    <t>HARVEST ROOM</t>
  </si>
  <si>
    <t>7164 W 127TH STREET</t>
  </si>
  <si>
    <t>60914629</t>
  </si>
  <si>
    <t>RIVERS HUGO'S-GIBSONS</t>
  </si>
  <si>
    <t>600180000</t>
  </si>
  <si>
    <t>3000 SOUTH RIVER ROAD</t>
  </si>
  <si>
    <t>UNKNOWN</t>
  </si>
  <si>
    <t>60520020</t>
  </si>
  <si>
    <t>FAMILY SQUARE REST :)</t>
  </si>
  <si>
    <t>604400000</t>
  </si>
  <si>
    <t>60440</t>
  </si>
  <si>
    <t>372 BOLINGBROOK DR</t>
  </si>
  <si>
    <t>71264956</t>
  </si>
  <si>
    <t>CRAFT DONUTS AND COFFEE</t>
  </si>
  <si>
    <t>60118</t>
  </si>
  <si>
    <t>WEST DUNDEE</t>
  </si>
  <si>
    <t>124 W MAIN ST</t>
  </si>
  <si>
    <t>21278916</t>
  </si>
  <si>
    <t>TAP HOUSE GRILL WHEELING</t>
  </si>
  <si>
    <t>1090 S MILWAUKEE AVE</t>
  </si>
  <si>
    <t>61220844</t>
  </si>
  <si>
    <t>CITY SOCIAL KITCHEN &amp; BAR</t>
  </si>
  <si>
    <t>120 N LA SALLE ST</t>
  </si>
  <si>
    <t>21156591</t>
  </si>
  <si>
    <t>URBAN COUNTER CHICAGO</t>
  </si>
  <si>
    <t>60605</t>
  </si>
  <si>
    <t>1221 S WABASH</t>
  </si>
  <si>
    <t>21275102</t>
  </si>
  <si>
    <t>STEVE'S BITES</t>
  </si>
  <si>
    <t>80 E CERMAK RD</t>
  </si>
  <si>
    <t>81198301</t>
  </si>
  <si>
    <t>SERRANOS MEXICAN GRILL</t>
  </si>
  <si>
    <t>46383</t>
  </si>
  <si>
    <t>VALPARAISO</t>
  </si>
  <si>
    <t>3125 CALUMET AVE</t>
  </si>
  <si>
    <t>30482681</t>
  </si>
  <si>
    <t>PAPAS PIZZA PLACE,,</t>
  </si>
  <si>
    <t>605170000</t>
  </si>
  <si>
    <t>60517</t>
  </si>
  <si>
    <t>WOODRIDGE</t>
  </si>
  <si>
    <t>8258 S JANES</t>
  </si>
  <si>
    <t>61142246</t>
  </si>
  <si>
    <t>VINES</t>
  </si>
  <si>
    <t>3554 N CLARK ST</t>
  </si>
  <si>
    <t>21038245</t>
  </si>
  <si>
    <t>BONGO ROOM 2</t>
  </si>
  <si>
    <t>1152 S WABASH</t>
  </si>
  <si>
    <t>51089027</t>
  </si>
  <si>
    <t>CITRUS DINER</t>
  </si>
  <si>
    <t>60559</t>
  </si>
  <si>
    <t>WESTMONT</t>
  </si>
  <si>
    <t>844 OGDEN AVENUE</t>
  </si>
  <si>
    <t>60552197</t>
  </si>
  <si>
    <t>NICKS PIZZA &amp; PUB ELGIN</t>
  </si>
  <si>
    <t>60123</t>
  </si>
  <si>
    <t>990 S RANDALL ROAD</t>
  </si>
  <si>
    <t>81300857</t>
  </si>
  <si>
    <t>JEWELL PARKWAY 1</t>
  </si>
  <si>
    <t>60015</t>
  </si>
  <si>
    <t>1 PARKWAY NORTH BLVD</t>
  </si>
  <si>
    <t>30482921</t>
  </si>
  <si>
    <t>90054412</t>
  </si>
  <si>
    <t>LUMES PANCAKE HSE PALOS</t>
  </si>
  <si>
    <t>12401 S. HARLEM AVE.</t>
  </si>
  <si>
    <t>80976178</t>
  </si>
  <si>
    <t>FRIACOS (JOLIET)</t>
  </si>
  <si>
    <t>60431</t>
  </si>
  <si>
    <t>1321 ROUTE 59</t>
  </si>
  <si>
    <t>91291583</t>
  </si>
  <si>
    <t>FALCON EDDIES BBQ</t>
  </si>
  <si>
    <t>825 CHURCH ST.</t>
  </si>
  <si>
    <t>81133746</t>
  </si>
  <si>
    <t>HEATING &amp; COOLING</t>
  </si>
  <si>
    <t>3530 N CLARK ST</t>
  </si>
  <si>
    <t>61275731</t>
  </si>
  <si>
    <t>JACKIE'S SUBS, SALADS &amp; G</t>
  </si>
  <si>
    <t>419 S JOLIET RD</t>
  </si>
  <si>
    <t>80881592</t>
  </si>
  <si>
    <t>PRISCILLAS HANOVER PARK</t>
  </si>
  <si>
    <t>1840 W ARMY TRAIL ROAD</t>
  </si>
  <si>
    <t>259440</t>
  </si>
  <si>
    <t>HUCK FINN REST PULASKI</t>
  </si>
  <si>
    <t>60629</t>
  </si>
  <si>
    <t>6650 S PULASKI RD</t>
  </si>
  <si>
    <t>10482057</t>
  </si>
  <si>
    <t>PLAYERS GRILL,</t>
  </si>
  <si>
    <t>600350000</t>
  </si>
  <si>
    <t>1855 DEERFIELD RD</t>
  </si>
  <si>
    <t>90552514</t>
  </si>
  <si>
    <t>KENNEDY CAFE    :)</t>
  </si>
  <si>
    <t>463230000</t>
  </si>
  <si>
    <t>46323</t>
  </si>
  <si>
    <t>HAMMOND</t>
  </si>
  <si>
    <t>6818 KENNEDY AVENUE</t>
  </si>
  <si>
    <t>1161322</t>
  </si>
  <si>
    <t>SKILLETS BISTRO</t>
  </si>
  <si>
    <t>2040 45TH ST</t>
  </si>
  <si>
    <t>81239188</t>
  </si>
  <si>
    <t>FRIACO'S TACOS &amp; TEQUILA</t>
  </si>
  <si>
    <t>60403</t>
  </si>
  <si>
    <t>CREST HILL</t>
  </si>
  <si>
    <t>20645 W RENWICK RD</t>
  </si>
  <si>
    <t>91174268</t>
  </si>
  <si>
    <t>BUGABOO'S  DRINK LLC</t>
  </si>
  <si>
    <t>14257 LAKE SHORE DR</t>
  </si>
  <si>
    <t>31275589</t>
  </si>
  <si>
    <t>MCHENRY VFW</t>
  </si>
  <si>
    <t>3002 IL-120</t>
  </si>
  <si>
    <t>30550313</t>
  </si>
  <si>
    <t>TAPAS BARCELONA</t>
  </si>
  <si>
    <t>1615 CHICAGO AVE.</t>
  </si>
  <si>
    <t>11153418</t>
  </si>
  <si>
    <t>JENNY'S STEAK HOUSE</t>
  </si>
  <si>
    <t>60415</t>
  </si>
  <si>
    <t>CHICAGO RIDGE</t>
  </si>
  <si>
    <t>11041 MENARD AVE</t>
  </si>
  <si>
    <t>520072</t>
  </si>
  <si>
    <t>RED APPLE CAROL STREAM:)</t>
  </si>
  <si>
    <t>414 SOUTH SCHMALE RD</t>
  </si>
  <si>
    <t>31294952</t>
  </si>
  <si>
    <t>REP'S PLACE</t>
  </si>
  <si>
    <t>3200 KIRCHOFF RD</t>
  </si>
  <si>
    <t>50995323</t>
  </si>
  <si>
    <t>WALLY'S REST</t>
  </si>
  <si>
    <t>1006 N. NORTHWEST HWY.</t>
  </si>
  <si>
    <t>81099483</t>
  </si>
  <si>
    <t>SWEET BABY RAY RESTAURANT</t>
  </si>
  <si>
    <t>601910000</t>
  </si>
  <si>
    <t>60191</t>
  </si>
  <si>
    <t>WOOD DALE</t>
  </si>
  <si>
    <t>249 E IRVING PARK RD</t>
  </si>
  <si>
    <t>29785</t>
  </si>
  <si>
    <t>POOR PHIL'S</t>
  </si>
  <si>
    <t>60302</t>
  </si>
  <si>
    <t>OAK PARK</t>
  </si>
  <si>
    <t>139 S MARION ST</t>
  </si>
  <si>
    <t>91058958</t>
  </si>
  <si>
    <t>OLD TOWN POUR HOUSE OAKBR</t>
  </si>
  <si>
    <t>60523</t>
  </si>
  <si>
    <t>OAK BROOK</t>
  </si>
  <si>
    <t>8 OAKBROOK CENTER</t>
  </si>
  <si>
    <t>91272286</t>
  </si>
  <si>
    <t>PROVECHO, INC.</t>
  </si>
  <si>
    <t>106 N MAIN ST</t>
  </si>
  <si>
    <t>10157550</t>
  </si>
  <si>
    <t>GOOSE ISLAND CLYBOURN</t>
  </si>
  <si>
    <t>1800 N CLYBOURN AVE</t>
  </si>
  <si>
    <t>20947743</t>
  </si>
  <si>
    <t>FRASCA PIZZERIA</t>
  </si>
  <si>
    <t>3356-58 N PAULINA ST</t>
  </si>
  <si>
    <t>70512520</t>
  </si>
  <si>
    <t>EMERALD LOOP          @@</t>
  </si>
  <si>
    <t>216 N.WABASH AVE</t>
  </si>
  <si>
    <t>31131451</t>
  </si>
  <si>
    <t>FOODBARZ LISLE</t>
  </si>
  <si>
    <t>60532</t>
  </si>
  <si>
    <t>LISLE</t>
  </si>
  <si>
    <t>4225 NAPERVILLE RD UNIT</t>
  </si>
  <si>
    <t>71252365</t>
  </si>
  <si>
    <t>JOE'S CAFE</t>
  </si>
  <si>
    <t>1312 N MAIN ST # SUITE A</t>
  </si>
  <si>
    <t>21110804</t>
  </si>
  <si>
    <t>PINTS</t>
  </si>
  <si>
    <t>112 S YORK RD</t>
  </si>
  <si>
    <t>21204359</t>
  </si>
  <si>
    <t>BRGRBELLY PORTAGE PARK</t>
  </si>
  <si>
    <t>5739 W IRVING PARK RD</t>
  </si>
  <si>
    <t>71139521</t>
  </si>
  <si>
    <t>70405907</t>
  </si>
  <si>
    <t>MEDICI ON 57TH</t>
  </si>
  <si>
    <t>60637</t>
  </si>
  <si>
    <t>1327 E. 57TH STREET</t>
  </si>
  <si>
    <t>91195701</t>
  </si>
  <si>
    <t>LENCIONI'S PUB &amp; BANQUETS</t>
  </si>
  <si>
    <t>LYNWOOD</t>
  </si>
  <si>
    <t>3325 GLENWOOD DYER RD</t>
  </si>
  <si>
    <t>11154036</t>
  </si>
  <si>
    <t>720 MILWAUKEE AVE</t>
  </si>
  <si>
    <t>462473</t>
  </si>
  <si>
    <t>BASIL LEAF</t>
  </si>
  <si>
    <t>2465 N. CLARK ST.</t>
  </si>
  <si>
    <t>21212089</t>
  </si>
  <si>
    <t>JUICY O DOWNERS GROVE :)</t>
  </si>
  <si>
    <t>2942 FINLEY RD</t>
  </si>
  <si>
    <t>80482847</t>
  </si>
  <si>
    <t>MCGEES</t>
  </si>
  <si>
    <t>952 W WEBSTER</t>
  </si>
  <si>
    <t>20497525</t>
  </si>
  <si>
    <t>TSUKASA / KANEKO</t>
  </si>
  <si>
    <t>561 N MILWAUKEE STE 105</t>
  </si>
  <si>
    <t>231779</t>
  </si>
  <si>
    <t>MAIN ST CAFE</t>
  </si>
  <si>
    <t>31180136</t>
  </si>
  <si>
    <t>THE GRILLROOM CHOPHOUSE</t>
  </si>
  <si>
    <t>33 WEST MONROE</t>
  </si>
  <si>
    <t>11132610</t>
  </si>
  <si>
    <t>THE HAMPTON SOCIAL RN</t>
  </si>
  <si>
    <t>353 W. HUBBARD ST STE 100</t>
  </si>
  <si>
    <t>31233158</t>
  </si>
  <si>
    <t>BAR TAKITO MORGAN</t>
  </si>
  <si>
    <t>201 N MORGAN ST</t>
  </si>
  <si>
    <t>70510961</t>
  </si>
  <si>
    <t>LA HACIENDA #1</t>
  </si>
  <si>
    <t>601010000</t>
  </si>
  <si>
    <t>1571 W. LAKE ST.</t>
  </si>
  <si>
    <t>61285946</t>
  </si>
  <si>
    <t>SMOKE DADDY WRIGLEY</t>
  </si>
  <si>
    <t>3636 N CLARK ST</t>
  </si>
  <si>
    <t>51199289</t>
  </si>
  <si>
    <t>URBAN COUNTER ST. CHARLES</t>
  </si>
  <si>
    <t>1820 BRICHER RD</t>
  </si>
  <si>
    <t>50390806</t>
  </si>
  <si>
    <t>NICKS BBQ ALSIP</t>
  </si>
  <si>
    <t>60803</t>
  </si>
  <si>
    <t>ALSIP</t>
  </si>
  <si>
    <t>5500 W CAL SAG ROAD</t>
  </si>
  <si>
    <t>60921566</t>
  </si>
  <si>
    <t>STATION 21</t>
  </si>
  <si>
    <t>201 N MAIN STREET</t>
  </si>
  <si>
    <t>51029262</t>
  </si>
  <si>
    <t>TANTA</t>
  </si>
  <si>
    <t>118 W GRAND AVE</t>
  </si>
  <si>
    <t>71253512</t>
  </si>
  <si>
    <t>STATS BAR &amp; GRILL</t>
  </si>
  <si>
    <t>7201 KINGERY HWY</t>
  </si>
  <si>
    <t>61238572</t>
  </si>
  <si>
    <t>MACK'S GOLDEN PHEASANT</t>
  </si>
  <si>
    <t>668 W NORTH AVE</t>
  </si>
  <si>
    <t>51236875</t>
  </si>
  <si>
    <t>MOE JOE'S PLAINFIELD</t>
  </si>
  <si>
    <t>24033 LOCKPORT STREET</t>
  </si>
  <si>
    <t>20992822</t>
  </si>
  <si>
    <t>WANA PIZZA LAPORTE #3</t>
  </si>
  <si>
    <t>46350</t>
  </si>
  <si>
    <t>LAPORTE</t>
  </si>
  <si>
    <t>713 E. LINCOLNWAY</t>
  </si>
  <si>
    <t>40914459</t>
  </si>
  <si>
    <t>TWO BROTHERS ROUNDHOUSE</t>
  </si>
  <si>
    <t>60505</t>
  </si>
  <si>
    <t>205 N BROADWAY</t>
  </si>
  <si>
    <t>80789308</t>
  </si>
  <si>
    <t>MELI CAFE ON GRAND</t>
  </si>
  <si>
    <t>540 N. WELLS</t>
  </si>
  <si>
    <t>91147405</t>
  </si>
  <si>
    <t>BAR SIENA</t>
  </si>
  <si>
    <t>832 W. RANDOLPH ST.</t>
  </si>
  <si>
    <t>20995189</t>
  </si>
  <si>
    <t>BLISSFUL BANANA CAFE</t>
  </si>
  <si>
    <t>15447 S 94TH AVE</t>
  </si>
  <si>
    <t>30150825</t>
  </si>
  <si>
    <t>RJ'S EATERY</t>
  </si>
  <si>
    <t>1913 E GRAND AVE</t>
  </si>
  <si>
    <t>60411402</t>
  </si>
  <si>
    <t>HOWL AT THE MOON</t>
  </si>
  <si>
    <t>26 W. HUBBARD</t>
  </si>
  <si>
    <t>509968</t>
  </si>
  <si>
    <t>301-305 S. HALSTED</t>
  </si>
  <si>
    <t>20953709</t>
  </si>
  <si>
    <t>OLD TOWN POUR HOUSE</t>
  </si>
  <si>
    <t>1419 N WELLS</t>
  </si>
  <si>
    <t>41206384</t>
  </si>
  <si>
    <t>SUGAR FACTORY RIVER NORTH</t>
  </si>
  <si>
    <t>55 E GRAND AVE</t>
  </si>
  <si>
    <t>41252560</t>
  </si>
  <si>
    <t>TAPHOUSE GRILL OSWEGO#102</t>
  </si>
  <si>
    <t>123 W WASHINGTON ST</t>
  </si>
  <si>
    <t>61137972</t>
  </si>
  <si>
    <t>REMINGTONS</t>
  </si>
  <si>
    <t>20 NORTH MICHIGAN AVE</t>
  </si>
  <si>
    <t>80552219</t>
  </si>
  <si>
    <t>CONTINENTAL HOUSE   :)</t>
  </si>
  <si>
    <t>1545 E 162ND ST</t>
  </si>
  <si>
    <t>70482302</t>
  </si>
  <si>
    <t>CAFE OLYMPIC</t>
  </si>
  <si>
    <t>90 N WILLIAMS</t>
  </si>
  <si>
    <t>11241981</t>
  </si>
  <si>
    <t>LA CABANA- PORTAGE</t>
  </si>
  <si>
    <t>46368</t>
  </si>
  <si>
    <t>6510 US HIGHWAY 6</t>
  </si>
  <si>
    <t>21226170</t>
  </si>
  <si>
    <t>PRISCILLAS HAZEL CREST</t>
  </si>
  <si>
    <t>60429</t>
  </si>
  <si>
    <t>HAZEL CREST</t>
  </si>
  <si>
    <t>3840 W 183RD ST</t>
  </si>
  <si>
    <t>41292285</t>
  </si>
  <si>
    <t>OLD GROUNDS SOCIAL</t>
  </si>
  <si>
    <t>950 W WRIGHTWOOD AVE</t>
  </si>
  <si>
    <t>71286371</t>
  </si>
  <si>
    <t>DRAWL CHICAGO</t>
  </si>
  <si>
    <t>2423 N CLARK ST</t>
  </si>
  <si>
    <t>51077949</t>
  </si>
  <si>
    <t>CHICAGO PRIME ITALIAN</t>
  </si>
  <si>
    <t>601730000</t>
  </si>
  <si>
    <t>1370 BANK DRIVE</t>
  </si>
  <si>
    <t>80513104</t>
  </si>
  <si>
    <t>LUMES FRANKFORT</t>
  </si>
  <si>
    <t>60423</t>
  </si>
  <si>
    <t>FRANKFORT</t>
  </si>
  <si>
    <t>20594 S. LA GRANGE ROAD</t>
  </si>
  <si>
    <t>11317872</t>
  </si>
  <si>
    <t>LITTLE TAIL BAR AND GRILL</t>
  </si>
  <si>
    <t>840 S WAUKEGAN RD</t>
  </si>
  <si>
    <t>81275398</t>
  </si>
  <si>
    <t>TAVERN ON RUSH</t>
  </si>
  <si>
    <t>1031 N RUSH ST</t>
  </si>
  <si>
    <t>11172061</t>
  </si>
  <si>
    <t>50033141</t>
  </si>
  <si>
    <t>JEDI'S GARDEN RESTAURAN:)</t>
  </si>
  <si>
    <t>444 RIDGE ROAD</t>
  </si>
  <si>
    <t>592923</t>
  </si>
  <si>
    <t>BARTLETTS GRILL</t>
  </si>
  <si>
    <t>46301</t>
  </si>
  <si>
    <t>BEVERLY SHORES</t>
  </si>
  <si>
    <t>131 EAST DUNES HIGHWAY</t>
  </si>
  <si>
    <t>61158838</t>
  </si>
  <si>
    <t>LA STORIA</t>
  </si>
  <si>
    <t>1154 N DEARBORN ST</t>
  </si>
  <si>
    <t>80964711</t>
  </si>
  <si>
    <t>BRAZIL EXPRESS</t>
  </si>
  <si>
    <t>601950000</t>
  </si>
  <si>
    <t>60195</t>
  </si>
  <si>
    <t>1045 S ROSELLE RD</t>
  </si>
  <si>
    <t>10912236</t>
  </si>
  <si>
    <t>BENTLEY'S PNCKE/LAKE ST:)</t>
  </si>
  <si>
    <t>142-HE. LAKE ST.</t>
  </si>
  <si>
    <t>91132720</t>
  </si>
  <si>
    <t>OLD TOWN TAP INC</t>
  </si>
  <si>
    <t>60417</t>
  </si>
  <si>
    <t>CRETE</t>
  </si>
  <si>
    <t>475 W BURVILLE ROAD</t>
  </si>
  <si>
    <t>71216378</t>
  </si>
  <si>
    <t>MILLIE'S SUPPER CLUB</t>
  </si>
  <si>
    <t>2438 N LINCOLN AVE</t>
  </si>
  <si>
    <t>70171376</t>
  </si>
  <si>
    <t>LUMES PANCAKE HSE CHGO</t>
  </si>
  <si>
    <t>11601 S WESTERN AVE</t>
  </si>
  <si>
    <t>51285203</t>
  </si>
  <si>
    <t>CHOP HOUSE ON WICKER</t>
  </si>
  <si>
    <t>46373</t>
  </si>
  <si>
    <t>SAINT JOHN</t>
  </si>
  <si>
    <t>10808 WICKER AVE</t>
  </si>
  <si>
    <t>21277041</t>
  </si>
  <si>
    <t>WEST TOWN BAKERY CHI AVE</t>
  </si>
  <si>
    <t>1916 W CHICAGO AVE</t>
  </si>
  <si>
    <t>91203919</t>
  </si>
  <si>
    <t>PAPA RAYS PALATINE</t>
  </si>
  <si>
    <t>2070 N RAND RD</t>
  </si>
  <si>
    <t>50718436</t>
  </si>
  <si>
    <t>WESTWOOD TAVERN</t>
  </si>
  <si>
    <t>1385 NORTH MEACHAM ROAD</t>
  </si>
  <si>
    <t>70648191</t>
  </si>
  <si>
    <t>PRIME TIME :)</t>
  </si>
  <si>
    <t>60457</t>
  </si>
  <si>
    <t>HICKORY HILLS</t>
  </si>
  <si>
    <t>7750 W  95TH ST</t>
  </si>
  <si>
    <t>91224030</t>
  </si>
  <si>
    <t>94  WEST INC</t>
  </si>
  <si>
    <t>15410 S 94TH AVE</t>
  </si>
  <si>
    <t>20925483</t>
  </si>
  <si>
    <t>CAFE JUMPING BEAN</t>
  </si>
  <si>
    <t>1439 W. 18TH</t>
  </si>
  <si>
    <t>10636165</t>
  </si>
  <si>
    <t>MORETTI'S LITH #1200</t>
  </si>
  <si>
    <t>601560000</t>
  </si>
  <si>
    <t>60156</t>
  </si>
  <si>
    <t>LAKE IN THE HILLS</t>
  </si>
  <si>
    <t>220 N. RANDALL RD.</t>
  </si>
  <si>
    <t>1075720</t>
  </si>
  <si>
    <t>CRYSTAL LAKE RIB HOUSE #2</t>
  </si>
  <si>
    <t>60012</t>
  </si>
  <si>
    <t>540 EAST TERRA COTTA AVE</t>
  </si>
  <si>
    <t>81266355</t>
  </si>
  <si>
    <t>THE BRISTOL</t>
  </si>
  <si>
    <t>2152 N DAMEN AVE</t>
  </si>
  <si>
    <t>71227961</t>
  </si>
  <si>
    <t>BIG SKILLET INC:)</t>
  </si>
  <si>
    <t>90 TYLER CREEK PLZ</t>
  </si>
  <si>
    <t>91251447</t>
  </si>
  <si>
    <t>MY GRAIN BREWING</t>
  </si>
  <si>
    <t>60432</t>
  </si>
  <si>
    <t>50 E JEFFERSON ST</t>
  </si>
  <si>
    <t>21155858</t>
  </si>
  <si>
    <t>14210 S ROUTE 30 UNIT 100</t>
  </si>
  <si>
    <t>40551723</t>
  </si>
  <si>
    <t>MORRIS DINER</t>
  </si>
  <si>
    <t>60450</t>
  </si>
  <si>
    <t>MORRIS</t>
  </si>
  <si>
    <t>1920 N DIVISION STREET</t>
  </si>
  <si>
    <t>81135592</t>
  </si>
  <si>
    <t>FIRESIDE GRILLE-SUGAR GRO</t>
  </si>
  <si>
    <t>60554</t>
  </si>
  <si>
    <t>SUGAR GROVE</t>
  </si>
  <si>
    <t>49 SUGAR LN</t>
  </si>
  <si>
    <t>70551999</t>
  </si>
  <si>
    <t>TACO EL NORTE RESTAURANT</t>
  </si>
  <si>
    <t>410 N RT 21 UNIT 27</t>
  </si>
  <si>
    <t>40573495</t>
  </si>
  <si>
    <t>CAFE ROMA</t>
  </si>
  <si>
    <t>2175 POINT BLVD SUITE 120</t>
  </si>
  <si>
    <t>80808470</t>
  </si>
  <si>
    <t>PEPINO'S ITALIAN REST</t>
  </si>
  <si>
    <t>2410 ONTARIO ST</t>
  </si>
  <si>
    <t>1145291</t>
  </si>
  <si>
    <t>LA CARETTA</t>
  </si>
  <si>
    <t>464100000</t>
  </si>
  <si>
    <t>46410</t>
  </si>
  <si>
    <t>MERRILLVILLE</t>
  </si>
  <si>
    <t>269 W. 81ST AVE</t>
  </si>
  <si>
    <t>20547386</t>
  </si>
  <si>
    <t>TWO BROTHERS TAP HOUSE</t>
  </si>
  <si>
    <t>60555</t>
  </si>
  <si>
    <t>WARRENVILLE</t>
  </si>
  <si>
    <t>30W315 CALUMET AVE</t>
  </si>
  <si>
    <t>11174323</t>
  </si>
  <si>
    <t>EGGHEADZ CAFE</t>
  </si>
  <si>
    <t>60477</t>
  </si>
  <si>
    <t>TINLEY PARK</t>
  </si>
  <si>
    <t>16952 OAK PARK AVE</t>
  </si>
  <si>
    <t>10161107</t>
  </si>
  <si>
    <t>NORTHSIDE CAFE</t>
  </si>
  <si>
    <t>1635 N DAMEN AVE</t>
  </si>
  <si>
    <t>41203118</t>
  </si>
  <si>
    <t>EL MOLINO</t>
  </si>
  <si>
    <t>2112 ELGIN ROAD</t>
  </si>
  <si>
    <t>31284177</t>
  </si>
  <si>
    <t>TACO MADRE - GENEVA</t>
  </si>
  <si>
    <t>113 W STATE ST</t>
  </si>
  <si>
    <t>903898</t>
  </si>
  <si>
    <t>LEROY'S</t>
  </si>
  <si>
    <t>PORTER</t>
  </si>
  <si>
    <t>333 W US HIGHWAY 20</t>
  </si>
  <si>
    <t>91096552</t>
  </si>
  <si>
    <t>SOPHIA'S ORLAND PARK</t>
  </si>
  <si>
    <t>7110 WEST 159TH</t>
  </si>
  <si>
    <t>91198515</t>
  </si>
  <si>
    <t>CODA DI VOLPE</t>
  </si>
  <si>
    <t>3335 N SOUTHPORT AVE</t>
  </si>
  <si>
    <t>70577556</t>
  </si>
  <si>
    <t>CORNER STONE CAFE</t>
  </si>
  <si>
    <t>2753 WESTERN</t>
  </si>
  <si>
    <t>832873</t>
  </si>
  <si>
    <t>MIDWEST BREAKFAST COMPANY</t>
  </si>
  <si>
    <t>2207 STATE RT.12 UNIT A</t>
  </si>
  <si>
    <t>90646829</t>
  </si>
  <si>
    <t>SNUGGERY-MCHENRY #1300</t>
  </si>
  <si>
    <t>801 N. RIVER ROAD</t>
  </si>
  <si>
    <t>30576854</t>
  </si>
  <si>
    <t>NICKY'S GYROS</t>
  </si>
  <si>
    <t>60409</t>
  </si>
  <si>
    <t>CALUMET CITY</t>
  </si>
  <si>
    <t>2050 SIBLEY BLVD</t>
  </si>
  <si>
    <t>40957284</t>
  </si>
  <si>
    <t>MONTI'S</t>
  </si>
  <si>
    <t>4757 N. TALMAN AVE.</t>
  </si>
  <si>
    <t>71019558</t>
  </si>
  <si>
    <t>BRANDTS OF PALATINE</t>
  </si>
  <si>
    <t>807 W NORTHWEST HWY</t>
  </si>
  <si>
    <t>40986234</t>
  </si>
  <si>
    <t>HAMMER'S</t>
  </si>
  <si>
    <t>2134 E US HWY 20</t>
  </si>
  <si>
    <t>10035145</t>
  </si>
  <si>
    <t>Q'S REST &amp; PIZZERIA</t>
  </si>
  <si>
    <t>601620000</t>
  </si>
  <si>
    <t>60162</t>
  </si>
  <si>
    <t>HILLSIDE</t>
  </si>
  <si>
    <t>4841 BUTTERFIELD RD</t>
  </si>
  <si>
    <t>40884876</t>
  </si>
  <si>
    <t>TSUKASA OF TOKYO/KILDEER</t>
  </si>
  <si>
    <t>KILDEER</t>
  </si>
  <si>
    <t>20505 RAND ROAD</t>
  </si>
  <si>
    <t>11198470</t>
  </si>
  <si>
    <t>YERBABUENA/MAIN STREET</t>
  </si>
  <si>
    <t>4734 MAIN ST</t>
  </si>
  <si>
    <t>70482625</t>
  </si>
  <si>
    <t>HUGOS FROG BAR</t>
  </si>
  <si>
    <t>55 S MAIN ST STE 127</t>
  </si>
  <si>
    <t>41232398</t>
  </si>
  <si>
    <t>FERRERO</t>
  </si>
  <si>
    <t>151 N. MICHIGAN AVE</t>
  </si>
  <si>
    <t>31155476</t>
  </si>
  <si>
    <t>CORRIDOR</t>
  </si>
  <si>
    <t>3446 N SOUTHPORT</t>
  </si>
  <si>
    <t>51280303</t>
  </si>
  <si>
    <t>CHEF KLAUS BIER STUBE</t>
  </si>
  <si>
    <t>20827 S LA GRANGE RD</t>
  </si>
  <si>
    <t>90482829</t>
  </si>
  <si>
    <t>MORRISON ROADHOUSE</t>
  </si>
  <si>
    <t>7355 N HARLEM AVE</t>
  </si>
  <si>
    <t>70715180</t>
  </si>
  <si>
    <t>ANOTHER ROUND BAR &amp; GRILL</t>
  </si>
  <si>
    <t>5141 MAIN STREET</t>
  </si>
  <si>
    <t>40678435</t>
  </si>
  <si>
    <t>MERCADITO CHICAGO</t>
  </si>
  <si>
    <t>108 W. KINZIE ST.</t>
  </si>
  <si>
    <t>11239175</t>
  </si>
  <si>
    <t>FRIACO'S MEXICAN(LISLE)</t>
  </si>
  <si>
    <t>6460 COLLEGE RD</t>
  </si>
  <si>
    <t>80570997</t>
  </si>
  <si>
    <t>POPS PIZZA</t>
  </si>
  <si>
    <t>60172</t>
  </si>
  <si>
    <t>ROSELLE</t>
  </si>
  <si>
    <t>817 NERGE RD</t>
  </si>
  <si>
    <t>51040723</t>
  </si>
  <si>
    <t>HIENIE'S MCCARTHY'S</t>
  </si>
  <si>
    <t>9869 W 143RD ST</t>
  </si>
  <si>
    <t>50716869</t>
  </si>
  <si>
    <t>LADY GREGORY'S</t>
  </si>
  <si>
    <t>5260 N.CLARK ST</t>
  </si>
  <si>
    <t>51272813</t>
  </si>
  <si>
    <t>INA MAE'S</t>
  </si>
  <si>
    <t>1415 N WOOD ST</t>
  </si>
  <si>
    <t>1169622</t>
  </si>
  <si>
    <t>2496 N RANDALL RD</t>
  </si>
  <si>
    <t>60347507</t>
  </si>
  <si>
    <t>DIPIERO'S</t>
  </si>
  <si>
    <t>LAKE ZURICH</t>
  </si>
  <si>
    <t>44 SOUTH OLD RAND ROAD</t>
  </si>
  <si>
    <t>20793717</t>
  </si>
  <si>
    <t>DELIA'S KITCHEN</t>
  </si>
  <si>
    <t>60301</t>
  </si>
  <si>
    <t>1034 LAKE ST.</t>
  </si>
  <si>
    <t>41228883</t>
  </si>
  <si>
    <t>JT'S PORCH SALOON AND EA</t>
  </si>
  <si>
    <t>601480000</t>
  </si>
  <si>
    <t>665 ROOSEVELT RD</t>
  </si>
  <si>
    <t>40962235</t>
  </si>
  <si>
    <t>PLAY BOOK SPORTS BAR</t>
  </si>
  <si>
    <t>6913 N MILWAUKEE AVE</t>
  </si>
  <si>
    <t>60482304</t>
  </si>
  <si>
    <t>ANDY'S FAMILY REST</t>
  </si>
  <si>
    <t>468 VIRGINIA ST</t>
  </si>
  <si>
    <t>41280298</t>
  </si>
  <si>
    <t>KENNY'S/DUSTIES MERRIVILL</t>
  </si>
  <si>
    <t>2893 E 81ST AVE</t>
  </si>
  <si>
    <t>71280754</t>
  </si>
  <si>
    <t>LIQR BOX</t>
  </si>
  <si>
    <t>873 N ORLEANS ST</t>
  </si>
  <si>
    <t>61275178</t>
  </si>
  <si>
    <t>THE FIFTY/50</t>
  </si>
  <si>
    <t>2047 W DIVISION ST</t>
  </si>
  <si>
    <t>81167710</t>
  </si>
  <si>
    <t>SIDE STREET AMERICAN TAVE</t>
  </si>
  <si>
    <t>18401 N CREEK DR</t>
  </si>
  <si>
    <t>31228646</t>
  </si>
  <si>
    <t>PIG DOG PUB LLC :)</t>
  </si>
  <si>
    <t>1250 S BROADWAY RD</t>
  </si>
  <si>
    <t>81304271</t>
  </si>
  <si>
    <t>BERRY FIELD CAFE</t>
  </si>
  <si>
    <t>60445</t>
  </si>
  <si>
    <t>MIDLOTHIAN</t>
  </si>
  <si>
    <t>4028 147TH ST</t>
  </si>
  <si>
    <t>61061131</t>
  </si>
  <si>
    <t>LITTLE ITALY</t>
  </si>
  <si>
    <t>1155 JOLIET ST</t>
  </si>
  <si>
    <t>21016134</t>
  </si>
  <si>
    <t>GEMATO'S WOOD PIT BBQ</t>
  </si>
  <si>
    <t>604820000</t>
  </si>
  <si>
    <t>60482</t>
  </si>
  <si>
    <t>WORTH</t>
  </si>
  <si>
    <t>6701 W 111TH STREET</t>
  </si>
  <si>
    <t>41110230</t>
  </si>
  <si>
    <t>RAYMES STEAK &amp; FISH HOUSE</t>
  </si>
  <si>
    <t>605320000</t>
  </si>
  <si>
    <t>4801 LINCOLN AVE</t>
  </si>
  <si>
    <t>71104822</t>
  </si>
  <si>
    <t>SUGAR FACTORY</t>
  </si>
  <si>
    <t>5445 PARK PLACE</t>
  </si>
  <si>
    <t>40915548</t>
  </si>
  <si>
    <t>BULL PEN BAR :)</t>
  </si>
  <si>
    <t>1013 W US 30</t>
  </si>
  <si>
    <t>11283900</t>
  </si>
  <si>
    <t>KAMEHACHI</t>
  </si>
  <si>
    <t>1531 N WELLS ST</t>
  </si>
  <si>
    <t>41237892</t>
  </si>
  <si>
    <t>GIANNI'S CAFE-KILDEER</t>
  </si>
  <si>
    <t>20505 RAND RD</t>
  </si>
  <si>
    <t>70515457</t>
  </si>
  <si>
    <t>SCREMENTI'S REST&amp;BANQUETS</t>
  </si>
  <si>
    <t>3760 CHICAGO RD</t>
  </si>
  <si>
    <t>91191015</t>
  </si>
  <si>
    <t>OLD TOWN POUR HOUSE - NAP</t>
  </si>
  <si>
    <t>1703 FREEDOM DR</t>
  </si>
  <si>
    <t>20030060</t>
  </si>
  <si>
    <t>DRURY LANE OAKBROOK</t>
  </si>
  <si>
    <t>OAKBROOK TERRACE</t>
  </si>
  <si>
    <t>100 DRURY LANE</t>
  </si>
  <si>
    <t>1239672</t>
  </si>
  <si>
    <t>BOLD AMERICAN FARE</t>
  </si>
  <si>
    <t>8 S MAIN ST</t>
  </si>
  <si>
    <t>51114445</t>
  </si>
  <si>
    <t>SOPHIAS HIGHLAND</t>
  </si>
  <si>
    <t>9344 INDIANAPOLIS BLVD</t>
  </si>
  <si>
    <t>91142240</t>
  </si>
  <si>
    <t>606134346</t>
  </si>
  <si>
    <t>952 W ADDISON ST</t>
  </si>
  <si>
    <t>10037604</t>
  </si>
  <si>
    <t>ANN SATHER'S - BELMONT</t>
  </si>
  <si>
    <t>909 W BELMONT</t>
  </si>
  <si>
    <t>10897684</t>
  </si>
  <si>
    <t>90 MILES CUBAN CAFE/ARMIT</t>
  </si>
  <si>
    <t>2540 W. ARMITAGE</t>
  </si>
  <si>
    <t>51083632</t>
  </si>
  <si>
    <t>KELSEYS OF VALPARAISO</t>
  </si>
  <si>
    <t>2300 US HIGHWAY 30</t>
  </si>
  <si>
    <t>80033608</t>
  </si>
  <si>
    <t>MORETTIS/LUCKY STAR #500</t>
  </si>
  <si>
    <t>60103</t>
  </si>
  <si>
    <t>BARTLETT</t>
  </si>
  <si>
    <t>1175 W LAKE ST.</t>
  </si>
  <si>
    <t>41232059</t>
  </si>
  <si>
    <t>TAPHOUSE GRILL PALATI#107</t>
  </si>
  <si>
    <t>56 W WILSON ST</t>
  </si>
  <si>
    <t>50997964</t>
  </si>
  <si>
    <t>HANNAH'S BRETZEL-DEARBORN</t>
  </si>
  <si>
    <t>131 S DEARBORN</t>
  </si>
  <si>
    <t>390757</t>
  </si>
  <si>
    <t>MIRAGE REST</t>
  </si>
  <si>
    <t>10255 W IRVING PARK RD</t>
  </si>
  <si>
    <t>50551738</t>
  </si>
  <si>
    <t>LARRY'S DINER  :)</t>
  </si>
  <si>
    <t>1131 WEST LOCKPORT STREET</t>
  </si>
  <si>
    <t>91131748</t>
  </si>
  <si>
    <t>CUBBY BEAR</t>
  </si>
  <si>
    <t>1059 W ADDISON ST</t>
  </si>
  <si>
    <t>61251724</t>
  </si>
  <si>
    <t>BEERHEAD BAR VERNON HILLS</t>
  </si>
  <si>
    <t>1270 S MILWAUKEE AVE</t>
  </si>
  <si>
    <t>81315376</t>
  </si>
  <si>
    <t>CMM CAFE KENNEDY KING</t>
  </si>
  <si>
    <t>60621</t>
  </si>
  <si>
    <t>6301 S HALSTED ST</t>
  </si>
  <si>
    <t>91032318</t>
  </si>
  <si>
    <t>OLYMPIC STAR</t>
  </si>
  <si>
    <t>604770000</t>
  </si>
  <si>
    <t>7100 W 171ST ST</t>
  </si>
  <si>
    <t>11309143</t>
  </si>
  <si>
    <t>MAGO SOUTH BARRINGTON</t>
  </si>
  <si>
    <t>SOUTH BARRINGTON</t>
  </si>
  <si>
    <t>100 W HIGGINS RD</t>
  </si>
  <si>
    <t>920033</t>
  </si>
  <si>
    <t>CAROL STREAM CAFE :)-CAF</t>
  </si>
  <si>
    <t>60199</t>
  </si>
  <si>
    <t>500 EAST FULLERTON</t>
  </si>
  <si>
    <t>60603123</t>
  </si>
  <si>
    <t>BAKER HILL RESTAURANT :)</t>
  </si>
  <si>
    <t>1279 DUNDEE ST (RT 25)</t>
  </si>
  <si>
    <t>51180008</t>
  </si>
  <si>
    <t>TAP HOUSE 1233/JKR OPS</t>
  </si>
  <si>
    <t>46405</t>
  </si>
  <si>
    <t>LAKE STATION</t>
  </si>
  <si>
    <t>1233 CENTRAL AVE</t>
  </si>
  <si>
    <t>20874913</t>
  </si>
  <si>
    <t>VAUGHANS SHEFFIELD</t>
  </si>
  <si>
    <t>2917 N.SHEFFIELD</t>
  </si>
  <si>
    <t>81230567</t>
  </si>
  <si>
    <t>BALAGIOS IN MOKENA</t>
  </si>
  <si>
    <t>60448</t>
  </si>
  <si>
    <t>MOKENA</t>
  </si>
  <si>
    <t>9716 191ST ST</t>
  </si>
  <si>
    <t>90483496</t>
  </si>
  <si>
    <t>CAFE DEL SOL #365</t>
  </si>
  <si>
    <t>3300 GOLF ROAD</t>
  </si>
  <si>
    <t>7084850263</t>
  </si>
  <si>
    <t>1267392</t>
  </si>
  <si>
    <t>MORETTI'S ROSEMONT #2000</t>
  </si>
  <si>
    <t>9519 W HIGGINS RD</t>
  </si>
  <si>
    <t>21305081</t>
  </si>
  <si>
    <t>SEAFOOD JUNCTION OAK PARK</t>
  </si>
  <si>
    <t>132 MADISON ST</t>
  </si>
  <si>
    <t>11281698</t>
  </si>
  <si>
    <t>GINO'S STEAKHOUSE - MERR</t>
  </si>
  <si>
    <t>600 E 81ST AVE</t>
  </si>
  <si>
    <t>50270859</t>
  </si>
  <si>
    <t>MAXIM'S      :)</t>
  </si>
  <si>
    <t>7205 BROADWAY</t>
  </si>
  <si>
    <t>40734576</t>
  </si>
  <si>
    <t>DILARS RESTAURANT :)</t>
  </si>
  <si>
    <t>8704 HIGHWAY 12</t>
  </si>
  <si>
    <t>80482888</t>
  </si>
  <si>
    <t>BONGO ROOM</t>
  </si>
  <si>
    <t>1470 N MILWAUKEE</t>
  </si>
  <si>
    <t>21026950</t>
  </si>
  <si>
    <t>THAT BURGER JOINT GLEN EL</t>
  </si>
  <si>
    <t>515 ROOSEVELT</t>
  </si>
  <si>
    <t>61212080</t>
  </si>
  <si>
    <t>JUICY O WILLOWBROOK :)</t>
  </si>
  <si>
    <t>HINSDALE LAKE COMMONS, 63</t>
  </si>
  <si>
    <t>50305291</t>
  </si>
  <si>
    <t>BUTTERFIELD PANCAKE HSE:)</t>
  </si>
  <si>
    <t>351 RICE LAKE SQUARE</t>
  </si>
  <si>
    <t>91122010</t>
  </si>
  <si>
    <t>WAUCONDA CAFE</t>
  </si>
  <si>
    <t>405 W LIBERTY ST</t>
  </si>
  <si>
    <t>60390994</t>
  </si>
  <si>
    <t>INDIANA REST :)</t>
  </si>
  <si>
    <t>46312</t>
  </si>
  <si>
    <t>EAST CHICAGO</t>
  </si>
  <si>
    <t>4728 INDIANAPOLIS BLVD</t>
  </si>
  <si>
    <t>81229809</t>
  </si>
  <si>
    <t>IVY RESTAURANT</t>
  </si>
  <si>
    <t>120 N HALE ST</t>
  </si>
  <si>
    <t>30811426</t>
  </si>
  <si>
    <t>MCMAE'S TAVERN AND GRILL</t>
  </si>
  <si>
    <t>1075 W. STEARNS RD</t>
  </si>
  <si>
    <t>11135829</t>
  </si>
  <si>
    <t>THE VAULT CAFE AND BAR</t>
  </si>
  <si>
    <t>308 CANAL STREET</t>
  </si>
  <si>
    <t>11257482</t>
  </si>
  <si>
    <t>BUZZ BAIT TAQUERIA</t>
  </si>
  <si>
    <t>1529 N WELLS ST</t>
  </si>
  <si>
    <t>40475485</t>
  </si>
  <si>
    <t>DOC RYANS</t>
  </si>
  <si>
    <t>7432 W. MADISON</t>
  </si>
  <si>
    <t>21129382</t>
  </si>
  <si>
    <t>TORTOISE CLUB</t>
  </si>
  <si>
    <t>350 N STATE</t>
  </si>
  <si>
    <t>938407</t>
  </si>
  <si>
    <t>CHEF LUCIANO</t>
  </si>
  <si>
    <t>49 E. CERMAK RD</t>
  </si>
  <si>
    <t>81174815</t>
  </si>
  <si>
    <t>ONION PUB</t>
  </si>
  <si>
    <t>22221 N PEPPER RD</t>
  </si>
  <si>
    <t>60484920</t>
  </si>
  <si>
    <t>JOHNNY CHOP HOUSE</t>
  </si>
  <si>
    <t>1500 MAIN ST</t>
  </si>
  <si>
    <t>50873793</t>
  </si>
  <si>
    <t>PUBLIC HOUSE</t>
  </si>
  <si>
    <t>400 N. STATE ST.</t>
  </si>
  <si>
    <t>81215055</t>
  </si>
  <si>
    <t>WILD HORSE STEAK HOUSE :)</t>
  </si>
  <si>
    <t>2314 W JEFFERSON ST</t>
  </si>
  <si>
    <t>70552518</t>
  </si>
  <si>
    <t>WHEEL       :)</t>
  </si>
  <si>
    <t>463240000</t>
  </si>
  <si>
    <t>46324</t>
  </si>
  <si>
    <t>7430 INDIANAPOLIS BLVD</t>
  </si>
  <si>
    <t>90727678</t>
  </si>
  <si>
    <t>SAVOURY PANCAKE CAFE</t>
  </si>
  <si>
    <t>782 W. BARTLETT RD.</t>
  </si>
  <si>
    <t>30552145</t>
  </si>
  <si>
    <t>GO JO'S</t>
  </si>
  <si>
    <t>600850000</t>
  </si>
  <si>
    <t>2929 BELVEDIER RD</t>
  </si>
  <si>
    <t>90926825</t>
  </si>
  <si>
    <t>LALO'S RESTAURANT</t>
  </si>
  <si>
    <t>425 ROSELLE RD</t>
  </si>
  <si>
    <t>90552233</t>
  </si>
  <si>
    <t>JALAPENOS</t>
  </si>
  <si>
    <t>200 US HWY 41</t>
  </si>
  <si>
    <t>41281098</t>
  </si>
  <si>
    <t>KYOTO HOFFMAN ESTATES</t>
  </si>
  <si>
    <t>60192</t>
  </si>
  <si>
    <t>4680 HOFFMAN BLVD</t>
  </si>
  <si>
    <t>61268462</t>
  </si>
  <si>
    <t>TWO VOLCANO SEAFOOD BOIL</t>
  </si>
  <si>
    <t>60459</t>
  </si>
  <si>
    <t>BURBANK</t>
  </si>
  <si>
    <t>4817 W 77TH ST</t>
  </si>
  <si>
    <t>10886075</t>
  </si>
  <si>
    <t>LEADER BAR</t>
  </si>
  <si>
    <t>3000 W. IRVING PARK</t>
  </si>
  <si>
    <t>61292272</t>
  </si>
  <si>
    <t>HONEY JAM CAFE / BOLING:)</t>
  </si>
  <si>
    <t>120 E BOUGHTON RD</t>
  </si>
  <si>
    <t>51205508</t>
  </si>
  <si>
    <t>BROWN BAG SEAFOOD REVIVAL</t>
  </si>
  <si>
    <t>125 S CLARK ST</t>
  </si>
  <si>
    <t>1255777</t>
  </si>
  <si>
    <t>MORE BREWING COMPANY</t>
  </si>
  <si>
    <t>126 S VILLA AVE</t>
  </si>
  <si>
    <t>91313684</t>
  </si>
  <si>
    <t>TACO MAYA</t>
  </si>
  <si>
    <t>823 S STATE ST</t>
  </si>
  <si>
    <t>10482578</t>
  </si>
  <si>
    <t>EJ PLACE</t>
  </si>
  <si>
    <t>600760000</t>
  </si>
  <si>
    <t>60076</t>
  </si>
  <si>
    <t>10027 SKOKIE BLVD</t>
  </si>
  <si>
    <t>90960097</t>
  </si>
  <si>
    <t>ADOBE GILA'S</t>
  </si>
  <si>
    <t>5455 PARK PLACE</t>
  </si>
  <si>
    <t>10527281</t>
  </si>
  <si>
    <t>LA QUESADILLA MEXICAN</t>
  </si>
  <si>
    <t>463730000</t>
  </si>
  <si>
    <t>10033 WICKER AVE SUITE 13</t>
  </si>
  <si>
    <t>70552401</t>
  </si>
  <si>
    <t>STEVENS RESTAURANT  :)</t>
  </si>
  <si>
    <t>2393 WEST 63RD STREET</t>
  </si>
  <si>
    <t>30734107</t>
  </si>
  <si>
    <t>ROCKIT BAR &amp; GRILL</t>
  </si>
  <si>
    <t>22 W HUBBARD ST</t>
  </si>
  <si>
    <t>91165860</t>
  </si>
  <si>
    <t>MADISON TAVERN</t>
  </si>
  <si>
    <t>500 W MADISON ST STE G008</t>
  </si>
  <si>
    <t>1291590</t>
  </si>
  <si>
    <t>PRAIRIE MOON 2</t>
  </si>
  <si>
    <t>1635 CHICAGO AVE</t>
  </si>
  <si>
    <t>60552502</t>
  </si>
  <si>
    <t>HESSVILLE RESTAURANT</t>
  </si>
  <si>
    <t>6737 S. KENNEDY AVE</t>
  </si>
  <si>
    <t>31130123</t>
  </si>
  <si>
    <t>CABANA ON THE CHAIN</t>
  </si>
  <si>
    <t>JOHNSBURG</t>
  </si>
  <si>
    <t>614 BALD KNOB RD</t>
  </si>
  <si>
    <t>21176821</t>
  </si>
  <si>
    <t>BLUE DOOR KITCHEN</t>
  </si>
  <si>
    <t>52 W ELM ST</t>
  </si>
  <si>
    <t>71012025</t>
  </si>
  <si>
    <t>PRIME STEAKHOUSE :)</t>
  </si>
  <si>
    <t>109 W JOLIET ST</t>
  </si>
  <si>
    <t>51182384</t>
  </si>
  <si>
    <t>JOY DISTRICT</t>
  </si>
  <si>
    <t>112 W HUBBARD ST</t>
  </si>
  <si>
    <t>91152975</t>
  </si>
  <si>
    <t>RACK HOUSE</t>
  </si>
  <si>
    <t>222 E ALGONQUIN RD</t>
  </si>
  <si>
    <t>20552279</t>
  </si>
  <si>
    <t>COMMANDER     :)</t>
  </si>
  <si>
    <t>745 RIDGE ROAD</t>
  </si>
  <si>
    <t>91150011</t>
  </si>
  <si>
    <t>ASADA GRILL &amp; CANTINA LLC</t>
  </si>
  <si>
    <t>216 S BROAD ST</t>
  </si>
  <si>
    <t>41152372</t>
  </si>
  <si>
    <t>CAFFE BACI</t>
  </si>
  <si>
    <t>2 N LA SALLE ST</t>
  </si>
  <si>
    <t>11292109</t>
  </si>
  <si>
    <t>FORK &amp; SPOON CAFE</t>
  </si>
  <si>
    <t>1264 STATE ST</t>
  </si>
  <si>
    <t>11046083</t>
  </si>
  <si>
    <t>MR BENNYS STEAK &amp; LOBSTER</t>
  </si>
  <si>
    <t>604480000</t>
  </si>
  <si>
    <t>19200 EVERETT LN</t>
  </si>
  <si>
    <t>61079216</t>
  </si>
  <si>
    <t>THE BAKED APPLE</t>
  </si>
  <si>
    <t>1224 OGDEN</t>
  </si>
  <si>
    <t>20994844</t>
  </si>
  <si>
    <t>FAT BURRITO</t>
  </si>
  <si>
    <t>1302 N MAIN ST</t>
  </si>
  <si>
    <t>11212636</t>
  </si>
  <si>
    <t>COZY CORNER EDGEWATER</t>
  </si>
  <si>
    <t>60660</t>
  </si>
  <si>
    <t>6349 N CLARK ST</t>
  </si>
  <si>
    <t>30482236</t>
  </si>
  <si>
    <t>CAFE LA CAVE,</t>
  </si>
  <si>
    <t>2777 S MANNHEIM RD</t>
  </si>
  <si>
    <t>31131725</t>
  </si>
  <si>
    <t>STACKS</t>
  </si>
  <si>
    <t>175 LINCOLNWAY</t>
  </si>
  <si>
    <t>81211526</t>
  </si>
  <si>
    <t>LUCKY MONK</t>
  </si>
  <si>
    <t>105 HOLLYWOOD BLVD</t>
  </si>
  <si>
    <t>61213633</t>
  </si>
  <si>
    <t>RED ARROW TAP ROOM</t>
  </si>
  <si>
    <t>111 E 1ST ST</t>
  </si>
  <si>
    <t>20482329</t>
  </si>
  <si>
    <t>GRECIAN KITCHEN</t>
  </si>
  <si>
    <t>3938 W DEMPSTER</t>
  </si>
  <si>
    <t>31076524</t>
  </si>
  <si>
    <t>THE BLOSSOM CAFE</t>
  </si>
  <si>
    <t>8349 W LAWRENCE</t>
  </si>
  <si>
    <t>81210221</t>
  </si>
  <si>
    <t>RADIUS</t>
  </si>
  <si>
    <t>15 LINCOLNWAY</t>
  </si>
  <si>
    <t>21097555</t>
  </si>
  <si>
    <t>GLEN OAK CAFE</t>
  </si>
  <si>
    <t>479 A  PENNSYLVANIA  AVE</t>
  </si>
  <si>
    <t>81269326</t>
  </si>
  <si>
    <t>JERK TACO MAN SOUTH</t>
  </si>
  <si>
    <t>60619</t>
  </si>
  <si>
    <t>7723 S STATE ST</t>
  </si>
  <si>
    <t>51163129</t>
  </si>
  <si>
    <t>MADISON PARK KITCHEN</t>
  </si>
  <si>
    <t>7525 MADISON ST</t>
  </si>
  <si>
    <t>528109</t>
  </si>
  <si>
    <t>ALEF SAUSAGE AND DELI</t>
  </si>
  <si>
    <t>600600000</t>
  </si>
  <si>
    <t>356 TOWN LINE ROAD</t>
  </si>
  <si>
    <t>91134569</t>
  </si>
  <si>
    <t>J L'S PIZZA &amp; SPORTS BAR</t>
  </si>
  <si>
    <t>19 N. BOTHWELL</t>
  </si>
  <si>
    <t>71166623</t>
  </si>
  <si>
    <t>HOUSE OF PIZZA</t>
  </si>
  <si>
    <t>7008 INDIANAPOLIS BLVD</t>
  </si>
  <si>
    <t>11172590</t>
  </si>
  <si>
    <t>THE LOCAL</t>
  </si>
  <si>
    <t>198 E DELAWARE PL</t>
  </si>
  <si>
    <t>30984322</t>
  </si>
  <si>
    <t>THAT BURGER JOINT SKOKIE</t>
  </si>
  <si>
    <t>4811 DEMPSTER ST.</t>
  </si>
  <si>
    <t>1269984</t>
  </si>
  <si>
    <t>SHARKOS BBQ/ FREEDOM DRIV</t>
  </si>
  <si>
    <t>1715 FREEDOM DR.</t>
  </si>
  <si>
    <t>11313673</t>
  </si>
  <si>
    <t>MARCELLA'S PIZZERIA</t>
  </si>
  <si>
    <t>46392</t>
  </si>
  <si>
    <t>WHEATFIELD</t>
  </si>
  <si>
    <t>3854 STATE ROAD 1O</t>
  </si>
  <si>
    <t>91116343</t>
  </si>
  <si>
    <t>90 MILES CUBAN LINCOLNWOO</t>
  </si>
  <si>
    <t>3333 W TOUHY AVE</t>
  </si>
  <si>
    <t>932087</t>
  </si>
  <si>
    <t>DS CANTINA #1</t>
  </si>
  <si>
    <t>3352 N HALSTED</t>
  </si>
  <si>
    <t>40878225</t>
  </si>
  <si>
    <t>KRAPIL'S THE GREAT STEAK</t>
  </si>
  <si>
    <t>6600 W.111TH STREET</t>
  </si>
  <si>
    <t>50192418</t>
  </si>
  <si>
    <t>ASSEMBLY THE</t>
  </si>
  <si>
    <t>2570 W HASSELL RD</t>
  </si>
  <si>
    <t>71110217</t>
  </si>
  <si>
    <t>THAT BURGER JOINT BOLINGB</t>
  </si>
  <si>
    <t>860 E. BOUGHTON ROAD</t>
  </si>
  <si>
    <t>9999999999</t>
  </si>
  <si>
    <t>21224183</t>
  </si>
  <si>
    <t>CASA BONITA NEW</t>
  </si>
  <si>
    <t>633 N MILWAUKEE AVE</t>
  </si>
  <si>
    <t>40830721</t>
  </si>
  <si>
    <t>ALLEGRO DELI</t>
  </si>
  <si>
    <t>771 S BUFFALO GROVE RD</t>
  </si>
  <si>
    <t>71162168</t>
  </si>
  <si>
    <t>THE BURGER POINT</t>
  </si>
  <si>
    <t>1900 S STATE ST</t>
  </si>
  <si>
    <t>963587</t>
  </si>
  <si>
    <t>CRAFT HOUSE</t>
  </si>
  <si>
    <t>711-2 PLAZA DR</t>
  </si>
  <si>
    <t>70464326</t>
  </si>
  <si>
    <t>PAPA PASSERO'S</t>
  </si>
  <si>
    <t>6326 SOUTH CASS</t>
  </si>
  <si>
    <t>40985160</t>
  </si>
  <si>
    <t>807 LINCOLNWAY</t>
  </si>
  <si>
    <t>61256897</t>
  </si>
  <si>
    <t>SHEFFIELDS CHICAGO</t>
  </si>
  <si>
    <t>3258 N SHEFFIELD AVE</t>
  </si>
  <si>
    <t>11247889</t>
  </si>
  <si>
    <t>FISHERMAN ISLAND LANSING</t>
  </si>
  <si>
    <t>17033 TORRENCE AVE</t>
  </si>
  <si>
    <t>91109504</t>
  </si>
  <si>
    <t>BRYN MAWR BREAKFAST CLUB</t>
  </si>
  <si>
    <t>60659</t>
  </si>
  <si>
    <t>3348 W BRYN MAWR AVE</t>
  </si>
  <si>
    <t>71219216</t>
  </si>
  <si>
    <t>UPTON'S NATURALS CAFE</t>
  </si>
  <si>
    <t>2054 W GRAND AVE</t>
  </si>
  <si>
    <t>61004024</t>
  </si>
  <si>
    <t>SIENA TAVERN</t>
  </si>
  <si>
    <t>51 W KINZIE</t>
  </si>
  <si>
    <t>41231721</t>
  </si>
  <si>
    <t>EL SALTO SCHERERVILLE</t>
  </si>
  <si>
    <t>1090 US HWY 41</t>
  </si>
  <si>
    <t>21223268</t>
  </si>
  <si>
    <t>D'AGOSTINOS PIZZA OGDEN</t>
  </si>
  <si>
    <t>752 N OGDEN AVE</t>
  </si>
  <si>
    <t>40602591</t>
  </si>
  <si>
    <t>CHICAGO PRIME STEAKHSE</t>
  </si>
  <si>
    <t>1444 E ALGONQUIN RD</t>
  </si>
  <si>
    <t>51272532</t>
  </si>
  <si>
    <t>OCTAVIO</t>
  </si>
  <si>
    <t>5310 N CLARK ST</t>
  </si>
  <si>
    <t>50083104</t>
  </si>
  <si>
    <t>CAFE SALSA/COUNTRYSIDE</t>
  </si>
  <si>
    <t>605250000</t>
  </si>
  <si>
    <t>60525</t>
  </si>
  <si>
    <t>COUNTRYSIDE</t>
  </si>
  <si>
    <t>9932 W 55TH ST</t>
  </si>
  <si>
    <t>51287290</t>
  </si>
  <si>
    <t>CHICAGO BREWHOUSE</t>
  </si>
  <si>
    <t>11 W RIVERWALK SOUTH</t>
  </si>
  <si>
    <t>1153154</t>
  </si>
  <si>
    <t>CARB FREE CAFE</t>
  </si>
  <si>
    <t>222 MERCHANDISE MART PLZ</t>
  </si>
  <si>
    <t>41297458</t>
  </si>
  <si>
    <t>TEDS RESTAURANT</t>
  </si>
  <si>
    <t>580 BURNHAM AVE</t>
  </si>
  <si>
    <t>61111357</t>
  </si>
  <si>
    <t>SOVEREIGN TAP LLC</t>
  </si>
  <si>
    <t>24205 W LOCKPORT STREET</t>
  </si>
  <si>
    <t>903963</t>
  </si>
  <si>
    <t>BEACH CAFE</t>
  </si>
  <si>
    <t>46403</t>
  </si>
  <si>
    <t>GARY</t>
  </si>
  <si>
    <t>903 SHELBY STREET</t>
  </si>
  <si>
    <t>21280292</t>
  </si>
  <si>
    <t>KENNY'S/DUSTIES MATTESON</t>
  </si>
  <si>
    <t>60443</t>
  </si>
  <si>
    <t>MATTESON</t>
  </si>
  <si>
    <t>4012 LINCOLN HWY</t>
  </si>
  <si>
    <t>10793263</t>
  </si>
  <si>
    <t>CHICAGO Q</t>
  </si>
  <si>
    <t>1160 N. DEARBORN</t>
  </si>
  <si>
    <t>41299116</t>
  </si>
  <si>
    <t>REGION</t>
  </si>
  <si>
    <t>718 W NORTHWEST HIGHWAY</t>
  </si>
  <si>
    <t>21040571</t>
  </si>
  <si>
    <t>THE ALLEY GRILL &amp; TAP</t>
  </si>
  <si>
    <t>18700 S OLD LAGRANGE RD</t>
  </si>
  <si>
    <t>71197131</t>
  </si>
  <si>
    <t>TOWNHOUSE RESTAURANT</t>
  </si>
  <si>
    <t>111 SOUTH WACKER</t>
  </si>
  <si>
    <t>11284197</t>
  </si>
  <si>
    <t>TACO MADRE - ST. CHARLES</t>
  </si>
  <si>
    <t>902 S RANDALL RD</t>
  </si>
  <si>
    <t>71206387</t>
  </si>
  <si>
    <t>FOODBARZ OAKBROOK</t>
  </si>
  <si>
    <t>1 TOWER LN</t>
  </si>
  <si>
    <t>51235919</t>
  </si>
  <si>
    <t>CORTLANDS BUCKTOWN</t>
  </si>
  <si>
    <t>1645 W CORTLAND ST</t>
  </si>
  <si>
    <t>71212237</t>
  </si>
  <si>
    <t>2-FERS :)</t>
  </si>
  <si>
    <t>60447</t>
  </si>
  <si>
    <t>MINOOKA</t>
  </si>
  <si>
    <t>106 RIDGE RD</t>
  </si>
  <si>
    <t>51265650</t>
  </si>
  <si>
    <t>WOODY'S SPORTS BAR</t>
  </si>
  <si>
    <t>230 E IRVING PARK RD</t>
  </si>
  <si>
    <t>80966815</t>
  </si>
  <si>
    <t>LAKE STREET KITCHEN &amp; BAR</t>
  </si>
  <si>
    <t>1101 LAKE STREET</t>
  </si>
  <si>
    <t>81308074</t>
  </si>
  <si>
    <t>BROKEN BARRELL</t>
  </si>
  <si>
    <t>2548 N SOUTHPORT AVE</t>
  </si>
  <si>
    <t>71319651</t>
  </si>
  <si>
    <t>TILLY'S PO BOYS</t>
  </si>
  <si>
    <t>1455 RING RD</t>
  </si>
  <si>
    <t>30764591</t>
  </si>
  <si>
    <t>DANNY Z'S GRUB-N-PUB</t>
  </si>
  <si>
    <t>1860 45TH ST</t>
  </si>
  <si>
    <t>90534108</t>
  </si>
  <si>
    <t>GOURMET 45</t>
  </si>
  <si>
    <t>2420 EAST OAKTON STREET</t>
  </si>
  <si>
    <t>11075264</t>
  </si>
  <si>
    <t>LIGHTHOUSE RESTAURANT :)</t>
  </si>
  <si>
    <t>600 WABASH ST</t>
  </si>
  <si>
    <t>31235914</t>
  </si>
  <si>
    <t>STANDARD BAR AND GRILL</t>
  </si>
  <si>
    <t>1332 N MILWAUKEE AVE</t>
  </si>
  <si>
    <t>20391017</t>
  </si>
  <si>
    <t>HAWKEYES BAR &amp; GRILL</t>
  </si>
  <si>
    <t>1458 W TAYLOR ST</t>
  </si>
  <si>
    <t>535104</t>
  </si>
  <si>
    <t>RANDALLS PANCAKE HOUSE :)</t>
  </si>
  <si>
    <t>305 RANDALL RD.</t>
  </si>
  <si>
    <t>11067980</t>
  </si>
  <si>
    <t>DIXIE KITCHEN &amp; BAIT SHOP</t>
  </si>
  <si>
    <t>17940 TORRENCE AVE</t>
  </si>
  <si>
    <t>81028771</t>
  </si>
  <si>
    <t>HUBBARD INN</t>
  </si>
  <si>
    <t>110 W HUBBARD</t>
  </si>
  <si>
    <t>80552466</t>
  </si>
  <si>
    <t>EGGLECTIC CAFE #I</t>
  </si>
  <si>
    <t>145 NORTH HALE STREET</t>
  </si>
  <si>
    <t>90748179</t>
  </si>
  <si>
    <t>GOLDEN APPLE</t>
  </si>
  <si>
    <t>2971 N. LINCOLN</t>
  </si>
  <si>
    <t>545954</t>
  </si>
  <si>
    <t>CARMINA'S REST &amp; BANQUET</t>
  </si>
  <si>
    <t>1055 N. RANDALL RD</t>
  </si>
  <si>
    <t>61179313</t>
  </si>
  <si>
    <t>THE BEACON TAVERN</t>
  </si>
  <si>
    <t>405 N WABASH AVE</t>
  </si>
  <si>
    <t>71289490</t>
  </si>
  <si>
    <t>BROWNBAG SEAFOOD RIVER NO</t>
  </si>
  <si>
    <t>414 N WELLS ST</t>
  </si>
  <si>
    <t>50479708</t>
  </si>
  <si>
    <t>WHITE PALACE GRILL</t>
  </si>
  <si>
    <t>1159 SOUTH CANAL ST</t>
  </si>
  <si>
    <t>31289473</t>
  </si>
  <si>
    <t>MORETTIS MRTN GRVE #1900</t>
  </si>
  <si>
    <t>60053</t>
  </si>
  <si>
    <t>MORTON GROVE</t>
  </si>
  <si>
    <t>6415 DEMPSTER ST</t>
  </si>
  <si>
    <t>61045464</t>
  </si>
  <si>
    <t>HOPVINE BREWING COMPANY</t>
  </si>
  <si>
    <t>4030 FOX CENTER DRIVE</t>
  </si>
  <si>
    <t>90715780</t>
  </si>
  <si>
    <t>WILD GOOSE</t>
  </si>
  <si>
    <t>4265 N. LINCOLN AVE</t>
  </si>
  <si>
    <t>50896257</t>
  </si>
  <si>
    <t>STONE CITY SALOON</t>
  </si>
  <si>
    <t>60446</t>
  </si>
  <si>
    <t>ROMEOVILLE</t>
  </si>
  <si>
    <t>721 N. INDEPENDENCE</t>
  </si>
  <si>
    <t>21026562</t>
  </si>
  <si>
    <t>NICK'S</t>
  </si>
  <si>
    <t>1168 WILMETTE AVE</t>
  </si>
  <si>
    <t>80415888</t>
  </si>
  <si>
    <t>SULTAN'S MARKET</t>
  </si>
  <si>
    <t>2057 W NORTH AVE</t>
  </si>
  <si>
    <t>20560041</t>
  </si>
  <si>
    <t>BAVARIAN LODGE</t>
  </si>
  <si>
    <t>1800 OGDEN AVE</t>
  </si>
  <si>
    <t>51228377</t>
  </si>
  <si>
    <t>SWANSON'S DELI</t>
  </si>
  <si>
    <t>2414 W 103RD ST</t>
  </si>
  <si>
    <t>10552396</t>
  </si>
  <si>
    <t>CARROL'S GARDEN :)</t>
  </si>
  <si>
    <t>515 SCHMALE RD</t>
  </si>
  <si>
    <t>10967321</t>
  </si>
  <si>
    <t>GREEN TOMATO CAFE</t>
  </si>
  <si>
    <t>60623</t>
  </si>
  <si>
    <t>3750 W. OGDEN AVE</t>
  </si>
  <si>
    <t>51162964</t>
  </si>
  <si>
    <t>EL CARRITO</t>
  </si>
  <si>
    <t>6019 N LINCOLN AVE</t>
  </si>
  <si>
    <t>80731557</t>
  </si>
  <si>
    <t>PARE'A INC.</t>
  </si>
  <si>
    <t>69 FRANKLIN STREET</t>
  </si>
  <si>
    <t>10613016</t>
  </si>
  <si>
    <t>MOODY'S PUB</t>
  </si>
  <si>
    <t>5910 N BROADWAY</t>
  </si>
  <si>
    <t>90928037</t>
  </si>
  <si>
    <t>PAZZOS 311</t>
  </si>
  <si>
    <t>311 S. WACKER DRIVE</t>
  </si>
  <si>
    <t>91074138</t>
  </si>
  <si>
    <t>THE STILL BAR &amp; GRILL</t>
  </si>
  <si>
    <t>326 S. MAIN STREET</t>
  </si>
  <si>
    <t>40326100</t>
  </si>
  <si>
    <t>BAJA'S</t>
  </si>
  <si>
    <t>10749 RANDOLPH ST</t>
  </si>
  <si>
    <t>830976</t>
  </si>
  <si>
    <t>YANNIS ON WASHINGTON :)</t>
  </si>
  <si>
    <t>60954</t>
  </si>
  <si>
    <t>MOMENCE</t>
  </si>
  <si>
    <t>102 E WASHINGTON ST</t>
  </si>
  <si>
    <t>20551776</t>
  </si>
  <si>
    <t>ANTHONY'S PANCAKE HOUSE:)</t>
  </si>
  <si>
    <t>604410000</t>
  </si>
  <si>
    <t>60441</t>
  </si>
  <si>
    <t>LOCKPORT</t>
  </si>
  <si>
    <t>1030 E 9TH COURT</t>
  </si>
  <si>
    <t>21273172</t>
  </si>
  <si>
    <t>BREAD BASKET</t>
  </si>
  <si>
    <t>60641</t>
  </si>
  <si>
    <t>4725 W BELMONT AVE</t>
  </si>
  <si>
    <t>11269446</t>
  </si>
  <si>
    <t>CAFE STELIO'S</t>
  </si>
  <si>
    <t>7454 BROADWAY</t>
  </si>
  <si>
    <t>61205696</t>
  </si>
  <si>
    <t>LITTLE BEANS CAFE EVANSTO</t>
  </si>
  <si>
    <t>430 ASBURY AVE</t>
  </si>
  <si>
    <t>31156599</t>
  </si>
  <si>
    <t>URBAN COUNTER AURORA</t>
  </si>
  <si>
    <t>1395 BUTTERFIELD RD</t>
  </si>
  <si>
    <t>40483489</t>
  </si>
  <si>
    <t>MARIOS*</t>
  </si>
  <si>
    <t>1700 W. LAKE STREET</t>
  </si>
  <si>
    <t>60411956</t>
  </si>
  <si>
    <t>FRITZL'S EUROPEAN REST.</t>
  </si>
  <si>
    <t>377 N. RAND ROAD</t>
  </si>
  <si>
    <t>60484631</t>
  </si>
  <si>
    <t>NEW VALOIS REST.</t>
  </si>
  <si>
    <t>1518 E 53RD ST</t>
  </si>
  <si>
    <t>10551703</t>
  </si>
  <si>
    <t>LOUIS FAMILY REST :)</t>
  </si>
  <si>
    <t>1001 WEST JEFFERSON</t>
  </si>
  <si>
    <t>41220492</t>
  </si>
  <si>
    <t>BLACKBERRY BAR AND GRILL</t>
  </si>
  <si>
    <t>60119</t>
  </si>
  <si>
    <t>ELBURN</t>
  </si>
  <si>
    <t>1S731 IL ROUTE 47</t>
  </si>
  <si>
    <t>91130880</t>
  </si>
  <si>
    <t>IO COMEDY GROUP</t>
  </si>
  <si>
    <t>1501 N KINGSBURY ST</t>
  </si>
  <si>
    <t>91299545</t>
  </si>
  <si>
    <t>PLUM GARDEN MCHENRY</t>
  </si>
  <si>
    <t>3917 MAIN ST</t>
  </si>
  <si>
    <t>40520066</t>
  </si>
  <si>
    <t>UNCLE BUB'S HICKORY BBQ</t>
  </si>
  <si>
    <t>132 S. CASS AVE.</t>
  </si>
  <si>
    <t>41082496</t>
  </si>
  <si>
    <t>TEARDROP CAFE</t>
  </si>
  <si>
    <t>60451</t>
  </si>
  <si>
    <t>NEW LENOX</t>
  </si>
  <si>
    <t>826 LARAWAY ROAD</t>
  </si>
  <si>
    <t>90529009</t>
  </si>
  <si>
    <t>EL BRACERO MC #7</t>
  </si>
  <si>
    <t>4100 S FRANKLIN ST</t>
  </si>
  <si>
    <t>91241844</t>
  </si>
  <si>
    <t>FIRST DRAFT</t>
  </si>
  <si>
    <t>649 S CLARK ST</t>
  </si>
  <si>
    <t>70559703</t>
  </si>
  <si>
    <t>LAKE PARK RESTAURANT:)</t>
  </si>
  <si>
    <t>46342</t>
  </si>
  <si>
    <t>HOBART</t>
  </si>
  <si>
    <t>7 E. OLD RIDGE ROAD</t>
  </si>
  <si>
    <t>21228374</t>
  </si>
  <si>
    <t>REDWOOD LUXE BAR AND GRIL</t>
  </si>
  <si>
    <t>60461</t>
  </si>
  <si>
    <t>OLYMPIA FIELDS</t>
  </si>
  <si>
    <t>3462 VOLLMER RD</t>
  </si>
  <si>
    <t>81189748</t>
  </si>
  <si>
    <t>FREDDY'S STEAKHOUSE</t>
  </si>
  <si>
    <t>6442 KENNEDY AVE</t>
  </si>
  <si>
    <t>51011526</t>
  </si>
  <si>
    <t>HOFBRAUHAUS CHICAGO</t>
  </si>
  <si>
    <t>5500 PARK PLACE</t>
  </si>
  <si>
    <t>31037013</t>
  </si>
  <si>
    <t>BEER MARKET - BOLINGBROOK</t>
  </si>
  <si>
    <t>641 EAST BOUGHTON RD.</t>
  </si>
  <si>
    <t>90457359</t>
  </si>
  <si>
    <t>SOUTHFORK FAMILY REST :)</t>
  </si>
  <si>
    <t>14631 S. LAGRANGE ROAD</t>
  </si>
  <si>
    <t>11242856</t>
  </si>
  <si>
    <t>FATT MUSTARD</t>
  </si>
  <si>
    <t>60007</t>
  </si>
  <si>
    <t>ELK GROVE VILLAGE</t>
  </si>
  <si>
    <t>586 E DEVON AVE</t>
  </si>
  <si>
    <t>81013401</t>
  </si>
  <si>
    <t>HEARTY CAFE PANCAKE HSE</t>
  </si>
  <si>
    <t>9623 SO. WESTERN AVE</t>
  </si>
  <si>
    <t>71010318</t>
  </si>
  <si>
    <t>THE GREEN ROOM</t>
  </si>
  <si>
    <t>624 N MILWAUKEE AVE</t>
  </si>
  <si>
    <t>1123744</t>
  </si>
  <si>
    <t>BUTTERFIELDS-OAKBROOK:)</t>
  </si>
  <si>
    <t>1 S 616 SUMMIT AVE</t>
  </si>
  <si>
    <t>1226240</t>
  </si>
  <si>
    <t>ROSARIO'S RESTAURANTE</t>
  </si>
  <si>
    <t>777 N. ROSELLE RD</t>
  </si>
  <si>
    <t>11128154</t>
  </si>
  <si>
    <t>PESTOS</t>
  </si>
  <si>
    <t>3123 CALUMET AVE</t>
  </si>
  <si>
    <t>30482319</t>
  </si>
  <si>
    <t>PAULS FAMILY REST</t>
  </si>
  <si>
    <t>1300 LAWRENCE AVE</t>
  </si>
  <si>
    <t>60524261</t>
  </si>
  <si>
    <t>CORCORANS</t>
  </si>
  <si>
    <t>1615 N.WELLS</t>
  </si>
  <si>
    <t>50552389</t>
  </si>
  <si>
    <t>LES BROS/HICKORY HLS  :)</t>
  </si>
  <si>
    <t>7730 WEST 95TH STREET</t>
  </si>
  <si>
    <t>60552494</t>
  </si>
  <si>
    <t>PALATINE INN</t>
  </si>
  <si>
    <t>95 W NORTHWEST HWY</t>
  </si>
  <si>
    <t>51173482</t>
  </si>
  <si>
    <t>ROYALE BURGERS</t>
  </si>
  <si>
    <t>827 FRANKLIN ST</t>
  </si>
  <si>
    <t>51280295</t>
  </si>
  <si>
    <t>KENNY'S RIBS &amp; CHICKEN LA</t>
  </si>
  <si>
    <t>16825 TORRENCE AVE</t>
  </si>
  <si>
    <t>81018</t>
  </si>
  <si>
    <t>FELICIA'S MEAT MKT &amp; DELI</t>
  </si>
  <si>
    <t>664 MEACHAM RD</t>
  </si>
  <si>
    <t>31292691</t>
  </si>
  <si>
    <t>RED ARROW TAP ROOM NAPERV</t>
  </si>
  <si>
    <t>216 S WASHINGTON ST</t>
  </si>
  <si>
    <t>91250035</t>
  </si>
  <si>
    <t>BRIKI CAFE :)</t>
  </si>
  <si>
    <t>1453 W LAKE ST</t>
  </si>
  <si>
    <t>41141474</t>
  </si>
  <si>
    <t>ALEXANDER'S SOUTH SHORE</t>
  </si>
  <si>
    <t>4020 LINCOLN HIGH WAY</t>
  </si>
  <si>
    <t>80483019</t>
  </si>
  <si>
    <t>VALLEY LODGE CORP</t>
  </si>
  <si>
    <t>2132 WAUKEGAN RD</t>
  </si>
  <si>
    <t>70483250</t>
  </si>
  <si>
    <t>236 W LAKE ST</t>
  </si>
  <si>
    <t>71212104</t>
  </si>
  <si>
    <t>SOUTHERN BELLES- BEDFOR:)</t>
  </si>
  <si>
    <t>60455</t>
  </si>
  <si>
    <t>BEDFORD PARK</t>
  </si>
  <si>
    <t>6737 ARCHER AVE</t>
  </si>
  <si>
    <t>50591841</t>
  </si>
  <si>
    <t>XANDO CAFE</t>
  </si>
  <si>
    <t>8729 WEST 95TH ST.</t>
  </si>
  <si>
    <t>31073497</t>
  </si>
  <si>
    <t>NAANSENSE</t>
  </si>
  <si>
    <t>171 N WELLS</t>
  </si>
  <si>
    <t>70503347</t>
  </si>
  <si>
    <t>1ST PLACE BAR &amp; GRILL</t>
  </si>
  <si>
    <t>1736-40 ALGONQUIN RD</t>
  </si>
  <si>
    <t>80505332</t>
  </si>
  <si>
    <t>NIKO'S BREAKFAST CLUB :)</t>
  </si>
  <si>
    <t>4002 WEST 111 STREET</t>
  </si>
  <si>
    <t>41079815</t>
  </si>
  <si>
    <t>REVERIE REST</t>
  </si>
  <si>
    <t>414 N ORLEANS</t>
  </si>
  <si>
    <t>11252640</t>
  </si>
  <si>
    <t>TAP HOUSE GRILL HANOVER P</t>
  </si>
  <si>
    <t>7600 S BARRINGTON RD</t>
  </si>
  <si>
    <t>11281029</t>
  </si>
  <si>
    <t>THE HAMPTON SOCIAL STREET</t>
  </si>
  <si>
    <t>164 E GRAND AVE</t>
  </si>
  <si>
    <t>40621484</t>
  </si>
  <si>
    <t>FLIGHT</t>
  </si>
  <si>
    <t>60026</t>
  </si>
  <si>
    <t>1820 TOWER DRIVE</t>
  </si>
  <si>
    <t>81298952</t>
  </si>
  <si>
    <t>THE SOUTHERN CAFE :)</t>
  </si>
  <si>
    <t>1819 KNAPP RD</t>
  </si>
  <si>
    <t>30960249</t>
  </si>
  <si>
    <t>THE BONGO ROOM III</t>
  </si>
  <si>
    <t>5022 NORTH CLARK</t>
  </si>
  <si>
    <t>91150029</t>
  </si>
  <si>
    <t>EL CANTARITO-CHESTERTON</t>
  </si>
  <si>
    <t>709 PLAZA DR</t>
  </si>
  <si>
    <t>11157112</t>
  </si>
  <si>
    <t>NORTH &amp; CLARK CAFE</t>
  </si>
  <si>
    <t>1601 N CLARK ST</t>
  </si>
  <si>
    <t>1222272</t>
  </si>
  <si>
    <t>PUB 83 PIZZA &amp; BURGERS</t>
  </si>
  <si>
    <t>4868 ROUTE 83</t>
  </si>
  <si>
    <t>71207120</t>
  </si>
  <si>
    <t>BRGRBELLY WEST LOOP</t>
  </si>
  <si>
    <t>540 W MADISON ST FL 2</t>
  </si>
  <si>
    <t>50897875</t>
  </si>
  <si>
    <t>BIG APPLE / JOLIET :)</t>
  </si>
  <si>
    <t>107 N LARKIN ST</t>
  </si>
  <si>
    <t>71287270</t>
  </si>
  <si>
    <t>BACKROADS PUB AND GRILL</t>
  </si>
  <si>
    <t>13717 US RT 30</t>
  </si>
  <si>
    <t>80497845</t>
  </si>
  <si>
    <t>OVEREASY</t>
  </si>
  <si>
    <t>4943 N DAMEN AVE</t>
  </si>
  <si>
    <t>91220350</t>
  </si>
  <si>
    <t>CHICAGO WOOD FIRE PIZZA C</t>
  </si>
  <si>
    <t>6170 GRAND AVE STE 337</t>
  </si>
  <si>
    <t>90682261</t>
  </si>
  <si>
    <t>JAMESON'S PUB FRANKFORT</t>
  </si>
  <si>
    <t>9545 W SAINT FRANCIS RD</t>
  </si>
  <si>
    <t>91289173</t>
  </si>
  <si>
    <t>FRONT STREET CANTINA-NAPE</t>
  </si>
  <si>
    <t>15 W JEFFERSON AVE</t>
  </si>
  <si>
    <t>50032838</t>
  </si>
  <si>
    <t>PARAGON FAMILY REST :)</t>
  </si>
  <si>
    <t>1701 EAST 37TH AVE *</t>
  </si>
  <si>
    <t>21040514</t>
  </si>
  <si>
    <t>MELI CAFE ON DEARBORN</t>
  </si>
  <si>
    <t>500 S. DEARBORN</t>
  </si>
  <si>
    <t>31079858</t>
  </si>
  <si>
    <t>THE OGDEN CHICAGO</t>
  </si>
  <si>
    <t>1659 W. OGDEN AVE.</t>
  </si>
  <si>
    <t>51279560</t>
  </si>
  <si>
    <t>GINO'S STEAKHOUSE - CHEST</t>
  </si>
  <si>
    <t>791 INDIAN BOUNDARY RD</t>
  </si>
  <si>
    <t>71040471</t>
  </si>
  <si>
    <t>CASA DEL MAR VALPO</t>
  </si>
  <si>
    <t>157 FRANKLIN ST</t>
  </si>
  <si>
    <t>20980678</t>
  </si>
  <si>
    <t>THE HEARTLAND CAFE</t>
  </si>
  <si>
    <t>7000 N. GLENWOOD</t>
  </si>
  <si>
    <t>70965165</t>
  </si>
  <si>
    <t>CYOC 2</t>
  </si>
  <si>
    <t>2314 GREEN BAY ROAD</t>
  </si>
  <si>
    <t>70530266</t>
  </si>
  <si>
    <t>WILDE BAR &amp; RESTAURANT</t>
  </si>
  <si>
    <t>3130 N.BROADWAY</t>
  </si>
  <si>
    <t>51111359</t>
  </si>
  <si>
    <t>THE SADDLE ROOM</t>
  </si>
  <si>
    <t>2559 PRATUM AVE</t>
  </si>
  <si>
    <t>40924029</t>
  </si>
  <si>
    <t>STORMY'S</t>
  </si>
  <si>
    <t>1735 ORCHARD LANE</t>
  </si>
  <si>
    <t>30635940</t>
  </si>
  <si>
    <t>OPEN RANGE SOUTHWEST G</t>
  </si>
  <si>
    <t>ONE GOLFVIEW ROAD</t>
  </si>
  <si>
    <t>50432996</t>
  </si>
  <si>
    <t>BUTTERFIELDS ON NAPERVL:)</t>
  </si>
  <si>
    <t>1504 N NAPERVILLE BLVD</t>
  </si>
  <si>
    <t>51259331</t>
  </si>
  <si>
    <t>BRIANA'S PALATINE</t>
  </si>
  <si>
    <t>154 W NORTHWEST HWY</t>
  </si>
  <si>
    <t>11078359</t>
  </si>
  <si>
    <t>LOCKDOWN BAR &amp; GRILL</t>
  </si>
  <si>
    <t>1024 N. WESTERN AVENUE</t>
  </si>
  <si>
    <t>81146227</t>
  </si>
  <si>
    <t>JACKSON TAVERN</t>
  </si>
  <si>
    <t>216 W JACKSON BLVD</t>
  </si>
  <si>
    <t>61275145</t>
  </si>
  <si>
    <t>BAKIN AND EGGS NEW</t>
  </si>
  <si>
    <t>3120 N LINCOLN AVE</t>
  </si>
  <si>
    <t>51018638</t>
  </si>
  <si>
    <t>HOWELLS &amp; HOOD FOOD</t>
  </si>
  <si>
    <t>435 N. MICHIGAN AVE</t>
  </si>
  <si>
    <t>1027267</t>
  </si>
  <si>
    <t>BANDITO BARNEY'S BCH CLB</t>
  </si>
  <si>
    <t>EAST DUNDEE</t>
  </si>
  <si>
    <t>10 N RIVER STREET</t>
  </si>
  <si>
    <t>41255134</t>
  </si>
  <si>
    <t>BISTRO ON STERLING</t>
  </si>
  <si>
    <t>1040 STERLING AVE</t>
  </si>
  <si>
    <t>40029225</t>
  </si>
  <si>
    <t>LAWRYS PRIME RIB</t>
  </si>
  <si>
    <t>100 E ONTARIO         A/L</t>
  </si>
  <si>
    <t>21256250</t>
  </si>
  <si>
    <t>ELMHURST BREWING COMPANY</t>
  </si>
  <si>
    <t>171 N ADDISON AVE</t>
  </si>
  <si>
    <t>60612900</t>
  </si>
  <si>
    <t>WHITE RHINO BAR &amp; GRILL</t>
  </si>
  <si>
    <t>101 JOLIET STREET</t>
  </si>
  <si>
    <t>31046691</t>
  </si>
  <si>
    <t>NORTHWOODS HEARTY HOME CO</t>
  </si>
  <si>
    <t>968 E STEGER ROAD</t>
  </si>
  <si>
    <t>91309153</t>
  </si>
  <si>
    <t>MAGO ARLINGTON HEIGHTS</t>
  </si>
  <si>
    <t>115 W CAMPBELL ST</t>
  </si>
  <si>
    <t>10491124</t>
  </si>
  <si>
    <t>DINNER CLUB LLC</t>
  </si>
  <si>
    <t>60526</t>
  </si>
  <si>
    <t>LA GRANGE</t>
  </si>
  <si>
    <t>359 N LAGRANGE RD</t>
  </si>
  <si>
    <t>91069500</t>
  </si>
  <si>
    <t>BROWN BAG SEAFOOD RANDOLP</t>
  </si>
  <si>
    <t>340 E. RANDOLPH</t>
  </si>
  <si>
    <t>40830200</t>
  </si>
  <si>
    <t>MUCHO MAS RESTAURANT</t>
  </si>
  <si>
    <t>609 LINCOLNWAY</t>
  </si>
  <si>
    <t>11241817</t>
  </si>
  <si>
    <t>FORMENTO'S</t>
  </si>
  <si>
    <t>925 W RANDOLPH ST</t>
  </si>
  <si>
    <t>81256323</t>
  </si>
  <si>
    <t>TINY TAPP</t>
  </si>
  <si>
    <t>55 W RIVERWALK SOUTH</t>
  </si>
  <si>
    <t>41257890</t>
  </si>
  <si>
    <t>HALF - SOUR</t>
  </si>
  <si>
    <t>755 S CLARK ST</t>
  </si>
  <si>
    <t>41042300</t>
  </si>
  <si>
    <t>R PUBLIC HOUSE</t>
  </si>
  <si>
    <t>1508 W JARVIS</t>
  </si>
  <si>
    <t>71285621</t>
  </si>
  <si>
    <t>BUTCH MCGUIRE'S</t>
  </si>
  <si>
    <t>20 W DIVISION ST</t>
  </si>
  <si>
    <t>60552361</t>
  </si>
  <si>
    <t>LES BROS /OAKLAWN  :)</t>
  </si>
  <si>
    <t>8705 S. RIDGELAND</t>
  </si>
  <si>
    <t>80916125</t>
  </si>
  <si>
    <t>DEUCE'S AND DIAMOND CLUB</t>
  </si>
  <si>
    <t>3505 N CLARK</t>
  </si>
  <si>
    <t>10923803</t>
  </si>
  <si>
    <t>POOR BOY TOO</t>
  </si>
  <si>
    <t>60901</t>
  </si>
  <si>
    <t>KANKAKEE</t>
  </si>
  <si>
    <t>1515 W COURT STREET</t>
  </si>
  <si>
    <t>50552405</t>
  </si>
  <si>
    <t>GEORGE'S RESTAURANT &lt; :)</t>
  </si>
  <si>
    <t>110 WEBSTER STREET</t>
  </si>
  <si>
    <t>11211414</t>
  </si>
  <si>
    <t>LAJOSIE</t>
  </si>
  <si>
    <t>740 W RANDOLPH ST</t>
  </si>
  <si>
    <t>881045</t>
  </si>
  <si>
    <t>SOUTH BRANCH</t>
  </si>
  <si>
    <t>100 S WACKER DRIVE</t>
  </si>
  <si>
    <t>20336335</t>
  </si>
  <si>
    <t>CHEERS FOOD &amp; DRINK</t>
  </si>
  <si>
    <t>1942 45TH ST.</t>
  </si>
  <si>
    <t>10899987</t>
  </si>
  <si>
    <t>JC GEORGES</t>
  </si>
  <si>
    <t>181 COUNTRYSIDE PLZ</t>
  </si>
  <si>
    <t>61237194</t>
  </si>
  <si>
    <t>CUPITOL NAVY PIER #9</t>
  </si>
  <si>
    <t>455 ILLINOIS STREET</t>
  </si>
  <si>
    <t>11279536</t>
  </si>
  <si>
    <t>THE BALMORAL RESTAURAN</t>
  </si>
  <si>
    <t>CAMPTON HILLS</t>
  </si>
  <si>
    <t>40W099 IL - 64</t>
  </si>
  <si>
    <t>20552014</t>
  </si>
  <si>
    <t>MARTINI'S   :)</t>
  </si>
  <si>
    <t>1004 CALUMET AVE</t>
  </si>
  <si>
    <t>90033648</t>
  </si>
  <si>
    <t>MORETTIS MT PROSPECT #300</t>
  </si>
  <si>
    <t>1799 S. BUSSE</t>
  </si>
  <si>
    <t>41035049</t>
  </si>
  <si>
    <t>BACKYARD STEAK PIT</t>
  </si>
  <si>
    <t>1818 N. GRANDWOOD DR.</t>
  </si>
  <si>
    <t>70789979</t>
  </si>
  <si>
    <t>BYRONS HOT DOGS</t>
  </si>
  <si>
    <t>1017 W. IRVING</t>
  </si>
  <si>
    <t>60546629</t>
  </si>
  <si>
    <t>ANASTASIAS REST &amp;SPORTS</t>
  </si>
  <si>
    <t>950 HILLSIDE AVE</t>
  </si>
  <si>
    <t>51229938</t>
  </si>
  <si>
    <t>135 W MADISON ST</t>
  </si>
  <si>
    <t>1287077</t>
  </si>
  <si>
    <t>FLIGHT CLUB</t>
  </si>
  <si>
    <t>111 WEST WACKER DRIVE</t>
  </si>
  <si>
    <t>31089717</t>
  </si>
  <si>
    <t>WHISK</t>
  </si>
  <si>
    <t>2018 W CHICAGO</t>
  </si>
  <si>
    <t>91198812</t>
  </si>
  <si>
    <t>SHAKOU SERIES PARK RIDGE</t>
  </si>
  <si>
    <t>130 S PROSPECT AVE</t>
  </si>
  <si>
    <t>80612641</t>
  </si>
  <si>
    <t>MATTSON'S STEAKHOUSE</t>
  </si>
  <si>
    <t>8150 S. CICERO AVE.</t>
  </si>
  <si>
    <t>51169993</t>
  </si>
  <si>
    <t>IMPERIAL LAMIAN</t>
  </si>
  <si>
    <t>6 W HUBBARD ST</t>
  </si>
  <si>
    <t>60552346</t>
  </si>
  <si>
    <t>DIAMOND'S FAMILY REST</t>
  </si>
  <si>
    <t>3000 PLAINFIELD ROAD</t>
  </si>
  <si>
    <t>50476126</t>
  </si>
  <si>
    <t>PURPLE STEER WHITING</t>
  </si>
  <si>
    <t>46394</t>
  </si>
  <si>
    <t>WHITING</t>
  </si>
  <si>
    <t>1402 INDIANAPOLIS BLVD</t>
  </si>
  <si>
    <t>61290490</t>
  </si>
  <si>
    <t>EL GUACAMOLE REST</t>
  </si>
  <si>
    <t>15275 W 101ST AVE</t>
  </si>
  <si>
    <t>11189867</t>
  </si>
  <si>
    <t>BEACH HOUSE SOCIAL</t>
  </si>
  <si>
    <t>1501 N MILWAUKEE AVE</t>
  </si>
  <si>
    <t>50832674</t>
  </si>
  <si>
    <t>BLUE LINE</t>
  </si>
  <si>
    <t>1548 N DAMEN</t>
  </si>
  <si>
    <t>1127935</t>
  </si>
  <si>
    <t>SHAKOU ST CHARLES</t>
  </si>
  <si>
    <t>312 WEST MAIN STREET</t>
  </si>
  <si>
    <t>91138511</t>
  </si>
  <si>
    <t>THE WINDSOR</t>
  </si>
  <si>
    <t>160 E HURON ST</t>
  </si>
  <si>
    <t>61202834</t>
  </si>
  <si>
    <t>IRISH LEGEND</t>
  </si>
  <si>
    <t>60480</t>
  </si>
  <si>
    <t>WILLOW SPRINGS</t>
  </si>
  <si>
    <t>8933 ARCHER AVE</t>
  </si>
  <si>
    <t>90033010</t>
  </si>
  <si>
    <t>BARNABYS     DE-WEN INC</t>
  </si>
  <si>
    <t>636 E TOUHY AVE</t>
  </si>
  <si>
    <t>31143027</t>
  </si>
  <si>
    <t>MY LITTLE RANCH</t>
  </si>
  <si>
    <t>1628 E. COMMERCIAL AVE</t>
  </si>
  <si>
    <t>41165523</t>
  </si>
  <si>
    <t>TACO URBANO</t>
  </si>
  <si>
    <t>200 N RANDALL RD</t>
  </si>
  <si>
    <t>91256180</t>
  </si>
  <si>
    <t>THE WHISTLE TINLEY PARK</t>
  </si>
  <si>
    <t>7537 W 159TH ST</t>
  </si>
  <si>
    <t>40561268</t>
  </si>
  <si>
    <t>BUTTERFIELDS REST/NBRK :)</t>
  </si>
  <si>
    <t>4195 DUNDEE ROAD</t>
  </si>
  <si>
    <t>40911166</t>
  </si>
  <si>
    <t>MI RANCHITO</t>
  </si>
  <si>
    <t>149 WEST COMMERCIAL AVE</t>
  </si>
  <si>
    <t>30483994</t>
  </si>
  <si>
    <t>ALFIES</t>
  </si>
  <si>
    <t>425 ROOSEVELT</t>
  </si>
  <si>
    <t>50554153</t>
  </si>
  <si>
    <t>HALFTIME PIZZA &amp; RIBS</t>
  </si>
  <si>
    <t>2405 JOHNSBURG RD</t>
  </si>
  <si>
    <t>70935218</t>
  </si>
  <si>
    <t>100 SOUTH CHOP HOUSE</t>
  </si>
  <si>
    <t>100 SOUTH YORK STREET</t>
  </si>
  <si>
    <t>1180348</t>
  </si>
  <si>
    <t>HARDWARE RESTAURANT LLC</t>
  </si>
  <si>
    <t>2000 ORCHARD</t>
  </si>
  <si>
    <t>80520075</t>
  </si>
  <si>
    <t>BENTLEY'S/WOOD DALE:)</t>
  </si>
  <si>
    <t>477 GEORGETOWN SQUARE</t>
  </si>
  <si>
    <t>11156064</t>
  </si>
  <si>
    <t>FARMBAR LAKEVIEW #103</t>
  </si>
  <si>
    <t>1300 W WELLINGTON</t>
  </si>
  <si>
    <t>21286497</t>
  </si>
  <si>
    <t>HONEYMILK</t>
  </si>
  <si>
    <t>2 S 505 RT 59</t>
  </si>
  <si>
    <t>21177688</t>
  </si>
  <si>
    <t>BROOKFIELD ALE HOUSE</t>
  </si>
  <si>
    <t>8900 FAIRVIEW AVE</t>
  </si>
  <si>
    <t>11140233</t>
  </si>
  <si>
    <t>RESERVE 22</t>
  </si>
  <si>
    <t>485 WINCHELL WAY</t>
  </si>
  <si>
    <t>31201155</t>
  </si>
  <si>
    <t>REGION ALE</t>
  </si>
  <si>
    <t>1080 US 41</t>
  </si>
  <si>
    <t>51178002</t>
  </si>
  <si>
    <t>FISHERMAN ISLAND 87TH</t>
  </si>
  <si>
    <t>432 E 87TH ST</t>
  </si>
  <si>
    <t>11079951</t>
  </si>
  <si>
    <t>PAV'S INC</t>
  </si>
  <si>
    <t>46341</t>
  </si>
  <si>
    <t>642 NORTH MAIN STREET</t>
  </si>
  <si>
    <t>31025950</t>
  </si>
  <si>
    <t>SHARKO'S BBQ</t>
  </si>
  <si>
    <t>60564</t>
  </si>
  <si>
    <t>4931 S RT.59 UNIT 127</t>
  </si>
  <si>
    <t>31160252</t>
  </si>
  <si>
    <t>CORTLAND'S GARAGE ARLINGT</t>
  </si>
  <si>
    <t>1 N VAIL AVE</t>
  </si>
  <si>
    <t>90917097</t>
  </si>
  <si>
    <t>THE SCOUT WATERHOUSE</t>
  </si>
  <si>
    <t>1301 S. WABASH</t>
  </si>
  <si>
    <t>41295197</t>
  </si>
  <si>
    <t>R&amp;R SPORTS BAR AND GRILL</t>
  </si>
  <si>
    <t>46402</t>
  </si>
  <si>
    <t>1 STADIUM PLZ</t>
  </si>
  <si>
    <t>21288519</t>
  </si>
  <si>
    <t>WILLOW HILL RESTAURANT</t>
  </si>
  <si>
    <t>6678 JOLIET RD</t>
  </si>
  <si>
    <t>31305428</t>
  </si>
  <si>
    <t>SEAFOOD JUNCTION HILLSIDE</t>
  </si>
  <si>
    <t>442 N MANNHEIM RD</t>
  </si>
  <si>
    <t>21203096</t>
  </si>
  <si>
    <t>ANTHONYS RESTAURANT &amp; P</t>
  </si>
  <si>
    <t>3151 VOYAGER LN</t>
  </si>
  <si>
    <t>90573072</t>
  </si>
  <si>
    <t>SHALLOTS BISTRO INC</t>
  </si>
  <si>
    <t>7016 CARPENTER RD</t>
  </si>
  <si>
    <t>91229898</t>
  </si>
  <si>
    <t>THE PICNIC BASKET</t>
  </si>
  <si>
    <t>501 N MILWAUKEE AVE</t>
  </si>
  <si>
    <t>70616115</t>
  </si>
  <si>
    <t>CASA DEL MAR</t>
  </si>
  <si>
    <t>650 RIDGE RD</t>
  </si>
  <si>
    <t>11301694</t>
  </si>
  <si>
    <t>THAT BURGER JOINT DWNR GR</t>
  </si>
  <si>
    <t>60 OGDEN AVE</t>
  </si>
  <si>
    <t>60928124</t>
  </si>
  <si>
    <t>OREGANOS CORNER CAFE</t>
  </si>
  <si>
    <t>HAWTHORN WOODS</t>
  </si>
  <si>
    <t>119.WEST GILMER ROAD</t>
  </si>
  <si>
    <t>11237435</t>
  </si>
  <si>
    <t>BAKER MILLER</t>
  </si>
  <si>
    <t>4655 N LINCOLN AVE</t>
  </si>
  <si>
    <t>10518165</t>
  </si>
  <si>
    <t>SWEET BABYRAYS BBQ/ELK GR</t>
  </si>
  <si>
    <t>800 E HIGGINS RD</t>
  </si>
  <si>
    <t>91002816</t>
  </si>
  <si>
    <t>DON ANDRES RESTAURANT</t>
  </si>
  <si>
    <t>46320</t>
  </si>
  <si>
    <t>5318 HOHMAN AVENUE</t>
  </si>
  <si>
    <t>71204556</t>
  </si>
  <si>
    <t>HAMILTON'S PUB</t>
  </si>
  <si>
    <t>14196 MCCARTHY RD</t>
  </si>
  <si>
    <t>90915257</t>
  </si>
  <si>
    <t>GARIBALDI'S RESTAURANT</t>
  </si>
  <si>
    <t>2346 W. HIGGINS RD</t>
  </si>
  <si>
    <t>60985629</t>
  </si>
  <si>
    <t>AMARILLO ROADHOUSE</t>
  </si>
  <si>
    <t>1924 U.S. ROUTE 41</t>
  </si>
  <si>
    <t>41275173</t>
  </si>
  <si>
    <t>ROOTS HOMEMADE PIZZA LAWR</t>
  </si>
  <si>
    <t>2200 W LAWRENCE AVE</t>
  </si>
  <si>
    <t>21251657</t>
  </si>
  <si>
    <t>SHAKOU SERIES ARL HEIGHTS</t>
  </si>
  <si>
    <t>70 N VAIL AVE</t>
  </si>
  <si>
    <t>21274113</t>
  </si>
  <si>
    <t>TODOROKI</t>
  </si>
  <si>
    <t>526 DAVIS ST</t>
  </si>
  <si>
    <t>549295</t>
  </si>
  <si>
    <t>KYOTO CRYSTAL LAKE</t>
  </si>
  <si>
    <t>5690 NORTHWEST HWY</t>
  </si>
  <si>
    <t>10427151</t>
  </si>
  <si>
    <t>BLUEGRASS</t>
  </si>
  <si>
    <t>1636 OLD DEERFIELD RD</t>
  </si>
  <si>
    <t>61246500</t>
  </si>
  <si>
    <t>TONYS  PHILLY STEAK</t>
  </si>
  <si>
    <t>1413 W 127TH ST</t>
  </si>
  <si>
    <t>71069553</t>
  </si>
  <si>
    <t>THAT BURGER JOINT NAPERVL</t>
  </si>
  <si>
    <t>2879 95TH STREET</t>
  </si>
  <si>
    <t>81217200</t>
  </si>
  <si>
    <t>BARKER PLACE</t>
  </si>
  <si>
    <t>607 E BARKER AVE</t>
  </si>
  <si>
    <t>50482587</t>
  </si>
  <si>
    <t>ERIE CAFE</t>
  </si>
  <si>
    <t>536 W ERIE ST</t>
  </si>
  <si>
    <t>91149872</t>
  </si>
  <si>
    <t>HOLLY'S RESTAURANT</t>
  </si>
  <si>
    <t>3705 FRANKLIN ST</t>
  </si>
  <si>
    <t>30390751</t>
  </si>
  <si>
    <t>FRANCES REST &amp; DELI</t>
  </si>
  <si>
    <t>2552 N CLARK</t>
  </si>
  <si>
    <t>20994760</t>
  </si>
  <si>
    <t>JAM N JELLY 7 BRIDGES :)</t>
  </si>
  <si>
    <t>6435 MAIN STREET</t>
  </si>
  <si>
    <t>90551995</t>
  </si>
  <si>
    <t>ROYALBERRY WAFFLE HSE :)</t>
  </si>
  <si>
    <t>6417 W 127TH ST.</t>
  </si>
  <si>
    <t>80958531</t>
  </si>
  <si>
    <t>PAPAGALINO BAKERY &amp; CAFE</t>
  </si>
  <si>
    <t>9014 N MILWAUKEE</t>
  </si>
  <si>
    <t>31304496</t>
  </si>
  <si>
    <t>SEAFOOD JUNCTION 87TH</t>
  </si>
  <si>
    <t>1317 E 87TH ST</t>
  </si>
  <si>
    <t>70944533</t>
  </si>
  <si>
    <t>DOC WINE BAR - LOMBARD</t>
  </si>
  <si>
    <t>326 YORKTOWN CENTER</t>
  </si>
  <si>
    <t>70496534</t>
  </si>
  <si>
    <t>FINN MCCOL SCHMBRGN#1100</t>
  </si>
  <si>
    <t>1941 E. ALGONQUIN RD.</t>
  </si>
  <si>
    <t>21162979</t>
  </si>
  <si>
    <t>LLOYDS CHICAGO</t>
  </si>
  <si>
    <t>1 S WACKER DR</t>
  </si>
  <si>
    <t>1247352</t>
  </si>
  <si>
    <t>LINCOLN CARRYOUTS</t>
  </si>
  <si>
    <t>1203 N MAIN ST</t>
  </si>
  <si>
    <t>10568921</t>
  </si>
  <si>
    <t>LOGAN'S BAR &amp; GRILL</t>
  </si>
  <si>
    <t>2230-32 N CALIFORNIA AVE</t>
  </si>
  <si>
    <t>60484763</t>
  </si>
  <si>
    <t>MAMBO ITALIANO</t>
  </si>
  <si>
    <t>748 SO BUTTERFIELD RD</t>
  </si>
  <si>
    <t>80992811</t>
  </si>
  <si>
    <t>WANA PIZZA WANATAH #1</t>
  </si>
  <si>
    <t>46390</t>
  </si>
  <si>
    <t>WANATAH</t>
  </si>
  <si>
    <t>107 S. MAIN</t>
  </si>
  <si>
    <t>31041833</t>
  </si>
  <si>
    <t>GABE'S PLACE</t>
  </si>
  <si>
    <t>60425</t>
  </si>
  <si>
    <t>GLENWOOD</t>
  </si>
  <si>
    <t>9 E MAIN STREET</t>
  </si>
  <si>
    <t>31005622</t>
  </si>
  <si>
    <t>BLACKBERRY MARKET</t>
  </si>
  <si>
    <t>405 N. MAIN</t>
  </si>
  <si>
    <t>71101679</t>
  </si>
  <si>
    <t>1030 MCHENRY AVE</t>
  </si>
  <si>
    <t>80483167</t>
  </si>
  <si>
    <t>LA CAMPANA REST</t>
  </si>
  <si>
    <t>306 W ARMY TRAIL RD</t>
  </si>
  <si>
    <t>1290279</t>
  </si>
  <si>
    <t>BEERHEAD BAR SCHAUMBURG</t>
  </si>
  <si>
    <t>888 N MEACHAM RD</t>
  </si>
  <si>
    <t>20264438</t>
  </si>
  <si>
    <t>HUCK FINN REST OK LWN #4</t>
  </si>
  <si>
    <t>10501 S CICERO AVENUE</t>
  </si>
  <si>
    <t>51229011</t>
  </si>
  <si>
    <t>ROOTS HANDMADE PIZZA CHI</t>
  </si>
  <si>
    <t>1924 W CHICAGO AVE</t>
  </si>
  <si>
    <t>51284875</t>
  </si>
  <si>
    <t>PINK TACO</t>
  </si>
  <si>
    <t>431 N WELLS ST</t>
  </si>
  <si>
    <t>20812822</t>
  </si>
  <si>
    <t>ROOSTERS BAR N GRILL</t>
  </si>
  <si>
    <t>122 W LAKE ST</t>
  </si>
  <si>
    <t>61250973</t>
  </si>
  <si>
    <t>BRACKET ROOM</t>
  </si>
  <si>
    <t>1315 S HALSTED ST</t>
  </si>
  <si>
    <t>51162485</t>
  </si>
  <si>
    <t>HOLT'S</t>
  </si>
  <si>
    <t>43 S PROSPECT</t>
  </si>
  <si>
    <t>51198778</t>
  </si>
  <si>
    <t>THE STAINED GLASS</t>
  </si>
  <si>
    <t>1735 BENSON AVE</t>
  </si>
  <si>
    <t>51049153</t>
  </si>
  <si>
    <t>PORTAGE PANCAKE HOUSE:)</t>
  </si>
  <si>
    <t>5900 US HIGHWAY 6</t>
  </si>
  <si>
    <t>90319658</t>
  </si>
  <si>
    <t>JOHN BARLEYCORN  NORTH</t>
  </si>
  <si>
    <t>3524 N.CLARK ST.</t>
  </si>
  <si>
    <t>11158201</t>
  </si>
  <si>
    <t>AMICI GRILL &amp; PIZZERIA</t>
  </si>
  <si>
    <t>3808 RIDGE RD</t>
  </si>
  <si>
    <t>1043744</t>
  </si>
  <si>
    <t>MONTY GAELS</t>
  </si>
  <si>
    <t>4356 N. LEAVITT</t>
  </si>
  <si>
    <t>91260786</t>
  </si>
  <si>
    <t>JOSEPHS RESTAURANT</t>
  </si>
  <si>
    <t>60805</t>
  </si>
  <si>
    <t>3123 W 111TH ST</t>
  </si>
  <si>
    <t>30435861</t>
  </si>
  <si>
    <t>MORETTIS SCHAUMBURG #600</t>
  </si>
  <si>
    <t>1893 WALDEN OFFICE SQUARE</t>
  </si>
  <si>
    <t>51084119</t>
  </si>
  <si>
    <t>DRY HOP BREWERS</t>
  </si>
  <si>
    <t>3155 N. BROADWAY ST</t>
  </si>
  <si>
    <t>1241777</t>
  </si>
  <si>
    <t>FOODA FOOD HALL WABASH</t>
  </si>
  <si>
    <t>330 N WABASH AVE FL 16</t>
  </si>
  <si>
    <t>11297124</t>
  </si>
  <si>
    <t>BOXCAR BETTY'S</t>
  </si>
  <si>
    <t>500 W MADISON ST</t>
  </si>
  <si>
    <t>571299</t>
  </si>
  <si>
    <t>SUSHI STATION</t>
  </si>
  <si>
    <t>2486 RANDALL RD</t>
  </si>
  <si>
    <t>70552229</t>
  </si>
  <si>
    <t>CAFE MIELE</t>
  </si>
  <si>
    <t>60467</t>
  </si>
  <si>
    <t>11315 W 159TH ST</t>
  </si>
  <si>
    <t>61181970</t>
  </si>
  <si>
    <t>PLUM GARDEN CHINESE CUISI</t>
  </si>
  <si>
    <t>41228321</t>
  </si>
  <si>
    <t>FISHERMAN ISLAND 167TH</t>
  </si>
  <si>
    <t>4142 167TH ST</t>
  </si>
  <si>
    <t>51022085</t>
  </si>
  <si>
    <t>EL HEFE CHICAGO</t>
  </si>
  <si>
    <t>15 W. HUBBARD STREET</t>
  </si>
  <si>
    <t>917773</t>
  </si>
  <si>
    <t>RUBENS MEXICAN GRILL</t>
  </si>
  <si>
    <t>3364 SHEFFIELD AVE</t>
  </si>
  <si>
    <t>20390811</t>
  </si>
  <si>
    <t>CONNIE'S FAMILY REST :)</t>
  </si>
  <si>
    <t>60402</t>
  </si>
  <si>
    <t>BERWYN</t>
  </si>
  <si>
    <t>3271 S HARLEM AVE</t>
  </si>
  <si>
    <t>20483319</t>
  </si>
  <si>
    <t>MIRAMAR BISTRO BAR/BA</t>
  </si>
  <si>
    <t>301 WAUKEGAN AVE</t>
  </si>
  <si>
    <t>41212101</t>
  </si>
  <si>
    <t>SOUTHERN BELLES CARPENT:)</t>
  </si>
  <si>
    <t>152 S WESTERN AVE</t>
  </si>
  <si>
    <t>50390798</t>
  </si>
  <si>
    <t>BRIDGES SCOREBOARD REST</t>
  </si>
  <si>
    <t>121 N GRIFFITH BLVD</t>
  </si>
  <si>
    <t>80402324</t>
  </si>
  <si>
    <t>M. HENRY</t>
  </si>
  <si>
    <t>5707 N. CLARK ST.</t>
  </si>
  <si>
    <t>60032802</t>
  </si>
  <si>
    <t>NIKO'S RESTAURANT</t>
  </si>
  <si>
    <t>BRIDGEVIEW</t>
  </si>
  <si>
    <t>7600 HARLEM</t>
  </si>
  <si>
    <t>20572251</t>
  </si>
  <si>
    <t>MONTARRA GRILL</t>
  </si>
  <si>
    <t>1491 SOUTH RANDALL RD</t>
  </si>
  <si>
    <t>1148881</t>
  </si>
  <si>
    <t>THORNWOOD</t>
  </si>
  <si>
    <t>1051 N. WOOD DALE</t>
  </si>
  <si>
    <t>51088516</t>
  </si>
  <si>
    <t>MUNICIPAL BAR-DINING</t>
  </si>
  <si>
    <t>216 W OHIO ST</t>
  </si>
  <si>
    <t>61286951</t>
  </si>
  <si>
    <t>TACO MADRE NORTH AURORA 2</t>
  </si>
  <si>
    <t>352 RANDALL RD.</t>
  </si>
  <si>
    <t>10552271</t>
  </si>
  <si>
    <t>COFFEE UNLIMITED</t>
  </si>
  <si>
    <t>1408 S. CLINTON</t>
  </si>
  <si>
    <t>1037183</t>
  </si>
  <si>
    <t>BREAKING BREAD CTRG&amp; DELI</t>
  </si>
  <si>
    <t>638 NORTHWEST HWY</t>
  </si>
  <si>
    <t>80551732</t>
  </si>
  <si>
    <t>POOR BOY RESTAURANT</t>
  </si>
  <si>
    <t>1514 EAST COURT ST.</t>
  </si>
  <si>
    <t>71271613</t>
  </si>
  <si>
    <t>BLUEBERRY HILL TINLEY P</t>
  </si>
  <si>
    <t>60487</t>
  </si>
  <si>
    <t>9536 179TH ST</t>
  </si>
  <si>
    <t>71292486</t>
  </si>
  <si>
    <t>FRIED EGG</t>
  </si>
  <si>
    <t>1260 MILWAUKEE AVENUE</t>
  </si>
  <si>
    <t>10201531</t>
  </si>
  <si>
    <t>WHISTLE STOP CAFE :)</t>
  </si>
  <si>
    <t>15 E GRAND AVE</t>
  </si>
  <si>
    <t>510990</t>
  </si>
  <si>
    <t>BESA MI TACO</t>
  </si>
  <si>
    <t>60143</t>
  </si>
  <si>
    <t>ITASCA</t>
  </si>
  <si>
    <t>1180 N. ARLINGTON HTS RD</t>
  </si>
  <si>
    <t>70953518</t>
  </si>
  <si>
    <t>FIGURE EIGHT BREWING</t>
  </si>
  <si>
    <t>150 WASHINGTON STREET</t>
  </si>
  <si>
    <t>41174681</t>
  </si>
  <si>
    <t>3 CORNERS GRILL &amp; TAP-LEM</t>
  </si>
  <si>
    <t>12371 DERBY RD</t>
  </si>
  <si>
    <t>90468034</t>
  </si>
  <si>
    <t>VAUGHANS</t>
  </si>
  <si>
    <t>5485 N.NW HIGHWAY</t>
  </si>
  <si>
    <t>90889809</t>
  </si>
  <si>
    <t>WESTFIELD FAMILY REST</t>
  </si>
  <si>
    <t>7126 CATON FARM ROAD</t>
  </si>
  <si>
    <t>31069123</t>
  </si>
  <si>
    <t>COOK STREET COFFEE</t>
  </si>
  <si>
    <t>100 E STATION STREET</t>
  </si>
  <si>
    <t>91211276</t>
  </si>
  <si>
    <t>NEW LINE TAVERN</t>
  </si>
  <si>
    <t>201 N CLINTON ST</t>
  </si>
  <si>
    <t>1198522</t>
  </si>
  <si>
    <t>THE DEARBORN</t>
  </si>
  <si>
    <t>108 N STATE ST</t>
  </si>
  <si>
    <t>31200249</t>
  </si>
  <si>
    <t>18TH STREET BREWERY</t>
  </si>
  <si>
    <t>5417 OAKLEY AVE</t>
  </si>
  <si>
    <t>81278228</t>
  </si>
  <si>
    <t>THE HOWARD STREET INN</t>
  </si>
  <si>
    <t>6700 W HOWARD ST</t>
  </si>
  <si>
    <t>31119811</t>
  </si>
  <si>
    <t>STOCKHOLM'S</t>
  </si>
  <si>
    <t>306 W STATE ST</t>
  </si>
  <si>
    <t>81223265</t>
  </si>
  <si>
    <t>D'AGOSTINOS PIZZA RIVER G</t>
  </si>
  <si>
    <t>60171</t>
  </si>
  <si>
    <t>RIVER GROVE</t>
  </si>
  <si>
    <t>3131 THATCHER AVE</t>
  </si>
  <si>
    <t>90390857</t>
  </si>
  <si>
    <t>ALADDIN PITA</t>
  </si>
  <si>
    <t>3750 W 80TH LANE</t>
  </si>
  <si>
    <t>40830614</t>
  </si>
  <si>
    <t>DE CAMPANA</t>
  </si>
  <si>
    <t>229 W GRAND AVE</t>
  </si>
  <si>
    <t>60591526</t>
  </si>
  <si>
    <t>LALO'S/ MAXWELL</t>
  </si>
  <si>
    <t>733 WEST MAXWELL ST.</t>
  </si>
  <si>
    <t>70471347</t>
  </si>
  <si>
    <t>CASA MARGARITA-ORLAND PK</t>
  </si>
  <si>
    <t>9549 W 151ST STREET</t>
  </si>
  <si>
    <t>31231590</t>
  </si>
  <si>
    <t>NORTH SIDE SPORTS BAR &amp; G</t>
  </si>
  <si>
    <t>499 PENNSYLVANIA AVE</t>
  </si>
  <si>
    <t>91001826</t>
  </si>
  <si>
    <t>LAKE HOUSE LAKE BLUFF</t>
  </si>
  <si>
    <t>525 ROCKLAND RD</t>
  </si>
  <si>
    <t>80648850</t>
  </si>
  <si>
    <t>FAT MAN INN</t>
  </si>
  <si>
    <t>36309 N. HWY 41</t>
  </si>
  <si>
    <t>70552385</t>
  </si>
  <si>
    <t>QUINCY'S RESTAURANT :)</t>
  </si>
  <si>
    <t>1112 E. OGDEN AVE.</t>
  </si>
  <si>
    <t>20954004</t>
  </si>
  <si>
    <t>DOVER STRAITS</t>
  </si>
  <si>
    <t>890 EAST ROUTE 45</t>
  </si>
  <si>
    <t>1199017</t>
  </si>
  <si>
    <t>PETROS RESTAURANT</t>
  </si>
  <si>
    <t>160 N LA SALLE ST</t>
  </si>
  <si>
    <t>1268051</t>
  </si>
  <si>
    <t>JT'S CORNER TAP &amp; EATERY</t>
  </si>
  <si>
    <t>1022 FOUNTAIN VIEW DR</t>
  </si>
  <si>
    <t>40482614</t>
  </si>
  <si>
    <t>RL RESTAURANT</t>
  </si>
  <si>
    <t>745 N. RUSH</t>
  </si>
  <si>
    <t>90552407</t>
  </si>
  <si>
    <t>ELMHURST RESTAURANT</t>
  </si>
  <si>
    <t>441 W. LAKE STREET</t>
  </si>
  <si>
    <t>615476</t>
  </si>
  <si>
    <t>SUSHI STATION ROLL MEADOW</t>
  </si>
  <si>
    <t>1641 ALGONQUIN RD</t>
  </si>
  <si>
    <t>60552379</t>
  </si>
  <si>
    <t>SKYLINE RESTAURANT  :)</t>
  </si>
  <si>
    <t>1016 DIXIE HIGHWAY</t>
  </si>
  <si>
    <t>30997969</t>
  </si>
  <si>
    <t>HANNAH'S BRETZEL-LASALLE</t>
  </si>
  <si>
    <t>400 N LASALLE</t>
  </si>
  <si>
    <t>21159512</t>
  </si>
  <si>
    <t>SHAKOU BARRINGTON</t>
  </si>
  <si>
    <t>121 W MAIN ST</t>
  </si>
  <si>
    <t>926196</t>
  </si>
  <si>
    <t>BLACKSTONE BAR AND GRILL</t>
  </si>
  <si>
    <t>600 E VETERANS PARKWAY</t>
  </si>
  <si>
    <t>71243802</t>
  </si>
  <si>
    <t>3 CORNERS INC</t>
  </si>
  <si>
    <t>7231 LEMONT RD</t>
  </si>
  <si>
    <t>41127937</t>
  </si>
  <si>
    <t>ASHFORD HOUSE</t>
  </si>
  <si>
    <t>7959 W 159TH ST</t>
  </si>
  <si>
    <t>1111145</t>
  </si>
  <si>
    <t>SMYLIE BROTHERS BREWING C</t>
  </si>
  <si>
    <t>1615 OAK AVE.</t>
  </si>
  <si>
    <t>31156896</t>
  </si>
  <si>
    <t>GREEN STREET LOCAL</t>
  </si>
  <si>
    <t>130 S GREEN ST</t>
  </si>
  <si>
    <t>31173263</t>
  </si>
  <si>
    <t>JIM &amp; TOM'S RESTAURANT</t>
  </si>
  <si>
    <t>123 W IRVING PARK RD</t>
  </si>
  <si>
    <t>80618341</t>
  </si>
  <si>
    <t>JACK GIBBONS</t>
  </si>
  <si>
    <t>14700 S. OAK PARK AVE.</t>
  </si>
  <si>
    <t>81218372</t>
  </si>
  <si>
    <t>SOPHIAS HOUSE OF PAN</t>
  </si>
  <si>
    <t>5250 FRANKLIN ST</t>
  </si>
  <si>
    <t>91272369</t>
  </si>
  <si>
    <t>THE HAMPTON SOCIAL BURR R</t>
  </si>
  <si>
    <t>BURR RIDGE</t>
  </si>
  <si>
    <t>705 VILLAGE CENTER DR</t>
  </si>
  <si>
    <t>81313272</t>
  </si>
  <si>
    <t>TACO MADRE NAPERVILLE2</t>
  </si>
  <si>
    <t>790 ROYAL SAINT GEORGE DR</t>
  </si>
  <si>
    <t>51250595</t>
  </si>
  <si>
    <t>LAND AND LAKE</t>
  </si>
  <si>
    <t>606013703</t>
  </si>
  <si>
    <t>81 E WACKER DR</t>
  </si>
  <si>
    <t>3125551212</t>
  </si>
  <si>
    <t>80477516</t>
  </si>
  <si>
    <t>3854 STATE ROAD 10</t>
  </si>
  <si>
    <t>30456420</t>
  </si>
  <si>
    <t>KINCADE'S</t>
  </si>
  <si>
    <t>950 W. ARMITAGE</t>
  </si>
  <si>
    <t>51305456</t>
  </si>
  <si>
    <t>FRANCES' DELI AND BRUNCHE</t>
  </si>
  <si>
    <t>2552 N CLARK ST</t>
  </si>
  <si>
    <t>71247266</t>
  </si>
  <si>
    <t>BEERHEAD ELMHURST</t>
  </si>
  <si>
    <t>100 N YORK ST</t>
  </si>
  <si>
    <t>10651859</t>
  </si>
  <si>
    <t>THE BAD APPLE</t>
  </si>
  <si>
    <t>4300 N. LINCOLN AVE.</t>
  </si>
  <si>
    <t>91031385</t>
  </si>
  <si>
    <t>SHAKOU</t>
  </si>
  <si>
    <t>625 N. MILWAUKEE AVE.</t>
  </si>
  <si>
    <t>20482303</t>
  </si>
  <si>
    <t>889 NORTH LA FOX</t>
  </si>
  <si>
    <t>1309160</t>
  </si>
  <si>
    <t>MAGO BOLINGBROOK</t>
  </si>
  <si>
    <t>641 E BOUGHTON RD</t>
  </si>
  <si>
    <t>81213993</t>
  </si>
  <si>
    <t>FISHERMAN ISLAND KEDZIE</t>
  </si>
  <si>
    <t>1116 S KEDZIE AVE</t>
  </si>
  <si>
    <t>40998577</t>
  </si>
  <si>
    <t>JB AT RIVER NORTH</t>
  </si>
  <si>
    <t>149 W KINZIE</t>
  </si>
  <si>
    <t>60446879</t>
  </si>
  <si>
    <t>FRANCO'S CUCINA</t>
  </si>
  <si>
    <t>1550 BOURBON PARKWAY</t>
  </si>
  <si>
    <t>41278193</t>
  </si>
  <si>
    <t>HIBACHI GRILL ASIAN BUFFE</t>
  </si>
  <si>
    <t>101 BUSSE RD</t>
  </si>
  <si>
    <t>71212070</t>
  </si>
  <si>
    <t>SOUTHERN BELLES YORKVIL:)</t>
  </si>
  <si>
    <t>56 E SCHOOLHOUSE RD</t>
  </si>
  <si>
    <t>60536356</t>
  </si>
  <si>
    <t>PIECE</t>
  </si>
  <si>
    <t>1927 W. NORTH AVE</t>
  </si>
  <si>
    <t>81253619</t>
  </si>
  <si>
    <t>WINDY CITY CAFE</t>
  </si>
  <si>
    <t>1062 W CHICAGO AVE</t>
  </si>
  <si>
    <t>80390834</t>
  </si>
  <si>
    <t>LINCOLN CARRY OUT-HOBART</t>
  </si>
  <si>
    <t>1002 LINCOLN ST</t>
  </si>
  <si>
    <t>71029037</t>
  </si>
  <si>
    <t>FARMHOUSE EVANSTON #102</t>
  </si>
  <si>
    <t>703 CHURCH ST</t>
  </si>
  <si>
    <t>60483161</t>
  </si>
  <si>
    <t>BOOBYS</t>
  </si>
  <si>
    <t>8161 N MILWAUKEE_AVE</t>
  </si>
  <si>
    <t>927665</t>
  </si>
  <si>
    <t>CHECKERS 2</t>
  </si>
  <si>
    <t>6524 MAIN STREET</t>
  </si>
  <si>
    <t>40298374</t>
  </si>
  <si>
    <t>HARRY CARAY'S ROSEMONT</t>
  </si>
  <si>
    <t>10233 W. HIGGINS RD.</t>
  </si>
  <si>
    <t>81081150</t>
  </si>
  <si>
    <t>LINCOLN AVENUE SOCIAL</t>
  </si>
  <si>
    <t>2263 N. LINCOLN</t>
  </si>
  <si>
    <t>90813080</t>
  </si>
  <si>
    <t>CONSCIOUS CUP</t>
  </si>
  <si>
    <t>5005 NORTHWEST HWY</t>
  </si>
  <si>
    <t>90704487</t>
  </si>
  <si>
    <t>FOREST PARK CAFE :)-CAF</t>
  </si>
  <si>
    <t>7500 W. ROOSEVELT RD</t>
  </si>
  <si>
    <t>70484613</t>
  </si>
  <si>
    <t>PRISCILLAS ULT SOUL F</t>
  </si>
  <si>
    <t>4330 ROOSEVELT RD</t>
  </si>
  <si>
    <t>60030806</t>
  </si>
  <si>
    <t>TWELVE ISLANDS REST  :)</t>
  </si>
  <si>
    <t>114 S MAIN</t>
  </si>
  <si>
    <t>61197935</t>
  </si>
  <si>
    <t>CEMITAS PUEBLA FULTON</t>
  </si>
  <si>
    <t>817 FULTON MARKET</t>
  </si>
  <si>
    <t>70552369</t>
  </si>
  <si>
    <t>WILLIAMSON'S REST    :)</t>
  </si>
  <si>
    <t>1490  WEST MAPLE ST.</t>
  </si>
  <si>
    <t>71227516</t>
  </si>
  <si>
    <t>CENTENNIAL CHICAGO</t>
  </si>
  <si>
    <t>733 N LA SALLE DR</t>
  </si>
  <si>
    <t>51247278</t>
  </si>
  <si>
    <t>FOODBARZ OPUS DOWNERS GRO</t>
  </si>
  <si>
    <t>1411 OPUS PL</t>
  </si>
  <si>
    <t>20482907</t>
  </si>
  <si>
    <t>ICEBOX</t>
  </si>
  <si>
    <t>2943 N BROADWAY</t>
  </si>
  <si>
    <t>61223251</t>
  </si>
  <si>
    <t>D'AGOSTINOS PIZZA ADDISON</t>
  </si>
  <si>
    <t>1351 W ADDISON ST</t>
  </si>
  <si>
    <t>61223269</t>
  </si>
  <si>
    <t>D'AGOSTINOS PIZZA PARK RI</t>
  </si>
  <si>
    <t>742 HIGGINS RD</t>
  </si>
  <si>
    <t>80264419</t>
  </si>
  <si>
    <t>HUCK FINN REST ARCHER #3</t>
  </si>
  <si>
    <t>3414 S ARCHER AVENUE</t>
  </si>
  <si>
    <t>61159356</t>
  </si>
  <si>
    <t>BLUE DOOR FARM STAND</t>
  </si>
  <si>
    <t>2010 N HALSTED ST</t>
  </si>
  <si>
    <t>71280291</t>
  </si>
  <si>
    <t>KENNY'S RIBS &amp; DUSTIE'S R</t>
  </si>
  <si>
    <t>4269 W 167TH ST</t>
  </si>
  <si>
    <t>91212100</t>
  </si>
  <si>
    <t>JUICY O NAPERVILLE S WA:)</t>
  </si>
  <si>
    <t>60565</t>
  </si>
  <si>
    <t>2035 S WASHINGTON ST</t>
  </si>
  <si>
    <t>70033600</t>
  </si>
  <si>
    <t>MORETTI'S EDISON PRK #200</t>
  </si>
  <si>
    <t>6727 OLMSTED</t>
  </si>
  <si>
    <t>30986582</t>
  </si>
  <si>
    <t>WANA PIZZA MC # 4</t>
  </si>
  <si>
    <t>3515 S FRANKLIN ST</t>
  </si>
  <si>
    <t>81170946</t>
  </si>
  <si>
    <t>COZY CORNER LOGAN</t>
  </si>
  <si>
    <t>2294 N MILWAUKEE AVE</t>
  </si>
  <si>
    <t>31252562</t>
  </si>
  <si>
    <t>TAP HOUSE GRILL LEMONT</t>
  </si>
  <si>
    <t>1243 STATE ST</t>
  </si>
  <si>
    <t>61174090</t>
  </si>
  <si>
    <t>CLAIM COMPANY  VH LLC</t>
  </si>
  <si>
    <t>506 HAWTHORN CTR</t>
  </si>
  <si>
    <t>90919176</t>
  </si>
  <si>
    <t>FARMHOUSE CHICAGO #101</t>
  </si>
  <si>
    <t>228 W CHICAGO AVE</t>
  </si>
  <si>
    <t>1044783</t>
  </si>
  <si>
    <t>FLOSSMOOR STATION</t>
  </si>
  <si>
    <t>1035 STERLING AVE</t>
  </si>
  <si>
    <t>70965322</t>
  </si>
  <si>
    <t>EMMAS BAGEL CAFE</t>
  </si>
  <si>
    <t>9306 SKOKIE BLVD</t>
  </si>
  <si>
    <t>30856355</t>
  </si>
  <si>
    <t>PETROS</t>
  </si>
  <si>
    <t>6525 INDIANAPOLIS BLVD</t>
  </si>
  <si>
    <t>91132803</t>
  </si>
  <si>
    <t>BOEUFHAUS</t>
  </si>
  <si>
    <t>1012 N WESTERN</t>
  </si>
  <si>
    <t>50764414</t>
  </si>
  <si>
    <t>SUNDA</t>
  </si>
  <si>
    <t>110 W. ILLINOIS</t>
  </si>
  <si>
    <t>91202903</t>
  </si>
  <si>
    <t>ARMAND'S ARLINGTON HEIGHT</t>
  </si>
  <si>
    <t>101 CAMPBELL</t>
  </si>
  <si>
    <t>31174279</t>
  </si>
  <si>
    <t>EL CHAPARRAL</t>
  </si>
  <si>
    <t>7849 TAFT ST</t>
  </si>
  <si>
    <t>31018690</t>
  </si>
  <si>
    <t>CAFE ZOOT</t>
  </si>
  <si>
    <t>O'HARE AIRPORT POST #8</t>
  </si>
  <si>
    <t>10552206</t>
  </si>
  <si>
    <t>EGGLECTIC TOWN SQUARE</t>
  </si>
  <si>
    <t>221 TOWNE SQUARE</t>
  </si>
  <si>
    <t>20978763</t>
  </si>
  <si>
    <t>MICHAELS STYLE RED HOTS</t>
  </si>
  <si>
    <t>1879 2ND STREET</t>
  </si>
  <si>
    <t>10552081</t>
  </si>
  <si>
    <t>JENNIE RAE'S</t>
  </si>
  <si>
    <t>46371</t>
  </si>
  <si>
    <t>ROLLING PRAIRIE</t>
  </si>
  <si>
    <t>5201 EAST US HWY 20</t>
  </si>
  <si>
    <t>21271572</t>
  </si>
  <si>
    <t>GOOD STUFF EATERY</t>
  </si>
  <si>
    <t>22 S WABASH AVE</t>
  </si>
  <si>
    <t>41233784</t>
  </si>
  <si>
    <t>KITCHEN 17 #2</t>
  </si>
  <si>
    <t>3132 N BROADWAY ST</t>
  </si>
  <si>
    <t>21269220</t>
  </si>
  <si>
    <t>THIRSTY PIG</t>
  </si>
  <si>
    <t>60501</t>
  </si>
  <si>
    <t>SUMMIT ARGO</t>
  </si>
  <si>
    <t>6312 S HARLEM AVE</t>
  </si>
  <si>
    <t>90546193</t>
  </si>
  <si>
    <t>FLUB A DUB CHUB</t>
  </si>
  <si>
    <t>3021 N. BROADWAY</t>
  </si>
  <si>
    <t>31201544</t>
  </si>
  <si>
    <t>CUPTIOL EVANSTON #8</t>
  </si>
  <si>
    <t>812 GROVE ST</t>
  </si>
  <si>
    <t>61091674</t>
  </si>
  <si>
    <t>MOJO'S EAST COAST EATS</t>
  </si>
  <si>
    <t>2758 MAPLE AVE</t>
  </si>
  <si>
    <t>31170608</t>
  </si>
  <si>
    <t>RHAPSODY CAFE I</t>
  </si>
  <si>
    <t>600150000</t>
  </si>
  <si>
    <t>833 -C DEERFIELD RD</t>
  </si>
  <si>
    <t>487959</t>
  </si>
  <si>
    <t>60646</t>
  </si>
  <si>
    <t>6355 N PULASKI</t>
  </si>
  <si>
    <t>60926672</t>
  </si>
  <si>
    <t>SMOKE DADDY</t>
  </si>
  <si>
    <t>1804 W DIVISION</t>
  </si>
  <si>
    <t>11190279</t>
  </si>
  <si>
    <t>LA QUESADILLA MEXICAN GRI</t>
  </si>
  <si>
    <t>10761 BROADWAY</t>
  </si>
  <si>
    <t>50551969</t>
  </si>
  <si>
    <t>KINGSBURY WAFFLE/OAK F :)</t>
  </si>
  <si>
    <t>5420 W 159TH ST</t>
  </si>
  <si>
    <t>60552510</t>
  </si>
  <si>
    <t>JEDI'S GARDEN-OAKLAWN :)</t>
  </si>
  <si>
    <t>9266 SOUTH CICERO</t>
  </si>
  <si>
    <t>40510984</t>
  </si>
  <si>
    <t>LA HACIENDA #2</t>
  </si>
  <si>
    <t>DEER PARK</t>
  </si>
  <si>
    <t>21520 FIELD PARKWAY</t>
  </si>
  <si>
    <t>61170932</t>
  </si>
  <si>
    <t>COZY CORNER DIVERSEY</t>
  </si>
  <si>
    <t>60639</t>
  </si>
  <si>
    <t>4356 W DIVERSEY AVE</t>
  </si>
  <si>
    <t>20917530</t>
  </si>
  <si>
    <t>CYOC,INC</t>
  </si>
  <si>
    <t>2114 N. GREENBAY ROAD</t>
  </si>
  <si>
    <t>60349156</t>
  </si>
  <si>
    <t>USA FAMILY RESTAURANT</t>
  </si>
  <si>
    <t>60940</t>
  </si>
  <si>
    <t>GRANT PARK</t>
  </si>
  <si>
    <t>102 EAST TAYLOR STREET</t>
  </si>
  <si>
    <t>888537</t>
  </si>
  <si>
    <t>HIBACHI GRILL&amp;BUFFET-MATT</t>
  </si>
  <si>
    <t>112 TOWN CENTER ROAD</t>
  </si>
  <si>
    <t>32177</t>
  </si>
  <si>
    <t>GEORGE'S FAMILY REST</t>
  </si>
  <si>
    <t>1910 E COMMERCIAL AVE</t>
  </si>
  <si>
    <t>11208378</t>
  </si>
  <si>
    <t>TAQUERIA LOS MAGUEYES</t>
  </si>
  <si>
    <t>4859 W. 79TH STREET</t>
  </si>
  <si>
    <t>30170245</t>
  </si>
  <si>
    <t>AL'S CHAR-HOUSE</t>
  </si>
  <si>
    <t>32 S LAGRANGE RD</t>
  </si>
  <si>
    <t>91107227</t>
  </si>
  <si>
    <t>GALVESTON STEAKHOUSE</t>
  </si>
  <si>
    <t>10 COMMERCE SQUARE</t>
  </si>
  <si>
    <t>91205500</t>
  </si>
  <si>
    <t>FOODA FOOD HALL-WEST LOOP</t>
  </si>
  <si>
    <t>31154834</t>
  </si>
  <si>
    <t>CATCH 35 CHICAGO</t>
  </si>
  <si>
    <t>35 W UPPER WACKER DR</t>
  </si>
  <si>
    <t>91269852</t>
  </si>
  <si>
    <t>FOODA FOOD HALL-S LA SALL</t>
  </si>
  <si>
    <t>440 S LA SALLE ST FL 3</t>
  </si>
  <si>
    <t>41319948</t>
  </si>
  <si>
    <t>JUMBO CRAB</t>
  </si>
  <si>
    <t>18305 LA GRANGE RD</t>
  </si>
  <si>
    <t>40906539</t>
  </si>
  <si>
    <t>LICKITY SPLIT</t>
  </si>
  <si>
    <t>6056 N. BROADWAY</t>
  </si>
  <si>
    <t>21152251</t>
  </si>
  <si>
    <t>THE BOILER SHRIMP AND C</t>
  </si>
  <si>
    <t>3445 DEMPSTER ST</t>
  </si>
  <si>
    <t>21196654</t>
  </si>
  <si>
    <t>HANNAH'S BRETZEL ABERDEEN</t>
  </si>
  <si>
    <t>116 N ABERDEEN ST</t>
  </si>
  <si>
    <t>10548964</t>
  </si>
  <si>
    <t>CARLUCCI - ROSEMONT</t>
  </si>
  <si>
    <t>6111 N. RIVER RD.</t>
  </si>
  <si>
    <t>41167180</t>
  </si>
  <si>
    <t>JIMMY'S CHARHOUSE</t>
  </si>
  <si>
    <t>1180 W DEVON AVE</t>
  </si>
  <si>
    <t>11266293</t>
  </si>
  <si>
    <t>EL CAPITAN SEAFOOD &amp; MEXI</t>
  </si>
  <si>
    <t>327 MAIN ST</t>
  </si>
  <si>
    <t>40595209</t>
  </si>
  <si>
    <t>CHEF KLAUS COUNTRY COOKIN</t>
  </si>
  <si>
    <t>8450 W. 191ST STREET</t>
  </si>
  <si>
    <t>51197473</t>
  </si>
  <si>
    <t>CHIYA CHAI</t>
  </si>
  <si>
    <t>2770 N MILWAUKEE AVE</t>
  </si>
  <si>
    <t>21220173</t>
  </si>
  <si>
    <t>PEOPLES CHOICE FAMILY FUN</t>
  </si>
  <si>
    <t>2415 GRAND AVE</t>
  </si>
  <si>
    <t>11087095</t>
  </si>
  <si>
    <t>STACKED :)</t>
  </si>
  <si>
    <t>5273 W 95TH STREET</t>
  </si>
  <si>
    <t>30552525</t>
  </si>
  <si>
    <t>L &amp; G RESTAURANT/EXCHANGE</t>
  </si>
  <si>
    <t>60649</t>
  </si>
  <si>
    <t>7464 SOUTH EXCHANGE</t>
  </si>
  <si>
    <t>70523535</t>
  </si>
  <si>
    <t>THE BOUNDARY</t>
  </si>
  <si>
    <t>1932 W. DIVISION</t>
  </si>
  <si>
    <t>51279529</t>
  </si>
  <si>
    <t>PLUM GARDEN ASIAN CUISINE</t>
  </si>
  <si>
    <t>446 W VIRGINIA ST</t>
  </si>
  <si>
    <t>51123735</t>
  </si>
  <si>
    <t>PARK WEST RESTAURANT:)</t>
  </si>
  <si>
    <t>10 E ROOSEVELT RD</t>
  </si>
  <si>
    <t>60483203</t>
  </si>
  <si>
    <t>RENGA-TEI JAPANESE RE</t>
  </si>
  <si>
    <t>607120000</t>
  </si>
  <si>
    <t>3956 W TOUHY</t>
  </si>
  <si>
    <t>80963549</t>
  </si>
  <si>
    <t>CARBON</t>
  </si>
  <si>
    <t>810 N. MARSHFIELD</t>
  </si>
  <si>
    <t>11172897</t>
  </si>
  <si>
    <t>FISHERMAN ISLAND</t>
  </si>
  <si>
    <t>6659 S WENTWORTH AVE</t>
  </si>
  <si>
    <t>40353138</t>
  </si>
  <si>
    <t>CARLSON DRIVE IN</t>
  </si>
  <si>
    <t>118 W COOL SPRING AVE</t>
  </si>
  <si>
    <t>621490</t>
  </si>
  <si>
    <t>BACK BAYOU LOUNGE</t>
  </si>
  <si>
    <t>46347</t>
  </si>
  <si>
    <t>KOUTS</t>
  </si>
  <si>
    <t>1092 BAUMS BRIDGE RD</t>
  </si>
  <si>
    <t>61173209</t>
  </si>
  <si>
    <t>SQUARE ROOTS KITCHEN</t>
  </si>
  <si>
    <t>120 S HALSTED ST STE D</t>
  </si>
  <si>
    <t>51203784</t>
  </si>
  <si>
    <t>SMYTH AND THE LOYALIST</t>
  </si>
  <si>
    <t>177 N ADA ST</t>
  </si>
  <si>
    <t>10935815</t>
  </si>
  <si>
    <t>300 WEST 26TH STREET</t>
  </si>
  <si>
    <t>20482139</t>
  </si>
  <si>
    <t>LAKE FOREST CLUB</t>
  </si>
  <si>
    <t>HOSPITALITY</t>
  </si>
  <si>
    <t>HOSPITALITY (PYR)</t>
  </si>
  <si>
    <t>554 N WESTMORELAND RD</t>
  </si>
  <si>
    <t>8472345316</t>
  </si>
  <si>
    <t>1047463</t>
  </si>
  <si>
    <t>HONEST CATERING</t>
  </si>
  <si>
    <t>606300000</t>
  </si>
  <si>
    <t>5408 N ELSTON AVE</t>
  </si>
  <si>
    <t>7737778556</t>
  </si>
  <si>
    <t>21178660</t>
  </si>
  <si>
    <t>CROWNE PLAZA GLEN ELLYN</t>
  </si>
  <si>
    <t>601376006</t>
  </si>
  <si>
    <t>1250 ROOSEVELT RD</t>
  </si>
  <si>
    <t>6306296000</t>
  </si>
  <si>
    <t>60031564</t>
  </si>
  <si>
    <t>CORKY'S CATERING,INC.@@{{</t>
  </si>
  <si>
    <t>1421 W. FULLERTON     A/L</t>
  </si>
  <si>
    <t>6309323200</t>
  </si>
  <si>
    <t>81188666</t>
  </si>
  <si>
    <t>CROWN PLAZA CHICAGO METRO</t>
  </si>
  <si>
    <t>733 W MADISON</t>
  </si>
  <si>
    <t>3128295000</t>
  </si>
  <si>
    <t>30483390</t>
  </si>
  <si>
    <t>LA PASTA RIA COMMISSA</t>
  </si>
  <si>
    <t>600530000</t>
  </si>
  <si>
    <t>9204 WAUKEGAN ROAD</t>
  </si>
  <si>
    <t>8479679994</t>
  </si>
  <si>
    <t>51056422</t>
  </si>
  <si>
    <t>SHERATON LISLE HOTEL</t>
  </si>
  <si>
    <t>3000 WARRENVILLE ROAD</t>
  </si>
  <si>
    <t>6305051000</t>
  </si>
  <si>
    <t>30029581</t>
  </si>
  <si>
    <t>EAST BANK CLUB CORP</t>
  </si>
  <si>
    <t>500 NORTH KINGSBURY</t>
  </si>
  <si>
    <t>3125275800</t>
  </si>
  <si>
    <t>81284291</t>
  </si>
  <si>
    <t>WEDGEWOOD WEDDING N SHORE</t>
  </si>
  <si>
    <t>600839127</t>
  </si>
  <si>
    <t>4555 W YORKHOUSE RD</t>
  </si>
  <si>
    <t>8476724497</t>
  </si>
  <si>
    <t>61164828</t>
  </si>
  <si>
    <t>DEER PATH INN</t>
  </si>
  <si>
    <t>255 E ILLINOIS RD</t>
  </si>
  <si>
    <t>8472342280</t>
  </si>
  <si>
    <t>31020381</t>
  </si>
  <si>
    <t>WYNDHAM</t>
  </si>
  <si>
    <t>1725 E ALGONQUIN RD</t>
  </si>
  <si>
    <t>8473971501</t>
  </si>
  <si>
    <t>61133146</t>
  </si>
  <si>
    <t>QUALITY INN &amp; SUITES</t>
  </si>
  <si>
    <t>604260000</t>
  </si>
  <si>
    <t>60426</t>
  </si>
  <si>
    <t>HARVEY</t>
  </si>
  <si>
    <t>16920 HALSTED ST</t>
  </si>
  <si>
    <t>7083310700</t>
  </si>
  <si>
    <t>30603237</t>
  </si>
  <si>
    <t>ST. JOE CLUB</t>
  </si>
  <si>
    <t>2001 FRANKLIN STREET</t>
  </si>
  <si>
    <t>2198799454</t>
  </si>
  <si>
    <t>70619820</t>
  </si>
  <si>
    <t>DINING SOLUTIONS</t>
  </si>
  <si>
    <t>2215 RIDGE RD</t>
  </si>
  <si>
    <t>2199233830</t>
  </si>
  <si>
    <t>90482944</t>
  </si>
  <si>
    <t>MEDINAH COUNTRY CLUB,</t>
  </si>
  <si>
    <t>601570000</t>
  </si>
  <si>
    <t>60157</t>
  </si>
  <si>
    <t>MEDINAH</t>
  </si>
  <si>
    <t>6N001 MEDINAH RD</t>
  </si>
  <si>
    <t>6307731700</t>
  </si>
  <si>
    <t>80523863</t>
  </si>
  <si>
    <t>ASTORIA BANQUETS</t>
  </si>
  <si>
    <t>1375 W. DUNDEE RD.</t>
  </si>
  <si>
    <t>8473927500</t>
  </si>
  <si>
    <t>90483223</t>
  </si>
  <si>
    <t>LAMIRAGE</t>
  </si>
  <si>
    <t>3223 ALGONQUIN RD</t>
  </si>
  <si>
    <t>8472221222</t>
  </si>
  <si>
    <t>50483353</t>
  </si>
  <si>
    <t>MICHIGAN SHORES CLUB</t>
  </si>
  <si>
    <t>911 MICHIGAN AVE</t>
  </si>
  <si>
    <t>8472514100</t>
  </si>
  <si>
    <t>32011</t>
  </si>
  <si>
    <t>GARDEN CHALET  *PG*</t>
  </si>
  <si>
    <t>11000 S. RIDGELAND</t>
  </si>
  <si>
    <t>7083610400</t>
  </si>
  <si>
    <t>21221759</t>
  </si>
  <si>
    <t>10 PIN BOWL &amp; LOUNGE</t>
  </si>
  <si>
    <t>606545411</t>
  </si>
  <si>
    <t>330 N STATE ST</t>
  </si>
  <si>
    <t>3136440300</t>
  </si>
  <si>
    <t>11147444</t>
  </si>
  <si>
    <t>IVY LEAGUE BASEBALL CLUB</t>
  </si>
  <si>
    <t>606134338</t>
  </si>
  <si>
    <t>3637 N SHEFFIELD AVE</t>
  </si>
  <si>
    <t>3122396066</t>
  </si>
  <si>
    <t>40483505</t>
  </si>
  <si>
    <t>BZ RED HOTS #361 ZOO</t>
  </si>
  <si>
    <t>90482803</t>
  </si>
  <si>
    <t>REULAND CATERING</t>
  </si>
  <si>
    <t>605060000</t>
  </si>
  <si>
    <t>60506</t>
  </si>
  <si>
    <t>115 OAK AVE</t>
  </si>
  <si>
    <t>6308592877</t>
  </si>
  <si>
    <t>91255141</t>
  </si>
  <si>
    <t>CHATEAU DEL MAR, INC</t>
  </si>
  <si>
    <t>604571941</t>
  </si>
  <si>
    <t>8301 W 95TH ST</t>
  </si>
  <si>
    <t>7085985900</t>
  </si>
  <si>
    <t>21146493</t>
  </si>
  <si>
    <t>CHICAGO GAELIC PARK</t>
  </si>
  <si>
    <t>6119 W. 147TH ST</t>
  </si>
  <si>
    <t>7086879323</t>
  </si>
  <si>
    <t>51143485</t>
  </si>
  <si>
    <t>ROOFTOP SHEFFIELD 3609</t>
  </si>
  <si>
    <t>7735403790</t>
  </si>
  <si>
    <t>71116396</t>
  </si>
  <si>
    <t>LEVEL 257</t>
  </si>
  <si>
    <t>601735196</t>
  </si>
  <si>
    <t>2 WOODFIELD MALL UNIT A</t>
  </si>
  <si>
    <t>6302382241</t>
  </si>
  <si>
    <t>81219883</t>
  </si>
  <si>
    <t>UNIVERSAL ENTERTAINMENT</t>
  </si>
  <si>
    <t>606435458</t>
  </si>
  <si>
    <t>11901 S LOOMIS ST</t>
  </si>
  <si>
    <t>7738404331</t>
  </si>
  <si>
    <t>20614582</t>
  </si>
  <si>
    <t>BRYN MAWR COUNTRY CLUB</t>
  </si>
  <si>
    <t>6600 N. CRAWFORD AVENUE</t>
  </si>
  <si>
    <t>8476762660</t>
  </si>
  <si>
    <t>21143482</t>
  </si>
  <si>
    <t>ROOFTOP WAVELAND</t>
  </si>
  <si>
    <t>606134318</t>
  </si>
  <si>
    <t>1032 W WAVELAND AVE</t>
  </si>
  <si>
    <t>30987291</t>
  </si>
  <si>
    <t>PALOS COUNTRY CLUB</t>
  </si>
  <si>
    <t>13100 SOUTHWEST HIGHWAY</t>
  </si>
  <si>
    <t>7084486550</t>
  </si>
  <si>
    <t>81140931</t>
  </si>
  <si>
    <t>CHICAGO YACHT CLUB</t>
  </si>
  <si>
    <t>400 E. MONROE ST.</t>
  </si>
  <si>
    <t>3128617777</t>
  </si>
  <si>
    <t>70325386</t>
  </si>
  <si>
    <t>BLUE PLATE CATERING</t>
  </si>
  <si>
    <t>1362 W FULTON ST</t>
  </si>
  <si>
    <t>3124216666</t>
  </si>
  <si>
    <t>527317</t>
  </si>
  <si>
    <t>EVANSTON GOLF CLUB</t>
  </si>
  <si>
    <t>4401 DEMPSTER ST.</t>
  </si>
  <si>
    <t>8476760300</t>
  </si>
  <si>
    <t>40482119</t>
  </si>
  <si>
    <t>BRIARWOOD CC,</t>
  </si>
  <si>
    <t>355 DEERFIELD RD</t>
  </si>
  <si>
    <t>8479452660</t>
  </si>
  <si>
    <t>31087406</t>
  </si>
  <si>
    <t>PREMIER CATERING-MAC</t>
  </si>
  <si>
    <t>606380000</t>
  </si>
  <si>
    <t>5559 S ARCHER AVE</t>
  </si>
  <si>
    <t>7739486314</t>
  </si>
  <si>
    <t>11256211</t>
  </si>
  <si>
    <t>CHICAGO INDOOR SPORTS</t>
  </si>
  <si>
    <t>606092326</t>
  </si>
  <si>
    <t>60609</t>
  </si>
  <si>
    <t>3900 S ASHLAND AVE</t>
  </si>
  <si>
    <t>7733762900</t>
  </si>
  <si>
    <t>1026103</t>
  </si>
  <si>
    <t>ONWENTSIA CLUB</t>
  </si>
  <si>
    <t>300 N. GREEN BAY ROAD</t>
  </si>
  <si>
    <t>8472340120</t>
  </si>
  <si>
    <t>10577526</t>
  </si>
  <si>
    <t>SPRING HILL SUITES</t>
  </si>
  <si>
    <t>4101 FOUNTAIN SQUARE PL.</t>
  </si>
  <si>
    <t>8476889800</t>
  </si>
  <si>
    <t>20482980</t>
  </si>
  <si>
    <t>NOTEABLE EVENTS</t>
  </si>
  <si>
    <t>720 BUTTERFIELD RD</t>
  </si>
  <si>
    <t>6303713012</t>
  </si>
  <si>
    <t>10552321</t>
  </si>
  <si>
    <t>SCHALZ ENTERPRISES, LTD.</t>
  </si>
  <si>
    <t>1620 GILPEN AVE</t>
  </si>
  <si>
    <t>8477416374</t>
  </si>
  <si>
    <t>31173420</t>
  </si>
  <si>
    <t>FOOD2YOU CATERING</t>
  </si>
  <si>
    <t>606471930</t>
  </si>
  <si>
    <t>2719 N MAPLEWOOD AVE</t>
  </si>
  <si>
    <t>7733036565</t>
  </si>
  <si>
    <t>10948271</t>
  </si>
  <si>
    <t>DINOLFO'S BANQUETS</t>
  </si>
  <si>
    <t>9425 W 191ST STREET</t>
  </si>
  <si>
    <t>7084791919</t>
  </si>
  <si>
    <t>11140381</t>
  </si>
  <si>
    <t>SPRINGHILL SUITES BOLGBRK</t>
  </si>
  <si>
    <t>125 REMINGTON BLVD</t>
  </si>
  <si>
    <t>6307590529</t>
  </si>
  <si>
    <t>71038509</t>
  </si>
  <si>
    <t>THE MONTGOMERY CLUB-GIBSO</t>
  </si>
  <si>
    <t>500 W. SUPERIOR</t>
  </si>
  <si>
    <t>3125870575</t>
  </si>
  <si>
    <t>30483358</t>
  </si>
  <si>
    <t>INDIAN HILL CC</t>
  </si>
  <si>
    <t>1 INDIAN HILL RD</t>
  </si>
  <si>
    <t>8472514585</t>
  </si>
  <si>
    <t>61080818</t>
  </si>
  <si>
    <t>DOUBLETREE LIBERTYVILLE</t>
  </si>
  <si>
    <t>520 EAST ROUTE 83</t>
  </si>
  <si>
    <t>8479495100</t>
  </si>
  <si>
    <t>81123713</t>
  </si>
  <si>
    <t>GLEN VIEW CLUB</t>
  </si>
  <si>
    <t>600290000</t>
  </si>
  <si>
    <t>60029</t>
  </si>
  <si>
    <t>GOLF</t>
  </si>
  <si>
    <t>100 GOLF RD</t>
  </si>
  <si>
    <t>8477296500</t>
  </si>
  <si>
    <t>41139437</t>
  </si>
  <si>
    <t>CHRISTOS BANQUET CENTER:)</t>
  </si>
  <si>
    <t>465630000</t>
  </si>
  <si>
    <t>46563</t>
  </si>
  <si>
    <t>830 E. LINCOLNWAY</t>
  </si>
  <si>
    <t>5749359666</t>
  </si>
  <si>
    <t>80621006</t>
  </si>
  <si>
    <t>COURTYARD-WOOD DALE</t>
  </si>
  <si>
    <t>900 WOOD DALE ROAD</t>
  </si>
  <si>
    <t>6307667775</t>
  </si>
  <si>
    <t>60958543</t>
  </si>
  <si>
    <t>PRAIRIE BLUFF GC</t>
  </si>
  <si>
    <t>19433 RENWICK ROAD</t>
  </si>
  <si>
    <t>8158364653</t>
  </si>
  <si>
    <t>81231409</t>
  </si>
  <si>
    <t>VIRGIN HOTELS</t>
  </si>
  <si>
    <t>606012406</t>
  </si>
  <si>
    <t>203 N WABASH AVE</t>
  </si>
  <si>
    <t>8559466600</t>
  </si>
  <si>
    <t>70619275</t>
  </si>
  <si>
    <t>ODYSSEY FUN WRLD TINLEY</t>
  </si>
  <si>
    <t>19111 OAK PARK AVE.</t>
  </si>
  <si>
    <t>7084293800</t>
  </si>
  <si>
    <t>1286368</t>
  </si>
  <si>
    <t>DUNHAM WOODS RIDING CLUB</t>
  </si>
  <si>
    <t>601842071</t>
  </si>
  <si>
    <t>60184</t>
  </si>
  <si>
    <t>WAYNE</t>
  </si>
  <si>
    <t>33W333 ARMY TRAIL RD</t>
  </si>
  <si>
    <t>6305840045</t>
  </si>
  <si>
    <t>31210370</t>
  </si>
  <si>
    <t>IVANHOE COUNTRY CLUB</t>
  </si>
  <si>
    <t>600605361</t>
  </si>
  <si>
    <t>28846 N THORNGATE DR</t>
  </si>
  <si>
    <t>8473615084</t>
  </si>
  <si>
    <t>90401464</t>
  </si>
  <si>
    <t>BLUE CHIP CASINO     @@{{</t>
  </si>
  <si>
    <t>777 BLUE CHIP DRIVE</t>
  </si>
  <si>
    <t>2198797711</t>
  </si>
  <si>
    <t>91053298</t>
  </si>
  <si>
    <t>CROWNE PLAZA CHI OHARE</t>
  </si>
  <si>
    <t>5440 N. RIVER ROAD</t>
  </si>
  <si>
    <t>8476716350</t>
  </si>
  <si>
    <t>81180259</t>
  </si>
  <si>
    <t>LONDON HOUSE CHICAGO</t>
  </si>
  <si>
    <t>85 E WACKER DR</t>
  </si>
  <si>
    <t>3123571200</t>
  </si>
  <si>
    <t>10482099</t>
  </si>
  <si>
    <t>EXMOOR CC,</t>
  </si>
  <si>
    <t>700 VINE AVE</t>
  </si>
  <si>
    <t>8474323600</t>
  </si>
  <si>
    <t>20986477</t>
  </si>
  <si>
    <t>ASHTON PL /MARIE'S CATER</t>
  </si>
  <si>
    <t>341 W 75TH STREET</t>
  </si>
  <si>
    <t>6307893356</t>
  </si>
  <si>
    <t>20442877</t>
  </si>
  <si>
    <t>COMFORT'S CATERING</t>
  </si>
  <si>
    <t>9585 N INDUSTRIAL DR ST D</t>
  </si>
  <si>
    <t>2193656506</t>
  </si>
  <si>
    <t>30996441</t>
  </si>
  <si>
    <t>MAJESTIC STAR CASINO</t>
  </si>
  <si>
    <t>464060000</t>
  </si>
  <si>
    <t>46406</t>
  </si>
  <si>
    <t>1 BUFFINGTON HARBOR DRIVE</t>
  </si>
  <si>
    <t>2199777766</t>
  </si>
  <si>
    <t>40483497</t>
  </si>
  <si>
    <t>BROOKFIELD ZOO #420</t>
  </si>
  <si>
    <t>3300 GOLF RD</t>
  </si>
  <si>
    <t>70032958</t>
  </si>
  <si>
    <t>OPEN KITCHENS INC</t>
  </si>
  <si>
    <t>1161 W 21ST ST</t>
  </si>
  <si>
    <t>3126665335</t>
  </si>
  <si>
    <t>20552998</t>
  </si>
  <si>
    <t>CRYSTAL SKY BANQUETS :)</t>
  </si>
  <si>
    <t>MCCOOK</t>
  </si>
  <si>
    <t>7941 W 47TH ST</t>
  </si>
  <si>
    <t>7084426900</t>
  </si>
  <si>
    <t>11250362</t>
  </si>
  <si>
    <t>RIDGE COUNTRY CLUB</t>
  </si>
  <si>
    <t>606551714</t>
  </si>
  <si>
    <t>10522 S CALIFORNIA AVE</t>
  </si>
  <si>
    <t>7733412020</t>
  </si>
  <si>
    <t>71048961</t>
  </si>
  <si>
    <t>MIDWEST TRAINING &amp; ICE CT</t>
  </si>
  <si>
    <t>10600 WHITE OAK AVENUE</t>
  </si>
  <si>
    <t>2195588811</t>
  </si>
  <si>
    <t>40057150</t>
  </si>
  <si>
    <t>D'ANDREA BANQUETS INC</t>
  </si>
  <si>
    <t>4419 NORTHWEST HWY.</t>
  </si>
  <si>
    <t>8154597234</t>
  </si>
  <si>
    <t>61265658</t>
  </si>
  <si>
    <t>601621825</t>
  </si>
  <si>
    <t>200 S MANNHEIM RD</t>
  </si>
  <si>
    <t>7085442700</t>
  </si>
  <si>
    <t>30482764</t>
  </si>
  <si>
    <t>KRISTOFS ENTRTAINMNT</t>
  </si>
  <si>
    <t>600730000</t>
  </si>
  <si>
    <t>ROUND LAKE BEACH</t>
  </si>
  <si>
    <t>421 W ROLLINS ROAD</t>
  </si>
  <si>
    <t>8475462512</t>
  </si>
  <si>
    <t>81150849</t>
  </si>
  <si>
    <t>EMBASSY SUITES NAPERVILLE</t>
  </si>
  <si>
    <t>605639368</t>
  </si>
  <si>
    <t>1823 ABRITER CT</t>
  </si>
  <si>
    <t>CHINA</t>
  </si>
  <si>
    <t>6307995900</t>
  </si>
  <si>
    <t>91062026</t>
  </si>
  <si>
    <t>JEWELL EVENTS CATERING</t>
  </si>
  <si>
    <t>424 N WOOD STREET</t>
  </si>
  <si>
    <t>8476241207</t>
  </si>
  <si>
    <t>31058522</t>
  </si>
  <si>
    <t>SANDY PINES SPORTS GRILL</t>
  </si>
  <si>
    <t>463100000</t>
  </si>
  <si>
    <t>46310</t>
  </si>
  <si>
    <t>DEMOTTE</t>
  </si>
  <si>
    <t>10527 BUNKER DRIVE</t>
  </si>
  <si>
    <t>2199873611</t>
  </si>
  <si>
    <t>1261023</t>
  </si>
  <si>
    <t>YOUCHE CC</t>
  </si>
  <si>
    <t>2301 W 129TH AVE</t>
  </si>
  <si>
    <t>2196631419</t>
  </si>
  <si>
    <t>20426102</t>
  </si>
  <si>
    <t>INNSBROOK COUNTRY CLUB</t>
  </si>
  <si>
    <t>6701 TAFT STREET</t>
  </si>
  <si>
    <t>2199809060</t>
  </si>
  <si>
    <t>70483490</t>
  </si>
  <si>
    <t>CATERED EVENTS #335-Z</t>
  </si>
  <si>
    <t>11229283</t>
  </si>
  <si>
    <t>ST. ANDREWS GOLF &amp; COUNTR</t>
  </si>
  <si>
    <t>2241 ROUTE 59</t>
  </si>
  <si>
    <t>6302311282</t>
  </si>
  <si>
    <t>30480719</t>
  </si>
  <si>
    <t>HOLIDAY INN-ROLLING MDWS</t>
  </si>
  <si>
    <t>3405 ALGONQUIN RD</t>
  </si>
  <si>
    <t>8472595000</t>
  </si>
  <si>
    <t>71175756</t>
  </si>
  <si>
    <t>MIDLOTHIAN C.C.</t>
  </si>
  <si>
    <t>604452071</t>
  </si>
  <si>
    <t>5000 147TH ST</t>
  </si>
  <si>
    <t>7083880596</t>
  </si>
  <si>
    <t>11188331</t>
  </si>
  <si>
    <t>1044 WAVELAND ROOFTOP</t>
  </si>
  <si>
    <t>1044 W WAVELAND AVE</t>
  </si>
  <si>
    <t>50482629</t>
  </si>
  <si>
    <t>UNIVERSITY CLUB OF CH</t>
  </si>
  <si>
    <t>76 E MONROE ST</t>
  </si>
  <si>
    <t>3127262840</t>
  </si>
  <si>
    <t>80030737</t>
  </si>
  <si>
    <t>TWIN ORCHARD C C</t>
  </si>
  <si>
    <t>22353 OLD MCHENRY RD.</t>
  </si>
  <si>
    <t>8476343800</t>
  </si>
  <si>
    <t>10032571</t>
  </si>
  <si>
    <t>HILLDALE COUNTRY CLUB</t>
  </si>
  <si>
    <t>1625 ARDWICK DR.</t>
  </si>
  <si>
    <t>8473101100</t>
  </si>
  <si>
    <t>90444308</t>
  </si>
  <si>
    <t>HALLS OF ST. GEORGE</t>
  </si>
  <si>
    <t>905 EAST JOLIET ST.</t>
  </si>
  <si>
    <t>2198659411</t>
  </si>
  <si>
    <t>10482875</t>
  </si>
  <si>
    <t>BIG DELICIOUS PLANET</t>
  </si>
  <si>
    <t>412 N. WOLCOTT AVENUE</t>
  </si>
  <si>
    <t>3124551019</t>
  </si>
  <si>
    <t>90932351</t>
  </si>
  <si>
    <t>3 CHEFS CATERING</t>
  </si>
  <si>
    <t>380 W VIRGINIA AVE</t>
  </si>
  <si>
    <t>8475610630</t>
  </si>
  <si>
    <t>80546708</t>
  </si>
  <si>
    <t>2323 172ND STREET</t>
  </si>
  <si>
    <t>7084181188</t>
  </si>
  <si>
    <t>1201672</t>
  </si>
  <si>
    <t>GEORGIOS BANQUETS</t>
  </si>
  <si>
    <t>604625618</t>
  </si>
  <si>
    <t>8800 W 159TH ST</t>
  </si>
  <si>
    <t>7084031757</t>
  </si>
  <si>
    <t>41178773</t>
  </si>
  <si>
    <t>HOLIDAY INN EXPRESS PALAT</t>
  </si>
  <si>
    <t>600748311</t>
  </si>
  <si>
    <t>1550 E DUNDEE RD</t>
  </si>
  <si>
    <t>8479344900</t>
  </si>
  <si>
    <t>71014310</t>
  </si>
  <si>
    <t>EMBASSY SUITES SCHAUMBURG</t>
  </si>
  <si>
    <t>1939 N. MEACHAM</t>
  </si>
  <si>
    <t>CHISB</t>
  </si>
  <si>
    <t>8473971313</t>
  </si>
  <si>
    <t>50483494</t>
  </si>
  <si>
    <t>BROOKFIELD ZOO JANITO 170</t>
  </si>
  <si>
    <t>81274185</t>
  </si>
  <si>
    <t>SUNSET RIDGE COUNTRY CLUB</t>
  </si>
  <si>
    <t>600931063</t>
  </si>
  <si>
    <t>2100 SUNSET RIDGE RD</t>
  </si>
  <si>
    <t>8474465222</t>
  </si>
  <si>
    <t>91178657</t>
  </si>
  <si>
    <t>DOUBLE TREE ARLINGTON HGT</t>
  </si>
  <si>
    <t>600054413</t>
  </si>
  <si>
    <t>75 W ALGONQUIN RD</t>
  </si>
  <si>
    <t>8473647600</t>
  </si>
  <si>
    <t>21147467</t>
  </si>
  <si>
    <t>WRIGLEY FIELD ROOFTOP CLU</t>
  </si>
  <si>
    <t>606134303</t>
  </si>
  <si>
    <t>3617 N SHEFFIELD AVE</t>
  </si>
  <si>
    <t>7738415070</t>
  </si>
  <si>
    <t>60483492</t>
  </si>
  <si>
    <t>BROOKFIELD ZOO ANIMAL 235</t>
  </si>
  <si>
    <t>40681983</t>
  </si>
  <si>
    <t>DINOLFO'S HOMER GLEN</t>
  </si>
  <si>
    <t>604910000</t>
  </si>
  <si>
    <t>14447 W. 159TH ST</t>
  </si>
  <si>
    <t>7086451900</t>
  </si>
  <si>
    <t>41284563</t>
  </si>
  <si>
    <t>ALLEGRO HOTEL</t>
  </si>
  <si>
    <t>606013121</t>
  </si>
  <si>
    <t>171 W RANDOLPH ST</t>
  </si>
  <si>
    <t>3123257132</t>
  </si>
  <si>
    <t>71164263</t>
  </si>
  <si>
    <t>WHITE EAGLE BY VICTORIA</t>
  </si>
  <si>
    <t>607144419</t>
  </si>
  <si>
    <t>6839 N MILWAUKEE AVE</t>
  </si>
  <si>
    <t>7084561575</t>
  </si>
  <si>
    <t>81292591</t>
  </si>
  <si>
    <t>EMBASSY SUITE HOTEL: SCHA</t>
  </si>
  <si>
    <t>601734333</t>
  </si>
  <si>
    <t>1939 N MEACHAM RD</t>
  </si>
  <si>
    <t>8473971314</t>
  </si>
  <si>
    <t>466599</t>
  </si>
  <si>
    <t>SBR - TRUE CUISINE</t>
  </si>
  <si>
    <t>6302388261</t>
  </si>
  <si>
    <t>30578397</t>
  </si>
  <si>
    <t>THE SEVILLE           {{</t>
  </si>
  <si>
    <t>700 S BARRINGTON RD</t>
  </si>
  <si>
    <t>6302894500</t>
  </si>
  <si>
    <t>91165878</t>
  </si>
  <si>
    <t>IN PARIS</t>
  </si>
  <si>
    <t>600627125</t>
  </si>
  <si>
    <t>3315 MILWAUKEE AVE</t>
  </si>
  <si>
    <t>8473384144</t>
  </si>
  <si>
    <t>41149683</t>
  </si>
  <si>
    <t>BEST WESTERN HILLISDE HTL</t>
  </si>
  <si>
    <t>4400 FRONTAGE RD</t>
  </si>
  <si>
    <t>7085449300</t>
  </si>
  <si>
    <t>80552284</t>
  </si>
  <si>
    <t>WARSAW INN</t>
  </si>
  <si>
    <t>2180 GLENWOOD DYER RD</t>
  </si>
  <si>
    <t>7084741000</t>
  </si>
  <si>
    <t>80496524</t>
  </si>
  <si>
    <t>BOBAK'S SIGNATURE EVENTS</t>
  </si>
  <si>
    <t>6440 DOUBLE EAGLE DRIVE</t>
  </si>
  <si>
    <t>6309687778</t>
  </si>
  <si>
    <t>91102814</t>
  </si>
  <si>
    <t>JEWELL EVENTS AT 777 TRB</t>
  </si>
  <si>
    <t>777 W. CHICAGO AVE</t>
  </si>
  <si>
    <t>3128293666</t>
  </si>
  <si>
    <t>40296030</t>
  </si>
  <si>
    <t>LONG BEACH C.C.</t>
  </si>
  <si>
    <t>2309 LARCHMONT AVE</t>
  </si>
  <si>
    <t>2198720689</t>
  </si>
  <si>
    <t>324046</t>
  </si>
  <si>
    <t>AVALON MANOR, INC.   :)</t>
  </si>
  <si>
    <t>3550 E. US HWY 30</t>
  </si>
  <si>
    <t>2199450888</t>
  </si>
  <si>
    <t>20551743</t>
  </si>
  <si>
    <t>DEEP RIVER WATERPARK</t>
  </si>
  <si>
    <t>9001 EAST U.S. 30</t>
  </si>
  <si>
    <t>2199477850</t>
  </si>
  <si>
    <t>30493670</t>
  </si>
  <si>
    <t>ZHIVAGO</t>
  </si>
  <si>
    <t>9925 GROSS POINT RD</t>
  </si>
  <si>
    <t>8479821400</t>
  </si>
  <si>
    <t>1205954</t>
  </si>
  <si>
    <t>LM CATERING</t>
  </si>
  <si>
    <t>606122854</t>
  </si>
  <si>
    <t>1932 W LAKE ST</t>
  </si>
  <si>
    <t>3124311788</t>
  </si>
  <si>
    <t>41127275</t>
  </si>
  <si>
    <t>JEWELL EVENTS AT155</t>
  </si>
  <si>
    <t>600255117</t>
  </si>
  <si>
    <t>150 WAUKEGAN RD</t>
  </si>
  <si>
    <t>2246619945</t>
  </si>
  <si>
    <t>51250736</t>
  </si>
  <si>
    <t>HOTEL INDIGO-NAPERVILLE</t>
  </si>
  <si>
    <t>605405339</t>
  </si>
  <si>
    <t>120 WATER ST</t>
  </si>
  <si>
    <t>6307789676</t>
  </si>
  <si>
    <t>51259604</t>
  </si>
  <si>
    <t>ACE HOTEL</t>
  </si>
  <si>
    <t>606071310</t>
  </si>
  <si>
    <t>311 N MORGAN ST</t>
  </si>
  <si>
    <t>7735207383</t>
  </si>
  <si>
    <t>20484903</t>
  </si>
  <si>
    <t>BOULDER RIDGE COUNTRY</t>
  </si>
  <si>
    <t>350 BOULDER DR</t>
  </si>
  <si>
    <t>8478543010</t>
  </si>
  <si>
    <t>31159460</t>
  </si>
  <si>
    <t>KEMPER LAKES GOLF CLUB</t>
  </si>
  <si>
    <t>24000 N. OLD MCHENRY RD</t>
  </si>
  <si>
    <t>8477265544</t>
  </si>
  <si>
    <t>20261004</t>
  </si>
  <si>
    <t>COG HILL GOLF &amp; C. CLUB</t>
  </si>
  <si>
    <t>12294 ARCHER AVE</t>
  </si>
  <si>
    <t>6302575872</t>
  </si>
  <si>
    <t>91217141</t>
  </si>
  <si>
    <t>BARRY'S BOOTCAMP CHICAGO</t>
  </si>
  <si>
    <t>606450000</t>
  </si>
  <si>
    <t>60645</t>
  </si>
  <si>
    <t>9 W ERIE STREET</t>
  </si>
  <si>
    <t>9178280229</t>
  </si>
  <si>
    <t>50180827</t>
  </si>
  <si>
    <t>CHNDLR CHP HSE SCHM #1000</t>
  </si>
  <si>
    <t>601940000</t>
  </si>
  <si>
    <t>401 N ROSELLE RD</t>
  </si>
  <si>
    <t>SCHAUMBURG GOLF COURSE</t>
  </si>
  <si>
    <t>8478859009</t>
  </si>
  <si>
    <t>71228092</t>
  </si>
  <si>
    <t>JEWELL EVENTS WAREHOUSE</t>
  </si>
  <si>
    <t>606226735</t>
  </si>
  <si>
    <t>424 N WOOD ST</t>
  </si>
  <si>
    <t>20874293</t>
  </si>
  <si>
    <t>VERSAILLES - PAVILION</t>
  </si>
  <si>
    <t>100 MCHENRY ROAD</t>
  </si>
  <si>
    <t>8474651526</t>
  </si>
  <si>
    <t>31162423</t>
  </si>
  <si>
    <t>ARCLIGHT THEATER-CHICAGO</t>
  </si>
  <si>
    <t>606101095</t>
  </si>
  <si>
    <t>1500 N CLYBOURN AVE</t>
  </si>
  <si>
    <t>80749476</t>
  </si>
  <si>
    <t>FLOSSMOOR COUNTRY CLUB</t>
  </si>
  <si>
    <t>1441 WESTERN AVE</t>
  </si>
  <si>
    <t>7087984700</t>
  </si>
  <si>
    <t>51149680</t>
  </si>
  <si>
    <t>RAMADA INN #538 LAKESHORE</t>
  </si>
  <si>
    <t>4900 S LAKESHORE DR</t>
  </si>
  <si>
    <t>7732885800</t>
  </si>
  <si>
    <t>11201654</t>
  </si>
  <si>
    <t>7084031100</t>
  </si>
  <si>
    <t>70484902</t>
  </si>
  <si>
    <t>GRAND VICTORIA</t>
  </si>
  <si>
    <t>250 S GROVE AVE</t>
  </si>
  <si>
    <t>8474687000</t>
  </si>
  <si>
    <t>21104823</t>
  </si>
  <si>
    <t>DO&amp;CO.</t>
  </si>
  <si>
    <t>2150 FRONTAGE RD</t>
  </si>
  <si>
    <t>21062039</t>
  </si>
  <si>
    <t>JEWELL/PARKWAY NORTH</t>
  </si>
  <si>
    <t>3 PARKWAY NORTH</t>
  </si>
  <si>
    <t>8476073780</t>
  </si>
  <si>
    <t>11211687</t>
  </si>
  <si>
    <t>POTTAWATTOMIE COUNTRY CLU</t>
  </si>
  <si>
    <t>463602689</t>
  </si>
  <si>
    <t>1900 SPRINGLAND AVE</t>
  </si>
  <si>
    <t>2198728624</t>
  </si>
  <si>
    <t>41143488</t>
  </si>
  <si>
    <t>ROOFTOP SHEFFIELD 3643</t>
  </si>
  <si>
    <t>606134368</t>
  </si>
  <si>
    <t>3643 N SHEFFIELD AVE</t>
  </si>
  <si>
    <t>70545991</t>
  </si>
  <si>
    <t>3477 ALGONQUIN ROAD</t>
  </si>
  <si>
    <t>8475064100</t>
  </si>
  <si>
    <t>896308</t>
  </si>
  <si>
    <t>COMFORT INN</t>
  </si>
  <si>
    <t>7813 INDIANAPOLIS BLVD</t>
  </si>
  <si>
    <t>2198454678</t>
  </si>
  <si>
    <t>50590355</t>
  </si>
  <si>
    <t>PETERGOF</t>
  </si>
  <si>
    <t>577 WEST WAUKEGAN ROAD</t>
  </si>
  <si>
    <t>8477159440</t>
  </si>
  <si>
    <t>475038</t>
  </si>
  <si>
    <t>BEST WESTERN NW INDIANA</t>
  </si>
  <si>
    <t>3830 179TH STREET</t>
  </si>
  <si>
    <t>2198442410</t>
  </si>
  <si>
    <t>30528533</t>
  </si>
  <si>
    <t>EMPRESS BANQUETS :)</t>
  </si>
  <si>
    <t>200 E LAKE ST</t>
  </si>
  <si>
    <t>6302795590</t>
  </si>
  <si>
    <t>61259545</t>
  </si>
  <si>
    <t>QUALITY CATERING</t>
  </si>
  <si>
    <t>600311245</t>
  </si>
  <si>
    <t>4005 PORETT DR</t>
  </si>
  <si>
    <t>8473567513</t>
  </si>
  <si>
    <t>71143481</t>
  </si>
  <si>
    <t>ROOFTOP ON SHEFFIELD</t>
  </si>
  <si>
    <t>606134367</t>
  </si>
  <si>
    <t>3639 N SHEFFIELD AVE</t>
  </si>
  <si>
    <t>SUM(C."VARIABLE DELIVERY COST")</t>
  </si>
  <si>
    <t>SUM(C."VARIABLE SELLING COST")</t>
  </si>
  <si>
    <t>SUM(C."VARIABLE WAREHOUSE COST")</t>
  </si>
  <si>
    <t>SUM(C.DROPS)</t>
  </si>
  <si>
    <t>60632</t>
  </si>
  <si>
    <t>60131</t>
  </si>
  <si>
    <t>60164</t>
  </si>
  <si>
    <t>60636</t>
  </si>
  <si>
    <t>60653</t>
  </si>
  <si>
    <t>60115</t>
  </si>
  <si>
    <t>60633</t>
  </si>
  <si>
    <t>60419</t>
  </si>
  <si>
    <t>60022</t>
  </si>
  <si>
    <t>60620</t>
  </si>
  <si>
    <t>60471</t>
  </si>
  <si>
    <t>60458</t>
  </si>
  <si>
    <t>46409</t>
  </si>
  <si>
    <t>60624</t>
  </si>
  <si>
    <t>46374</t>
  </si>
  <si>
    <t>60208</t>
  </si>
  <si>
    <t>46391</t>
  </si>
  <si>
    <t>60804</t>
  </si>
  <si>
    <t>46407</t>
  </si>
  <si>
    <t>46408</t>
  </si>
  <si>
    <t>61354</t>
  </si>
  <si>
    <t>60514</t>
  </si>
  <si>
    <t>62806</t>
  </si>
  <si>
    <t>60914</t>
  </si>
  <si>
    <t>60628</t>
  </si>
  <si>
    <t>61820</t>
  </si>
  <si>
    <t>46534</t>
  </si>
  <si>
    <t>60163</t>
  </si>
  <si>
    <t>60153</t>
  </si>
  <si>
    <t>60449</t>
  </si>
  <si>
    <t>61107</t>
  </si>
  <si>
    <t>60154</t>
  </si>
  <si>
    <t>60189</t>
  </si>
  <si>
    <t>61701</t>
  </si>
  <si>
    <t>46385</t>
  </si>
  <si>
    <t>61761</t>
  </si>
  <si>
    <t>60585</t>
  </si>
  <si>
    <t>61350</t>
  </si>
  <si>
    <t>60304</t>
  </si>
  <si>
    <t>60160</t>
  </si>
  <si>
    <t>60140</t>
  </si>
  <si>
    <t>46401</t>
  </si>
  <si>
    <t>60124</t>
  </si>
  <si>
    <t>60617</t>
  </si>
  <si>
    <t>60041</t>
  </si>
  <si>
    <t>60097</t>
  </si>
  <si>
    <t>46327</t>
  </si>
  <si>
    <t>60406</t>
  </si>
  <si>
    <t>60430</t>
  </si>
  <si>
    <t>60142</t>
  </si>
  <si>
    <t>60476</t>
  </si>
  <si>
    <t>60401</t>
  </si>
  <si>
    <t>60436</t>
  </si>
  <si>
    <t>60428</t>
  </si>
  <si>
    <t>60466</t>
  </si>
  <si>
    <t>60558</t>
  </si>
  <si>
    <t>60155</t>
  </si>
  <si>
    <t>61602</t>
  </si>
  <si>
    <t>60104</t>
  </si>
  <si>
    <t>60656</t>
  </si>
  <si>
    <t>60464</t>
  </si>
  <si>
    <t>60534</t>
  </si>
  <si>
    <t>61615</t>
  </si>
  <si>
    <t>21335930</t>
  </si>
  <si>
    <t>THROWBACK SPORTS BAR</t>
  </si>
  <si>
    <t>1890 W MAIN ST</t>
  </si>
  <si>
    <t>90639907</t>
  </si>
  <si>
    <t>**COLL** C'S PIZZARIA</t>
  </si>
  <si>
    <t>4000 N. JOHNSBURG RD.</t>
  </si>
  <si>
    <t>91308163</t>
  </si>
  <si>
    <t>TWAIN</t>
  </si>
  <si>
    <t>2445 N MILWAUKEE AVE</t>
  </si>
  <si>
    <t>91200394</t>
  </si>
  <si>
    <t>MAVERY PUBLIC HOUSE</t>
  </si>
  <si>
    <t>51281665</t>
  </si>
  <si>
    <t>RIVERIA NAYAVIATE</t>
  </si>
  <si>
    <t>11456 W WADSWORTH RD</t>
  </si>
  <si>
    <t>31043433</t>
  </si>
  <si>
    <t>STEER HOGS SMOKED BBQ</t>
  </si>
  <si>
    <t>4712 W 147TH STREET</t>
  </si>
  <si>
    <t>91026427</t>
  </si>
  <si>
    <t>FFF AMERICAN JUNKIE CHGO</t>
  </si>
  <si>
    <t>15 W ILLINOIS ST</t>
  </si>
  <si>
    <t>30591598</t>
  </si>
  <si>
    <t>BROWN'S CHICKEN/CHICAGO</t>
  </si>
  <si>
    <t>5601 W. LAWRENCE AVE.</t>
  </si>
  <si>
    <t>41124413</t>
  </si>
  <si>
    <t>LICKITY SPLIT #2 - CHICAG</t>
  </si>
  <si>
    <t>7000 N WESTERN AVE</t>
  </si>
  <si>
    <t>20994711</t>
  </si>
  <si>
    <t>AURELLIOS PIZZA</t>
  </si>
  <si>
    <t>18162 HARWOOD AVE</t>
  </si>
  <si>
    <t>HOMEWOOD</t>
  </si>
  <si>
    <t>31195001</t>
  </si>
  <si>
    <t>PRYSM NIGHT CLUB</t>
  </si>
  <si>
    <t>1543 N KINGSBURY ST</t>
  </si>
  <si>
    <t>10717262</t>
  </si>
  <si>
    <t>BILL W PIZZA</t>
  </si>
  <si>
    <t>800 SUPREME DR</t>
  </si>
  <si>
    <t>90467333</t>
  </si>
  <si>
    <t>JOY'S FAMILY REST *COLL*</t>
  </si>
  <si>
    <t>404 SOUTH MAIN ST</t>
  </si>
  <si>
    <t>80595481</t>
  </si>
  <si>
    <t>VILLAGE SQUIRE/S.ELGIN</t>
  </si>
  <si>
    <t>480 RANDALL ROAD</t>
  </si>
  <si>
    <t>81157307</t>
  </si>
  <si>
    <t>COCHIAROS PIZZA</t>
  </si>
  <si>
    <t>107 E GRAND AVE</t>
  </si>
  <si>
    <t>MELROSE PARK</t>
  </si>
  <si>
    <t>31130776</t>
  </si>
  <si>
    <t>SEASONS OF JAPAN</t>
  </si>
  <si>
    <t>700 N. MILWAUKEE #132</t>
  </si>
  <si>
    <t>91128991</t>
  </si>
  <si>
    <t>NORTHWOODS CB</t>
  </si>
  <si>
    <t>968 E STEGER RD</t>
  </si>
  <si>
    <t>40032708</t>
  </si>
  <si>
    <t>Z Z DORMANT</t>
  </si>
  <si>
    <t>3019 ROCKINGHAM</t>
  </si>
  <si>
    <t>52802</t>
  </si>
  <si>
    <t>81325383</t>
  </si>
  <si>
    <t>HAMPTON BASSMENT</t>
  </si>
  <si>
    <t>353 W HUBBARD ST</t>
  </si>
  <si>
    <t>31312663</t>
  </si>
  <si>
    <t>ROCKIN HORSE SALOON</t>
  </si>
  <si>
    <t>5200 159TH ST</t>
  </si>
  <si>
    <t>21340864</t>
  </si>
  <si>
    <t>MY PIE REVIVAL</t>
  </si>
  <si>
    <t>51314649</t>
  </si>
  <si>
    <t>FACEBOOK CAFE</t>
  </si>
  <si>
    <t>191 N UPPER WACKER DR. FL</t>
  </si>
  <si>
    <t>60948015</t>
  </si>
  <si>
    <t>500 US 30</t>
  </si>
  <si>
    <t>40994642</t>
  </si>
  <si>
    <t>SUNRISE GRILL &amp; CATERING</t>
  </si>
  <si>
    <t>1930 E TOUHY AVE</t>
  </si>
  <si>
    <t>90482654</t>
  </si>
  <si>
    <t>MILL CREEK INN</t>
  </si>
  <si>
    <t>333 W MILL ST</t>
  </si>
  <si>
    <t>11226511</t>
  </si>
  <si>
    <t>DILEO'S PIZZERIA</t>
  </si>
  <si>
    <t>193 E BUTTERFIELD RD</t>
  </si>
  <si>
    <t>21087937</t>
  </si>
  <si>
    <t>PHILLY T'S LLC</t>
  </si>
  <si>
    <t>9750 S ROBERTS RD</t>
  </si>
  <si>
    <t>60976446</t>
  </si>
  <si>
    <t>EILEENS BISTRO</t>
  </si>
  <si>
    <t>111BLUE ST</t>
  </si>
  <si>
    <t>60621513</t>
  </si>
  <si>
    <t>OLIVER'S BAR &amp; GRILL</t>
  </si>
  <si>
    <t>6150 W. 159TH ST.</t>
  </si>
  <si>
    <t>41089491</t>
  </si>
  <si>
    <t>PIECES OF CHICAGO</t>
  </si>
  <si>
    <t>1450 N NORTH AVE</t>
  </si>
  <si>
    <t>21014279</t>
  </si>
  <si>
    <t>SUSHI THAI III</t>
  </si>
  <si>
    <t>6230 N. BROADWAY</t>
  </si>
  <si>
    <t>10680445</t>
  </si>
  <si>
    <t>Z//BLUE OCEAN SUSHI REST.</t>
  </si>
  <si>
    <t>4650 N. CLARK ST.</t>
  </si>
  <si>
    <t>10548006</t>
  </si>
  <si>
    <t>O'SHAUGHNESSY'S PUBLIC HS</t>
  </si>
  <si>
    <t>1775 W.WILSON</t>
  </si>
  <si>
    <t>61057147</t>
  </si>
  <si>
    <t>112 S YORK ROAD</t>
  </si>
  <si>
    <t>10725893</t>
  </si>
  <si>
    <t>HARRY CARAY'S TAVERN PIER</t>
  </si>
  <si>
    <t>700 EAST GRAND AVE</t>
  </si>
  <si>
    <t>91022194</t>
  </si>
  <si>
    <t>PEACOCK FAMILY REST</t>
  </si>
  <si>
    <t>2670 BELVIDERE RD</t>
  </si>
  <si>
    <t>80390859</t>
  </si>
  <si>
    <t>HARVEY'S RESTAURANT</t>
  </si>
  <si>
    <t>5640 HOHAM</t>
  </si>
  <si>
    <t>20536413</t>
  </si>
  <si>
    <t>JOES DOGS</t>
  </si>
  <si>
    <t>822 S MCKINLEY</t>
  </si>
  <si>
    <t>60639994</t>
  </si>
  <si>
    <t>LES BROTHERS PANCKE HSE:)</t>
  </si>
  <si>
    <t>2708 HIGHWAY AVE</t>
  </si>
  <si>
    <t>80483175</t>
  </si>
  <si>
    <t>LARSA'S</t>
  </si>
  <si>
    <t>3724 W DEMPSTER</t>
  </si>
  <si>
    <t>31306871</t>
  </si>
  <si>
    <t>HAY CARAMBA!</t>
  </si>
  <si>
    <t>122 S PROSPECT AVE</t>
  </si>
  <si>
    <t>30716286</t>
  </si>
  <si>
    <t>NAPOLITANO'S</t>
  </si>
  <si>
    <t>455 REDINGTON DRIVE</t>
  </si>
  <si>
    <t>11344314</t>
  </si>
  <si>
    <t>BENCHMARK</t>
  </si>
  <si>
    <t>1510 N WELLS ST</t>
  </si>
  <si>
    <t>91260612</t>
  </si>
  <si>
    <t>CAPTAIN HOOKS</t>
  </si>
  <si>
    <t>1600 W 13TH ST</t>
  </si>
  <si>
    <t>81247355</t>
  </si>
  <si>
    <t>BAKER MILLER/EVERYBODY'S</t>
  </si>
  <si>
    <t>935 W WILSON</t>
  </si>
  <si>
    <t>70907183</t>
  </si>
  <si>
    <t>THE BANK RESTAURANT</t>
  </si>
  <si>
    <t>123 WEST FRONT ST</t>
  </si>
  <si>
    <t>30391007</t>
  </si>
  <si>
    <t>CHEF KLAUS PEOTONE**COLL*</t>
  </si>
  <si>
    <t>306 N. HARLEM AVE.</t>
  </si>
  <si>
    <t>PEOTONE</t>
  </si>
  <si>
    <t>60468</t>
  </si>
  <si>
    <t>80482797</t>
  </si>
  <si>
    <t>BRIDGE ST CAFE **COLL**</t>
  </si>
  <si>
    <t>213 S BRIDGE ST</t>
  </si>
  <si>
    <t>80482615</t>
  </si>
  <si>
    <t>MILLERS PUB</t>
  </si>
  <si>
    <t>134 S WABASH AV</t>
  </si>
  <si>
    <t>90484809</t>
  </si>
  <si>
    <t>INDIAN LAKES SEDONA</t>
  </si>
  <si>
    <t>250 W SCHICK RD</t>
  </si>
  <si>
    <t>20747440</t>
  </si>
  <si>
    <t>THE STREETSIDE BAR</t>
  </si>
  <si>
    <t>3201 W ARMITAGE AVE</t>
  </si>
  <si>
    <t>80319163</t>
  </si>
  <si>
    <t>CHIPOLTE MEX.GRILL #0089</t>
  </si>
  <si>
    <t>5373 TOUHY</t>
  </si>
  <si>
    <t>11295177</t>
  </si>
  <si>
    <t>R&amp;R CARIBBEAN JERK</t>
  </si>
  <si>
    <t>3927 MAIN ST</t>
  </si>
  <si>
    <t>20543526</t>
  </si>
  <si>
    <t>OZZIE'S SPORTS PUB**COLL*</t>
  </si>
  <si>
    <t>7305 N. WAUKEGAN RD.</t>
  </si>
  <si>
    <t>20993804</t>
  </si>
  <si>
    <t>CAPTAIN HOOKS SEAFOOD.252</t>
  </si>
  <si>
    <t>2520 LI NCOLN HIGHWAY</t>
  </si>
  <si>
    <t>60966108</t>
  </si>
  <si>
    <t>PAT'S PIZZA (KHAYAT)</t>
  </si>
  <si>
    <t>RT 83</t>
  </si>
  <si>
    <t>50318955</t>
  </si>
  <si>
    <t>CORN DOG ON A STICK #2944</t>
  </si>
  <si>
    <t>2297 SOUTH LAKE MALL</t>
  </si>
  <si>
    <t>20037206</t>
  </si>
  <si>
    <t>STEAK ESCAPE MAYFAIR</t>
  </si>
  <si>
    <t>80483159</t>
  </si>
  <si>
    <t>GLASS ONION</t>
  </si>
  <si>
    <t>64 GREEN BAY RD</t>
  </si>
  <si>
    <t>31251499</t>
  </si>
  <si>
    <t>RICOBENE'S</t>
  </si>
  <si>
    <t>252 W 26TH ST</t>
  </si>
  <si>
    <t>91197459</t>
  </si>
  <si>
    <t>L'CAFECITO JUMPING BEAN</t>
  </si>
  <si>
    <t>2010 S DAMEN</t>
  </si>
  <si>
    <t>71324628</t>
  </si>
  <si>
    <t>MORDECAI</t>
  </si>
  <si>
    <t>3632 N CLARK ST</t>
  </si>
  <si>
    <t>61308821</t>
  </si>
  <si>
    <t>TASTE OF HAVANA</t>
  </si>
  <si>
    <t>2529 N MILWAUKEE AVE</t>
  </si>
  <si>
    <t>11270717</t>
  </si>
  <si>
    <t>CAIRO ALE HOUSE</t>
  </si>
  <si>
    <t>2009 FRANCISCAN WAY</t>
  </si>
  <si>
    <t>60419181</t>
  </si>
  <si>
    <t>PAULEE PIZZERIA</t>
  </si>
  <si>
    <t>7431 HANCOCK DR</t>
  </si>
  <si>
    <t>WONDER LAKE</t>
  </si>
  <si>
    <t>51336600</t>
  </si>
  <si>
    <t>CALIBRE COFFEE</t>
  </si>
  <si>
    <t>100 W HIGGINS RD STE H-60</t>
  </si>
  <si>
    <t>70494927</t>
  </si>
  <si>
    <t>COFFEE BEANERY**COLL**</t>
  </si>
  <si>
    <t>3330 177TH ST.</t>
  </si>
  <si>
    <t>60929189</t>
  </si>
  <si>
    <t>ASTI ITALIAN DELI</t>
  </si>
  <si>
    <t>1410 W IRVING PARK ROAD</t>
  </si>
  <si>
    <t>60485158</t>
  </si>
  <si>
    <t>HOME RUN INN-BELLWOOD</t>
  </si>
  <si>
    <t>466 SOUTH 25TH AVENUE</t>
  </si>
  <si>
    <t>BELLWOOD</t>
  </si>
  <si>
    <t>20644282</t>
  </si>
  <si>
    <t>CINDY CAFE - DO NOT SHIP!</t>
  </si>
  <si>
    <t>840 PHEASANT RIDGE DR.</t>
  </si>
  <si>
    <t>40590440</t>
  </si>
  <si>
    <t>DINOTTO RISTORANTE</t>
  </si>
  <si>
    <t>215 W. NORTH AVE.</t>
  </si>
  <si>
    <t>91177121</t>
  </si>
  <si>
    <t>NOLA</t>
  </si>
  <si>
    <t>3481 N CLARK ST</t>
  </si>
  <si>
    <t>90943390</t>
  </si>
  <si>
    <t>CHILL BAR &amp; GRILL</t>
  </si>
  <si>
    <t>829 N STATE ST</t>
  </si>
  <si>
    <t>80591696</t>
  </si>
  <si>
    <t>BROWN'S CHICKEN/HIGHLAND</t>
  </si>
  <si>
    <t>2566 SKOKIE VALLEY RD.</t>
  </si>
  <si>
    <t>70484639</t>
  </si>
  <si>
    <t>KOBE OF JAPAN</t>
  </si>
  <si>
    <t>783 W MAIN ST</t>
  </si>
  <si>
    <t>60552429</t>
  </si>
  <si>
    <t>SALLY'S RESTAURANT*COLL*</t>
  </si>
  <si>
    <t>5454 N. HARLEM</t>
  </si>
  <si>
    <t>50318815</t>
  </si>
  <si>
    <t>POPEYES #2423</t>
  </si>
  <si>
    <t>10331 S. KEDZIE AVE</t>
  </si>
  <si>
    <t>31032212</t>
  </si>
  <si>
    <t>MAS ALLA DEL SOL</t>
  </si>
  <si>
    <t>5848 N BRODWAY</t>
  </si>
  <si>
    <t>40572752</t>
  </si>
  <si>
    <t>THAT LITTLE MEX CAFE/ HIG</t>
  </si>
  <si>
    <t>2014 FIRST STREET</t>
  </si>
  <si>
    <t>31343544</t>
  </si>
  <si>
    <t>STEVIE D'S</t>
  </si>
  <si>
    <t>40W188 CAMPTON CROSSINGS</t>
  </si>
  <si>
    <t>70483078</t>
  </si>
  <si>
    <t>NIELSONS BAKERY,.</t>
  </si>
  <si>
    <t>2053 RIDGE RD</t>
  </si>
  <si>
    <t>41114950</t>
  </si>
  <si>
    <t>FAHRENHEIT 115</t>
  </si>
  <si>
    <t>3340 S MICHIGAN AVE</t>
  </si>
  <si>
    <t>71079131</t>
  </si>
  <si>
    <t>DANCING MARLIN</t>
  </si>
  <si>
    <t>20590 S LAGRANGE RD</t>
  </si>
  <si>
    <t>51082329</t>
  </si>
  <si>
    <t>PAPA JOE'S ORLAND PARK</t>
  </si>
  <si>
    <t>14459 LAGRANGE ROAD</t>
  </si>
  <si>
    <t>81097347</t>
  </si>
  <si>
    <t>NEVINS GROUP</t>
  </si>
  <si>
    <t>12337A S RTE 59</t>
  </si>
  <si>
    <t>31038474</t>
  </si>
  <si>
    <t>BRICKS PIZZA &amp; CAFE</t>
  </si>
  <si>
    <t>103 E FRONT STREET</t>
  </si>
  <si>
    <t>81320905</t>
  </si>
  <si>
    <t>BIG DADDY'S BBQ</t>
  </si>
  <si>
    <t>4213 CLEVELAND ST</t>
  </si>
  <si>
    <t>50030691</t>
  </si>
  <si>
    <t>ATHENS SUPPLY/JOBBR</t>
  </si>
  <si>
    <t>1033 DIXIE</t>
  </si>
  <si>
    <t>41259235</t>
  </si>
  <si>
    <t>JIMMY D'S DISTRICT</t>
  </si>
  <si>
    <t>1718 WEST NORTHWEST HWY</t>
  </si>
  <si>
    <t>11049723</t>
  </si>
  <si>
    <t>HALSTED DELI OBT DUPAGE</t>
  </si>
  <si>
    <t>1901 S. MYERS ROAD</t>
  </si>
  <si>
    <t>20994778</t>
  </si>
  <si>
    <t>THE JUNCTION DINNER</t>
  </si>
  <si>
    <t>7401 W MADISON</t>
  </si>
  <si>
    <t>51346195</t>
  </si>
  <si>
    <t>LA PALAPA HARLEM AVE.</t>
  </si>
  <si>
    <t>51161230</t>
  </si>
  <si>
    <t>LABEMIS</t>
  </si>
  <si>
    <t>90732173</t>
  </si>
  <si>
    <t>LAS MANANITAS</t>
  </si>
  <si>
    <t>3523 HALSTED ST</t>
  </si>
  <si>
    <t>90613050</t>
  </si>
  <si>
    <t>CONNIE'S PIZZA/MCCORMICK</t>
  </si>
  <si>
    <t>2301 S. LAKE SHORE DRIVE</t>
  </si>
  <si>
    <t>41344987</t>
  </si>
  <si>
    <t>3 CORNERS NEW LENOX</t>
  </si>
  <si>
    <t>901 E LINCOLN HWY</t>
  </si>
  <si>
    <t>1174986</t>
  </si>
  <si>
    <t>M PUB</t>
  </si>
  <si>
    <t>3454 W ADDISON ST</t>
  </si>
  <si>
    <t>50559384</t>
  </si>
  <si>
    <t>FROOTS - NAPERVILLE**COL*</t>
  </si>
  <si>
    <t>1763 FREEDOM DRIVE</t>
  </si>
  <si>
    <t>931188</t>
  </si>
  <si>
    <t>APPLE VILLA</t>
  </si>
  <si>
    <t>1961 W. WILSON</t>
  </si>
  <si>
    <t>41312893</t>
  </si>
  <si>
    <t>THE ROOST WRIGLEYVILLE</t>
  </si>
  <si>
    <t>3474 N CLARK ST</t>
  </si>
  <si>
    <t>61346029</t>
  </si>
  <si>
    <t>BACKSTAGE BAR &amp; GRILL</t>
  </si>
  <si>
    <t>3336 N MILWAUKEE AVE</t>
  </si>
  <si>
    <t>41300567</t>
  </si>
  <si>
    <t>PRESSURE BILLIARDS</t>
  </si>
  <si>
    <t>6318 N CLARK ST</t>
  </si>
  <si>
    <t>71122667</t>
  </si>
  <si>
    <t>WOODSTOCK PUBLIC HOUSE #2</t>
  </si>
  <si>
    <t>101 N JOHNSON ST</t>
  </si>
  <si>
    <t>81212763</t>
  </si>
  <si>
    <t>MATTINA CAFE</t>
  </si>
  <si>
    <t>280 E LINCOLN HWY</t>
  </si>
  <si>
    <t>60935764</t>
  </si>
  <si>
    <t>FLACO'S TACOS #2</t>
  </si>
  <si>
    <t>46 E. CHICAGO AVE.</t>
  </si>
  <si>
    <t>10617504</t>
  </si>
  <si>
    <t>TEST 2099 PM COMM B</t>
  </si>
  <si>
    <t>2511 SOUTH ST</t>
  </si>
  <si>
    <t>60955135</t>
  </si>
  <si>
    <t>SENOR PAN</t>
  </si>
  <si>
    <t>4612 W FULLERTON</t>
  </si>
  <si>
    <t>91109652</t>
  </si>
  <si>
    <t>JAMESON'S CHARHOUSE MP</t>
  </si>
  <si>
    <t>1702 W ALGONQUIN RD</t>
  </si>
  <si>
    <t>31215965</t>
  </si>
  <si>
    <t>MICHELS SPORTS EATERY</t>
  </si>
  <si>
    <t>8209 WICKER AVE</t>
  </si>
  <si>
    <t>81234304</t>
  </si>
  <si>
    <t>PRIME CUT STEAKHOUSE</t>
  </si>
  <si>
    <t>17344 OAK PARK AVE</t>
  </si>
  <si>
    <t>1180181</t>
  </si>
  <si>
    <t>CHUCKS SOUTHERN COMFORTS</t>
  </si>
  <si>
    <t>6501 W 79TH ST</t>
  </si>
  <si>
    <t>406744</t>
  </si>
  <si>
    <t>SHRIMP WALK **COLL**</t>
  </si>
  <si>
    <t>444 LAKEVIEW AVENUE</t>
  </si>
  <si>
    <t>60990488</t>
  </si>
  <si>
    <t>FAUSTOS</t>
  </si>
  <si>
    <t>16 S. EVERGREEN</t>
  </si>
  <si>
    <t>81332397</t>
  </si>
  <si>
    <t>BRUNCH CAFE</t>
  </si>
  <si>
    <t>1500 LAKE ST</t>
  </si>
  <si>
    <t>80526015</t>
  </si>
  <si>
    <t>YOGURT EXPRESS</t>
  </si>
  <si>
    <t>8313 CALUMET</t>
  </si>
  <si>
    <t>31312879</t>
  </si>
  <si>
    <t>TONY'S SUBS</t>
  </si>
  <si>
    <t>1480 WAUKEGAN RD</t>
  </si>
  <si>
    <t>21326558</t>
  </si>
  <si>
    <t>JO JO MILK BAR</t>
  </si>
  <si>
    <t>23 W HUBBARD ST</t>
  </si>
  <si>
    <t>31075906</t>
  </si>
  <si>
    <t>FOOD EXPRESS</t>
  </si>
  <si>
    <t>1700 GOLF ROAD</t>
  </si>
  <si>
    <t>21063862</t>
  </si>
  <si>
    <t>PECKISH PIG</t>
  </si>
  <si>
    <t>623 W HOWARD STREET</t>
  </si>
  <si>
    <t>21338645</t>
  </si>
  <si>
    <t>PETY'S GYROS &amp; ICE CREAM</t>
  </si>
  <si>
    <t>3820 HOHMAN AVE</t>
  </si>
  <si>
    <t>90813288</t>
  </si>
  <si>
    <t>BESPOKE CUISINE</t>
  </si>
  <si>
    <t>1358 W. RANDOLPH ST</t>
  </si>
  <si>
    <t>10484749</t>
  </si>
  <si>
    <t>500 13TH AVENUE</t>
  </si>
  <si>
    <t>21236518</t>
  </si>
  <si>
    <t>FRATELLO'S SOUTH HOLLAND</t>
  </si>
  <si>
    <t>15800 STATE STREET</t>
  </si>
  <si>
    <t>1104801</t>
  </si>
  <si>
    <t>BOMBAY WRAPS 2</t>
  </si>
  <si>
    <t>330 E. OHIO ST</t>
  </si>
  <si>
    <t>60482981</t>
  </si>
  <si>
    <t>REAL TIME SPORTS**COLL**</t>
  </si>
  <si>
    <t>1120 W DEVON</t>
  </si>
  <si>
    <t>ELK GROVE</t>
  </si>
  <si>
    <t>591735</t>
  </si>
  <si>
    <t>BROWN'S CHICKEN/WHEATON</t>
  </si>
  <si>
    <t>1 N. 58 MAIN STREET</t>
  </si>
  <si>
    <t>71287452</t>
  </si>
  <si>
    <t>MONTECASINO MEXICAN GRILL</t>
  </si>
  <si>
    <t>53 E SAINT CHARLES RD</t>
  </si>
  <si>
    <t>61296166</t>
  </si>
  <si>
    <t>LIGHT THE LAMP BREW AND G</t>
  </si>
  <si>
    <t>2 S LAKE ST</t>
  </si>
  <si>
    <t>71249833</t>
  </si>
  <si>
    <t>HARRY O'S RESTAURANT</t>
  </si>
  <si>
    <t>13226 WICKER AVE</t>
  </si>
  <si>
    <t>31335185</t>
  </si>
  <si>
    <t>GAME TYME GRILL</t>
  </si>
  <si>
    <t>19950 TORRENCE AVE</t>
  </si>
  <si>
    <t>80483902</t>
  </si>
  <si>
    <t>HAHN'S BAKERY**COLL**</t>
  </si>
  <si>
    <t>303 FRANKLIN ST</t>
  </si>
  <si>
    <t>61250502</t>
  </si>
  <si>
    <t>CONNIE'S PIZZA</t>
  </si>
  <si>
    <t>2373 S ARCHER AVE</t>
  </si>
  <si>
    <t>41023748</t>
  </si>
  <si>
    <t>DECLAN'S BAR &amp; GRILL</t>
  </si>
  <si>
    <t>7841 W GRAND AVE</t>
  </si>
  <si>
    <t>ELMWOOD PARK</t>
  </si>
  <si>
    <t>71323026</t>
  </si>
  <si>
    <t>AUSTRIA CAFE ROBINSON</t>
  </si>
  <si>
    <t>1515 W WEBSTER AVE</t>
  </si>
  <si>
    <t>31259351</t>
  </si>
  <si>
    <t>FOUR SHADOWS</t>
  </si>
  <si>
    <t>2758 N ASHLAND AVE</t>
  </si>
  <si>
    <t>10896660</t>
  </si>
  <si>
    <t>DUMMY CUSTOMER</t>
  </si>
  <si>
    <t>25W658 TOWPATH CT</t>
  </si>
  <si>
    <t>20033734</t>
  </si>
  <si>
    <t>ATRIUM REST</t>
  </si>
  <si>
    <t>1000 E. 80TH PLACE</t>
  </si>
  <si>
    <t>91107177</t>
  </si>
  <si>
    <t>BC OSAKA</t>
  </si>
  <si>
    <t>2999 E LINCOLN HIGHWAY</t>
  </si>
  <si>
    <t>51278182</t>
  </si>
  <si>
    <t>DEVIL DAWGS SOUTH STATE</t>
  </si>
  <si>
    <t>767 S STATE ST</t>
  </si>
  <si>
    <t>80484488</t>
  </si>
  <si>
    <t>RA/UBS RESTAURANT ASS</t>
  </si>
  <si>
    <t>ONE NORTH WACKER DR FL 30</t>
  </si>
  <si>
    <t>71183347</t>
  </si>
  <si>
    <t>BILL'S CUSTARD</t>
  </si>
  <si>
    <t>3467 SHERIDAN RD</t>
  </si>
  <si>
    <t>30911655</t>
  </si>
  <si>
    <t>PEARL'S PLACE</t>
  </si>
  <si>
    <t>3901 S MICHIGAN AVE</t>
  </si>
  <si>
    <t>40952665</t>
  </si>
  <si>
    <t>THE IRISH LEGEND</t>
  </si>
  <si>
    <t>8933 S. ARCHER AVENUE</t>
  </si>
  <si>
    <t>40503138</t>
  </si>
  <si>
    <t>SOUTHTOWN EATERY **COLL**</t>
  </si>
  <si>
    <t>4653 S. MICHIGAN AVE</t>
  </si>
  <si>
    <t>30551774</t>
  </si>
  <si>
    <t>L &amp; G RESTAURANT/TORRENCE</t>
  </si>
  <si>
    <t>10401 S. TORRENCE AVE</t>
  </si>
  <si>
    <t>81333353</t>
  </si>
  <si>
    <t>BUDLONG COMMISSARY</t>
  </si>
  <si>
    <t>4619 N WESTERN AVE</t>
  </si>
  <si>
    <t>81139172</t>
  </si>
  <si>
    <t>COTTAGE ON DIXIE</t>
  </si>
  <si>
    <t>18849 DIXIE HWY</t>
  </si>
  <si>
    <t>31169865</t>
  </si>
  <si>
    <t>THE BREAKFAST LOUNGE</t>
  </si>
  <si>
    <t>2360 N CLYBOURN AVE</t>
  </si>
  <si>
    <t>80982853</t>
  </si>
  <si>
    <t>TAVA RESTAURANT</t>
  </si>
  <si>
    <t>7172 DEMPSTER ST.</t>
  </si>
  <si>
    <t>91042515</t>
  </si>
  <si>
    <t>LA TAQUIZA</t>
  </si>
  <si>
    <t>2661 SHERMER RD</t>
  </si>
  <si>
    <t>21018874</t>
  </si>
  <si>
    <t>RO SALS ITALIAN REST</t>
  </si>
  <si>
    <t>1154 WEST TAYLOR  ST</t>
  </si>
  <si>
    <t>61055000</t>
  </si>
  <si>
    <t>THE FOUNDRY/ AURORA</t>
  </si>
  <si>
    <t>85 EXECUTIVE DRIVE</t>
  </si>
  <si>
    <t>449561</t>
  </si>
  <si>
    <t>YANNI'S GREEK REST**COLL*</t>
  </si>
  <si>
    <t>10 EAST ALGONQUIN RD</t>
  </si>
  <si>
    <t>20653705</t>
  </si>
  <si>
    <t>BENJYEHUDA INC</t>
  </si>
  <si>
    <t>212 W. VAN BUREN ST.</t>
  </si>
  <si>
    <t>71285514</t>
  </si>
  <si>
    <t>WAGNER'S</t>
  </si>
  <si>
    <t>361 WAGNER RD</t>
  </si>
  <si>
    <t>61338596</t>
  </si>
  <si>
    <t>POPS FOR CHAMPAGNE</t>
  </si>
  <si>
    <t>601 N STATE ST</t>
  </si>
  <si>
    <t>50931476</t>
  </si>
  <si>
    <t>ANIA'S POLISH BUFFET</t>
  </si>
  <si>
    <t>772 S. RAND RD.</t>
  </si>
  <si>
    <t>80921109</t>
  </si>
  <si>
    <t>FIRST SLICE PEARSON</t>
  </si>
  <si>
    <t>163 EAST PEARSON</t>
  </si>
  <si>
    <t>20484655</t>
  </si>
  <si>
    <t>SEARS TOWER EADIES KI</t>
  </si>
  <si>
    <t>233 S WACKER DR</t>
  </si>
  <si>
    <t>60483658</t>
  </si>
  <si>
    <t>FRANKS FOR THE MEMORI</t>
  </si>
  <si>
    <t>645 E HAWLEY ST</t>
  </si>
  <si>
    <t>80506256</t>
  </si>
  <si>
    <t>TIKI TERRACE</t>
  </si>
  <si>
    <t>1591 LEE STREET</t>
  </si>
  <si>
    <t>61065363</t>
  </si>
  <si>
    <t>PLAYER'S PUB &amp; GRILL</t>
  </si>
  <si>
    <t>1250 S RIVER RD</t>
  </si>
  <si>
    <t>90604414</t>
  </si>
  <si>
    <t>19606 BURNHAM AVE.</t>
  </si>
  <si>
    <t>70736319</t>
  </si>
  <si>
    <t>GREENWICH TERRACE**COLL**</t>
  </si>
  <si>
    <t>607 LINCOLNWAY</t>
  </si>
  <si>
    <t>51306850</t>
  </si>
  <si>
    <t>SOJU BBQ</t>
  </si>
  <si>
    <t>36 S ASHLAND AVE</t>
  </si>
  <si>
    <t>70108436</t>
  </si>
  <si>
    <t>TARGET DIST OF.FAX+T.WEIS</t>
  </si>
  <si>
    <t>1951 W JEFFERSON</t>
  </si>
  <si>
    <t>70520531</t>
  </si>
  <si>
    <t>SCOTTO'S CAFE**COLL**</t>
  </si>
  <si>
    <t>3976 RT. 22 #A</t>
  </si>
  <si>
    <t>30510382</t>
  </si>
  <si>
    <t>TIME MACHINE INC*COLL**</t>
  </si>
  <si>
    <t>12337 S. ROUTE 59</t>
  </si>
  <si>
    <t>20502647</t>
  </si>
  <si>
    <t>LODGE AT FOUR LAKES</t>
  </si>
  <si>
    <t>5750 LAKESIDE DR</t>
  </si>
  <si>
    <t>10482016</t>
  </si>
  <si>
    <t>GRANDMA GEBHARD CO.</t>
  </si>
  <si>
    <t>69 W. WASHINGTON</t>
  </si>
  <si>
    <t>31284243</t>
  </si>
  <si>
    <t>CIRCLE BURGER</t>
  </si>
  <si>
    <t>750 S HALSTED ST</t>
  </si>
  <si>
    <t>21154364</t>
  </si>
  <si>
    <t>SPICE AND EAT</t>
  </si>
  <si>
    <t>9908 W ROOSEVELT RD</t>
  </si>
  <si>
    <t>WESTCHESTER</t>
  </si>
  <si>
    <t>61303582</t>
  </si>
  <si>
    <t>JAM PIZZA &amp; WINGS</t>
  </si>
  <si>
    <t>40293342</t>
  </si>
  <si>
    <t>ANNIE'S</t>
  </si>
  <si>
    <t>168 BARTLETT PLAZA</t>
  </si>
  <si>
    <t>81074544</t>
  </si>
  <si>
    <t>LIGHTHOUSE RESTAURANT</t>
  </si>
  <si>
    <t>7501 CONSTITUTION DRIVE</t>
  </si>
  <si>
    <t>41174814</t>
  </si>
  <si>
    <t>FRATELLOS HOT DOGS</t>
  </si>
  <si>
    <t>31682 N US HIGHWAY 12</t>
  </si>
  <si>
    <t>VOLO</t>
  </si>
  <si>
    <t>70534870</t>
  </si>
  <si>
    <t>BRODY'S ON CLARK*COLL*</t>
  </si>
  <si>
    <t>3369 N. CLARK ST.</t>
  </si>
  <si>
    <t>50526607</t>
  </si>
  <si>
    <t>CORNERSTONE REST**COLL**</t>
  </si>
  <si>
    <t>8025 S CASS AVE</t>
  </si>
  <si>
    <t>30910822</t>
  </si>
  <si>
    <t>COLUMBIA GYROS</t>
  </si>
  <si>
    <t>6621 S COLUMBIA AVE</t>
  </si>
  <si>
    <t>90469644</t>
  </si>
  <si>
    <t>COOPER'S HAWK WINERY/REST</t>
  </si>
  <si>
    <t>15690 S. HARLEM AVE.</t>
  </si>
  <si>
    <t>10112787</t>
  </si>
  <si>
    <t>OLD CHGO WOOD ROASTERS</t>
  </si>
  <si>
    <t>5440 NEW WILKE  RD</t>
  </si>
  <si>
    <t>51226231</t>
  </si>
  <si>
    <t>F3 ON DEVON</t>
  </si>
  <si>
    <t>2741 W DEVON AVE</t>
  </si>
  <si>
    <t>21026596</t>
  </si>
  <si>
    <t>FFF BLUE LINE</t>
  </si>
  <si>
    <t>40680969</t>
  </si>
  <si>
    <t>BAR LOUIE RANDOLPH</t>
  </si>
  <si>
    <t>741 W RANDOLPH</t>
  </si>
  <si>
    <t>50855352</t>
  </si>
  <si>
    <t>ENCHANTED CASTLE</t>
  </si>
  <si>
    <t>1103 S MAIN ST</t>
  </si>
  <si>
    <t>60591690</t>
  </si>
  <si>
    <t>8845 INDIANAPOLIS</t>
  </si>
  <si>
    <t>81040248</t>
  </si>
  <si>
    <t>KINGS STEAKHOUSE</t>
  </si>
  <si>
    <t>1234</t>
  </si>
  <si>
    <t>70923784</t>
  </si>
  <si>
    <t>EGG HARBOR/ELMHURST</t>
  </si>
  <si>
    <t>140 ROBERT PALMER DRIVE</t>
  </si>
  <si>
    <t>11330875</t>
  </si>
  <si>
    <t>TUKO CANTINA</t>
  </si>
  <si>
    <t>91274753</t>
  </si>
  <si>
    <t>THE JOY BAR</t>
  </si>
  <si>
    <t>548 CRESCENT BLVD</t>
  </si>
  <si>
    <t>1181254</t>
  </si>
  <si>
    <t>THE RIM SEAFOOD</t>
  </si>
  <si>
    <t>5657 N LINCOLN AVE</t>
  </si>
  <si>
    <t>31285539</t>
  </si>
  <si>
    <t>PAPA  SANTIAGO'S</t>
  </si>
  <si>
    <t>3051 W 26TH ST</t>
  </si>
  <si>
    <t>70889696</t>
  </si>
  <si>
    <t>TRATTORIA DOC</t>
  </si>
  <si>
    <t>706 MAIN ST</t>
  </si>
  <si>
    <t>21289616</t>
  </si>
  <si>
    <t>MANNYS ALE HOUSE</t>
  </si>
  <si>
    <t>683 W SAINT CHARLES RD</t>
  </si>
  <si>
    <t>71328728</t>
  </si>
  <si>
    <t>LITTLE RICKY</t>
  </si>
  <si>
    <t>30910343</t>
  </si>
  <si>
    <t>UNFORGETTABLE EDIBLES</t>
  </si>
  <si>
    <t>7280 W. DEVON AVE</t>
  </si>
  <si>
    <t>41160854</t>
  </si>
  <si>
    <t>DELTA RESTAURANT :)</t>
  </si>
  <si>
    <t>7600 BROADWAY</t>
  </si>
  <si>
    <t>70501317</t>
  </si>
  <si>
    <t>DARI DIP</t>
  </si>
  <si>
    <t>5469 CENTRAL AVE.</t>
  </si>
  <si>
    <t>60188042</t>
  </si>
  <si>
    <t>NEW BELDEN **COLL**</t>
  </si>
  <si>
    <t>7572 N WESTERN AVE</t>
  </si>
  <si>
    <t>51330975</t>
  </si>
  <si>
    <t>FARM BAR EDGEWATER</t>
  </si>
  <si>
    <t>1133 W GRANVILLE AVE</t>
  </si>
  <si>
    <t>90728866</t>
  </si>
  <si>
    <t>KINZIE CHOP HOUSE</t>
  </si>
  <si>
    <t>400 N WELLS</t>
  </si>
  <si>
    <t>41255670</t>
  </si>
  <si>
    <t>BERTO'S DELI</t>
  </si>
  <si>
    <t>5004 MAIN ST</t>
  </si>
  <si>
    <t>51345460</t>
  </si>
  <si>
    <t>BLACKBERRY MARKET LAGRANG</t>
  </si>
  <si>
    <t>36 S LA GRANGE RD</t>
  </si>
  <si>
    <t>50591692</t>
  </si>
  <si>
    <t>BROWN'S CHICKEN/HAMMOND</t>
  </si>
  <si>
    <t>6217 KENNEDY AVE.</t>
  </si>
  <si>
    <t>90197815</t>
  </si>
  <si>
    <t>DOCKER'S</t>
  </si>
  <si>
    <t>33 W GRAND AVE</t>
  </si>
  <si>
    <t>81231003</t>
  </si>
  <si>
    <t>1776 RESTAURANT OF CRYSTA</t>
  </si>
  <si>
    <t>397 W VIRGINIA ST</t>
  </si>
  <si>
    <t>90926965</t>
  </si>
  <si>
    <t>RAND ROAD HOUSE</t>
  </si>
  <si>
    <t>864 RAND ROAD</t>
  </si>
  <si>
    <t>80068455</t>
  </si>
  <si>
    <t>SLICE OF LIFE</t>
  </si>
  <si>
    <t>4120 W DEMPSTER</t>
  </si>
  <si>
    <t>11248473</t>
  </si>
  <si>
    <t>WAVE BAR AND GRILLE</t>
  </si>
  <si>
    <t>3309 CHAPEL HILL RD</t>
  </si>
  <si>
    <t>41253600</t>
  </si>
  <si>
    <t>RIVALS SPORTS BAR</t>
  </si>
  <si>
    <t>1910 N MAIN ST</t>
  </si>
  <si>
    <t>91301721</t>
  </si>
  <si>
    <t>BIG NATE'S FAMOUS BBQ &amp; C</t>
  </si>
  <si>
    <t>108 W COMMERCIAL AVE</t>
  </si>
  <si>
    <t>90326588</t>
  </si>
  <si>
    <t>LA MARGARITA/SCHAUMBURG</t>
  </si>
  <si>
    <t>1626 E. ALGONQUIN RD.</t>
  </si>
  <si>
    <t>70162136</t>
  </si>
  <si>
    <t>BLIMPIE</t>
  </si>
  <si>
    <t>2221 ROCHESTER AVE</t>
  </si>
  <si>
    <t>30551949</t>
  </si>
  <si>
    <t>SOUTH POINTE SWIM CLUB</t>
  </si>
  <si>
    <t>2824 CHAMPION ROAD</t>
  </si>
  <si>
    <t>50427368</t>
  </si>
  <si>
    <t>SILVER MINE SUBS/DANIEL</t>
  </si>
  <si>
    <t>612 E DANIEL STREET</t>
  </si>
  <si>
    <t>20602538</t>
  </si>
  <si>
    <t>C&amp;H EATERY INC</t>
  </si>
  <si>
    <t>1835 HEATHER ST</t>
  </si>
  <si>
    <t>80442734</t>
  </si>
  <si>
    <t>LOUIE'S CHOP HS/SHOREWOOD</t>
  </si>
  <si>
    <t>700 WEST JEFFERSON</t>
  </si>
  <si>
    <t>40031981</t>
  </si>
  <si>
    <t>GALE STREET INN</t>
  </si>
  <si>
    <t>4914 N MILWAUKEE AV</t>
  </si>
  <si>
    <t>51246890</t>
  </si>
  <si>
    <t>SABOR</t>
  </si>
  <si>
    <t>184 W GARY AVE</t>
  </si>
  <si>
    <t>20497574</t>
  </si>
  <si>
    <t>MULLENS BAR &amp; GRILL</t>
  </si>
  <si>
    <t>7301 N.WESTERN AVE</t>
  </si>
  <si>
    <t>91088450</t>
  </si>
  <si>
    <t>GROWLERS ON HIGHWAY</t>
  </si>
  <si>
    <t>2816 HIGHWAY AVE</t>
  </si>
  <si>
    <t>60600723</t>
  </si>
  <si>
    <t>JILLY'S</t>
  </si>
  <si>
    <t>103 S. MAIN STREET</t>
  </si>
  <si>
    <t>31313885</t>
  </si>
  <si>
    <t>TACO MAYA BLOOMINGDALE</t>
  </si>
  <si>
    <t>162 E LAKE ST</t>
  </si>
  <si>
    <t>80482433</t>
  </si>
  <si>
    <t>*ZZ*TAVERN ON THE FOX</t>
  </si>
  <si>
    <t>24 N BROADWAY</t>
  </si>
  <si>
    <t>994640</t>
  </si>
  <si>
    <t>PIZANOS PIZZA</t>
  </si>
  <si>
    <t>1137 WEILAND</t>
  </si>
  <si>
    <t>70923792</t>
  </si>
  <si>
    <t>EGG HARBOR/ROCKFORD</t>
  </si>
  <si>
    <t>1603 NORTH ALPINE ROAD</t>
  </si>
  <si>
    <t>30545396</t>
  </si>
  <si>
    <t>FIREWOOD RESTAURANT</t>
  </si>
  <si>
    <t>2314 N. RTE. 120</t>
  </si>
  <si>
    <t>71234751</t>
  </si>
  <si>
    <t>LA VOUTE BISTRO</t>
  </si>
  <si>
    <t>2034 RIDGE RD</t>
  </si>
  <si>
    <t>21140975</t>
  </si>
  <si>
    <t>FILTER CAFE INC</t>
  </si>
  <si>
    <t>1373-75  N MILWAUKEE AVE</t>
  </si>
  <si>
    <t>11284460</t>
  </si>
  <si>
    <t>CAFE GALILEO'S</t>
  </si>
  <si>
    <t>1300S S LAKE SHORE DR</t>
  </si>
  <si>
    <t>41238742</t>
  </si>
  <si>
    <t>DUKE'S ON THE WATER</t>
  </si>
  <si>
    <t>5517 NORTHWEST HWY</t>
  </si>
  <si>
    <t>40652430</t>
  </si>
  <si>
    <t>YUE SUN - WOOD DALE</t>
  </si>
  <si>
    <t>357 GEORGETOWN SQ</t>
  </si>
  <si>
    <t>41329137</t>
  </si>
  <si>
    <t>LIL'GUYS MY PI PIZZA SAN</t>
  </si>
  <si>
    <t>2010 N DAMEN AVE</t>
  </si>
  <si>
    <t>90592999</t>
  </si>
  <si>
    <t>OLE LOUNGE **COLL**</t>
  </si>
  <si>
    <t>2812 N. LINCOLN AVE.</t>
  </si>
  <si>
    <t>70620935</t>
  </si>
  <si>
    <t>GALVINS **COLL**</t>
  </si>
  <si>
    <t>5901 W.LAWERENCE</t>
  </si>
  <si>
    <t>31159874</t>
  </si>
  <si>
    <t>HANNAH'S BRETZEL FRANKLIN</t>
  </si>
  <si>
    <t>227 W MONROE ST</t>
  </si>
  <si>
    <t>81316846</t>
  </si>
  <si>
    <t>SAKURA JAPANESE RESTAURAN</t>
  </si>
  <si>
    <t>1163 E OGDEN AVE</t>
  </si>
  <si>
    <t>20879433</t>
  </si>
  <si>
    <t>THE VIEW RESTAURANT</t>
  </si>
  <si>
    <t>5900 ROUTE 53</t>
  </si>
  <si>
    <t>80591712</t>
  </si>
  <si>
    <t>BROWN'S CHICKEN/ORLAND PA</t>
  </si>
  <si>
    <t>14450 LA GRANGE ROAD</t>
  </si>
  <si>
    <t>528703</t>
  </si>
  <si>
    <t>BABA PITA</t>
  </si>
  <si>
    <t>1032 W LAKE AVE</t>
  </si>
  <si>
    <t>60035532</t>
  </si>
  <si>
    <t>Z Z DORMANT   AM *SUP*</t>
  </si>
  <si>
    <t>1 GREAT AMERICAN PKWY.</t>
  </si>
  <si>
    <t>71085047</t>
  </si>
  <si>
    <t>O'MALLEY'S BAR AND GRILL</t>
  </si>
  <si>
    <t>701 HILL AVE</t>
  </si>
  <si>
    <t>40169328</t>
  </si>
  <si>
    <t>WW/WORLD FAMOUS PIZZA II</t>
  </si>
  <si>
    <t>142 E LINCOLN HWY</t>
  </si>
  <si>
    <t>DE KALB</t>
  </si>
  <si>
    <t>20483715</t>
  </si>
  <si>
    <t>NEW ENGLAND CST SFD-F</t>
  </si>
  <si>
    <t>1944 MCDONALD RD</t>
  </si>
  <si>
    <t>31152432</t>
  </si>
  <si>
    <t>COCONUTZ</t>
  </si>
  <si>
    <t>13 W DIVISION ST</t>
  </si>
  <si>
    <t>40520983</t>
  </si>
  <si>
    <t>GRANDMA SALLY'S :)</t>
  </si>
  <si>
    <t>450 E. OGDEN AVE.</t>
  </si>
  <si>
    <t>11299914</t>
  </si>
  <si>
    <t>TORCHIO PASTARIA</t>
  </si>
  <si>
    <t>738 N WELLS ST</t>
  </si>
  <si>
    <t>10616373</t>
  </si>
  <si>
    <t>TINY LOUNGE</t>
  </si>
  <si>
    <t>4352 N. LEAVITT. ST</t>
  </si>
  <si>
    <t>11348067</t>
  </si>
  <si>
    <t>SUSUPUETO</t>
  </si>
  <si>
    <t>6161 N BROADWAY ST</t>
  </si>
  <si>
    <t>71323786</t>
  </si>
  <si>
    <t>JPZ CAFE</t>
  </si>
  <si>
    <t>1332055</t>
  </si>
  <si>
    <t>VEGAS CAFE BISTRO</t>
  </si>
  <si>
    <t>800 CEDAR PKWY</t>
  </si>
  <si>
    <t>40484594</t>
  </si>
  <si>
    <t>JAMESONS MT PROSPECT :)</t>
  </si>
  <si>
    <t>1702 ALGONQUIN RD</t>
  </si>
  <si>
    <t>31175052</t>
  </si>
  <si>
    <t>ROADHOUSE 52</t>
  </si>
  <si>
    <t>525 S STATE ST</t>
  </si>
  <si>
    <t>MANHATTAN</t>
  </si>
  <si>
    <t>60442</t>
  </si>
  <si>
    <t>41274051</t>
  </si>
  <si>
    <t>CHIP MONKS</t>
  </si>
  <si>
    <t>438 W DIVERSEY PKWY</t>
  </si>
  <si>
    <t>71215792</t>
  </si>
  <si>
    <t>NOUVEAU BISTRO</t>
  </si>
  <si>
    <t>5301 W BELMONT AVE</t>
  </si>
  <si>
    <t>71285696</t>
  </si>
  <si>
    <t>WORLD OF VEGETARIAN HEALT</t>
  </si>
  <si>
    <t>500 N MANNHEIM RD</t>
  </si>
  <si>
    <t>51040681</t>
  </si>
  <si>
    <t>STEVE'S BAR</t>
  </si>
  <si>
    <t>800 SUPREME DR.</t>
  </si>
  <si>
    <t>40544199</t>
  </si>
  <si>
    <t>JOHNNY D'S DINER**COLL**</t>
  </si>
  <si>
    <t>827 CENTER ST.</t>
  </si>
  <si>
    <t>697979</t>
  </si>
  <si>
    <t>D'BAYS FAMILY**COLL**</t>
  </si>
  <si>
    <t>1055 STATION DR.</t>
  </si>
  <si>
    <t>31297385</t>
  </si>
  <si>
    <t>CHICKEN PLANET</t>
  </si>
  <si>
    <t>177 W VAN BUREN ST</t>
  </si>
  <si>
    <t>81295156</t>
  </si>
  <si>
    <t>2423 N LINCOLN AVE</t>
  </si>
  <si>
    <t>91273797</t>
  </si>
  <si>
    <t>F. O'MAHONY'S</t>
  </si>
  <si>
    <t>3701 N BROADWAY ST</t>
  </si>
  <si>
    <t>51314953</t>
  </si>
  <si>
    <t>DAEBAK KOREAN BBQ</t>
  </si>
  <si>
    <t>2017 S WELLS ST</t>
  </si>
  <si>
    <t>20525853</t>
  </si>
  <si>
    <t>SMOQUE BBQ</t>
  </si>
  <si>
    <t>3800 N. PULASKI</t>
  </si>
  <si>
    <t>70346341</t>
  </si>
  <si>
    <t>ACCENT CAFE</t>
  </si>
  <si>
    <t>700 N. RIVER RD.</t>
  </si>
  <si>
    <t>10440733</t>
  </si>
  <si>
    <t>SKOKIE SPORTS PARK</t>
  </si>
  <si>
    <t>3459 OAKTON ST</t>
  </si>
  <si>
    <t>40479560</t>
  </si>
  <si>
    <t>CHARBROIL HOUSE</t>
  </si>
  <si>
    <t>2925 W. IRVING PARK</t>
  </si>
  <si>
    <t>20504742</t>
  </si>
  <si>
    <t>MATILDA</t>
  </si>
  <si>
    <t>3101 N. SHEFFIELD</t>
  </si>
  <si>
    <t>90043100</t>
  </si>
  <si>
    <t>JAKES PIZZA</t>
  </si>
  <si>
    <t>904 S WASHINGTON ST</t>
  </si>
  <si>
    <t>CAMANCHE</t>
  </si>
  <si>
    <t>52730</t>
  </si>
  <si>
    <t>70550322</t>
  </si>
  <si>
    <t>BRIAN GUEVARA'S FESTIVUS</t>
  </si>
  <si>
    <t>1713 N. INDIANA PL.</t>
  </si>
  <si>
    <t>1346485</t>
  </si>
  <si>
    <t>AGRA CULTURE / SOTAROL</t>
  </si>
  <si>
    <t>820 N ORLEANS ST STE 2</t>
  </si>
  <si>
    <t>71011209</t>
  </si>
  <si>
    <t>PAPPA RAYS PIZZA AND WING</t>
  </si>
  <si>
    <t>3208 N PULASKI</t>
  </si>
  <si>
    <t>20994885</t>
  </si>
  <si>
    <t>AMBER CAFE</t>
  </si>
  <si>
    <t>13 NORTH CASS AVE.</t>
  </si>
  <si>
    <t>80493687</t>
  </si>
  <si>
    <t>DIAMOND CAFE**COLL**</t>
  </si>
  <si>
    <t>1723 GLENVIEW ROAD</t>
  </si>
  <si>
    <t>21301973</t>
  </si>
  <si>
    <t>6725 PERSHING RD</t>
  </si>
  <si>
    <t>STICKNEY</t>
  </si>
  <si>
    <t>10898187</t>
  </si>
  <si>
    <t>DEAR FRANKS</t>
  </si>
  <si>
    <t>5699 TOUHY</t>
  </si>
  <si>
    <t>11241676</t>
  </si>
  <si>
    <t>TRACY'S LAKE ZURICH</t>
  </si>
  <si>
    <t>790 S RAND RD</t>
  </si>
  <si>
    <t>955732</t>
  </si>
  <si>
    <t>BISCUITS</t>
  </si>
  <si>
    <t>1158 DOUGLAS ROAD</t>
  </si>
  <si>
    <t>10955714</t>
  </si>
  <si>
    <t>DADIOS DINER</t>
  </si>
  <si>
    <t>134 W WILSON STREET</t>
  </si>
  <si>
    <t>50972660</t>
  </si>
  <si>
    <t>PHILS PIZZA</t>
  </si>
  <si>
    <t>123 BEACH ST</t>
  </si>
  <si>
    <t>70885702</t>
  </si>
  <si>
    <t>THE MEAN WEINER 2</t>
  </si>
  <si>
    <t>847 WILKE ROAD</t>
  </si>
  <si>
    <t>61303798</t>
  </si>
  <si>
    <t>THE GLOBE PUB</t>
  </si>
  <si>
    <t>1934 W IRVING PARK RD</t>
  </si>
  <si>
    <t>41005596</t>
  </si>
  <si>
    <t>CAFE GASTON</t>
  </si>
  <si>
    <t>14438 JOHN HUMPHREY DRIVE</t>
  </si>
  <si>
    <t>90496100</t>
  </si>
  <si>
    <t>BLUE SPRUCE CAFE</t>
  </si>
  <si>
    <t>5603 BULL VALLEY</t>
  </si>
  <si>
    <t>10995900</t>
  </si>
  <si>
    <t>THE SUB STATION</t>
  </si>
  <si>
    <t>13601 S. CICERO AVENUE</t>
  </si>
  <si>
    <t>21030622</t>
  </si>
  <si>
    <t>FRESH STARTS RESTAURANT</t>
  </si>
  <si>
    <t>21326525</t>
  </si>
  <si>
    <t>EL AMIGO</t>
  </si>
  <si>
    <t>3032 NORTH CALUMET AVE</t>
  </si>
  <si>
    <t>51321016</t>
  </si>
  <si>
    <t>BLACK BULL</t>
  </si>
  <si>
    <t>1721 W DIVISION ST</t>
  </si>
  <si>
    <t>90720343</t>
  </si>
  <si>
    <t>MONA LISA PIZZA &amp; PASTA</t>
  </si>
  <si>
    <t>5129 BELMONT RD</t>
  </si>
  <si>
    <t>81190126</t>
  </si>
  <si>
    <t>NEW DINO'S DEN</t>
  </si>
  <si>
    <t>88 E GRAND AVE</t>
  </si>
  <si>
    <t>729723</t>
  </si>
  <si>
    <t>COOKERS</t>
  </si>
  <si>
    <t>469 LAKE COOK</t>
  </si>
  <si>
    <t>919258</t>
  </si>
  <si>
    <t>HOT DOG RICHIES</t>
  </si>
  <si>
    <t>220 NORTH NORTHWEST HIGHW</t>
  </si>
  <si>
    <t>60484904</t>
  </si>
  <si>
    <t>BUFFALO WILD WINGS</t>
  </si>
  <si>
    <t>500 EAST ROLLINS RD</t>
  </si>
  <si>
    <t>20620480</t>
  </si>
  <si>
    <t>DUMMY CUSTOMER DINER</t>
  </si>
  <si>
    <t>1312 CREEKSIDE DRIVE</t>
  </si>
  <si>
    <t>70073838</t>
  </si>
  <si>
    <t>PIZZA INC</t>
  </si>
  <si>
    <t>2245 N LINCOLN AVE</t>
  </si>
  <si>
    <t>11267242</t>
  </si>
  <si>
    <t>80699051</t>
  </si>
  <si>
    <t>DROOPY'S</t>
  </si>
  <si>
    <t>1275 SHERIDAN RD.</t>
  </si>
  <si>
    <t>30697478</t>
  </si>
  <si>
    <t>CAVA RESTAURANT **COLL**</t>
  </si>
  <si>
    <t>626 BUSSE HWY</t>
  </si>
  <si>
    <t>40601767</t>
  </si>
  <si>
    <t>BULL &amp; BEAR</t>
  </si>
  <si>
    <t>431 N. WELLS</t>
  </si>
  <si>
    <t>51337335</t>
  </si>
  <si>
    <t>LONDON HOUSE ROOFTOP BAR</t>
  </si>
  <si>
    <t>70922950</t>
  </si>
  <si>
    <t>LAPORTE YACHT CLUB</t>
  </si>
  <si>
    <t>814 PINE LAKE AVE</t>
  </si>
  <si>
    <t>71289177</t>
  </si>
  <si>
    <t>FRONT STREET CANTINA-PLAI</t>
  </si>
  <si>
    <t>15120 S DES PLAINES ST</t>
  </si>
  <si>
    <t>10552347</t>
  </si>
  <si>
    <t>SILVER STALLION</t>
  </si>
  <si>
    <t>1275 LEE STREET</t>
  </si>
  <si>
    <t>21158530</t>
  </si>
  <si>
    <t>EMBERS TAP HOUSE</t>
  </si>
  <si>
    <t>933 S STATE ST</t>
  </si>
  <si>
    <t>159160</t>
  </si>
  <si>
    <t>WHOLE ENCHALADA/COLL</t>
  </si>
  <si>
    <t>414 S LINCOLNWAY</t>
  </si>
  <si>
    <t>90030768</t>
  </si>
  <si>
    <t>ANKIEWICZ'S(NO APPL)</t>
  </si>
  <si>
    <t>1920 4TH ST</t>
  </si>
  <si>
    <t>PERU</t>
  </si>
  <si>
    <t>60678414</t>
  </si>
  <si>
    <t>RAFFERTY'S PUB</t>
  </si>
  <si>
    <t>10901 W. JOLIET ROAD</t>
  </si>
  <si>
    <t>90935057</t>
  </si>
  <si>
    <t>ARROWHEAD GOLF CLUB</t>
  </si>
  <si>
    <t>26W151 BUTTERFIELD RD</t>
  </si>
  <si>
    <t>61220331</t>
  </si>
  <si>
    <t>MT BARRELS</t>
  </si>
  <si>
    <t>1712 W WISE RD</t>
  </si>
  <si>
    <t>70029194</t>
  </si>
  <si>
    <t>ROSCOE'S TAVERN &amp; CAFE</t>
  </si>
  <si>
    <t>3354-56 N HALSTED ST</t>
  </si>
  <si>
    <t>50812817</t>
  </si>
  <si>
    <t>VILLAGGIO RISTORANTE</t>
  </si>
  <si>
    <t>1242 WEST LAKE ST</t>
  </si>
  <si>
    <t>41317868</t>
  </si>
  <si>
    <t>LAKEVIEW REWIRED CAFE</t>
  </si>
  <si>
    <t>3508 N BROADWAY ST</t>
  </si>
  <si>
    <t>60638996</t>
  </si>
  <si>
    <t>GRANDMA'S PANCAKE HOUSE:)</t>
  </si>
  <si>
    <t>669 MONDAMIN ROAD</t>
  </si>
  <si>
    <t>60484722</t>
  </si>
  <si>
    <t>ROLLIES ECLECTIC CASS</t>
  </si>
  <si>
    <t>11457 MELROSE AVE</t>
  </si>
  <si>
    <t>FRANKLIN PARK</t>
  </si>
  <si>
    <t>30874812</t>
  </si>
  <si>
    <t>POP'S BAR &amp; GRILL</t>
  </si>
  <si>
    <t>91213108</t>
  </si>
  <si>
    <t>THE RABBIT HOLE</t>
  </si>
  <si>
    <t>1208 N WELLS ST</t>
  </si>
  <si>
    <t>30530620</t>
  </si>
  <si>
    <t>ALEXANDER'S</t>
  </si>
  <si>
    <t>1725 N STATE ST</t>
  </si>
  <si>
    <t>51224335</t>
  </si>
  <si>
    <t>RECLAIMED</t>
  </si>
  <si>
    <t>3655 N WESTERN AVE</t>
  </si>
  <si>
    <t>20529558</t>
  </si>
  <si>
    <t>WE'RE BOOKED RIGHT NOW</t>
  </si>
  <si>
    <t>1029 S. PINE AVE</t>
  </si>
  <si>
    <t>61016374</t>
  </si>
  <si>
    <t>PALOMAR CAFE</t>
  </si>
  <si>
    <t>10983740</t>
  </si>
  <si>
    <t>THE FILLING STATION</t>
  </si>
  <si>
    <t>300 W MAIN ST</t>
  </si>
  <si>
    <t>31022197</t>
  </si>
  <si>
    <t>HALSTED ST. DELI OB</t>
  </si>
  <si>
    <t>2901 BUTTERFIELD ROAD</t>
  </si>
  <si>
    <t>70985494</t>
  </si>
  <si>
    <t>BANNERMANS</t>
  </si>
  <si>
    <t>869 RT 59</t>
  </si>
  <si>
    <t>60483781</t>
  </si>
  <si>
    <t>ARAMARK SPORTS-PRESS</t>
  </si>
  <si>
    <t>1053 WAVELAND</t>
  </si>
  <si>
    <t>50483718</t>
  </si>
  <si>
    <t>DOUGLAS CAMERON</t>
  </si>
  <si>
    <t>16 S FIRST AVE</t>
  </si>
  <si>
    <t>60600954</t>
  </si>
  <si>
    <t>BUDDY AND PALS III</t>
  </si>
  <si>
    <t>340 E US HWY 30</t>
  </si>
  <si>
    <t>81317273</t>
  </si>
  <si>
    <t>BOULEVARD37 - AURORA</t>
  </si>
  <si>
    <t>1941 W GALENA BLVD</t>
  </si>
  <si>
    <t>685586</t>
  </si>
  <si>
    <t>THE JURY BOX**COLL**</t>
  </si>
  <si>
    <t>5400 FEDERAL PLAZA</t>
  </si>
  <si>
    <t>90407370</t>
  </si>
  <si>
    <t>CHEVY'S MEX REST</t>
  </si>
  <si>
    <t>704 S. ELDORADO</t>
  </si>
  <si>
    <t>BLOOMINGTON</t>
  </si>
  <si>
    <t>1281336</t>
  </si>
  <si>
    <t>FOOD FOR THOUGHT</t>
  </si>
  <si>
    <t>7001 N RIDGEWAY AVE</t>
  </si>
  <si>
    <t>11336328</t>
  </si>
  <si>
    <t>TRAKTIR THE 12 CHAIRS</t>
  </si>
  <si>
    <t>1224 W DUNDEE RD</t>
  </si>
  <si>
    <t>81321614</t>
  </si>
  <si>
    <t>AUSTRIA CAFE MEATS</t>
  </si>
  <si>
    <t>30488498</t>
  </si>
  <si>
    <t>CHICAGO PIZZA CO**COLL**</t>
  </si>
  <si>
    <t>1655 E. ALGONQUIN RD</t>
  </si>
  <si>
    <t>1309053</t>
  </si>
  <si>
    <t>CRISPY  BITEZ</t>
  </si>
  <si>
    <t>8033 W 87TH ST</t>
  </si>
  <si>
    <t>61181897</t>
  </si>
  <si>
    <t>NEWPORT BAR NEW</t>
  </si>
  <si>
    <t>1344 W NEWPORT AVE</t>
  </si>
  <si>
    <t>41255076</t>
  </si>
  <si>
    <t>LEONARDOS FAMILY RESTA</t>
  </si>
  <si>
    <t>800 N LA FOX ST</t>
  </si>
  <si>
    <t>61316519</t>
  </si>
  <si>
    <t>THE BURGER SOCIAL</t>
  </si>
  <si>
    <t>108 N HALE ST</t>
  </si>
  <si>
    <t>11321031</t>
  </si>
  <si>
    <t>LA MEJIKANA</t>
  </si>
  <si>
    <t>1820 S ASHLAND AVE</t>
  </si>
  <si>
    <t>61235685</t>
  </si>
  <si>
    <t>BEGGARS PIZZA</t>
  </si>
  <si>
    <t>12660 WESTERN AVE</t>
  </si>
  <si>
    <t>BLUE ISLAND</t>
  </si>
  <si>
    <t>21028089</t>
  </si>
  <si>
    <t>IDOLO</t>
  </si>
  <si>
    <t>1158 N DEARBORN</t>
  </si>
  <si>
    <t>655175</t>
  </si>
  <si>
    <t>BRICKYARD GRILL**COLL**</t>
  </si>
  <si>
    <t>244 N CASS AVE</t>
  </si>
  <si>
    <t>60535564</t>
  </si>
  <si>
    <t>BLUES BAR***COLL***</t>
  </si>
  <si>
    <t>2 WEST BUSSE AVE.</t>
  </si>
  <si>
    <t>71339956</t>
  </si>
  <si>
    <t>CAFE TOLA #2</t>
  </si>
  <si>
    <t>3324 N CALIFORNIA AVE</t>
  </si>
  <si>
    <t>21334685</t>
  </si>
  <si>
    <t>VINCI RESTAURANT</t>
  </si>
  <si>
    <t>1732 N HALSTED ST</t>
  </si>
  <si>
    <t>61238531</t>
  </si>
  <si>
    <t>HIGHLAND PARK BEELOWS</t>
  </si>
  <si>
    <t>1850 2ND ST</t>
  </si>
  <si>
    <t>81110439</t>
  </si>
  <si>
    <t>SARKIS CAFE</t>
  </si>
  <si>
    <t>2632 GROSS POINT RD</t>
  </si>
  <si>
    <t>60499316</t>
  </si>
  <si>
    <t>REDMONDS</t>
  </si>
  <si>
    <t>3358 N SHEFFIELD AVE</t>
  </si>
  <si>
    <t>71139489</t>
  </si>
  <si>
    <t>3 LOUNGE</t>
  </si>
  <si>
    <t>8166 W. GRAND AVE</t>
  </si>
  <si>
    <t>30483663</t>
  </si>
  <si>
    <t>MICKEY FINNS</t>
  </si>
  <si>
    <t>345 N MILWAUKEE</t>
  </si>
  <si>
    <t>90984261</t>
  </si>
  <si>
    <t>EAGLE RESTAURANT</t>
  </si>
  <si>
    <t>406 MAPLE AVENUE</t>
  </si>
  <si>
    <t>41273467</t>
  </si>
  <si>
    <t>THE CHICAGO HOUSE OF ZA</t>
  </si>
  <si>
    <t>1416 W IRVING PARK RD</t>
  </si>
  <si>
    <t>11197068</t>
  </si>
  <si>
    <t>DISTILLED</t>
  </si>
  <si>
    <t>1480 WEBSTER</t>
  </si>
  <si>
    <t>31074354</t>
  </si>
  <si>
    <t>BURGER HUB</t>
  </si>
  <si>
    <t>6234 N CALIFORNIA</t>
  </si>
  <si>
    <t>41103284</t>
  </si>
  <si>
    <t>BOSS HOGZ EATERY</t>
  </si>
  <si>
    <t>2060 W 80TH PLACE</t>
  </si>
  <si>
    <t>30594089</t>
  </si>
  <si>
    <t>BOSTON BLACKIES/SKOKIE</t>
  </si>
  <si>
    <t>9525 SKOKIE BLVD</t>
  </si>
  <si>
    <t>943001</t>
  </si>
  <si>
    <t>FRANKIE'S DELI</t>
  </si>
  <si>
    <t>4 CONVENIENCE CENTER</t>
  </si>
  <si>
    <t>852921</t>
  </si>
  <si>
    <t>FIREZONE</t>
  </si>
  <si>
    <t>1100 NATIONAL PARKWAY</t>
  </si>
  <si>
    <t>10473676</t>
  </si>
  <si>
    <t>GEORGE'S WHAT'S COOKING</t>
  </si>
  <si>
    <t>350 S WAUKEGAN</t>
  </si>
  <si>
    <t>10484657</t>
  </si>
  <si>
    <t>SPIAGGIA PRIVATE DINI</t>
  </si>
  <si>
    <t>980 N MICHIGAN AVE</t>
  </si>
  <si>
    <t>30318877</t>
  </si>
  <si>
    <t>POPEYES #2589**COLL**</t>
  </si>
  <si>
    <t>8732 S STONY ISLAND</t>
  </si>
  <si>
    <t>80483209</t>
  </si>
  <si>
    <t>SARKIS*  ***COLLECTIONS**</t>
  </si>
  <si>
    <t>40182743</t>
  </si>
  <si>
    <t>PANGAEA GALLERY**COLL**</t>
  </si>
  <si>
    <t>233 W HURON ST</t>
  </si>
  <si>
    <t>70718291</t>
  </si>
  <si>
    <t>2TOOTS TRAIN WHISTLE GRIL</t>
  </si>
  <si>
    <t>450 N MAIN ST</t>
  </si>
  <si>
    <t>10961118</t>
  </si>
  <si>
    <t>HOUNDSTOOTH SALOON</t>
  </si>
  <si>
    <t>3369 N CLARK ST</t>
  </si>
  <si>
    <t>71109649</t>
  </si>
  <si>
    <t>JAMESON'S CHARHOUSE WOODR</t>
  </si>
  <si>
    <t>1001 W. 75TH STREET</t>
  </si>
  <si>
    <t>591594</t>
  </si>
  <si>
    <t>BROWN'S CHICKEN/BRIDGEVIE</t>
  </si>
  <si>
    <t>8719 S. HARLEM AVE.</t>
  </si>
  <si>
    <t>81343527</t>
  </si>
  <si>
    <t>BOMBO BAR OLD TOWN</t>
  </si>
  <si>
    <t>50482256</t>
  </si>
  <si>
    <t>GOODE &amp; FRESH **COLL**</t>
  </si>
  <si>
    <t>1336 WAUKEGAN RD</t>
  </si>
  <si>
    <t>60604147</t>
  </si>
  <si>
    <t>LINCOLNSHIRE GOUR.**COLL*</t>
  </si>
  <si>
    <t>675 CENTRAL AVE</t>
  </si>
  <si>
    <t>70484415</t>
  </si>
  <si>
    <t>LIBERTYVILLE CAFE/111</t>
  </si>
  <si>
    <t>620 N US HWY 45</t>
  </si>
  <si>
    <t>70930896</t>
  </si>
  <si>
    <t>890 E U.S. HIGHWAY 45</t>
  </si>
  <si>
    <t>1333269</t>
  </si>
  <si>
    <t>DICKY'S DOGS</t>
  </si>
  <si>
    <t>81002891</t>
  </si>
  <si>
    <t>WING TOWNE</t>
  </si>
  <si>
    <t>11020 SO. KEATING AVE</t>
  </si>
  <si>
    <t>935999</t>
  </si>
  <si>
    <t>SADDLE UP SALOON</t>
  </si>
  <si>
    <t>4440 WEST OGDEN AVE.</t>
  </si>
  <si>
    <t>40749129</t>
  </si>
  <si>
    <t>LOTTIE'S PUB</t>
  </si>
  <si>
    <t>1925 W CORTLAND</t>
  </si>
  <si>
    <t>51339687</t>
  </si>
  <si>
    <t>SOUTHPORT AND IRVING</t>
  </si>
  <si>
    <t>4000 N SOUTHPORT AVE</t>
  </si>
  <si>
    <t>41320763</t>
  </si>
  <si>
    <t>ANTHEM</t>
  </si>
  <si>
    <t>1725 W DIVISION ST</t>
  </si>
  <si>
    <t>41240268</t>
  </si>
  <si>
    <t>WINTERS JAZZ CLUB</t>
  </si>
  <si>
    <t>465 N. MCCLURG COURT LOWE</t>
  </si>
  <si>
    <t>60994639</t>
  </si>
  <si>
    <t>FILONEKS</t>
  </si>
  <si>
    <t>6213 N. MILWAUKEE</t>
  </si>
  <si>
    <t>21015052</t>
  </si>
  <si>
    <t>HI LIFE BISTRO</t>
  </si>
  <si>
    <t>4120 W.DEMPSTER</t>
  </si>
  <si>
    <t>81291833</t>
  </si>
  <si>
    <t>ZORN BREWERY</t>
  </si>
  <si>
    <t>605 E 9TH ST</t>
  </si>
  <si>
    <t>91314344</t>
  </si>
  <si>
    <t>BULLSEYE PUB</t>
  </si>
  <si>
    <t>60318870</t>
  </si>
  <si>
    <t>POPEYES #2812 **COLL**</t>
  </si>
  <si>
    <t>346 E 95TH ST</t>
  </si>
  <si>
    <t>90931254</t>
  </si>
  <si>
    <t>APPLE VILLA ##</t>
  </si>
  <si>
    <t>3101 N BARRINGTON RD.</t>
  </si>
  <si>
    <t>61172003</t>
  </si>
  <si>
    <t>LEGHORN UC</t>
  </si>
  <si>
    <t>5 S DAMEN AVE</t>
  </si>
  <si>
    <t>60205903</t>
  </si>
  <si>
    <t>LYNDA INC/ROSKOE'S</t>
  </si>
  <si>
    <t>1110 LAKESIDE</t>
  </si>
  <si>
    <t>LA PORTE</t>
  </si>
  <si>
    <t>81317562</t>
  </si>
  <si>
    <t>LEAHS PANCAKE HOUSE</t>
  </si>
  <si>
    <t>5004 SO ARCHER</t>
  </si>
  <si>
    <t>30617922</t>
  </si>
  <si>
    <t>NIKO'S</t>
  </si>
  <si>
    <t>11900 FREEMAN RD</t>
  </si>
  <si>
    <t>HUNTLEY</t>
  </si>
  <si>
    <t>50571264</t>
  </si>
  <si>
    <t>BANDITS BAR &amp; GRILLE*COLL</t>
  </si>
  <si>
    <t>101 S MAIN ST.</t>
  </si>
  <si>
    <t>40523136</t>
  </si>
  <si>
    <t>ALL ABOARD DINER :)</t>
  </si>
  <si>
    <t>1510 B 75TH STREET</t>
  </si>
  <si>
    <t>10898229</t>
  </si>
  <si>
    <t>CHISOX-GIBSON'S</t>
  </si>
  <si>
    <t>320 W. 35TH STREET</t>
  </si>
  <si>
    <t>20651774</t>
  </si>
  <si>
    <t>SHORTY'S - WOOD DALE</t>
  </si>
  <si>
    <t>10997344</t>
  </si>
  <si>
    <t>MASADA'S</t>
  </si>
  <si>
    <t>2206 N. CALIFORNIA AVE</t>
  </si>
  <si>
    <t>10542801</t>
  </si>
  <si>
    <t>ROCKY AND STELLA'S**COLL*</t>
  </si>
  <si>
    <t>200 EAST US 30</t>
  </si>
  <si>
    <t>90855909</t>
  </si>
  <si>
    <t>COACH'S CORNER</t>
  </si>
  <si>
    <t>152 BIETSERFIELD RD</t>
  </si>
  <si>
    <t>60591716</t>
  </si>
  <si>
    <t>BROWN'S CHICKEN/OAK LAWN</t>
  </si>
  <si>
    <t>4740 W. 111TH STREET</t>
  </si>
  <si>
    <t>71015432</t>
  </si>
  <si>
    <t>HALSTED STREET DELI</t>
  </si>
  <si>
    <t>400 S. LA SALLE ST.</t>
  </si>
  <si>
    <t>61014072</t>
  </si>
  <si>
    <t>LONGSHOTS SPORTS BAR/GRIL</t>
  </si>
  <si>
    <t>117 E MICHIGAN STREET</t>
  </si>
  <si>
    <t>NEW CARLISLE</t>
  </si>
  <si>
    <t>46552</t>
  </si>
  <si>
    <t>21107438</t>
  </si>
  <si>
    <t>TONY'S AUTHENTIC MEXICAN</t>
  </si>
  <si>
    <t>8699 W OGDEN AVE</t>
  </si>
  <si>
    <t>30410914</t>
  </si>
  <si>
    <t>SPIZZICO PIZZA **COLL**</t>
  </si>
  <si>
    <t>7446 W. NORTH AVE</t>
  </si>
  <si>
    <t>40736928</t>
  </si>
  <si>
    <t>3566 NORTH MILWAUKEE AVE</t>
  </si>
  <si>
    <t>21328513</t>
  </si>
  <si>
    <t>EGGSPERIENCE BANNOCKBURN</t>
  </si>
  <si>
    <t>2545 WAUKEGAN RD</t>
  </si>
  <si>
    <t>BANNOCKBURN</t>
  </si>
  <si>
    <t>40729469</t>
  </si>
  <si>
    <t>BITE CAFE</t>
  </si>
  <si>
    <t>1039 N. WESTERN AVE.</t>
  </si>
  <si>
    <t>41114745</t>
  </si>
  <si>
    <t>BANDERA</t>
  </si>
  <si>
    <t>535 N MICHIGAN AVE</t>
  </si>
  <si>
    <t>91332320</t>
  </si>
  <si>
    <t>BURNSIE'S UPTOWN</t>
  </si>
  <si>
    <t>545 N MILWAUKEE AVE</t>
  </si>
  <si>
    <t>1340793</t>
  </si>
  <si>
    <t>CHRISTIE'S DAIRY DELIGHT</t>
  </si>
  <si>
    <t>45 N BOTHWELL ST</t>
  </si>
  <si>
    <t>309955</t>
  </si>
  <si>
    <t>BACCHUS NIBBLES</t>
  </si>
  <si>
    <t>800 W. MAIN ST</t>
  </si>
  <si>
    <t>11249141</t>
  </si>
  <si>
    <t>SOGNO BISTRO</t>
  </si>
  <si>
    <t>100 N HALE ST</t>
  </si>
  <si>
    <t>30936439</t>
  </si>
  <si>
    <t>ROYAL SEAFOOD BUFFET</t>
  </si>
  <si>
    <t>31 GOLF CENTER</t>
  </si>
  <si>
    <t>10646826</t>
  </si>
  <si>
    <t>DELI TIME/LANDMARK I</t>
  </si>
  <si>
    <t>3075 HIGHLAND PARKWAY</t>
  </si>
  <si>
    <t>20483780</t>
  </si>
  <si>
    <t>LOS CABOS REST**COLL**</t>
  </si>
  <si>
    <t>36 E NEW YORK ST</t>
  </si>
  <si>
    <t>71146476</t>
  </si>
  <si>
    <t>THE BLANCHARD</t>
  </si>
  <si>
    <t>1935 N LINCOLN PARK WEST</t>
  </si>
  <si>
    <t>30934202</t>
  </si>
  <si>
    <t>MEHANATA</t>
  </si>
  <si>
    <t>1141 LEE ST</t>
  </si>
  <si>
    <t>10407484</t>
  </si>
  <si>
    <t>RONNIE'S **COLL**</t>
  </si>
  <si>
    <t>3517 W. DEMPSTER</t>
  </si>
  <si>
    <t>71110332</t>
  </si>
  <si>
    <t>BROBAGEL</t>
  </si>
  <si>
    <t>1931 W NORTH AVE</t>
  </si>
  <si>
    <t>90483785</t>
  </si>
  <si>
    <t>SIDE STREET SALOON**COLL*</t>
  </si>
  <si>
    <t>1456 W GEORGE</t>
  </si>
  <si>
    <t>30080113</t>
  </si>
  <si>
    <t>2155 WEST 183RD</t>
  </si>
  <si>
    <t>40505331</t>
  </si>
  <si>
    <t>LINCOLN CENTRE CAFE</t>
  </si>
  <si>
    <t>2 LINCOLN CENTRE</t>
  </si>
  <si>
    <t>61314845</t>
  </si>
  <si>
    <t>RIVER LEES</t>
  </si>
  <si>
    <t>6 E MAIN ST</t>
  </si>
  <si>
    <t>91204305</t>
  </si>
  <si>
    <t>PITA INN - GLENVIEW</t>
  </si>
  <si>
    <t>9854 MILWAUKEE AVE</t>
  </si>
  <si>
    <t>20543336</t>
  </si>
  <si>
    <t>GINO'S ITALIAN ICE**COLL*</t>
  </si>
  <si>
    <t>3857 W. 26TH STREET</t>
  </si>
  <si>
    <t>80153745</t>
  </si>
  <si>
    <t>DISCOVERY ZONE(CREST)</t>
  </si>
  <si>
    <t>1701 N LARKIN SPACE 401</t>
  </si>
  <si>
    <t>61109278</t>
  </si>
  <si>
    <t>TACO DAY</t>
  </si>
  <si>
    <t>2004 OGDEN AVE</t>
  </si>
  <si>
    <t>30483002</t>
  </si>
  <si>
    <t>ASHYANA BANQUETS E&amp;S</t>
  </si>
  <si>
    <t>1620 75TH ST</t>
  </si>
  <si>
    <t>20524591</t>
  </si>
  <si>
    <t>MOCHA CAFE &amp; WINE**COLL**</t>
  </si>
  <si>
    <t>742 SHERIDAN RD.</t>
  </si>
  <si>
    <t>50993203</t>
  </si>
  <si>
    <t>PAULINE'S</t>
  </si>
  <si>
    <t>1754 W. BALMORAL AVE.</t>
  </si>
  <si>
    <t>31304660</t>
  </si>
  <si>
    <t>BROKEN ENGLISH LAKE ST</t>
  </si>
  <si>
    <t>5904 , 75 EAST LAKE ST</t>
  </si>
  <si>
    <t>81224172</t>
  </si>
  <si>
    <t>SALERNOS</t>
  </si>
  <si>
    <t>320 N 2ND ST</t>
  </si>
  <si>
    <t>50591403</t>
  </si>
  <si>
    <t>EMBRACE YOUR STYLE**COLL*</t>
  </si>
  <si>
    <t>29 EAST FIRST STREET</t>
  </si>
  <si>
    <t>955815</t>
  </si>
  <si>
    <t>VILLAGE VITNER</t>
  </si>
  <si>
    <t>2380 ESPLANADE SUITE 100</t>
  </si>
  <si>
    <t>30994693</t>
  </si>
  <si>
    <t>WOK N FIRE</t>
  </si>
  <si>
    <t>1576 W LAKE ST</t>
  </si>
  <si>
    <t>20483616</t>
  </si>
  <si>
    <t>WEST BARRY</t>
  </si>
  <si>
    <t>3056 N OAKLEY AVE</t>
  </si>
  <si>
    <t>31105059</t>
  </si>
  <si>
    <t>ENOLO</t>
  </si>
  <si>
    <t>450 N CLARK</t>
  </si>
  <si>
    <t>30219513</t>
  </si>
  <si>
    <t>COUNTRY HSE REST GENEVA</t>
  </si>
  <si>
    <t>2095 S KIRK RD</t>
  </si>
  <si>
    <t>90288002</t>
  </si>
  <si>
    <t>FUZIO/872/RUSH STREET</t>
  </si>
  <si>
    <t>1045 N RUSH ST</t>
  </si>
  <si>
    <t>11308426</t>
  </si>
  <si>
    <t>BIG DADDY'S FABULOUS FUDG</t>
  </si>
  <si>
    <t>3804 RIDGELAND AVE</t>
  </si>
  <si>
    <t>10939361</t>
  </si>
  <si>
    <t>SCUSA MI</t>
  </si>
  <si>
    <t>2241 MAPLE AVE</t>
  </si>
  <si>
    <t>70646484</t>
  </si>
  <si>
    <t>EGGSPERIENCE/NAP.*COLL**</t>
  </si>
  <si>
    <t>2727 WEST 75TH STREET</t>
  </si>
  <si>
    <t>71233357</t>
  </si>
  <si>
    <t>TOMATO BAR WILLOWBROOK</t>
  </si>
  <si>
    <t>6300 KINGERY HWY</t>
  </si>
  <si>
    <t>80923790</t>
  </si>
  <si>
    <t>EGG HARBOR/WHEATON</t>
  </si>
  <si>
    <t>208 SOUTH HALE STREET</t>
  </si>
  <si>
    <t>80984222</t>
  </si>
  <si>
    <t>NIKO'S RED MILL</t>
  </si>
  <si>
    <t>1040 LAKE AVE</t>
  </si>
  <si>
    <t>61223368</t>
  </si>
  <si>
    <t>SALERNO'S ON THE FOX</t>
  </si>
  <si>
    <t>40029118</t>
  </si>
  <si>
    <t>GASLIGHT CLUB</t>
  </si>
  <si>
    <t>O'HARE HILTON</t>
  </si>
  <si>
    <t>20946802</t>
  </si>
  <si>
    <t>MCBRODY'S</t>
  </si>
  <si>
    <t>73 W. JEFFERSON</t>
  </si>
  <si>
    <t>30483812</t>
  </si>
  <si>
    <t>ONE 20 OCEAN PLACE**COLL*</t>
  </si>
  <si>
    <t>439117</t>
  </si>
  <si>
    <t>LAKESIDE INN**COLL**</t>
  </si>
  <si>
    <t>30955421</t>
  </si>
  <si>
    <t>THE GLOBE LOUNGE</t>
  </si>
  <si>
    <t>1938 W. IRVING</t>
  </si>
  <si>
    <t>21293980</t>
  </si>
  <si>
    <t>STREET SHACK</t>
  </si>
  <si>
    <t>7343 INDIANAPOLIS BLVD</t>
  </si>
  <si>
    <t>91284497</t>
  </si>
  <si>
    <t>STARLIGHT CAFE</t>
  </si>
  <si>
    <t>520 LAKE COOK RD</t>
  </si>
  <si>
    <t>51150944</t>
  </si>
  <si>
    <t>COCKY BULL</t>
  </si>
  <si>
    <t>102 E. TAYLOR ST</t>
  </si>
  <si>
    <t>81009755</t>
  </si>
  <si>
    <t>BOMBER'S BBQ</t>
  </si>
  <si>
    <t>439 RIDGE ROAD</t>
  </si>
  <si>
    <t>80602048</t>
  </si>
  <si>
    <t>GRECO'S GRILLE **COLL**</t>
  </si>
  <si>
    <t>641 E. BOUGHTON ROAD</t>
  </si>
  <si>
    <t>21293733</t>
  </si>
  <si>
    <t>YANKEE DOODLE INN</t>
  </si>
  <si>
    <t>311 E MAIN ST</t>
  </si>
  <si>
    <t>31241961</t>
  </si>
  <si>
    <t>KUP A JOE CAFE</t>
  </si>
  <si>
    <t>41 OLD FRANKFORT WAY</t>
  </si>
  <si>
    <t>81257834</t>
  </si>
  <si>
    <t>BEAUMONT'S</t>
  </si>
  <si>
    <t>2020 N HALSTED ST</t>
  </si>
  <si>
    <t>31241698</t>
  </si>
  <si>
    <t>TRACY'S CALUMET</t>
  </si>
  <si>
    <t>40483943</t>
  </si>
  <si>
    <t>LA PUESTA DEL SOL,</t>
  </si>
  <si>
    <t>165 E HIGHLAND</t>
  </si>
  <si>
    <t>51282002</t>
  </si>
  <si>
    <t>RAINBOW CAFE</t>
  </si>
  <si>
    <t>90575879</t>
  </si>
  <si>
    <t>CHIEF'S PUB</t>
  </si>
  <si>
    <t>502 N. WESTERN AVE.</t>
  </si>
  <si>
    <t>31272222</t>
  </si>
  <si>
    <t>BRGRBELLY 440 SOUTH</t>
  </si>
  <si>
    <t>20031019</t>
  </si>
  <si>
    <t>CHILDER'S FAMILY REST</t>
  </si>
  <si>
    <t>3310-12 N UNIVERSITY</t>
  </si>
  <si>
    <t>61604</t>
  </si>
  <si>
    <t>50192194</t>
  </si>
  <si>
    <t>COFFEE CHICAGO LTD</t>
  </si>
  <si>
    <t>5400 N CLARK ST</t>
  </si>
  <si>
    <t>41338369</t>
  </si>
  <si>
    <t>AMMICI 2ND</t>
  </si>
  <si>
    <t>1234 CALVIN AVE</t>
  </si>
  <si>
    <t>50470780</t>
  </si>
  <si>
    <t>AMF ROLLING MEADOWS 00385</t>
  </si>
  <si>
    <t>3245 KIRCHOFF ROAD</t>
  </si>
  <si>
    <t>80473135</t>
  </si>
  <si>
    <t>HEY SUSHI</t>
  </si>
  <si>
    <t>2630 N CLARK ST</t>
  </si>
  <si>
    <t>81328544</t>
  </si>
  <si>
    <t>LABRIOLA CAFE CHICAGO</t>
  </si>
  <si>
    <t>21181631</t>
  </si>
  <si>
    <t>HSD 1350 E TOUHY AVE</t>
  </si>
  <si>
    <t>1350 E TOUHY AVE</t>
  </si>
  <si>
    <t>71043848</t>
  </si>
  <si>
    <t>MULDOON'S IRISH PUB</t>
  </si>
  <si>
    <t>133 W FRONT ST</t>
  </si>
  <si>
    <t>11023660</t>
  </si>
  <si>
    <t>OLD NEIGHBORBOR GRILL</t>
  </si>
  <si>
    <t>2902 CENTRAL</t>
  </si>
  <si>
    <t>51028314</t>
  </si>
  <si>
    <t>PARIS BISTRO / CREPERIA</t>
  </si>
  <si>
    <t>2835 SHOWPLACE DR. #103</t>
  </si>
  <si>
    <t>80544307</t>
  </si>
  <si>
    <t>RACHAEL PIZZERIA</t>
  </si>
  <si>
    <t>1025 N STERLING AVE</t>
  </si>
  <si>
    <t>61271128</t>
  </si>
  <si>
    <t>CHICAGO JOE'S</t>
  </si>
  <si>
    <t>2256 W IRVING PARK RD</t>
  </si>
  <si>
    <t>80551997</t>
  </si>
  <si>
    <t>RIVER VIEW DINER :)</t>
  </si>
  <si>
    <t>1420 S EAST RIVER ROAD</t>
  </si>
  <si>
    <t>90599200</t>
  </si>
  <si>
    <t>DOUGLAS STREET SPORTS BAR</t>
  </si>
  <si>
    <t>231 DOUGLAS</t>
  </si>
  <si>
    <t>10544286</t>
  </si>
  <si>
    <t>ERIC'S PIZZERIA</t>
  </si>
  <si>
    <t>123 FAKE ST.</t>
  </si>
  <si>
    <t>90528613</t>
  </si>
  <si>
    <t>BURRITO BRAVO**COLL**</t>
  </si>
  <si>
    <t>4202 N. HARLEM AVE</t>
  </si>
  <si>
    <t>21292859</t>
  </si>
  <si>
    <t>UPTON'S LOREL AVE</t>
  </si>
  <si>
    <t>1826 N LOREL AVE</t>
  </si>
  <si>
    <t>534537</t>
  </si>
  <si>
    <t>GRATTY'S BAR &amp; GRL*COLL*</t>
  </si>
  <si>
    <t>1716 FRANKLIN STREET</t>
  </si>
  <si>
    <t>11082955</t>
  </si>
  <si>
    <t>BONNY'S BISTRO COUNTRYSDE</t>
  </si>
  <si>
    <t>19 COUNTRYSIDE PLAZA</t>
  </si>
  <si>
    <t>71027932</t>
  </si>
  <si>
    <t>EL NUEVO MEXICANO</t>
  </si>
  <si>
    <t>2914 N CLARK ST</t>
  </si>
  <si>
    <t>10515674</t>
  </si>
  <si>
    <t>BISTRO WASABI</t>
  </si>
  <si>
    <t>4590 ALGONQUIN RD</t>
  </si>
  <si>
    <t>21086061</t>
  </si>
  <si>
    <t>COHIBA CUBAN CUISINE</t>
  </si>
  <si>
    <t>2835 N. BROADWAY</t>
  </si>
  <si>
    <t>51292506</t>
  </si>
  <si>
    <t>HIGHLINE BAR &amp; LOUNGE</t>
  </si>
  <si>
    <t>169 W KINZIE ST</t>
  </si>
  <si>
    <t>71328462</t>
  </si>
  <si>
    <t>STANLEY'S - WEST DUNDEE</t>
  </si>
  <si>
    <t>629 S 8TH ST</t>
  </si>
  <si>
    <t>402040</t>
  </si>
  <si>
    <t>WHISKEY BAR &amp; GRILL</t>
  </si>
  <si>
    <t>1015 N. RUSH ST</t>
  </si>
  <si>
    <t>81348146</t>
  </si>
  <si>
    <t>FOODA FOOD HALL 8750</t>
  </si>
  <si>
    <t>8750 W BRYN MAWR AVE</t>
  </si>
  <si>
    <t>70451406</t>
  </si>
  <si>
    <t>CAMP DUNCAN</t>
  </si>
  <si>
    <t>32405 N. RAND RD; (RT 12)</t>
  </si>
  <si>
    <t>INGLESIDE</t>
  </si>
  <si>
    <t>51251809</t>
  </si>
  <si>
    <t>BURRITO PARRILLA MEXICANA</t>
  </si>
  <si>
    <t>1500 MAPLE AVE</t>
  </si>
  <si>
    <t>21233358</t>
  </si>
  <si>
    <t>THE MARKET</t>
  </si>
  <si>
    <t>2405 MORTHLAND DR</t>
  </si>
  <si>
    <t>60447778</t>
  </si>
  <si>
    <t>SCOTTY'S LINCOLN **COLL**</t>
  </si>
  <si>
    <t>1198 E SUMMIT ST.</t>
  </si>
  <si>
    <t>81284481</t>
  </si>
  <si>
    <t>CAFE 37</t>
  </si>
  <si>
    <t>1 S DEARBORN ST</t>
  </si>
  <si>
    <t>10591576</t>
  </si>
  <si>
    <t>BROWN'S CHICKEN/BURBANK</t>
  </si>
  <si>
    <t>8300 S. CICERO AVE.</t>
  </si>
  <si>
    <t>384818</t>
  </si>
  <si>
    <t>MY FAVORITE PIZZA</t>
  </si>
  <si>
    <t>4175 DUNDEE RD.</t>
  </si>
  <si>
    <t>50523596</t>
  </si>
  <si>
    <t>CUCINA PARADISO</t>
  </si>
  <si>
    <t>814 NORTH BLVD.</t>
  </si>
  <si>
    <t>10533107</t>
  </si>
  <si>
    <t>EL MATADOR**COLL**</t>
  </si>
  <si>
    <t>501 S. BARTLETT RD.</t>
  </si>
  <si>
    <t>91131334</t>
  </si>
  <si>
    <t>LITTLE JOE'S TINLEY PARK</t>
  </si>
  <si>
    <t>7976 WEST 167TH STREET</t>
  </si>
  <si>
    <t>61134334</t>
  </si>
  <si>
    <t>ALEX GRILL</t>
  </si>
  <si>
    <t>1745 NORTHWIND BLVD</t>
  </si>
  <si>
    <t>10577906</t>
  </si>
  <si>
    <t>MAPLE TREE</t>
  </si>
  <si>
    <t>671 W. NORTH AVE.</t>
  </si>
  <si>
    <t>80955743</t>
  </si>
  <si>
    <t>STANDARD MARKET WESTMONT</t>
  </si>
  <si>
    <t>333-57 EAST OGDEN AVE.</t>
  </si>
  <si>
    <t>21231295</t>
  </si>
  <si>
    <t>VISTRO</t>
  </si>
  <si>
    <t>112 S WASHINGTON ST</t>
  </si>
  <si>
    <t>41299322</t>
  </si>
  <si>
    <t>IRON LOTUS</t>
  </si>
  <si>
    <t>1443 W FULLERTON AVE</t>
  </si>
  <si>
    <t>70346200</t>
  </si>
  <si>
    <t>HORIZONTALS</t>
  </si>
  <si>
    <t>7620 HANCOCK DR</t>
  </si>
  <si>
    <t>80228455</t>
  </si>
  <si>
    <t>SOMERSET WEST **COLL**</t>
  </si>
  <si>
    <t>600 BLACKHAWK DR</t>
  </si>
  <si>
    <t>76315</t>
  </si>
  <si>
    <t>VETERANS SERV./CANTEEN</t>
  </si>
  <si>
    <t>WESTSIDE V.A.HOSPITAL</t>
  </si>
  <si>
    <t>30076848</t>
  </si>
  <si>
    <t>Z DORMANT</t>
  </si>
  <si>
    <t>1915 CHURCH STREET</t>
  </si>
  <si>
    <t>1258268</t>
  </si>
  <si>
    <t>URBAN CROSTA</t>
  </si>
  <si>
    <t>355 E OHIO ST</t>
  </si>
  <si>
    <t>91033399</t>
  </si>
  <si>
    <t>TOSCANA "EXAMPLE ACCOUNT"</t>
  </si>
  <si>
    <t>1859 W. CENTRAL RD</t>
  </si>
  <si>
    <t>21086681</t>
  </si>
  <si>
    <t>IVY</t>
  </si>
  <si>
    <t>120 N HALE</t>
  </si>
  <si>
    <t>10591675</t>
  </si>
  <si>
    <t>BROWN'S CHICKEN/FRANKFORT</t>
  </si>
  <si>
    <t>320 LAGRANGE ROAD</t>
  </si>
  <si>
    <t>80462542</t>
  </si>
  <si>
    <t>CHIN'S RESTAURANT</t>
  </si>
  <si>
    <t>10 E. MINER STREET</t>
  </si>
  <si>
    <t>11326386</t>
  </si>
  <si>
    <t>WISHBONE</t>
  </si>
  <si>
    <t>161 N JEFFERSON ST</t>
  </si>
  <si>
    <t>81182438</t>
  </si>
  <si>
    <t>MAP ROOM</t>
  </si>
  <si>
    <t>1949 N HOYNE AVE</t>
  </si>
  <si>
    <t>31344351</t>
  </si>
  <si>
    <t>DIAG BAR &amp; GRILL</t>
  </si>
  <si>
    <t>2856 N SOUTHPORT AVE</t>
  </si>
  <si>
    <t>50485416</t>
  </si>
  <si>
    <t>TRANQUIL-A-TEA**COLL***</t>
  </si>
  <si>
    <t>5613 BROADWAY</t>
  </si>
  <si>
    <t>1292176</t>
  </si>
  <si>
    <t>DIAMOND JIM'S DUNDEE</t>
  </si>
  <si>
    <t>325 MEIER ST</t>
  </si>
  <si>
    <t>1190297</t>
  </si>
  <si>
    <t>WHITE STREET CAFE LLC</t>
  </si>
  <si>
    <t>11 S WHITE ST</t>
  </si>
  <si>
    <t>40527541</t>
  </si>
  <si>
    <t>DAVE</t>
  </si>
  <si>
    <t>444 TREE</t>
  </si>
  <si>
    <t>1015049</t>
  </si>
  <si>
    <t>AMERICAN JUNKIE EQUIPMENT</t>
  </si>
  <si>
    <t>31325723</t>
  </si>
  <si>
    <t>FANCY PLANTS CAFE</t>
  </si>
  <si>
    <t>613 W BRIAR PL</t>
  </si>
  <si>
    <t>50182104</t>
  </si>
  <si>
    <t>SODEXHO/MARRIOTT-KLEIN CR</t>
  </si>
  <si>
    <t>1N333 PLEASANT HILL</t>
  </si>
  <si>
    <t>70482567</t>
  </si>
  <si>
    <t>BRETTS KITCHEN</t>
  </si>
  <si>
    <t>233 W SUPERIOR</t>
  </si>
  <si>
    <t>91323725</t>
  </si>
  <si>
    <t>TACATZ TACOS</t>
  </si>
  <si>
    <t>1479 E STATE ST</t>
  </si>
  <si>
    <t>90029414</t>
  </si>
  <si>
    <t>NANCY SAWYER'S</t>
  </si>
  <si>
    <t>237 N CEDAR LAKE RD</t>
  </si>
  <si>
    <t>61298055</t>
  </si>
  <si>
    <t>BEECHER PIZZA</t>
  </si>
  <si>
    <t>997 DIXIE HWY</t>
  </si>
  <si>
    <t>BEECHER</t>
  </si>
  <si>
    <t>619544</t>
  </si>
  <si>
    <t>VILLAGE GOURMET</t>
  </si>
  <si>
    <t>23 S. PROSPECT AVE</t>
  </si>
  <si>
    <t>CLARENDON HILLS</t>
  </si>
  <si>
    <t>30993315</t>
  </si>
  <si>
    <t>WIENER TAKE ALL</t>
  </si>
  <si>
    <t>1117 WEILAND RD</t>
  </si>
  <si>
    <t>71282461</t>
  </si>
  <si>
    <t>EXCHEQUER PUB</t>
  </si>
  <si>
    <t>226 S WABASH AVE</t>
  </si>
  <si>
    <t>80322423</t>
  </si>
  <si>
    <t>POPEYES #2556 *COLL*</t>
  </si>
  <si>
    <t>4809 W 77TH AVE.</t>
  </si>
  <si>
    <t>90794959</t>
  </si>
  <si>
    <t>ZAZA'S ITALIAN STEAKHOUSE</t>
  </si>
  <si>
    <t>1570 W LAKE ST UNIT 104</t>
  </si>
  <si>
    <t>10594935</t>
  </si>
  <si>
    <t>EVIVA</t>
  </si>
  <si>
    <t>1017 FRONT ST</t>
  </si>
  <si>
    <t>70875877</t>
  </si>
  <si>
    <t>GABES BACK STAGE</t>
  </si>
  <si>
    <t>214 GREENBAY ROAD</t>
  </si>
  <si>
    <t>10857027</t>
  </si>
  <si>
    <t>TASTY DOG</t>
  </si>
  <si>
    <t>780 W LAKE ST.</t>
  </si>
  <si>
    <t>61336244</t>
  </si>
  <si>
    <t>AUGUSTINO'S CAROL STREAM</t>
  </si>
  <si>
    <t>246 S SCHMALE RD</t>
  </si>
  <si>
    <t>20604211</t>
  </si>
  <si>
    <t>DANNY'S PIZZA **COLL**</t>
  </si>
  <si>
    <t>302-D S.MC LEAN BLVD</t>
  </si>
  <si>
    <t>40958829</t>
  </si>
  <si>
    <t>JC'S PUB AND RISTORANTE</t>
  </si>
  <si>
    <t>8650 JOLIET RD</t>
  </si>
  <si>
    <t>20484648</t>
  </si>
  <si>
    <t>PARK PLACE</t>
  </si>
  <si>
    <t>406 W WOODSTOCK ST</t>
  </si>
  <si>
    <t>21039110</t>
  </si>
  <si>
    <t>VERONA PIZZA</t>
  </si>
  <si>
    <t>3032 45TH ST.</t>
  </si>
  <si>
    <t>71044127</t>
  </si>
  <si>
    <t>PETE MILLER'S EVANSTON</t>
  </si>
  <si>
    <t>1557 SHERMAN AVE</t>
  </si>
  <si>
    <t>51246635</t>
  </si>
  <si>
    <t>GLENVIEW HOUSE</t>
  </si>
  <si>
    <t>1843 GLENVIEW RD</t>
  </si>
  <si>
    <t>30483333</t>
  </si>
  <si>
    <t>PRIME FOOD CATERER**COLL*</t>
  </si>
  <si>
    <t>5643 W NORTH AVE</t>
  </si>
  <si>
    <t>30518203</t>
  </si>
  <si>
    <t>SAVAS CAFE **COLL**</t>
  </si>
  <si>
    <t>250 MCHENRY ROAD</t>
  </si>
  <si>
    <t>60173358</t>
  </si>
  <si>
    <t>WOODCUTTER THE</t>
  </si>
  <si>
    <t>12200 N BRENTFIELD</t>
  </si>
  <si>
    <t>DUNLAP</t>
  </si>
  <si>
    <t>61525</t>
  </si>
  <si>
    <t>50457241</t>
  </si>
  <si>
    <t>LA PETITE CREPERIE</t>
  </si>
  <si>
    <t>115 N JOHNSON</t>
  </si>
  <si>
    <t>20451902</t>
  </si>
  <si>
    <t>COFFEE BEANERY **COLL**</t>
  </si>
  <si>
    <t>2158 N. DAMEN AVE.</t>
  </si>
  <si>
    <t>60697</t>
  </si>
  <si>
    <t>70331004</t>
  </si>
  <si>
    <t>PEPPERMILL</t>
  </si>
  <si>
    <t>10 E. HITT ST.(RT.64)</t>
  </si>
  <si>
    <t>71323869</t>
  </si>
  <si>
    <t>THE WALRUS ROOM</t>
  </si>
  <si>
    <t>415 W STATE ST STE 105</t>
  </si>
  <si>
    <t>40318941</t>
  </si>
  <si>
    <t>POTATO WORKS</t>
  </si>
  <si>
    <t>CHICAGO RIDGE MALL #464</t>
  </si>
  <si>
    <t>30832927</t>
  </si>
  <si>
    <t>RODNEY MCDANIEL</t>
  </si>
  <si>
    <t>6031 WEST FORESTVIEW DR.</t>
  </si>
  <si>
    <t>20483863</t>
  </si>
  <si>
    <t>BILL'S PUB NORTH</t>
  </si>
  <si>
    <t>18945 W WASHINGTON</t>
  </si>
  <si>
    <t>THIRD LAKE</t>
  </si>
  <si>
    <t>40536575</t>
  </si>
  <si>
    <t>HESTON SUPPER CLUB</t>
  </si>
  <si>
    <t>2003 E. 1000 NORTH</t>
  </si>
  <si>
    <t>30733406</t>
  </si>
  <si>
    <t>TORE &amp; LUKES***COLL***</t>
  </si>
  <si>
    <t>1960 N RAND RD</t>
  </si>
  <si>
    <t>51146009</t>
  </si>
  <si>
    <t>ROCKWOOD TAP HOUSE</t>
  </si>
  <si>
    <t>3131 FINLEY RD</t>
  </si>
  <si>
    <t>41292137</t>
  </si>
  <si>
    <t>SAKAI GRILL</t>
  </si>
  <si>
    <t>701 S MAIN ST</t>
  </si>
  <si>
    <t>NORMAL</t>
  </si>
  <si>
    <t>1075936</t>
  </si>
  <si>
    <t>ROCK 'N RIBS</t>
  </si>
  <si>
    <t>463 S RAND RD</t>
  </si>
  <si>
    <t>21049614</t>
  </si>
  <si>
    <t>CHEESIE'S PUB &amp; GRUB</t>
  </si>
  <si>
    <t>622 DAVIS STREET</t>
  </si>
  <si>
    <t>81035834</t>
  </si>
  <si>
    <t>HAMCO</t>
  </si>
  <si>
    <t>300 VILLAGE GREEN #200</t>
  </si>
  <si>
    <t>90939588</t>
  </si>
  <si>
    <t>JT'S PORCH :)</t>
  </si>
  <si>
    <t>11208121</t>
  </si>
  <si>
    <t>DIRTY SOCK</t>
  </si>
  <si>
    <t>9300 S ROBERTS RD</t>
  </si>
  <si>
    <t>21321245</t>
  </si>
  <si>
    <t>ENZO &amp; LUCIA RISTORANTE</t>
  </si>
  <si>
    <t>343 OLD MCHENRY RD</t>
  </si>
  <si>
    <t>81301707</t>
  </si>
  <si>
    <t>ELLA BONELLA</t>
  </si>
  <si>
    <t>421 N NORTHWEST HWY</t>
  </si>
  <si>
    <t>60099686</t>
  </si>
  <si>
    <t>ESPRESSO PACIFICO *COLL**</t>
  </si>
  <si>
    <t>540 LINCOLN AVE.</t>
  </si>
  <si>
    <t>21288998</t>
  </si>
  <si>
    <t>323E GLENWOOD LANSING</t>
  </si>
  <si>
    <t>1328228</t>
  </si>
  <si>
    <t>3805 N BROADWAY ST</t>
  </si>
  <si>
    <t>40905416</t>
  </si>
  <si>
    <t>MON AMI GABI</t>
  </si>
  <si>
    <t>2300 N LINCOLN PARK WEST</t>
  </si>
  <si>
    <t>81332942</t>
  </si>
  <si>
    <t>BIG TIME BURGERS AND BREW</t>
  </si>
  <si>
    <t>2545 PROMENADE WAY</t>
  </si>
  <si>
    <t>90968959</t>
  </si>
  <si>
    <t>UNTITLED 111</t>
  </si>
  <si>
    <t>111 W KINZIE ST</t>
  </si>
  <si>
    <t>41314592</t>
  </si>
  <si>
    <t>NR STEINGOLD'S</t>
  </si>
  <si>
    <t>4642 N FRANCISCO AVE</t>
  </si>
  <si>
    <t>21082680</t>
  </si>
  <si>
    <t>JJ TWIG'S</t>
  </si>
  <si>
    <t>150 S. NORTHWEST HWY.</t>
  </si>
  <si>
    <t>984120</t>
  </si>
  <si>
    <t>CLEMENTI'S</t>
  </si>
  <si>
    <t>602 WEST NORTHWEST HWY</t>
  </si>
  <si>
    <t>60646908</t>
  </si>
  <si>
    <t>BERRUTI'S DELI</t>
  </si>
  <si>
    <t>771 S. BUFFALO GROVE ROAD</t>
  </si>
  <si>
    <t>41163270</t>
  </si>
  <si>
    <t>FIRESIDE ALE HOUSE</t>
  </si>
  <si>
    <t>50 BARRINGTON RD</t>
  </si>
  <si>
    <t>20342101</t>
  </si>
  <si>
    <t>RUSSELL'S BBQ/ELMWOOD PK</t>
  </si>
  <si>
    <t>1621 THATCHER</t>
  </si>
  <si>
    <t>40431975</t>
  </si>
  <si>
    <t>OUTRIGGERS/FOOD **COLL**</t>
  </si>
  <si>
    <t>3408 VOLLMER ROAD</t>
  </si>
  <si>
    <t>51175842</t>
  </si>
  <si>
    <t>DELI 3  ROSEMONT</t>
  </si>
  <si>
    <t>5500 PEARL ST</t>
  </si>
  <si>
    <t>90076316</t>
  </si>
  <si>
    <t>LAKESIDE VA MED CENTER</t>
  </si>
  <si>
    <t>71344410</t>
  </si>
  <si>
    <t>80 PROOF</t>
  </si>
  <si>
    <t>1500 N WELLS ST</t>
  </si>
  <si>
    <t>61347803</t>
  </si>
  <si>
    <t>PIEROGI SQUARE</t>
  </si>
  <si>
    <t>91058917</t>
  </si>
  <si>
    <t>120 N HALE STREET</t>
  </si>
  <si>
    <t>71059026</t>
  </si>
  <si>
    <t>VENICE-DYER</t>
  </si>
  <si>
    <t>275 JOLIET ST</t>
  </si>
  <si>
    <t>30468045</t>
  </si>
  <si>
    <t>SILVER MINE SUBS/MADISON</t>
  </si>
  <si>
    <t>328 W. GORHAM STREET</t>
  </si>
  <si>
    <t>50543966</t>
  </si>
  <si>
    <t>CUCINA BELLA DUE*COLL*</t>
  </si>
  <si>
    <t>111 N. MAIN ST.</t>
  </si>
  <si>
    <t>21344353</t>
  </si>
  <si>
    <t>THE IRISH OAK</t>
  </si>
  <si>
    <t>3511 N CLARK ST</t>
  </si>
  <si>
    <t>41253477</t>
  </si>
  <si>
    <t>ZAZZO'S PIZZA AND BAR</t>
  </si>
  <si>
    <t>7360 IL-83</t>
  </si>
  <si>
    <t>90716192</t>
  </si>
  <si>
    <t>BIG TUNA</t>
  </si>
  <si>
    <t>13137 S. LAGRANGE RD.</t>
  </si>
  <si>
    <t>20917175</t>
  </si>
  <si>
    <t>FONTANO'S SUBS</t>
  </si>
  <si>
    <t>2151 W 95TH ST</t>
  </si>
  <si>
    <t>70482773</t>
  </si>
  <si>
    <t>EL DORADO REST**COLL**</t>
  </si>
  <si>
    <t>208 E MAIN ST</t>
  </si>
  <si>
    <t>ROUND LAKE PARK</t>
  </si>
  <si>
    <t>51124139</t>
  </si>
  <si>
    <t>MO DAILEYS</t>
  </si>
  <si>
    <t>6070 N NORTHWEST HWY</t>
  </si>
  <si>
    <t>70926746</t>
  </si>
  <si>
    <t>SALLYS PANCAKE HOUSE</t>
  </si>
  <si>
    <t>5454 N HARLEM</t>
  </si>
  <si>
    <t>80552409</t>
  </si>
  <si>
    <t>GRANDMA'S TABLE   :)</t>
  </si>
  <si>
    <t>1700 DOUGLAS ROAD</t>
  </si>
  <si>
    <t>80995145</t>
  </si>
  <si>
    <t>LOBO DEMAR RESTAURANT</t>
  </si>
  <si>
    <t>5503 W CERMAK</t>
  </si>
  <si>
    <t>CICERO</t>
  </si>
  <si>
    <t>61176418</t>
  </si>
  <si>
    <t>CHGO CUT</t>
  </si>
  <si>
    <t>300 N LA SALLE DR</t>
  </si>
  <si>
    <t>921114</t>
  </si>
  <si>
    <t>FIRST SLICE RAVENSWOOD</t>
  </si>
  <si>
    <t>4401 N. RAVENSWOOD</t>
  </si>
  <si>
    <t>81312530</t>
  </si>
  <si>
    <t>DIAMOND SPORTS BAR AND GR</t>
  </si>
  <si>
    <t>16529 W 159TH ST</t>
  </si>
  <si>
    <t>61181632</t>
  </si>
  <si>
    <t>HSD 6400 SHAFER CT</t>
  </si>
  <si>
    <t>6400 SHAFER CT</t>
  </si>
  <si>
    <t>20964581</t>
  </si>
  <si>
    <t>KEVIN'S PLACE NOTE</t>
  </si>
  <si>
    <t>808 WAUKEGAN</t>
  </si>
  <si>
    <t>20505681</t>
  </si>
  <si>
    <t>NIKO'S BREAKFAST CLUB</t>
  </si>
  <si>
    <t>4002 W. 111 TH STREET</t>
  </si>
  <si>
    <t>81271223</t>
  </si>
  <si>
    <t>JUST A DASH CAFE</t>
  </si>
  <si>
    <t>9722 PARKWAY DR</t>
  </si>
  <si>
    <t>10923779</t>
  </si>
  <si>
    <t>EGG HARBOR/LAKE FOREST</t>
  </si>
  <si>
    <t>512 NORTH WESTERN AVENUE</t>
  </si>
  <si>
    <t>80390685</t>
  </si>
  <si>
    <t>KEN &amp; DICKS PIZZERIA</t>
  </si>
  <si>
    <t>15801 S. CENTRAL</t>
  </si>
  <si>
    <t>51304376</t>
  </si>
  <si>
    <t>DC COBBS MCHENRY</t>
  </si>
  <si>
    <t>1204 N GREEN ST</t>
  </si>
  <si>
    <t>908103</t>
  </si>
  <si>
    <t>2 SPARROWS</t>
  </si>
  <si>
    <t>553 W. DIVERSEY PARKWAY</t>
  </si>
  <si>
    <t>80482904</t>
  </si>
  <si>
    <t>LEW'S DRIVE INN</t>
  </si>
  <si>
    <t>1105 N WASHINGTON ST</t>
  </si>
  <si>
    <t>51323772</t>
  </si>
  <si>
    <t>3-7 HALF CAFE</t>
  </si>
  <si>
    <t>400 DUANE ST</t>
  </si>
  <si>
    <t>21304662</t>
  </si>
  <si>
    <t>BROKEN ENGLISH LINCOLN AV</t>
  </si>
  <si>
    <t>2576 N LINCOLN AVE</t>
  </si>
  <si>
    <t>41220286</t>
  </si>
  <si>
    <t>PONY INN</t>
  </si>
  <si>
    <t>1638 W BELMONT AVE</t>
  </si>
  <si>
    <t>90718800</t>
  </si>
  <si>
    <t>SU CASA  ****DIP***</t>
  </si>
  <si>
    <t>49 E ONTARIO</t>
  </si>
  <si>
    <t>50924984</t>
  </si>
  <si>
    <t>446 CENTRAL AVE</t>
  </si>
  <si>
    <t>10517308</t>
  </si>
  <si>
    <t>BOSTON BLACKIES/RIVERSIDE</t>
  </si>
  <si>
    <t>120 S. RIVERSIDE PLAZA</t>
  </si>
  <si>
    <t>60807104</t>
  </si>
  <si>
    <t>WALKER BROS. 6</t>
  </si>
  <si>
    <t>153 GREEN BAY ROAD</t>
  </si>
  <si>
    <t>51240893</t>
  </si>
  <si>
    <t>ASIAN CAJUN</t>
  </si>
  <si>
    <t>1322 CHICAGO AVE</t>
  </si>
  <si>
    <t>90901687</t>
  </si>
  <si>
    <t>CORFU FOODS</t>
  </si>
  <si>
    <t>755 THOMAS DRIVE</t>
  </si>
  <si>
    <t>986810</t>
  </si>
  <si>
    <t>AUTHENTICO</t>
  </si>
  <si>
    <t>770 N. WESTERN AVE</t>
  </si>
  <si>
    <t>71303762</t>
  </si>
  <si>
    <t>18TH STREET DISTILLERY</t>
  </si>
  <si>
    <t>5417 OAKLEY AVE STE 1</t>
  </si>
  <si>
    <t>61267761</t>
  </si>
  <si>
    <t>THE CHUBBY BULL FROG</t>
  </si>
  <si>
    <t>1494 SPRING HILL MALL</t>
  </si>
  <si>
    <t>61229522</t>
  </si>
  <si>
    <t>MORRIE O'MALLEY'S</t>
  </si>
  <si>
    <t>3501 S UNION AVENUE</t>
  </si>
  <si>
    <t>51253037</t>
  </si>
  <si>
    <t>EVERDINES</t>
  </si>
  <si>
    <t>24 W JEFFERSON AVE</t>
  </si>
  <si>
    <t>11052552</t>
  </si>
  <si>
    <t>DREAM OF FALAFEL</t>
  </si>
  <si>
    <t>122 W MONROE ST</t>
  </si>
  <si>
    <t>31304207</t>
  </si>
  <si>
    <t>PEAR CHEF</t>
  </si>
  <si>
    <t>3109 N BROADWAY ST</t>
  </si>
  <si>
    <t>61127304</t>
  </si>
  <si>
    <t>LA PARRILLA COLOMBIAN STE</t>
  </si>
  <si>
    <t>6427 W IRVING PARK RD</t>
  </si>
  <si>
    <t>50463819</t>
  </si>
  <si>
    <t>BENNIGANS HEADQUARTERS</t>
  </si>
  <si>
    <t>549 KENNEDY AVE</t>
  </si>
  <si>
    <t>20524310</t>
  </si>
  <si>
    <t>TOMMY GUN'S GARAGE, INC</t>
  </si>
  <si>
    <t>2114 S. WABASH AVE.</t>
  </si>
  <si>
    <t>71281422</t>
  </si>
  <si>
    <t>TAMO TACO</t>
  </si>
  <si>
    <t>2604 W LAWRENCE AVE</t>
  </si>
  <si>
    <t>71287098</t>
  </si>
  <si>
    <t>BEE BROTHERS</t>
  </si>
  <si>
    <t>472 N WEBER RD</t>
  </si>
  <si>
    <t>50900869</t>
  </si>
  <si>
    <t>ED N JOES RESTAURANT</t>
  </si>
  <si>
    <t>17332 S OAK PARK AVE</t>
  </si>
  <si>
    <t>40484800</t>
  </si>
  <si>
    <t>ARLINGTON TRACKSIDE</t>
  </si>
  <si>
    <t>EUCLID &amp; WILKE</t>
  </si>
  <si>
    <t>60006</t>
  </si>
  <si>
    <t>30483499</t>
  </si>
  <si>
    <t>ARMANDS **COLL**</t>
  </si>
  <si>
    <t>7400 W GRAND AVE</t>
  </si>
  <si>
    <t>90482282</t>
  </si>
  <si>
    <t>STONY RIVER STEAKHOUS</t>
  </si>
  <si>
    <t>20504 N RAND RD</t>
  </si>
  <si>
    <t>1166248</t>
  </si>
  <si>
    <t>D CANDELA</t>
  </si>
  <si>
    <t>4053 N KEDZIE AVE</t>
  </si>
  <si>
    <t>1165877</t>
  </si>
  <si>
    <t>PIGGYBACK BBQ MADISON</t>
  </si>
  <si>
    <t>500 W MADISON ST STE F015</t>
  </si>
  <si>
    <t>1041425</t>
  </si>
  <si>
    <t>ELEVEN CITY DINER</t>
  </si>
  <si>
    <t>1112 S. WABASH AVE</t>
  </si>
  <si>
    <t>955880</t>
  </si>
  <si>
    <t>*ZZ*BRONKO'S  PIZZIA</t>
  </si>
  <si>
    <t>1244 N MAIN</t>
  </si>
  <si>
    <t>40961179</t>
  </si>
  <si>
    <t>FRESH CAFE</t>
  </si>
  <si>
    <t>6170 GRAND AVE STE 331</t>
  </si>
  <si>
    <t>81048563</t>
  </si>
  <si>
    <t>ROSARIO'S</t>
  </si>
  <si>
    <t>8347 GRAND AVENUE</t>
  </si>
  <si>
    <t>91293860</t>
  </si>
  <si>
    <t>BOARD AND BARREL</t>
  </si>
  <si>
    <t>218 S WASHINGTON ST</t>
  </si>
  <si>
    <t>10551935</t>
  </si>
  <si>
    <t>THE EDGEWATER</t>
  </si>
  <si>
    <t>5600 N. ASHLAND AVE</t>
  </si>
  <si>
    <t>90887662</t>
  </si>
  <si>
    <t>BOBBIE'S DOCKSIDE GRILLE</t>
  </si>
  <si>
    <t>7038 N. CHICAGO RD.</t>
  </si>
  <si>
    <t>51339893</t>
  </si>
  <si>
    <t>GOVES LLC / TOMMY'S ON GR</t>
  </si>
  <si>
    <t>6001 W GRAND AVE</t>
  </si>
  <si>
    <t>490722</t>
  </si>
  <si>
    <t>LEGENDS MUSIC **COLL**</t>
  </si>
  <si>
    <t>7O1 W LAKE ST</t>
  </si>
  <si>
    <t>21038898</t>
  </si>
  <si>
    <t>OPA</t>
  </si>
  <si>
    <t>1 SOUTH 130 SUMMIT AVE</t>
  </si>
  <si>
    <t>91233346</t>
  </si>
  <si>
    <t>RICOCHET TACOS</t>
  </si>
  <si>
    <t>55 FRANKLIN ST</t>
  </si>
  <si>
    <t>1286954</t>
  </si>
  <si>
    <t>OLD TOWN PUB</t>
  </si>
  <si>
    <t>1339 N WELLS ST</t>
  </si>
  <si>
    <t>91322230</t>
  </si>
  <si>
    <t>IGNITE GAMING LOUNGE</t>
  </si>
  <si>
    <t>8125 SKOKIE BLVD</t>
  </si>
  <si>
    <t>41242124</t>
  </si>
  <si>
    <t>AU CHEVAL</t>
  </si>
  <si>
    <t>800 W RANDOLPH ST</t>
  </si>
  <si>
    <t>71098610</t>
  </si>
  <si>
    <t>MANCINI'S PIZZA &amp; PASTA</t>
  </si>
  <si>
    <t>1111 LAKE STREET</t>
  </si>
  <si>
    <t>41033853</t>
  </si>
  <si>
    <t>5 DE MAYO</t>
  </si>
  <si>
    <t>3223 N CLARK AVE</t>
  </si>
  <si>
    <t>41074451</t>
  </si>
  <si>
    <t>ERIKS DELI-DOWNERS GROVE</t>
  </si>
  <si>
    <t>1400 OPUS DRIVE</t>
  </si>
  <si>
    <t>81053597</t>
  </si>
  <si>
    <t>DADDIO'S DINER</t>
  </si>
  <si>
    <t>134 W. WILSON ST.</t>
  </si>
  <si>
    <t>10153112</t>
  </si>
  <si>
    <t>DISCOVERY ZONE/EVANSTON</t>
  </si>
  <si>
    <t>1934-38 DEMPSTER ST</t>
  </si>
  <si>
    <t>80344039</t>
  </si>
  <si>
    <t>2618 CENTRAL AVE</t>
  </si>
  <si>
    <t>90487414</t>
  </si>
  <si>
    <t>2914 N. CLARK ST.</t>
  </si>
  <si>
    <t>50177674</t>
  </si>
  <si>
    <t>JUNCTION CITY TRUCK STOP</t>
  </si>
  <si>
    <t>5636 N U.S.#20</t>
  </si>
  <si>
    <t>40654774</t>
  </si>
  <si>
    <t>JERSEYS PIZZA &amp; GRILL</t>
  </si>
  <si>
    <t>2360 LAKEWOOD BLVD</t>
  </si>
  <si>
    <t>90729468</t>
  </si>
  <si>
    <t>FIREPLACE INN</t>
  </si>
  <si>
    <t>1448 N WELLS ST</t>
  </si>
  <si>
    <t>90352071</t>
  </si>
  <si>
    <t>HORIZON BAY CORPORATE</t>
  </si>
  <si>
    <t>111 E WACKER DRIVE</t>
  </si>
  <si>
    <t>11306420</t>
  </si>
  <si>
    <t>TRICYCLE SUPPER CLUB</t>
  </si>
  <si>
    <t>1700 N DAMEN AVE</t>
  </si>
  <si>
    <t>81233306</t>
  </si>
  <si>
    <t>NO-1 CHINESE KITCHEN</t>
  </si>
  <si>
    <t>152 DEANNA DR</t>
  </si>
  <si>
    <t>60648854</t>
  </si>
  <si>
    <t>IN-LAWS</t>
  </si>
  <si>
    <t>1129998</t>
  </si>
  <si>
    <t>FRONT STREET CANTINA - WH</t>
  </si>
  <si>
    <t>112 N HALE ST</t>
  </si>
  <si>
    <t>40484602</t>
  </si>
  <si>
    <t>AURORA CC INC,</t>
  </si>
  <si>
    <t>1548 W PRAIRIE PO BOX 278</t>
  </si>
  <si>
    <t>60507</t>
  </si>
  <si>
    <t>11330651</t>
  </si>
  <si>
    <t>AT THE OFFICE</t>
  </si>
  <si>
    <t>4901 CAL SAG RD</t>
  </si>
  <si>
    <t>91327718</t>
  </si>
  <si>
    <t>GIA MIA-WHEATON</t>
  </si>
  <si>
    <t>106 N HALE ST</t>
  </si>
  <si>
    <t>90913625</t>
  </si>
  <si>
    <t>SAFFRON RESTAURANT</t>
  </si>
  <si>
    <t>602 W. WISE RD</t>
  </si>
  <si>
    <t>61240560</t>
  </si>
  <si>
    <t>EATS &amp; BEATS</t>
  </si>
  <si>
    <t>1554 FLEETWOOD DR</t>
  </si>
  <si>
    <t>80808389</t>
  </si>
  <si>
    <t>LA SEARINA</t>
  </si>
  <si>
    <t>1016 SHERIDAN RD</t>
  </si>
  <si>
    <t>685479</t>
  </si>
  <si>
    <t>GG'S CUISINE</t>
  </si>
  <si>
    <t>610 E IRVING PARK RD</t>
  </si>
  <si>
    <t>21142260</t>
  </si>
  <si>
    <t>CRIO BAR &amp; RESTAURANT</t>
  </si>
  <si>
    <t>2506 N CLYBOURN AVE</t>
  </si>
  <si>
    <t>71315600</t>
  </si>
  <si>
    <t>RIO'S - NEW BUFFALO</t>
  </si>
  <si>
    <t>901 W BUFFALO ST</t>
  </si>
  <si>
    <t>NEW BUFFALO</t>
  </si>
  <si>
    <t>49117</t>
  </si>
  <si>
    <t>90407180</t>
  </si>
  <si>
    <t>SEVEN REST.</t>
  </si>
  <si>
    <t>400 E RANDOLPH</t>
  </si>
  <si>
    <t>1306240</t>
  </si>
  <si>
    <t>FREDDIE'S - HALSTED</t>
  </si>
  <si>
    <t>7358 S HALSTED ST</t>
  </si>
  <si>
    <t>31333354</t>
  </si>
  <si>
    <t>BBQ SUPPLY COMPANY</t>
  </si>
  <si>
    <t>1301 E 53RD ST</t>
  </si>
  <si>
    <t>41317884</t>
  </si>
  <si>
    <t>JORDY &amp; JAX BBQ</t>
  </si>
  <si>
    <t>255 MORTHLAND DR</t>
  </si>
  <si>
    <t>70299524</t>
  </si>
  <si>
    <t>CHINA FACTORY**COLL**</t>
  </si>
  <si>
    <t>1050 BROADWAY  #36</t>
  </si>
  <si>
    <t>51279263</t>
  </si>
  <si>
    <t>WEST TOWN BAKERY OHIO</t>
  </si>
  <si>
    <t>15 E OHIO ST</t>
  </si>
  <si>
    <t>71325575</t>
  </si>
  <si>
    <t>OVERSTUFFED SKILLETS AND</t>
  </si>
  <si>
    <t>3309 45TH ST</t>
  </si>
  <si>
    <t>90515347</t>
  </si>
  <si>
    <t>MARC'S PLACE**COLL**</t>
  </si>
  <si>
    <t>14 N 720 RT 25</t>
  </si>
  <si>
    <t>21151436</t>
  </si>
  <si>
    <t>MAPLE AND ASH</t>
  </si>
  <si>
    <t>8 W MAPLE ST</t>
  </si>
  <si>
    <t>72413</t>
  </si>
  <si>
    <t>LOUIE'S</t>
  </si>
  <si>
    <t>920 LINCOLNWAY</t>
  </si>
  <si>
    <t>90960394</t>
  </si>
  <si>
    <t>BETWEEN THE BUNS</t>
  </si>
  <si>
    <t>6681 GRAND AVE SUITE A-1</t>
  </si>
  <si>
    <t>80483183</t>
  </si>
  <si>
    <t>OLIVE MOUNTAIN</t>
  </si>
  <si>
    <t>610 DAVIS ST</t>
  </si>
  <si>
    <t>81120792</t>
  </si>
  <si>
    <t>GYROS EXPRESS</t>
  </si>
  <si>
    <t>750 N ADDISON RD</t>
  </si>
  <si>
    <t>30034128</t>
  </si>
  <si>
    <t>ROUND THE CLOCK</t>
  </si>
  <si>
    <t>5815 BROADWAY</t>
  </si>
  <si>
    <t>90932443</t>
  </si>
  <si>
    <t>WICKETS BAR &amp; GRILL</t>
  </si>
  <si>
    <t>601 N MARTINGALE RD</t>
  </si>
  <si>
    <t>41250614</t>
  </si>
  <si>
    <t>THE REVEL ROOM</t>
  </si>
  <si>
    <t>1566 N MILWAUKEE AVE</t>
  </si>
  <si>
    <t>80311830</t>
  </si>
  <si>
    <t>OLIVE GARDEN #1434</t>
  </si>
  <si>
    <t>6828 N. WAR MEMORIAL DR</t>
  </si>
  <si>
    <t>50482371</t>
  </si>
  <si>
    <t>VITORIOS RISTORANTE</t>
  </si>
  <si>
    <t>504 CRESENT BLVD</t>
  </si>
  <si>
    <t>1344829</t>
  </si>
  <si>
    <t>815 CHOPHOUSE</t>
  </si>
  <si>
    <t>394 W VIRGINIA ST</t>
  </si>
  <si>
    <t>11131976</t>
  </si>
  <si>
    <t>WHITNEY STREET</t>
  </si>
  <si>
    <t>30 N WHITNEY ST</t>
  </si>
  <si>
    <t>11183282</t>
  </si>
  <si>
    <t>CABOOSE</t>
  </si>
  <si>
    <t>320 E HAWLEY</t>
  </si>
  <si>
    <t>274456</t>
  </si>
  <si>
    <t>MEDIEVAL TIMES</t>
  </si>
  <si>
    <t>2001 N ROSELLE</t>
  </si>
  <si>
    <t>61341285</t>
  </si>
  <si>
    <t>COARSE ITALIAN</t>
  </si>
  <si>
    <t>800 SHERMER RD</t>
  </si>
  <si>
    <t>70123989</t>
  </si>
  <si>
    <t>BILLY'S SPIRITED DINING</t>
  </si>
  <si>
    <t>13248 S 76TH AVE</t>
  </si>
  <si>
    <t>50318872</t>
  </si>
  <si>
    <t>POPEYES #2592**COLL**</t>
  </si>
  <si>
    <t>111 W 75TH ST</t>
  </si>
  <si>
    <t>10428662</t>
  </si>
  <si>
    <t>HILLERY'S BAR-B-Q**COLL**</t>
  </si>
  <si>
    <t>1617 14TH STREET</t>
  </si>
  <si>
    <t>71331862</t>
  </si>
  <si>
    <t>LA MEXICANA TAQUERIA</t>
  </si>
  <si>
    <t>815 W 35TH ST</t>
  </si>
  <si>
    <t>715391</t>
  </si>
  <si>
    <t>EL VENENO</t>
  </si>
  <si>
    <t>1590 BUSSE RD</t>
  </si>
  <si>
    <t>81223786</t>
  </si>
  <si>
    <t>HOUSE 406</t>
  </si>
  <si>
    <t>1143 1/2 CHURCH ST</t>
  </si>
  <si>
    <t>11226446</t>
  </si>
  <si>
    <t>MATTINA CAFE :)</t>
  </si>
  <si>
    <t>91281147</t>
  </si>
  <si>
    <t>SURGE BILLIARDS</t>
  </si>
  <si>
    <t>3241 W MONTROSE AVE</t>
  </si>
  <si>
    <t>31241680</t>
  </si>
  <si>
    <t>TRACY'S SOUTH ELGIN</t>
  </si>
  <si>
    <t>341 N MCLEAN BLVD</t>
  </si>
  <si>
    <t>90719642</t>
  </si>
  <si>
    <t>BEEF VILLA WEST</t>
  </si>
  <si>
    <t>1566 LARKIN AVE</t>
  </si>
  <si>
    <t>31340706</t>
  </si>
  <si>
    <t>SHORE CLUB</t>
  </si>
  <si>
    <t>1603 N LAKESHORE DR.</t>
  </si>
  <si>
    <t>90529587</t>
  </si>
  <si>
    <t>NORTON'S</t>
  </si>
  <si>
    <t>1905 SHERIDAN RD.</t>
  </si>
  <si>
    <t>20549994</t>
  </si>
  <si>
    <t>JEANNE'S  *COLL*</t>
  </si>
  <si>
    <t>234 W 31ST ST</t>
  </si>
  <si>
    <t>60576048</t>
  </si>
  <si>
    <t>ROYAL HAWK COUNTRY CLUB</t>
  </si>
  <si>
    <t>5N748 BURR ROAD</t>
  </si>
  <si>
    <t>60470077</t>
  </si>
  <si>
    <t>KIMS KITCHEN**COLL**</t>
  </si>
  <si>
    <t>815 NOYES STREET</t>
  </si>
  <si>
    <t>31330061</t>
  </si>
  <si>
    <t>PRINCE SWEETS &amp; BAKERY</t>
  </si>
  <si>
    <t>9068 S HARLEM AVE</t>
  </si>
  <si>
    <t>71311047</t>
  </si>
  <si>
    <t>INDULGE CAFE - WILBUR WRI</t>
  </si>
  <si>
    <t>WILBUR WRIGHT CC 4300 N.</t>
  </si>
  <si>
    <t>50903046</t>
  </si>
  <si>
    <t>CHELIO'S PUB/GENEVA :)</t>
  </si>
  <si>
    <t>1996 SOUTH KIRK ROAD</t>
  </si>
  <si>
    <t>1333780</t>
  </si>
  <si>
    <t>WELLS ON WELLS</t>
  </si>
  <si>
    <t>1617 N WELLS ST</t>
  </si>
  <si>
    <t>61334728</t>
  </si>
  <si>
    <t>345 N INDEPENDENCE BLVD</t>
  </si>
  <si>
    <t>90130709</t>
  </si>
  <si>
    <t>DISCOVERY ZONE / 87TH ST</t>
  </si>
  <si>
    <t>112 WEST 87TH ST</t>
  </si>
  <si>
    <t>1181296</t>
  </si>
  <si>
    <t>LUMES PANCAK ALGONQUIN</t>
  </si>
  <si>
    <t>2561 COUNTY LINE RD</t>
  </si>
  <si>
    <t>70595517</t>
  </si>
  <si>
    <t>BAR LOUIE - ORLAND PARK</t>
  </si>
  <si>
    <t>14335 S LA GRANGE ROAD</t>
  </si>
  <si>
    <t>71327894</t>
  </si>
  <si>
    <t>CINCO DE MAYO - PORTAGE</t>
  </si>
  <si>
    <t>3380 WILLOWCREEK RD</t>
  </si>
  <si>
    <t>11174968</t>
  </si>
  <si>
    <t>JOLANE'S RESTAURANT AND B</t>
  </si>
  <si>
    <t>1100 MILWAUKEE AVE</t>
  </si>
  <si>
    <t>31174816</t>
  </si>
  <si>
    <t>CHI TOWN DOGS</t>
  </si>
  <si>
    <t>541 AUBURN DR UNIT B</t>
  </si>
  <si>
    <t>50991678</t>
  </si>
  <si>
    <t>DAT DONUT/BBQ</t>
  </si>
  <si>
    <t>8249 S COTTAGE GROVE AVE</t>
  </si>
  <si>
    <t>61156295</t>
  </si>
  <si>
    <t>BELLA LUKES</t>
  </si>
  <si>
    <t>107 E STATE RD</t>
  </si>
  <si>
    <t>50954544</t>
  </si>
  <si>
    <t>TERRA</t>
  </si>
  <si>
    <t>2676 GREEN BAY RD</t>
  </si>
  <si>
    <t>70908090</t>
  </si>
  <si>
    <t>A MOTHER'S TOUCH</t>
  </si>
  <si>
    <t>8350 N.GREENWOOD AVE</t>
  </si>
  <si>
    <t>70960869</t>
  </si>
  <si>
    <t>CROWBAR BAR &amp; GRILL</t>
  </si>
  <si>
    <t>4001 EAST 106TH STREET</t>
  </si>
  <si>
    <t>60995263</t>
  </si>
  <si>
    <t>1754 W. BALMORAL</t>
  </si>
  <si>
    <t>11087947</t>
  </si>
  <si>
    <t>JIMBOO'S CATERING</t>
  </si>
  <si>
    <t>106 E. MARGARET STREET</t>
  </si>
  <si>
    <t>THORNTON</t>
  </si>
  <si>
    <t>61099024</t>
  </si>
  <si>
    <t>1725 W DIVISION STREET</t>
  </si>
  <si>
    <t>1341031</t>
  </si>
  <si>
    <t>BUTLERS STEAK HOUSE</t>
  </si>
  <si>
    <t>2000 W EUCLID AVE</t>
  </si>
  <si>
    <t>11332293</t>
  </si>
  <si>
    <t>COURT ST BURRITOS</t>
  </si>
  <si>
    <t>930 S COURT ST</t>
  </si>
  <si>
    <t>61233813</t>
  </si>
  <si>
    <t>PHLOUER</t>
  </si>
  <si>
    <t>1138 W BRYN MAWR AVE</t>
  </si>
  <si>
    <t>30053151</t>
  </si>
  <si>
    <t>STEAK ESCAPE THE</t>
  </si>
  <si>
    <t>4651 TONYAWIATHA TRAIL</t>
  </si>
  <si>
    <t>40681819</t>
  </si>
  <si>
    <t>1500 W. LAKE STREET</t>
  </si>
  <si>
    <t>91347088</t>
  </si>
  <si>
    <t>FIESTA GRILL</t>
  </si>
  <si>
    <t>5636 W ROOSEVELT RD</t>
  </si>
  <si>
    <t>20994703</t>
  </si>
  <si>
    <t>EVVIVA EATERY &amp; BAR</t>
  </si>
  <si>
    <t>1017 FRONT STREET</t>
  </si>
  <si>
    <t>60551934</t>
  </si>
  <si>
    <t>PALACE BILLIARDS, INC"</t>
  </si>
  <si>
    <t>160 W ROOSEVELT RD</t>
  </si>
  <si>
    <t>60035565</t>
  </si>
  <si>
    <t>Z Z DORMANT   NON-FOOD</t>
  </si>
  <si>
    <t>1904 S ELMHURST RD</t>
  </si>
  <si>
    <t>50030238</t>
  </si>
  <si>
    <t>PORTERS OYSTER***COLL***</t>
  </si>
  <si>
    <t>446 VIRGINIA</t>
  </si>
  <si>
    <t>81212086</t>
  </si>
  <si>
    <t>MILLHURST CHARHOUSE :)</t>
  </si>
  <si>
    <t>1901 S MEYERS RD</t>
  </si>
  <si>
    <t>71284517</t>
  </si>
  <si>
    <t>UNDERWRITERS LABORATORIES</t>
  </si>
  <si>
    <t>333 PFINGSTEN RD</t>
  </si>
  <si>
    <t>60791357</t>
  </si>
  <si>
    <t>VINTAGE LOUNGE</t>
  </si>
  <si>
    <t>1449 W. TAYLOR ST</t>
  </si>
  <si>
    <t>91257188</t>
  </si>
  <si>
    <t>KAISER TIGER</t>
  </si>
  <si>
    <t>1415 W RANDOLPH ST</t>
  </si>
  <si>
    <t>11118999</t>
  </si>
  <si>
    <t>HEL'S KITCH. DELI @ AAOS</t>
  </si>
  <si>
    <t>9450 W. HIGGINS ROAD</t>
  </si>
  <si>
    <t>41153206</t>
  </si>
  <si>
    <t>JOHNNY'S</t>
  </si>
  <si>
    <t>2545 N. KEDIZIE</t>
  </si>
  <si>
    <t>50685460</t>
  </si>
  <si>
    <t>GREEK VILLAGE TAVERNA</t>
  </si>
  <si>
    <t>795 E GOLF ROAD</t>
  </si>
  <si>
    <t>81146128</t>
  </si>
  <si>
    <t>THE CORNER HOUSE</t>
  </si>
  <si>
    <t>100 W. ST. CHARLES RD</t>
  </si>
  <si>
    <t>80903388</t>
  </si>
  <si>
    <t>NORTHMOOR COUNTRY CLUB</t>
  </si>
  <si>
    <t>820 EDGEWOOD ROAD</t>
  </si>
  <si>
    <t>71251540</t>
  </si>
  <si>
    <t>3112 N BROADWAY ST</t>
  </si>
  <si>
    <t>51286201</t>
  </si>
  <si>
    <t>SALSA VERDE- ST. CHARLES</t>
  </si>
  <si>
    <t>1850 LINCOLN HWY</t>
  </si>
  <si>
    <t>20569984</t>
  </si>
  <si>
    <t>CHESDANS PIZZERIA&amp;GRILL##</t>
  </si>
  <si>
    <t>15764 S. BELL ROAD</t>
  </si>
  <si>
    <t>1151513</t>
  </si>
  <si>
    <t>T.M. BASIL</t>
  </si>
  <si>
    <t>66 OAKBROOK CENTER</t>
  </si>
  <si>
    <t>30484646</t>
  </si>
  <si>
    <t>COBBLESTONE BAR &amp; GRI</t>
  </si>
  <si>
    <t>514 W PERSHING RD</t>
  </si>
  <si>
    <t>61275376</t>
  </si>
  <si>
    <t>ODIOUS ATELIER</t>
  </si>
  <si>
    <t>4410 N RAVENSWOOD AVE</t>
  </si>
  <si>
    <t>51035988</t>
  </si>
  <si>
    <t>Q RESTAURANT</t>
  </si>
  <si>
    <t>11379 W 159TH ST</t>
  </si>
  <si>
    <t>10318939</t>
  </si>
  <si>
    <t>CHICAGO HOT DOG #4101</t>
  </si>
  <si>
    <t>STRATFORD SQUARE MALL</t>
  </si>
  <si>
    <t>21237128</t>
  </si>
  <si>
    <t>THE CRACKED TRUCK</t>
  </si>
  <si>
    <t>1205 N HARRIS AVE</t>
  </si>
  <si>
    <t>90594763</t>
  </si>
  <si>
    <t>PERK CENTER CAFE</t>
  </si>
  <si>
    <t>2400 CHESTNUT AVE</t>
  </si>
  <si>
    <t>90462573</t>
  </si>
  <si>
    <t>BENNIGAN'S/ELK **COLL**</t>
  </si>
  <si>
    <t>3011 BELVEDERE ROAD</t>
  </si>
  <si>
    <t>ELKHART</t>
  </si>
  <si>
    <t>46514</t>
  </si>
  <si>
    <t>90412834</t>
  </si>
  <si>
    <t>EMMY'S PANCAKE HOUSE*COLL</t>
  </si>
  <si>
    <t>600 BLACKHAWK DRIVE</t>
  </si>
  <si>
    <t>71185177</t>
  </si>
  <si>
    <t>EL BARRIO RESTAURANT</t>
  </si>
  <si>
    <t>1122 DIAMOND LAKE ROAD</t>
  </si>
  <si>
    <t>30920821</t>
  </si>
  <si>
    <t>BENJAMIN</t>
  </si>
  <si>
    <t>1849 2ND STREET</t>
  </si>
  <si>
    <t>31078322</t>
  </si>
  <si>
    <t>PLAYA DEL SOL</t>
  </si>
  <si>
    <t>500  75TH ST</t>
  </si>
  <si>
    <t>31019557</t>
  </si>
  <si>
    <t>PERRYS PIZZA</t>
  </si>
  <si>
    <t>711 E. DEVON AVE.</t>
  </si>
  <si>
    <t>61026415</t>
  </si>
  <si>
    <t>BABY "O"</t>
  </si>
  <si>
    <t>17032-40 S HALSTED</t>
  </si>
  <si>
    <t>81049579</t>
  </si>
  <si>
    <t>CLARKS WICKER PARK</t>
  </si>
  <si>
    <t>1704 N DAMEN</t>
  </si>
  <si>
    <t>70484001</t>
  </si>
  <si>
    <t>LANTERN</t>
  </si>
  <si>
    <t>8 WEST CHICAGO AVE</t>
  </si>
  <si>
    <t>80033491</t>
  </si>
  <si>
    <t>THRESHOLD'S KING HSE</t>
  </si>
  <si>
    <t>9041 S EXCHANGE</t>
  </si>
  <si>
    <t>60699907</t>
  </si>
  <si>
    <t>NEW YORK SLICES</t>
  </si>
  <si>
    <t>1843 SECOND STREET</t>
  </si>
  <si>
    <t>60987609</t>
  </si>
  <si>
    <t>SOPHIE SPECIALITES</t>
  </si>
  <si>
    <t>359 S FRANKLIN SUITE B</t>
  </si>
  <si>
    <t>41290297</t>
  </si>
  <si>
    <t>SCRATCH ON LAKE</t>
  </si>
  <si>
    <t>733 LAKE ST</t>
  </si>
  <si>
    <t>90647843</t>
  </si>
  <si>
    <t>PASTA MIA</t>
  </si>
  <si>
    <t>116 BARTLETT PLAZA</t>
  </si>
  <si>
    <t>11337946</t>
  </si>
  <si>
    <t>BROWN BAG SEAFOOD RIVERSI</t>
  </si>
  <si>
    <t>150 N RIVERSIDE PLZ</t>
  </si>
  <si>
    <t>51059210</t>
  </si>
  <si>
    <t>ALADDIN MEDITERRANEAN GR</t>
  </si>
  <si>
    <t>1644 S.RANDALL RD.</t>
  </si>
  <si>
    <t>90830381</t>
  </si>
  <si>
    <t>MOE'S CANTINA-RIVER NORTH</t>
  </si>
  <si>
    <t>112  W. KINZIE</t>
  </si>
  <si>
    <t>91130260</t>
  </si>
  <si>
    <t>SPANGLISH</t>
  </si>
  <si>
    <t>555 S STATE ST</t>
  </si>
  <si>
    <t>30215255</t>
  </si>
  <si>
    <t>PALANZA PIZZA</t>
  </si>
  <si>
    <t>2437 WASHINGTON RD</t>
  </si>
  <si>
    <t>WASHINGTON</t>
  </si>
  <si>
    <t>61571</t>
  </si>
  <si>
    <t>90160755</t>
  </si>
  <si>
    <t>A STEP ABOVE COUNTRY CAFE</t>
  </si>
  <si>
    <t>317 E. MAIN ST.</t>
  </si>
  <si>
    <t>FORRESTON</t>
  </si>
  <si>
    <t>61030</t>
  </si>
  <si>
    <t>21197892</t>
  </si>
  <si>
    <t>HOLLEY'S RESTAURANT &amp;</t>
  </si>
  <si>
    <t>804 HALLECK</t>
  </si>
  <si>
    <t>21242862</t>
  </si>
  <si>
    <t>LA PLACITA TAQUERIA 2</t>
  </si>
  <si>
    <t>228 S STATE ST</t>
  </si>
  <si>
    <t>61341350</t>
  </si>
  <si>
    <t>OLIVE MEDITERRANEAN VAN B</t>
  </si>
  <si>
    <t>186 W VAN BUREN ST</t>
  </si>
  <si>
    <t>61294054</t>
  </si>
  <si>
    <t>RIBS AND SOUL  BBQ</t>
  </si>
  <si>
    <t>4844 183RD ST</t>
  </si>
  <si>
    <t>20484747</t>
  </si>
  <si>
    <t>PAPAS PIZZA PLACE**COLL**</t>
  </si>
  <si>
    <t>811 NERGE RD</t>
  </si>
  <si>
    <t>61346904</t>
  </si>
  <si>
    <t>CARDOZOS PUB</t>
  </si>
  <si>
    <t>170 W WASHINGTON AVE LOW</t>
  </si>
  <si>
    <t>30484596</t>
  </si>
  <si>
    <t>CHECKERS II**COLL**</t>
  </si>
  <si>
    <t>6524 MAIN ST</t>
  </si>
  <si>
    <t>90484742</t>
  </si>
  <si>
    <t>FLATLANDER MARKET</t>
  </si>
  <si>
    <t>125 S STATE STREET</t>
  </si>
  <si>
    <t>51080000</t>
  </si>
  <si>
    <t>BULLHEAD CANTINA</t>
  </si>
  <si>
    <t>1408 W MORSE</t>
  </si>
  <si>
    <t>41137837</t>
  </si>
  <si>
    <t>MARIGOLD MAISON INDIAN</t>
  </si>
  <si>
    <t>2535 WAUKEGAN RD.</t>
  </si>
  <si>
    <t>51171585</t>
  </si>
  <si>
    <t>ARROWHEAD ALES BREWING CO</t>
  </si>
  <si>
    <t>2101 CALISTOGA DR</t>
  </si>
  <si>
    <t>30552244</t>
  </si>
  <si>
    <t>AUGIES</t>
  </si>
  <si>
    <t>1721 W WRIGHTWOOD</t>
  </si>
  <si>
    <t>21286471</t>
  </si>
  <si>
    <t>CAFE STELIO'S CES</t>
  </si>
  <si>
    <t>7545 BROADWAY</t>
  </si>
  <si>
    <t>81333189</t>
  </si>
  <si>
    <t>BUDLONG LINCOLN SQUARE</t>
  </si>
  <si>
    <t>40393159</t>
  </si>
  <si>
    <t>1350 DIXIE HWY</t>
  </si>
  <si>
    <t>81055642</t>
  </si>
  <si>
    <t>MAMMA MARIA PIZZERIA</t>
  </si>
  <si>
    <t>438 S. YORK RD</t>
  </si>
  <si>
    <t>61344412</t>
  </si>
  <si>
    <t>FEDERALES</t>
  </si>
  <si>
    <t>180 N MORGAN ST</t>
  </si>
  <si>
    <t>31251747</t>
  </si>
  <si>
    <t>PALETTE</t>
  </si>
  <si>
    <t>1204 N STATE ST,</t>
  </si>
  <si>
    <t>70484233</t>
  </si>
  <si>
    <t>DAIRY QUEEN 15053</t>
  </si>
  <si>
    <t>101 W OAK KNOLL DR</t>
  </si>
  <si>
    <t>HAMPSHIRE</t>
  </si>
  <si>
    <t>30484752</t>
  </si>
  <si>
    <t>EXECUTIVE CONSTRUCTIO</t>
  </si>
  <si>
    <t>235 FENCL LANE</t>
  </si>
  <si>
    <t>30161897</t>
  </si>
  <si>
    <t>PIER MANAGEMENT CATERING</t>
  </si>
  <si>
    <t>90482142</t>
  </si>
  <si>
    <t>EGG HARBOR CAFE</t>
  </si>
  <si>
    <t>175 W JACKSON AVE</t>
  </si>
  <si>
    <t>60154101</t>
  </si>
  <si>
    <t>HIGHLAND MEDICAL CENTER</t>
  </si>
  <si>
    <t>9635 SARIC COURT</t>
  </si>
  <si>
    <t>97147</t>
  </si>
  <si>
    <t>DISCOVERY ZONE/NAPERVILLE</t>
  </si>
  <si>
    <t>1512 N NAPER BLVD</t>
  </si>
  <si>
    <t>50548171</t>
  </si>
  <si>
    <t>I.T.W.</t>
  </si>
  <si>
    <t>3600 WEST LAKE AVE</t>
  </si>
  <si>
    <t>60905585</t>
  </si>
  <si>
    <t>BEEFY'S</t>
  </si>
  <si>
    <t>5749 S. HARLEM AVENUE</t>
  </si>
  <si>
    <t>20995130</t>
  </si>
  <si>
    <t>CYPRUS COURT RESTAURANTS</t>
  </si>
  <si>
    <t>25812 GOVENORS HIGHWAY</t>
  </si>
  <si>
    <t>MONEE</t>
  </si>
  <si>
    <t>70213152</t>
  </si>
  <si>
    <t>UNIT CTR/LOCKERROOM</t>
  </si>
  <si>
    <t>5 S DAMEN AVE         A/L</t>
  </si>
  <si>
    <t>10262012</t>
  </si>
  <si>
    <t>NORTH BEACH**COLL**</t>
  </si>
  <si>
    <t>1211 BUTTERFIELD</t>
  </si>
  <si>
    <t>40402679</t>
  </si>
  <si>
    <t>SOPO</t>
  </si>
  <si>
    <t>3418 N. SOUTHPORT AVE</t>
  </si>
  <si>
    <t>60942034</t>
  </si>
  <si>
    <t>KERRY PIPER</t>
  </si>
  <si>
    <t>7900 JOLIET RD</t>
  </si>
  <si>
    <t>1249846</t>
  </si>
  <si>
    <t>THE BLACK SHEEP - ORLAND</t>
  </si>
  <si>
    <t>8888 W 159TH ST</t>
  </si>
  <si>
    <t>11331717</t>
  </si>
  <si>
    <t>ISLAND PARTY HUT</t>
  </si>
  <si>
    <t>355 E RIVERWALK</t>
  </si>
  <si>
    <t>651224</t>
  </si>
  <si>
    <t>CULTURAL CENTER CAFE</t>
  </si>
  <si>
    <t>77 E WASHINGTON</t>
  </si>
  <si>
    <t>20793402</t>
  </si>
  <si>
    <t>JAKE MORAN</t>
  </si>
  <si>
    <t>57 LAKE STREET</t>
  </si>
  <si>
    <t>1153667</t>
  </si>
  <si>
    <t>EL SOLAZO</t>
  </si>
  <si>
    <t>5600 S PULASKI RD</t>
  </si>
  <si>
    <t>81342289</t>
  </si>
  <si>
    <t>VALOR RESTAURANT GROUP LT</t>
  </si>
  <si>
    <t>667 VERNON AVE</t>
  </si>
  <si>
    <t>GLENCOE</t>
  </si>
  <si>
    <t>90984329</t>
  </si>
  <si>
    <t>VILLAGE SQUIRE CRYST LK</t>
  </si>
  <si>
    <t>4818 NORTHWEST HWY</t>
  </si>
  <si>
    <t>11328424</t>
  </si>
  <si>
    <t>ST CHARLES PLACE STEAK HO</t>
  </si>
  <si>
    <t>2550 E MAIN ST</t>
  </si>
  <si>
    <t>1136142</t>
  </si>
  <si>
    <t>HEL'S KITCHEN-LAKE BLUFF</t>
  </si>
  <si>
    <t>33 W WASHINGTON AVE</t>
  </si>
  <si>
    <t>20949939</t>
  </si>
  <si>
    <t>SUBURBANITE BOWL</t>
  </si>
  <si>
    <t>201 W. OGDEN AVENUE</t>
  </si>
  <si>
    <t>71201594</t>
  </si>
  <si>
    <t>401 S IRMEN DR</t>
  </si>
  <si>
    <t>81009607</t>
  </si>
  <si>
    <t>PLAYERS NOTE</t>
  </si>
  <si>
    <t>1855 DEERFIELD PARK</t>
  </si>
  <si>
    <t>61046678</t>
  </si>
  <si>
    <t>BISTRO CHEN</t>
  </si>
  <si>
    <t>10 E MINER STREET</t>
  </si>
  <si>
    <t>171157</t>
  </si>
  <si>
    <t>BAYOU KITCHEN EXPRESS</t>
  </si>
  <si>
    <t>8552 S STONEY ISLAND</t>
  </si>
  <si>
    <t>21115613</t>
  </si>
  <si>
    <t>TEN MILE HOUSE</t>
  </si>
  <si>
    <t>1700 CENTRAL ST</t>
  </si>
  <si>
    <t>21344056</t>
  </si>
  <si>
    <t>CONCRETE BAR</t>
  </si>
  <si>
    <t>90482241</t>
  </si>
  <si>
    <t>LOU MITCHELLS**COLL**</t>
  </si>
  <si>
    <t>LL DOCK T5 OHARE AIRPRT</t>
  </si>
  <si>
    <t>81045791</t>
  </si>
  <si>
    <t>SWEET LOU</t>
  </si>
  <si>
    <t>2913 S US HWY 421</t>
  </si>
  <si>
    <t>WESTVILLE</t>
  </si>
  <si>
    <t>21160254</t>
  </si>
  <si>
    <t>256 N OAK ST</t>
  </si>
  <si>
    <t>1100767</t>
  </si>
  <si>
    <t>345 INDEPENDENCE BLVD</t>
  </si>
  <si>
    <t>591727</t>
  </si>
  <si>
    <t>BROWN'S CHICKEN/PALOS HIL</t>
  </si>
  <si>
    <t>8831 W. 95TH STREET</t>
  </si>
  <si>
    <t>41260308</t>
  </si>
  <si>
    <t>NONNA SILIVIA'S</t>
  </si>
  <si>
    <t>1400 CANFIELD RD</t>
  </si>
  <si>
    <t>11293966</t>
  </si>
  <si>
    <t>MADISON'S PUB &amp; GRILL</t>
  </si>
  <si>
    <t>7611 S MADISON ST</t>
  </si>
  <si>
    <t>50482298</t>
  </si>
  <si>
    <t>NORTHWEST BIBLE BAPTI</t>
  </si>
  <si>
    <t>9N889 NESLER RD</t>
  </si>
  <si>
    <t>71252571</t>
  </si>
  <si>
    <t>BLACK IRON TAVERN</t>
  </si>
  <si>
    <t>401 N MILWAUKEE AVE</t>
  </si>
  <si>
    <t>11325362</t>
  </si>
  <si>
    <t>HUTCH LAKEVIEW</t>
  </si>
  <si>
    <t>3301 N CLARK ST</t>
  </si>
  <si>
    <t>90728197</t>
  </si>
  <si>
    <t>MONGOLIAN CHINA BUFFET</t>
  </si>
  <si>
    <t>154 N. MCHENRY ROAD</t>
  </si>
  <si>
    <t>91104075</t>
  </si>
  <si>
    <t>PAPA PACINO'S</t>
  </si>
  <si>
    <t>113 RAILROAD AVE</t>
  </si>
  <si>
    <t>60532496</t>
  </si>
  <si>
    <t>PETE MILLER SEAFOOD</t>
  </si>
  <si>
    <t>1385 MEACHAM RD.</t>
  </si>
  <si>
    <t>1214774</t>
  </si>
  <si>
    <t>FITZ'S IRISH BULLDOG</t>
  </si>
  <si>
    <t>314 ST. CHARLES RD</t>
  </si>
  <si>
    <t>70298872</t>
  </si>
  <si>
    <t>KOUTS KITCHEN INC*COLL**</t>
  </si>
  <si>
    <t>404 S MAIN ST</t>
  </si>
  <si>
    <t>1343243</t>
  </si>
  <si>
    <t>EL CANTARITO - LAPORTE</t>
  </si>
  <si>
    <t>41 PINE LAKE AVE</t>
  </si>
  <si>
    <t>51301497</t>
  </si>
  <si>
    <t>FAJITA FACTORY</t>
  </si>
  <si>
    <t>3445 N HALSTED ST</t>
  </si>
  <si>
    <t>90569252</t>
  </si>
  <si>
    <t>BAILEY'S WESMONT</t>
  </si>
  <si>
    <t>330 E OGDEN AVE</t>
  </si>
  <si>
    <t>11137734</t>
  </si>
  <si>
    <t>VENENO DE NAYARIT</t>
  </si>
  <si>
    <t>1024 N. ASHLAND</t>
  </si>
  <si>
    <t>41024258</t>
  </si>
  <si>
    <t>HALSTED ST DELI-LK FOREST</t>
  </si>
  <si>
    <t>100 S. SAUNDERS RD-ST 180</t>
  </si>
  <si>
    <t>80912546</t>
  </si>
  <si>
    <t>FOUNTAINHEAD</t>
  </si>
  <si>
    <t>1970 W.MONTROSE</t>
  </si>
  <si>
    <t>91214882</t>
  </si>
  <si>
    <t>SCOREBOARDS PUB AND GRI:)</t>
  </si>
  <si>
    <t>1100 DOUGLAS RD</t>
  </si>
  <si>
    <t>71280564</t>
  </si>
  <si>
    <t>18TH STREET BREWERY - GAR</t>
  </si>
  <si>
    <t>5725 MILLER AVE</t>
  </si>
  <si>
    <t>524405</t>
  </si>
  <si>
    <t>PIPER'S GRILL **COLL**</t>
  </si>
  <si>
    <t>1409 S. EASTWOOD DR.</t>
  </si>
  <si>
    <t>60484011</t>
  </si>
  <si>
    <t>CAFE ARI ,</t>
  </si>
  <si>
    <t>980 HARLEM AVE</t>
  </si>
  <si>
    <t>60595238</t>
  </si>
  <si>
    <t>DIMITRI'S</t>
  </si>
  <si>
    <t>660 LAKE COOK ROAD</t>
  </si>
  <si>
    <t>80478266</t>
  </si>
  <si>
    <t>MAGOS COFFEE</t>
  </si>
  <si>
    <t>1404 S. BUTTERFIELD RD.</t>
  </si>
  <si>
    <t>71321681</t>
  </si>
  <si>
    <t>POLISH PACZKI CAFE</t>
  </si>
  <si>
    <t>7210 W FOSTER AVE</t>
  </si>
  <si>
    <t>31278310</t>
  </si>
  <si>
    <t>HOPPY PIG</t>
  </si>
  <si>
    <t>135 N KINZIE AVE</t>
  </si>
  <si>
    <t>40916645</t>
  </si>
  <si>
    <t>DRINK #400</t>
  </si>
  <si>
    <t>871 E. ALGONQUIN ROAD</t>
  </si>
  <si>
    <t>41232042</t>
  </si>
  <si>
    <t>MOM'S PLACE - A CHICAGO G</t>
  </si>
  <si>
    <t>650 N DEARBORN ST</t>
  </si>
  <si>
    <t>91235499</t>
  </si>
  <si>
    <t>HOLY TACO</t>
  </si>
  <si>
    <t>953 W WEBSTER AVE</t>
  </si>
  <si>
    <t>51347250</t>
  </si>
  <si>
    <t>DOCKS ON MONTROSE</t>
  </si>
  <si>
    <t>200 W MONROE ST</t>
  </si>
  <si>
    <t>51347086</t>
  </si>
  <si>
    <t>SALSA STREET PALATINE</t>
  </si>
  <si>
    <t>1540 N RAND RD</t>
  </si>
  <si>
    <t>41100199</t>
  </si>
  <si>
    <t>YIA YIA'S HINSDALE :)</t>
  </si>
  <si>
    <t>13 GRANT SQUARE</t>
  </si>
  <si>
    <t>81212433</t>
  </si>
  <si>
    <t>VICTORY TAP SOUTH LOOP</t>
  </si>
  <si>
    <t>1416 S MICHIGAN AVE</t>
  </si>
  <si>
    <t>21278924</t>
  </si>
  <si>
    <t>CILANTRO - STONE PARK</t>
  </si>
  <si>
    <t>1500 N MANNHEIM RD</t>
  </si>
  <si>
    <t>STONE PARK</t>
  </si>
  <si>
    <t>60165</t>
  </si>
  <si>
    <t>70611827</t>
  </si>
  <si>
    <t>CHRISNIK, INC.</t>
  </si>
  <si>
    <t>4242 NORTH WESTERN</t>
  </si>
  <si>
    <t>30517320</t>
  </si>
  <si>
    <t>BOSTON BLACKIES/GLENCOE</t>
  </si>
  <si>
    <t>73 GREENBAY ROAD</t>
  </si>
  <si>
    <t>41309949</t>
  </si>
  <si>
    <t>DOS SABORES</t>
  </si>
  <si>
    <t>1510 119TH ST</t>
  </si>
  <si>
    <t>91278812</t>
  </si>
  <si>
    <t>MAISON MARCEL</t>
  </si>
  <si>
    <t>3114 N BROADWAY ST</t>
  </si>
  <si>
    <t>90906488</t>
  </si>
  <si>
    <t>DRY DOCK INN</t>
  </si>
  <si>
    <t>1125 N. FRONTAGE ROAD</t>
  </si>
  <si>
    <t>91086652</t>
  </si>
  <si>
    <t>OFF THE RAILS</t>
  </si>
  <si>
    <t>228 MAIN ST</t>
  </si>
  <si>
    <t>30390744</t>
  </si>
  <si>
    <t>THREE SONS REST</t>
  </si>
  <si>
    <t>6200 W ARCHER AVE</t>
  </si>
  <si>
    <t>80390784</t>
  </si>
  <si>
    <t>WATERFRONT PUB</t>
  </si>
  <si>
    <t>14042 CROISSANT DR.</t>
  </si>
  <si>
    <t>BURNHAM</t>
  </si>
  <si>
    <t>80988629</t>
  </si>
  <si>
    <t>AIRPORT SHELL</t>
  </si>
  <si>
    <t>3411 DELANY RD</t>
  </si>
  <si>
    <t>70484647</t>
  </si>
  <si>
    <t>BISTRO 110</t>
  </si>
  <si>
    <t>110 E PEARSON ST</t>
  </si>
  <si>
    <t>50973544</t>
  </si>
  <si>
    <t>RANDALL ROAD HOUSE</t>
  </si>
  <si>
    <t>2267 RANDALL ROAD</t>
  </si>
  <si>
    <t>31109655</t>
  </si>
  <si>
    <t>JAMESON'S CHARHOUSE CR LK</t>
  </si>
  <si>
    <t>5016 NORTHWEST HIGHWAY</t>
  </si>
  <si>
    <t>60522646</t>
  </si>
  <si>
    <t>EMMY'S PANCAKE**COLL**</t>
  </si>
  <si>
    <t>80791817</t>
  </si>
  <si>
    <t>LOVELY A BAKE SHOP</t>
  </si>
  <si>
    <t>1130 N. MILWAUKEE AVE</t>
  </si>
  <si>
    <t>90888306</t>
  </si>
  <si>
    <t>OFF BROADWAY PUB</t>
  </si>
  <si>
    <t>9048 MONROE</t>
  </si>
  <si>
    <t>40464182</t>
  </si>
  <si>
    <t>CHICAGO FOOD CTS **COLL**</t>
  </si>
  <si>
    <t>1000 W. 35TH STREET</t>
  </si>
  <si>
    <t>60483583</t>
  </si>
  <si>
    <t>JOHNSON PUBLISHING**COLL*</t>
  </si>
  <si>
    <t>820 SO MICHIGAN AVE</t>
  </si>
  <si>
    <t>11035367</t>
  </si>
  <si>
    <t>FINE'S</t>
  </si>
  <si>
    <t>147 N. MILWAUKEE</t>
  </si>
  <si>
    <t>70498118</t>
  </si>
  <si>
    <t>111 TOWNE CENTER LANE</t>
  </si>
  <si>
    <t>20432266</t>
  </si>
  <si>
    <t>2040 45TH STREET</t>
  </si>
  <si>
    <t>90313321</t>
  </si>
  <si>
    <t>WHEELING PARK DISTRICT</t>
  </si>
  <si>
    <t>333 W. DUNDEE</t>
  </si>
  <si>
    <t>90590530</t>
  </si>
  <si>
    <t>ABSOLUTELY DELICIOUS</t>
  </si>
  <si>
    <t>18 N. CASS AVE</t>
  </si>
  <si>
    <t>10482982</t>
  </si>
  <si>
    <t>LIMA FOOD PRODUCTS*COLL*</t>
  </si>
  <si>
    <t>159 N CARPENTER ST</t>
  </si>
  <si>
    <t>21087143</t>
  </si>
  <si>
    <t>BELLA VISTA @ THE EDGE</t>
  </si>
  <si>
    <t>735 W. JEFFERSON</t>
  </si>
  <si>
    <t>21276472</t>
  </si>
  <si>
    <t>ROBERTI CULINARY HOUSE</t>
  </si>
  <si>
    <t>71140362</t>
  </si>
  <si>
    <t>B&amp;J AMERICAN CAFE</t>
  </si>
  <si>
    <t>41247271</t>
  </si>
  <si>
    <t>CLARK'S ROGERS PARK</t>
  </si>
  <si>
    <t>6431 N SHERIDAN RD</t>
  </si>
  <si>
    <t>91299677</t>
  </si>
  <si>
    <t>CREEKSIDE BAR AND GRILL</t>
  </si>
  <si>
    <t>3015 E MICHIGAN BLVD</t>
  </si>
  <si>
    <t>TRAIL CREEK</t>
  </si>
  <si>
    <t>30616668</t>
  </si>
  <si>
    <t>PESTO RISTORANTE**COLL**</t>
  </si>
  <si>
    <t>31 WEST NEW YORK ST</t>
  </si>
  <si>
    <t>40390692</t>
  </si>
  <si>
    <t>PICOLA JORDAN</t>
  </si>
  <si>
    <t>8958 S. HAMILTON</t>
  </si>
  <si>
    <t>91156166</t>
  </si>
  <si>
    <t>QUONSET PIZZA</t>
  </si>
  <si>
    <t>2602 GRAND AVE</t>
  </si>
  <si>
    <t>51040780</t>
  </si>
  <si>
    <t>ELEVEN LINCOLN PARK</t>
  </si>
  <si>
    <t>2301 N CLARK ST</t>
  </si>
  <si>
    <t>11325446</t>
  </si>
  <si>
    <t>BUREAU BAR &amp; RESTAURANT</t>
  </si>
  <si>
    <t>724 W MAXWELL ST</t>
  </si>
  <si>
    <t>70600424</t>
  </si>
  <si>
    <t>9 MUSES BAR &amp; GRILL</t>
  </si>
  <si>
    <t>315 S. HALSTED</t>
  </si>
  <si>
    <t>41246976</t>
  </si>
  <si>
    <t>THE RADLER</t>
  </si>
  <si>
    <t>2375 N MILWAUKEE AVE</t>
  </si>
  <si>
    <t>1250323</t>
  </si>
  <si>
    <t>WOK IT OUT</t>
  </si>
  <si>
    <t>4010 BOARDMAN CANFIELD RD</t>
  </si>
  <si>
    <t>CANFIELD</t>
  </si>
  <si>
    <t>OH</t>
  </si>
  <si>
    <t>44406</t>
  </si>
  <si>
    <t>10483337</t>
  </si>
  <si>
    <t>JACKYS BISTRO **COLL**</t>
  </si>
  <si>
    <t>2545 PRARIE AVE</t>
  </si>
  <si>
    <t>21215116</t>
  </si>
  <si>
    <t>PRASINO</t>
  </si>
  <si>
    <t>93 S LA GRANGE RD</t>
  </si>
  <si>
    <t>629683</t>
  </si>
  <si>
    <t>EVENTASTIK ***COLL***</t>
  </si>
  <si>
    <t>185 N EDISON AVE</t>
  </si>
  <si>
    <t>50702596</t>
  </si>
  <si>
    <t>THE LEAF</t>
  </si>
  <si>
    <t>2275 HALF DAY ROAD</t>
  </si>
  <si>
    <t>80812704</t>
  </si>
  <si>
    <t>GATORS PUB &amp; GRILL</t>
  </si>
  <si>
    <t>1719 RAND ROAD</t>
  </si>
  <si>
    <t>10943637</t>
  </si>
  <si>
    <t>ZAZA'S TRATTORIA</t>
  </si>
  <si>
    <t>441 W OGDEN AVE</t>
  </si>
  <si>
    <t>90925181</t>
  </si>
  <si>
    <t>TASTEE CORNER CAFE</t>
  </si>
  <si>
    <t>3207 S. OAK PARK AVE</t>
  </si>
  <si>
    <t>90491309</t>
  </si>
  <si>
    <t>ZIPPY'S PIZZA</t>
  </si>
  <si>
    <t>90 N. BARRINGTON RD.</t>
  </si>
  <si>
    <t>61294690</t>
  </si>
  <si>
    <t>NAANSENSE CATERING</t>
  </si>
  <si>
    <t>91333187</t>
  </si>
  <si>
    <t>BUDLONG NORTHWESTERN</t>
  </si>
  <si>
    <t>1999 CAMPUS DR</t>
  </si>
  <si>
    <t>51284479</t>
  </si>
  <si>
    <t>ACE HARDWARE CAFE</t>
  </si>
  <si>
    <t>2200 KENSINGTON CT</t>
  </si>
  <si>
    <t>91082487</t>
  </si>
  <si>
    <t>CORNER BISTRO</t>
  </si>
  <si>
    <t>1256 US 30 SUITE B</t>
  </si>
  <si>
    <t>91049577</t>
  </si>
  <si>
    <t>CLARKS WRIGLEYVILLE</t>
  </si>
  <si>
    <t>930 W BELMONT AVE</t>
  </si>
  <si>
    <t>11324548</t>
  </si>
  <si>
    <t>THE PLEASANT HOUSE PUB</t>
  </si>
  <si>
    <t>2119 S HALSTED ST</t>
  </si>
  <si>
    <t>61195954</t>
  </si>
  <si>
    <t>R-BAR &amp; GRILL</t>
  </si>
  <si>
    <t>9521 INDIANAPOLIS BLVD</t>
  </si>
  <si>
    <t>40491078</t>
  </si>
  <si>
    <t>ITALIAN GOURMET**COLL**</t>
  </si>
  <si>
    <t>1324 E. ALGONQUIN RD.</t>
  </si>
  <si>
    <t>61325734</t>
  </si>
  <si>
    <t>SULLY'S HOUSE</t>
  </si>
  <si>
    <t>1501 N DAYTON ST</t>
  </si>
  <si>
    <t>81021362</t>
  </si>
  <si>
    <t>SHEDD AQUARIUM</t>
  </si>
  <si>
    <t>1200 SOUTH LAKE SHORE DR</t>
  </si>
  <si>
    <t>40483653</t>
  </si>
  <si>
    <t>SHREEJIS FLAVORS OF I</t>
  </si>
  <si>
    <t>5101 WASHINGTON ST # 3</t>
  </si>
  <si>
    <t>80748908</t>
  </si>
  <si>
    <t>MOTHERS #3**COLL**</t>
  </si>
  <si>
    <t>149 E NORTH AVE</t>
  </si>
  <si>
    <t>81140006</t>
  </si>
  <si>
    <t>PAPPYS</t>
  </si>
  <si>
    <t>3301 W 95TH ST</t>
  </si>
  <si>
    <t>EVERGREEN PARK</t>
  </si>
  <si>
    <t>61144515</t>
  </si>
  <si>
    <t>POMP &amp; CIRCUMSTANCE</t>
  </si>
  <si>
    <t>1400 N WELLS ST</t>
  </si>
  <si>
    <t>61339008</t>
  </si>
  <si>
    <t>ALICE &amp; FRIENDS VEGAN KIT</t>
  </si>
  <si>
    <t>5812 N BROADWAY ST</t>
  </si>
  <si>
    <t>80473556</t>
  </si>
  <si>
    <t>PAULEE'S PIZZA EAST</t>
  </si>
  <si>
    <t>103 WEST RAND</t>
  </si>
  <si>
    <t>LAKEMOOR</t>
  </si>
  <si>
    <t>21114376</t>
  </si>
  <si>
    <t>THE ATLANTIC BAR &amp; GRILL</t>
  </si>
  <si>
    <t>5062 N LINCOLN AVE</t>
  </si>
  <si>
    <t>91268474</t>
  </si>
  <si>
    <t>BOSS BAR</t>
  </si>
  <si>
    <t>420 N CLARK ST</t>
  </si>
  <si>
    <t>10614410</t>
  </si>
  <si>
    <t>PEPE'S TINLEY PARK</t>
  </si>
  <si>
    <t>6911 W.159TH ST.</t>
  </si>
  <si>
    <t>90747247</t>
  </si>
  <si>
    <t>JULLIANNI'S</t>
  </si>
  <si>
    <t>7239 W. COLLEGE DRIVE</t>
  </si>
  <si>
    <t>71274021</t>
  </si>
  <si>
    <t>TAVERN ON MAIN</t>
  </si>
  <si>
    <t>136 S MAIN ST</t>
  </si>
  <si>
    <t>60030541</t>
  </si>
  <si>
    <t>PEPE'S ****COLL****</t>
  </si>
  <si>
    <t>5153 NEW WILKE RD</t>
  </si>
  <si>
    <t>10702660</t>
  </si>
  <si>
    <t>PRAIRIE BREAD KITCHEN</t>
  </si>
  <si>
    <t>103 N MARION ST</t>
  </si>
  <si>
    <t>20436176</t>
  </si>
  <si>
    <t>THE MOJO GRILL**COLL*</t>
  </si>
  <si>
    <t>260 HAWTHORNE VILL. COMM.</t>
  </si>
  <si>
    <t>90552217</t>
  </si>
  <si>
    <t>TAQUERIA LOS COMLS AURORA</t>
  </si>
  <si>
    <t>830 N FARNSWORTH AVENUE</t>
  </si>
  <si>
    <t>30683205</t>
  </si>
  <si>
    <t>SQUABS</t>
  </si>
  <si>
    <t>2348 MANNHEIM RD</t>
  </si>
  <si>
    <t>41305673</t>
  </si>
  <si>
    <t>NORTH AMERICAN CONCESSION</t>
  </si>
  <si>
    <t>5559-3 S ARCHER AVE</t>
  </si>
  <si>
    <t>1310374</t>
  </si>
  <si>
    <t>MARTONY'S</t>
  </si>
  <si>
    <t>104 S MAIN ST</t>
  </si>
  <si>
    <t>994707</t>
  </si>
  <si>
    <t>AURELIO'S PIZZA</t>
  </si>
  <si>
    <t>14421 WALLIN DRIVE</t>
  </si>
  <si>
    <t>31296437</t>
  </si>
  <si>
    <t>RED LION PUB</t>
  </si>
  <si>
    <t>2446 N LINCOLN AVE</t>
  </si>
  <si>
    <t>41278326</t>
  </si>
  <si>
    <t>PORTSMITH(DANA HOTEL)</t>
  </si>
  <si>
    <t>660 N STATE ST</t>
  </si>
  <si>
    <t>71218549</t>
  </si>
  <si>
    <t>STONEY POINT</t>
  </si>
  <si>
    <t>19031 OLD LAGRANGE RD</t>
  </si>
  <si>
    <t>81333544</t>
  </si>
  <si>
    <t>SOUTHERN CAFE ROSELLE</t>
  </si>
  <si>
    <t>511 N ROSELLE RD</t>
  </si>
  <si>
    <t>20462412</t>
  </si>
  <si>
    <t>T.C.A. CORPORATE</t>
  </si>
  <si>
    <t>24601 CENTER RIDGE ROAD</t>
  </si>
  <si>
    <t>WESTLAKE</t>
  </si>
  <si>
    <t>44145</t>
  </si>
  <si>
    <t>90648759</t>
  </si>
  <si>
    <t>VIBE AT 1935 **COLL**</t>
  </si>
  <si>
    <t>1935 SHERIDAN RD</t>
  </si>
  <si>
    <t>11231826</t>
  </si>
  <si>
    <t>PRIMAL CUT STEAKHOUSE</t>
  </si>
  <si>
    <t>21307509</t>
  </si>
  <si>
    <t>ISLAND SHRIMP HOUSE</t>
  </si>
  <si>
    <t>12902 S LA GRANGE RD</t>
  </si>
  <si>
    <t>PALOS PARK</t>
  </si>
  <si>
    <t>91330308</t>
  </si>
  <si>
    <t>CITY WORKS SCHAUMBURG</t>
  </si>
  <si>
    <t>1850 E GOLF RD</t>
  </si>
  <si>
    <t>41329319</t>
  </si>
  <si>
    <t>CHRISTOS FAMILY DINING</t>
  </si>
  <si>
    <t>1951 S HEATON ST</t>
  </si>
  <si>
    <t>KNOX</t>
  </si>
  <si>
    <t>71164826</t>
  </si>
  <si>
    <t>BANGER'S &amp; LACE CHICAGO</t>
  </si>
  <si>
    <t>1670 W DIVISION ST</t>
  </si>
  <si>
    <t>954701</t>
  </si>
  <si>
    <t>MATHER CAFE</t>
  </si>
  <si>
    <t>3235 N CENTRAL AVE</t>
  </si>
  <si>
    <t>80470776</t>
  </si>
  <si>
    <t>AMF CIRCLE LANES    00158</t>
  </si>
  <si>
    <t>1225 HOLIDAY DRIVE</t>
  </si>
  <si>
    <t>61704</t>
  </si>
  <si>
    <t>90955618</t>
  </si>
  <si>
    <t>BURGER BAR CHICAGO</t>
  </si>
  <si>
    <t>1578 N CLYBOURN</t>
  </si>
  <si>
    <t>70488796</t>
  </si>
  <si>
    <t>GOLDEN CHINA BUFFET  CS</t>
  </si>
  <si>
    <t>802 ARMY TRAIL ROAD</t>
  </si>
  <si>
    <t>31253602</t>
  </si>
  <si>
    <t>ERIS BREWERY &amp; CIDER HSE</t>
  </si>
  <si>
    <t>4240 W IRVING PARK RD</t>
  </si>
  <si>
    <t>81177875</t>
  </si>
  <si>
    <t>ADDANTE'S PIZZERIA &amp; CATE</t>
  </si>
  <si>
    <t>2221 GARY AVE</t>
  </si>
  <si>
    <t>90482308</t>
  </si>
  <si>
    <t>BAKE'S</t>
  </si>
  <si>
    <t>33251 N HWY 45</t>
  </si>
  <si>
    <t>WILDWOOD</t>
  </si>
  <si>
    <t>21244975</t>
  </si>
  <si>
    <t>UPROOTED</t>
  </si>
  <si>
    <t>2816 W IL RT120</t>
  </si>
  <si>
    <t>523753</t>
  </si>
  <si>
    <t>SALT CREEK BBQ</t>
  </si>
  <si>
    <t>220 N. RANDALL</t>
  </si>
  <si>
    <t>41081688</t>
  </si>
  <si>
    <t>MAPLE N JAMS CAFE</t>
  </si>
  <si>
    <t>6814 W 87TH</t>
  </si>
  <si>
    <t>91081794</t>
  </si>
  <si>
    <t>ICHIBAN BUFFET</t>
  </si>
  <si>
    <t>8780 W DEMPSTER ST</t>
  </si>
  <si>
    <t>80501166</t>
  </si>
  <si>
    <t>RIVER BEND ***COLL***</t>
  </si>
  <si>
    <t>6614 S RAWSON BRIDGE</t>
  </si>
  <si>
    <t>31319098</t>
  </si>
  <si>
    <t>BROTHER'S RIBS PALATINE</t>
  </si>
  <si>
    <t>758 W EUCLID AVE</t>
  </si>
  <si>
    <t>31211907</t>
  </si>
  <si>
    <t>BIGGS MANSION XX</t>
  </si>
  <si>
    <t>1150 N DEARBORN ST</t>
  </si>
  <si>
    <t>81269524</t>
  </si>
  <si>
    <t>MANGY DAWG'S BAR</t>
  </si>
  <si>
    <t>1832 W ARMY TRAIL RD</t>
  </si>
  <si>
    <t>30119754</t>
  </si>
  <si>
    <t>620 S MAIN ST</t>
  </si>
  <si>
    <t>CREVE COEUR</t>
  </si>
  <si>
    <t>81267130</t>
  </si>
  <si>
    <t>ON THE FLY</t>
  </si>
  <si>
    <t>1229 N NORTH BRANCH ST #</t>
  </si>
  <si>
    <t>21295506</t>
  </si>
  <si>
    <t>BRICKS OAK PARK</t>
  </si>
  <si>
    <t>128 N OAK PARK AVE</t>
  </si>
  <si>
    <t>71141832</t>
  </si>
  <si>
    <t>DUNAGAINS IRISH PUB</t>
  </si>
  <si>
    <t>90 S. ORCHARD DR</t>
  </si>
  <si>
    <t>PARK FOREST</t>
  </si>
  <si>
    <t>11291499</t>
  </si>
  <si>
    <t>HR LIQUORS</t>
  </si>
  <si>
    <t>212 N CANAL ST</t>
  </si>
  <si>
    <t>71100754</t>
  </si>
  <si>
    <t>CAFFE OLIVA</t>
  </si>
  <si>
    <t>550 E GRAND</t>
  </si>
  <si>
    <t>11226149</t>
  </si>
  <si>
    <t>TRIO RESTAURANT &amp; BANQU:)</t>
  </si>
  <si>
    <t>980 75TH ST</t>
  </si>
  <si>
    <t>11252558</t>
  </si>
  <si>
    <t>CHEESIE'S LAKEVIEW</t>
  </si>
  <si>
    <t>958 W BELMONT AVE</t>
  </si>
  <si>
    <t>11345071</t>
  </si>
  <si>
    <t>FOODA MAIN CAFE AT RUSH</t>
  </si>
  <si>
    <t>500 S PAULINA ST</t>
  </si>
  <si>
    <t>40479032</t>
  </si>
  <si>
    <t>MEADOWS CAFE</t>
  </si>
  <si>
    <t>2550 GOLF RD</t>
  </si>
  <si>
    <t>60954583</t>
  </si>
  <si>
    <t>SHORELINE BREWERY</t>
  </si>
  <si>
    <t>208 WABASH</t>
  </si>
  <si>
    <t>60554243</t>
  </si>
  <si>
    <t>COURTSIDE VIEW REST*COLL*</t>
  </si>
  <si>
    <t>14 S. MAIN STREET</t>
  </si>
  <si>
    <t>21218896</t>
  </si>
  <si>
    <t>WHEAT STACK/LISLE</t>
  </si>
  <si>
    <t>5900 STATE ROUTE 53</t>
  </si>
  <si>
    <t>51218220</t>
  </si>
  <si>
    <t>FLIP</t>
  </si>
  <si>
    <t>1141 N ASHLAND AVE</t>
  </si>
  <si>
    <t>40697039</t>
  </si>
  <si>
    <t>VITALITY FOODSERVICE INC</t>
  </si>
  <si>
    <t>1821 S. KILBOURN</t>
  </si>
  <si>
    <t>30767016</t>
  </si>
  <si>
    <t>BILL W. PIZZERIA</t>
  </si>
  <si>
    <t>800 SUPREME</t>
  </si>
  <si>
    <t>70963251</t>
  </si>
  <si>
    <t>JJ FISH &amp; CHICKEN</t>
  </si>
  <si>
    <t>4200 RT 173</t>
  </si>
  <si>
    <t>20108940</t>
  </si>
  <si>
    <t>DISCOVERY ZONE RDGLND</t>
  </si>
  <si>
    <t>9950 S RIDGELAND</t>
  </si>
  <si>
    <t>90481631</t>
  </si>
  <si>
    <t>SAMMIES</t>
  </si>
  <si>
    <t>215 W. ROLLINS ROAD</t>
  </si>
  <si>
    <t>80491301</t>
  </si>
  <si>
    <t>ZIPPY'S INC.</t>
  </si>
  <si>
    <t>830 N. ROSELLE RD.</t>
  </si>
  <si>
    <t>31251077</t>
  </si>
  <si>
    <t>FIORA'S - GENEVA</t>
  </si>
  <si>
    <t>317 S 3RD ST</t>
  </si>
  <si>
    <t>40618340</t>
  </si>
  <si>
    <t>TANGO SUR #2</t>
  </si>
  <si>
    <t>2100 W DIVISION</t>
  </si>
  <si>
    <t>80443690</t>
  </si>
  <si>
    <t>ALGONQUIN ROADHOUSE</t>
  </si>
  <si>
    <t>440 W. ALGONQUIN ROAD</t>
  </si>
  <si>
    <t>31166093</t>
  </si>
  <si>
    <t>TONY &amp; BRUNO</t>
  </si>
  <si>
    <t>2284 NORTHBROOK CT</t>
  </si>
  <si>
    <t>31346190</t>
  </si>
  <si>
    <t>HAPPY BITES BURGER</t>
  </si>
  <si>
    <t>8021 183RD ST</t>
  </si>
  <si>
    <t>30697007</t>
  </si>
  <si>
    <t>TACOS EL NORTE/LIBERTYVIL</t>
  </si>
  <si>
    <t>1590 S. MILWAUKEE AVE</t>
  </si>
  <si>
    <t>50114222</t>
  </si>
  <si>
    <t>ANGELO'S REST</t>
  </si>
  <si>
    <t>542 STATE LINE AVE</t>
  </si>
  <si>
    <t>91140301</t>
  </si>
  <si>
    <t>ROCKS LAKEVIEW</t>
  </si>
  <si>
    <t>3463 N BROADWAY ST</t>
  </si>
  <si>
    <t>51041838</t>
  </si>
  <si>
    <t>GLENWOOD OAKS RIB &amp; CHOPS</t>
  </si>
  <si>
    <t>91283374</t>
  </si>
  <si>
    <t>DEVIL DAWGS BELMONT</t>
  </si>
  <si>
    <t>937 W BELMONT AVE</t>
  </si>
  <si>
    <t>11214756</t>
  </si>
  <si>
    <t>FITZ'S PUB INC</t>
  </si>
  <si>
    <t>172 N ADDISON AVE</t>
  </si>
  <si>
    <t>41191958</t>
  </si>
  <si>
    <t>THE DOCKS AT MONTROSE</t>
  </si>
  <si>
    <t>200 W MONTROSE HARBOR DR</t>
  </si>
  <si>
    <t>71001648</t>
  </si>
  <si>
    <t>SALERNO'S DI LUCCA</t>
  </si>
  <si>
    <t>1716 EAST KENSINGTON ROAD</t>
  </si>
  <si>
    <t>80318942</t>
  </si>
  <si>
    <t>SWISS PRETZEL SHOP</t>
  </si>
  <si>
    <t>1600 STATE ROUTE 50</t>
  </si>
  <si>
    <t>BOURBONNAIS</t>
  </si>
  <si>
    <t>11107042</t>
  </si>
  <si>
    <t>CUCINA ROSA ITALIAN RESTN</t>
  </si>
  <si>
    <t>4113 SHAMROCK</t>
  </si>
  <si>
    <t>31036585</t>
  </si>
  <si>
    <t>BUENA VISTA</t>
  </si>
  <si>
    <t>11456 WADSWORTH</t>
  </si>
  <si>
    <t>10573111</t>
  </si>
  <si>
    <t>LA PETITE AMEBIA**COLL**</t>
  </si>
  <si>
    <t>618 CHURCH ST.</t>
  </si>
  <si>
    <t>60515046</t>
  </si>
  <si>
    <t>CLUB PARADIS</t>
  </si>
  <si>
    <t>801 BUTTERFIELD</t>
  </si>
  <si>
    <t>50749266</t>
  </si>
  <si>
    <t>RISE AND SHINE  COLL</t>
  </si>
  <si>
    <t>720 N MCLEAN</t>
  </si>
  <si>
    <t>80603392</t>
  </si>
  <si>
    <t>THE GYROS PLACE</t>
  </si>
  <si>
    <t>1460 MAIN LANE</t>
  </si>
  <si>
    <t>60994696</t>
  </si>
  <si>
    <t>FATTY MAGOO'S</t>
  </si>
  <si>
    <t>551 S. BOLINGBROOK DRIVE</t>
  </si>
  <si>
    <t>70558630</t>
  </si>
  <si>
    <t>MICROTEK CHICAGO</t>
  </si>
  <si>
    <t>230 W. MONROE SUITE#550</t>
  </si>
  <si>
    <t>31259138</t>
  </si>
  <si>
    <t>LOBO REY</t>
  </si>
  <si>
    <t>1307 S WABASH AVE</t>
  </si>
  <si>
    <t>11277597</t>
  </si>
  <si>
    <t>BEER BISTRO 3Y EDI OG</t>
  </si>
  <si>
    <t>1061 W MADISON ST</t>
  </si>
  <si>
    <t>80482946</t>
  </si>
  <si>
    <t>BREAKFAST CLUB,</t>
  </si>
  <si>
    <t>1381 W HUBBARD</t>
  </si>
  <si>
    <t>11271699</t>
  </si>
  <si>
    <t>GUSTO OF WILMETTE</t>
  </si>
  <si>
    <t>1146 WILMETTE AVE</t>
  </si>
  <si>
    <t>30519268</t>
  </si>
  <si>
    <t>PIATTO</t>
  </si>
  <si>
    <t>5304 W.DEVON AVE</t>
  </si>
  <si>
    <t>80531080</t>
  </si>
  <si>
    <t>PEETIES GOURMET**COLL**</t>
  </si>
  <si>
    <t>1740 KENSINGTON RD</t>
  </si>
  <si>
    <t>20219127</t>
  </si>
  <si>
    <t>USA FAMILY REST #2**COLL*</t>
  </si>
  <si>
    <t>18304 WICKER DR</t>
  </si>
  <si>
    <t>31332406</t>
  </si>
  <si>
    <t>BAR SIENA DUE</t>
  </si>
  <si>
    <t>130 S MICHIGAN AVE</t>
  </si>
  <si>
    <t>20678595</t>
  </si>
  <si>
    <t>ZANIES - CHICAGO</t>
  </si>
  <si>
    <t>1548 N. WELLS</t>
  </si>
  <si>
    <t>90316605</t>
  </si>
  <si>
    <t>ST JOHN GRILLE**COLL**</t>
  </si>
  <si>
    <t>1791 ST JOHNS AVE</t>
  </si>
  <si>
    <t>91161851</t>
  </si>
  <si>
    <t>CORONA'S CAFE</t>
  </si>
  <si>
    <t>909 W IRVING PARK RD</t>
  </si>
  <si>
    <t>30600951</t>
  </si>
  <si>
    <t>BUDDY AND PALS PLACE</t>
  </si>
  <si>
    <t>1206 E SUMMIT STREET</t>
  </si>
  <si>
    <t>80554587</t>
  </si>
  <si>
    <t>NICK &amp; GEORGES/LIASKOS IN</t>
  </si>
  <si>
    <t>5850 HOHMAN AVE</t>
  </si>
  <si>
    <t>61315578</t>
  </si>
  <si>
    <t>TAP HOUSE</t>
  </si>
  <si>
    <t>2323 E MICHIGAN BLVD</t>
  </si>
  <si>
    <t>11286077</t>
  </si>
  <si>
    <t>SOHO HOUSE CHICAGO</t>
  </si>
  <si>
    <t>113 N GREEN ST</t>
  </si>
  <si>
    <t>50526235</t>
  </si>
  <si>
    <t>ANYWAY'S RESTAURANT :)</t>
  </si>
  <si>
    <t>5 E ROOSEVELT ROAD</t>
  </si>
  <si>
    <t>1191931</t>
  </si>
  <si>
    <t>SOPHIA'S CAFE AND VIDEO</t>
  </si>
  <si>
    <t>755 PENFIELD ST</t>
  </si>
  <si>
    <t>11132917</t>
  </si>
  <si>
    <t>BE LEAF</t>
  </si>
  <si>
    <t>29 N WACKER DR</t>
  </si>
  <si>
    <t>61326971</t>
  </si>
  <si>
    <t>CLUB 81</t>
  </si>
  <si>
    <t>13157 S AVENUE M</t>
  </si>
  <si>
    <t>71341416</t>
  </si>
  <si>
    <t>ROOH</t>
  </si>
  <si>
    <t>736 W RANDOLPH ST</t>
  </si>
  <si>
    <t>20437844</t>
  </si>
  <si>
    <t>STANLEY'S</t>
  </si>
  <si>
    <t>1970 N LINCOLN AVE</t>
  </si>
  <si>
    <t>41237454</t>
  </si>
  <si>
    <t>GRASSROOTS</t>
  </si>
  <si>
    <t>3747 N SOUTHPORT AVE</t>
  </si>
  <si>
    <t>91080010</t>
  </si>
  <si>
    <t>BRIANA'S PANCAKE CAFE</t>
  </si>
  <si>
    <t>151 EAST RT 38</t>
  </si>
  <si>
    <t>11081965</t>
  </si>
  <si>
    <t>BURRITO JALISCO #1 OR PRK</t>
  </si>
  <si>
    <t>9182 W 159TH ST</t>
  </si>
  <si>
    <t>91099028</t>
  </si>
  <si>
    <t>BANGERS AND LACE</t>
  </si>
  <si>
    <t>31086655</t>
  </si>
  <si>
    <t>THE ORIGINAL KELSEY'S</t>
  </si>
  <si>
    <t>1545 W US HWY 30</t>
  </si>
  <si>
    <t>91104026</t>
  </si>
  <si>
    <t>CAB'S WINE BAR BISTRO</t>
  </si>
  <si>
    <t>70880034</t>
  </si>
  <si>
    <t>CLUB LUCKY</t>
  </si>
  <si>
    <t>1824 N. WANBANSIA</t>
  </si>
  <si>
    <t>21273503</t>
  </si>
  <si>
    <t>CITY VIEW</t>
  </si>
  <si>
    <t>1201 W 25TH AVE</t>
  </si>
  <si>
    <t>11160801</t>
  </si>
  <si>
    <t>PORK &amp; MINDY'S</t>
  </si>
  <si>
    <t>1623 N MILWAUKEE AVE</t>
  </si>
  <si>
    <t>41215716</t>
  </si>
  <si>
    <t>THE EL CORTEZ MOKENA</t>
  </si>
  <si>
    <t>10128 W 191ST ST</t>
  </si>
  <si>
    <t>81347486</t>
  </si>
  <si>
    <t>SWEET BASIL CAFE - PALATI</t>
  </si>
  <si>
    <t>1417 N RAND RD</t>
  </si>
  <si>
    <t>40470783</t>
  </si>
  <si>
    <t>AMF SUNSET LANES    00176</t>
  </si>
  <si>
    <t>3000 COURT STREET</t>
  </si>
  <si>
    <t>PEKIN</t>
  </si>
  <si>
    <t>61554</t>
  </si>
  <si>
    <t>61303780</t>
  </si>
  <si>
    <t>SAM'S OF ARLINGTON HTS.</t>
  </si>
  <si>
    <t>1863 W CENTRAL RD</t>
  </si>
  <si>
    <t>50114768</t>
  </si>
  <si>
    <t>QUICKSILVER CAFE</t>
  </si>
  <si>
    <t>3855 N LINCOLN AVE</t>
  </si>
  <si>
    <t>70716485</t>
  </si>
  <si>
    <t>POMPEI</t>
  </si>
  <si>
    <t>1531 W. TAYLOR</t>
  </si>
  <si>
    <t>31327778</t>
  </si>
  <si>
    <t>HARRY &amp; EDDIE'S</t>
  </si>
  <si>
    <t>29 E 1ST ST</t>
  </si>
  <si>
    <t>61101804</t>
  </si>
  <si>
    <t>CAPRI EXPRESS</t>
  </si>
  <si>
    <t>114 BURR RIDGE PKWY</t>
  </si>
  <si>
    <t>80032436</t>
  </si>
  <si>
    <t>1132513</t>
  </si>
  <si>
    <t>BANGERS &amp; LACE</t>
  </si>
  <si>
    <t>810 GROVE ST</t>
  </si>
  <si>
    <t>40614778</t>
  </si>
  <si>
    <t>BUFFALO WINGS &amp; WINGS/CHI</t>
  </si>
  <si>
    <t>3434 S. HALSTED ST.</t>
  </si>
  <si>
    <t>50482686</t>
  </si>
  <si>
    <t>CAFE LUCIANO PIZZARIA*COL</t>
  </si>
  <si>
    <t>2676 GREENBAY RD</t>
  </si>
  <si>
    <t>40082760</t>
  </si>
  <si>
    <t>GRANDMA'S **COLL**</t>
  </si>
  <si>
    <t>7019 N ALPINE</t>
  </si>
  <si>
    <t>1274000</t>
  </si>
  <si>
    <t>HELLO FOLKS TAP-BAR&amp;GRILL</t>
  </si>
  <si>
    <t>78 E GRAND AVE</t>
  </si>
  <si>
    <t>20734786</t>
  </si>
  <si>
    <t>ARLINGTON LAKES GOLF CLUB</t>
  </si>
  <si>
    <t>1211 S. NEW WILKIE RD.</t>
  </si>
  <si>
    <t>187724</t>
  </si>
  <si>
    <t>WOODSTOCK COUNTRY CLUB</t>
  </si>
  <si>
    <t>10310 COUNTRY CLUB RD.</t>
  </si>
  <si>
    <t>1328558</t>
  </si>
  <si>
    <t>LABARRA RIVERSIDE</t>
  </si>
  <si>
    <t>2 E BURLINGTON ST</t>
  </si>
  <si>
    <t>21343801</t>
  </si>
  <si>
    <t>BEATRIX</t>
  </si>
  <si>
    <t>272 OAKBROOK CTR</t>
  </si>
  <si>
    <t>61252573</t>
  </si>
  <si>
    <t>WHISKEY BUSINESS</t>
  </si>
  <si>
    <t>1367 N MILWAUKEE AVE</t>
  </si>
  <si>
    <t>80421860</t>
  </si>
  <si>
    <t>UNCLE JOE'S@ THE U. OF C</t>
  </si>
  <si>
    <t>5706 S. UNIVERSITY AVE.</t>
  </si>
  <si>
    <t>11149663</t>
  </si>
  <si>
    <t>SOPHIA'S BOLINGBROOK</t>
  </si>
  <si>
    <t>194 S BOLINGBROOK DR</t>
  </si>
  <si>
    <t>21257167</t>
  </si>
  <si>
    <t>TACOS EL GUERO</t>
  </si>
  <si>
    <t>3246 169TH ST</t>
  </si>
  <si>
    <t>1320860</t>
  </si>
  <si>
    <t>WAREHOUSE BAR &amp; PIZZERIA</t>
  </si>
  <si>
    <t>1419 W FULLERTON AVE</t>
  </si>
  <si>
    <t>40700478</t>
  </si>
  <si>
    <t>BOSTON BLACKIES/GRND*DIP*</t>
  </si>
  <si>
    <t>164 E. GRAND AVE.</t>
  </si>
  <si>
    <t>1110998</t>
  </si>
  <si>
    <t>GELSOSOMO'S PIZZA &amp; PUB</t>
  </si>
  <si>
    <t>206 MAIN ST</t>
  </si>
  <si>
    <t>60764982</t>
  </si>
  <si>
    <t>RUB BBQ COMPANY **COLL**</t>
  </si>
  <si>
    <t>2407 W. LUNT</t>
  </si>
  <si>
    <t>60930831</t>
  </si>
  <si>
    <t>GENEVA ALE HOUSE</t>
  </si>
  <si>
    <t>319 WEST STATE STREET</t>
  </si>
  <si>
    <t>976795</t>
  </si>
  <si>
    <t>TONYS RESTAUARANT</t>
  </si>
  <si>
    <t>5237 CRAIN ST.</t>
  </si>
  <si>
    <t>20972279</t>
  </si>
  <si>
    <t>70977848</t>
  </si>
  <si>
    <t>PSISTARIA GREEK TAVERN</t>
  </si>
  <si>
    <t>4711 W. TOUHY AVE.</t>
  </si>
  <si>
    <t>51073179</t>
  </si>
  <si>
    <t>CHICAGO BAGEL AUTHORITY 2</t>
  </si>
  <si>
    <t>955 W BELMONT AVE</t>
  </si>
  <si>
    <t>50163971</t>
  </si>
  <si>
    <t>OSCAR'S CHARHOUSE</t>
  </si>
  <si>
    <t>435 TOWNLINE RD</t>
  </si>
  <si>
    <t>60030632</t>
  </si>
  <si>
    <t>TRADITIONAL PANCAKE</t>
  </si>
  <si>
    <t>3760 N HALSTED ST</t>
  </si>
  <si>
    <t>91194084</t>
  </si>
  <si>
    <t>TWO RESTAURANT</t>
  </si>
  <si>
    <t>1132 W GRAND AVE</t>
  </si>
  <si>
    <t>30654321</t>
  </si>
  <si>
    <t>CAFE NENE  **COLL**</t>
  </si>
  <si>
    <t>1701 E WOODFIELD RD</t>
  </si>
  <si>
    <t>1152461</t>
  </si>
  <si>
    <t>WOODEN NICKLE</t>
  </si>
  <si>
    <t>107 MAIN ST</t>
  </si>
  <si>
    <t>NORTH JUDSON</t>
  </si>
  <si>
    <t>46366</t>
  </si>
  <si>
    <t>60483286</t>
  </si>
  <si>
    <t>GIOACCHINOS REST*COLL**</t>
  </si>
  <si>
    <t>5201 ST CHARLES RD</t>
  </si>
  <si>
    <t>70552484</t>
  </si>
  <si>
    <t>WESTMONT RESTURANT</t>
  </si>
  <si>
    <t>128 NO. CASS</t>
  </si>
  <si>
    <t>51144798</t>
  </si>
  <si>
    <t>AT THE POST</t>
  </si>
  <si>
    <t>554 E. DEVON UNIT B</t>
  </si>
  <si>
    <t>91137810</t>
  </si>
  <si>
    <t>SPENCER'S JOLLY POSH</t>
  </si>
  <si>
    <t>3755 N SOUTHPORT AVE</t>
  </si>
  <si>
    <t>81239253</t>
  </si>
  <si>
    <t>NOSSA BRAZILIAN GRILL</t>
  </si>
  <si>
    <t>1340 BUTTERFIELD RD</t>
  </si>
  <si>
    <t>80483969</t>
  </si>
  <si>
    <t>DAVIS FISHMARKET*</t>
  </si>
  <si>
    <t>501 DAVIS</t>
  </si>
  <si>
    <t>71320386</t>
  </si>
  <si>
    <t>NEAT KITCHEN &amp; BAR</t>
  </si>
  <si>
    <t>246 N CASS AVE</t>
  </si>
  <si>
    <t>70592159</t>
  </si>
  <si>
    <t>BRACONI'S</t>
  </si>
  <si>
    <t>796 ROYAL ST. GEORGE</t>
  </si>
  <si>
    <t>90916263</t>
  </si>
  <si>
    <t>TACOS EL NORTE</t>
  </si>
  <si>
    <t>213 S RAND RD</t>
  </si>
  <si>
    <t>1082676</t>
  </si>
  <si>
    <t>MAXFIELD'S RESTAURANT</t>
  </si>
  <si>
    <t>352 E ROOSEVELT RD</t>
  </si>
  <si>
    <t>71332191</t>
  </si>
  <si>
    <t>JO JO'S BAR AND GRILL</t>
  </si>
  <si>
    <t>33251 N US HIGHWAY 45</t>
  </si>
  <si>
    <t>1284827</t>
  </si>
  <si>
    <t>THE BISCUITMAN</t>
  </si>
  <si>
    <t>1612 IRVING PARK ROAD</t>
  </si>
  <si>
    <t>31154149</t>
  </si>
  <si>
    <t>KRISTINA'S CAFE</t>
  </si>
  <si>
    <t>5130 MAIN ST</t>
  </si>
  <si>
    <t>90902719</t>
  </si>
  <si>
    <t>TAVERNA 750</t>
  </si>
  <si>
    <t>750 CORNELIA AVE</t>
  </si>
  <si>
    <t>80030224</t>
  </si>
  <si>
    <t>DABNEY'S REST</t>
  </si>
  <si>
    <t>604 I.A.A. DRIVE</t>
  </si>
  <si>
    <t>20682506</t>
  </si>
  <si>
    <t>L2O</t>
  </si>
  <si>
    <t>2300 W LINCOLN PARK WEST</t>
  </si>
  <si>
    <t>31344419</t>
  </si>
  <si>
    <t>GASLIGHT</t>
  </si>
  <si>
    <t>2450 N CLARK ST</t>
  </si>
  <si>
    <t>61347357</t>
  </si>
  <si>
    <t>BEELOWS OF HIGHLAND PARK</t>
  </si>
  <si>
    <t>1850 2ND ST UNIT 110A</t>
  </si>
  <si>
    <t>1346923</t>
  </si>
  <si>
    <t>ETTA 1840</t>
  </si>
  <si>
    <t>1840 W NORTH AVE</t>
  </si>
  <si>
    <t>41283425</t>
  </si>
  <si>
    <t>THE WINCHESTER</t>
  </si>
  <si>
    <t>1001 N WINCHESTER AVE</t>
  </si>
  <si>
    <t>61221990</t>
  </si>
  <si>
    <t>TOP SHELF BAR AND GRILL</t>
  </si>
  <si>
    <t>1700 GRANT ST</t>
  </si>
  <si>
    <t>46404</t>
  </si>
  <si>
    <t>71220602</t>
  </si>
  <si>
    <t>30482772</t>
  </si>
  <si>
    <t>PRIME MINISTER*COLL**</t>
  </si>
  <si>
    <t>3355 N MILWAUKEE</t>
  </si>
  <si>
    <t>80700719</t>
  </si>
  <si>
    <t>LA GONDOLA</t>
  </si>
  <si>
    <t>2914 N. ASHLAND AVE</t>
  </si>
  <si>
    <t>81210841</t>
  </si>
  <si>
    <t>POST TIME</t>
  </si>
  <si>
    <t>13860 ROCKLAND RD.</t>
  </si>
  <si>
    <t>60645892</t>
  </si>
  <si>
    <t>BIG SKILLET REST &amp; PANC:)</t>
  </si>
  <si>
    <t>90 TYLER CREEK PLAZA</t>
  </si>
  <si>
    <t>60856861</t>
  </si>
  <si>
    <t>AMERICAN FLATBREAD</t>
  </si>
  <si>
    <t>4743 N LINCOLN AVE</t>
  </si>
  <si>
    <t>167916</t>
  </si>
  <si>
    <t>PRETZEL MAKER</t>
  </si>
  <si>
    <t>967 N 1500 W STE #1</t>
  </si>
  <si>
    <t>LAYTON</t>
  </si>
  <si>
    <t>UT</t>
  </si>
  <si>
    <t>84041</t>
  </si>
  <si>
    <t>41240870</t>
  </si>
  <si>
    <t>APPLE VILLA BATAVIA</t>
  </si>
  <si>
    <t>1961</t>
  </si>
  <si>
    <t>51294999</t>
  </si>
  <si>
    <t>BRGE BELLY PITA</t>
  </si>
  <si>
    <t>51196517</t>
  </si>
  <si>
    <t>LUCREZIA CAFE</t>
  </si>
  <si>
    <t>428 S CALUMET RD</t>
  </si>
  <si>
    <t>41172677</t>
  </si>
  <si>
    <t>ROCKYS SPORTS RESTAURANT</t>
  </si>
  <si>
    <t>21180252</t>
  </si>
  <si>
    <t>BLANCHARD</t>
  </si>
  <si>
    <t>1935 N. LINCOLN PARK WEST</t>
  </si>
  <si>
    <t>40038309</t>
  </si>
  <si>
    <t>MEDICI ON HARPER**COLL**</t>
  </si>
  <si>
    <t>5211 S HARPER CT</t>
  </si>
  <si>
    <t>80995079</t>
  </si>
  <si>
    <t>TRE AMICI</t>
  </si>
  <si>
    <t>56 W. ILLINOIS AVE</t>
  </si>
  <si>
    <t>31176829</t>
  </si>
  <si>
    <t>VENUTI'S RISTORANTE</t>
  </si>
  <si>
    <t>2251 W. LAKE STREET</t>
  </si>
  <si>
    <t>939439</t>
  </si>
  <si>
    <t>LOUIE'S GRILL</t>
  </si>
  <si>
    <t>7422 MADISON</t>
  </si>
  <si>
    <t>31064579</t>
  </si>
  <si>
    <t>MARTI'S PLACE</t>
  </si>
  <si>
    <t>17519 N 700 WEST</t>
  </si>
  <si>
    <t>20482782</t>
  </si>
  <si>
    <t>CAFE ZALUTE</t>
  </si>
  <si>
    <t>9501 W DEVON</t>
  </si>
  <si>
    <t>91260844</t>
  </si>
  <si>
    <t>BAKERSFIELD WOOD-FIRED GR</t>
  </si>
  <si>
    <t>20466231</t>
  </si>
  <si>
    <t>MELROSE REST.  **COLL**</t>
  </si>
  <si>
    <t>106 N. LARKIN</t>
  </si>
  <si>
    <t>80531015</t>
  </si>
  <si>
    <t>3101 WEST KIMBERLY ROAD</t>
  </si>
  <si>
    <t>52807</t>
  </si>
  <si>
    <t>20534434</t>
  </si>
  <si>
    <t>VALPARAISO COUNTRY CLUB</t>
  </si>
  <si>
    <t>2501 COUNTRY CLUB RD.</t>
  </si>
  <si>
    <t>61323192</t>
  </si>
  <si>
    <t>LUCKY GIRL BREWING PILSEN</t>
  </si>
  <si>
    <t>2515 N CALIFORNIA AVE</t>
  </si>
  <si>
    <t>50081058</t>
  </si>
  <si>
    <t>HWY 251 NORTH</t>
  </si>
  <si>
    <t>MENDOTA</t>
  </si>
  <si>
    <t>61342</t>
  </si>
  <si>
    <t>70224605</t>
  </si>
  <si>
    <t>LRC B&amp;B LIQUOR **COLL**</t>
  </si>
  <si>
    <t>2054 GRANT ST</t>
  </si>
  <si>
    <t>10341188</t>
  </si>
  <si>
    <t>SCHAUMBURG PARK DISTRICT</t>
  </si>
  <si>
    <t>601 MORSE AVE.</t>
  </si>
  <si>
    <t>70482922</t>
  </si>
  <si>
    <t>AL CAPONES HIDEAWAY L</t>
  </si>
  <si>
    <t>35W 337 RIVERSIDE DR</t>
  </si>
  <si>
    <t>10996973</t>
  </si>
  <si>
    <t>ROGER KLEMM</t>
  </si>
  <si>
    <t>8000 SUPREME DR</t>
  </si>
  <si>
    <t>30552384</t>
  </si>
  <si>
    <t>STACY'S CAFE**COLL**</t>
  </si>
  <si>
    <t>845 MANNHEIM ROAD</t>
  </si>
  <si>
    <t>30601579</t>
  </si>
  <si>
    <t>BAKE FOR ME -HALSTED</t>
  </si>
  <si>
    <t>4305 SOUTH HALSTED ST</t>
  </si>
  <si>
    <t>11300563</t>
  </si>
  <si>
    <t>GUACOMOLE</t>
  </si>
  <si>
    <t>7023 W DEMPSTER ST</t>
  </si>
  <si>
    <t>80948524</t>
  </si>
  <si>
    <t>GREENWAY CAFE LLC</t>
  </si>
  <si>
    <t>107 GREENWAY ST</t>
  </si>
  <si>
    <t>60373420</t>
  </si>
  <si>
    <t>CONT. HS OF PANCAKES</t>
  </si>
  <si>
    <t>10211 W LINCOLN HWY</t>
  </si>
  <si>
    <t>70792759</t>
  </si>
  <si>
    <t>TI AMO CAFE ITALIANO</t>
  </si>
  <si>
    <t>1001 W. GOLF ROAD</t>
  </si>
  <si>
    <t>70453931</t>
  </si>
  <si>
    <t>KITCHEN BAR, INC **COLL**</t>
  </si>
  <si>
    <t>1540 N. ROSELLE ROAD</t>
  </si>
  <si>
    <t>50591726</t>
  </si>
  <si>
    <t>BROWN'S CHICKEN/ST. CHARL</t>
  </si>
  <si>
    <t>1910 STATE ROUTE 38</t>
  </si>
  <si>
    <t>20682381</t>
  </si>
  <si>
    <t>TACO STOP</t>
  </si>
  <si>
    <t>2550 W ADDISON ST</t>
  </si>
  <si>
    <t>31322530</t>
  </si>
  <si>
    <t>HIRO SUSHIAND DESERT BAR</t>
  </si>
  <si>
    <t>1453 E 53RD ST</t>
  </si>
  <si>
    <t>21178611</t>
  </si>
  <si>
    <t>1048 WAVELAND ROOFTOP</t>
  </si>
  <si>
    <t>1048 W WAVELAND AVE</t>
  </si>
  <si>
    <t>10579035</t>
  </si>
  <si>
    <t>BIG FAT GYRO'S**COLL**</t>
  </si>
  <si>
    <t>1900 MC DONALD ROAD</t>
  </si>
  <si>
    <t>81343758</t>
  </si>
  <si>
    <t>SEAFOOD JUNCTION - SOUTH</t>
  </si>
  <si>
    <t>629 E 162ND ST</t>
  </si>
  <si>
    <t>50636745</t>
  </si>
  <si>
    <t>BAMBOO PRODUCTIONS</t>
  </si>
  <si>
    <t>616 E. GOLF RD</t>
  </si>
  <si>
    <t>11056959</t>
  </si>
  <si>
    <t>HASHBROWNS</t>
  </si>
  <si>
    <t>1155 N. WELLS</t>
  </si>
  <si>
    <t>71043517</t>
  </si>
  <si>
    <t>NONNO PINO'S</t>
  </si>
  <si>
    <t>6718 N. NORTHWEST HWY.</t>
  </si>
  <si>
    <t>1026434</t>
  </si>
  <si>
    <t>FFF BULL &amp; BEAR</t>
  </si>
  <si>
    <t>431 N WELLS</t>
  </si>
  <si>
    <t>20482733</t>
  </si>
  <si>
    <t>VINTAGE WINE BAR **COLL**</t>
  </si>
  <si>
    <t>1942 W DIVISION ST</t>
  </si>
  <si>
    <t>61220174</t>
  </si>
  <si>
    <t>GRAND TEQUILARIA</t>
  </si>
  <si>
    <t>1334 GRAND AVE</t>
  </si>
  <si>
    <t>61233391</t>
  </si>
  <si>
    <t>CHINA BUFFET</t>
  </si>
  <si>
    <t>1640 US HWY 41</t>
  </si>
  <si>
    <t>51043016</t>
  </si>
  <si>
    <t>FRANKIE'S  BEEF &amp; PASTA</t>
  </si>
  <si>
    <t>5366 WEST 95TH STREET</t>
  </si>
  <si>
    <t>1075381</t>
  </si>
  <si>
    <t>OMEGA</t>
  </si>
  <si>
    <t>9100 GOLF ROAD</t>
  </si>
  <si>
    <t>30987317</t>
  </si>
  <si>
    <t>BRACONI'S SOUTH</t>
  </si>
  <si>
    <t>4003 PLAINFIELD/NAPERVILL</t>
  </si>
  <si>
    <t>11023645</t>
  </si>
  <si>
    <t>THE OLD NEIGHBORBOR GRILL</t>
  </si>
  <si>
    <t>2902 CENTRAL ST</t>
  </si>
  <si>
    <t>61022034</t>
  </si>
  <si>
    <t>AMERICAN JUNKIE CHICAGO</t>
  </si>
  <si>
    <t>40733743</t>
  </si>
  <si>
    <t>ROCKS</t>
  </si>
  <si>
    <t>3463 N BROADWAY</t>
  </si>
  <si>
    <t>80462294</t>
  </si>
  <si>
    <t>BENEDICT'S</t>
  </si>
  <si>
    <t>2420 ROUTE 30</t>
  </si>
  <si>
    <t>90552084</t>
  </si>
  <si>
    <t>OBERWEIS &lt;</t>
  </si>
  <si>
    <t>1493 S RANDAL RD</t>
  </si>
  <si>
    <t>60043015</t>
  </si>
  <si>
    <t>MONDO'S SPORTS CAFE</t>
  </si>
  <si>
    <t>212 S CLINTON</t>
  </si>
  <si>
    <t>52241</t>
  </si>
  <si>
    <t>314468</t>
  </si>
  <si>
    <t>ALICIA'S RESTAURANT*COLL*</t>
  </si>
  <si>
    <t>6840 S. PULASKI</t>
  </si>
  <si>
    <t>90561051</t>
  </si>
  <si>
    <t>THE SIT DOWN</t>
  </si>
  <si>
    <t>1312 E. 53RD STREET</t>
  </si>
  <si>
    <t>50923788</t>
  </si>
  <si>
    <t>EGG HARBOR/BARRINGTON</t>
  </si>
  <si>
    <t>210 SOUTH COOK STREET</t>
  </si>
  <si>
    <t>70732672</t>
  </si>
  <si>
    <t>JIMMY'S RESTAURANT</t>
  </si>
  <si>
    <t>1440 RAND RD</t>
  </si>
  <si>
    <t>595447</t>
  </si>
  <si>
    <t>UPTOWN BAR &amp; GRILL</t>
  </si>
  <si>
    <t>28 MAIN STRRET</t>
  </si>
  <si>
    <t>91314542</t>
  </si>
  <si>
    <t>NEW CRAVE CAFE</t>
  </si>
  <si>
    <t>751 W IL ROUTE 22</t>
  </si>
  <si>
    <t>20184230</t>
  </si>
  <si>
    <t>PIER MANAGEMENT(WAREHOUSE</t>
  </si>
  <si>
    <t>81245276</t>
  </si>
  <si>
    <t>GROUNDS FOR HOPE CAFE</t>
  </si>
  <si>
    <t>2701 MAPLE AVE</t>
  </si>
  <si>
    <t>51338903</t>
  </si>
  <si>
    <t>OLIVE MEDITERRANEAN</t>
  </si>
  <si>
    <t>1001 W NORTH AVE, CHICAGO</t>
  </si>
  <si>
    <t>50876705</t>
  </si>
  <si>
    <t>SUSHI THAI II</t>
  </si>
  <si>
    <t>445 E. TOWNLINE RD</t>
  </si>
  <si>
    <t>31304074</t>
  </si>
  <si>
    <t>JEXAL'S</t>
  </si>
  <si>
    <t>1260 N GREEN ST</t>
  </si>
  <si>
    <t>50502442</t>
  </si>
  <si>
    <t>KOMBS</t>
  </si>
  <si>
    <t>1801 W. CERMAK ROAD</t>
  </si>
  <si>
    <t>BROADVIEW</t>
  </si>
  <si>
    <t>11312667</t>
  </si>
  <si>
    <t>WOODRIDGE CAFE</t>
  </si>
  <si>
    <t>7414 JANES AVE</t>
  </si>
  <si>
    <t>71206601</t>
  </si>
  <si>
    <t>BOAR'S HEAD CAFE</t>
  </si>
  <si>
    <t>210 W LAKE ST</t>
  </si>
  <si>
    <t>71200307</t>
  </si>
  <si>
    <t>LELAND LEGENDS PUB &amp; GRIL</t>
  </si>
  <si>
    <t>7 S STOLP AVE</t>
  </si>
  <si>
    <t>60393576</t>
  </si>
  <si>
    <t>TINA'S CATERING</t>
  </si>
  <si>
    <t>1701 N. LARKIN</t>
  </si>
  <si>
    <t>61326856</t>
  </si>
  <si>
    <t>FIORA ENTERPRISES</t>
  </si>
  <si>
    <t>81291643</t>
  </si>
  <si>
    <t>DOYLES PUB</t>
  </si>
  <si>
    <t>50494897</t>
  </si>
  <si>
    <t>YMCA CAMP ALGONQUIN*COLL*</t>
  </si>
  <si>
    <t>1889 CARY ROAD</t>
  </si>
  <si>
    <t>20915385</t>
  </si>
  <si>
    <t>JASPERS</t>
  </si>
  <si>
    <t>1913 WAUKEGAN ROAD</t>
  </si>
  <si>
    <t>50807106</t>
  </si>
  <si>
    <t>WALKER BROS. 5</t>
  </si>
  <si>
    <t>620 CENTRAL AVE.</t>
  </si>
  <si>
    <t>90680943</t>
  </si>
  <si>
    <t>BAR LOUIE CHICAGO</t>
  </si>
  <si>
    <t>226 W CHICAGO AVE</t>
  </si>
  <si>
    <t>91207126</t>
  </si>
  <si>
    <t>BRGRBELLY LA SALLE</t>
  </si>
  <si>
    <t>71328876</t>
  </si>
  <si>
    <t>CIAO BABY</t>
  </si>
  <si>
    <t>232 E MAIN ST</t>
  </si>
  <si>
    <t>81130668</t>
  </si>
  <si>
    <t>KNIFE AND TINE</t>
  </si>
  <si>
    <t>1417 W FULLERTON AVE</t>
  </si>
  <si>
    <t>50572627</t>
  </si>
  <si>
    <t>DEE ENTERPRISES**COLL**</t>
  </si>
  <si>
    <t>1188 N. MCLEAN BLVD</t>
  </si>
  <si>
    <t>30043103</t>
  </si>
  <si>
    <t>LOVES YOGURT-BUFFALO GRO.</t>
  </si>
  <si>
    <t>136 MCHENRY RD</t>
  </si>
  <si>
    <t>71327712</t>
  </si>
  <si>
    <t>GIA MIA-GENEVA</t>
  </si>
  <si>
    <t>13 N 3RD ST</t>
  </si>
  <si>
    <t>61276622</t>
  </si>
  <si>
    <t>WINDMILL GINGER BREW LLC</t>
  </si>
  <si>
    <t>2600 KESLINGER RD</t>
  </si>
  <si>
    <t>60926524</t>
  </si>
  <si>
    <t>UNDERPASS</t>
  </si>
  <si>
    <t>9400 GRAND AVE</t>
  </si>
  <si>
    <t>71001739</t>
  </si>
  <si>
    <t>CINE RESTAURANTE</t>
  </si>
  <si>
    <t>29 E. FIRST STREET</t>
  </si>
  <si>
    <t>71197511</t>
  </si>
  <si>
    <t>CHRISSY'S</t>
  </si>
  <si>
    <t>552 N GARY AVE</t>
  </si>
  <si>
    <t>91265884</t>
  </si>
  <si>
    <t>MAX'S DELI</t>
  </si>
  <si>
    <t>191 SKOKIE VALLEY RD</t>
  </si>
  <si>
    <t>80462625</t>
  </si>
  <si>
    <t>TEDDY'S DINER</t>
  </si>
  <si>
    <t>1065 ROHLWING ROAD</t>
  </si>
  <si>
    <t>40910812</t>
  </si>
  <si>
    <t>RISTORANTE ABRUZZO</t>
  </si>
  <si>
    <t>483 LAKE COOK ROAD</t>
  </si>
  <si>
    <t>904201</t>
  </si>
  <si>
    <t>ST CHARLES PLACE STEAKHOU</t>
  </si>
  <si>
    <t>2550 MAIN ST</t>
  </si>
  <si>
    <t>40176596</t>
  </si>
  <si>
    <t>DUNES/KOSTA'S**COLL**</t>
  </si>
  <si>
    <t>8201 MELTON RD</t>
  </si>
  <si>
    <t>21312699</t>
  </si>
  <si>
    <t>THE CHOP SHOP</t>
  </si>
  <si>
    <t>2033 W NORTH AVE</t>
  </si>
  <si>
    <t>60552171</t>
  </si>
  <si>
    <t>SHEFFIELD'S REST&amp;SPORTS</t>
  </si>
  <si>
    <t>1515 E 82nd AVE</t>
  </si>
  <si>
    <t>51080547</t>
  </si>
  <si>
    <t>VALLEY LODGE - ST CHARLES</t>
  </si>
  <si>
    <t>109 W. MAIN STREET</t>
  </si>
  <si>
    <t>51085884</t>
  </si>
  <si>
    <t>MA'S TEA HOUSE</t>
  </si>
  <si>
    <t>1426 FOX VALLEY CENTER</t>
  </si>
  <si>
    <t>10032688</t>
  </si>
  <si>
    <t>2200 W KIMBERLY RD</t>
  </si>
  <si>
    <t>52806</t>
  </si>
  <si>
    <t>31327885</t>
  </si>
  <si>
    <t>BARREL HOUSE KITCHEN &amp; TA</t>
  </si>
  <si>
    <t>5100 N HARLEM AVE</t>
  </si>
  <si>
    <t>10210995</t>
  </si>
  <si>
    <t>MAXIM'S **COLL**</t>
  </si>
  <si>
    <t>20 N. CLARK</t>
  </si>
  <si>
    <t>91243089</t>
  </si>
  <si>
    <t>LA SIRENA CLANDESTINA</t>
  </si>
  <si>
    <t>954 W FULTON ST</t>
  </si>
  <si>
    <t>90703059</t>
  </si>
  <si>
    <t>SWEET THINGS ICE CREAM</t>
  </si>
  <si>
    <t>13318 CICERO AVENUE</t>
  </si>
  <si>
    <t>60575909</t>
  </si>
  <si>
    <t>HANNAH'S BRETZEL - 180</t>
  </si>
  <si>
    <t>180 W. WASHINGTON</t>
  </si>
  <si>
    <t>91164533</t>
  </si>
  <si>
    <t>AMERICAN TAP</t>
  </si>
  <si>
    <t>701 W LAKE ST</t>
  </si>
  <si>
    <t>31305956</t>
  </si>
  <si>
    <t>STUDIO HOTRODS ROADHOUSE</t>
  </si>
  <si>
    <t>44 SOUTH RT 12</t>
  </si>
  <si>
    <t>70506449</t>
  </si>
  <si>
    <t>LINCOLN CENTER CAFE 3</t>
  </si>
  <si>
    <t>3 LINCOLN CENTER RD</t>
  </si>
  <si>
    <t>91327841</t>
  </si>
  <si>
    <t>250 CENTER ST</t>
  </si>
  <si>
    <t>30057194</t>
  </si>
  <si>
    <t>PRIME CUT/PIZZA JOYNT</t>
  </si>
  <si>
    <t>39 W. NORTH AVENUE</t>
  </si>
  <si>
    <t>NORTHLAKE</t>
  </si>
  <si>
    <t>11277571</t>
  </si>
  <si>
    <t>2999 E LINCOLN HWY</t>
  </si>
  <si>
    <t>20601209</t>
  </si>
  <si>
    <t>BOSTON BLACKIE'S-COMMSRY</t>
  </si>
  <si>
    <t>405 LAKE COOK RD.</t>
  </si>
  <si>
    <t>1347103</t>
  </si>
  <si>
    <t>BILL'S GRILL</t>
  </si>
  <si>
    <t>7307 FOREST RIDGE DR</t>
  </si>
  <si>
    <t>71194997</t>
  </si>
  <si>
    <t>LA CASA VIEJA</t>
  </si>
  <si>
    <t>275 JOLIET ST STE 1</t>
  </si>
  <si>
    <t>50299098</t>
  </si>
  <si>
    <t>NATABELLAS **COLL**</t>
  </si>
  <si>
    <t>2755 BLACK RD.</t>
  </si>
  <si>
    <t>41286196</t>
  </si>
  <si>
    <t>VILLA BRUNETTI</t>
  </si>
  <si>
    <t>9755 GRAND AVE</t>
  </si>
  <si>
    <t>51220283</t>
  </si>
  <si>
    <t>1925 W CORTLAND ST</t>
  </si>
  <si>
    <t>80591704</t>
  </si>
  <si>
    <t>BROWN'S CHICKEN/MELROSE P</t>
  </si>
  <si>
    <t>1500 W. NORTH AVE.</t>
  </si>
  <si>
    <t>44362</t>
  </si>
  <si>
    <t>MATT BROWN</t>
  </si>
  <si>
    <t>SHERATON  N SHORE</t>
  </si>
  <si>
    <t>10214161</t>
  </si>
  <si>
    <t>STEAK ESCAPE BROOKFIELD</t>
  </si>
  <si>
    <t>95 N MOORELAND RD</t>
  </si>
  <si>
    <t>31337546</t>
  </si>
  <si>
    <t>GEORGE'S PLACE</t>
  </si>
  <si>
    <t>15745 KEDZIE AVE</t>
  </si>
  <si>
    <t>MARKHAM</t>
  </si>
  <si>
    <t>60166402</t>
  </si>
  <si>
    <t>TABLES REST</t>
  </si>
  <si>
    <t>7201 N CALDWELL</t>
  </si>
  <si>
    <t>91160549</t>
  </si>
  <si>
    <t>ENZO'S RESTAURANT</t>
  </si>
  <si>
    <t>1710 CHICAGO RD</t>
  </si>
  <si>
    <t>40032005</t>
  </si>
  <si>
    <t>ST CHARLES PLACE</t>
  </si>
  <si>
    <t>2550 E MAIN</t>
  </si>
  <si>
    <t>20553699</t>
  </si>
  <si>
    <t>OBERWEIS CARMEL**COLL**</t>
  </si>
  <si>
    <t>14641 US HWY 31 N</t>
  </si>
  <si>
    <t>CARMEL</t>
  </si>
  <si>
    <t>46032</t>
  </si>
  <si>
    <t>699256</t>
  </si>
  <si>
    <t>GREEK ISLANDS**COLL**</t>
  </si>
  <si>
    <t>4296 RED ARROW HIGHWAY</t>
  </si>
  <si>
    <t>70559604</t>
  </si>
  <si>
    <t>BILLY'S PANCAKE HOUSE</t>
  </si>
  <si>
    <t>440 W NORTHWEST HWY</t>
  </si>
  <si>
    <t>267278</t>
  </si>
  <si>
    <t>J.K.MICHAELS INC**COLL**</t>
  </si>
  <si>
    <t>7 E OLD RIDGE RD</t>
  </si>
  <si>
    <t>70910237</t>
  </si>
  <si>
    <t>KIDS R KIDS</t>
  </si>
  <si>
    <t>475 ALEXANDRA BLVD.</t>
  </si>
  <si>
    <t>70345632</t>
  </si>
  <si>
    <t>PREMIUM FUN FOOD **COLL**</t>
  </si>
  <si>
    <t>500 SPEEDWAY BLVD</t>
  </si>
  <si>
    <t>60433</t>
  </si>
  <si>
    <t>90412636</t>
  </si>
  <si>
    <t>ZACATACOS</t>
  </si>
  <si>
    <t>5925 S. PULASKI</t>
  </si>
  <si>
    <t>20318952</t>
  </si>
  <si>
    <t>CORN DOG ON A STICK #2950</t>
  </si>
  <si>
    <t>3940 ROUTE 251</t>
  </si>
  <si>
    <t>30573174</t>
  </si>
  <si>
    <t>NUTTIES BAR &amp; GAMES</t>
  </si>
  <si>
    <t>65 WEST GRAND AVE</t>
  </si>
  <si>
    <t>30483804</t>
  </si>
  <si>
    <t>ZEPHYR-DISHMCHN **COLL**</t>
  </si>
  <si>
    <t>1777 W WILSON</t>
  </si>
  <si>
    <t>50337393</t>
  </si>
  <si>
    <t>RAM BIGHORN WHEELING</t>
  </si>
  <si>
    <t>700 N MILWAUKEE</t>
  </si>
  <si>
    <t>20923793</t>
  </si>
  <si>
    <t>EGG HARBOR/LAKE GENEVA</t>
  </si>
  <si>
    <t>827 MAIN STREET</t>
  </si>
  <si>
    <t>50553270</t>
  </si>
  <si>
    <t>BAZA    **COLL**</t>
  </si>
  <si>
    <t>2500 W. CHICAGO AVE.</t>
  </si>
  <si>
    <t>61288841</t>
  </si>
  <si>
    <t>B.B.Q. PRODUCTIONS</t>
  </si>
  <si>
    <t>405 N RAND RD</t>
  </si>
  <si>
    <t>90923780</t>
  </si>
  <si>
    <t>EGG HARBOR/GLENVIEW</t>
  </si>
  <si>
    <t>2350 LEHIGH AVENUE</t>
  </si>
  <si>
    <t>71296925</t>
  </si>
  <si>
    <t>LITTLE CREPERIE</t>
  </si>
  <si>
    <t>102 S PROSPECT AVE</t>
  </si>
  <si>
    <t>90312588</t>
  </si>
  <si>
    <t>UNITED CENTER/BAR PUB</t>
  </si>
  <si>
    <t>90733494</t>
  </si>
  <si>
    <t>ELLIOTTS SEAFOOD GRILL</t>
  </si>
  <si>
    <t>6690 N NORTHWEST HWY</t>
  </si>
  <si>
    <t>60033818</t>
  </si>
  <si>
    <t>LOVES YOGURT-WILMETTE</t>
  </si>
  <si>
    <t>122 N SKOKIE BLVD</t>
  </si>
  <si>
    <t>81192163</t>
  </si>
  <si>
    <t>ABBYS BREAKFAST &amp; LUNCH</t>
  </si>
  <si>
    <t>11 N 3RD ST</t>
  </si>
  <si>
    <t>80525231</t>
  </si>
  <si>
    <t>BAR ITALIA**COLL**</t>
  </si>
  <si>
    <t>207 SOUTH 3RD STREET</t>
  </si>
  <si>
    <t>20161477</t>
  </si>
  <si>
    <t>VICTORIAN COUNTRY HSE</t>
  </si>
  <si>
    <t>4938 WEST U.S.#20</t>
  </si>
  <si>
    <t>90976788</t>
  </si>
  <si>
    <t>ETHAN'S CAFE</t>
  </si>
  <si>
    <t>6128 111TH AVE</t>
  </si>
  <si>
    <t>11049590</t>
  </si>
  <si>
    <t>CELTIC KNOT</t>
  </si>
  <si>
    <t>626 CHURCH ST.</t>
  </si>
  <si>
    <t>40341117</t>
  </si>
  <si>
    <t>RIBS RESTAURANT**COLL**</t>
  </si>
  <si>
    <t>9501 W. DEVON</t>
  </si>
  <si>
    <t>31337579</t>
  </si>
  <si>
    <t>CEBU</t>
  </si>
  <si>
    <t>2211 W NORTH AVE</t>
  </si>
  <si>
    <t>91297945</t>
  </si>
  <si>
    <t>CHICAGO CHOP HOUSE</t>
  </si>
  <si>
    <t>60 WEST ONTARIO</t>
  </si>
  <si>
    <t>71202832</t>
  </si>
  <si>
    <t>IRISH PATRIOT</t>
  </si>
  <si>
    <t>9875 W 143RD ST</t>
  </si>
  <si>
    <t>81312118</t>
  </si>
  <si>
    <t>CHALES MEXICAN RESTAURANT</t>
  </si>
  <si>
    <t>3 S. 071 RT. 59</t>
  </si>
  <si>
    <t>71340541</t>
  </si>
  <si>
    <t>GIGI"S KITCHEN</t>
  </si>
  <si>
    <t>1954 W ARMITAGE AVE</t>
  </si>
  <si>
    <t>115154</t>
  </si>
  <si>
    <t>HAMBURGER HAM **COLL**</t>
  </si>
  <si>
    <t>1432 WAUKEGAN RD</t>
  </si>
  <si>
    <t>1288315</t>
  </si>
  <si>
    <t>BBQ PRODUCTIONS BAR &amp; GRI</t>
  </si>
  <si>
    <t>552745</t>
  </si>
  <si>
    <t>ROSINIS PIZZA **COLL**</t>
  </si>
  <si>
    <t>1910 US HIGHWAY 41</t>
  </si>
  <si>
    <t>41328204</t>
  </si>
  <si>
    <t>RED FISH BLEU FISH</t>
  </si>
  <si>
    <t>5121 S HARPER AVE</t>
  </si>
  <si>
    <t>40934820</t>
  </si>
  <si>
    <t>EMERSON'S ALE HOUSE</t>
  </si>
  <si>
    <t>113 E. EMERSON ST.</t>
  </si>
  <si>
    <t>11211604</t>
  </si>
  <si>
    <t>MUNCH</t>
  </si>
  <si>
    <t>104 N MARION ST</t>
  </si>
  <si>
    <t>60832375</t>
  </si>
  <si>
    <t>SNACK CAFE</t>
  </si>
  <si>
    <t>1345 MEACHAM RD</t>
  </si>
  <si>
    <t>71251417</t>
  </si>
  <si>
    <t>TUSCAN TAVERN OF OSWEGO</t>
  </si>
  <si>
    <t>4571 RT 71</t>
  </si>
  <si>
    <t>90916909</t>
  </si>
  <si>
    <t>NIRVANA WINE &amp; GRILLERIE</t>
  </si>
  <si>
    <t>701 N MILWAUKEE AVE</t>
  </si>
  <si>
    <t>80591589</t>
  </si>
  <si>
    <t>BROWN'S CHICKEN/BENSENVIL</t>
  </si>
  <si>
    <t>511 W. IRVING PARK RD.</t>
  </si>
  <si>
    <t>90950015</t>
  </si>
  <si>
    <t>BELDEN 3RD FLOOR DELI</t>
  </si>
  <si>
    <t>5 S WABASH</t>
  </si>
  <si>
    <t>962456</t>
  </si>
  <si>
    <t>RIGGIOS ITALIAN KITCHEN</t>
  </si>
  <si>
    <t>7530 WEST OAKTON ST</t>
  </si>
  <si>
    <t>80995624</t>
  </si>
  <si>
    <t>JUST LIKE HOME REST</t>
  </si>
  <si>
    <t>8501 W. DEMPSTER ST.</t>
  </si>
  <si>
    <t>1046697</t>
  </si>
  <si>
    <t>SWEET LOU THAT'S WHO</t>
  </si>
  <si>
    <t>434456</t>
  </si>
  <si>
    <t>JAMAICA JERK</t>
  </si>
  <si>
    <t>1631 W. HOWARD ST.</t>
  </si>
  <si>
    <t>61026597</t>
  </si>
  <si>
    <t>FFF CITY WINERY CHICAGO</t>
  </si>
  <si>
    <t>1200 W RANDOLPH</t>
  </si>
  <si>
    <t>81046898</t>
  </si>
  <si>
    <t>FULL MOON CAFE</t>
  </si>
  <si>
    <t>1300 N. SKOKIE HIGHWAY</t>
  </si>
  <si>
    <t>31119084</t>
  </si>
  <si>
    <t>MICKEY'S RIBS</t>
  </si>
  <si>
    <t>17432 OAK PARK AVE</t>
  </si>
  <si>
    <t>21125760</t>
  </si>
  <si>
    <t>MIRADOR</t>
  </si>
  <si>
    <t>2834 N SOUTHPORT AVE</t>
  </si>
  <si>
    <t>347690</t>
  </si>
  <si>
    <t>LUNDY'S IN-SEAT</t>
  </si>
  <si>
    <t>500 SPEEDWAY BLVD.</t>
  </si>
  <si>
    <t>70475306</t>
  </si>
  <si>
    <t>RIVER BEND</t>
  </si>
  <si>
    <t>6708 S. RAWSON BRIDGE RD</t>
  </si>
  <si>
    <t>51341386</t>
  </si>
  <si>
    <t>ABBIOCCO RISTORANTE</t>
  </si>
  <si>
    <t>600 GATEWAY BLVD N</t>
  </si>
  <si>
    <t>91335810</t>
  </si>
  <si>
    <t>GRANT PARK BISTRO</t>
  </si>
  <si>
    <t>800 S MICHIGAN AVE</t>
  </si>
  <si>
    <t>30924138</t>
  </si>
  <si>
    <t>FALAFEL BISTRO WILMETTE</t>
  </si>
  <si>
    <t>1154 CENTRAL #2</t>
  </si>
  <si>
    <t>81236465</t>
  </si>
  <si>
    <t>BURRITO EXPRESS</t>
  </si>
  <si>
    <t>17932 DIXIE HWY</t>
  </si>
  <si>
    <t>51203636</t>
  </si>
  <si>
    <t>FULTON MARKET</t>
  </si>
  <si>
    <t>4501 WEST ANN LAURIE PLAC</t>
  </si>
  <si>
    <t>70429618</t>
  </si>
  <si>
    <t>ORIG. VITO&amp;NICKS LEMONT</t>
  </si>
  <si>
    <t>1015 SOUTH STATE STREET</t>
  </si>
  <si>
    <t>71224331</t>
  </si>
  <si>
    <t>IRISH AMERICAN HERITAGE C</t>
  </si>
  <si>
    <t>4626 N KNOX AVE</t>
  </si>
  <si>
    <t>70485164</t>
  </si>
  <si>
    <t>HOME RUN INN-FROZEN F</t>
  </si>
  <si>
    <t>1300 INTERNATIONAL PRKWY</t>
  </si>
  <si>
    <t>40308777</t>
  </si>
  <si>
    <t>JENNY'S REST**COLL**</t>
  </si>
  <si>
    <t>15460 RED ARROW HWY</t>
  </si>
  <si>
    <t>LAKESIDE</t>
  </si>
  <si>
    <t>49116</t>
  </si>
  <si>
    <t>91227652</t>
  </si>
  <si>
    <t>JEN'S GUESTHOUSE</t>
  </si>
  <si>
    <t>8989 ARCHER AVE</t>
  </si>
  <si>
    <t>90926379</t>
  </si>
  <si>
    <t>ALIBI BAR &amp; GRILL</t>
  </si>
  <si>
    <t>12 NORTH THIRD STREET</t>
  </si>
  <si>
    <t>1172352</t>
  </si>
  <si>
    <t>DAS DELI ORLAND</t>
  </si>
  <si>
    <t>7260 W 159TH ST</t>
  </si>
  <si>
    <t>91026344</t>
  </si>
  <si>
    <t>FFF THE DOG'S BOLLOX</t>
  </si>
  <si>
    <t>3210 N LINCOLN AVE</t>
  </si>
  <si>
    <t>90681115</t>
  </si>
  <si>
    <t>RED STAR</t>
  </si>
  <si>
    <t>695 DEERFIELD RD</t>
  </si>
  <si>
    <t>91241687</t>
  </si>
  <si>
    <t>TRACY'S PONTIAC</t>
  </si>
  <si>
    <t>1826 W REYNOLDS ST</t>
  </si>
  <si>
    <t>PONTIAC</t>
  </si>
  <si>
    <t>61764</t>
  </si>
  <si>
    <t>50682152</t>
  </si>
  <si>
    <t>DON QUIJOTE RESTAURANT</t>
  </si>
  <si>
    <t>119 EAST LINCOLNWAY</t>
  </si>
  <si>
    <t>20490041</t>
  </si>
  <si>
    <t>PADDY MAC'S</t>
  </si>
  <si>
    <t>4157 NORTH PULASKI</t>
  </si>
  <si>
    <t>10561074</t>
  </si>
  <si>
    <t>GULO'S PIZZA PADLE</t>
  </si>
  <si>
    <t>1231 W DUNDEE ROAD</t>
  </si>
  <si>
    <t>1228030</t>
  </si>
  <si>
    <t>EN FUEGO</t>
  </si>
  <si>
    <t>17W648 22ND ST</t>
  </si>
  <si>
    <t>31348089</t>
  </si>
  <si>
    <t>STEINGOLD'S COMMISSARY</t>
  </si>
  <si>
    <t>820 N ORLEANS ST</t>
  </si>
  <si>
    <t>61309753</t>
  </si>
  <si>
    <t>CMM CAFE HARRY TRUMAN</t>
  </si>
  <si>
    <t>1145 W WILSON AVE</t>
  </si>
  <si>
    <t>71315790</t>
  </si>
  <si>
    <t>312 W LINCOLN HWY</t>
  </si>
  <si>
    <t>71114789</t>
  </si>
  <si>
    <t>UMAMI SUSHI</t>
  </si>
  <si>
    <t>4626 N CUMBERLAND AVE</t>
  </si>
  <si>
    <t>70986054</t>
  </si>
  <si>
    <t>MEZCALINA</t>
  </si>
  <si>
    <t>333 E BENTON PL</t>
  </si>
  <si>
    <t>60972304</t>
  </si>
  <si>
    <t>GIA'S PIZZERIA</t>
  </si>
  <si>
    <t>8219 S. JANES</t>
  </si>
  <si>
    <t>51025013</t>
  </si>
  <si>
    <t>FIAMICO RISTORANTE</t>
  </si>
  <si>
    <t>226 N SHERIDAN RD</t>
  </si>
  <si>
    <t>41016734</t>
  </si>
  <si>
    <t>BRICKS WOODFIRE PIZZA</t>
  </si>
  <si>
    <t>132 W ST CHARLES RD</t>
  </si>
  <si>
    <t>40591596</t>
  </si>
  <si>
    <t>7859 S. STATE ST.</t>
  </si>
  <si>
    <t>31254329</t>
  </si>
  <si>
    <t>STATS</t>
  </si>
  <si>
    <t>7203 KINGERY HWY</t>
  </si>
  <si>
    <t>70495833</t>
  </si>
  <si>
    <t>EDGEBROOK DINER &amp; COFFEE</t>
  </si>
  <si>
    <t>6322 N.CENTRAL AVE</t>
  </si>
  <si>
    <t>EDGEBROOK</t>
  </si>
  <si>
    <t>20794962</t>
  </si>
  <si>
    <t>MILLER'S ALEHOUSE</t>
  </si>
  <si>
    <t>455 E BUTTERFIELD RD</t>
  </si>
  <si>
    <t>40482655</t>
  </si>
  <si>
    <t>CUCINA BELLA*COLL*</t>
  </si>
  <si>
    <t>222 S MAIN ST</t>
  </si>
  <si>
    <t>51284487</t>
  </si>
  <si>
    <t>MACLEAN CAFE</t>
  </si>
  <si>
    <t>112 S MICHIGAN AVE FL 2</t>
  </si>
  <si>
    <t>41284472</t>
  </si>
  <si>
    <t>PRAIRIE CAFE</t>
  </si>
  <si>
    <t>1420 KENSINGTON RD</t>
  </si>
  <si>
    <t>71023501</t>
  </si>
  <si>
    <t>HUNGRY, INC</t>
  </si>
  <si>
    <t>539 BROADWAY</t>
  </si>
  <si>
    <t>31255227</t>
  </si>
  <si>
    <t>TRACY'S TAVERN</t>
  </si>
  <si>
    <t>401 55TH ST</t>
  </si>
  <si>
    <t>60422987</t>
  </si>
  <si>
    <t>BRIANS CHARHOUSE *COLL*</t>
  </si>
  <si>
    <t>27 W 371 NORTH AVE</t>
  </si>
  <si>
    <t>51079077</t>
  </si>
  <si>
    <t>1459 E. 53RD STREET</t>
  </si>
  <si>
    <t>50166354</t>
  </si>
  <si>
    <t>1801 SIBLEY BLVD</t>
  </si>
  <si>
    <t>338129</t>
  </si>
  <si>
    <t>CAFE IBERICO</t>
  </si>
  <si>
    <t>739 N LASALLE ST</t>
  </si>
  <si>
    <t>90483553</t>
  </si>
  <si>
    <t>EGGLECTIC</t>
  </si>
  <si>
    <t>145 N HALE ST</t>
  </si>
  <si>
    <t>60684321</t>
  </si>
  <si>
    <t>YURI OF JAPAN</t>
  </si>
  <si>
    <t>34500 N. HIGHWAY 45</t>
  </si>
  <si>
    <t>10807089</t>
  </si>
  <si>
    <t>WALKER BROS. 3</t>
  </si>
  <si>
    <t>1615 WAUKEGAN ROAD</t>
  </si>
  <si>
    <t>30482244</t>
  </si>
  <si>
    <t>AMC ENTERTAINMENT INC</t>
  </si>
  <si>
    <t>97 YORKTOWN SHOPING CTR</t>
  </si>
  <si>
    <t>60482999</t>
  </si>
  <si>
    <t>MARENGO MARKETPLACE*</t>
  </si>
  <si>
    <t>1071E GRANT HWAY</t>
  </si>
  <si>
    <t>30501209</t>
  </si>
  <si>
    <t>AFFINIA CHICAGO</t>
  </si>
  <si>
    <t>166 EAST SUPERIOR</t>
  </si>
  <si>
    <t>30928105</t>
  </si>
  <si>
    <t>LA DOLCE VITA PER TUTTI</t>
  </si>
  <si>
    <t>16108 S. ROUTE 59</t>
  </si>
  <si>
    <t>60586</t>
  </si>
  <si>
    <t>60130705</t>
  </si>
  <si>
    <t>DISCOVERY ZONE/CALUMET</t>
  </si>
  <si>
    <t>504 RIVER OAKS WEST</t>
  </si>
  <si>
    <t>20380721</t>
  </si>
  <si>
    <t>DYLAN'S</t>
  </si>
  <si>
    <t>118 S CLINTON</t>
  </si>
  <si>
    <t>21313432</t>
  </si>
  <si>
    <t>NOURISH FOOD SRVC-PIONEER</t>
  </si>
  <si>
    <t>202 S HALSTED ST</t>
  </si>
  <si>
    <t>90735044</t>
  </si>
  <si>
    <t>BUCK WILD</t>
  </si>
  <si>
    <t>27509 BEECH STREETT</t>
  </si>
  <si>
    <t>41321043</t>
  </si>
  <si>
    <t>CLUTCH EQUIP</t>
  </si>
  <si>
    <t>318 W ERIE ST</t>
  </si>
  <si>
    <t>60704186</t>
  </si>
  <si>
    <t>JOHN BELLA PIZZA</t>
  </si>
  <si>
    <t>1960 N. ARLINGTON HEIGHTS</t>
  </si>
  <si>
    <t>61288437</t>
  </si>
  <si>
    <t>NY PIZZA PIE</t>
  </si>
  <si>
    <t>2589 OGDEN AVE</t>
  </si>
  <si>
    <t>31180094</t>
  </si>
  <si>
    <t>THE RAIL BAR &amp; GRILL</t>
  </si>
  <si>
    <t>4709 N DAMEN AVE</t>
  </si>
  <si>
    <t>51171221</t>
  </si>
  <si>
    <t>ZANTE'S</t>
  </si>
  <si>
    <t>10307 S ROBERTS RD</t>
  </si>
  <si>
    <t>71167084</t>
  </si>
  <si>
    <t>ROBERTS PIZZA COMPANY</t>
  </si>
  <si>
    <t>31180185</t>
  </si>
  <si>
    <t>WILLIAMS STREET TAP</t>
  </si>
  <si>
    <t>80 N WILLIAMS ST</t>
  </si>
  <si>
    <t>1306844</t>
  </si>
  <si>
    <t>KRISPY'S SEAFOOD &amp; CHICKE</t>
  </si>
  <si>
    <t>7108 S WABASH AVE # 3</t>
  </si>
  <si>
    <t>51079044</t>
  </si>
  <si>
    <t>AMIGAS RESTURANT</t>
  </si>
  <si>
    <t>2109 BLOOMINGDALE RD</t>
  </si>
  <si>
    <t>71033757</t>
  </si>
  <si>
    <t>GLENVIEW GRIND</t>
  </si>
  <si>
    <t>31089386</t>
  </si>
  <si>
    <t>ASPARAGUS</t>
  </si>
  <si>
    <t>7876 BROADWAY</t>
  </si>
  <si>
    <t>41083551</t>
  </si>
  <si>
    <t>MEATHOUSE PIT &amp; GRILL</t>
  </si>
  <si>
    <t>1700 S WOLF RD</t>
  </si>
  <si>
    <t>1272012</t>
  </si>
  <si>
    <t>LAKE COUNTY SPORTS CENTER</t>
  </si>
  <si>
    <t>351 N OAKWOOD AVE</t>
  </si>
  <si>
    <t>21019419</t>
  </si>
  <si>
    <t>ALEXANDERS REST</t>
  </si>
  <si>
    <t>1725 N. STATE STREET</t>
  </si>
  <si>
    <t>30464556</t>
  </si>
  <si>
    <t>626 CHURCH STREET</t>
  </si>
  <si>
    <t>61227187</t>
  </si>
  <si>
    <t>4352 N LEAVITT ST</t>
  </si>
  <si>
    <t>41000910</t>
  </si>
  <si>
    <t>TIN FISH</t>
  </si>
  <si>
    <t>18201 S. HARLEM AVE</t>
  </si>
  <si>
    <t>50735133</t>
  </si>
  <si>
    <t>BALAGIO RISTORANTE&amp; BA</t>
  </si>
  <si>
    <t>17501 DIXIE HWY</t>
  </si>
  <si>
    <t>1295047</t>
  </si>
  <si>
    <t>COOM'S CORNER</t>
  </si>
  <si>
    <t>1225 E 9TH ST</t>
  </si>
  <si>
    <t>20075347</t>
  </si>
  <si>
    <t>EARL'S CAFE</t>
  </si>
  <si>
    <t>1987 W JEFFERSON</t>
  </si>
  <si>
    <t>30923791</t>
  </si>
  <si>
    <t>EGG HARBOR/LIBERTYVILLE</t>
  </si>
  <si>
    <t>125 LAKE STREET</t>
  </si>
  <si>
    <t>61280145</t>
  </si>
  <si>
    <t>SUNNY SIDE UP &amp; COFFEE SH</t>
  </si>
  <si>
    <t>42 E SUPERIOR ST</t>
  </si>
  <si>
    <t>21126024</t>
  </si>
  <si>
    <t>PEACHTREE</t>
  </si>
  <si>
    <t>4020 LINCOLN HWY</t>
  </si>
  <si>
    <t>41324401</t>
  </si>
  <si>
    <t>BLACK BEAR BISTRO</t>
  </si>
  <si>
    <t>107 S MAIN ST</t>
  </si>
  <si>
    <t>31302052</t>
  </si>
  <si>
    <t>SKYDECK CHICAGO</t>
  </si>
  <si>
    <t>80916653</t>
  </si>
  <si>
    <t>BELLA VIA RISTORANTE</t>
  </si>
  <si>
    <t>1899 SECOND STREET</t>
  </si>
  <si>
    <t>31306269</t>
  </si>
  <si>
    <t>ETTA</t>
  </si>
  <si>
    <t>90679671</t>
  </si>
  <si>
    <t>TOWNHOUSE</t>
  </si>
  <si>
    <t>111 WACKER DR</t>
  </si>
  <si>
    <t>81134447</t>
  </si>
  <si>
    <t>ORLAND OASIS</t>
  </si>
  <si>
    <t>14306 UNION AVE</t>
  </si>
  <si>
    <t>10230084</t>
  </si>
  <si>
    <t>DON'S DRIVE INN</t>
  </si>
  <si>
    <t>2373 WASHINGTON RD</t>
  </si>
  <si>
    <t>21203963</t>
  </si>
  <si>
    <t>THE SHANTY</t>
  </si>
  <si>
    <t>38987 RT 41</t>
  </si>
  <si>
    <t>80725971</t>
  </si>
  <si>
    <t>EGGSPERIENCE/CHGO*COLL**</t>
  </si>
  <si>
    <t>35 W. ONTARIO</t>
  </si>
  <si>
    <t>90575754</t>
  </si>
  <si>
    <t>EVANGELINE'S **COLL**</t>
  </si>
  <si>
    <t>15521 S. ROUTE 59</t>
  </si>
  <si>
    <t>90318957</t>
  </si>
  <si>
    <t>CHICAGO HOT DOG #2686</t>
  </si>
  <si>
    <t>203 YORKTOWN</t>
  </si>
  <si>
    <t>20482717</t>
  </si>
  <si>
    <t>BENEDICTS EGGS AND MO</t>
  </si>
  <si>
    <t>8 S RIVER ST</t>
  </si>
  <si>
    <t>61208096</t>
  </si>
  <si>
    <t>KINFORK NOTE</t>
  </si>
  <si>
    <t>5 WOODFIELD DR</t>
  </si>
  <si>
    <t>21284484</t>
  </si>
  <si>
    <t>FFT CAFE</t>
  </si>
  <si>
    <t>30 S WACKER DR</t>
  </si>
  <si>
    <t>81169724</t>
  </si>
  <si>
    <t>ASIAN KITCHEN</t>
  </si>
  <si>
    <t>1424 E ALGONQUIN RD</t>
  </si>
  <si>
    <t>50373422</t>
  </si>
  <si>
    <t>3840 W. 183RD ST</t>
  </si>
  <si>
    <t>20551974</t>
  </si>
  <si>
    <t>BOUNDARY WATERS LODGE</t>
  </si>
  <si>
    <t>514 N. HALLECK STREET</t>
  </si>
  <si>
    <t>60486388</t>
  </si>
  <si>
    <t>INFINI-TEA</t>
  </si>
  <si>
    <t>902 MAIN STREET</t>
  </si>
  <si>
    <t>11180841</t>
  </si>
  <si>
    <t>POKRO BREWING COMPANY</t>
  </si>
  <si>
    <t>311 N BROAD ST</t>
  </si>
  <si>
    <t>40238479</t>
  </si>
  <si>
    <t>WIDOW NEWTON'S</t>
  </si>
  <si>
    <t>700 E GRAND AVE</t>
  </si>
  <si>
    <t>10878684</t>
  </si>
  <si>
    <t>MAX MCGRAW</t>
  </si>
  <si>
    <t>PO BOX 9</t>
  </si>
  <si>
    <t>40831554</t>
  </si>
  <si>
    <t>VERNONS ON VERNON</t>
  </si>
  <si>
    <t>31099922</t>
  </si>
  <si>
    <t>ROCCO'S LITTLE ITALY</t>
  </si>
  <si>
    <t>7907 W 159TH STREET</t>
  </si>
  <si>
    <t>40081424</t>
  </si>
  <si>
    <t>DISCOVERY ZONE VERNON HIL</t>
  </si>
  <si>
    <t>700 N. MILWAUKEE AVE.</t>
  </si>
  <si>
    <t>31082688</t>
  </si>
  <si>
    <t>TIFFANY'S REST</t>
  </si>
  <si>
    <t>2179 E. TOUHY</t>
  </si>
  <si>
    <t>50987007</t>
  </si>
  <si>
    <t>THE CORNER SPOT CAFE</t>
  </si>
  <si>
    <t>1825 W ROOSEVELT RD</t>
  </si>
  <si>
    <t>91273003</t>
  </si>
  <si>
    <t>OPART THAI NOBLE</t>
  </si>
  <si>
    <t>1371 W CHICAGO AVE</t>
  </si>
  <si>
    <t>81335788</t>
  </si>
  <si>
    <t>VILLAGE TAVERN SCHAUMBURG</t>
  </si>
  <si>
    <t>901 W WISE RD</t>
  </si>
  <si>
    <t>1347525</t>
  </si>
  <si>
    <t>PETITE BOUCHON</t>
  </si>
  <si>
    <t>51182251</t>
  </si>
  <si>
    <t>WEST SIDE GYROS</t>
  </si>
  <si>
    <t>930 W ILLINOIS AVE</t>
  </si>
  <si>
    <t>21272364</t>
  </si>
  <si>
    <t>BRGRBELLY ROSEMONT</t>
  </si>
  <si>
    <t>10986974</t>
  </si>
  <si>
    <t>MITCH'S</t>
  </si>
  <si>
    <t>116 ROUTE 83</t>
  </si>
  <si>
    <t>20500906</t>
  </si>
  <si>
    <t>SALVATORES</t>
  </si>
  <si>
    <t>525 W.ARLINGTON PL</t>
  </si>
  <si>
    <t>51135622</t>
  </si>
  <si>
    <t>CHAOZ SPORTS LOUNGE</t>
  </si>
  <si>
    <t>20631 RENWICK RD</t>
  </si>
  <si>
    <t>60486438</t>
  </si>
  <si>
    <t>OAK LAWN FAMILY REST.</t>
  </si>
  <si>
    <t>5769 WEST 95TH STREET</t>
  </si>
  <si>
    <t>20613667</t>
  </si>
  <si>
    <t>BLOOMINGDALE CAFE :)-CAF</t>
  </si>
  <si>
    <t>24W507 LAKE STREET</t>
  </si>
  <si>
    <t>1342831</t>
  </si>
  <si>
    <t>90318866</t>
  </si>
  <si>
    <t>POPEYES #2284**COLL**</t>
  </si>
  <si>
    <t>7444 S STONY ISLAND BLVD</t>
  </si>
  <si>
    <t>61236287</t>
  </si>
  <si>
    <t>AT THE OFFICE SPORTS BAR</t>
  </si>
  <si>
    <t>1264985</t>
  </si>
  <si>
    <t>LOCKDOWN SMOKED</t>
  </si>
  <si>
    <t>1022 N WESTERN AVE</t>
  </si>
  <si>
    <t>31233125</t>
  </si>
  <si>
    <t>TAKITO KITCHEN SOUTH LOOP</t>
  </si>
  <si>
    <t>20924312</t>
  </si>
  <si>
    <t>SECOND CITY</t>
  </si>
  <si>
    <t>1608 N. WELLS</t>
  </si>
  <si>
    <t>81327199</t>
  </si>
  <si>
    <t>CAJUN BOIL AND BAR OAKBRK</t>
  </si>
  <si>
    <t>17W512 22ND ST</t>
  </si>
  <si>
    <t>11312238</t>
  </si>
  <si>
    <t>ANNA'S RED APPLE</t>
  </si>
  <si>
    <t>2121 PLUM GROVE RD</t>
  </si>
  <si>
    <t>61264818</t>
  </si>
  <si>
    <t>POKEWORKS FULTON MARKET</t>
  </si>
  <si>
    <t>1017 W LAKE ST</t>
  </si>
  <si>
    <t>50425297</t>
  </si>
  <si>
    <t>BUTERA MARKET</t>
  </si>
  <si>
    <t>1500 W GRAND AVE.</t>
  </si>
  <si>
    <t>30718209</t>
  </si>
  <si>
    <t>CLOUD 9</t>
  </si>
  <si>
    <t>604 W. BELMONT AVE</t>
  </si>
  <si>
    <t>398610</t>
  </si>
  <si>
    <t>RONNIE'S EQUIPMENT*COLL**</t>
  </si>
  <si>
    <t>1336114</t>
  </si>
  <si>
    <t>COMEDY SHRINE THEATER</t>
  </si>
  <si>
    <t>4034 FOX VALLEY CENTER DR</t>
  </si>
  <si>
    <t>60523321</t>
  </si>
  <si>
    <t>THE OLIVE CAFE</t>
  </si>
  <si>
    <t>11220 VENTURA DR</t>
  </si>
  <si>
    <t>60697331</t>
  </si>
  <si>
    <t>CHELIOS' PUB/AURORA    :)</t>
  </si>
  <si>
    <t>2150 OGDEN AVENUE</t>
  </si>
  <si>
    <t>70728944</t>
  </si>
  <si>
    <t>J.K. KABOB HOUSE</t>
  </si>
  <si>
    <t>2402 W. ARMY TRAIL RD</t>
  </si>
  <si>
    <t>71290449</t>
  </si>
  <si>
    <t>LEFT COAST FOOD</t>
  </si>
  <si>
    <t>2878 N LINCOLN AVE</t>
  </si>
  <si>
    <t>21341185</t>
  </si>
  <si>
    <t>OLIVE MEDITERRANEAN - EVA</t>
  </si>
  <si>
    <t>1726 SHERMAN AVE</t>
  </si>
  <si>
    <t>51294635</t>
  </si>
  <si>
    <t>LA FOURNETTE</t>
  </si>
  <si>
    <t>1938 W LAKE ST</t>
  </si>
  <si>
    <t>71131346</t>
  </si>
  <si>
    <t>CAFE DESCARTES- WOLCOTT</t>
  </si>
  <si>
    <t>818 S WOLCOTT AVE</t>
  </si>
  <si>
    <t>31212327</t>
  </si>
  <si>
    <t>VICTORY TAP LAGRANGE</t>
  </si>
  <si>
    <t>26 S LA GRANGE RD</t>
  </si>
  <si>
    <t>40551780</t>
  </si>
  <si>
    <t>DUSTY'S BUFFET/DOLTON</t>
  </si>
  <si>
    <t>1321 E SIBLEY</t>
  </si>
  <si>
    <t>DOLTON</t>
  </si>
  <si>
    <t>80430689</t>
  </si>
  <si>
    <t>FOX GARDEN CAFE *COLL*</t>
  </si>
  <si>
    <t>4621 W. ELM</t>
  </si>
  <si>
    <t>60058</t>
  </si>
  <si>
    <t>90878158</t>
  </si>
  <si>
    <t>PORTERHOUSE STEAKS AND SE</t>
  </si>
  <si>
    <t>15W776 N FRONTAGE ROAD</t>
  </si>
  <si>
    <t>50938240</t>
  </si>
  <si>
    <t>ORIENT CAFE</t>
  </si>
  <si>
    <t>14108 S. BELL RD.</t>
  </si>
  <si>
    <t>51281004</t>
  </si>
  <si>
    <t>RANCH ONE</t>
  </si>
  <si>
    <t>1650 PREMIUM OUTLET BLVD</t>
  </si>
  <si>
    <t>91234724</t>
  </si>
  <si>
    <t>SPORTSMAN CLUB</t>
  </si>
  <si>
    <t>948 N WESTERN AVE</t>
  </si>
  <si>
    <t>20591715</t>
  </si>
  <si>
    <t>BROWN'S CHICKEN/MT PROSPE</t>
  </si>
  <si>
    <t>950 E. RAND RD.</t>
  </si>
  <si>
    <t>61344610</t>
  </si>
  <si>
    <t>LA PALAPA</t>
  </si>
  <si>
    <t>200 W. 34TH STREET</t>
  </si>
  <si>
    <t>81132284</t>
  </si>
  <si>
    <t>JERK TACO MAN</t>
  </si>
  <si>
    <t>4001 W JACKSON BLVD</t>
  </si>
  <si>
    <t>30314892</t>
  </si>
  <si>
    <t>CAFE MIO</t>
  </si>
  <si>
    <t>1410 BUSSE</t>
  </si>
  <si>
    <t>51261352</t>
  </si>
  <si>
    <t>FARIMONT SHORES</t>
  </si>
  <si>
    <t>37641 N LAKE SHORE DR</t>
  </si>
  <si>
    <t>11232147</t>
  </si>
  <si>
    <t>3RD STREET STATION</t>
  </si>
  <si>
    <t>300 CRESCENT PL</t>
  </si>
  <si>
    <t>31288012</t>
  </si>
  <si>
    <t>JULLIANNI'S PIZZA</t>
  </si>
  <si>
    <t>7239 COLLEGE DR</t>
  </si>
  <si>
    <t>30552111</t>
  </si>
  <si>
    <t>WING PARK REST *COLL*</t>
  </si>
  <si>
    <t>555 N MCLEAN BLVD</t>
  </si>
  <si>
    <t>81282048</t>
  </si>
  <si>
    <t>5901 W LAWRENCE AVE</t>
  </si>
  <si>
    <t>21080551</t>
  </si>
  <si>
    <t>TAVERN ZEE</t>
  </si>
  <si>
    <t>7958 W. BELMONT AVE.</t>
  </si>
  <si>
    <t>1113356</t>
  </si>
  <si>
    <t>AMIGAS RESTAURANT</t>
  </si>
  <si>
    <t>41113390</t>
  </si>
  <si>
    <t>PETE MILLERS MASTER</t>
  </si>
  <si>
    <t>1234 NEVINS WAY</t>
  </si>
  <si>
    <t>70794276</t>
  </si>
  <si>
    <t>KING CRAB</t>
  </si>
  <si>
    <t>1816 NORTH HALSTED</t>
  </si>
  <si>
    <t>41045626</t>
  </si>
  <si>
    <t>MARELLA'S CUCINA</t>
  </si>
  <si>
    <t>951 W WISE RD</t>
  </si>
  <si>
    <t>80931207</t>
  </si>
  <si>
    <t>GRAND DUKES RESTAURANT</t>
  </si>
  <si>
    <t>6312 S. HARLEM AVE.</t>
  </si>
  <si>
    <t>SUMMIT</t>
  </si>
  <si>
    <t>41160821</t>
  </si>
  <si>
    <t>SWEET CAROLINES CRAB N QU</t>
  </si>
  <si>
    <t>2525 W HIGGINS RD</t>
  </si>
  <si>
    <t>1253228</t>
  </si>
  <si>
    <t>SERGIO'S CANTINA</t>
  </si>
  <si>
    <t>30 W STATE ST</t>
  </si>
  <si>
    <t>90792771</t>
  </si>
  <si>
    <t>CAFE 339</t>
  </si>
  <si>
    <t>339 MAIN ST</t>
  </si>
  <si>
    <t>1173392</t>
  </si>
  <si>
    <t>CORK AND KERRY</t>
  </si>
  <si>
    <t>10614 S WESTERN AVE</t>
  </si>
  <si>
    <t>11210838</t>
  </si>
  <si>
    <t>FRANK'S ON 1ST</t>
  </si>
  <si>
    <t>13 W 1ST ST</t>
  </si>
  <si>
    <t>91236729</t>
  </si>
  <si>
    <t>TACO'S &amp; BURRITO'S RANCHO</t>
  </si>
  <si>
    <t>3444 RIDGE RD</t>
  </si>
  <si>
    <t>71309280</t>
  </si>
  <si>
    <t>REYES STEAK HOUSE</t>
  </si>
  <si>
    <t>420 W TOUHY AVE</t>
  </si>
  <si>
    <t>1320993</t>
  </si>
  <si>
    <t>COUNTRY PANCAKE HOUSE</t>
  </si>
  <si>
    <t>6290 BROADWAY</t>
  </si>
  <si>
    <t>11085248</t>
  </si>
  <si>
    <t>CAFE BORGIA</t>
  </si>
  <si>
    <t>10018 CALUMET AVE</t>
  </si>
  <si>
    <t>70483169</t>
  </si>
  <si>
    <t>KIS REST INC</t>
  </si>
  <si>
    <t>708 NORTH AVE</t>
  </si>
  <si>
    <t>71328207</t>
  </si>
  <si>
    <t>PORK CHOP SOUTH LOOP</t>
  </si>
  <si>
    <t>1017 S DELANO CT E</t>
  </si>
  <si>
    <t>81128688</t>
  </si>
  <si>
    <t>FRONT STREET CANTINA - NA</t>
  </si>
  <si>
    <t>71026900</t>
  </si>
  <si>
    <t>FFF AXION CORP</t>
  </si>
  <si>
    <t>141 W JACKSON BLVD</t>
  </si>
  <si>
    <t>20483327</t>
  </si>
  <si>
    <t>CAFE CENTRAL INC</t>
  </si>
  <si>
    <t>455 CENTRAL</t>
  </si>
  <si>
    <t>118240</t>
  </si>
  <si>
    <t>DISCOVERY ZONE/ORLAND PK</t>
  </si>
  <si>
    <t>15131 LAGRANGE RD</t>
  </si>
  <si>
    <t>31149727</t>
  </si>
  <si>
    <t>BOHEMIAN JOE'S</t>
  </si>
  <si>
    <t>90070780</t>
  </si>
  <si>
    <t>LULU BELLE'S</t>
  </si>
  <si>
    <t>1624 MILWAUKE AVE.</t>
  </si>
  <si>
    <t>60515269</t>
  </si>
  <si>
    <t>THE SILO</t>
  </si>
  <si>
    <t>625 ROCKLAND RD</t>
  </si>
  <si>
    <t>41344417</t>
  </si>
  <si>
    <t>SIDEBAR</t>
  </si>
  <si>
    <t>221 N LASALLE DR</t>
  </si>
  <si>
    <t>91243626</t>
  </si>
  <si>
    <t>HORSE THIEF HOLLOW</t>
  </si>
  <si>
    <t>10422 S WESTERN AVE</t>
  </si>
  <si>
    <t>80462419</t>
  </si>
  <si>
    <t>FLOURCHILDS    **COLL**</t>
  </si>
  <si>
    <t>185 N. MILWAUKEE AVE.</t>
  </si>
  <si>
    <t>10352516</t>
  </si>
  <si>
    <t>VIENNA BEEF</t>
  </si>
  <si>
    <t>1000 W PERSHING RD</t>
  </si>
  <si>
    <t>70958731</t>
  </si>
  <si>
    <t>DREAM SUB</t>
  </si>
  <si>
    <t>ROUTE 83</t>
  </si>
  <si>
    <t>40986143</t>
  </si>
  <si>
    <t>SUMMIE LOTT</t>
  </si>
  <si>
    <t>50937028</t>
  </si>
  <si>
    <t>PERRYS</t>
  </si>
  <si>
    <t>712 DEVON</t>
  </si>
  <si>
    <t>495374</t>
  </si>
  <si>
    <t>RIVERSIDE INN**COLL**</t>
  </si>
  <si>
    <t>801 N RIVER RD</t>
  </si>
  <si>
    <t>91162131</t>
  </si>
  <si>
    <t>THE GAGE STOCKYARD</t>
  </si>
  <si>
    <t>26 S MICHIGAN AVE</t>
  </si>
  <si>
    <t>60994894</t>
  </si>
  <si>
    <t>EL SOL</t>
  </si>
  <si>
    <t>6000 DEMPSTER ST.</t>
  </si>
  <si>
    <t>51001360</t>
  </si>
  <si>
    <t>SILVERLAKE CHINESE RESTAU</t>
  </si>
  <si>
    <t>1236 W LAKE ST</t>
  </si>
  <si>
    <t>70999016</t>
  </si>
  <si>
    <t>DOLCE CASA CAFE</t>
  </si>
  <si>
    <t>4947 N DAMEN</t>
  </si>
  <si>
    <t>51290294</t>
  </si>
  <si>
    <t>DISTRICT KITCHEN AND TAP</t>
  </si>
  <si>
    <t>220 HARRISON ST</t>
  </si>
  <si>
    <t>10617256</t>
  </si>
  <si>
    <t>LETS GO DINER **COLL**</t>
  </si>
  <si>
    <t>1393 N MILWAUKEE AVE</t>
  </si>
  <si>
    <t>21200159</t>
  </si>
  <si>
    <t>JOHNNY'S TAP</t>
  </si>
  <si>
    <t>8050 CALUMET AVE</t>
  </si>
  <si>
    <t>559245</t>
  </si>
  <si>
    <t>225 W. RIDGE RD.</t>
  </si>
  <si>
    <t>31292816</t>
  </si>
  <si>
    <t>NR 90 MILES CUBAN CAFE</t>
  </si>
  <si>
    <t>2540 W ARMITAGE</t>
  </si>
  <si>
    <t>21210620</t>
  </si>
  <si>
    <t>HAMBURGER MARY'S</t>
  </si>
  <si>
    <t>51159127</t>
  </si>
  <si>
    <t>SHORE LOUIE'S</t>
  </si>
  <si>
    <t>151 IL ROUTE 38 UNIT H</t>
  </si>
  <si>
    <t>20912051</t>
  </si>
  <si>
    <t>CHARCOAL DELIGHTS DP</t>
  </si>
  <si>
    <t>1090 E OAKTON ST</t>
  </si>
  <si>
    <t>90336066</t>
  </si>
  <si>
    <t>RAGING BULL **COLL**</t>
  </si>
  <si>
    <t>700 N SHERIDAN RD.</t>
  </si>
  <si>
    <t>41293069</t>
  </si>
  <si>
    <t>JC'S BOCATAS</t>
  </si>
  <si>
    <t>6475 US ROUTE 6</t>
  </si>
  <si>
    <t>568576</t>
  </si>
  <si>
    <t>TLMC-HIGHLAND PARK</t>
  </si>
  <si>
    <t>11249331</t>
  </si>
  <si>
    <t>BEAR DOWN BBQ AND CATERIN</t>
  </si>
  <si>
    <t>290857 S LA GRANGE RD</t>
  </si>
  <si>
    <t>51267409</t>
  </si>
  <si>
    <t>REPLAY</t>
  </si>
  <si>
    <t>5358 N CLARK ST</t>
  </si>
  <si>
    <t>90483512</t>
  </si>
  <si>
    <t>RAVENS CORNER **COLL**</t>
  </si>
  <si>
    <t>2900 W BELMONT AVE</t>
  </si>
  <si>
    <t>51327583</t>
  </si>
  <si>
    <t>EL POBLANO</t>
  </si>
  <si>
    <t>900894</t>
  </si>
  <si>
    <t>ORDER GUIDE</t>
  </si>
  <si>
    <t>123 MALDEN STREET</t>
  </si>
  <si>
    <t>1309244</t>
  </si>
  <si>
    <t>TAO CHICAGO</t>
  </si>
  <si>
    <t>632 N DEARBORN ST</t>
  </si>
  <si>
    <t>81240681</t>
  </si>
  <si>
    <t>THE GREEN GOAT</t>
  </si>
  <si>
    <t>203 S MAIN ST</t>
  </si>
  <si>
    <t>81117228</t>
  </si>
  <si>
    <t>RANGOLI</t>
  </si>
  <si>
    <t>2421 W NORTH AVE</t>
  </si>
  <si>
    <t>61105649</t>
  </si>
  <si>
    <t>DIAMOND BILLIARDS BAR</t>
  </si>
  <si>
    <t>944 E 9TH STREET</t>
  </si>
  <si>
    <t>41022633</t>
  </si>
  <si>
    <t>COUTTLAND  GARAGE</t>
  </si>
  <si>
    <t>1645   WEST   COURTLAND A</t>
  </si>
  <si>
    <t>11335759</t>
  </si>
  <si>
    <t>BULLDOG'S GRILL WAUCONDA</t>
  </si>
  <si>
    <t>122 MAIN STREET</t>
  </si>
  <si>
    <t>10717411</t>
  </si>
  <si>
    <t>KILWIN'S - ORLAND PARK</t>
  </si>
  <si>
    <t>15222 S. LAGRANGE RD.</t>
  </si>
  <si>
    <t>80316177</t>
  </si>
  <si>
    <t>JOEY T'S**COLL**</t>
  </si>
  <si>
    <t>1202 RIVERSIDE DR</t>
  </si>
  <si>
    <t>41084765</t>
  </si>
  <si>
    <t>ANTONIO'S MEXICAN REST.</t>
  </si>
  <si>
    <t>2207 US HIGHWAY 12</t>
  </si>
  <si>
    <t>1086925</t>
  </si>
  <si>
    <t>LA AZTECA</t>
  </si>
  <si>
    <t>1708 FRANKLIN ST</t>
  </si>
  <si>
    <t>40988651</t>
  </si>
  <si>
    <t>NORTH BRANCH PIZZA</t>
  </si>
  <si>
    <t>4520 W. LAKE AVE</t>
  </si>
  <si>
    <t>81023665</t>
  </si>
  <si>
    <t>20449625</t>
  </si>
  <si>
    <t>SANDY'S RESTAURANT</t>
  </si>
  <si>
    <t>7021 W. HIGGINS</t>
  </si>
  <si>
    <t>40748949</t>
  </si>
  <si>
    <t>SUCCULENT SEAFOOD</t>
  </si>
  <si>
    <t>192 W GARTNER #104</t>
  </si>
  <si>
    <t>60808391</t>
  </si>
  <si>
    <t>TOP GOLF</t>
  </si>
  <si>
    <t>699 W. THORNDALE RD</t>
  </si>
  <si>
    <t>21338454</t>
  </si>
  <si>
    <t>BIRDY'S</t>
  </si>
  <si>
    <t>71233860</t>
  </si>
  <si>
    <t>L GRILL</t>
  </si>
  <si>
    <t>9201 E 109TH AVE</t>
  </si>
  <si>
    <t>10534956</t>
  </si>
  <si>
    <t>FROOTS ANTIOCH**COLL**</t>
  </si>
  <si>
    <t>487 E. RT. 173</t>
  </si>
  <si>
    <t>91307009</t>
  </si>
  <si>
    <t>3137 W LOGAN BLVD</t>
  </si>
  <si>
    <t>91116913</t>
  </si>
  <si>
    <t>TOPAZ CAFE</t>
  </si>
  <si>
    <t>780 VILLAGE CENTER DR</t>
  </si>
  <si>
    <t>60390788</t>
  </si>
  <si>
    <t>UNICORN REST.</t>
  </si>
  <si>
    <t>3435 W. 111TH STREET</t>
  </si>
  <si>
    <t>41317892</t>
  </si>
  <si>
    <t>DRINK HAUS</t>
  </si>
  <si>
    <t>820 W JACKSON BLVD</t>
  </si>
  <si>
    <t>51308971</t>
  </si>
  <si>
    <t>TOM KELLY'S CHOPHOUSE AND</t>
  </si>
  <si>
    <t>495 DEGROATE RD</t>
  </si>
  <si>
    <t>71243919</t>
  </si>
  <si>
    <t>JAM &amp; HONEY</t>
  </si>
  <si>
    <t>958 W WEBSTER AVE</t>
  </si>
  <si>
    <t>51001816</t>
  </si>
  <si>
    <t>DIVINO GELATO</t>
  </si>
  <si>
    <t>888 E. BELVIDERE RD.</t>
  </si>
  <si>
    <t>390674</t>
  </si>
  <si>
    <t>CALUMET TOWNSHIP</t>
  </si>
  <si>
    <t>12633 ASHLAND AVE.</t>
  </si>
  <si>
    <t>1195148</t>
  </si>
  <si>
    <t>LA HACIENDA DE ROSELLE</t>
  </si>
  <si>
    <t>35 W IRVING PARK RD</t>
  </si>
  <si>
    <t>20517322</t>
  </si>
  <si>
    <t>BOSTON BLACKIES/GRAND</t>
  </si>
  <si>
    <t>542860</t>
  </si>
  <si>
    <t>HENRY CROWN &amp; CO</t>
  </si>
  <si>
    <t>222 N LASALLE 20TH FLOOR</t>
  </si>
  <si>
    <t>40939050</t>
  </si>
  <si>
    <t>45 NORTH BARN &amp; GRILL</t>
  </si>
  <si>
    <t>43441 NORTH ROUTE 45</t>
  </si>
  <si>
    <t>10082873</t>
  </si>
  <si>
    <t>51 WHEATON TOWN SQUARE</t>
  </si>
  <si>
    <t>40464364</t>
  </si>
  <si>
    <t>ELMWOOD FAMILY REST</t>
  </si>
  <si>
    <t>7725 W. BELMONT AVE.</t>
  </si>
  <si>
    <t>41159518</t>
  </si>
  <si>
    <t>BZ'S TWISTED AMERICAN</t>
  </si>
  <si>
    <t>122 HAWTHORN CENTER UNIT</t>
  </si>
  <si>
    <t>20149357</t>
  </si>
  <si>
    <t>C  H CAFE</t>
  </si>
  <si>
    <t>1578 W ALGONQUIN RD</t>
  </si>
  <si>
    <t>90482647</t>
  </si>
  <si>
    <t>BUFFALO WILD WINGS GR</t>
  </si>
  <si>
    <t>301 E EUCLID AVE</t>
  </si>
  <si>
    <t>60497138</t>
  </si>
  <si>
    <t>PICANTE GRILL **COLL**</t>
  </si>
  <si>
    <t>1626 S. HALSTED</t>
  </si>
  <si>
    <t>60318953</t>
  </si>
  <si>
    <t>CHICAGO HOT DOG</t>
  </si>
  <si>
    <t>3340 HALL LOOP DRIVE</t>
  </si>
  <si>
    <t>90976176</t>
  </si>
  <si>
    <t>CAFE BUONAROS</t>
  </si>
  <si>
    <t>300 EAST 5TH AVENUE</t>
  </si>
  <si>
    <t>81284184</t>
  </si>
  <si>
    <t>TACO MADRE - SOUTH LOOP</t>
  </si>
  <si>
    <t>11332202</t>
  </si>
  <si>
    <t>ED'S KITCHEN</t>
  </si>
  <si>
    <t>3010 HOBSON RD</t>
  </si>
  <si>
    <t>70510987</t>
  </si>
  <si>
    <t>LA MAGDALENA #2</t>
  </si>
  <si>
    <t>950 TOWN CENTER</t>
  </si>
  <si>
    <t>1212422</t>
  </si>
  <si>
    <t>LOLLIPOP</t>
  </si>
  <si>
    <t>9823 LAWRENCE CT</t>
  </si>
  <si>
    <t>21326426</t>
  </si>
  <si>
    <t>GUS'S CORNER GRILLE</t>
  </si>
  <si>
    <t>28800 WAUKEGAN RD</t>
  </si>
  <si>
    <t>11224722</t>
  </si>
  <si>
    <t>PLEASING CUISINE</t>
  </si>
  <si>
    <t>984 CAMELOT DR</t>
  </si>
  <si>
    <t>40613580</t>
  </si>
  <si>
    <t>BUFFALO WINGS AND RINGS</t>
  </si>
  <si>
    <t>60417490</t>
  </si>
  <si>
    <t>RIVERS</t>
  </si>
  <si>
    <t>30 S. WACKER</t>
  </si>
  <si>
    <t>41321019</t>
  </si>
  <si>
    <t>WHIRLYBALL LOMBARD</t>
  </si>
  <si>
    <t>800 E ROOSEVELT RD</t>
  </si>
  <si>
    <t>20484028</t>
  </si>
  <si>
    <t>FORTYONE NORTH AMERIC</t>
  </si>
  <si>
    <t>445 SKOKIE BLVD</t>
  </si>
  <si>
    <t>80950462</t>
  </si>
  <si>
    <t>NEIGHBORHOOD INN &amp; GRILL</t>
  </si>
  <si>
    <t>2322 HASSELL RD</t>
  </si>
  <si>
    <t>81155426</t>
  </si>
  <si>
    <t>CARIBBEAN CORNER</t>
  </si>
  <si>
    <t>4948 MAIN ST</t>
  </si>
  <si>
    <t>40343865</t>
  </si>
  <si>
    <t>MAXWELL'S RESTAURANT</t>
  </si>
  <si>
    <t>6415 W DEMPSTER AVE</t>
  </si>
  <si>
    <t>61046058</t>
  </si>
  <si>
    <t>PAULINE'S 2</t>
  </si>
  <si>
    <t>1337 W. FULLERTON</t>
  </si>
  <si>
    <t>61046827</t>
  </si>
  <si>
    <t>MINDFUL KITCHEN</t>
  </si>
  <si>
    <t>250 N EVERGREEN</t>
  </si>
  <si>
    <t>21166327</t>
  </si>
  <si>
    <t>CARLOS RIVER GRILL</t>
  </si>
  <si>
    <t>1707 NISH RD</t>
  </si>
  <si>
    <t>60509403</t>
  </si>
  <si>
    <t>PLAZA CAFE - FRANKFORT</t>
  </si>
  <si>
    <t>81078297</t>
  </si>
  <si>
    <t>GREEN STREET SMOKED MEATS</t>
  </si>
  <si>
    <t>112 N GREEN ST</t>
  </si>
  <si>
    <t>1044668</t>
  </si>
  <si>
    <t>JUT'S</t>
  </si>
  <si>
    <t>1531 WEST TAYLOR ST</t>
  </si>
  <si>
    <t>11040631</t>
  </si>
  <si>
    <t>BARTOLI'S</t>
  </si>
  <si>
    <t>1955 W. ADDISON</t>
  </si>
  <si>
    <t>1289214</t>
  </si>
  <si>
    <t>ROYAL PALMS SHUFFLEBOARD</t>
  </si>
  <si>
    <t>1750 N MILWAUKEE AVE</t>
  </si>
  <si>
    <t>1201318</t>
  </si>
  <si>
    <t>TRADITION</t>
  </si>
  <si>
    <t>160 N FRANKLIN ST</t>
  </si>
  <si>
    <t>81319154</t>
  </si>
  <si>
    <t>CMM MALCOLM X CAFE SUPPLY</t>
  </si>
  <si>
    <t>51316768</t>
  </si>
  <si>
    <t>INTERNATIONAL SANDWICH SH</t>
  </si>
  <si>
    <t>1 N FRANKLIN ST</t>
  </si>
  <si>
    <t>41212325</t>
  </si>
  <si>
    <t>ARMAND'S VICTORY TAP LOMB</t>
  </si>
  <si>
    <t>346 YORKTOWN SHOPPING CTR</t>
  </si>
  <si>
    <t>928044</t>
  </si>
  <si>
    <t>TRAVERSO'S ITALIAN RESTAU</t>
  </si>
  <si>
    <t>2523 PLAINFIELD NAPERVILL</t>
  </si>
  <si>
    <t>71238059</t>
  </si>
  <si>
    <t>TACO JOINT HALSTED NOTE</t>
  </si>
  <si>
    <t>1967 N HALSTED</t>
  </si>
  <si>
    <t>21252549</t>
  </si>
  <si>
    <t>STANDARD MARKET GRILL</t>
  </si>
  <si>
    <t>444 W FULLERTON PKWY</t>
  </si>
  <si>
    <t>60635935</t>
  </si>
  <si>
    <t>STADIUM SPORTS CLUB&amp;PIZZA</t>
  </si>
  <si>
    <t>769 HOLIDAY LN</t>
  </si>
  <si>
    <t>81243917</t>
  </si>
  <si>
    <t>FRANCOS  RISTORANTE</t>
  </si>
  <si>
    <t>300 W 31ST ST</t>
  </si>
  <si>
    <t>87130</t>
  </si>
  <si>
    <t>PASTEUR RESTAURANT</t>
  </si>
  <si>
    <t>4759 N SHERIDAN RD</t>
  </si>
  <si>
    <t>10653087</t>
  </si>
  <si>
    <t>STONEY RIVER</t>
  </si>
  <si>
    <t>10905594</t>
  </si>
  <si>
    <t>TROPIK SUN FRUIT AND NUT</t>
  </si>
  <si>
    <t>524 N. MILWAUKEE AVE</t>
  </si>
  <si>
    <t>51221844</t>
  </si>
  <si>
    <t>MATHERS MORE THAN A CAFE</t>
  </si>
  <si>
    <t>33 E 83RD ST</t>
  </si>
  <si>
    <t>61299236</t>
  </si>
  <si>
    <t>PALOS HILLS PANCAKE HOUSE</t>
  </si>
  <si>
    <t>10719 S ROBERTS RD</t>
  </si>
  <si>
    <t>31313364</t>
  </si>
  <si>
    <t>3145 HWY 20 #208</t>
  </si>
  <si>
    <t>41117193</t>
  </si>
  <si>
    <t>FROST NAPERVILLE</t>
  </si>
  <si>
    <t>50 S MAIN ST</t>
  </si>
  <si>
    <t>21034244</t>
  </si>
  <si>
    <t>KING CAFE</t>
  </si>
  <si>
    <t>900 NORTH MICHIGAN AVE</t>
  </si>
  <si>
    <t>61291894</t>
  </si>
  <si>
    <t>AMERICANOS LLC</t>
  </si>
  <si>
    <t>11060 S WESTERN AVE</t>
  </si>
  <si>
    <t>41346834</t>
  </si>
  <si>
    <t>FATPOUR TAP WORKS MCCORMI</t>
  </si>
  <si>
    <t>2206 S INDIANA AVE</t>
  </si>
  <si>
    <t>40994733</t>
  </si>
  <si>
    <t>TACO NANO</t>
  </si>
  <si>
    <t>1743 ORCHARD LANE</t>
  </si>
  <si>
    <t>60521259</t>
  </si>
  <si>
    <t>ROSA'S TRATTORIA</t>
  </si>
  <si>
    <t>6833 22ND AVE</t>
  </si>
  <si>
    <t>21129366</t>
  </si>
  <si>
    <t>THE LINCOLN CAFE</t>
  </si>
  <si>
    <t>6599 N. LINCOLN</t>
  </si>
  <si>
    <t>50158724</t>
  </si>
  <si>
    <t>WILD CHERRY</t>
  </si>
  <si>
    <t>1576 N MILWAUKEE AVE</t>
  </si>
  <si>
    <t>51223352</t>
  </si>
  <si>
    <t>TRADER TODDS 3Y EDI OG</t>
  </si>
  <si>
    <t>3216 N SHEFFIELD AVE</t>
  </si>
  <si>
    <t>878728</t>
  </si>
  <si>
    <t>TOMATO HEAD</t>
  </si>
  <si>
    <t>945 W RANDOLPH</t>
  </si>
  <si>
    <t>60211000</t>
  </si>
  <si>
    <t>MARQUETTE INN  **COLL**</t>
  </si>
  <si>
    <t>306 W. ADAMS</t>
  </si>
  <si>
    <t>61347084</t>
  </si>
  <si>
    <t>SALSA STREET SLEEPY HOLLO</t>
  </si>
  <si>
    <t>1025 W MAIN ST</t>
  </si>
  <si>
    <t>SLEEPY HOLLOW</t>
  </si>
  <si>
    <t>10933885</t>
  </si>
  <si>
    <t>TOM AND JERRY'S</t>
  </si>
  <si>
    <t>1670 DEKALB AVE</t>
  </si>
  <si>
    <t>60482783</t>
  </si>
  <si>
    <t>FUN HARBOR FAM ENTERT</t>
  </si>
  <si>
    <t>651 LAKEHURST RD</t>
  </si>
  <si>
    <t>10621050</t>
  </si>
  <si>
    <t>OLD TOWN SOCIAL/OPENING**</t>
  </si>
  <si>
    <t>455 W. NORTH AVE</t>
  </si>
  <si>
    <t>1294826</t>
  </si>
  <si>
    <t>IVY'S BOHEMIA HOUSE</t>
  </si>
  <si>
    <t>321 BROADWAY</t>
  </si>
  <si>
    <t>71335475</t>
  </si>
  <si>
    <t>CAFE DACHA</t>
  </si>
  <si>
    <t>21246541</t>
  </si>
  <si>
    <t>PUMP ROOM</t>
  </si>
  <si>
    <t>1301 S STATE ST</t>
  </si>
  <si>
    <t>71047302</t>
  </si>
  <si>
    <t>GEORGE'S GYROS SPOT</t>
  </si>
  <si>
    <t>325 N CALUMET ROAD</t>
  </si>
  <si>
    <t>80029275</t>
  </si>
  <si>
    <t>LAUER'S IN-TOWN REST</t>
  </si>
  <si>
    <t>34 154TH PL</t>
  </si>
  <si>
    <t>30504856</t>
  </si>
  <si>
    <t>MICHAEL REST**COLL**</t>
  </si>
  <si>
    <t>71023659</t>
  </si>
  <si>
    <t>70649918</t>
  </si>
  <si>
    <t>JOHNNY'S ITALIAN BEEF AND</t>
  </si>
  <si>
    <t>7511 LEMONT ROAD</t>
  </si>
  <si>
    <t>90552159</t>
  </si>
  <si>
    <t>NOUNOS  **COLL**</t>
  </si>
  <si>
    <t>6 N 559 RT 25</t>
  </si>
  <si>
    <t>41331653</t>
  </si>
  <si>
    <t>LUPITAS COCINA</t>
  </si>
  <si>
    <t>40W222 LAFOX RD</t>
  </si>
  <si>
    <t>11276326</t>
  </si>
  <si>
    <t>NAXOS A GREEK ISLAND REST</t>
  </si>
  <si>
    <t>933 W IRVING PARK RD</t>
  </si>
  <si>
    <t>1076959</t>
  </si>
  <si>
    <t>CHEFS BURGER BISTRO</t>
  </si>
  <si>
    <t>91026898</t>
  </si>
  <si>
    <t>FFF BAISI THIA</t>
  </si>
  <si>
    <t>900 NORTH MICHIGAN</t>
  </si>
  <si>
    <t>51134187</t>
  </si>
  <si>
    <t>DREWS ON HALSTED</t>
  </si>
  <si>
    <t>3201 N HALSTED ST</t>
  </si>
  <si>
    <t>71316848</t>
  </si>
  <si>
    <t>439 OGDEN AVE</t>
  </si>
  <si>
    <t>90339805</t>
  </si>
  <si>
    <t>LYDIA'S CAFE'</t>
  </si>
  <si>
    <t>1710 RURAL STREET</t>
  </si>
  <si>
    <t>41101999</t>
  </si>
  <si>
    <t>KRYSTYNA'S DELI SCHILLER</t>
  </si>
  <si>
    <t>9500 W IRVING PARK</t>
  </si>
  <si>
    <t>60483591</t>
  </si>
  <si>
    <t>AM DISTRIBUTORS</t>
  </si>
  <si>
    <t>1700 W 16TH ST</t>
  </si>
  <si>
    <t>40496788</t>
  </si>
  <si>
    <t>MARIE'S PIZZERIA&amp;LIQUORS</t>
  </si>
  <si>
    <t>4129 W LAWRENCE AVENUE</t>
  </si>
  <si>
    <t>831404</t>
  </si>
  <si>
    <t>CARBON LIVE FIRE MEXICAN</t>
  </si>
  <si>
    <t>300 W. 26TH STREET</t>
  </si>
  <si>
    <t>70993530</t>
  </si>
  <si>
    <t>PIZZERIA BOMBOLA NT 12/13</t>
  </si>
  <si>
    <t>2901 OGDEN AVE</t>
  </si>
  <si>
    <t>60030186</t>
  </si>
  <si>
    <t>MONROE CLUB</t>
  </si>
  <si>
    <t>111 W MONROE  23RD FL</t>
  </si>
  <si>
    <t>90885773</t>
  </si>
  <si>
    <t>ZAPATISTA REST</t>
  </si>
  <si>
    <t>991 WILLOW ROAD</t>
  </si>
  <si>
    <t>40579120</t>
  </si>
  <si>
    <t>501 BARTLETT RD</t>
  </si>
  <si>
    <t>80542590</t>
  </si>
  <si>
    <t>SWEET DREAMS CAFE</t>
  </si>
  <si>
    <t>1107 WAUKEGAN RD.</t>
  </si>
  <si>
    <t>21226980</t>
  </si>
  <si>
    <t>ZAM, LLC</t>
  </si>
  <si>
    <t>6240 N LA CROSSE AVE</t>
  </si>
  <si>
    <t>41251067</t>
  </si>
  <si>
    <t>THE GALWAY ARMS</t>
  </si>
  <si>
    <t>2442 N CLARK ST</t>
  </si>
  <si>
    <t>1339829</t>
  </si>
  <si>
    <t>GENE &amp; GEORGETTI</t>
  </si>
  <si>
    <t>9421 W HIGGINS RD</t>
  </si>
  <si>
    <t>90552670</t>
  </si>
  <si>
    <t>ROUTE 10 BAR &amp; GRILL</t>
  </si>
  <si>
    <t>613 W. TALMER AVE.</t>
  </si>
  <si>
    <t>81305898</t>
  </si>
  <si>
    <t>SURFS UP MAYWOOD</t>
  </si>
  <si>
    <t>713 W ROOSEVELT RD</t>
  </si>
  <si>
    <t>MAYWOOD</t>
  </si>
  <si>
    <t>61230553</t>
  </si>
  <si>
    <t>WOODSCREEK TAVERN</t>
  </si>
  <si>
    <t>251 N RANDALL RD</t>
  </si>
  <si>
    <t>21264791</t>
  </si>
  <si>
    <t>41119801</t>
  </si>
  <si>
    <t>PEPPER PARK COFFEE</t>
  </si>
  <si>
    <t>22000 N PEPPER RD</t>
  </si>
  <si>
    <t>LAKE BARRINGTON</t>
  </si>
  <si>
    <t>51212108</t>
  </si>
  <si>
    <t>GRANDMA'S HOUSE OF PANCAK</t>
  </si>
  <si>
    <t>502 STATE ST</t>
  </si>
  <si>
    <t>21334446</t>
  </si>
  <si>
    <t>PIERCE TAVERN</t>
  </si>
  <si>
    <t>5135 MAIN ST</t>
  </si>
  <si>
    <t>30447734</t>
  </si>
  <si>
    <t>BON A PIT GRILL &amp; SMOKHSE</t>
  </si>
  <si>
    <t>12200 SOUTH HARLEM AVENUE</t>
  </si>
  <si>
    <t>61330080</t>
  </si>
  <si>
    <t>REWIRED CAFE EDGEWATER</t>
  </si>
  <si>
    <t>1107 BERWYN</t>
  </si>
  <si>
    <t>80318876</t>
  </si>
  <si>
    <t>POPEYES #2840**COLL**</t>
  </si>
  <si>
    <t>7617 S RACINE AVE</t>
  </si>
  <si>
    <t>60418035</t>
  </si>
  <si>
    <t>HOUSE OF KICKS **COLL**</t>
  </si>
  <si>
    <t>901 E.  95TH STREET</t>
  </si>
  <si>
    <t>50793587</t>
  </si>
  <si>
    <t>JAMES PIZZA-DO NOT SHIP</t>
  </si>
  <si>
    <t>1167444</t>
  </si>
  <si>
    <t>SMOKEHOUSE WINGS &amp; RIBS</t>
  </si>
  <si>
    <t>1100 BROADWAY</t>
  </si>
  <si>
    <t>61162152</t>
  </si>
  <si>
    <t>HEATHERS DINER</t>
  </si>
  <si>
    <t>507 HALLECK</t>
  </si>
  <si>
    <t>70483615</t>
  </si>
  <si>
    <t>WITTS</t>
  </si>
  <si>
    <t>2913 W LINCOLN AVE</t>
  </si>
  <si>
    <t>61091575</t>
  </si>
  <si>
    <t>GAELIC PARK</t>
  </si>
  <si>
    <t>6119 147TH ST.</t>
  </si>
  <si>
    <t>30718456</t>
  </si>
  <si>
    <t>ASIAN BOWL</t>
  </si>
  <si>
    <t>15 COMMERCE DRIVE</t>
  </si>
  <si>
    <t>50080159</t>
  </si>
  <si>
    <t>STONES BONES/MERRVL*COLL*</t>
  </si>
  <si>
    <t>2225 W LINCOLN HWY</t>
  </si>
  <si>
    <t>80719644</t>
  </si>
  <si>
    <t>BEEF VILLA EAST</t>
  </si>
  <si>
    <t>2055 DUNDEE AVE</t>
  </si>
  <si>
    <t>61264198</t>
  </si>
  <si>
    <t>MCMAE'S GLEN ELLYN</t>
  </si>
  <si>
    <t>411 N MAIN ST</t>
  </si>
  <si>
    <t>61031456</t>
  </si>
  <si>
    <t>REZA'S RIVER NORTH</t>
  </si>
  <si>
    <t>432 W. ONTARIO</t>
  </si>
  <si>
    <t>10551901</t>
  </si>
  <si>
    <t>CLEARWATER</t>
  </si>
  <si>
    <t>96 W MAIN STREET</t>
  </si>
  <si>
    <t>1220524</t>
  </si>
  <si>
    <t>SCHERERVILLE LOUNGE</t>
  </si>
  <si>
    <t>48 E JOLIET ST</t>
  </si>
  <si>
    <t>91318378</t>
  </si>
  <si>
    <t>JOHNNIES ROUND THE CLOCK</t>
  </si>
  <si>
    <t>1800 81ST AVE</t>
  </si>
  <si>
    <t>11143112</t>
  </si>
  <si>
    <t>PIZZA READY</t>
  </si>
  <si>
    <t>2222 ALGONQUIN</t>
  </si>
  <si>
    <t>40440752</t>
  </si>
  <si>
    <t>DEVONSHIRE AQUATIC CENTER</t>
  </si>
  <si>
    <t>4400 GREENWOOD AVE</t>
  </si>
  <si>
    <t>71300289</t>
  </si>
  <si>
    <t>PUBLIC HOUSE/LIVE NATION</t>
  </si>
  <si>
    <t>222 W ONTARIO ST</t>
  </si>
  <si>
    <t>60831476</t>
  </si>
  <si>
    <t>AVLI ESTIATORIO</t>
  </si>
  <si>
    <t>566 CHESTNUT STREET</t>
  </si>
  <si>
    <t>10553675</t>
  </si>
  <si>
    <t>MEL'S DOWNTOWN REST.  @@</t>
  </si>
  <si>
    <t>215 E. STATE ST.</t>
  </si>
  <si>
    <t>MOROCCO</t>
  </si>
  <si>
    <t>47963</t>
  </si>
  <si>
    <t>21092192</t>
  </si>
  <si>
    <t>INDUSTRIAL REVOLUTION</t>
  </si>
  <si>
    <t>1084 LINWOOD AVE L</t>
  </si>
  <si>
    <t>1079029</t>
  </si>
  <si>
    <t>1566 WEST OGDEN AVE</t>
  </si>
  <si>
    <t>80440647</t>
  </si>
  <si>
    <t>OUR DOLLS</t>
  </si>
  <si>
    <t>7925 NEVADA STREET</t>
  </si>
  <si>
    <t>20478939</t>
  </si>
  <si>
    <t>5152 N.CICERO AVE</t>
  </si>
  <si>
    <t>81275646</t>
  </si>
  <si>
    <t>HOUSE OF KOBE--MERRILLVIL</t>
  </si>
  <si>
    <t>8101 BROADWAY</t>
  </si>
  <si>
    <t>80328172</t>
  </si>
  <si>
    <t>DANIEL'S REST. **COLL**</t>
  </si>
  <si>
    <t>8930 S. HARLEM AVE.</t>
  </si>
  <si>
    <t>30977755</t>
  </si>
  <si>
    <t>REBECCA'S RESTAURANT</t>
  </si>
  <si>
    <t>1234 CONRAD ST.</t>
  </si>
  <si>
    <t>81259905</t>
  </si>
  <si>
    <t>NORMAN'S BISTRO</t>
  </si>
  <si>
    <t>4301 43RD ST</t>
  </si>
  <si>
    <t>61329553</t>
  </si>
  <si>
    <t>JIMMYS CHARHOUSE</t>
  </si>
  <si>
    <t>1413 PETERSON RD</t>
  </si>
  <si>
    <t>51024255</t>
  </si>
  <si>
    <t>HALSTED ST DELI-BANNCKBRN</t>
  </si>
  <si>
    <t>2333 WAUKEGAN RD</t>
  </si>
  <si>
    <t>80974363</t>
  </si>
  <si>
    <t>M. BELLES PIE &amp; BAKE SHOP</t>
  </si>
  <si>
    <t>230 ROBERT PARKER COFFIN</t>
  </si>
  <si>
    <t>51180768</t>
  </si>
  <si>
    <t>HANKS FRANKS</t>
  </si>
  <si>
    <t>9301 BROADWAY</t>
  </si>
  <si>
    <t>10629202</t>
  </si>
  <si>
    <t>1718 W. NORTHWEST HWY</t>
  </si>
  <si>
    <t>71229900</t>
  </si>
  <si>
    <t>JOHNNY Q'S BACKYARD BBQ L</t>
  </si>
  <si>
    <t>6N559 IL ROUTE 25 UNIT B</t>
  </si>
  <si>
    <t>31282858</t>
  </si>
  <si>
    <t>SALONICA</t>
  </si>
  <si>
    <t>1440 E 57TH ST</t>
  </si>
  <si>
    <t>50442078</t>
  </si>
  <si>
    <t>827  RIDGE ROAD</t>
  </si>
  <si>
    <t>20812863</t>
  </si>
  <si>
    <t>PEPPERCORNS RESTAURANT</t>
  </si>
  <si>
    <t>877 EAST GENEVA RD</t>
  </si>
  <si>
    <t>51255537</t>
  </si>
  <si>
    <t>FURIN JAPANESE RESTAURANT</t>
  </si>
  <si>
    <t>21 LINCOLNWAY</t>
  </si>
  <si>
    <t>90552373</t>
  </si>
  <si>
    <t>CHICKEN INN</t>
  </si>
  <si>
    <t>7536 N. MILWAUKEE AVENUE</t>
  </si>
  <si>
    <t>21295381</t>
  </si>
  <si>
    <t>MRS. MURPHY AND SONS IRIS</t>
  </si>
  <si>
    <t>3905 N LINCOLN AVE</t>
  </si>
  <si>
    <t>91166926</t>
  </si>
  <si>
    <t>6714 W BELMONT AVE</t>
  </si>
  <si>
    <t>50451756</t>
  </si>
  <si>
    <t>ROLY POLY/ORLAND **COLL**</t>
  </si>
  <si>
    <t>9121 WEST 159TH STREET</t>
  </si>
  <si>
    <t>ORLAND HILLS</t>
  </si>
  <si>
    <t>51259158</t>
  </si>
  <si>
    <t>GOOD TEQUILAS/ GLENDALE H</t>
  </si>
  <si>
    <t>90792987</t>
  </si>
  <si>
    <t>CASSAVA</t>
  </si>
  <si>
    <t>3338 N. CLARK ST.</t>
  </si>
  <si>
    <t>21330170</t>
  </si>
  <si>
    <t>ART OF DOSA</t>
  </si>
  <si>
    <t>2032 W HUBBARD ST</t>
  </si>
  <si>
    <t>10220937</t>
  </si>
  <si>
    <t>ZANDER'S CAFE</t>
  </si>
  <si>
    <t>21347752</t>
  </si>
  <si>
    <t>ELLAS GYROS INC.</t>
  </si>
  <si>
    <t>5973 N CLARK ST</t>
  </si>
  <si>
    <t>41286089</t>
  </si>
  <si>
    <t>HOSES AND CUFFS</t>
  </si>
  <si>
    <t>8355 INDIANAPOLIS BLVD</t>
  </si>
  <si>
    <t>41196510</t>
  </si>
  <si>
    <t>LUCREZIA ITALIAN RISTORAN</t>
  </si>
  <si>
    <t>302 S MAIN ST</t>
  </si>
  <si>
    <t>50543883</t>
  </si>
  <si>
    <t>MAMA MARIA'S</t>
  </si>
  <si>
    <t>130 W. VALETTE</t>
  </si>
  <si>
    <t>70188248</t>
  </si>
  <si>
    <t>COFFEE CHICAGO #8</t>
  </si>
  <si>
    <t>5256 N BROADWAY AVE</t>
  </si>
  <si>
    <t>464909</t>
  </si>
  <si>
    <t>FOREST CAFE</t>
  </si>
  <si>
    <t>400 HASTINGS</t>
  </si>
  <si>
    <t>50319326</t>
  </si>
  <si>
    <t>POPEYES #2278</t>
  </si>
  <si>
    <t>2605 LINCOLN WAY</t>
  </si>
  <si>
    <t>SOUTH BEND</t>
  </si>
  <si>
    <t>46628</t>
  </si>
  <si>
    <t>30907588</t>
  </si>
  <si>
    <t>PLAYBOOK SPORTS BAR &amp; RES</t>
  </si>
  <si>
    <t>6913 N. MILWAUKEE AVE.</t>
  </si>
  <si>
    <t>80749245</t>
  </si>
  <si>
    <t>SCOOBY'S EXPRESS</t>
  </si>
  <si>
    <t>ACCOUNTS PAYABLE</t>
  </si>
  <si>
    <t>40030132</t>
  </si>
  <si>
    <t>DUSTYS TAP</t>
  </si>
  <si>
    <t>2350 WHITE OAK AV</t>
  </si>
  <si>
    <t>31035181</t>
  </si>
  <si>
    <t>REAL URBAN BBQ/VERNON</t>
  </si>
  <si>
    <t>1260 S. MILWAUKEE AVE</t>
  </si>
  <si>
    <t>40700320</t>
  </si>
  <si>
    <t>5555 S BRAINARD</t>
  </si>
  <si>
    <t>30972798</t>
  </si>
  <si>
    <t>STEVES BAR AND GRILL</t>
  </si>
  <si>
    <t>2 MAIN ST</t>
  </si>
  <si>
    <t>51043164</t>
  </si>
  <si>
    <t>BAR BAKOA</t>
  </si>
  <si>
    <t>1341 BUTTERFIELD ROAD</t>
  </si>
  <si>
    <t>91059238</t>
  </si>
  <si>
    <t>SABRI NIHARI</t>
  </si>
  <si>
    <t>2502 W. DEVON AVE.</t>
  </si>
  <si>
    <t>11053162</t>
  </si>
  <si>
    <t>SANKALP RESTAURANT</t>
  </si>
  <si>
    <t>167 W GOLF RD</t>
  </si>
  <si>
    <t>71113286</t>
  </si>
  <si>
    <t>NINI'S DELI</t>
  </si>
  <si>
    <t>543 N. NOBLE ST.</t>
  </si>
  <si>
    <t>10529717</t>
  </si>
  <si>
    <t>THE HARBOUR CLUB</t>
  </si>
  <si>
    <t>25276 W. GRASSLAKE RD.</t>
  </si>
  <si>
    <t>20591699</t>
  </si>
  <si>
    <t>BROWN'S CHICKEN/GURNEE</t>
  </si>
  <si>
    <t>2301 N. HWY 41</t>
  </si>
  <si>
    <t>30520035</t>
  </si>
  <si>
    <t>TEDDY'S RED HOTS/DARIEN:)</t>
  </si>
  <si>
    <t>737 PLAINFIELD RD</t>
  </si>
  <si>
    <t>71310007</t>
  </si>
  <si>
    <t>PARK SIDE CAFE</t>
  </si>
  <si>
    <t>308 W 33RD ST</t>
  </si>
  <si>
    <t>51258341</t>
  </si>
  <si>
    <t>SUSHIVILLA</t>
  </si>
  <si>
    <t>23 W CHICAGO AVE</t>
  </si>
  <si>
    <t>11341864</t>
  </si>
  <si>
    <t>OLIVE MEDITERRANEAN RIVER</t>
  </si>
  <si>
    <t>111 W ILLINOIS ST</t>
  </si>
  <si>
    <t>70955919</t>
  </si>
  <si>
    <t>PITA BELLY 2</t>
  </si>
  <si>
    <t>606 S WABASH</t>
  </si>
  <si>
    <t>80393143</t>
  </si>
  <si>
    <t>502 N DIXIE HWY</t>
  </si>
  <si>
    <t>50889344</t>
  </si>
  <si>
    <t>STARFRUIT</t>
  </si>
  <si>
    <t>2142 N. HALSTED</t>
  </si>
  <si>
    <t>81241028</t>
  </si>
  <si>
    <t>GALATI'S HIDEAWAY</t>
  </si>
  <si>
    <t>800 FEINBERG CT</t>
  </si>
  <si>
    <t>31315385</t>
  </si>
  <si>
    <t>PATRICK'S COOKIE COMPANY</t>
  </si>
  <si>
    <t>1900 N AUSTIN AVE</t>
  </si>
  <si>
    <t>21306386</t>
  </si>
  <si>
    <t>AUSTRIA CAFE 540 W</t>
  </si>
  <si>
    <t>81098931</t>
  </si>
  <si>
    <t>BUFFALO RESTAURANT</t>
  </si>
  <si>
    <t>1180 W. LAKE COOK ROAD</t>
  </si>
  <si>
    <t>51014371</t>
  </si>
  <si>
    <t>RIGO'S CAFE</t>
  </si>
  <si>
    <t>2005 W. COURT ST.</t>
  </si>
  <si>
    <t>10474989</t>
  </si>
  <si>
    <t>THE SPORT CENTER</t>
  </si>
  <si>
    <t>1141 W IRVING PARK RD</t>
  </si>
  <si>
    <t>40482093</t>
  </si>
  <si>
    <t>GROVE BANQUETS**COLL**</t>
  </si>
  <si>
    <t>301 N WEILAND</t>
  </si>
  <si>
    <t>31092190</t>
  </si>
  <si>
    <t>JAY LOVELL'S</t>
  </si>
  <si>
    <t>766 SHERIDAN ROAD</t>
  </si>
  <si>
    <t>50042639</t>
  </si>
  <si>
    <t>HUNGRY LAD EXPRESS #1</t>
  </si>
  <si>
    <t>3626 E JEFFERSON BLVD</t>
  </si>
  <si>
    <t>46634</t>
  </si>
  <si>
    <t>393157</t>
  </si>
  <si>
    <t>MICKEY'S GYROS XI</t>
  </si>
  <si>
    <t>1701 NORTH LARKIN</t>
  </si>
  <si>
    <t>71232029</t>
  </si>
  <si>
    <t>BARREL HOUSE SOCIAL#10200</t>
  </si>
  <si>
    <t>100 W BURLINGTON AVE</t>
  </si>
  <si>
    <t>30482129</t>
  </si>
  <si>
    <t>SANGRIA CAFE  &amp; TAPAS</t>
  </si>
  <si>
    <t>901 WEED ST</t>
  </si>
  <si>
    <t>31212376</t>
  </si>
  <si>
    <t>EMILIO'S TAPAS</t>
  </si>
  <si>
    <t>4100 ROOSEVELT RD</t>
  </si>
  <si>
    <t>60483716</t>
  </si>
  <si>
    <t>MAGIC WITH  SMILES</t>
  </si>
  <si>
    <t>1838 LUCYLLE CRT</t>
  </si>
  <si>
    <t>51342988</t>
  </si>
  <si>
    <t>CAJUN BOIL AND BAR ORLAND</t>
  </si>
  <si>
    <t>15200 S 94TH AVE</t>
  </si>
  <si>
    <t>71046098</t>
  </si>
  <si>
    <t>LOS AZARES</t>
  </si>
  <si>
    <t>7148 N. HARLEM AVE.</t>
  </si>
  <si>
    <t>41081944</t>
  </si>
  <si>
    <t>BURRITO JALISCO # 3 ALSIP</t>
  </si>
  <si>
    <t>11950 S CICERO AVE</t>
  </si>
  <si>
    <t>81270209</t>
  </si>
  <si>
    <t>YORKY'S</t>
  </si>
  <si>
    <t>836 N YORK ST</t>
  </si>
  <si>
    <t>1267558</t>
  </si>
  <si>
    <t>LA FONDA RESTAURANT</t>
  </si>
  <si>
    <t>5350 N BROADWAY ST</t>
  </si>
  <si>
    <t>50938893</t>
  </si>
  <si>
    <t>SANKALP</t>
  </si>
  <si>
    <t>1014 S ELMHURST RD</t>
  </si>
  <si>
    <t>91328500</t>
  </si>
  <si>
    <t>EGGSPERIENCE PARK RIDGE</t>
  </si>
  <si>
    <t>90 N NORTHWEST HWY</t>
  </si>
  <si>
    <t>50552223</t>
  </si>
  <si>
    <t>DRENA'S BAR **COLL**</t>
  </si>
  <si>
    <t>636 N 700 W</t>
  </si>
  <si>
    <t>10495992</t>
  </si>
  <si>
    <t>THE PICKLE DELI**COLL**</t>
  </si>
  <si>
    <t>374 NORTHWEST HWY</t>
  </si>
  <si>
    <t>91325795</t>
  </si>
  <si>
    <t>BISTRO ON THE GREENS</t>
  </si>
  <si>
    <t>299 W JOHNSON RD</t>
  </si>
  <si>
    <t>80652175</t>
  </si>
  <si>
    <t>EGGLECTIC CAFE</t>
  </si>
  <si>
    <t>2906 ALGONQUIN RD</t>
  </si>
  <si>
    <t>11333176</t>
  </si>
  <si>
    <t>BUDLONG MERCHANDISE MART</t>
  </si>
  <si>
    <t>41314428</t>
  </si>
  <si>
    <t>COZY CORNER HARLEM</t>
  </si>
  <si>
    <t>1318120</t>
  </si>
  <si>
    <t>JOHNNY'S ROUND THE CLOCK</t>
  </si>
  <si>
    <t>1800 W 81ST AVE</t>
  </si>
  <si>
    <t>10636108</t>
  </si>
  <si>
    <t>FATHER &amp; SON BAKERY</t>
  </si>
  <si>
    <t>645 W. NORTH AVE.</t>
  </si>
  <si>
    <t>80483787</t>
  </si>
  <si>
    <t>MAEVE</t>
  </si>
  <si>
    <t>1325 W WRIGHTWOOD</t>
  </si>
  <si>
    <t>70735899</t>
  </si>
  <si>
    <t>MARIO'S PIZZA</t>
  </si>
  <si>
    <t>522 S ROSELLE RD</t>
  </si>
  <si>
    <t>30954630</t>
  </si>
  <si>
    <t>PRAIRIE ROCK GRILL</t>
  </si>
  <si>
    <t>127 S GROVE</t>
  </si>
  <si>
    <t>525063</t>
  </si>
  <si>
    <t>HANNAH'S BRETZEL MICHIGAN</t>
  </si>
  <si>
    <t>233 N. MICHIGAN</t>
  </si>
  <si>
    <t>60496130</t>
  </si>
  <si>
    <t>STATE RESTAURANT**COLL**</t>
  </si>
  <si>
    <t>935 W WEBSTER AVE</t>
  </si>
  <si>
    <t>90436056</t>
  </si>
  <si>
    <t>HAPPY VALLEY CORP. OFFICE</t>
  </si>
  <si>
    <t>726 LAKE STREET</t>
  </si>
  <si>
    <t>81273716</t>
  </si>
  <si>
    <t>LA BOMBA</t>
  </si>
  <si>
    <t>3221 W ARMITAGE AVE</t>
  </si>
  <si>
    <t>71261010</t>
  </si>
  <si>
    <t>GYRADIKO :)</t>
  </si>
  <si>
    <t>142 S WESTERN AVE</t>
  </si>
  <si>
    <t>30942064</t>
  </si>
  <si>
    <t>HINKS</t>
  </si>
  <si>
    <t>123 SOUTH CALIFORNIA</t>
  </si>
  <si>
    <t>20939401</t>
  </si>
  <si>
    <t>PROST</t>
  </si>
  <si>
    <t>2566 N LINCOLN AVE</t>
  </si>
  <si>
    <t>21255229</t>
  </si>
  <si>
    <t>TAQUERIA EL MEZCAL</t>
  </si>
  <si>
    <t>1310 N LEWIS AVE</t>
  </si>
  <si>
    <t>20148995</t>
  </si>
  <si>
    <t>GRILL CHARBROILED**COLL**</t>
  </si>
  <si>
    <t>1264B EAST CHICAGO  AV</t>
  </si>
  <si>
    <t>80483852</t>
  </si>
  <si>
    <t>EMILS,,</t>
  </si>
  <si>
    <t>604 N LAKE ST</t>
  </si>
  <si>
    <t>789990</t>
  </si>
  <si>
    <t>TLMC-EVANSTON</t>
  </si>
  <si>
    <t>1010 CHURCH STREET</t>
  </si>
  <si>
    <t>61105029</t>
  </si>
  <si>
    <t>TOP DOG/GREAT LAKES</t>
  </si>
  <si>
    <t>701 WASHINGTON STREET</t>
  </si>
  <si>
    <t>41083148</t>
  </si>
  <si>
    <t>BAILEYS</t>
  </si>
  <si>
    <t>17731 OAK PARK AVE</t>
  </si>
  <si>
    <t>40483349</t>
  </si>
  <si>
    <t>LE LAN</t>
  </si>
  <si>
    <t>749 N CLARK ST</t>
  </si>
  <si>
    <t>21282827</t>
  </si>
  <si>
    <t>KIZUKI RAMEN &amp; IZAKAYA</t>
  </si>
  <si>
    <t>1482 N MILWAUKEE AVE</t>
  </si>
  <si>
    <t>30959779</t>
  </si>
  <si>
    <t>4 S CONVENIENCE CTR</t>
  </si>
  <si>
    <t>61212320</t>
  </si>
  <si>
    <t>HB JONES</t>
  </si>
  <si>
    <t>551 S YORK ST</t>
  </si>
  <si>
    <t>70527551</t>
  </si>
  <si>
    <t>VIETNAM BISTRO</t>
  </si>
  <si>
    <t>600 EAST NORTH AVE</t>
  </si>
  <si>
    <t>80187065</t>
  </si>
  <si>
    <t>JESSIE'S  **COLL**</t>
  </si>
  <si>
    <t>147 E COURT ST</t>
  </si>
  <si>
    <t>20569430</t>
  </si>
  <si>
    <t>BENEDICTS LA STRATA</t>
  </si>
  <si>
    <t>40 N. WILLIAMS</t>
  </si>
  <si>
    <t>61259909</t>
  </si>
  <si>
    <t>70146808</t>
  </si>
  <si>
    <t>DISCOVERY ZONE/PALATINE</t>
  </si>
  <si>
    <t>1345 N RAND RD</t>
  </si>
  <si>
    <t>70591581</t>
  </si>
  <si>
    <t>BROWN'S CHICKEN/AURORA</t>
  </si>
  <si>
    <t>2115 W. GALENA BLVD.</t>
  </si>
  <si>
    <t>1018894</t>
  </si>
  <si>
    <t>FUEL</t>
  </si>
  <si>
    <t>1222 WASHINGTON COURT</t>
  </si>
  <si>
    <t>11172335</t>
  </si>
  <si>
    <t>20484671</t>
  </si>
  <si>
    <t>RESTAURANT LA JUST.*COLL*</t>
  </si>
  <si>
    <t>3901 W 26TH ST</t>
  </si>
  <si>
    <t>80546732</t>
  </si>
  <si>
    <t>D'S BBQ **COLL**</t>
  </si>
  <si>
    <t>9708 N RT 47</t>
  </si>
  <si>
    <t>70502356</t>
  </si>
  <si>
    <t>FRANK'S CHGO SHRIMP HOUSE</t>
  </si>
  <si>
    <t>4459 S. ARCHER AVE</t>
  </si>
  <si>
    <t>50951110</t>
  </si>
  <si>
    <t>JOHN&amp;TONYS</t>
  </si>
  <si>
    <t>27W371 NORTH AVE</t>
  </si>
  <si>
    <t>50955285</t>
  </si>
  <si>
    <t>RAVEN</t>
  </si>
  <si>
    <t>616 E GOLF RD.</t>
  </si>
  <si>
    <t>91105932</t>
  </si>
  <si>
    <t>O'SHAUGHNESSY'S</t>
  </si>
  <si>
    <t>4557 N. RAVENSWOOD</t>
  </si>
  <si>
    <t>41105925</t>
  </si>
  <si>
    <t>THE MILL BAR &amp; GRILL INC</t>
  </si>
  <si>
    <t>295 MELTON RD</t>
  </si>
  <si>
    <t>BURNS HARBOR</t>
  </si>
  <si>
    <t>1314350</t>
  </si>
  <si>
    <t>DONKEY INN PALATINE</t>
  </si>
  <si>
    <t>923 S PLUM GROVE RD</t>
  </si>
  <si>
    <t>91340703</t>
  </si>
  <si>
    <t>JO JO'S MILK BAR COMMISSA</t>
  </si>
  <si>
    <t>1438 W CORTLAND ST</t>
  </si>
  <si>
    <t>60653813</t>
  </si>
  <si>
    <t>71306153</t>
  </si>
  <si>
    <t>TIKKAWALA</t>
  </si>
  <si>
    <t>1258 W JACKSON BLVD</t>
  </si>
  <si>
    <t>90575085</t>
  </si>
  <si>
    <t>DEPPE'S DOGHOUSE**COLL**</t>
  </si>
  <si>
    <t>925 CENTRAL AVENUE</t>
  </si>
  <si>
    <t>10510733</t>
  </si>
  <si>
    <t>REDFISH - CHICAGO</t>
  </si>
  <si>
    <t>400 NORTH STATE</t>
  </si>
  <si>
    <t>81049447</t>
  </si>
  <si>
    <t>STEVE'S BAR AND GRILL</t>
  </si>
  <si>
    <t>800 SUPREME DRIVE</t>
  </si>
  <si>
    <t>91047720</t>
  </si>
  <si>
    <t>HOP SCOTCH</t>
  </si>
  <si>
    <t>9743 FRANKLIN AVENUE</t>
  </si>
  <si>
    <t>70030408</t>
  </si>
  <si>
    <t>DAPPERS EAST :)</t>
  </si>
  <si>
    <t>2901 ADDISON</t>
  </si>
  <si>
    <t>31182181</t>
  </si>
  <si>
    <t>HALSTED 1 LINCOLN</t>
  </si>
  <si>
    <t>1 LINCOLN CTR</t>
  </si>
  <si>
    <t>41332008</t>
  </si>
  <si>
    <t>CELESTE</t>
  </si>
  <si>
    <t>111 W HUBBARD ST</t>
  </si>
  <si>
    <t>91237867</t>
  </si>
  <si>
    <t>SHORT FUSE BREWING COMPAN</t>
  </si>
  <si>
    <t>5000 RIVER RD</t>
  </si>
  <si>
    <t>40695850</t>
  </si>
  <si>
    <t>BLARNEY STONE PUB</t>
  </si>
  <si>
    <t>15400 S. CICERO</t>
  </si>
  <si>
    <t>90483942</t>
  </si>
  <si>
    <t>WOO LAE OAK</t>
  </si>
  <si>
    <t>3201 ALGONQUIN RD</t>
  </si>
  <si>
    <t>70478375</t>
  </si>
  <si>
    <t>BRIOSO</t>
  </si>
  <si>
    <t>4603 N.LINCOLN AVE</t>
  </si>
  <si>
    <t>654749</t>
  </si>
  <si>
    <t>YOUR WAY GOURMET*COLL**</t>
  </si>
  <si>
    <t>14121 S CICERO</t>
  </si>
  <si>
    <t>60928025</t>
  </si>
  <si>
    <t>CALOGERO'S</t>
  </si>
  <si>
    <t>135 WASHINGTON ST.</t>
  </si>
  <si>
    <t>61058533</t>
  </si>
  <si>
    <t>THE CELLAR</t>
  </si>
  <si>
    <t>132 N. HALE ST.</t>
  </si>
  <si>
    <t>41289406</t>
  </si>
  <si>
    <t>SAFE HOUSE / WHITE RHINO</t>
  </si>
  <si>
    <t>101 S COURT ST</t>
  </si>
  <si>
    <t>60927977</t>
  </si>
  <si>
    <t>BIG JACKS</t>
  </si>
  <si>
    <t>507 HAINESVILLE RD</t>
  </si>
  <si>
    <t>91299222</t>
  </si>
  <si>
    <t>BLIND PIG</t>
  </si>
  <si>
    <t>3103 E US HIGHWAY 12</t>
  </si>
  <si>
    <t>81329559</t>
  </si>
  <si>
    <t>EGGS INC.</t>
  </si>
  <si>
    <t>680 N LAKE SHORE DR</t>
  </si>
  <si>
    <t>40552499</t>
  </si>
  <si>
    <t>CULINARY FOX CATERERS</t>
  </si>
  <si>
    <t>2090 LARKIN AVE. UNIT 3</t>
  </si>
  <si>
    <t>11148921</t>
  </si>
  <si>
    <t>A J HUDSON'S</t>
  </si>
  <si>
    <t>3801 N ASHLAND AVE</t>
  </si>
  <si>
    <t>51249480</t>
  </si>
  <si>
    <t>SHRIMPS FISH AND  CHICKEN</t>
  </si>
  <si>
    <t>8153 S COTTAGE GROVE AVE</t>
  </si>
  <si>
    <t>91346502</t>
  </si>
  <si>
    <t>PIGGIN OUT ON THE LAKE</t>
  </si>
  <si>
    <t>1000 RIVERWALK DRIVE</t>
  </si>
  <si>
    <t>30134175</t>
  </si>
  <si>
    <t>TRIPLE INN</t>
  </si>
  <si>
    <t>3438 N CLARK ST</t>
  </si>
  <si>
    <t>31317514</t>
  </si>
  <si>
    <t>BUB'S BBQ</t>
  </si>
  <si>
    <t>241 N LIBERTY ST</t>
  </si>
  <si>
    <t>71239321</t>
  </si>
  <si>
    <t>JIMMY K'S</t>
  </si>
  <si>
    <t>1422 RIVERBOAT CENTER DR</t>
  </si>
  <si>
    <t>21307541</t>
  </si>
  <si>
    <t>BURGER THEORY</t>
  </si>
  <si>
    <t>70263124</t>
  </si>
  <si>
    <t>BIG CHILL **COLL**</t>
  </si>
  <si>
    <t>1996 S KIRK RD</t>
  </si>
  <si>
    <t>31307549</t>
  </si>
  <si>
    <t>FULL MOON BAR AND GRILL</t>
  </si>
  <si>
    <t>113 S BATAVIA AVE</t>
  </si>
  <si>
    <t>71051361</t>
  </si>
  <si>
    <t>THE SKYLINE CLUB</t>
  </si>
  <si>
    <t>307 N MICHIGAN AVE</t>
  </si>
  <si>
    <t>90404211</t>
  </si>
  <si>
    <t>CROWN POINT FAMILY CAFE</t>
  </si>
  <si>
    <t>620 E. NORTH ST.</t>
  </si>
  <si>
    <t>11326279</t>
  </si>
  <si>
    <t>BOB'S PIZZA</t>
  </si>
  <si>
    <t>1659 W 21ST ST</t>
  </si>
  <si>
    <t>40559643</t>
  </si>
  <si>
    <t>SALAD SPINNERS **COLL**</t>
  </si>
  <si>
    <t>200 W. MONROE ST.</t>
  </si>
  <si>
    <t>21198536</t>
  </si>
  <si>
    <t>BLUE AGAVE</t>
  </si>
  <si>
    <t>579 W KINZIE ST</t>
  </si>
  <si>
    <t>91076455</t>
  </si>
  <si>
    <t>CORONADO MEXICAN KITCHEN</t>
  </si>
  <si>
    <t>455 REDINGTON DR</t>
  </si>
  <si>
    <t>517995</t>
  </si>
  <si>
    <t>SPRING GARDEN **COLL**</t>
  </si>
  <si>
    <t>51023653</t>
  </si>
  <si>
    <t>71191258</t>
  </si>
  <si>
    <t>JELLYS PANCAKE HOUSE</t>
  </si>
  <si>
    <t>399 E 81ST AVE</t>
  </si>
  <si>
    <t>31049745</t>
  </si>
  <si>
    <t>HALSTED DELI OBT COMM KTN</t>
  </si>
  <si>
    <t>31026420</t>
  </si>
  <si>
    <t>FFF SIENA TAVERN</t>
  </si>
  <si>
    <t>41292632</t>
  </si>
  <si>
    <t>J'S SNACKERY</t>
  </si>
  <si>
    <t>8203 KENNEDY AVE</t>
  </si>
  <si>
    <t>51214989</t>
  </si>
  <si>
    <t>HONEY'S</t>
  </si>
  <si>
    <t>1111 W LAKE ST</t>
  </si>
  <si>
    <t>30943294</t>
  </si>
  <si>
    <t>FROGGY'S CATERING</t>
  </si>
  <si>
    <t>306 GREEN BAY ROAD</t>
  </si>
  <si>
    <t>71144356</t>
  </si>
  <si>
    <t>MACHO'S TACO</t>
  </si>
  <si>
    <t>8350 S. ROBERTS RD</t>
  </si>
  <si>
    <t>JUSTICE</t>
  </si>
  <si>
    <t>11335874</t>
  </si>
  <si>
    <t>10641-45 S PULASKI RD</t>
  </si>
  <si>
    <t>20484978</t>
  </si>
  <si>
    <t>JOEY BUONA'S CHICAGO</t>
  </si>
  <si>
    <t>160 E SUPERIOR ST</t>
  </si>
  <si>
    <t>30552517</t>
  </si>
  <si>
    <t>JIMMY'S CAFE</t>
  </si>
  <si>
    <t>55 NORTH MICHIGAN STREET</t>
  </si>
  <si>
    <t>60032877</t>
  </si>
  <si>
    <t>MR V'S CARRY OUT</t>
  </si>
  <si>
    <t>5285 N ELSTON</t>
  </si>
  <si>
    <t>1305085</t>
  </si>
  <si>
    <t>TRACY'S CREST HILL</t>
  </si>
  <si>
    <t>2220 PLAINFIELD RD</t>
  </si>
  <si>
    <t>90031980</t>
  </si>
  <si>
    <t>935 DIAMOND ROAD</t>
  </si>
  <si>
    <t>DIAMOND LAKE</t>
  </si>
  <si>
    <t>81306292</t>
  </si>
  <si>
    <t>THE STEAK OUT</t>
  </si>
  <si>
    <t>2113 S STATE ST</t>
  </si>
  <si>
    <t>30735476</t>
  </si>
  <si>
    <t>COUNTRY KETTLE RESTAURANT</t>
  </si>
  <si>
    <t>1704 S HEATON STREET</t>
  </si>
  <si>
    <t>61312070</t>
  </si>
  <si>
    <t>GLOBAL GYROS</t>
  </si>
  <si>
    <t>140 E GOLF RD</t>
  </si>
  <si>
    <t>90698952</t>
  </si>
  <si>
    <t>NICKSONS EATERY</t>
  </si>
  <si>
    <t>30 S LAGRANGE ROAD</t>
  </si>
  <si>
    <t>40552267</t>
  </si>
  <si>
    <t>AMERICA'S BEST HSE *COLL*</t>
  </si>
  <si>
    <t>1568 W LARKIN AVENUE</t>
  </si>
  <si>
    <t>10029270</t>
  </si>
  <si>
    <t>LITTLE VILLA REST</t>
  </si>
  <si>
    <t>660 N WOLF RD</t>
  </si>
  <si>
    <t>60320025</t>
  </si>
  <si>
    <t>Z/SO SHORE ACADEMY SOUTHH</t>
  </si>
  <si>
    <t>7529 S CONSTANCE</t>
  </si>
  <si>
    <t>51213635</t>
  </si>
  <si>
    <t>BUDDYZ CHICAGO PIZZERIA</t>
  </si>
  <si>
    <t>2749 W ALGONQUIN RD</t>
  </si>
  <si>
    <t>90482837</t>
  </si>
  <si>
    <t>SARPINO'S</t>
  </si>
  <si>
    <t>2017 MILWAUKEE AVE</t>
  </si>
  <si>
    <t>RIVERWOODS</t>
  </si>
  <si>
    <t>20574661</t>
  </si>
  <si>
    <t>GREAT WRAPS *COLL*</t>
  </si>
  <si>
    <t>123 STRATFORD SQUARE-#A23</t>
  </si>
  <si>
    <t>81313744</t>
  </si>
  <si>
    <t>STEER HOGS BBQ</t>
  </si>
  <si>
    <t>21112 S LA GRANGE RD</t>
  </si>
  <si>
    <t>90807090</t>
  </si>
  <si>
    <t>WALKER BROS.</t>
  </si>
  <si>
    <t>825 DUNDEE ROAD</t>
  </si>
  <si>
    <t>40995417</t>
  </si>
  <si>
    <t>FRIACO'S YORKVILLE</t>
  </si>
  <si>
    <t>634 WEST VETERANS PARKWAY</t>
  </si>
  <si>
    <t>81036881</t>
  </si>
  <si>
    <t>JIM N PETES ITALIAN</t>
  </si>
  <si>
    <t>7806 W NORTH AVE.</t>
  </si>
  <si>
    <t>11326709</t>
  </si>
  <si>
    <t>QP GREEK FOOD WITH A KICK</t>
  </si>
  <si>
    <t>830 N ROSELLE RD</t>
  </si>
  <si>
    <t>80485147</t>
  </si>
  <si>
    <t>ZEPHYR ICE CREAM **COLL**</t>
  </si>
  <si>
    <t>10082097</t>
  </si>
  <si>
    <t>HICKORY PIT CONWAYS</t>
  </si>
  <si>
    <t>130 E BRIERCLIFF</t>
  </si>
  <si>
    <t>70382981</t>
  </si>
  <si>
    <t>EXPRESS YOURSELF COFFEE</t>
  </si>
  <si>
    <t>3815 HIGHLAND AVE</t>
  </si>
  <si>
    <t>10390771</t>
  </si>
  <si>
    <t>WISLA REST. INC.</t>
  </si>
  <si>
    <t>11228 S. HARLEM</t>
  </si>
  <si>
    <t>80604507</t>
  </si>
  <si>
    <t>CAFE 333/DELI TIME</t>
  </si>
  <si>
    <t>333 W. WACKER</t>
  </si>
  <si>
    <t>10500908</t>
  </si>
  <si>
    <t>PAPA G'S**COLL**</t>
  </si>
  <si>
    <t>10502 RT. 47</t>
  </si>
  <si>
    <t>60124633</t>
  </si>
  <si>
    <t>AMICI'S ITALIAN REST</t>
  </si>
  <si>
    <t>1400 SEMINARY AVE</t>
  </si>
  <si>
    <t>11323714</t>
  </si>
  <si>
    <t>MERCADO COCINA - CANTINA</t>
  </si>
  <si>
    <t>2300 LEHIGH AVE</t>
  </si>
  <si>
    <t>10407179</t>
  </si>
  <si>
    <t>SILK ROAD / KUMAI</t>
  </si>
  <si>
    <t>29 W. LAKE STREET</t>
  </si>
  <si>
    <t>40161556</t>
  </si>
  <si>
    <t>UNITED CTR/CONCESSION</t>
  </si>
  <si>
    <t>90953936</t>
  </si>
  <si>
    <t>ANGELI'S CATERING</t>
  </si>
  <si>
    <t>1478 E. CHICAGO AVE</t>
  </si>
  <si>
    <t>90482936</t>
  </si>
  <si>
    <t>SUB DOG SANDWICH SHOP</t>
  </si>
  <si>
    <t>1236 DOUGLAS RD</t>
  </si>
  <si>
    <t>10390664</t>
  </si>
  <si>
    <t>CIPRIANI SPAGHETTI</t>
  </si>
  <si>
    <t>1025 WEST END AVE.</t>
  </si>
  <si>
    <t>40443830</t>
  </si>
  <si>
    <t>ANDY'S BREAKFAST **COLL**</t>
  </si>
  <si>
    <t>501 NORTH MAIN ST</t>
  </si>
  <si>
    <t>70483573</t>
  </si>
  <si>
    <t>WRIGHTWAY</t>
  </si>
  <si>
    <t>1335 WRIGHTWOOD</t>
  </si>
  <si>
    <t>61342457</t>
  </si>
  <si>
    <t>ALTA GRILL</t>
  </si>
  <si>
    <t>4740 S VERNON AVE</t>
  </si>
  <si>
    <t>41314758</t>
  </si>
  <si>
    <t>R-BAR &amp; GRILL HIGHLAND</t>
  </si>
  <si>
    <t>90923798</t>
  </si>
  <si>
    <t>EGG HARBOR EXPRESS CAFE</t>
  </si>
  <si>
    <t>120 EAST LIBERTY DRIVE</t>
  </si>
  <si>
    <t>80978190</t>
  </si>
  <si>
    <t>KUMA'S ASIAN BISTRO</t>
  </si>
  <si>
    <t>216 S. WASHINGTON</t>
  </si>
  <si>
    <t>61334116</t>
  </si>
  <si>
    <t>TRACY'S S YORKVILLE</t>
  </si>
  <si>
    <t>932 N BRIDGE ST</t>
  </si>
  <si>
    <t>11274578</t>
  </si>
  <si>
    <t>FOODA FOOD HALL SCHAUMBUR</t>
  </si>
  <si>
    <t>1400 AMERICAN LN</t>
  </si>
  <si>
    <t>20766283</t>
  </si>
  <si>
    <t>TIME OUT</t>
  </si>
  <si>
    <t>1706 7TH STREET</t>
  </si>
  <si>
    <t>91052597</t>
  </si>
  <si>
    <t>7959 W 159TH STREER</t>
  </si>
  <si>
    <t>1212034</t>
  </si>
  <si>
    <t>MR. G'S RESTAURANT</t>
  </si>
  <si>
    <t>929 S YORK ST</t>
  </si>
  <si>
    <t>91023739</t>
  </si>
  <si>
    <t>MOGIES BAD BOY BBQ</t>
  </si>
  <si>
    <t>27045 W. GRASS LAKE RD.</t>
  </si>
  <si>
    <t>50512656</t>
  </si>
  <si>
    <t>TRATTORIA PEPPINO**COLL**</t>
  </si>
  <si>
    <t>7440 W. NORTH AVE</t>
  </si>
  <si>
    <t>80483795</t>
  </si>
  <si>
    <t>COCOA BEAN FINE DESSE</t>
  </si>
  <si>
    <t>11 S 7TH ST</t>
  </si>
  <si>
    <t>156950</t>
  </si>
  <si>
    <t>JEDI'S GARDEN RESTAURANT</t>
  </si>
  <si>
    <t>1590 N RAND RD</t>
  </si>
  <si>
    <t>41298167</t>
  </si>
  <si>
    <t>MOODY TONGUE BREWING COMP</t>
  </si>
  <si>
    <t>2136 S PEORIA ST</t>
  </si>
  <si>
    <t>60111705</t>
  </si>
  <si>
    <t>DISCOVERY ZONE / DARIEN</t>
  </si>
  <si>
    <t>40858540</t>
  </si>
  <si>
    <t>SEULS</t>
  </si>
  <si>
    <t>1735 ORCHARD AVE</t>
  </si>
  <si>
    <t>910810</t>
  </si>
  <si>
    <t>RISTORANTE BOTTAIO</t>
  </si>
  <si>
    <t>946 N. MILWAUKEE AVE</t>
  </si>
  <si>
    <t>50488493</t>
  </si>
  <si>
    <t>2934 HIGHWAY AVE</t>
  </si>
  <si>
    <t>31091218</t>
  </si>
  <si>
    <t>ANEMONE CAFE</t>
  </si>
  <si>
    <t>6431 W 127TH ST</t>
  </si>
  <si>
    <t>21339874</t>
  </si>
  <si>
    <t>FAT BURRITO 2-LLC</t>
  </si>
  <si>
    <t>2128 45TH ST</t>
  </si>
  <si>
    <t>50593979</t>
  </si>
  <si>
    <t>GROWING LEAN FOODS</t>
  </si>
  <si>
    <t>815 NOYES</t>
  </si>
  <si>
    <t>40680985</t>
  </si>
  <si>
    <t>BAR LOUIE WRIGLEYVILLE</t>
  </si>
  <si>
    <t>3545 N CLARK</t>
  </si>
  <si>
    <t>1325380</t>
  </si>
  <si>
    <t>HUTCH ANDERSONVILLE</t>
  </si>
  <si>
    <t>1477 W WINNEMAC AVE</t>
  </si>
  <si>
    <t>81268476</t>
  </si>
  <si>
    <t>FAT BABY TACOS</t>
  </si>
  <si>
    <t>109 W HUBBARD ST</t>
  </si>
  <si>
    <t>20476958</t>
  </si>
  <si>
    <t>FLAT TOP GRILL/NORMAL</t>
  </si>
  <si>
    <t>307 VETERANS PARKWAY</t>
  </si>
  <si>
    <t>1239656</t>
  </si>
  <si>
    <t>TACO'S &amp; BURRITO'S DYER</t>
  </si>
  <si>
    <t>714 JOLIET ST</t>
  </si>
  <si>
    <t>60902640</t>
  </si>
  <si>
    <t>EGGS INC CAFE</t>
  </si>
  <si>
    <t>278 S WEBER ROAD</t>
  </si>
  <si>
    <t>41236233</t>
  </si>
  <si>
    <t>EL GRAN AGAVE RESTAURANT</t>
  </si>
  <si>
    <t>1650 MAPLE AVE.</t>
  </si>
  <si>
    <t>619130</t>
  </si>
  <si>
    <t>CRYSTAL TREE</t>
  </si>
  <si>
    <t>10700 WEST 153RD STREET</t>
  </si>
  <si>
    <t>80037187</t>
  </si>
  <si>
    <t>STEAK ESCAPE EAST TOWN</t>
  </si>
  <si>
    <t>EAST TOWN MALL</t>
  </si>
  <si>
    <t>53791</t>
  </si>
  <si>
    <t>81328536</t>
  </si>
  <si>
    <t>THE BURGER LIFE</t>
  </si>
  <si>
    <t>1570 W OGDEN AVE STE</t>
  </si>
  <si>
    <t>50037183</t>
  </si>
  <si>
    <t>STEAK ESCAPE WEST TOWN</t>
  </si>
  <si>
    <t>WEST TOWN MALL</t>
  </si>
  <si>
    <t>11188521</t>
  </si>
  <si>
    <t>VOLSTEAD</t>
  </si>
  <si>
    <t>225 S CALUMET RD</t>
  </si>
  <si>
    <t>50032572</t>
  </si>
  <si>
    <t>Z Z DORMANT   BAR</t>
  </si>
  <si>
    <t>1975 NATIONAL BLVD</t>
  </si>
  <si>
    <t>GALESBURG</t>
  </si>
  <si>
    <t>61401</t>
  </si>
  <si>
    <t>71152474</t>
  </si>
  <si>
    <t>KIOSK@350 N</t>
  </si>
  <si>
    <t>350 N ORLEANS ST</t>
  </si>
  <si>
    <t>81239980</t>
  </si>
  <si>
    <t>ROKA AKOR</t>
  </si>
  <si>
    <t>4999 OLD ORCHARD CTR</t>
  </si>
  <si>
    <t>21067962</t>
  </si>
  <si>
    <t>PALOS DINER</t>
  </si>
  <si>
    <t>8052 W 111TH ST</t>
  </si>
  <si>
    <t>41034984</t>
  </si>
  <si>
    <t>JOHNNY'S KITCHEN &amp; TAP</t>
  </si>
  <si>
    <t>1740 MILWAUKEE AVE</t>
  </si>
  <si>
    <t>31031362</t>
  </si>
  <si>
    <t>REZA'S ANDERSONVILLE</t>
  </si>
  <si>
    <t>5255 N. CLARK ST</t>
  </si>
  <si>
    <t>71083794</t>
  </si>
  <si>
    <t>PANCHOS TAQUERIA &amp; CATER</t>
  </si>
  <si>
    <t>909 W WISE RD</t>
  </si>
  <si>
    <t>51322584</t>
  </si>
  <si>
    <t>THE WELL AT THE DISTILLER</t>
  </si>
  <si>
    <t>400 E MARGARET ST</t>
  </si>
  <si>
    <t>40912990</t>
  </si>
  <si>
    <t>BOMBAY SPICE</t>
  </si>
  <si>
    <t>111 WEST ILLINOIS STREET</t>
  </si>
  <si>
    <t>333997</t>
  </si>
  <si>
    <t>WHATEVER IV</t>
  </si>
  <si>
    <t>3101 S. CENTRAL</t>
  </si>
  <si>
    <t>50994920</t>
  </si>
  <si>
    <t>THE SANDWICH CLUB</t>
  </si>
  <si>
    <t>4507 OAKTON</t>
  </si>
  <si>
    <t>21270871</t>
  </si>
  <si>
    <t>BUSHWOOD LODGE</t>
  </si>
  <si>
    <t>2300 BUSHWOOD DR</t>
  </si>
  <si>
    <t>91303792</t>
  </si>
  <si>
    <t>FORBIDDEN NOODLES</t>
  </si>
  <si>
    <t>50 S LA GRANGE RD</t>
  </si>
  <si>
    <t>10482123</t>
  </si>
  <si>
    <t>CONWAY FARMS GOLF CLU</t>
  </si>
  <si>
    <t>425 S CONWAY FARMS DR</t>
  </si>
  <si>
    <t>51027647</t>
  </si>
  <si>
    <t>JIMMYS ISLAND GRILLE</t>
  </si>
  <si>
    <t>800 E. OGDEN AVE.</t>
  </si>
  <si>
    <t>10552164</t>
  </si>
  <si>
    <t>CONTINENTAL REST. :)</t>
  </si>
  <si>
    <t>788 S BUFFALO GROVE ROAD</t>
  </si>
  <si>
    <t>60398021</t>
  </si>
  <si>
    <t>GOVNORS PUBLIC HS*COLL*</t>
  </si>
  <si>
    <t>220 N. RANDALL ROAD</t>
  </si>
  <si>
    <t>51159515</t>
  </si>
  <si>
    <t>203 YORKTOWN CENTER SUITE</t>
  </si>
  <si>
    <t>30331797</t>
  </si>
  <si>
    <t>BLUE ANGEL  **COLL**</t>
  </si>
  <si>
    <t>5310 N MILWAUKEE AVE</t>
  </si>
  <si>
    <t>70443585</t>
  </si>
  <si>
    <t>DELI'S OF AM.  **COLL**</t>
  </si>
  <si>
    <t>9700 W. HIGGINS RD</t>
  </si>
  <si>
    <t>20551800</t>
  </si>
  <si>
    <t>GRANNYS PANCAKE**COLL**##</t>
  </si>
  <si>
    <t>5515 MAIN STREET</t>
  </si>
  <si>
    <t>11344330</t>
  </si>
  <si>
    <t>404 WINE BAR CO.</t>
  </si>
  <si>
    <t>2852 N SOUTHPORT AVE</t>
  </si>
  <si>
    <t>90942657</t>
  </si>
  <si>
    <t>SLURPING TURTLE</t>
  </si>
  <si>
    <t>116 W HUBBARD</t>
  </si>
  <si>
    <t>31074313</t>
  </si>
  <si>
    <t>TWISTED Q</t>
  </si>
  <si>
    <t>2051 RIDGE ROAD</t>
  </si>
  <si>
    <t>1236660</t>
  </si>
  <si>
    <t>BLU 57 SEAFOOD &amp; STEAKHOU</t>
  </si>
  <si>
    <t>5701 N CLARK ST</t>
  </si>
  <si>
    <t>30482517</t>
  </si>
  <si>
    <t>BOLONEY'S*</t>
  </si>
  <si>
    <t>114 W MAIN</t>
  </si>
  <si>
    <t>10373272</t>
  </si>
  <si>
    <t>THE JUNGLE</t>
  </si>
  <si>
    <t>19081 OLD LAGRANGE ROAD</t>
  </si>
  <si>
    <t>20681284</t>
  </si>
  <si>
    <t>Q BILLIARDS &amp; SPORTS BAR</t>
  </si>
  <si>
    <t>8109 S CASS AVE</t>
  </si>
  <si>
    <t>80717424</t>
  </si>
  <si>
    <t>KILWIN'S</t>
  </si>
  <si>
    <t>15222 SOUTH LAGRANGE ROAD</t>
  </si>
  <si>
    <t>20443453</t>
  </si>
  <si>
    <t>GAVIGANO'S</t>
  </si>
  <si>
    <t>6727 SOMETHING DRIVE</t>
  </si>
  <si>
    <t>51226850</t>
  </si>
  <si>
    <t>BARRACO'S CRESTWOOD</t>
  </si>
  <si>
    <t>13445 CICERO AVE</t>
  </si>
  <si>
    <t>20543567</t>
  </si>
  <si>
    <t>HAMILTON'S **COLLECTION**</t>
  </si>
  <si>
    <t>1913 WAUKEGAN RD.</t>
  </si>
  <si>
    <t>80544786</t>
  </si>
  <si>
    <t>THE FORGE CLUB***COLL***</t>
  </si>
  <si>
    <t>634 S MILWAUKEE AVE</t>
  </si>
  <si>
    <t>31163322</t>
  </si>
  <si>
    <t>YU-MI SUSHI</t>
  </si>
  <si>
    <t>662 S LAKE ST</t>
  </si>
  <si>
    <t>61091260</t>
  </si>
  <si>
    <t>COCINA TRI COLORE</t>
  </si>
  <si>
    <t>1510 E HINTZ RD</t>
  </si>
  <si>
    <t>11045515</t>
  </si>
  <si>
    <t>BILLY JACKS BAR &amp; GRILL</t>
  </si>
  <si>
    <t>2904 N CALUMET</t>
  </si>
  <si>
    <t>90620378</t>
  </si>
  <si>
    <t>DARUMA JAPANESE REST</t>
  </si>
  <si>
    <t>1823 W GOLF RD</t>
  </si>
  <si>
    <t>60483096</t>
  </si>
  <si>
    <t>DUPAGE CLUB</t>
  </si>
  <si>
    <t>30716237</t>
  </si>
  <si>
    <t>MILLIE'S ICE CREAM SHOPPE</t>
  </si>
  <si>
    <t>5172 W. 95TH STREET</t>
  </si>
  <si>
    <t>91212217</t>
  </si>
  <si>
    <t>PUMP IT UP</t>
  </si>
  <si>
    <t>1095 PINGREE RD STE 114</t>
  </si>
  <si>
    <t>41323593</t>
  </si>
  <si>
    <t>FLAVOR RESTAURANT</t>
  </si>
  <si>
    <t>5091 SAUK TRL</t>
  </si>
  <si>
    <t>RICHTON PARK</t>
  </si>
  <si>
    <t>20035044</t>
  </si>
  <si>
    <t>CANTEEN #82677/JOLIET COR</t>
  </si>
  <si>
    <t>1125 COLLINS</t>
  </si>
  <si>
    <t>40931628</t>
  </si>
  <si>
    <t>THE LANDMARK</t>
  </si>
  <si>
    <t>1352 SHERMER RD</t>
  </si>
  <si>
    <t>71220040</t>
  </si>
  <si>
    <t>AMBASSADOR PUBLIC HOUSE</t>
  </si>
  <si>
    <t>310 S HALSTED ST</t>
  </si>
  <si>
    <t>30484653</t>
  </si>
  <si>
    <t>SEARS TOWER MIA TORRE</t>
  </si>
  <si>
    <t>40482051</t>
  </si>
  <si>
    <t>HENG WING,</t>
  </si>
  <si>
    <t>121 W PALATINE RD</t>
  </si>
  <si>
    <t>60619004</t>
  </si>
  <si>
    <t>JAMESON'S WOODRIDGE :)</t>
  </si>
  <si>
    <t>50477405</t>
  </si>
  <si>
    <t>STREET EATS CAFE</t>
  </si>
  <si>
    <t>731 RIDGEVIEW DRIVE</t>
  </si>
  <si>
    <t>80036668</t>
  </si>
  <si>
    <t>AMANA COLONIES GOLF COUR</t>
  </si>
  <si>
    <t>RT #1</t>
  </si>
  <si>
    <t>AMANA</t>
  </si>
  <si>
    <t>52203</t>
  </si>
  <si>
    <t>515056</t>
  </si>
  <si>
    <t>WILD FISH DEERFIELD*COLL*</t>
  </si>
  <si>
    <t>730 N. WAUKEGAN RD.</t>
  </si>
  <si>
    <t>70482542</t>
  </si>
  <si>
    <t>25385 RT 113</t>
  </si>
  <si>
    <t>80994403</t>
  </si>
  <si>
    <t>PROVIDENCE CATHOLIC H.S.</t>
  </si>
  <si>
    <t>1800 WEST MAPLE STREET</t>
  </si>
  <si>
    <t>90617291</t>
  </si>
  <si>
    <t>PINT</t>
  </si>
  <si>
    <t>1547 N MILWAUKEE AVE</t>
  </si>
  <si>
    <t>70033824</t>
  </si>
  <si>
    <t>YAK-ZIES BAR &amp; GRILL-CLRK</t>
  </si>
  <si>
    <t>3710 N CLARK ST</t>
  </si>
  <si>
    <t>119917</t>
  </si>
  <si>
    <t>DISCOVERY ZONE L.P.</t>
  </si>
  <si>
    <t>366-370 W ARMY TRAIL RD</t>
  </si>
  <si>
    <t>71291595</t>
  </si>
  <si>
    <t>EMERALD GREEN RESTAURANT</t>
  </si>
  <si>
    <t>1001 129TH ST</t>
  </si>
  <si>
    <t>40890352</t>
  </si>
  <si>
    <t>THE HOT DOG COMPANY</t>
  </si>
  <si>
    <t>76 S LAGRANGE ROAD</t>
  </si>
  <si>
    <t>41223496</t>
  </si>
  <si>
    <t>BARRACO'S 111TH ST</t>
  </si>
  <si>
    <t>3047 W 111TH ST</t>
  </si>
  <si>
    <t>90155458</t>
  </si>
  <si>
    <t>METRO **COLL**</t>
  </si>
  <si>
    <t>1327774</t>
  </si>
  <si>
    <t>FIRE + WINE</t>
  </si>
  <si>
    <t>433 N MAIN ST</t>
  </si>
  <si>
    <t>11261138</t>
  </si>
  <si>
    <t>LELULOS</t>
  </si>
  <si>
    <t>13 N COURT ST</t>
  </si>
  <si>
    <t>11094950</t>
  </si>
  <si>
    <t>SAN GABRIEL</t>
  </si>
  <si>
    <t>2535 WAUKEGAN ROAD</t>
  </si>
  <si>
    <t>10390656</t>
  </si>
  <si>
    <t>CHRIS'S NORTHSIDE INN</t>
  </si>
  <si>
    <t>12431 S. WESTERN AVE.</t>
  </si>
  <si>
    <t>60955721</t>
  </si>
  <si>
    <t>SMOKEY JO'S</t>
  </si>
  <si>
    <t>MAIN BURVILLE RD</t>
  </si>
  <si>
    <t>11116225</t>
  </si>
  <si>
    <t>HIGH HAT CLUB</t>
  </si>
  <si>
    <t>1920 W IRVING</t>
  </si>
  <si>
    <t>61238325</t>
  </si>
  <si>
    <t>OBSESSED KITCHEN AND BAR</t>
  </si>
  <si>
    <t>800 S.OAK PARK AVE</t>
  </si>
  <si>
    <t>90327727</t>
  </si>
  <si>
    <t>GYROS INN **COLL**</t>
  </si>
  <si>
    <t>436 S. WESTERN AVE</t>
  </si>
  <si>
    <t>61605</t>
  </si>
  <si>
    <t>41177304</t>
  </si>
  <si>
    <t>SWEET GALLERY(CUPS &amp; CAKE</t>
  </si>
  <si>
    <t>1015 BROOK FOREST AVE</t>
  </si>
  <si>
    <t>60494192</t>
  </si>
  <si>
    <t>SHARKS FISH &amp; CHIX-S.HOLL</t>
  </si>
  <si>
    <t>936 E 162ND ST</t>
  </si>
  <si>
    <t>70030622</t>
  </si>
  <si>
    <t>ALBERTS CAFE**COLL**</t>
  </si>
  <si>
    <t>52 W ELM</t>
  </si>
  <si>
    <t>1336650</t>
  </si>
  <si>
    <t>THE MANHATTAN FIREHOUSE G</t>
  </si>
  <si>
    <t>195 S STATE ST</t>
  </si>
  <si>
    <t>40728040</t>
  </si>
  <si>
    <t>CUMBERLAND BAKERY</t>
  </si>
  <si>
    <t>36 E. NORTHWEST HWY.</t>
  </si>
  <si>
    <t>80482367</t>
  </si>
  <si>
    <t>VARMA GROUP</t>
  </si>
  <si>
    <t>6242 S KEDZIE</t>
  </si>
  <si>
    <t>10038297</t>
  </si>
  <si>
    <t>ROBIN HOOD REST #1</t>
  </si>
  <si>
    <t>110 W MONROE</t>
  </si>
  <si>
    <t>60518925</t>
  </si>
  <si>
    <t>MIKE'S ALE HOUSE**COLL**</t>
  </si>
  <si>
    <t>5134 W. IRVING PARK RD</t>
  </si>
  <si>
    <t>1268341</t>
  </si>
  <si>
    <t>TASTY WAFFLE</t>
  </si>
  <si>
    <t>642 WEBER</t>
  </si>
  <si>
    <t>51324473</t>
  </si>
  <si>
    <t>BISTEC</t>
  </si>
  <si>
    <t>1523 N KINGSBURY ST</t>
  </si>
  <si>
    <t>50967249</t>
  </si>
  <si>
    <t>XX/PIGGIES &amp; CREAM</t>
  </si>
  <si>
    <t>104 RAILROAD STREET</t>
  </si>
  <si>
    <t>91107482</t>
  </si>
  <si>
    <t>JONNY'S PRACTICE PUB</t>
  </si>
  <si>
    <t>920 PIEDMONT CIRCLE</t>
  </si>
  <si>
    <t>10535789</t>
  </si>
  <si>
    <t>VIA CARDUCCI</t>
  </si>
  <si>
    <t>1419 WEST FULLERTON</t>
  </si>
  <si>
    <t>21169289</t>
  </si>
  <si>
    <t>HIGHWAY HOUSE</t>
  </si>
  <si>
    <t>5653 N NORTHWEST HIGHWAY</t>
  </si>
  <si>
    <t>40901910</t>
  </si>
  <si>
    <t>ELI'S GOLDEN APPLE REST.</t>
  </si>
  <si>
    <t>101 E 107TH AVE</t>
  </si>
  <si>
    <t>31165343</t>
  </si>
  <si>
    <t>8000 MILES</t>
  </si>
  <si>
    <t>81161721</t>
  </si>
  <si>
    <t>NORB'S</t>
  </si>
  <si>
    <t>14529 ARCHER AVE</t>
  </si>
  <si>
    <t>20930871</t>
  </si>
  <si>
    <t>LAKEVIEW GRILLE</t>
  </si>
  <si>
    <t>604 W. VETERANS PARKWAY</t>
  </si>
  <si>
    <t>40098584</t>
  </si>
  <si>
    <t>DISCOVERY ZONE/GLENVIEW</t>
  </si>
  <si>
    <t>2847 PFINGSTEN RD</t>
  </si>
  <si>
    <t>10766392</t>
  </si>
  <si>
    <t>ONWENTSIA COUNTRY CLUB</t>
  </si>
  <si>
    <t>300 GREENBAY ROAD</t>
  </si>
  <si>
    <t>195735</t>
  </si>
  <si>
    <t>CHEVY MEXICAN RESRTAURANT</t>
  </si>
  <si>
    <t>2150 VILLAGE DRIVE</t>
  </si>
  <si>
    <t>BUENA PARK</t>
  </si>
  <si>
    <t>90621</t>
  </si>
  <si>
    <t>10420313</t>
  </si>
  <si>
    <t>WALLACE'S CATFISH **COLL*</t>
  </si>
  <si>
    <t>2800 W. MADISON</t>
  </si>
  <si>
    <t>21319744</t>
  </si>
  <si>
    <t>EL CHE BAR</t>
  </si>
  <si>
    <t>845 W WASHINGTON BLVD</t>
  </si>
  <si>
    <t>1296847</t>
  </si>
  <si>
    <t>PIZZERIA VIOLA</t>
  </si>
  <si>
    <t>704 S MAIN ST</t>
  </si>
  <si>
    <t>569855</t>
  </si>
  <si>
    <t>MARNELLS PITA HOUSE</t>
  </si>
  <si>
    <t>849 S. HALSTED ST</t>
  </si>
  <si>
    <t>60952181</t>
  </si>
  <si>
    <t>YACKO'S BAR</t>
  </si>
  <si>
    <t>6636 W. ALBION AVE</t>
  </si>
  <si>
    <t>90552092</t>
  </si>
  <si>
    <t>MANOR REST **COLL**</t>
  </si>
  <si>
    <t>464 REDDINGTON DR</t>
  </si>
  <si>
    <t>51136463</t>
  </si>
  <si>
    <t>SEEDAYS ILLINOIS</t>
  </si>
  <si>
    <t>6170 W. GRAND AVE</t>
  </si>
  <si>
    <t>81190084</t>
  </si>
  <si>
    <t>EGGS INC</t>
  </si>
  <si>
    <t>11321346</t>
  </si>
  <si>
    <t>EMIL'S TAVERN ON CENTER S</t>
  </si>
  <si>
    <t>161 CENTER ST</t>
  </si>
  <si>
    <t>41225574</t>
  </si>
  <si>
    <t>JC S RISTORANTE &amp; PUB</t>
  </si>
  <si>
    <t>MC COOK</t>
  </si>
  <si>
    <t>10548097</t>
  </si>
  <si>
    <t>GARY'S GOURMET DOGS</t>
  </si>
  <si>
    <t>4700 NORTH WESTERN AVE</t>
  </si>
  <si>
    <t>51299105</t>
  </si>
  <si>
    <t>THE RED BARN RESTAURANT A</t>
  </si>
  <si>
    <t>303 E KENSINGTON RD</t>
  </si>
  <si>
    <t>1313279</t>
  </si>
  <si>
    <t>GLOWZONE</t>
  </si>
  <si>
    <t>301 S IL59</t>
  </si>
  <si>
    <t>30030472</t>
  </si>
  <si>
    <t>MERICHKAS REST</t>
  </si>
  <si>
    <t>604 THEADORE</t>
  </si>
  <si>
    <t>91284505</t>
  </si>
  <si>
    <t>POINTE BREAK CAFE</t>
  </si>
  <si>
    <t>9550 HIGGINS</t>
  </si>
  <si>
    <t>20509345</t>
  </si>
  <si>
    <t>JANINA'S CAFE*COLL*</t>
  </si>
  <si>
    <t>1550 E. MAIN</t>
  </si>
  <si>
    <t>20552006</t>
  </si>
  <si>
    <t>TAQUERIA LOS COMLS MEL PK</t>
  </si>
  <si>
    <t>2110 W LAKE ST</t>
  </si>
  <si>
    <t>71298830</t>
  </si>
  <si>
    <t>HAMPTON MENU DEVELOPMENT</t>
  </si>
  <si>
    <t>335 W HUBBARD ST STE 101</t>
  </si>
  <si>
    <t>90483264</t>
  </si>
  <si>
    <t>JOEY BUONA MILWAUKEE</t>
  </si>
  <si>
    <t>500 NORTH WATER ST</t>
  </si>
  <si>
    <t>41026204</t>
  </si>
  <si>
    <t>FFF CHEZ JOEL</t>
  </si>
  <si>
    <t>1119 W TAYLOR ST</t>
  </si>
  <si>
    <t>60484649</t>
  </si>
  <si>
    <t>SPIAGGIA</t>
  </si>
  <si>
    <t>90028358</t>
  </si>
  <si>
    <t>555 W. MADISON ST.</t>
  </si>
  <si>
    <t>71301147</t>
  </si>
  <si>
    <t>SI-PIE PIZZERIA</t>
  </si>
  <si>
    <t>3477 N BROADWAY ST</t>
  </si>
  <si>
    <t>71333165</t>
  </si>
  <si>
    <t>BARQUE BARBEQUE AND BOURB</t>
  </si>
  <si>
    <t>6229 CENTRAL AVE</t>
  </si>
  <si>
    <t>40905614</t>
  </si>
  <si>
    <t>TROPIC SUN FRUIT AND NUT</t>
  </si>
  <si>
    <t>670 LAKEVIEW PKWY</t>
  </si>
  <si>
    <t>496133</t>
  </si>
  <si>
    <t>BUDDYZ A CHICAGO PIZZERIA</t>
  </si>
  <si>
    <t>21347158</t>
  </si>
  <si>
    <t>CARLOS PANCAKE HOUSE</t>
  </si>
  <si>
    <t>83 N WILLIAMS ST</t>
  </si>
  <si>
    <t>10919264</t>
  </si>
  <si>
    <t>DEVIL DOG</t>
  </si>
  <si>
    <t>2147 N.SHEFFIELD</t>
  </si>
  <si>
    <t>30035646</t>
  </si>
  <si>
    <t>2633 SOUTHTOWN DR</t>
  </si>
  <si>
    <t>55431</t>
  </si>
  <si>
    <t>29280</t>
  </si>
  <si>
    <t>TASTE OF MEXICO</t>
  </si>
  <si>
    <t>416 W LOCUST</t>
  </si>
  <si>
    <t>CANTON</t>
  </si>
  <si>
    <t>61520</t>
  </si>
  <si>
    <t>20181210</t>
  </si>
  <si>
    <t>MALL CAFE THE</t>
  </si>
  <si>
    <t>1270 W GALENA</t>
  </si>
  <si>
    <t>50698620</t>
  </si>
  <si>
    <t>BRUEGGER'S BAGELS</t>
  </si>
  <si>
    <t>1118 LAKE STREET</t>
  </si>
  <si>
    <t>701052</t>
  </si>
  <si>
    <t>GATOR'S PUB &amp; WING SHACK</t>
  </si>
  <si>
    <t>1719 N RAND RD</t>
  </si>
  <si>
    <t>20697074</t>
  </si>
  <si>
    <t>5555 S BRAINARD AVE</t>
  </si>
  <si>
    <t>90998493</t>
  </si>
  <si>
    <t>MIA'S CANTINA</t>
  </si>
  <si>
    <t>143 W. PROSPECT AVE</t>
  </si>
  <si>
    <t>10325926</t>
  </si>
  <si>
    <t>MCTAVERN'S DELI**COLL**</t>
  </si>
  <si>
    <t>7443 INDIANAPOLIS BLVD</t>
  </si>
  <si>
    <t>995357</t>
  </si>
  <si>
    <t>ZAO ISLAND</t>
  </si>
  <si>
    <t>2050 HORSE PRARIE DR</t>
  </si>
  <si>
    <t>31248149</t>
  </si>
  <si>
    <t>NIKO'S TAVERN &amp; NEIGHBORH</t>
  </si>
  <si>
    <t>40W 188 CAMPTON CROSSING</t>
  </si>
  <si>
    <t>146175</t>
  </si>
  <si>
    <t>SODEXHO/MARRIOTT-CAFET.</t>
  </si>
  <si>
    <t>840 S CANAL ST</t>
  </si>
  <si>
    <t>91117226</t>
  </si>
  <si>
    <t>THE GENERAL RESTAURANT</t>
  </si>
  <si>
    <t>2528 N CALIFORNIA</t>
  </si>
  <si>
    <t>21169818</t>
  </si>
  <si>
    <t>CHEF PING ROLLING MEADOWS</t>
  </si>
  <si>
    <t>1755 ALGONQUIN RD</t>
  </si>
  <si>
    <t>31187719</t>
  </si>
  <si>
    <t>BLUE MOON CAFE</t>
  </si>
  <si>
    <t>123 FIRST STREET</t>
  </si>
  <si>
    <t>10646677</t>
  </si>
  <si>
    <t>WILD FISH</t>
  </si>
  <si>
    <t>730 N. WAUKEGAN ROAD</t>
  </si>
  <si>
    <t>21040746</t>
  </si>
  <si>
    <t>TIM'S PLACE</t>
  </si>
  <si>
    <t>1910 COVENTRY ROAD</t>
  </si>
  <si>
    <t>71026447</t>
  </si>
  <si>
    <t>FFF URBAN MARKET</t>
  </si>
  <si>
    <t>10 SOUTH DEARBORN</t>
  </si>
  <si>
    <t>51201689</t>
  </si>
  <si>
    <t>FIAMME PIZZERIA NAPOLETAN</t>
  </si>
  <si>
    <t>19 N WASHINGTON ST</t>
  </si>
  <si>
    <t>50654490</t>
  </si>
  <si>
    <t>TOMMY NEVINS PUB</t>
  </si>
  <si>
    <t>1450 SHERMAN AVE</t>
  </si>
  <si>
    <t>10455707</t>
  </si>
  <si>
    <t>FINN MCCOOL PRSPCT #1500</t>
  </si>
  <si>
    <t>702 N. RIVER ROAD</t>
  </si>
  <si>
    <t>41073172</t>
  </si>
  <si>
    <t>CHICAGO BAGEL AUTHORITY</t>
  </si>
  <si>
    <t>953 ARMITAGE AVE</t>
  </si>
  <si>
    <t>20428421</t>
  </si>
  <si>
    <t>BELLACINO'S DYER</t>
  </si>
  <si>
    <t>851 JOLIET ST</t>
  </si>
  <si>
    <t>1254507</t>
  </si>
  <si>
    <t>THE BRACKET ROOM</t>
  </si>
  <si>
    <t>1313 S HALSTED ST</t>
  </si>
  <si>
    <t>61049573</t>
  </si>
  <si>
    <t>CLARKS HYDE PARK</t>
  </si>
  <si>
    <t>1447 E. 53RD ST</t>
  </si>
  <si>
    <t>20484663</t>
  </si>
  <si>
    <t>EMPERORS CHOICE,,</t>
  </si>
  <si>
    <t>2238 S WENTWORTH AVE</t>
  </si>
  <si>
    <t>514950</t>
  </si>
  <si>
    <t>PIZZA CALZONE**COLL**</t>
  </si>
  <si>
    <t>342 E. IRVING PARK RD.</t>
  </si>
  <si>
    <t>81299869</t>
  </si>
  <si>
    <t>MOTI CORP</t>
  </si>
  <si>
    <t>70 W HURON ST</t>
  </si>
  <si>
    <t>60603065</t>
  </si>
  <si>
    <t>LEMONT ST. CAFE :)</t>
  </si>
  <si>
    <t>7329 LEMONT RD. B6</t>
  </si>
  <si>
    <t>51233351</t>
  </si>
  <si>
    <t>TOMATO BAR-SCHERERVILLE</t>
  </si>
  <si>
    <t>79 US HIGHWAY 41</t>
  </si>
  <si>
    <t>40612574</t>
  </si>
  <si>
    <t>MOTHERS 2**COLL**</t>
  </si>
  <si>
    <t>459 S. RANDALL ROAD</t>
  </si>
  <si>
    <t>81271884</t>
  </si>
  <si>
    <t>BANGKOK THAI &amp; SUSHI</t>
  </si>
  <si>
    <t>2103 N CALUMET</t>
  </si>
  <si>
    <t>41266859</t>
  </si>
  <si>
    <t>KABOBQ</t>
  </si>
  <si>
    <t>858 75TH ST</t>
  </si>
  <si>
    <t>71226963</t>
  </si>
  <si>
    <t>BARRACO'S ORLAND PARK</t>
  </si>
  <si>
    <t>18040 WOLF RD</t>
  </si>
  <si>
    <t>21286869</t>
  </si>
  <si>
    <t>ANNA'S FIRE</t>
  </si>
  <si>
    <t>2234 E GRAND AVE</t>
  </si>
  <si>
    <t>70028691</t>
  </si>
  <si>
    <t>ELI'S STK HSE **COLL**</t>
  </si>
  <si>
    <t>10910 RANDOLPH ST</t>
  </si>
  <si>
    <t>50928431</t>
  </si>
  <si>
    <t>ARCHIES</t>
  </si>
  <si>
    <t>104 NORTH ST</t>
  </si>
  <si>
    <t>61302709</t>
  </si>
  <si>
    <t>OP ESPORTS</t>
  </si>
  <si>
    <t>901 W JACKSON BLVD</t>
  </si>
  <si>
    <t>21311170</t>
  </si>
  <si>
    <t>NABUKI</t>
  </si>
  <si>
    <t>18 E 1ST ST</t>
  </si>
  <si>
    <t>20331013</t>
  </si>
  <si>
    <t>SPRING VALLEY FAM *COLL*</t>
  </si>
  <si>
    <t>300 WASHINGTON ST.</t>
  </si>
  <si>
    <t>51175537</t>
  </si>
  <si>
    <t>SLYCE PIZZA</t>
  </si>
  <si>
    <t>127 N MAIN ST</t>
  </si>
  <si>
    <t>70507488</t>
  </si>
  <si>
    <t>WILD TREE CAFE</t>
  </si>
  <si>
    <t>1100 DAVIS ST.</t>
  </si>
  <si>
    <t>90318940</t>
  </si>
  <si>
    <t>POTATO WORKS #4102</t>
  </si>
  <si>
    <t>70484829</t>
  </si>
  <si>
    <t>JOEY BUONAS **COLL**</t>
  </si>
  <si>
    <t>162 E SUPERIOR ST</t>
  </si>
  <si>
    <t>80514987</t>
  </si>
  <si>
    <t>BUCKY BEAVER BURGER</t>
  </si>
  <si>
    <t>2929 COLUMBUS AVE</t>
  </si>
  <si>
    <t>80454655</t>
  </si>
  <si>
    <t>ATRIUM  REST &amp; DELI</t>
  </si>
  <si>
    <t>1000 E 80TH PLACE</t>
  </si>
  <si>
    <t>51255206</t>
  </si>
  <si>
    <t>11315900</t>
  </si>
  <si>
    <t>PORTOFINO'S WOODFIRE PIZZ</t>
  </si>
  <si>
    <t>383 W NORTHWEST HWY</t>
  </si>
  <si>
    <t>50591718</t>
  </si>
  <si>
    <t>BROWN'S CHICKEN/NORTHBROO</t>
  </si>
  <si>
    <t>3147 DUNDEE ROAD</t>
  </si>
  <si>
    <t>11302916</t>
  </si>
  <si>
    <t>GARDEN TABLE</t>
  </si>
  <si>
    <t>936 N CALIFORNIA AVE</t>
  </si>
  <si>
    <t>71196018</t>
  </si>
  <si>
    <t>NAKORN KITCHEN</t>
  </si>
  <si>
    <t>1622 ORRINGTON AVE</t>
  </si>
  <si>
    <t>30482640</t>
  </si>
  <si>
    <t>BROTHERS RIB'S</t>
  </si>
  <si>
    <t>758 W. EUCLID</t>
  </si>
  <si>
    <t>31337512</t>
  </si>
  <si>
    <t>TW CAFE</t>
  </si>
  <si>
    <t>4430 FOX VALLEY CENTER DR</t>
  </si>
  <si>
    <t>51260438</t>
  </si>
  <si>
    <t>RIZZOS BAR INN</t>
  </si>
  <si>
    <t>3658 N CLARK ST</t>
  </si>
  <si>
    <t>60530128</t>
  </si>
  <si>
    <t>FINN MCCLS CRYSTL LK #600</t>
  </si>
  <si>
    <t>72 N. WILLIAM ST.</t>
  </si>
  <si>
    <t>955906</t>
  </si>
  <si>
    <t>BLU FISH</t>
  </si>
  <si>
    <t>130 N NORTHWEST HWY</t>
  </si>
  <si>
    <t>71031264</t>
  </si>
  <si>
    <t>WOODSTOCK RESTAURANT, ANG</t>
  </si>
  <si>
    <t>117 EAST VAN BUREN ST</t>
  </si>
  <si>
    <t>40525040</t>
  </si>
  <si>
    <t>UPTOWN CAFE   :)</t>
  </si>
  <si>
    <t>24 E. MINER ST.</t>
  </si>
  <si>
    <t>70571419</t>
  </si>
  <si>
    <t>NICK'S BBQ HOMER GLENN</t>
  </si>
  <si>
    <t>15800 SO. BELL ROAD</t>
  </si>
  <si>
    <t>397976</t>
  </si>
  <si>
    <t>CAFE LA SCALA **COLL**</t>
  </si>
  <si>
    <t>626 S. RACINE AVE.</t>
  </si>
  <si>
    <t>10651875</t>
  </si>
  <si>
    <t>GRECO'S BAR **COLL**</t>
  </si>
  <si>
    <t>201 E. MAPLE</t>
  </si>
  <si>
    <t>91251777</t>
  </si>
  <si>
    <t>55TH ST. HAROLDS &amp; FRESH</t>
  </si>
  <si>
    <t>740 W GARFIELD BLVD</t>
  </si>
  <si>
    <t>80519176</t>
  </si>
  <si>
    <t>*ZZ*CONVITO CAFE &amp; MKT.</t>
  </si>
  <si>
    <t>1515 SHERIDAN RD.</t>
  </si>
  <si>
    <t>10030708</t>
  </si>
  <si>
    <t>MAX &amp; BENNY'S</t>
  </si>
  <si>
    <t>461 WAUKEGAN  RD      A/L</t>
  </si>
  <si>
    <t>90483629</t>
  </si>
  <si>
    <t>MICHAEL ANTHONYS</t>
  </si>
  <si>
    <t>6434 OGDEN AVE</t>
  </si>
  <si>
    <t>21089578</t>
  </si>
  <si>
    <t>BOGARTS - ROSEMONT</t>
  </si>
  <si>
    <t>9701 BRYN MAWR AVE</t>
  </si>
  <si>
    <t>31089485</t>
  </si>
  <si>
    <t>MUG'S PIZZA-DES PLAINES</t>
  </si>
  <si>
    <t>600 W CENTRAL AVE</t>
  </si>
  <si>
    <t>70191630</t>
  </si>
  <si>
    <t>JOHN BARLEYCORN MEM.PUB</t>
  </si>
  <si>
    <t>658 W BELDEN AVE</t>
  </si>
  <si>
    <t>81155160</t>
  </si>
  <si>
    <t>WILDWOOD TAVERN</t>
  </si>
  <si>
    <t>6480 W TOUHY</t>
  </si>
  <si>
    <t>60603008</t>
  </si>
  <si>
    <t>CAFE CON LECHE **COLL**</t>
  </si>
  <si>
    <t>1732 N. MILWAUKEE</t>
  </si>
  <si>
    <t>50035575</t>
  </si>
  <si>
    <t>Z Z DORMANT  NON-FOOD</t>
  </si>
  <si>
    <t>6831 W NORTH AVE</t>
  </si>
  <si>
    <t>21336060</t>
  </si>
  <si>
    <t>BARTON G</t>
  </si>
  <si>
    <t>415 N DEARBORN ST</t>
  </si>
  <si>
    <t>61343737</t>
  </si>
  <si>
    <t>THE QUARRY PUB &amp; GRILL</t>
  </si>
  <si>
    <t>1015 STATE ST</t>
  </si>
  <si>
    <t>80318868</t>
  </si>
  <si>
    <t>POPEYES #2351</t>
  </si>
  <si>
    <t>818 E 47TH ST</t>
  </si>
  <si>
    <t>90904566</t>
  </si>
  <si>
    <t>35TH STREET CAFE</t>
  </si>
  <si>
    <t>1735 W. 35TH STREET</t>
  </si>
  <si>
    <t>21018478</t>
  </si>
  <si>
    <t>EL PAIS</t>
  </si>
  <si>
    <t>1191 E EL DORADO ST</t>
  </si>
  <si>
    <t>50767425</t>
  </si>
  <si>
    <t>WICKER BASKET CAFE</t>
  </si>
  <si>
    <t>907 N DAMEN</t>
  </si>
  <si>
    <t>91073056</t>
  </si>
  <si>
    <t>RAS RANJAN GRILL</t>
  </si>
  <si>
    <t>1724 W DEMPSTER</t>
  </si>
  <si>
    <t>80831076</t>
  </si>
  <si>
    <t>LA TABERNA TAPAS</t>
  </si>
  <si>
    <t>1301 SOUTH HALSTED</t>
  </si>
  <si>
    <t>80413362</t>
  </si>
  <si>
    <t>TAYLOR STREET TACO GRILL</t>
  </si>
  <si>
    <t>1412 TAYLOR ST</t>
  </si>
  <si>
    <t>1281898</t>
  </si>
  <si>
    <t>BURNT TOAST ALGONQUIN</t>
  </si>
  <si>
    <t>2520 BUNKER HILL DR</t>
  </si>
  <si>
    <t>50166933</t>
  </si>
  <si>
    <t>KNICKER'S RTE #114</t>
  </si>
  <si>
    <t>1050 E. OAKTON</t>
  </si>
  <si>
    <t>70544267</t>
  </si>
  <si>
    <t>FAT SAM'S**COLL**</t>
  </si>
  <si>
    <t>7895 TAFT ST.</t>
  </si>
  <si>
    <t>40591711</t>
  </si>
  <si>
    <t>BROWN'S CHICKEN/NAPERVILL</t>
  </si>
  <si>
    <t>660 S. WASHINGTON ST.</t>
  </si>
  <si>
    <t>11151800</t>
  </si>
  <si>
    <t>FELLINI REST AND PIZZERIA</t>
  </si>
  <si>
    <t>1729 WEST GOLF RD</t>
  </si>
  <si>
    <t>40035537</t>
  </si>
  <si>
    <t>Z Z DORMANT  AM. REFRIG</t>
  </si>
  <si>
    <t>1 GREAT AMER PKWY</t>
  </si>
  <si>
    <t>90482118</t>
  </si>
  <si>
    <t>KIKIS BISTRO</t>
  </si>
  <si>
    <t>900 N FRANKLIN</t>
  </si>
  <si>
    <t>31178593</t>
  </si>
  <si>
    <t>SAUK VILLAGE CAFE DIGUTE</t>
  </si>
  <si>
    <t>30807101</t>
  </si>
  <si>
    <t>WALKER BROS. 4</t>
  </si>
  <si>
    <t>200 MARRIOTT DRIVE</t>
  </si>
  <si>
    <t>60696853</t>
  </si>
  <si>
    <t>CAPRI RISTORANTE DOWNERS</t>
  </si>
  <si>
    <t>5101 SOUTH MAIN STREET</t>
  </si>
  <si>
    <t>90908864</t>
  </si>
  <si>
    <t>CREATIVE TURKEY CUISINE</t>
  </si>
  <si>
    <t>9939 S. HALSTED ST</t>
  </si>
  <si>
    <t>1298850</t>
  </si>
  <si>
    <t>VICTORY ITALIAN</t>
  </si>
  <si>
    <t>434 W ONTARIO ST</t>
  </si>
  <si>
    <t>21318332</t>
  </si>
  <si>
    <t>CONCRETE COWBOY</t>
  </si>
  <si>
    <t>646 N FRANKLIN ST</t>
  </si>
  <si>
    <t>20469656</t>
  </si>
  <si>
    <t>JET'S PUBLIC HOUSE</t>
  </si>
  <si>
    <t>6148 N. MILWAUKEE</t>
  </si>
  <si>
    <t>90438763</t>
  </si>
  <si>
    <t>LOS PANTANOS</t>
  </si>
  <si>
    <t>805 JEFFERSON</t>
  </si>
  <si>
    <t>90896473</t>
  </si>
  <si>
    <t>REPOSTERIA</t>
  </si>
  <si>
    <t>2085 W. IRVING PARK RD.</t>
  </si>
  <si>
    <t>699637</t>
  </si>
  <si>
    <t>TRE KRONOR RESTAURANT</t>
  </si>
  <si>
    <t>3258 W. FOSTER</t>
  </si>
  <si>
    <t>91228239</t>
  </si>
  <si>
    <t>JUST SHRIMP</t>
  </si>
  <si>
    <t>15940 HARLEM AVE</t>
  </si>
  <si>
    <t>30749121</t>
  </si>
  <si>
    <t>THE PONY BAR &amp; GRILL</t>
  </si>
  <si>
    <t>1638 W BELMONT</t>
  </si>
  <si>
    <t>70874672</t>
  </si>
  <si>
    <t>CALIENTE</t>
  </si>
  <si>
    <t>1535 ELLINWOOD AVENUE</t>
  </si>
  <si>
    <t>80121437</t>
  </si>
  <si>
    <t>WHISTLESTOP RESTAURANT</t>
  </si>
  <si>
    <t>6465 W DIVERSEY</t>
  </si>
  <si>
    <t>60635</t>
  </si>
  <si>
    <t>11338571</t>
  </si>
  <si>
    <t>20466421</t>
  </si>
  <si>
    <t>OYSY RIVER NORTH</t>
  </si>
  <si>
    <t>50 E GRAND AVE</t>
  </si>
  <si>
    <t>40700346</t>
  </si>
  <si>
    <t>41346826</t>
  </si>
  <si>
    <t>KHAYAT RESTAURANT INC</t>
  </si>
  <si>
    <t>36938 N KIMBERWICK LN</t>
  </si>
  <si>
    <t>81270449</t>
  </si>
  <si>
    <t>LA MACCHINA CAFE</t>
  </si>
  <si>
    <t>1620 ORRINGTON AVE</t>
  </si>
  <si>
    <t>21296876</t>
  </si>
  <si>
    <t>DAILY SCOOP</t>
  </si>
  <si>
    <t>9 S PROSPECT AVE</t>
  </si>
  <si>
    <t>41120742</t>
  </si>
  <si>
    <t>DELBE'S CORNER CAFE</t>
  </si>
  <si>
    <t>1100 DAVIS ST</t>
  </si>
  <si>
    <t>90700691</t>
  </si>
  <si>
    <t>BRANNAN'S-DO NOT SHIP</t>
  </si>
  <si>
    <t>1234 BRANNAN AVE</t>
  </si>
  <si>
    <t>51328730</t>
  </si>
  <si>
    <t>TRIFECTA</t>
  </si>
  <si>
    <t>501 CHESTNUT ST</t>
  </si>
  <si>
    <t>11125242</t>
  </si>
  <si>
    <t>TOMMYS ITALIAN BEEF</t>
  </si>
  <si>
    <t>712 E NORTHWEST HIGHWAY</t>
  </si>
  <si>
    <t>50523216</t>
  </si>
  <si>
    <t>ANTEPRIMA</t>
  </si>
  <si>
    <t>5316 N. CLARK ST.</t>
  </si>
  <si>
    <t>10551950</t>
  </si>
  <si>
    <t>GATORS BAR &amp; GRILL</t>
  </si>
  <si>
    <t>9021 E 109TH AVE</t>
  </si>
  <si>
    <t>61195707</t>
  </si>
  <si>
    <t>YAHALA INN</t>
  </si>
  <si>
    <t>825 CHURCH ST</t>
  </si>
  <si>
    <t>91286567</t>
  </si>
  <si>
    <t>STAVERN GOURMET INC</t>
  </si>
  <si>
    <t>221 NAPERVILLE RD.</t>
  </si>
  <si>
    <t>11256229</t>
  </si>
  <si>
    <t>592352</t>
  </si>
  <si>
    <t>NEROS PIZZA&amp;PUB**COLL**</t>
  </si>
  <si>
    <t>300 EASTGATE CT</t>
  </si>
  <si>
    <t>81322521</t>
  </si>
  <si>
    <t>PHO 55 NOODLE</t>
  </si>
  <si>
    <t>1611 E 55TH ST</t>
  </si>
  <si>
    <t>1344357</t>
  </si>
  <si>
    <t>BRUNCH</t>
  </si>
  <si>
    <t>644 N ORLEANS ST</t>
  </si>
  <si>
    <t>31250590</t>
  </si>
  <si>
    <t>SABROSO BURRITO</t>
  </si>
  <si>
    <t>704 E HIGGINS RD</t>
  </si>
  <si>
    <t>31284516</t>
  </si>
  <si>
    <t>ROSALIND FRANKLIN UNIVERS</t>
  </si>
  <si>
    <t>3333 GREEN BAY RD</t>
  </si>
  <si>
    <t>71233928</t>
  </si>
  <si>
    <t>CLEVELAND AVE</t>
  </si>
  <si>
    <t>222 N CANAL ST</t>
  </si>
  <si>
    <t>71339774</t>
  </si>
  <si>
    <t>STANS DONUTS</t>
  </si>
  <si>
    <t>1301 W LAKE ST</t>
  </si>
  <si>
    <t>31257306</t>
  </si>
  <si>
    <t>FORESTERO</t>
  </si>
  <si>
    <t>449 W NORTH AVE</t>
  </si>
  <si>
    <t>70493846</t>
  </si>
  <si>
    <t>DAIRY QUEEN 18624</t>
  </si>
  <si>
    <t>12735 W CAPITOL DR</t>
  </si>
  <si>
    <t>50704568</t>
  </si>
  <si>
    <t>NORTHFIELD RESTAURANT</t>
  </si>
  <si>
    <t>391 CENTRAL RD</t>
  </si>
  <si>
    <t>51250710</t>
  </si>
  <si>
    <t>19 PAUL</t>
  </si>
  <si>
    <t>11155 S VINCENNES AVE</t>
  </si>
  <si>
    <t>61259628</t>
  </si>
  <si>
    <t>COOPERS</t>
  </si>
  <si>
    <t>1232 W BELMONT AVE</t>
  </si>
  <si>
    <t>91310680</t>
  </si>
  <si>
    <t>MEET ME CAFE - S.ELGIN</t>
  </si>
  <si>
    <t>10617868</t>
  </si>
  <si>
    <t>DOC'S JUICE AND **COLL**</t>
  </si>
  <si>
    <t>2151 W. ARMITAGE</t>
  </si>
  <si>
    <t>50553684</t>
  </si>
  <si>
    <t>DOWN AND UNDER PUB</t>
  </si>
  <si>
    <t>4020 E. OLD HWY 30</t>
  </si>
  <si>
    <t>HAMLET</t>
  </si>
  <si>
    <t>46532</t>
  </si>
  <si>
    <t>70929237</t>
  </si>
  <si>
    <t>YUMZ LAKE IN THE HILLS</t>
  </si>
  <si>
    <t>277 N. RANDALL RD.</t>
  </si>
  <si>
    <t>61201612</t>
  </si>
  <si>
    <t>MO DAILEYS  PUB AND GRILL</t>
  </si>
  <si>
    <t>6070 NORTH NORTHWEST HIGH</t>
  </si>
  <si>
    <t>91342071</t>
  </si>
  <si>
    <t>LOWCOUNTRY SOUTH LOOP</t>
  </si>
  <si>
    <t>1132 S WABASH AVE</t>
  </si>
  <si>
    <t>61295879</t>
  </si>
  <si>
    <t>FUNKENHAUSEN</t>
  </si>
  <si>
    <t>1709 W CHICAGO AVE</t>
  </si>
  <si>
    <t>51254563</t>
  </si>
  <si>
    <t>HIBACHI GRILL SUPREME BUF</t>
  </si>
  <si>
    <t>440 E ROLLINS RD</t>
  </si>
  <si>
    <t>51336998</t>
  </si>
  <si>
    <t>WINGS IT IS</t>
  </si>
  <si>
    <t>5043 W 111TH ST</t>
  </si>
  <si>
    <t>80486517</t>
  </si>
  <si>
    <t>COBRA LOUNGE</t>
  </si>
  <si>
    <t>235 N ASHLAND</t>
  </si>
  <si>
    <t>60728946</t>
  </si>
  <si>
    <t>4125 N HARLEM</t>
  </si>
  <si>
    <t>50084714</t>
  </si>
  <si>
    <t>JACOBS BROTHERS **COLL**</t>
  </si>
  <si>
    <t>50 E CHICAGO AVE</t>
  </si>
  <si>
    <t>91084319</t>
  </si>
  <si>
    <t>SLR BAR &amp; GRILL</t>
  </si>
  <si>
    <t>16409 S HALSTED AVE</t>
  </si>
  <si>
    <t>40679680</t>
  </si>
  <si>
    <t>MIDTOWN KITCHEN</t>
  </si>
  <si>
    <t>203 N LASALLE</t>
  </si>
  <si>
    <t>40635971</t>
  </si>
  <si>
    <t>BRONZEVILLE COFFEE &amp; TEA</t>
  </si>
  <si>
    <t>528 E. 43RD ST.</t>
  </si>
  <si>
    <t>81260101</t>
  </si>
  <si>
    <t>ARTANGO</t>
  </si>
  <si>
    <t>4767 N LINCOLN AVE</t>
  </si>
  <si>
    <t>188797</t>
  </si>
  <si>
    <t>BILLY'S BF/BURG **COLL**</t>
  </si>
  <si>
    <t>3142 WEST 159TH &amp; KEDZIE</t>
  </si>
  <si>
    <t>10629657</t>
  </si>
  <si>
    <t>LOS MOLES **COLL**</t>
  </si>
  <si>
    <t>3140 N. LINCOLN AVE.</t>
  </si>
  <si>
    <t>71139877</t>
  </si>
  <si>
    <t>HANNAH'S BRETZEL BAKERY</t>
  </si>
  <si>
    <t>21346440</t>
  </si>
  <si>
    <t>B&amp;B CAFE</t>
  </si>
  <si>
    <t>1312 N MAIN ST</t>
  </si>
  <si>
    <t>292870</t>
  </si>
  <si>
    <t>WASHINGTON SQUARE REST</t>
  </si>
  <si>
    <t>17815 E HALSTED ST</t>
  </si>
  <si>
    <t>90212762</t>
  </si>
  <si>
    <t>*ZZ*COUNTRY HSE REST/LISL</t>
  </si>
  <si>
    <t>30227896</t>
  </si>
  <si>
    <t>STETSON STEAK HSE E</t>
  </si>
  <si>
    <t>7335 SIBLEY BLVD.</t>
  </si>
  <si>
    <t>30928139</t>
  </si>
  <si>
    <t>ZUNIS RESTAURANT</t>
  </si>
  <si>
    <t>5124 PINE ISLAND COURT</t>
  </si>
  <si>
    <t>81273732</t>
  </si>
  <si>
    <t>MR A'S RESTAURANT</t>
  </si>
  <si>
    <t>609 E IRVING PARK RD</t>
  </si>
  <si>
    <t>40044448</t>
  </si>
  <si>
    <t>DR JAM'S RESTAURANT</t>
  </si>
  <si>
    <t>1528 E 63RD ST</t>
  </si>
  <si>
    <t>70984232</t>
  </si>
  <si>
    <t>OLD TOWN PUB GENEVA</t>
  </si>
  <si>
    <t>201 WEST STATE ST</t>
  </si>
  <si>
    <t>61239232</t>
  </si>
  <si>
    <t>PRESS ROOM</t>
  </si>
  <si>
    <t>1134 W WASHINGTON BLVD</t>
  </si>
  <si>
    <t>60487923</t>
  </si>
  <si>
    <t>GELSOSOMO'S P. CHESTERTON</t>
  </si>
  <si>
    <t>371 INDIAN BOUNDARY ROAD</t>
  </si>
  <si>
    <t>70552443</t>
  </si>
  <si>
    <t>SALT &amp; PEPPER CLARK</t>
  </si>
  <si>
    <t>3537 N. CLARK</t>
  </si>
  <si>
    <t>61241683</t>
  </si>
  <si>
    <t>TRACY'S S AURORA</t>
  </si>
  <si>
    <t>4424 E NEW YORK ST</t>
  </si>
  <si>
    <t>11095650</t>
  </si>
  <si>
    <t>EL FUEGO TACOS &amp; BURRITOS</t>
  </si>
  <si>
    <t>132 S. RANDALL RD.</t>
  </si>
  <si>
    <t>81229379</t>
  </si>
  <si>
    <t>JC'S AUTHENTIC MEXICAN CU</t>
  </si>
  <si>
    <t>130 W BARTLETT AVE</t>
  </si>
  <si>
    <t>10030955</t>
  </si>
  <si>
    <t>CHGO ATHLETIC CLUB</t>
  </si>
  <si>
    <t>12 S MICHIGAN AVE</t>
  </si>
  <si>
    <t>515395</t>
  </si>
  <si>
    <t>CAFE MEXICO **COLL**</t>
  </si>
  <si>
    <t>5100 W. FULLERTON</t>
  </si>
  <si>
    <t>60568078</t>
  </si>
  <si>
    <t>MARIA ELENA'S **COLL**</t>
  </si>
  <si>
    <t>454 GREENWICH STREET</t>
  </si>
  <si>
    <t>30313332</t>
  </si>
  <si>
    <t>TWAIN SCHOOL</t>
  </si>
  <si>
    <t>515 E. MERLE LANE</t>
  </si>
  <si>
    <t>20031167</t>
  </si>
  <si>
    <t>CHSE TO PLEASE PIZZA</t>
  </si>
  <si>
    <t>143 SKOKIE BLVD</t>
  </si>
  <si>
    <t>51295723</t>
  </si>
  <si>
    <t>GIRL IN THE PARK</t>
  </si>
  <si>
    <t>11265 W 159TH ST</t>
  </si>
  <si>
    <t>10619591</t>
  </si>
  <si>
    <t>4015 ALGONQUIN RD</t>
  </si>
  <si>
    <t>80932023</t>
  </si>
  <si>
    <t>THE MATHER</t>
  </si>
  <si>
    <t>425 DAVIS ST</t>
  </si>
  <si>
    <t>31077514</t>
  </si>
  <si>
    <t>THE CURRAGH IRISH PUB</t>
  </si>
  <si>
    <t>1800 TOWER ROAD</t>
  </si>
  <si>
    <t>1197110</t>
  </si>
  <si>
    <t>61319588</t>
  </si>
  <si>
    <t>SET EM UP BAR &amp; GRILL</t>
  </si>
  <si>
    <t>135 N BROAD ST</t>
  </si>
  <si>
    <t>80484645</t>
  </si>
  <si>
    <t>LEVY CORPORATE OFFICE</t>
  </si>
  <si>
    <t>30419592</t>
  </si>
  <si>
    <t>TASSOS PORTERHOUSE**COLL*</t>
  </si>
  <si>
    <t>15W776 N. FRONTAGE ROAD</t>
  </si>
  <si>
    <t>50520063</t>
  </si>
  <si>
    <t>DJ'S SPORTS BAR &amp; GRILL</t>
  </si>
  <si>
    <t>222 E. CHICAGO AVE.</t>
  </si>
  <si>
    <t>21108857</t>
  </si>
  <si>
    <t>LANGEL'S PIZZA</t>
  </si>
  <si>
    <t>2833 HIGHWAY AVE</t>
  </si>
  <si>
    <t>81136327</t>
  </si>
  <si>
    <t>BABA KARAM RESTAURANT</t>
  </si>
  <si>
    <t>117 W. ST.CHARLES RD</t>
  </si>
  <si>
    <t>10832194</t>
  </si>
  <si>
    <t>JC'S MARKET **COLL**</t>
  </si>
  <si>
    <t>825 E. NERGE RD</t>
  </si>
  <si>
    <t>11289378</t>
  </si>
  <si>
    <t>BEANS AND SWEETS</t>
  </si>
  <si>
    <t>3344 S. RTE 59</t>
  </si>
  <si>
    <t>81236317</t>
  </si>
  <si>
    <t>WILD CHILD</t>
  </si>
  <si>
    <t>1252 N WELLS ST</t>
  </si>
  <si>
    <t>40552341</t>
  </si>
  <si>
    <t>EL MESON MEXICAN REST.</t>
  </si>
  <si>
    <t>34 WEST SCHAUMBURG RD</t>
  </si>
  <si>
    <t>20954350</t>
  </si>
  <si>
    <t>BOTTOM'S UP SPORTS BAR</t>
  </si>
  <si>
    <t>1807  S. WASHINGTON ST.</t>
  </si>
  <si>
    <t>30312292</t>
  </si>
  <si>
    <t>RED LOBSTER #473</t>
  </si>
  <si>
    <t>4625 N STERLING AVE</t>
  </si>
  <si>
    <t>40520967</t>
  </si>
  <si>
    <t>HOTSHOTS CHICKEN&amp;RIB*COLL</t>
  </si>
  <si>
    <t>105 N. ARLINGTON HEIGHTS</t>
  </si>
  <si>
    <t>60572708</t>
  </si>
  <si>
    <t>MAIJEAN</t>
  </si>
  <si>
    <t>30 S PROSPECT AVE</t>
  </si>
  <si>
    <t>154278</t>
  </si>
  <si>
    <t>THAT PLA'CE INC/PLAYERS</t>
  </si>
  <si>
    <t>2727 W JEFFERSON ST</t>
  </si>
  <si>
    <t>41049818</t>
  </si>
  <si>
    <t>PASQUALESDELI &amp; PIZZERIA</t>
  </si>
  <si>
    <t>1506 W ALGONQUIN RD</t>
  </si>
  <si>
    <t>90482134</t>
  </si>
  <si>
    <t>RIVAL'S **COLLECTIONS**</t>
  </si>
  <si>
    <t>9001 WAUKEGAN RD</t>
  </si>
  <si>
    <t>51138238</t>
  </si>
  <si>
    <t>RADISH</t>
  </si>
  <si>
    <t>1130 W. MONROE</t>
  </si>
  <si>
    <t>553867</t>
  </si>
  <si>
    <t>FLEMINGS CHICAGO</t>
  </si>
  <si>
    <t>25 EAST OHIO STREET</t>
  </si>
  <si>
    <t>21062807</t>
  </si>
  <si>
    <t>BOMBAY SPICE STREETERVIL.</t>
  </si>
  <si>
    <t>203-213 OHIO STREET</t>
  </si>
  <si>
    <t>11235553</t>
  </si>
  <si>
    <t>MIXOLOGY</t>
  </si>
  <si>
    <t>51315604</t>
  </si>
  <si>
    <t>RIO'S - MICHIGAN CITY</t>
  </si>
  <si>
    <t>2715 FRANKLIN ST</t>
  </si>
  <si>
    <t>90163148</t>
  </si>
  <si>
    <t>DISCOVERY ZONE PEORIA</t>
  </si>
  <si>
    <t>910 W LAKE ST</t>
  </si>
  <si>
    <t>61614</t>
  </si>
  <si>
    <t>91123265</t>
  </si>
  <si>
    <t>BERTUCCI'S OF PALOS</t>
  </si>
  <si>
    <t>10331 S ROBERTS RD</t>
  </si>
  <si>
    <t>90933664</t>
  </si>
  <si>
    <t>ANDYS CAFE</t>
  </si>
  <si>
    <t>1515 E. OAKTON ST</t>
  </si>
  <si>
    <t>10482453</t>
  </si>
  <si>
    <t>HONG KONG BAY CHINESE</t>
  </si>
  <si>
    <t>1531 N WELLS</t>
  </si>
  <si>
    <t>41282526</t>
  </si>
  <si>
    <t>STAN'S DONUTS DAMEN AVE</t>
  </si>
  <si>
    <t>1560 N DAMEN AVE</t>
  </si>
  <si>
    <t>81220451</t>
  </si>
  <si>
    <t>PATTEN HOUSE</t>
  </si>
  <si>
    <t>124 S 2ND ST</t>
  </si>
  <si>
    <t>40113474</t>
  </si>
  <si>
    <t>DISCOVERY ZONE/MATTESON</t>
  </si>
  <si>
    <t>4246 W 211TH STREET</t>
  </si>
  <si>
    <t>80254337</t>
  </si>
  <si>
    <t>FAMOUS DAVES/NAPERVILLE</t>
  </si>
  <si>
    <t>1126 E OGDEN AVE</t>
  </si>
  <si>
    <t>70483276</t>
  </si>
  <si>
    <t>O'BRIEN REST</t>
  </si>
  <si>
    <t>1528 N WELLS ST</t>
  </si>
  <si>
    <t>60938644</t>
  </si>
  <si>
    <t>THE STORE FRONT COMPANY</t>
  </si>
  <si>
    <t>1941 W NORTH AVE</t>
  </si>
  <si>
    <t>71335780</t>
  </si>
  <si>
    <t>FIRE AND WINE</t>
  </si>
  <si>
    <t>51303394</t>
  </si>
  <si>
    <t>PEPES COMMISSARY (INC)</t>
  </si>
  <si>
    <t>1325 W 15TH ST</t>
  </si>
  <si>
    <t>90532805</t>
  </si>
  <si>
    <t>OLD TOWN BRASSERIE**COLL*</t>
  </si>
  <si>
    <t>1209 N WELLS</t>
  </si>
  <si>
    <t>61292132</t>
  </si>
  <si>
    <t>DA'S DELI TINLEY</t>
  </si>
  <si>
    <t>18348 PULASKI AVE</t>
  </si>
  <si>
    <t>81319782</t>
  </si>
  <si>
    <t>CAFE BONHOMME</t>
  </si>
  <si>
    <t>180 N WACKER DR</t>
  </si>
  <si>
    <t>51256261</t>
  </si>
  <si>
    <t>THE SEDGWICK STOP</t>
  </si>
  <si>
    <t>1612 N SEDGWICK ST</t>
  </si>
  <si>
    <t>71239149</t>
  </si>
  <si>
    <t>LITEHOUSE FOOD &amp; GRILL</t>
  </si>
  <si>
    <t>1373 E 53RD ST</t>
  </si>
  <si>
    <t>11339306</t>
  </si>
  <si>
    <t>BARTLETT TAP</t>
  </si>
  <si>
    <t>113 W RAILROAD AVE</t>
  </si>
  <si>
    <t>70764485</t>
  </si>
  <si>
    <t>TOTAL SPORTS BAR **COLL**</t>
  </si>
  <si>
    <t>523 FAIRWAY DRIVE</t>
  </si>
  <si>
    <t>31028871</t>
  </si>
  <si>
    <t>MARISCOS EL BARCO</t>
  </si>
  <si>
    <t>1032 N ASHLAND</t>
  </si>
  <si>
    <t>51022770</t>
  </si>
  <si>
    <t>HIGH NOON SALOON</t>
  </si>
  <si>
    <t>1560 NORTH MILWAUKEE AVE.</t>
  </si>
  <si>
    <t>81152530</t>
  </si>
  <si>
    <t>WOODEN NICKEL</t>
  </si>
  <si>
    <t>117 N. MAIN ST.</t>
  </si>
  <si>
    <t>60254331</t>
  </si>
  <si>
    <t>FAMOUS DAVES/JANESVILLE</t>
  </si>
  <si>
    <t>3030 MILTON AVE</t>
  </si>
  <si>
    <t>90475914</t>
  </si>
  <si>
    <t>CAFFE DE LUCA-FOREST PARK</t>
  </si>
  <si>
    <t>7427 W. MADISON ST.</t>
  </si>
  <si>
    <t>10551752</t>
  </si>
  <si>
    <t>ANDY'S GRILL/ICE CREAM</t>
  </si>
  <si>
    <t>16973 S. VINCENNES ROAD</t>
  </si>
  <si>
    <t>51146942</t>
  </si>
  <si>
    <t>CALUMET PANCAKE HOUSE</t>
  </si>
  <si>
    <t>1055 RIVER OAKS DR.</t>
  </si>
  <si>
    <t>41210360</t>
  </si>
  <si>
    <t>ONION GARDEN INC</t>
  </si>
  <si>
    <t>1788 2ND STREET</t>
  </si>
  <si>
    <t>11325719</t>
  </si>
  <si>
    <t>BUTTERMILK PANCAKE HOUSE</t>
  </si>
  <si>
    <t>805 RIDGE RD</t>
  </si>
  <si>
    <t>71232805</t>
  </si>
  <si>
    <t>TAP ROOM</t>
  </si>
  <si>
    <t>1560 N MILWAUKEE AVE</t>
  </si>
  <si>
    <t>90602889</t>
  </si>
  <si>
    <t>KRYSTYNA'S DELI</t>
  </si>
  <si>
    <t>1102 S.ROSELLE RD</t>
  </si>
  <si>
    <t>81201808</t>
  </si>
  <si>
    <t>TONY &amp; MILLIE'S ITALIAN I</t>
  </si>
  <si>
    <t>6709 N OLMSTED AVE</t>
  </si>
  <si>
    <t>10508612</t>
  </si>
  <si>
    <t>MY FAVORITE PLACE</t>
  </si>
  <si>
    <t>2540 N. HWY 83</t>
  </si>
  <si>
    <t>90789959</t>
  </si>
  <si>
    <t>MAMA LOU'S SHRIMP**COLL**</t>
  </si>
  <si>
    <t>79 CLOCKTOWER PLAZA</t>
  </si>
  <si>
    <t>71313886</t>
  </si>
  <si>
    <t>HOME PICK</t>
  </si>
  <si>
    <t>1702 BERKLEY ST</t>
  </si>
  <si>
    <t>91294116</t>
  </si>
  <si>
    <t>TEQUILA &amp; TACOS</t>
  </si>
  <si>
    <t>642 S LAKE ST</t>
  </si>
  <si>
    <t>81334757</t>
  </si>
  <si>
    <t>RAY'S FAMILY RESTAURANT L</t>
  </si>
  <si>
    <t>801 SAINT CHARLES ST</t>
  </si>
  <si>
    <t>21315510</t>
  </si>
  <si>
    <t>CLASENS TAVERN,  UNION</t>
  </si>
  <si>
    <t>17630 DEPOT ST</t>
  </si>
  <si>
    <t>90934795</t>
  </si>
  <si>
    <t>DETROIT KABOB HOUSE</t>
  </si>
  <si>
    <t>9021 N. MILWAUKEE</t>
  </si>
  <si>
    <t>71334056</t>
  </si>
  <si>
    <t>CHICAGO HOUSE OF ZA #2</t>
  </si>
  <si>
    <t>3868 N LINCOLN AVE</t>
  </si>
  <si>
    <t>90121807</t>
  </si>
  <si>
    <t>SOUTH PIER **COLL**</t>
  </si>
  <si>
    <t>6401 S COASTGUARD DR</t>
  </si>
  <si>
    <t>40037350</t>
  </si>
  <si>
    <t>HUNGRY LAD'S EXPRESS #3</t>
  </si>
  <si>
    <t>52750 US 31 N</t>
  </si>
  <si>
    <t>46637</t>
  </si>
  <si>
    <t>40830705</t>
  </si>
  <si>
    <t>1313 MOCKINGBIRD LANE</t>
  </si>
  <si>
    <t>1009430</t>
  </si>
  <si>
    <t>3 AMIGAS</t>
  </si>
  <si>
    <t>450 W. LIBERTY ST</t>
  </si>
  <si>
    <t>10533677</t>
  </si>
  <si>
    <t>BACCA CAFE **COLL**</t>
  </si>
  <si>
    <t>108 BARRINGTON COMMONS PZ</t>
  </si>
  <si>
    <t>71253249</t>
  </si>
  <si>
    <t>MARGARITAS RESTAURANT LOU</t>
  </si>
  <si>
    <t>19606 BURNHAM AVE</t>
  </si>
  <si>
    <t>40510935</t>
  </si>
  <si>
    <t>B B 'S  **COLL**</t>
  </si>
  <si>
    <t>22 EAST HUBBARD</t>
  </si>
  <si>
    <t>90955725</t>
  </si>
  <si>
    <t>SCOREBOARDS</t>
  </si>
  <si>
    <t>1100 DOUGLAS ROAD</t>
  </si>
  <si>
    <t>70955844</t>
  </si>
  <si>
    <t>BUFFET CITY 3</t>
  </si>
  <si>
    <t>7010 PULASKI RD</t>
  </si>
  <si>
    <t>90962002</t>
  </si>
  <si>
    <t>DOS DIABLOS</t>
  </si>
  <si>
    <t>15 WEST HUBBARD</t>
  </si>
  <si>
    <t>1283290</t>
  </si>
  <si>
    <t>FRANKS N FRIES</t>
  </si>
  <si>
    <t>1717 W POLK ST</t>
  </si>
  <si>
    <t>11327772</t>
  </si>
  <si>
    <t>ALBANO'S VILLA PIZZA</t>
  </si>
  <si>
    <t>1612 FRANKLIN ST</t>
  </si>
  <si>
    <t>90934415</t>
  </si>
  <si>
    <t>ESHTICKEN PIZZA</t>
  </si>
  <si>
    <t>4660 HOFFMAN BLVD</t>
  </si>
  <si>
    <t>91333559</t>
  </si>
  <si>
    <t>NR RACK HOUSE</t>
  </si>
  <si>
    <t>60189032</t>
  </si>
  <si>
    <t>BILLY'S EXPRESS</t>
  </si>
  <si>
    <t>91211045</t>
  </si>
  <si>
    <t>THE STATION</t>
  </si>
  <si>
    <t>40731390</t>
  </si>
  <si>
    <t>LEGENDS SPORTS GRILL</t>
  </si>
  <si>
    <t>170 E LAKE STREET</t>
  </si>
  <si>
    <t>51026599</t>
  </si>
  <si>
    <t>FFF MARKET</t>
  </si>
  <si>
    <t>1113 W RANDOLPH ST</t>
  </si>
  <si>
    <t>51086734</t>
  </si>
  <si>
    <t>YOGO BEAR</t>
  </si>
  <si>
    <t>4950 N CUMBERLAND AVE #7</t>
  </si>
  <si>
    <t>51059681</t>
  </si>
  <si>
    <t>HAMADA OF JAPAN</t>
  </si>
  <si>
    <t>18310 N. CREEK DR</t>
  </si>
  <si>
    <t>31287279</t>
  </si>
  <si>
    <t>SCRATCH KITCHEN &amp; LOUNGE</t>
  </si>
  <si>
    <t>7445 MADISON ST</t>
  </si>
  <si>
    <t>71140867</t>
  </si>
  <si>
    <t>MAJOR RESTAURANT</t>
  </si>
  <si>
    <t>301 W OGDEN AVE</t>
  </si>
  <si>
    <t>70904073</t>
  </si>
  <si>
    <t>REPOSTERIA - ELGIN</t>
  </si>
  <si>
    <t>1600 BIG TIMBER RD</t>
  </si>
  <si>
    <t>732032</t>
  </si>
  <si>
    <t>SCAPA ITALIAN KITCH*COLL*</t>
  </si>
  <si>
    <t>1 WALKER PLACE</t>
  </si>
  <si>
    <t>81330425</t>
  </si>
  <si>
    <t>BELLA'S CUCINA</t>
  </si>
  <si>
    <t>1045 FOUNTAIN VIEW DR</t>
  </si>
  <si>
    <t>31201627</t>
  </si>
  <si>
    <t>158 N CHICAGO ST</t>
  </si>
  <si>
    <t>568246</t>
  </si>
  <si>
    <t>OBERWEISS ICE CREAM/WICKR</t>
  </si>
  <si>
    <t>1293 N MILWAUKEE</t>
  </si>
  <si>
    <t>51293975</t>
  </si>
  <si>
    <t>AINT SHE SWEET CAFE</t>
  </si>
  <si>
    <t>526 E 43RD ST</t>
  </si>
  <si>
    <t>50484633</t>
  </si>
  <si>
    <t>SEARS TOWER MRS LEVYS</t>
  </si>
  <si>
    <t>40028706</t>
  </si>
  <si>
    <t>FIELDHOUSE INC *PG*</t>
  </si>
  <si>
    <t>111 E COLLEGE</t>
  </si>
  <si>
    <t>40300774</t>
  </si>
  <si>
    <t>BEEF VILLAGE</t>
  </si>
  <si>
    <t>1125 SEMINARY-RT 47</t>
  </si>
  <si>
    <t>51242006</t>
  </si>
  <si>
    <t>ARABICA CAFE</t>
  </si>
  <si>
    <t>59 DOUGLAS AVE</t>
  </si>
  <si>
    <t>60935780</t>
  </si>
  <si>
    <t>GREENWOOD DELI</t>
  </si>
  <si>
    <t>8796 DEMPSTER</t>
  </si>
  <si>
    <t>902197</t>
  </si>
  <si>
    <t>JAMESON'S/HUNTLEY :)</t>
  </si>
  <si>
    <t>12860 DEL WEB BLVD</t>
  </si>
  <si>
    <t>61267985</t>
  </si>
  <si>
    <t>Q'S TIPS &amp; WINGS BBQ</t>
  </si>
  <si>
    <t>2517 W 79TH ST</t>
  </si>
  <si>
    <t>21257548</t>
  </si>
  <si>
    <t>J'S BREAKFAST CLUB</t>
  </si>
  <si>
    <t>3669 BROADWAY</t>
  </si>
  <si>
    <t>81297392</t>
  </si>
  <si>
    <t>SMARTBELLY SMOOTHIE CO.</t>
  </si>
  <si>
    <t>901 E SUMMIT ST</t>
  </si>
  <si>
    <t>51256006</t>
  </si>
  <si>
    <t>GRILL HOUSE</t>
  </si>
  <si>
    <t>3061 DUNDEE RD</t>
  </si>
  <si>
    <t>11189362</t>
  </si>
  <si>
    <t>ARI FOODS</t>
  </si>
  <si>
    <t>201 EASTERN AVE</t>
  </si>
  <si>
    <t>41323742</t>
  </si>
  <si>
    <t>FOODA FOOD HALL ANIXTER</t>
  </si>
  <si>
    <t>2301 PATRIOT BLVD</t>
  </si>
  <si>
    <t>30251573</t>
  </si>
  <si>
    <t>ORLISSIE'S-**COLL**</t>
  </si>
  <si>
    <t>529 LAKE ST</t>
  </si>
  <si>
    <t>50994631</t>
  </si>
  <si>
    <t>LAZZAR PIZZA</t>
  </si>
  <si>
    <t>7701 W. LAWRENCE</t>
  </si>
  <si>
    <t>682179</t>
  </si>
  <si>
    <t>VIA BELLA PIZZA **COLL**</t>
  </si>
  <si>
    <t>1962 S RIVER ROAD</t>
  </si>
  <si>
    <t>1291517</t>
  </si>
  <si>
    <t>THE GRAND SANDWICH STAND</t>
  </si>
  <si>
    <t>2351 W CHICAGO AVE</t>
  </si>
  <si>
    <t>90482399</t>
  </si>
  <si>
    <t>SALAD SPINNERS-AON</t>
  </si>
  <si>
    <t>200 E RANDOLPH</t>
  </si>
  <si>
    <t>51277085</t>
  </si>
  <si>
    <t>TACO MADRE NAPERVILLE</t>
  </si>
  <si>
    <t>61001822</t>
  </si>
  <si>
    <t>THE TASTE MANAGEMENT GROU</t>
  </si>
  <si>
    <t>20590 S LA GRANGE ROAD</t>
  </si>
  <si>
    <t>31189459</t>
  </si>
  <si>
    <t>SIP COFFEE HOUSE</t>
  </si>
  <si>
    <t>9 NORTH COURT STREET</t>
  </si>
  <si>
    <t>1131655</t>
  </si>
  <si>
    <t>VANENO DE NAYARIT</t>
  </si>
  <si>
    <t>2211 W LAKE ST</t>
  </si>
  <si>
    <t>20902714</t>
  </si>
  <si>
    <t>ANTICO</t>
  </si>
  <si>
    <t>1946 N. LEAVITT</t>
  </si>
  <si>
    <t>50170893</t>
  </si>
  <si>
    <t>LE CAFE</t>
  </si>
  <si>
    <t>3343 N CLARK ST</t>
  </si>
  <si>
    <t>21301353</t>
  </si>
  <si>
    <t>KAVA DIEM - ST CHARLES</t>
  </si>
  <si>
    <t>1 ILLINOIS ST STE 180</t>
  </si>
  <si>
    <t>41111816</t>
  </si>
  <si>
    <t>PRIME AND PROVISIONS</t>
  </si>
  <si>
    <t>222 N LASALLE STREET</t>
  </si>
  <si>
    <t>90986456</t>
  </si>
  <si>
    <t>BEEHIVE</t>
  </si>
  <si>
    <t>204 W MAIN ST</t>
  </si>
  <si>
    <t>81099780</t>
  </si>
  <si>
    <t>RYANS PLACE</t>
  </si>
  <si>
    <t>1338870</t>
  </si>
  <si>
    <t>1608 E MICHIGAN BLVD</t>
  </si>
  <si>
    <t>50440759</t>
  </si>
  <si>
    <t>SKOKIE SKATIUM</t>
  </si>
  <si>
    <t>9300 WEBBER PARK PLACE</t>
  </si>
  <si>
    <t>509562</t>
  </si>
  <si>
    <t>LIFE BISTRO - ROMEOVILLE</t>
  </si>
  <si>
    <t>1220 LAKEVIEW DR</t>
  </si>
  <si>
    <t>50488410</t>
  </si>
  <si>
    <t>HAT TRIC HOCKEY</t>
  </si>
  <si>
    <t>647 CONSUMERS AVE.,</t>
  </si>
  <si>
    <t>30030662</t>
  </si>
  <si>
    <t>ARMANDO'S RESTAURANT</t>
  </si>
  <si>
    <t>735 N  RUSH</t>
  </si>
  <si>
    <t>71238471</t>
  </si>
  <si>
    <t>GRAFFITI GRILLE</t>
  </si>
  <si>
    <t>715 ROCKLAND RD</t>
  </si>
  <si>
    <t>10910461</t>
  </si>
  <si>
    <t>MARMALADE CAFE</t>
  </si>
  <si>
    <t>1969 W. MONTROSE AVE.</t>
  </si>
  <si>
    <t>50621721</t>
  </si>
  <si>
    <t>OLIVER'S BAR &amp; GRILL ##</t>
  </si>
  <si>
    <t>800 N. KINZIE AVE.</t>
  </si>
  <si>
    <t>60488251</t>
  </si>
  <si>
    <t>ANTHONY CHANTOS</t>
  </si>
  <si>
    <t>426 S. CHASE AVE.</t>
  </si>
  <si>
    <t>11338431</t>
  </si>
  <si>
    <t>SHRIMPIES</t>
  </si>
  <si>
    <t>2101 CAROLINA ST</t>
  </si>
  <si>
    <t>40483737</t>
  </si>
  <si>
    <t>ISABELS FAMILY RESTAU</t>
  </si>
  <si>
    <t>1110 N SEMINARY AVE</t>
  </si>
  <si>
    <t>10698355</t>
  </si>
  <si>
    <t>KODA BISTRO</t>
  </si>
  <si>
    <t>10352 S. WESTERN AVE.</t>
  </si>
  <si>
    <t>90904798</t>
  </si>
  <si>
    <t>SMOKEYS BBQ</t>
  </si>
  <si>
    <t>5481 N. NORTHWEST HIGHWAY</t>
  </si>
  <si>
    <t>41248477</t>
  </si>
  <si>
    <t>91083386</t>
  </si>
  <si>
    <t>KING PHO</t>
  </si>
  <si>
    <t>5414 DEVON AVE</t>
  </si>
  <si>
    <t>60390960</t>
  </si>
  <si>
    <t>GREAT AMERICAN BAGELS</t>
  </si>
  <si>
    <t>17659 TORRANCE</t>
  </si>
  <si>
    <t>60535689</t>
  </si>
  <si>
    <t>890 FOXWORTH BLVD</t>
  </si>
  <si>
    <t>70031299</t>
  </si>
  <si>
    <t>Z Z DORMANT  SWEET SHOP</t>
  </si>
  <si>
    <t>HWY AH-SA OFF 50-83</t>
  </si>
  <si>
    <t>80614050</t>
  </si>
  <si>
    <t>AL CAPONES HIDEAWAY DIP</t>
  </si>
  <si>
    <t>35W337 RIVERSIDE DR</t>
  </si>
  <si>
    <t>21284567</t>
  </si>
  <si>
    <t>312 CHICAGO</t>
  </si>
  <si>
    <t>136 N LA SALLE ST</t>
  </si>
  <si>
    <t>60213162</t>
  </si>
  <si>
    <t>IVETA</t>
  </si>
  <si>
    <t>220 SOUTH COOK ST</t>
  </si>
  <si>
    <t>933929</t>
  </si>
  <si>
    <t>OLD NORTH PANCAKE</t>
  </si>
  <si>
    <t>27 W 751 NORTH AVE</t>
  </si>
  <si>
    <t>70949862</t>
  </si>
  <si>
    <t>FATHER &amp; SON ITALIAN KITC</t>
  </si>
  <si>
    <t>9735 SKOKIE BLVD</t>
  </si>
  <si>
    <t>50938695</t>
  </si>
  <si>
    <t>HOMEMADE PIZZA COMPANY</t>
  </si>
  <si>
    <t>1046 W. KINZIE</t>
  </si>
  <si>
    <t>20925145</t>
  </si>
  <si>
    <t>EYRIE- ROBERT MORRIS UNIV</t>
  </si>
  <si>
    <t>128 N. OAK PARK</t>
  </si>
  <si>
    <t>21326848</t>
  </si>
  <si>
    <t>ZAIQA RESTAURANT</t>
  </si>
  <si>
    <t>2245 W DEVON AVE</t>
  </si>
  <si>
    <t>70486907</t>
  </si>
  <si>
    <t>152 BIESTERFIELD RD</t>
  </si>
  <si>
    <t>10515781</t>
  </si>
  <si>
    <t>THE GOLF FARM</t>
  </si>
  <si>
    <t>29587 NORTH RAND ROAD</t>
  </si>
  <si>
    <t>50616002</t>
  </si>
  <si>
    <t>LYNETHE'S DELI &amp; PIEROGIS</t>
  </si>
  <si>
    <t>1116 119TH STREET</t>
  </si>
  <si>
    <t>21268115</t>
  </si>
  <si>
    <t>PUESTO SANDWICH STAND</t>
  </si>
  <si>
    <t>3349 N SHEFFIELD AVE</t>
  </si>
  <si>
    <t>80318082</t>
  </si>
  <si>
    <t>CHIPOTLE MEXICAN - CORP</t>
  </si>
  <si>
    <t>2546 15TH STREET</t>
  </si>
  <si>
    <t>CO</t>
  </si>
  <si>
    <t>80211</t>
  </si>
  <si>
    <t>90788837</t>
  </si>
  <si>
    <t>BOMBAY WRAPS</t>
  </si>
  <si>
    <t>122 N. WELLS ST.</t>
  </si>
  <si>
    <t>426262</t>
  </si>
  <si>
    <t>FLAT TOP GRILL/WASHINGTON</t>
  </si>
  <si>
    <t>1000 W. WASHINGTON BLVD.</t>
  </si>
  <si>
    <t>1284496</t>
  </si>
  <si>
    <t>WILLIAM BLAIR CAFE 1935</t>
  </si>
  <si>
    <t>61138020</t>
  </si>
  <si>
    <t>CRAZY GRILL &amp; BUFFET</t>
  </si>
  <si>
    <t>7610 ROOSEVELT RD STE 120</t>
  </si>
  <si>
    <t>10525426</t>
  </si>
  <si>
    <t>TL'S FOUR SEASON</t>
  </si>
  <si>
    <t>110 W. BARTLETT AVE</t>
  </si>
  <si>
    <t>80482805</t>
  </si>
  <si>
    <t>ULTIMATE CAFE</t>
  </si>
  <si>
    <t>4092 RT 71</t>
  </si>
  <si>
    <t>30524193</t>
  </si>
  <si>
    <t>EGGSPERIENCE-GLEN*COLL**</t>
  </si>
  <si>
    <t>2000 TOWER DR.</t>
  </si>
  <si>
    <t>21343769</t>
  </si>
  <si>
    <t>SALSA STREET - RANDHURST</t>
  </si>
  <si>
    <t>211 RANDHURST VILLAGE DR</t>
  </si>
  <si>
    <t>61251161</t>
  </si>
  <si>
    <t>PUREE'S PIZZA AND PASTA</t>
  </si>
  <si>
    <t>1023 LAKE ST</t>
  </si>
  <si>
    <t>41322355</t>
  </si>
  <si>
    <t>TRADITIONS</t>
  </si>
  <si>
    <t>40996647</t>
  </si>
  <si>
    <t>SOUTH SIDE SHRIMP</t>
  </si>
  <si>
    <t>5319 S. HYDE PARK BLVD</t>
  </si>
  <si>
    <t>50980465</t>
  </si>
  <si>
    <t>MILLER'S ALE EDI OG 3Y</t>
  </si>
  <si>
    <t>91216267</t>
  </si>
  <si>
    <t>GARAGE BAR &amp; SANDWICH</t>
  </si>
  <si>
    <t>6154 N MILWAUKEE AVE</t>
  </si>
  <si>
    <t>91181636</t>
  </si>
  <si>
    <t>HALSTED SPRING GROVE</t>
  </si>
  <si>
    <t>2020 N US HIGHWAY 12</t>
  </si>
  <si>
    <t>90477779</t>
  </si>
  <si>
    <t>HARRY O'S      :)</t>
  </si>
  <si>
    <t>13226 WICKER HWY 41</t>
  </si>
  <si>
    <t>20955845</t>
  </si>
  <si>
    <t>BUFFET CITY 2</t>
  </si>
  <si>
    <t>8708 SOUTH CICERO AVE</t>
  </si>
  <si>
    <t>30925432</t>
  </si>
  <si>
    <t>ELLY'S/NORRIDGE</t>
  </si>
  <si>
    <t>5050 N. CUMBERLAND</t>
  </si>
  <si>
    <t>10035624</t>
  </si>
  <si>
    <t>MAGNIFICO'S MOSTLY ITLN</t>
  </si>
  <si>
    <t>227 E WASHINGTON</t>
  </si>
  <si>
    <t>61297370</t>
  </si>
  <si>
    <t>GREEK ISLANDS</t>
  </si>
  <si>
    <t>300 E 22ND ST</t>
  </si>
  <si>
    <t>50035450</t>
  </si>
  <si>
    <t>1212 N DEARBORN ST</t>
  </si>
  <si>
    <t>21128244</t>
  </si>
  <si>
    <t>MEIERS TAVERN</t>
  </si>
  <si>
    <t>235 E LAKE AVE</t>
  </si>
  <si>
    <t>31083421</t>
  </si>
  <si>
    <t>CHILANGO</t>
  </si>
  <si>
    <t>904 S. ROSELLE RD.</t>
  </si>
  <si>
    <t>81292393</t>
  </si>
  <si>
    <t>CRISP</t>
  </si>
  <si>
    <t>2940 N BROADWAY ST</t>
  </si>
  <si>
    <t>61347704</t>
  </si>
  <si>
    <t>ROCK'S NORTHCENTER</t>
  </si>
  <si>
    <t>4138 N LINCOLN AVE</t>
  </si>
  <si>
    <t>61293833</t>
  </si>
  <si>
    <t>PEPES RESTAURANT</t>
  </si>
  <si>
    <t>222 E RIDGE RD</t>
  </si>
  <si>
    <t>70483623</t>
  </si>
  <si>
    <t>J&amp;J FISH &amp; CHICKEN**COLL*</t>
  </si>
  <si>
    <t>7450 S KING DR</t>
  </si>
  <si>
    <t>20570081</t>
  </si>
  <si>
    <t>ROYAL FOX COUNTRY CLUB</t>
  </si>
  <si>
    <t>4405 ROYAL &amp; ANCIENT DR</t>
  </si>
  <si>
    <t>80545734</t>
  </si>
  <si>
    <t>AGAVE BAR&amp; GRILL**COLL**</t>
  </si>
  <si>
    <t>3115 N. LINCOLN AVE.</t>
  </si>
  <si>
    <t>41342981</t>
  </si>
  <si>
    <t>ARROWHEAD ALE HOUSE</t>
  </si>
  <si>
    <t>10910792</t>
  </si>
  <si>
    <t>TRATTORIA OLIVERII</t>
  </si>
  <si>
    <t>1358 SHERMER ROAD</t>
  </si>
  <si>
    <t>40426264</t>
  </si>
  <si>
    <t>FLAT TOP GRILL/FORT WAYNE</t>
  </si>
  <si>
    <t>4150 W. JEFFERSON BLVD.</t>
  </si>
  <si>
    <t>FORT WAYNE</t>
  </si>
  <si>
    <t>46804</t>
  </si>
  <si>
    <t>81342305</t>
  </si>
  <si>
    <t>COOKIE SPIN</t>
  </si>
  <si>
    <t>4350 N LEAVITT ST</t>
  </si>
  <si>
    <t>81036568</t>
  </si>
  <si>
    <t>ALEXANDER'S  BREAKFAST</t>
  </si>
  <si>
    <t>5025 OAKTON ST.</t>
  </si>
  <si>
    <t>31174832</t>
  </si>
  <si>
    <t>PITA INN</t>
  </si>
  <si>
    <t>4710 DEMPSTER ST</t>
  </si>
  <si>
    <t>81198871</t>
  </si>
  <si>
    <t>ZEAL</t>
  </si>
  <si>
    <t>680 MALL DR</t>
  </si>
  <si>
    <t>21272505</t>
  </si>
  <si>
    <t>TAP HOUSE GRILL - CORP</t>
  </si>
  <si>
    <t>61328514</t>
  </si>
  <si>
    <t>KV CAFE</t>
  </si>
  <si>
    <t>4281 W INDIANA 10</t>
  </si>
  <si>
    <t>20682407</t>
  </si>
  <si>
    <t>OLD HIGGINS INN</t>
  </si>
  <si>
    <t>2835 E. HIGGINS ROAD</t>
  </si>
  <si>
    <t>90572702</t>
  </si>
  <si>
    <t>ANGELI'S RESTAURANT*COLL*</t>
  </si>
  <si>
    <t>51100428</t>
  </si>
  <si>
    <t>PL-ZEN</t>
  </si>
  <si>
    <t>1519 W 18TH ST</t>
  </si>
  <si>
    <t>80462575</t>
  </si>
  <si>
    <t>BENNIGAN'S/WARSAW**COLL**</t>
  </si>
  <si>
    <t>2521 E. CENTER STREET</t>
  </si>
  <si>
    <t>WARSAW</t>
  </si>
  <si>
    <t>46580</t>
  </si>
  <si>
    <t>61213906</t>
  </si>
  <si>
    <t>BOB AND ANNES</t>
  </si>
  <si>
    <t>1739 N SHERIDAN RD</t>
  </si>
  <si>
    <t>80391022</t>
  </si>
  <si>
    <t>NANCYS HOTDOGS</t>
  </si>
  <si>
    <t>303 BROAD ST</t>
  </si>
  <si>
    <t>11196144</t>
  </si>
  <si>
    <t>WALLY'S COFFEE HOUSE</t>
  </si>
  <si>
    <t>55 W SCHAUMBURG RD</t>
  </si>
  <si>
    <t>40764458</t>
  </si>
  <si>
    <t>PETES GUIDE</t>
  </si>
  <si>
    <t>412 MILWAUKEE</t>
  </si>
  <si>
    <t>70485149</t>
  </si>
  <si>
    <t>461 S RANDALL RD      .</t>
  </si>
  <si>
    <t>21088570</t>
  </si>
  <si>
    <t>LITO'S EMPANADAS LTL ITLY</t>
  </si>
  <si>
    <t>1437 W TAYLOR STREET</t>
  </si>
  <si>
    <t>20747895</t>
  </si>
  <si>
    <t>SAGANO JAPENESE REST</t>
  </si>
  <si>
    <t>110 N HOUGH STREET</t>
  </si>
  <si>
    <t>81236077</t>
  </si>
  <si>
    <t>VILLA VERONE</t>
  </si>
  <si>
    <t>416 HAMILTON ST</t>
  </si>
  <si>
    <t>30808455</t>
  </si>
  <si>
    <t>THE GRAND STATION</t>
  </si>
  <si>
    <t>101 W. CAMPBELL</t>
  </si>
  <si>
    <t>20363636</t>
  </si>
  <si>
    <t>VENETIAN GARDENS**COLL**</t>
  </si>
  <si>
    <t>6955 S. ROBERTS RD.</t>
  </si>
  <si>
    <t>515007</t>
  </si>
  <si>
    <t>JC MEXICAN RESTAURANT</t>
  </si>
  <si>
    <t>130 W BARTLETT ROAD</t>
  </si>
  <si>
    <t>1110675</t>
  </si>
  <si>
    <t>LITTLE JOE'S FRANKFORT</t>
  </si>
  <si>
    <t>20805 S LAGRANGE RD</t>
  </si>
  <si>
    <t>71049571</t>
  </si>
  <si>
    <t>CLARKS LINCOLN PARK</t>
  </si>
  <si>
    <t>2441 N LINCOLN AVE</t>
  </si>
  <si>
    <t>70955612</t>
  </si>
  <si>
    <t>MISTA PIZZA</t>
  </si>
  <si>
    <t>134 N LASALLE</t>
  </si>
  <si>
    <t>40617466</t>
  </si>
  <si>
    <t>PILOT PETE'S</t>
  </si>
  <si>
    <t>905 W. IRVING PARK RD</t>
  </si>
  <si>
    <t>50030543</t>
  </si>
  <si>
    <t>MEADOWS CLUB</t>
  </si>
  <si>
    <t>2850 W GOLF ROAD</t>
  </si>
  <si>
    <t>70066543</t>
  </si>
  <si>
    <t>MENTONE'S REST &amp; LOUNGE</t>
  </si>
  <si>
    <t>25836 W HWY #173</t>
  </si>
  <si>
    <t>21274931</t>
  </si>
  <si>
    <t>BIG BULL BBQ</t>
  </si>
  <si>
    <t>1308733</t>
  </si>
  <si>
    <t>OLD VILNIUS CAFE</t>
  </si>
  <si>
    <t>2601 75TH ST UNIT B</t>
  </si>
  <si>
    <t>60984572</t>
  </si>
  <si>
    <t>TK'S SMOKE PIT</t>
  </si>
  <si>
    <t>2853 PFINGSTON ROAD</t>
  </si>
  <si>
    <t>60160330</t>
  </si>
  <si>
    <t>KENTUCKEY FRIED CHICKEN</t>
  </si>
  <si>
    <t>801 N MAIN ST</t>
  </si>
  <si>
    <t>MONMOUTH</t>
  </si>
  <si>
    <t>61462</t>
  </si>
  <si>
    <t>40984494</t>
  </si>
  <si>
    <t>DAIRY HUT ON MAIN</t>
  </si>
  <si>
    <t>121 S. MAIN STREET</t>
  </si>
  <si>
    <t>41084450</t>
  </si>
  <si>
    <t>GREATER CHICAGO I-55 REST</t>
  </si>
  <si>
    <t>510 S. BOLINGBROOK DR.</t>
  </si>
  <si>
    <t>31229313</t>
  </si>
  <si>
    <t>TAVERN 25</t>
  </si>
  <si>
    <t>51141109</t>
  </si>
  <si>
    <t>MR. BROWNS LOUNGE</t>
  </si>
  <si>
    <t>2301 W CHICAGO AVE</t>
  </si>
  <si>
    <t>91201335</t>
  </si>
  <si>
    <t>LYNNIE QUES</t>
  </si>
  <si>
    <t>3249 AIRPORT DR</t>
  </si>
  <si>
    <t>50594548</t>
  </si>
  <si>
    <t>OLD NEIGHBORHOOD **COLL**</t>
  </si>
  <si>
    <t>10208312</t>
  </si>
  <si>
    <t>LIONS HEAD PUB #1800</t>
  </si>
  <si>
    <t>2251 LINCOLN AVE</t>
  </si>
  <si>
    <t>30891428</t>
  </si>
  <si>
    <t>CHI HOME CHICKEN&amp; WAFF</t>
  </si>
  <si>
    <t>3947 S. KING DRIVE</t>
  </si>
  <si>
    <t>50891316</t>
  </si>
  <si>
    <t>JOSEPHS RESTAURANT &amp; BAR</t>
  </si>
  <si>
    <t>3123 WEST 111TH STREET</t>
  </si>
  <si>
    <t>90715822</t>
  </si>
  <si>
    <t>5129 BELMONT</t>
  </si>
  <si>
    <t>41098443</t>
  </si>
  <si>
    <t>COLUMBUS CURRY LLC</t>
  </si>
  <si>
    <t>1359 N MILWAUKEE AVE</t>
  </si>
  <si>
    <t>90150202</t>
  </si>
  <si>
    <t>OLYMPIA FIELDS CTRY CLUB</t>
  </si>
  <si>
    <t>2800 COUNTRY CLUB DR</t>
  </si>
  <si>
    <t>71172563</t>
  </si>
  <si>
    <t>BLACK SHEEP BAR &amp; GRILL</t>
  </si>
  <si>
    <t>209577</t>
  </si>
  <si>
    <t>BIG APPLE BAGEL **COLL**</t>
  </si>
  <si>
    <t>4710 WEST 95TH ST</t>
  </si>
  <si>
    <t>10646297</t>
  </si>
  <si>
    <t>COPPER FOX RESTAURANT</t>
  </si>
  <si>
    <t>305 W MAIN STREET</t>
  </si>
  <si>
    <t>30980130</t>
  </si>
  <si>
    <t>9797 W. HIGGINS RD</t>
  </si>
  <si>
    <t>31255516</t>
  </si>
  <si>
    <t>EAT BETTER FEEL BETTER</t>
  </si>
  <si>
    <t>20994869</t>
  </si>
  <si>
    <t>DEVON</t>
  </si>
  <si>
    <t>17W400-17W406 22ND STREET</t>
  </si>
  <si>
    <t>50391028</t>
  </si>
  <si>
    <t>CEDAR LAKE GIRLS SOFTBALL</t>
  </si>
  <si>
    <t>134TH PLACE</t>
  </si>
  <si>
    <t>80574890</t>
  </si>
  <si>
    <t>DELI TIME/1225</t>
  </si>
  <si>
    <t>1225 W. 22ST STREET</t>
  </si>
  <si>
    <t>81270134</t>
  </si>
  <si>
    <t>41228602</t>
  </si>
  <si>
    <t>SLIGHTLY TOASTED</t>
  </si>
  <si>
    <t>540 W MADISON STREET</t>
  </si>
  <si>
    <t>60035631</t>
  </si>
  <si>
    <t>Z Z DORMANT17 NON-FOOD</t>
  </si>
  <si>
    <t>6601 MINERAL POINT RD</t>
  </si>
  <si>
    <t>70913926</t>
  </si>
  <si>
    <t>PIZZA PERSONA</t>
  </si>
  <si>
    <t>614 W. DIVERSEY PKWY</t>
  </si>
  <si>
    <t>1329390</t>
  </si>
  <si>
    <t>ULTCEDE,LLC</t>
  </si>
  <si>
    <t>41341124</t>
  </si>
  <si>
    <t>GOOD MORGAN ON MCCORMICK</t>
  </si>
  <si>
    <t>3330 CLEVELAND ST</t>
  </si>
  <si>
    <t>50482520</t>
  </si>
  <si>
    <t>JACK'S AMERICAN BLEND</t>
  </si>
  <si>
    <t>3201 N. HALSTED</t>
  </si>
  <si>
    <t>90876756</t>
  </si>
  <si>
    <t>EL PICANTE MEXICAN GRILL</t>
  </si>
  <si>
    <t>50 S. LAGRANGE ROAD</t>
  </si>
  <si>
    <t>30483374</t>
  </si>
  <si>
    <t>QUONSET TAP &amp; LIQUOR</t>
  </si>
  <si>
    <t>2602 GRAND</t>
  </si>
  <si>
    <t>10186773</t>
  </si>
  <si>
    <t>RON SANTO'S AMER ROT*COLL</t>
  </si>
  <si>
    <t>1925 N MEACHAM RD</t>
  </si>
  <si>
    <t>40646200</t>
  </si>
  <si>
    <t>MAXFIELD'S PANCAKE HOUSE</t>
  </si>
  <si>
    <t>700 E SCHAUMBURG ROAD</t>
  </si>
  <si>
    <t>1103522</t>
  </si>
  <si>
    <t>REV BURGER CHICAGO</t>
  </si>
  <si>
    <t>22 W OHIO ST</t>
  </si>
  <si>
    <t>81301798</t>
  </si>
  <si>
    <t>BONFIRE</t>
  </si>
  <si>
    <t>15905 S BELL RD</t>
  </si>
  <si>
    <t>90930926</t>
  </si>
  <si>
    <t>LUCKY'S DRIVE IN</t>
  </si>
  <si>
    <t>16200 S. CICERO</t>
  </si>
  <si>
    <t>30097141</t>
  </si>
  <si>
    <t>DISCOVERY ZONE/GREENFIELD</t>
  </si>
  <si>
    <t>5008 SOUTH 74TH ST</t>
  </si>
  <si>
    <t>61294310</t>
  </si>
  <si>
    <t>CARUSO'S</t>
  </si>
  <si>
    <t>1807 S WOLF RD</t>
  </si>
  <si>
    <t>21037502</t>
  </si>
  <si>
    <t>JACK'S PIZZA</t>
  </si>
  <si>
    <t>2722 DUNDEE RD</t>
  </si>
  <si>
    <t>31052236</t>
  </si>
  <si>
    <t>MR BENNY'S STEAK HOUSE</t>
  </si>
  <si>
    <t>20857 CICERO AVE</t>
  </si>
  <si>
    <t>91039339</t>
  </si>
  <si>
    <t>LA PASADITA EXPRESS</t>
  </si>
  <si>
    <t>2925 W IRVING PARK</t>
  </si>
  <si>
    <t>20313334</t>
  </si>
  <si>
    <t>TARKINGTON SCHOOL</t>
  </si>
  <si>
    <t>310 S. SCOTT STREET</t>
  </si>
  <si>
    <t>61099941</t>
  </si>
  <si>
    <t>BABA'S STEAK &amp; LEMONADE</t>
  </si>
  <si>
    <t>11315 S. HALSTED</t>
  </si>
  <si>
    <t>30406581</t>
  </si>
  <si>
    <t>DELI TIME/475 MARTINGALE</t>
  </si>
  <si>
    <t>475 MARTINGALE RD STE 90</t>
  </si>
  <si>
    <t>91110668</t>
  </si>
  <si>
    <t>CREW BAR BID</t>
  </si>
  <si>
    <t>4804 N. BROADWAY</t>
  </si>
  <si>
    <t>21311055</t>
  </si>
  <si>
    <t>INDULGE CAFE - HARRY TRUM</t>
  </si>
  <si>
    <t>TRUMAN COLLEGE 1145 W. WI</t>
  </si>
  <si>
    <t>70482708</t>
  </si>
  <si>
    <t>LA MARGARITA **COLL**</t>
  </si>
  <si>
    <t>555 W MADISON</t>
  </si>
  <si>
    <t>20483889</t>
  </si>
  <si>
    <t>PARTY CENTRAL</t>
  </si>
  <si>
    <t>163 COVINGTON DR</t>
  </si>
  <si>
    <t>41270554</t>
  </si>
  <si>
    <t>TATES PLACE</t>
  </si>
  <si>
    <t>3051 WILLOWCREEK RD</t>
  </si>
  <si>
    <t>81026130</t>
  </si>
  <si>
    <t>FFF THE GAGE</t>
  </si>
  <si>
    <t>24 S MICHIGAN</t>
  </si>
  <si>
    <t>1221720</t>
  </si>
  <si>
    <t>LOVELY KITCHEN AND CAFE</t>
  </si>
  <si>
    <t>1130 N MILWAUKEE AVE</t>
  </si>
  <si>
    <t>80811201</t>
  </si>
  <si>
    <t>DRUM AND MONKEY</t>
  </si>
  <si>
    <t>1435 WEST TAYLOR ST</t>
  </si>
  <si>
    <t>20890927</t>
  </si>
  <si>
    <t>FONTANO'S DELI</t>
  </si>
  <si>
    <t>9 S LINCOLN AVE</t>
  </si>
  <si>
    <t>70532262</t>
  </si>
  <si>
    <t>CALUMET MAXWELL**COLL**</t>
  </si>
  <si>
    <t>5820 CALUMET AVE</t>
  </si>
  <si>
    <t>1192368</t>
  </si>
  <si>
    <t>FROZEN GARDEN</t>
  </si>
  <si>
    <t>315 E 316 N UNIT C</t>
  </si>
  <si>
    <t>11164951</t>
  </si>
  <si>
    <t>HAYMARKET</t>
  </si>
  <si>
    <t>737 W RANDOLPH ST</t>
  </si>
  <si>
    <t>81343857</t>
  </si>
  <si>
    <t>DIRTY ROOT INC</t>
  </si>
  <si>
    <t>939 W RANDOLPH ST</t>
  </si>
  <si>
    <t>10959617</t>
  </si>
  <si>
    <t>CASANOVA</t>
  </si>
  <si>
    <t>1890 MILL STREET</t>
  </si>
  <si>
    <t>525238</t>
  </si>
  <si>
    <t>THE COMMON CUP</t>
  </si>
  <si>
    <t>1501 W. MORSE AVE</t>
  </si>
  <si>
    <t>554014</t>
  </si>
  <si>
    <t>OBERWEIS DAIRY/ROYAL OAK</t>
  </si>
  <si>
    <t>304 N. MAIN ST.</t>
  </si>
  <si>
    <t>ROYAL OAK</t>
  </si>
  <si>
    <t>48067</t>
  </si>
  <si>
    <t>40789901</t>
  </si>
  <si>
    <t>COCKTAIL</t>
  </si>
  <si>
    <t>3359 N. HALSTED</t>
  </si>
  <si>
    <t>10482768</t>
  </si>
  <si>
    <t>SUN SHUI REST</t>
  </si>
  <si>
    <t>155 W RAND ROAD</t>
  </si>
  <si>
    <t>11304649</t>
  </si>
  <si>
    <t>BROKEN ENGLISH WELLS ST</t>
  </si>
  <si>
    <t>40680530</t>
  </si>
  <si>
    <t>BAR LOUIE</t>
  </si>
  <si>
    <t>1520 SHERMAN AVE.</t>
  </si>
  <si>
    <t>40943953</t>
  </si>
  <si>
    <t>HOLY RESURRECTION SERBIAN</t>
  </si>
  <si>
    <t>5701 N REDWOOD DR</t>
  </si>
  <si>
    <t>60937018</t>
  </si>
  <si>
    <t>699 W THORNDALE AVE</t>
  </si>
  <si>
    <t>40959181</t>
  </si>
  <si>
    <t>BISTRO ZINK</t>
  </si>
  <si>
    <t>1131 N. STATE</t>
  </si>
  <si>
    <t>60495835</t>
  </si>
  <si>
    <t>SOUTHSIDE SHRIMP HOUSE</t>
  </si>
  <si>
    <t>335 W.35TH ST</t>
  </si>
  <si>
    <t>90853052</t>
  </si>
  <si>
    <t>CURLY'S BAR AND GRILL</t>
  </si>
  <si>
    <t>499 PENNSYLVANIA AVE #D</t>
  </si>
  <si>
    <t>90995176</t>
  </si>
  <si>
    <t>164 E GRAND</t>
  </si>
  <si>
    <t>31212301</t>
  </si>
  <si>
    <t>350 BREWING CO.</t>
  </si>
  <si>
    <t>7144 183RD ST</t>
  </si>
  <si>
    <t>80495054</t>
  </si>
  <si>
    <t>SEVILLA'S TAPAS &amp; BAR</t>
  </si>
  <si>
    <t>6543 W. CERMAK</t>
  </si>
  <si>
    <t>11248937</t>
  </si>
  <si>
    <t>MERRILLVILLE PANCAKE HOUS</t>
  </si>
  <si>
    <t>6190 BROADWAY</t>
  </si>
  <si>
    <t>90543638</t>
  </si>
  <si>
    <t>YUMMYS</t>
  </si>
  <si>
    <t>123 CANDY LAND LN</t>
  </si>
  <si>
    <t>30681977</t>
  </si>
  <si>
    <t>PIZZA NOW /WEST CHICAGO</t>
  </si>
  <si>
    <t>946 N NELTNOR RD</t>
  </si>
  <si>
    <t>90400433</t>
  </si>
  <si>
    <t>EMBRACE</t>
  </si>
  <si>
    <t>29 E FIRST STREET</t>
  </si>
  <si>
    <t>947564</t>
  </si>
  <si>
    <t>1960 N CLYBOURN</t>
  </si>
  <si>
    <t>60947587</t>
  </si>
  <si>
    <t>BIG JIM'S PIZZA</t>
  </si>
  <si>
    <t>15761 S BELL ROAD</t>
  </si>
  <si>
    <t>91344416</t>
  </si>
  <si>
    <t>20 EAST</t>
  </si>
  <si>
    <t>20 E DELAWARE PL</t>
  </si>
  <si>
    <t>70453519</t>
  </si>
  <si>
    <t>OPA ** COLL **</t>
  </si>
  <si>
    <t>950 LAKEVIEW PARKWAY</t>
  </si>
  <si>
    <t>60393832</t>
  </si>
  <si>
    <t>SPACE STATION **COLL**</t>
  </si>
  <si>
    <t>4034 FOX VALLEY CENTER</t>
  </si>
  <si>
    <t>11222585</t>
  </si>
  <si>
    <t>JAR BAR</t>
  </si>
  <si>
    <t>1350 SHERMER ROAD</t>
  </si>
  <si>
    <t>31119803</t>
  </si>
  <si>
    <t>INCONTRO A' TAVOLA</t>
  </si>
  <si>
    <t>50993724</t>
  </si>
  <si>
    <t>UNCLE REMUS</t>
  </si>
  <si>
    <t>1801 W ROOSEVELT ROAD</t>
  </si>
  <si>
    <t>90953654</t>
  </si>
  <si>
    <t>MITAD DEL MUNDO</t>
  </si>
  <si>
    <t>2833 W. ARMITAGE</t>
  </si>
  <si>
    <t>90483926</t>
  </si>
  <si>
    <t>GIACOMO'S REST</t>
  </si>
  <si>
    <t>740 N WOLF RD</t>
  </si>
  <si>
    <t>51176501</t>
  </si>
  <si>
    <t>CITY-WINERY</t>
  </si>
  <si>
    <t>1200 W RANDOLPH ST</t>
  </si>
  <si>
    <t>80391055</t>
  </si>
  <si>
    <t>L.A. SHRIMP</t>
  </si>
  <si>
    <t>6817 GRAND AVE</t>
  </si>
  <si>
    <t>40391013</t>
  </si>
  <si>
    <t>NANCYS HOTDOG</t>
  </si>
  <si>
    <t>1205 SHEFFIELD ST</t>
  </si>
  <si>
    <t>91341685</t>
  </si>
  <si>
    <t>STAGECOACH SALOON</t>
  </si>
  <si>
    <t>1028 S STATE ST</t>
  </si>
  <si>
    <t>41016031</t>
  </si>
  <si>
    <t>HOMESLICE</t>
  </si>
  <si>
    <t>938 W. WEBSTER</t>
  </si>
  <si>
    <t>50482306</t>
  </si>
  <si>
    <t>ICHIBAN REST  **COLL**</t>
  </si>
  <si>
    <t>5340 GRAND AVE</t>
  </si>
  <si>
    <t>80466881</t>
  </si>
  <si>
    <t>CLEARY'S ON CLARK</t>
  </si>
  <si>
    <t>3438 N. CLARK ST.</t>
  </si>
  <si>
    <t>51192466</t>
  </si>
  <si>
    <t>GREEN LINE CAFE</t>
  </si>
  <si>
    <t>501 E 61ST ST</t>
  </si>
  <si>
    <t>70347323</t>
  </si>
  <si>
    <t>THE HOT SKILLET **COLL**</t>
  </si>
  <si>
    <t>2314 JEFFERSON ST.</t>
  </si>
  <si>
    <t>50508662</t>
  </si>
  <si>
    <t>ESCAPADES REST. **COLL**</t>
  </si>
  <si>
    <t>109 W. SOUTH FRONTAGE RD</t>
  </si>
  <si>
    <t>91324517</t>
  </si>
  <si>
    <t>BUDDYS RED HOTS</t>
  </si>
  <si>
    <t>8508 S CICERO AVE</t>
  </si>
  <si>
    <t>10033066</t>
  </si>
  <si>
    <t>I HOP 1215        G</t>
  </si>
  <si>
    <t>7210 W IRVING PARK RD.</t>
  </si>
  <si>
    <t>31184666</t>
  </si>
  <si>
    <t>MORGAN'S BAR &amp; GRILL</t>
  </si>
  <si>
    <t>532 N MILWAUKEE AVE</t>
  </si>
  <si>
    <t>91328518</t>
  </si>
  <si>
    <t>MASTERSQUE</t>
  </si>
  <si>
    <t>2486 W US 30</t>
  </si>
  <si>
    <t>1283571</t>
  </si>
  <si>
    <t>ZAZZO'S PIZZA WESTMONT</t>
  </si>
  <si>
    <t>2000 W OGDEN AVE</t>
  </si>
  <si>
    <t>91285692</t>
  </si>
  <si>
    <t>THE LITTLE OWL SOCIAL PUB</t>
  </si>
  <si>
    <t>3747 GRAND BLVD</t>
  </si>
  <si>
    <t>60514957</t>
  </si>
  <si>
    <t>EGGSPERIENCE  **COLL**</t>
  </si>
  <si>
    <t>80647696</t>
  </si>
  <si>
    <t>SANTA FE</t>
  </si>
  <si>
    <t>140 N. HALSTED AVE</t>
  </si>
  <si>
    <t>21291737</t>
  </si>
  <si>
    <t>STRAY HEN</t>
  </si>
  <si>
    <t>105 S YORK ST</t>
  </si>
  <si>
    <t>91256750</t>
  </si>
  <si>
    <t>ICE MAX</t>
  </si>
  <si>
    <t>2227 S WENTWORTH AVE</t>
  </si>
  <si>
    <t>90764416</t>
  </si>
  <si>
    <t>THE UNDERGROUND</t>
  </si>
  <si>
    <t>56 W. ILLINOIS</t>
  </si>
  <si>
    <t>71183297</t>
  </si>
  <si>
    <t>MONICA'S DINER INC</t>
  </si>
  <si>
    <t>20553160</t>
  </si>
  <si>
    <t>OLD CROW SMOKEHOUSE-SCH</t>
  </si>
  <si>
    <t>1020 AMERICAN LN</t>
  </si>
  <si>
    <t>91153791</t>
  </si>
  <si>
    <t>CRAZY POUR SPORTS BAR</t>
  </si>
  <si>
    <t>105 E NORTH AVE</t>
  </si>
  <si>
    <t>11301769</t>
  </si>
  <si>
    <t>PORT EDWARD</t>
  </si>
  <si>
    <t>20 W ALGONQUIN RD</t>
  </si>
  <si>
    <t>70939392</t>
  </si>
  <si>
    <t>BARNABYS OF NORTHBROOK</t>
  </si>
  <si>
    <t>960 SKOKIE BLVD</t>
  </si>
  <si>
    <t>11344405</t>
  </si>
  <si>
    <t>BRICKHOUSE TAVERN</t>
  </si>
  <si>
    <t>3647 N CLARK ST</t>
  </si>
  <si>
    <t>80034242</t>
  </si>
  <si>
    <t>DITKA DOG'S</t>
  </si>
  <si>
    <t>844 SOUTH  RTE 59</t>
  </si>
  <si>
    <t>61296547</t>
  </si>
  <si>
    <t>KIZUKI RAMEN 3Y EDI OG</t>
  </si>
  <si>
    <t>71334502</t>
  </si>
  <si>
    <t>28 MILE VODKA CO</t>
  </si>
  <si>
    <t>487 BANK LN</t>
  </si>
  <si>
    <t>40324485</t>
  </si>
  <si>
    <t>QUIZNO'S SUBS/W. ALLIS</t>
  </si>
  <si>
    <t>7524 W GREENFIELD AVE</t>
  </si>
  <si>
    <t>61109427</t>
  </si>
  <si>
    <t>REY AGAVE MEX GRILL # 2</t>
  </si>
  <si>
    <t>216 BROAD ST</t>
  </si>
  <si>
    <t>10056752</t>
  </si>
  <si>
    <t>GREAT WOK</t>
  </si>
  <si>
    <t>7300 BARRINGTON RD.</t>
  </si>
  <si>
    <t>10318921</t>
  </si>
  <si>
    <t>3340 MALL LOOP DR.</t>
  </si>
  <si>
    <t>1265271</t>
  </si>
  <si>
    <t>BARRELHOUSE FLAT</t>
  </si>
  <si>
    <t>2624 N LINCOLN AVE</t>
  </si>
  <si>
    <t>81090284</t>
  </si>
  <si>
    <t>EGGCELLENT PANCAKE HOUSE</t>
  </si>
  <si>
    <t>1699 E SAUK TRAIL</t>
  </si>
  <si>
    <t>11091501</t>
  </si>
  <si>
    <t>HOUNDS BLUE MOON</t>
  </si>
  <si>
    <t>2174 W. GALENA BLVD</t>
  </si>
  <si>
    <t>70651823</t>
  </si>
  <si>
    <t>U GAZDY</t>
  </si>
  <si>
    <t>270 W IRVING PARK RD</t>
  </si>
  <si>
    <t>81261273</t>
  </si>
  <si>
    <t>RUCHI CUISINE</t>
  </si>
  <si>
    <t>1767 OGDEN AVE 135</t>
  </si>
  <si>
    <t>61257689</t>
  </si>
  <si>
    <t>71285613</t>
  </si>
  <si>
    <t>OASIS BAR AND GRILL</t>
  </si>
  <si>
    <t>7315 S US HIGHWAY 421</t>
  </si>
  <si>
    <t>SAN PIERRE</t>
  </si>
  <si>
    <t>41266941</t>
  </si>
  <si>
    <t>VIP GAMING</t>
  </si>
  <si>
    <t>6 ELWOOD ST</t>
  </si>
  <si>
    <t>81023673</t>
  </si>
  <si>
    <t>51018588</t>
  </si>
  <si>
    <t>CAFE MISTIKO</t>
  </si>
  <si>
    <t>20510 MILWAUKEE AVE</t>
  </si>
  <si>
    <t>10426245</t>
  </si>
  <si>
    <t>FLAT TOP GRILL/SOUTHPORT</t>
  </si>
  <si>
    <t>3200 N. SOUTHPORT AVE.</t>
  </si>
  <si>
    <t>90534249</t>
  </si>
  <si>
    <t>RTE 176</t>
  </si>
  <si>
    <t>31139181</t>
  </si>
  <si>
    <t>ZACHARY'S</t>
  </si>
  <si>
    <t>13415 S. RIDGELAND</t>
  </si>
  <si>
    <t>61146791</t>
  </si>
  <si>
    <t>KAISER'S PIZZA &amp; PUB</t>
  </si>
  <si>
    <t>1801 N. RT 21</t>
  </si>
  <si>
    <t>31049612</t>
  </si>
  <si>
    <t>EDZO'S BURGER SHOP</t>
  </si>
  <si>
    <t>1571 SHERMAN AVE</t>
  </si>
  <si>
    <t>51093813</t>
  </si>
  <si>
    <t>DOC'S SODA FOUNTAIN</t>
  </si>
  <si>
    <t>1201 E 1000 N</t>
  </si>
  <si>
    <t>91339606</t>
  </si>
  <si>
    <t>THE BAKESTER</t>
  </si>
  <si>
    <t>13 W DAVIS ST</t>
  </si>
  <si>
    <t>50618024</t>
  </si>
  <si>
    <t>COOPER'S HAWK BURR RIDGE</t>
  </si>
  <si>
    <t>510 VILLAGE CENTER DR</t>
  </si>
  <si>
    <t>50328103</t>
  </si>
  <si>
    <t>QUIZNO'S SUBS</t>
  </si>
  <si>
    <t>2879 95TH ST SUITE 195</t>
  </si>
  <si>
    <t>90485996</t>
  </si>
  <si>
    <t>THE NEGRO LEAGUE **COLL**</t>
  </si>
  <si>
    <t>301 EAST 43RD ST</t>
  </si>
  <si>
    <t>50161892</t>
  </si>
  <si>
    <t>PIER MANGEMENT(CULINARY)</t>
  </si>
  <si>
    <t>600 E GRAND AVE       A/L</t>
  </si>
  <si>
    <t>60810900</t>
  </si>
  <si>
    <t>CHEW CHEW CAFE</t>
  </si>
  <si>
    <t>33 E BURLINGTON AVE</t>
  </si>
  <si>
    <t>11293552</t>
  </si>
  <si>
    <t>14 PARISH</t>
  </si>
  <si>
    <t>2333 S MICHIGAN AVE</t>
  </si>
  <si>
    <t>51344356</t>
  </si>
  <si>
    <t>HOPSMITH CHICAGO</t>
  </si>
  <si>
    <t>15 W DIVISION ST</t>
  </si>
  <si>
    <t>81216335</t>
  </si>
  <si>
    <t>BULLDOG BREWERY</t>
  </si>
  <si>
    <t>1409 119TH ST</t>
  </si>
  <si>
    <t>10933364</t>
  </si>
  <si>
    <t>GOLDYS</t>
  </si>
  <si>
    <t>1023 N. NORTHWEST HWY</t>
  </si>
  <si>
    <t>51108314</t>
  </si>
  <si>
    <t>EAT AT JOES</t>
  </si>
  <si>
    <t>413 W. ASH</t>
  </si>
  <si>
    <t>10936474</t>
  </si>
  <si>
    <t>PAISANS PIZZA CICERO</t>
  </si>
  <si>
    <t>5840 W 16TH STREET</t>
  </si>
  <si>
    <t>20041661</t>
  </si>
  <si>
    <t>NEXT DOOR REST.</t>
  </si>
  <si>
    <t>250 SKOKIE BLVD</t>
  </si>
  <si>
    <t>80314412</t>
  </si>
  <si>
    <t>TWIST &amp; SHOUT</t>
  </si>
  <si>
    <t>225 S. CANAL ST.</t>
  </si>
  <si>
    <t>50483577</t>
  </si>
  <si>
    <t>ROSE ANGELIS INC,</t>
  </si>
  <si>
    <t>1314 W WRIGHTWOOD</t>
  </si>
  <si>
    <t>51172757</t>
  </si>
  <si>
    <t>3258 S PRINCETON AVE</t>
  </si>
  <si>
    <t>11316304</t>
  </si>
  <si>
    <t>CAFE EL MESON 2 LLC</t>
  </si>
  <si>
    <t>6624 N CLARK ST</t>
  </si>
  <si>
    <t>21342936</t>
  </si>
  <si>
    <t>LULA CAFE</t>
  </si>
  <si>
    <t>2537 N KEDZIE AVE</t>
  </si>
  <si>
    <t>10482842</t>
  </si>
  <si>
    <t>CORFU REST :)</t>
  </si>
  <si>
    <t>2520 E MAIN ST</t>
  </si>
  <si>
    <t>1046408</t>
  </si>
  <si>
    <t>VILLAGE GARDEN REST.</t>
  </si>
  <si>
    <t>7201 W 84TH STREET</t>
  </si>
  <si>
    <t>51146447</t>
  </si>
  <si>
    <t>BARBQPHORIA</t>
  </si>
  <si>
    <t>6670 N. CUMBERLIN</t>
  </si>
  <si>
    <t>70520069</t>
  </si>
  <si>
    <t>EL ZARAPE</t>
  </si>
  <si>
    <t>325 W. FRONT ST.</t>
  </si>
  <si>
    <t>81083842</t>
  </si>
  <si>
    <t>DADDY DONUTS</t>
  </si>
  <si>
    <t>3724 SAUK TRAIL</t>
  </si>
  <si>
    <t>472589</t>
  </si>
  <si>
    <t>NOTORIOUS CELLAR **COLL**</t>
  </si>
  <si>
    <t>220 S. MAIN STREET</t>
  </si>
  <si>
    <t>20483095</t>
  </si>
  <si>
    <t>A P FOODS    **COLL**</t>
  </si>
  <si>
    <t>10758 S MICHIGAN</t>
  </si>
  <si>
    <t>20552501</t>
  </si>
  <si>
    <t>1518 EAST 53RD STREET</t>
  </si>
  <si>
    <t>40554800</t>
  </si>
  <si>
    <t>SNEEKY PETE'S *COLL*</t>
  </si>
  <si>
    <t>33977 N. U.S. HWT 45</t>
  </si>
  <si>
    <t>GAGES LAKE</t>
  </si>
  <si>
    <t>80575814</t>
  </si>
  <si>
    <t>STUDIO 63</t>
  </si>
  <si>
    <t>7225 WEST 63RD STREET</t>
  </si>
  <si>
    <t>30524102</t>
  </si>
  <si>
    <t>FLATLANDERS REST**COLL**</t>
  </si>
  <si>
    <t>200 VILLAGE GREEN</t>
  </si>
  <si>
    <t>40915340</t>
  </si>
  <si>
    <t>MANHATTAN'S</t>
  </si>
  <si>
    <t>300 S. SCHMALE RD.</t>
  </si>
  <si>
    <t>80948318</t>
  </si>
  <si>
    <t>MORRISON SWEDISH CAFETERI</t>
  </si>
  <si>
    <t>5145 N CALIFORNIA</t>
  </si>
  <si>
    <t>70391917</t>
  </si>
  <si>
    <t>LEN'S GRIZZLY INN</t>
  </si>
  <si>
    <t>1910 ABERDEEN DRIVE</t>
  </si>
  <si>
    <t>529149</t>
  </si>
  <si>
    <t>PHEASANT VALLEY C.C.*COLL</t>
  </si>
  <si>
    <t>3838 W. 141ST AVENUE</t>
  </si>
  <si>
    <t>61243887</t>
  </si>
  <si>
    <t>EL FARO ON 31ST</t>
  </si>
  <si>
    <t>3936 W 31ST ST</t>
  </si>
  <si>
    <t>31055262</t>
  </si>
  <si>
    <t>1831 TOWER DRIVE</t>
  </si>
  <si>
    <t>90035510</t>
  </si>
  <si>
    <t>1275 LEE ST</t>
  </si>
  <si>
    <t>60399524</t>
  </si>
  <si>
    <t>CAPUTO'S</t>
  </si>
  <si>
    <t>510 LAKE STREET</t>
  </si>
  <si>
    <t>90612896</t>
  </si>
  <si>
    <t>BARCLAY'S AMERICAN GRILL</t>
  </si>
  <si>
    <t>1120 PLEASANT ST</t>
  </si>
  <si>
    <t>60561040</t>
  </si>
  <si>
    <t>PAPA ROMEO'S PIZZA *COLL*</t>
  </si>
  <si>
    <t>7148 HARLEM</t>
  </si>
  <si>
    <t>10994945</t>
  </si>
  <si>
    <t>SCHERERVILLE GYRO</t>
  </si>
  <si>
    <t>2134 US 30</t>
  </si>
  <si>
    <t>31230956</t>
  </si>
  <si>
    <t>SORRISO RISTORANTE</t>
  </si>
  <si>
    <t>9500 W LINCOLN HWY</t>
  </si>
  <si>
    <t>60501186</t>
  </si>
  <si>
    <t>LENO'S SANDWICH SHOP</t>
  </si>
  <si>
    <t>1826 GRAND AVE.</t>
  </si>
  <si>
    <t>41214214</t>
  </si>
  <si>
    <t>DOWNERS SAND CLUB</t>
  </si>
  <si>
    <t>1211 BUTTERFIELD RD STE</t>
  </si>
  <si>
    <t>10591584</t>
  </si>
  <si>
    <t>BROWN'S CHICKEN/EAST DUND</t>
  </si>
  <si>
    <t>529 DUNDEE AVE.</t>
  </si>
  <si>
    <t>31151558</t>
  </si>
  <si>
    <t>VEGETARIAN EXPRESS 2</t>
  </si>
  <si>
    <t>4747 N. DAMEN AVE</t>
  </si>
  <si>
    <t>20171476</t>
  </si>
  <si>
    <t>BOVIS HOUSE REST**COLL**</t>
  </si>
  <si>
    <t>900 W NORTHWEST HWY</t>
  </si>
  <si>
    <t>70604038</t>
  </si>
  <si>
    <t>FROOTS - ANTIOCH</t>
  </si>
  <si>
    <t>487 E. IL ROUTE 173</t>
  </si>
  <si>
    <t>462549</t>
  </si>
  <si>
    <t>DI MARCO'S **COLL**</t>
  </si>
  <si>
    <t>883 MAIN STREET</t>
  </si>
  <si>
    <t>41253758</t>
  </si>
  <si>
    <t>DAVIDSON'S</t>
  </si>
  <si>
    <t>90551730</t>
  </si>
  <si>
    <t>GREAT LAKES CAFE</t>
  </si>
  <si>
    <t>201 MISSISSIPPI</t>
  </si>
  <si>
    <t>50312511</t>
  </si>
  <si>
    <t>RED LOBSTER #277</t>
  </si>
  <si>
    <t>5201 S PULASKI</t>
  </si>
  <si>
    <t>40292427</t>
  </si>
  <si>
    <t>SHARK BAR</t>
  </si>
  <si>
    <t>212 N. CANAL ST.      A/L</t>
  </si>
  <si>
    <t>80682115</t>
  </si>
  <si>
    <t>SEPIA</t>
  </si>
  <si>
    <t>123 N. JEFFERSON</t>
  </si>
  <si>
    <t>90482951</t>
  </si>
  <si>
    <t>LAKESHORE ATHLETIC CL</t>
  </si>
  <si>
    <t>441 N WABASH AVE</t>
  </si>
  <si>
    <t>71238588</t>
  </si>
  <si>
    <t>SPACCA NAPOLI</t>
  </si>
  <si>
    <t>1769 W SUNNYSIDE AVE</t>
  </si>
  <si>
    <t>11306826</t>
  </si>
  <si>
    <t>2002 E 87TH ST # 2</t>
  </si>
  <si>
    <t>50035518</t>
  </si>
  <si>
    <t>CANTEEN #22954/GULV DFLD</t>
  </si>
  <si>
    <t>108 WILMOT ROAD</t>
  </si>
  <si>
    <t>10482552</t>
  </si>
  <si>
    <t>STANDING ROOM</t>
  </si>
  <si>
    <t>610 S DEARBORN</t>
  </si>
  <si>
    <t>51327195</t>
  </si>
  <si>
    <t>CIAO BELLA RESTAURANT</t>
  </si>
  <si>
    <t>1514 US HIGHWAY 41</t>
  </si>
  <si>
    <t>71026132</t>
  </si>
  <si>
    <t>FFF HENRI</t>
  </si>
  <si>
    <t>18 S MICHIGAN</t>
  </si>
  <si>
    <t>51090249</t>
  </si>
  <si>
    <t>DAVE'S DINER</t>
  </si>
  <si>
    <t>13002 SILVERLEAF CT.</t>
  </si>
  <si>
    <t>51130839</t>
  </si>
  <si>
    <t>LOCAL COFFEE TEA &amp; SWEETS</t>
  </si>
  <si>
    <t>1501 MINER ST</t>
  </si>
  <si>
    <t>51129328</t>
  </si>
  <si>
    <t>330 N. OLD MCHENRY RD</t>
  </si>
  <si>
    <t>40505869</t>
  </si>
  <si>
    <t>POPOLANOS\CHESTERTON</t>
  </si>
  <si>
    <t>225 S. CALUMET RD.</t>
  </si>
  <si>
    <t>90894650</t>
  </si>
  <si>
    <t>GENE &amp; JUDES</t>
  </si>
  <si>
    <t>2720 RIVER ROAD</t>
  </si>
  <si>
    <t>61026423</t>
  </si>
  <si>
    <t>FFF CHICAGO Q</t>
  </si>
  <si>
    <t>1160 N DEARBORN</t>
  </si>
  <si>
    <t>30882328</t>
  </si>
  <si>
    <t>SCAVUZZO'S CAFE ITALIA</t>
  </si>
  <si>
    <t>800 HILLGROVE AVE</t>
  </si>
  <si>
    <t>WESTERN SPRINGS</t>
  </si>
  <si>
    <t>91286997</t>
  </si>
  <si>
    <t>TACO MADRE NILES 2</t>
  </si>
  <si>
    <t>639229</t>
  </si>
  <si>
    <t>BAILEY'S REST COLL</t>
  </si>
  <si>
    <t>330 E OGDEN AVENUE</t>
  </si>
  <si>
    <t>91273490</t>
  </si>
  <si>
    <t>ANTONI 1</t>
  </si>
  <si>
    <t>1310 E 53RD ST</t>
  </si>
  <si>
    <t>41348145</t>
  </si>
  <si>
    <t>MAISSAL FUSION</t>
  </si>
  <si>
    <t>554 N GREEN BAY RD</t>
  </si>
  <si>
    <t>31319320</t>
  </si>
  <si>
    <t>MULATA KITCHEN AND COFFEE</t>
  </si>
  <si>
    <t>136 N OAK PARK AVE</t>
  </si>
  <si>
    <t>1339589</t>
  </si>
  <si>
    <t>THE KLUBHOUSE RESTAURANT</t>
  </si>
  <si>
    <t>23520 CRAWFORD AVE</t>
  </si>
  <si>
    <t>UNIVERSITY PARK</t>
  </si>
  <si>
    <t>60484</t>
  </si>
  <si>
    <t>90510363</t>
  </si>
  <si>
    <t>ITALIAN KITCHEN</t>
  </si>
  <si>
    <t>648 DEERFIELD RD</t>
  </si>
  <si>
    <t>90308</t>
  </si>
  <si>
    <t>CANTEEN #38935/UNISYS</t>
  </si>
  <si>
    <t>1905-45 LUNT AVE</t>
  </si>
  <si>
    <t>990499</t>
  </si>
  <si>
    <t>MILETTE'S</t>
  </si>
  <si>
    <t>1515 BUTTERFIELD ROAD</t>
  </si>
  <si>
    <t>749010</t>
  </si>
  <si>
    <t>MINT JULEP BISTRO</t>
  </si>
  <si>
    <t>40 SLADE STREET</t>
  </si>
  <si>
    <t>60905098</t>
  </si>
  <si>
    <t>7 DAYS MARKET &amp; REST.</t>
  </si>
  <si>
    <t>3312 CHAPEL HILL RD.</t>
  </si>
  <si>
    <t>80036973</t>
  </si>
  <si>
    <t>FLAME OF COUNTRYS *COLL**</t>
  </si>
  <si>
    <t>803 JOLIET RD.</t>
  </si>
  <si>
    <t>90991456</t>
  </si>
  <si>
    <t>LOU LOU'S FROZEN DELIGHTS</t>
  </si>
  <si>
    <t>15 SCRANTON</t>
  </si>
  <si>
    <t>20793147</t>
  </si>
  <si>
    <t>GAME PAZZO</t>
  </si>
  <si>
    <t>2011 W 63RD STREET</t>
  </si>
  <si>
    <t>80543838</t>
  </si>
  <si>
    <t>JULIAN'S BBQ &amp; GRILL</t>
  </si>
  <si>
    <t>552E DEVON AVE</t>
  </si>
  <si>
    <t>10125292</t>
  </si>
  <si>
    <t>KEN'S GRILL &amp; DINER</t>
  </si>
  <si>
    <t>3353 DEMPSTER</t>
  </si>
  <si>
    <t>90533522</t>
  </si>
  <si>
    <t>JC'S BARBECUE**COLL**</t>
  </si>
  <si>
    <t>1066 SPRINGHILL MALL</t>
  </si>
  <si>
    <t>38315</t>
  </si>
  <si>
    <t>CAMBRIDGE HOUSE</t>
  </si>
  <si>
    <t>167 E OHIO</t>
  </si>
  <si>
    <t>10684975</t>
  </si>
  <si>
    <t>BERNIE"S</t>
  </si>
  <si>
    <t>3664 N. CLARK</t>
  </si>
  <si>
    <t>10648715</t>
  </si>
  <si>
    <t>GATTO'S</t>
  </si>
  <si>
    <t>5123 MAIN STREET</t>
  </si>
  <si>
    <t>60033925</t>
  </si>
  <si>
    <t>STEAK'S N STUFF</t>
  </si>
  <si>
    <t>108 W NORTHWEST HWY</t>
  </si>
  <si>
    <t>30551931</t>
  </si>
  <si>
    <t>CRUISIN RT 72 *COLL*</t>
  </si>
  <si>
    <t>11 GALLIGAN ROAD</t>
  </si>
  <si>
    <t>GILBERTS</t>
  </si>
  <si>
    <t>60136</t>
  </si>
  <si>
    <t>40696924</t>
  </si>
  <si>
    <t>DUFFY'S SORTS BAR</t>
  </si>
  <si>
    <t>2070 N RAND ROAD</t>
  </si>
  <si>
    <t>60924982</t>
  </si>
  <si>
    <t>REAL URBAN BBQ</t>
  </si>
  <si>
    <t>610 CENTRAL</t>
  </si>
  <si>
    <t>30484265</t>
  </si>
  <si>
    <t>DAIRY QUEEN-CLOSED</t>
  </si>
  <si>
    <t>91243022</t>
  </si>
  <si>
    <t>FRANTONIO'S ITALIAN DELI</t>
  </si>
  <si>
    <t>421 N NORTHWEST</t>
  </si>
  <si>
    <t>60938701</t>
  </si>
  <si>
    <t>BLUE GINGER</t>
  </si>
  <si>
    <t>6320 SOUTH ROUTE 53</t>
  </si>
  <si>
    <t>61297594</t>
  </si>
  <si>
    <t>KAUFMANS</t>
  </si>
  <si>
    <t>4905 DEMPSTER ST</t>
  </si>
  <si>
    <t>1035856</t>
  </si>
  <si>
    <t>LUCKY DOG</t>
  </si>
  <si>
    <t>1201 W CERMAK</t>
  </si>
  <si>
    <t>51018372</t>
  </si>
  <si>
    <t>SUZY'S DINER</t>
  </si>
  <si>
    <t>407 SOUTH MAIN STREET</t>
  </si>
  <si>
    <t>81054389</t>
  </si>
  <si>
    <t>THE PANCAKE CLUB INC</t>
  </si>
  <si>
    <t>2257 INDIANAPOLIS BLVD</t>
  </si>
  <si>
    <t>71073191</t>
  </si>
  <si>
    <t>BONNY'S BISTRO</t>
  </si>
  <si>
    <t>4115 W LINCOLNWAY HWY</t>
  </si>
  <si>
    <t>41130402</t>
  </si>
  <si>
    <t>PRESIDIO</t>
  </si>
  <si>
    <t>1749 N DAMEN AVE</t>
  </si>
  <si>
    <t>21175781</t>
  </si>
  <si>
    <t>CHICAGO CREAM PUFFS &amp; CAK</t>
  </si>
  <si>
    <t>3458 W 111TH ST</t>
  </si>
  <si>
    <t>10489805</t>
  </si>
  <si>
    <t>ELMHURST PBLC HOUSE**COLL</t>
  </si>
  <si>
    <t>683 W ST CHARLES RD</t>
  </si>
  <si>
    <t>21309935</t>
  </si>
  <si>
    <t>9546 BALMORAL AVE.</t>
  </si>
  <si>
    <t>70598453</t>
  </si>
  <si>
    <t>PLAINFIELD DELITE :)</t>
  </si>
  <si>
    <t>24020 W 119 TH ST</t>
  </si>
  <si>
    <t>21343249</t>
  </si>
  <si>
    <t>SANTO TACO - VALPARAISO</t>
  </si>
  <si>
    <t>2310 LAPORTE AVE</t>
  </si>
  <si>
    <t>90645755</t>
  </si>
  <si>
    <t>O'BRIEN'S RIVERWALK CAFE</t>
  </si>
  <si>
    <t>45 E. RIVERWALK SOUTH</t>
  </si>
  <si>
    <t>41081746</t>
  </si>
  <si>
    <t>EGGMANS RESTAURANT</t>
  </si>
  <si>
    <t>12701 S PULASKI</t>
  </si>
  <si>
    <t>40427361</t>
  </si>
  <si>
    <t>SILVER MINE SUBS/NEIL ST.</t>
  </si>
  <si>
    <t>905 S NEIL ST</t>
  </si>
  <si>
    <t>40342503</t>
  </si>
  <si>
    <t>LAS VEGAS RESTAURANT</t>
  </si>
  <si>
    <t>914 MAIN ST</t>
  </si>
  <si>
    <t>80521255</t>
  </si>
  <si>
    <t>MIKE STRUCK</t>
  </si>
  <si>
    <t>1413 MEYER CT</t>
  </si>
  <si>
    <t>11040698</t>
  </si>
  <si>
    <t>JAIME'S CHICKEN &amp; WAFFLES</t>
  </si>
  <si>
    <t>100 SESAMEE ST</t>
  </si>
  <si>
    <t>81026437</t>
  </si>
  <si>
    <t>FFF MACY'S INFIELDS</t>
  </si>
  <si>
    <t>111 N STATE ST</t>
  </si>
  <si>
    <t>1034297</t>
  </si>
  <si>
    <t>CAFE LUCCI</t>
  </si>
  <si>
    <t>609 MILWAUKEE AVE</t>
  </si>
  <si>
    <t>61032389</t>
  </si>
  <si>
    <t>DON'S DOCK REST</t>
  </si>
  <si>
    <t>1220 E. NORTHWEST HWY</t>
  </si>
  <si>
    <t>61150124</t>
  </si>
  <si>
    <t>REVOLUCION  MEXICAN STEAK</t>
  </si>
  <si>
    <t>3443 N BROADWAY ST</t>
  </si>
  <si>
    <t>20475000</t>
  </si>
  <si>
    <t>ATCHER ISLAND AQUATIC CTR</t>
  </si>
  <si>
    <t>730 S SPRINGINSGUTH RD</t>
  </si>
  <si>
    <t>1030212</t>
  </si>
  <si>
    <t>CALZONE &amp; MACARONI CO</t>
  </si>
  <si>
    <t>260 HAWTHORNE VILL COMM</t>
  </si>
  <si>
    <t>90750522</t>
  </si>
  <si>
    <t>VICKI KENYON</t>
  </si>
  <si>
    <t>123456</t>
  </si>
  <si>
    <t>20938791</t>
  </si>
  <si>
    <t>ROSELLIS PIZZA</t>
  </si>
  <si>
    <t>1128 LEE ST</t>
  </si>
  <si>
    <t>10927515</t>
  </si>
  <si>
    <t>115 W. CAMPBELL ST</t>
  </si>
  <si>
    <t>51331866</t>
  </si>
  <si>
    <t>BRIDGEPORT DINER</t>
  </si>
  <si>
    <t>3500 S HALSTED ST</t>
  </si>
  <si>
    <t>20807483</t>
  </si>
  <si>
    <t>BAUER'S BRAUHAUS</t>
  </si>
  <si>
    <t>45 WEST SLADE ST</t>
  </si>
  <si>
    <t>61089488</t>
  </si>
  <si>
    <t>MUG'S PIZZA-SCHAUMBURG</t>
  </si>
  <si>
    <t>24 WEST SCHAUMBURG ROAD</t>
  </si>
  <si>
    <t>11243524</t>
  </si>
  <si>
    <t>MILK AND HONEY CAFE</t>
  </si>
  <si>
    <t>1920 W DIVISION ST</t>
  </si>
  <si>
    <t>91334300</t>
  </si>
  <si>
    <t>WHISTLE STOP CAFE, FOX LA</t>
  </si>
  <si>
    <t>51226496</t>
  </si>
  <si>
    <t>BERTUCCIS MEDITERRANEAN T</t>
  </si>
  <si>
    <t>70482062</t>
  </si>
  <si>
    <t>BERNARDS CAFE &amp; DELI</t>
  </si>
  <si>
    <t>14 W 63RD ST</t>
  </si>
  <si>
    <t>40993792</t>
  </si>
  <si>
    <t>A FUSION RESTAURANT</t>
  </si>
  <si>
    <t>4601 LINCOLN HIGHWAY</t>
  </si>
  <si>
    <t>20952669</t>
  </si>
  <si>
    <t>FOXFIRE</t>
  </si>
  <si>
    <t>17 W STATE STREET</t>
  </si>
  <si>
    <t>31347693</t>
  </si>
  <si>
    <t>ROCK'S LAKEVIEW</t>
  </si>
  <si>
    <t>81347494</t>
  </si>
  <si>
    <t>BEATNIK</t>
  </si>
  <si>
    <t>1604 W CHICAGO AVE</t>
  </si>
  <si>
    <t>20830717</t>
  </si>
  <si>
    <t>BILL W. PIZZA</t>
  </si>
  <si>
    <t>2525 N</t>
  </si>
  <si>
    <t>31131246</t>
  </si>
  <si>
    <t>EGGS INC NAPERV</t>
  </si>
  <si>
    <t>220 S WASHINGTON</t>
  </si>
  <si>
    <t>1311331</t>
  </si>
  <si>
    <t>ASIAN TOKYO</t>
  </si>
  <si>
    <t>1655 ALGONQUIN RD</t>
  </si>
  <si>
    <t>31227051</t>
  </si>
  <si>
    <t>MI TOCAYA</t>
  </si>
  <si>
    <t>2800 W LOGAN BLVD</t>
  </si>
  <si>
    <t>21299920</t>
  </si>
  <si>
    <t>BECK'S</t>
  </si>
  <si>
    <t>2201 N CLYBOURN AVE</t>
  </si>
  <si>
    <t>162594</t>
  </si>
  <si>
    <t>J.J.NOODLES **COLL**</t>
  </si>
  <si>
    <t>804 E ROLLINS</t>
  </si>
  <si>
    <t>40482309</t>
  </si>
  <si>
    <t>ESPO ENTERTAINMENT</t>
  </si>
  <si>
    <t>11 WOODVIEW DR</t>
  </si>
  <si>
    <t>41324708</t>
  </si>
  <si>
    <t>60573839</t>
  </si>
  <si>
    <t>MR. PIZZA &amp; WINGS**COLL**</t>
  </si>
  <si>
    <t>1659 N. BUFFALO GROVE</t>
  </si>
  <si>
    <t>71114730</t>
  </si>
  <si>
    <t>WHITE HORSE</t>
  </si>
  <si>
    <t>348 WEST MAPLE</t>
  </si>
  <si>
    <t>61328209</t>
  </si>
  <si>
    <t>PORK CHOP  HYDE PARK</t>
  </si>
  <si>
    <t>1516 E HARPER CT</t>
  </si>
  <si>
    <t>30880694</t>
  </si>
  <si>
    <t>THE WIT TEST</t>
  </si>
  <si>
    <t>6553 N. GREENVIEW</t>
  </si>
  <si>
    <t>70485156</t>
  </si>
  <si>
    <t>HOME RUN INN -ARCHER</t>
  </si>
  <si>
    <t>6221 W ARCHER</t>
  </si>
  <si>
    <t>20858346</t>
  </si>
  <si>
    <t>LE PEEP CAFE &amp; GRILL</t>
  </si>
  <si>
    <t>10 E. NORTHWEST HWY.</t>
  </si>
  <si>
    <t>90653718</t>
  </si>
  <si>
    <t>THE CLUBHOUSE</t>
  </si>
  <si>
    <t>298 OAKBROOK CENTER</t>
  </si>
  <si>
    <t>80994981</t>
  </si>
  <si>
    <t>18 W CRYSTAL LAKE PLAZA</t>
  </si>
  <si>
    <t>20748992</t>
  </si>
  <si>
    <t>ARTURO EXPRESS</t>
  </si>
  <si>
    <t>122 S CANAL ST</t>
  </si>
  <si>
    <t>61048385</t>
  </si>
  <si>
    <t>TWO SOLDIERS &amp; A MARINE</t>
  </si>
  <si>
    <t>1363 SHERMER ROAD</t>
  </si>
  <si>
    <t>91011767</t>
  </si>
  <si>
    <t>BLACKTHORNE PUB</t>
  </si>
  <si>
    <t>11050 SO SPALDING</t>
  </si>
  <si>
    <t>51324580</t>
  </si>
  <si>
    <t>STILIN'S NEIGHBORHOOD PUB</t>
  </si>
  <si>
    <t>2019 OGDEN AVE</t>
  </si>
  <si>
    <t>90887936</t>
  </si>
  <si>
    <t>LA CASA DE ISAAC &amp; MOISHE</t>
  </si>
  <si>
    <t>2014 1ST STREET</t>
  </si>
  <si>
    <t>10030336</t>
  </si>
  <si>
    <t>620 E NORTH ST</t>
  </si>
  <si>
    <t>81218323</t>
  </si>
  <si>
    <t>4077 W ALGONQUIN RD</t>
  </si>
  <si>
    <t>21079041</t>
  </si>
  <si>
    <t>TIMOTHY O' TOOLES CHICAGO</t>
  </si>
  <si>
    <t>622 N FAIRBANKS CT</t>
  </si>
  <si>
    <t>21254537</t>
  </si>
  <si>
    <t>BRICK CITY TAVERN</t>
  </si>
  <si>
    <t>34 S MAIN ST</t>
  </si>
  <si>
    <t>70483813</t>
  </si>
  <si>
    <t>ASIAN MARKET</t>
  </si>
  <si>
    <t>806 N LAFOX ST</t>
  </si>
  <si>
    <t>70482468</t>
  </si>
  <si>
    <t>OVEN</t>
  </si>
  <si>
    <t>719 E DUNDEE RD</t>
  </si>
  <si>
    <t>51335321</t>
  </si>
  <si>
    <t>TYLER'S TENDER</t>
  </si>
  <si>
    <t>350 E US HIGHWAY 30</t>
  </si>
  <si>
    <t>51218576</t>
  </si>
  <si>
    <t>FOUR FARTHINGS</t>
  </si>
  <si>
    <t>2060 N CLEVELAND AVE</t>
  </si>
  <si>
    <t>60489192</t>
  </si>
  <si>
    <t>EPICUREAN HUNGARIAN REST</t>
  </si>
  <si>
    <t>4431 W ROOSEVELT RD</t>
  </si>
  <si>
    <t>61131314</t>
  </si>
  <si>
    <t>CAFE DESCARTES -LK SHORE</t>
  </si>
  <si>
    <t>70120639</t>
  </si>
  <si>
    <t>6133 CLEVELAND ST</t>
  </si>
  <si>
    <t>90188517</t>
  </si>
  <si>
    <t>COUNTRY HSE REST CLHILL</t>
  </si>
  <si>
    <t>241 WEST 55TH ST</t>
  </si>
  <si>
    <t>71327845</t>
  </si>
  <si>
    <t>CHIKIS N GRILL</t>
  </si>
  <si>
    <t>2815 W DIVERSEY AVE</t>
  </si>
  <si>
    <t>41253329</t>
  </si>
  <si>
    <t>BAMBOOZELS</t>
  </si>
  <si>
    <t>101 W MAIN ST</t>
  </si>
  <si>
    <t>91062448</t>
  </si>
  <si>
    <t>NATIS RESTAURANT</t>
  </si>
  <si>
    <t>401 N. RIVERSIDE</t>
  </si>
  <si>
    <t>51023679</t>
  </si>
  <si>
    <t>91024018</t>
  </si>
  <si>
    <t>HEART 'N' SOUL</t>
  </si>
  <si>
    <t>2118 N. GRREN BAY RD.</t>
  </si>
  <si>
    <t>90482852</t>
  </si>
  <si>
    <t>HANGING GARDENS</t>
  </si>
  <si>
    <t>8301 W BELMONT AVE</t>
  </si>
  <si>
    <t>80575491</t>
  </si>
  <si>
    <t>CAVANAUGH'S</t>
  </si>
  <si>
    <t>53 W. JACKSON BLVD.</t>
  </si>
  <si>
    <t>90621772</t>
  </si>
  <si>
    <t>SOMETHINGS BREWING #1</t>
  </si>
  <si>
    <t>1126 E. WASHINGTON ST</t>
  </si>
  <si>
    <t>71238240</t>
  </si>
  <si>
    <t>OUTRIGGERS</t>
  </si>
  <si>
    <t>11011 SOUTHWEST HWY</t>
  </si>
  <si>
    <t>41289091</t>
  </si>
  <si>
    <t>TEN NINETY BREWING CO.</t>
  </si>
  <si>
    <t>1025 WAUKEGAN RD</t>
  </si>
  <si>
    <t>70483953</t>
  </si>
  <si>
    <t>MORRYS RESTAURANT</t>
  </si>
  <si>
    <t>3358 MAIN ST</t>
  </si>
  <si>
    <t>71184725</t>
  </si>
  <si>
    <t>VICKIE'S PLACE</t>
  </si>
  <si>
    <t>1211 N RIVER RD</t>
  </si>
  <si>
    <t>1110741</t>
  </si>
  <si>
    <t>LOS ARCOS</t>
  </si>
  <si>
    <t>5525 N CLARK.</t>
  </si>
  <si>
    <t>30900047</t>
  </si>
  <si>
    <t>WILLOW CREEK</t>
  </si>
  <si>
    <t>67 EAST ALGONQUIN RD</t>
  </si>
  <si>
    <t>30391924</t>
  </si>
  <si>
    <t>1220 S EASTWOOD DR</t>
  </si>
  <si>
    <t>90948662</t>
  </si>
  <si>
    <t>MICKEY'S GYROS II</t>
  </si>
  <si>
    <t>15221 CICERO</t>
  </si>
  <si>
    <t>70994223</t>
  </si>
  <si>
    <t>CESARS</t>
  </si>
  <si>
    <t>3166 N. CLARK STREET</t>
  </si>
  <si>
    <t>70299896</t>
  </si>
  <si>
    <t>EMPRESS/HMMND-MAIN KITCHN</t>
  </si>
  <si>
    <t>825 EMPRESS DR</t>
  </si>
  <si>
    <t>51346922</t>
  </si>
  <si>
    <t>FIVE DEER PIZZA</t>
  </si>
  <si>
    <t>2240 E GRAND AVE</t>
  </si>
  <si>
    <t>50483528</t>
  </si>
  <si>
    <t>YWCA OF METRO CHICAGO</t>
  </si>
  <si>
    <t>6200 S DREXEL</t>
  </si>
  <si>
    <t>70895636</t>
  </si>
  <si>
    <t>ALUMNI CLUB PIZZA #1400</t>
  </si>
  <si>
    <t>1540 N.ROSELLE ROAD</t>
  </si>
  <si>
    <t>1329564</t>
  </si>
  <si>
    <t>278 S WEBER RD</t>
  </si>
  <si>
    <t>80874670</t>
  </si>
  <si>
    <t>CLUB CASA CAFE</t>
  </si>
  <si>
    <t>353 NORTH RIVER ROAD</t>
  </si>
  <si>
    <t>30084982</t>
  </si>
  <si>
    <t>BISMARK FOOD SERVICE</t>
  </si>
  <si>
    <t>425 E MC FETRIDGE</t>
  </si>
  <si>
    <t>80482078</t>
  </si>
  <si>
    <t>JAKE MORANS</t>
  </si>
  <si>
    <t>57 S LAKE ST</t>
  </si>
  <si>
    <t>11287216</t>
  </si>
  <si>
    <t>ITS GREEK TO YOU</t>
  </si>
  <si>
    <t>5449 N CLARK ST</t>
  </si>
  <si>
    <t>90285180</t>
  </si>
  <si>
    <t>GRANDMA SALLY'S**COLL**</t>
  </si>
  <si>
    <t>1145 ELMHURST ROAD</t>
  </si>
  <si>
    <t>90729039</t>
  </si>
  <si>
    <t>ALEKS' RESTAURANT</t>
  </si>
  <si>
    <t>525 ROCKLAND ROAD</t>
  </si>
  <si>
    <t>80341464</t>
  </si>
  <si>
    <t>COMPASS ROSE</t>
  </si>
  <si>
    <t>1090 S. MILWAUKEE AVE.</t>
  </si>
  <si>
    <t>90283961</t>
  </si>
  <si>
    <t>TIMBERLODGE</t>
  </si>
  <si>
    <t>2207 SOUTH 48TH ST</t>
  </si>
  <si>
    <t>TEMPE</t>
  </si>
  <si>
    <t>AZ</t>
  </si>
  <si>
    <t>85282</t>
  </si>
  <si>
    <t>20988549</t>
  </si>
  <si>
    <t>NEW HORIZON RESTAURANT:)</t>
  </si>
  <si>
    <t>14741 S. CENTRAL AVENUE</t>
  </si>
  <si>
    <t>10101640</t>
  </si>
  <si>
    <t>NEW HOLLYWOOD REST</t>
  </si>
  <si>
    <t>1705 LA PORTE AVE</t>
  </si>
  <si>
    <t>46384</t>
  </si>
  <si>
    <t>544031</t>
  </si>
  <si>
    <t>THE WALLEYE GRILL**COLL**</t>
  </si>
  <si>
    <t>12880 DEL WEBB BLVD</t>
  </si>
  <si>
    <t>10439057</t>
  </si>
  <si>
    <t>DELI'S  OF AM. **COLL**</t>
  </si>
  <si>
    <t>8550 W BRYN MAWR</t>
  </si>
  <si>
    <t>11252707</t>
  </si>
  <si>
    <t>OPEN OUT CRY BREWING  CO.</t>
  </si>
  <si>
    <t>10934 S WESTERN AVE</t>
  </si>
  <si>
    <t>37440</t>
  </si>
  <si>
    <t>CHARLCOAL DELIGHT'S</t>
  </si>
  <si>
    <t>3139 W FOSTER</t>
  </si>
  <si>
    <t>10031557</t>
  </si>
  <si>
    <t>QZ-MATTSON'S WESTERN STK</t>
  </si>
  <si>
    <t>8150 S CICERO</t>
  </si>
  <si>
    <t>61252565</t>
  </si>
  <si>
    <t>TAPHOUSE GRILL WESTM #103</t>
  </si>
  <si>
    <t>6010 S CASS AVE</t>
  </si>
  <si>
    <t>91333179</t>
  </si>
  <si>
    <t>CAPPO'S</t>
  </si>
  <si>
    <t>6656 US HIGHWAY 6</t>
  </si>
  <si>
    <t>91239186</t>
  </si>
  <si>
    <t>ORCHARD CAFE</t>
  </si>
  <si>
    <t>3402 ORCHARD RD</t>
  </si>
  <si>
    <t>91026120</t>
  </si>
  <si>
    <t>MARTINI'S ON MAIN</t>
  </si>
  <si>
    <t>8 S. MAIN STREET</t>
  </si>
  <si>
    <t>31196421</t>
  </si>
  <si>
    <t>HICKORY PIT SMOKED BBQ</t>
  </si>
  <si>
    <t>3102 W IL ROUTE 120</t>
  </si>
  <si>
    <t>795021</t>
  </si>
  <si>
    <t>RITA'S ROADHOUSE</t>
  </si>
  <si>
    <t>1211 BUTTERFIELD ROAD</t>
  </si>
  <si>
    <t>60469285</t>
  </si>
  <si>
    <t>ALSIP PARK DIST. CONCESS.</t>
  </si>
  <si>
    <t>12601 S. KEDZIE AVE.</t>
  </si>
  <si>
    <t>61022638</t>
  </si>
  <si>
    <t>COURTLAND GARAGE</t>
  </si>
  <si>
    <t>1645 WEST  COURTLAND  AVE</t>
  </si>
  <si>
    <t>70650007</t>
  </si>
  <si>
    <t>BAUERS AT COUNTRY</t>
  </si>
  <si>
    <t>2305 LANCE DR</t>
  </si>
  <si>
    <t>31241938</t>
  </si>
  <si>
    <t>NIRVANA WINE AND GRILLERI</t>
  </si>
  <si>
    <t>11272499</t>
  </si>
  <si>
    <t>DEMITO'S SALOON</t>
  </si>
  <si>
    <t>335 E KENILWORTH AVE</t>
  </si>
  <si>
    <t>51180974</t>
  </si>
  <si>
    <t>ARBELLA</t>
  </si>
  <si>
    <t>112 W GRAND AVE</t>
  </si>
  <si>
    <t>81142614</t>
  </si>
  <si>
    <t>GENE &amp; GEORGETTI ROSEMONT</t>
  </si>
  <si>
    <t>9421 W. HIGGINS RD</t>
  </si>
  <si>
    <t>654582</t>
  </si>
  <si>
    <t>LOVE'S YOGURT</t>
  </si>
  <si>
    <t>585 ELM PLACE</t>
  </si>
  <si>
    <t>20032959</t>
  </si>
  <si>
    <t>NOOKIES RESTAURANT</t>
  </si>
  <si>
    <t>1746 N WELLS</t>
  </si>
  <si>
    <t>28571</t>
  </si>
  <si>
    <t>FARMER'S PRIDE INC</t>
  </si>
  <si>
    <t>4339 W FULLERTON</t>
  </si>
  <si>
    <t>91031781</t>
  </si>
  <si>
    <t>GEORGIE V'S</t>
  </si>
  <si>
    <t>1139 CHURCH ST.</t>
  </si>
  <si>
    <t>91034280</t>
  </si>
  <si>
    <t>BOBBYS</t>
  </si>
  <si>
    <t>695 DEERFIELD ROAD</t>
  </si>
  <si>
    <t>20679692</t>
  </si>
  <si>
    <t>GRILLROOM CHOPHOUSE WINE</t>
  </si>
  <si>
    <t>33 W MONROE</t>
  </si>
  <si>
    <t>80995129</t>
  </si>
  <si>
    <t>BOCCE'S BAR AND GRILL.</t>
  </si>
  <si>
    <t>3909 LINCOLN HIGHWAY</t>
  </si>
  <si>
    <t>31201221</t>
  </si>
  <si>
    <t>712 E NORTHWEST HWY</t>
  </si>
  <si>
    <t>81297251</t>
  </si>
  <si>
    <t>FAIRMONT SHORES ON FOX</t>
  </si>
  <si>
    <t>81320160</t>
  </si>
  <si>
    <t>DISCO BISTRO</t>
  </si>
  <si>
    <t>2138 N LAWNDALE AVE</t>
  </si>
  <si>
    <t>71241681</t>
  </si>
  <si>
    <t>TRACY'S WADSWORTH</t>
  </si>
  <si>
    <t>41869 N US HIGHWAY 41</t>
  </si>
  <si>
    <t>20595724</t>
  </si>
  <si>
    <t>KEN'S DINER **COLL**</t>
  </si>
  <si>
    <t>3353 W. DEMPSTER ST</t>
  </si>
  <si>
    <t>21309620</t>
  </si>
  <si>
    <t>LA FOGATA TAQUERIA</t>
  </si>
  <si>
    <t>4434 CALUMET AVE</t>
  </si>
  <si>
    <t>1212042</t>
  </si>
  <si>
    <t>OLD NEIGHBORHOOD</t>
  </si>
  <si>
    <t>81259129</t>
  </si>
  <si>
    <t>FOODA FOOD HALL RIVERSIDE</t>
  </si>
  <si>
    <t>150 N. RIVERSIDE PLAZA</t>
  </si>
  <si>
    <t>61287462</t>
  </si>
  <si>
    <t>SWEETBERRY BOWLS</t>
  </si>
  <si>
    <t>156 N YORK ST</t>
  </si>
  <si>
    <t>31302953</t>
  </si>
  <si>
    <t>TASTE THE SPACE</t>
  </si>
  <si>
    <t>203 YORKTOWN CENTER</t>
  </si>
  <si>
    <t>1143841</t>
  </si>
  <si>
    <t>SKUDDLEBUTT'S PIZZA</t>
  </si>
  <si>
    <t>440 OGDEN AVE</t>
  </si>
  <si>
    <t>91138636</t>
  </si>
  <si>
    <t>CHERRY CIRCLE ROOM</t>
  </si>
  <si>
    <t>12 S. MICHIGAN AVE</t>
  </si>
  <si>
    <t>91125955</t>
  </si>
  <si>
    <t>USA TRUCK STOP</t>
  </si>
  <si>
    <t>9954 US HWY 6 421</t>
  </si>
  <si>
    <t>41241688</t>
  </si>
  <si>
    <t>TRACY'S STREAMWOOD</t>
  </si>
  <si>
    <t>39 S SUTTON RD</t>
  </si>
  <si>
    <t>90437294</t>
  </si>
  <si>
    <t>FLAT TOP GRILL/PEORIA</t>
  </si>
  <si>
    <t>5201 W. WAR MEMORIAL DR.</t>
  </si>
  <si>
    <t>41206608</t>
  </si>
  <si>
    <t>EL RANCHERO #3</t>
  </si>
  <si>
    <t>3700 MONTGOMERY ST</t>
  </si>
  <si>
    <t>91288605</t>
  </si>
  <si>
    <t>RUNA JAPENESE</t>
  </si>
  <si>
    <t>2257 W NORTH AVE</t>
  </si>
  <si>
    <t>21100268</t>
  </si>
  <si>
    <t>MARIA'S MEXICAN BAR/GRILL</t>
  </si>
  <si>
    <t>861 E NERGE</t>
  </si>
  <si>
    <t>363713</t>
  </si>
  <si>
    <t>TRACE</t>
  </si>
  <si>
    <t>3714 N CLARK ST.</t>
  </si>
  <si>
    <t>60939394</t>
  </si>
  <si>
    <t>WILDE &amp; GREENE</t>
  </si>
  <si>
    <t>4999 OLD ORCHARD CENTER</t>
  </si>
  <si>
    <t>21043849</t>
  </si>
  <si>
    <t>CAPRI PIZZA &amp; DELI</t>
  </si>
  <si>
    <t>148 S BLOOMINGDALE RD</t>
  </si>
  <si>
    <t>60487808</t>
  </si>
  <si>
    <t>FRANCESCO BROS PIZZERIA</t>
  </si>
  <si>
    <t>1207 W IRVING PARK RD</t>
  </si>
  <si>
    <t>60229465</t>
  </si>
  <si>
    <t>ED DEBEVIC'S</t>
  </si>
  <si>
    <t>1601 N. LAKE SHORE DR</t>
  </si>
  <si>
    <t>80594302</t>
  </si>
  <si>
    <t>BOSTON BLACKIES/NAPVILLE</t>
  </si>
  <si>
    <t>916 RT 59</t>
  </si>
  <si>
    <t>60482932</t>
  </si>
  <si>
    <t>SWEET MAPLE CAFE</t>
  </si>
  <si>
    <t>1339 W TAYLOR ST</t>
  </si>
  <si>
    <t>60307238</t>
  </si>
  <si>
    <t>CITY DELI</t>
  </si>
  <si>
    <t>105 W. MADISON</t>
  </si>
  <si>
    <t>50806934</t>
  </si>
  <si>
    <t>COMFORT ZONE BBQ*COLL**</t>
  </si>
  <si>
    <t>37 W NEW YORK</t>
  </si>
  <si>
    <t>438648</t>
  </si>
  <si>
    <t>OAKFIELD REST**COLL**</t>
  </si>
  <si>
    <t>27 W 229 GENEVA RD</t>
  </si>
  <si>
    <t>50419027</t>
  </si>
  <si>
    <t>MAC'S AMERICAN FOOD</t>
  </si>
  <si>
    <t>1801 W. DIVISION</t>
  </si>
  <si>
    <t>70487921</t>
  </si>
  <si>
    <t>GELSOSOMO'S P. VALPO</t>
  </si>
  <si>
    <t>2605 LAPORTE ROAD</t>
  </si>
  <si>
    <t>91188243</t>
  </si>
  <si>
    <t>71026348</t>
  </si>
  <si>
    <t>FFF WILDE BAR &amp; REST</t>
  </si>
  <si>
    <t>3130 N BROADWAY</t>
  </si>
  <si>
    <t>70649470</t>
  </si>
  <si>
    <t>53 W SLADE STREET</t>
  </si>
  <si>
    <t>30573836</t>
  </si>
  <si>
    <t>OBERWEIS / LINCOLNWOOD</t>
  </si>
  <si>
    <t>6469 N. LINCOLN AVE</t>
  </si>
  <si>
    <t>60390689</t>
  </si>
  <si>
    <t>FROSTED MUG</t>
  </si>
  <si>
    <t>11541 S. PULASKI</t>
  </si>
  <si>
    <t>21292917</t>
  </si>
  <si>
    <t>JACK DESMONDS IRISH PUB</t>
  </si>
  <si>
    <t>10339 RIDGELAND AVE</t>
  </si>
  <si>
    <t>51201226</t>
  </si>
  <si>
    <t>30161558</t>
  </si>
  <si>
    <t>BISMARCK ENT.GRANT PARK</t>
  </si>
  <si>
    <t>425 E MCFETRIDGE DR</t>
  </si>
  <si>
    <t>81327710</t>
  </si>
  <si>
    <t>JUMBO CRAB CHICAGO</t>
  </si>
  <si>
    <t>70498191</t>
  </si>
  <si>
    <t>J &amp; T'S PIZZA AND SPORTS</t>
  </si>
  <si>
    <t>50 N. BARRIGNTON RD</t>
  </si>
  <si>
    <t>41277682</t>
  </si>
  <si>
    <t>LUDLOW LIQUORS</t>
  </si>
  <si>
    <t>2959 N CALIFORNIA AVE</t>
  </si>
  <si>
    <t>11315967</t>
  </si>
  <si>
    <t>70923958</t>
  </si>
  <si>
    <t>TAYLOR STREET PIZZA</t>
  </si>
  <si>
    <t>2124 W. GALENA BLVD.</t>
  </si>
  <si>
    <t>30514244</t>
  </si>
  <si>
    <t>CHOP SUEY HUT</t>
  </si>
  <si>
    <t>218 N THROOP ST</t>
  </si>
  <si>
    <t>90591595</t>
  </si>
  <si>
    <t>BROWN'S CHICKEN/DES PLAIN</t>
  </si>
  <si>
    <t>1495 ELMHURST RD.</t>
  </si>
  <si>
    <t>31324130</t>
  </si>
  <si>
    <t>FRIDA KAHLO</t>
  </si>
  <si>
    <t>40279010</t>
  </si>
  <si>
    <t>CLARKE'S ON LINCOLN*COLL*</t>
  </si>
  <si>
    <t>2441 N LINCOLN</t>
  </si>
  <si>
    <t>30424998</t>
  </si>
  <si>
    <t>KALAMATA GREEK ***COLL**</t>
  </si>
  <si>
    <t>116 SCHILLER AVE.</t>
  </si>
  <si>
    <t>60483328</t>
  </si>
  <si>
    <t>PETER PHAGAN **COLL**</t>
  </si>
  <si>
    <t>536 N MILWAUKEE</t>
  </si>
  <si>
    <t>60874898</t>
  </si>
  <si>
    <t>THE OFFICE DINING&amp;SPIRITS</t>
  </si>
  <si>
    <t>201 EAST MAIN STREET</t>
  </si>
  <si>
    <t>71336630</t>
  </si>
  <si>
    <t>POKRO BREWING</t>
  </si>
  <si>
    <t>41322306</t>
  </si>
  <si>
    <t>MANOR CAFE INC</t>
  </si>
  <si>
    <t>425 E MAIN ST</t>
  </si>
  <si>
    <t>40482945</t>
  </si>
  <si>
    <t>SMILEYS</t>
  </si>
  <si>
    <t>15934 S DIVISION ST</t>
  </si>
  <si>
    <t>20484606</t>
  </si>
  <si>
    <t>BLOOMINGDALES/CAFE B</t>
  </si>
  <si>
    <t>FOUR OAKBROOK CENTER</t>
  </si>
  <si>
    <t>70993597</t>
  </si>
  <si>
    <t>OLD TINLEY PUB &amp; EATERY</t>
  </si>
  <si>
    <t>17020 S OAK PARK AVE</t>
  </si>
  <si>
    <t>71279913</t>
  </si>
  <si>
    <t>CHARLIE FOX'S - ST CHARLE</t>
  </si>
  <si>
    <t>81332454</t>
  </si>
  <si>
    <t>STATION 34</t>
  </si>
  <si>
    <t>1212570</t>
  </si>
  <si>
    <t>RED &amp; WHITE</t>
  </si>
  <si>
    <t>1845 N OAKLEY AVE</t>
  </si>
  <si>
    <t>91211938</t>
  </si>
  <si>
    <t>VILLAGE GRILL OF ARLING</t>
  </si>
  <si>
    <t>4 E NORTHWEST HWY</t>
  </si>
  <si>
    <t>91057786</t>
  </si>
  <si>
    <t>SANDWICH CITY- OLYMPIC F.</t>
  </si>
  <si>
    <t>1441 E. SUMMIT STREET</t>
  </si>
  <si>
    <t>51278836</t>
  </si>
  <si>
    <t>FOXFIRE - GENEVA</t>
  </si>
  <si>
    <t>17 W STATE ST</t>
  </si>
  <si>
    <t>20446548</t>
  </si>
  <si>
    <t>MEXICAN FOOD CO**COLL**</t>
  </si>
  <si>
    <t>1685 W HIGGINS RD</t>
  </si>
  <si>
    <t>90925868</t>
  </si>
  <si>
    <t>CHICAGO FIREHOUSE REST.</t>
  </si>
  <si>
    <t>1401 S. MICHIGAN AVE</t>
  </si>
  <si>
    <t>91061200</t>
  </si>
  <si>
    <t>BIG CHEF GOURMET BURGERS</t>
  </si>
  <si>
    <t>1602 E ALGONQUIN RD</t>
  </si>
  <si>
    <t>61081741</t>
  </si>
  <si>
    <t>GEORGE'S RESTURANT</t>
  </si>
  <si>
    <t>11758 S. PULASKI</t>
  </si>
  <si>
    <t>30535421</t>
  </si>
  <si>
    <t>TUSCAN TIMBERS REST*COLL*</t>
  </si>
  <si>
    <t>444 PINE LAKE AVE</t>
  </si>
  <si>
    <t>30037006</t>
  </si>
  <si>
    <t>PIZZA CAPRI C.B.P.**COLL*</t>
  </si>
  <si>
    <t>1733 N. HALSTEAD</t>
  </si>
  <si>
    <t>10717478</t>
  </si>
  <si>
    <t>TAJ MAHAL - ORLAND PARK</t>
  </si>
  <si>
    <t>14812 S. LAGRANGE RD.</t>
  </si>
  <si>
    <t>60527884</t>
  </si>
  <si>
    <t>POPOLANO'S LANSING**COLL*</t>
  </si>
  <si>
    <t>31031370</t>
  </si>
  <si>
    <t>CORNER SPOT CAFE</t>
  </si>
  <si>
    <t>1825 W. ROOSEVELT</t>
  </si>
  <si>
    <t>21243076</t>
  </si>
  <si>
    <t>UPRISING WOOD FIRED PIZZA</t>
  </si>
  <si>
    <t>948 W ARMITAGE AVE</t>
  </si>
  <si>
    <t>20483731</t>
  </si>
  <si>
    <t>LAMPLIGHT-BERRY CAFE</t>
  </si>
  <si>
    <t>6 N 940 DUNHAM RD</t>
  </si>
  <si>
    <t>30526305</t>
  </si>
  <si>
    <t>CHICAGO'S FAMOUS MAX*COLL</t>
  </si>
  <si>
    <t>19 SAUK PLAZA</t>
  </si>
  <si>
    <t>51265775</t>
  </si>
  <si>
    <t>BENNY'S PLACE</t>
  </si>
  <si>
    <t>2549 GLENWOOD LANSING RD</t>
  </si>
  <si>
    <t>1313329</t>
  </si>
  <si>
    <t>MAIZE + MASH</t>
  </si>
  <si>
    <t>50044288</t>
  </si>
  <si>
    <t>BATTER UP</t>
  </si>
  <si>
    <t>2100 N SOUTHPORT</t>
  </si>
  <si>
    <t>70944004</t>
  </si>
  <si>
    <t>WILD MONK</t>
  </si>
  <si>
    <t>88 S. LAGRANGE ROAD</t>
  </si>
  <si>
    <t>91136465</t>
  </si>
  <si>
    <t>SEEDAY ILLINOIS</t>
  </si>
  <si>
    <t>201 N.CLARK ST</t>
  </si>
  <si>
    <t>21237656</t>
  </si>
  <si>
    <t>OTTO MEZZO</t>
  </si>
  <si>
    <t>311 W CHICAGO AVE</t>
  </si>
  <si>
    <t>994863</t>
  </si>
  <si>
    <t>CHA CHA'S TACOS</t>
  </si>
  <si>
    <t>3210 W RIDGE ROAD</t>
  </si>
  <si>
    <t>81250110</t>
  </si>
  <si>
    <t>ISABELLA RESOURCES INC</t>
  </si>
  <si>
    <t>17211 OAK PARK AVE</t>
  </si>
  <si>
    <t>21346945</t>
  </si>
  <si>
    <t>SABLE KITCHEN &amp; BAR</t>
  </si>
  <si>
    <t>505 N STATE ST</t>
  </si>
  <si>
    <t>10924181</t>
  </si>
  <si>
    <t>GOLF FARM</t>
  </si>
  <si>
    <t>2100 NORTH ROUTE 12</t>
  </si>
  <si>
    <t>1201219</t>
  </si>
  <si>
    <t>GLENVIEW DAIRY BARY</t>
  </si>
  <si>
    <t>30572051</t>
  </si>
  <si>
    <t>SONG O SIXPENCE**COLL**</t>
  </si>
  <si>
    <t>735 ELM STREET</t>
  </si>
  <si>
    <t>21329370</t>
  </si>
  <si>
    <t>SIEBERT ENTERTAINMENT LLC</t>
  </si>
  <si>
    <t>38983 W PARK AVE</t>
  </si>
  <si>
    <t>81108805</t>
  </si>
  <si>
    <t>FIREWATER SALOON</t>
  </si>
  <si>
    <t>6689 N OLIPHANT AVE</t>
  </si>
  <si>
    <t>91334862</t>
  </si>
  <si>
    <t>SOPHIA'S - CREST HILL</t>
  </si>
  <si>
    <t>1842 KNAPP ST</t>
  </si>
  <si>
    <t>30766299</t>
  </si>
  <si>
    <t>LA CUISINE CATERING</t>
  </si>
  <si>
    <t>1201 BUTTERFIELD ROAD</t>
  </si>
  <si>
    <t>80501612</t>
  </si>
  <si>
    <t>THE DRAKE</t>
  </si>
  <si>
    <t>140 E.WALTON PLACE</t>
  </si>
  <si>
    <t>10032696</t>
  </si>
  <si>
    <t>Z Z DORMANT       *PG*</t>
  </si>
  <si>
    <t>HWY 151</t>
  </si>
  <si>
    <t>52236</t>
  </si>
  <si>
    <t>40461964</t>
  </si>
  <si>
    <t>VIKING STEAK HSE **COLL**</t>
  </si>
  <si>
    <t>27W150 ROOSEVELT ROAD</t>
  </si>
  <si>
    <t>70717426</t>
  </si>
  <si>
    <t>40696882</t>
  </si>
  <si>
    <t>CHANG JIANG</t>
  </si>
  <si>
    <t>760 E. ROLLINS RD.</t>
  </si>
  <si>
    <t>51287092</t>
  </si>
  <si>
    <t>ST. JOHN MALT BROTHERS IN</t>
  </si>
  <si>
    <t>9607 WICKER AVE</t>
  </si>
  <si>
    <t>80890585</t>
  </si>
  <si>
    <t>PRIX FIXE</t>
  </si>
  <si>
    <t>4835 N WESTERN</t>
  </si>
  <si>
    <t>1118397</t>
  </si>
  <si>
    <t>TOKYO GRILL</t>
  </si>
  <si>
    <t>920 LAKE ST</t>
  </si>
  <si>
    <t>80939531</t>
  </si>
  <si>
    <t>OSHII THAI</t>
  </si>
  <si>
    <t>1113 WEILAND</t>
  </si>
  <si>
    <t>20648960</t>
  </si>
  <si>
    <t>STOUT BARRELHOUSE</t>
  </si>
  <si>
    <t>642 N. CLARK</t>
  </si>
  <si>
    <t>41187931</t>
  </si>
  <si>
    <t>TRENCHERMEN</t>
  </si>
  <si>
    <t>2039 W NORTH AVE</t>
  </si>
  <si>
    <t>90953951</t>
  </si>
  <si>
    <t>PANINI SHOP</t>
  </si>
  <si>
    <t>100 WEST 22ND STREET</t>
  </si>
  <si>
    <t>50968882</t>
  </si>
  <si>
    <t>XX/PIGGIES &amp; CREAM @ LUKE</t>
  </si>
  <si>
    <t>306 SOUTH HILLARD ST</t>
  </si>
  <si>
    <t>574079</t>
  </si>
  <si>
    <t>PAPRIKASH INT'L**COLL**</t>
  </si>
  <si>
    <t>620 W. NORTHWEST HWY</t>
  </si>
  <si>
    <t>51315372</t>
  </si>
  <si>
    <t>CEBU BAR AND GRILL</t>
  </si>
  <si>
    <t>1163997</t>
  </si>
  <si>
    <t>FRONT ST CANTINA- PLAINFE</t>
  </si>
  <si>
    <t>41029232</t>
  </si>
  <si>
    <t>FLOYD'S ALEHOUSE</t>
  </si>
  <si>
    <t>901 E. LINCOLN HIGHWAY</t>
  </si>
  <si>
    <t>91053959</t>
  </si>
  <si>
    <t>RAVENSWOOD Q</t>
  </si>
  <si>
    <t>1800 W IRVING</t>
  </si>
  <si>
    <t>390765</t>
  </si>
  <si>
    <t>SMUGGLERS COVE **COLL**</t>
  </si>
  <si>
    <t>14000 CROISSANT DRIVE</t>
  </si>
  <si>
    <t>90483330</t>
  </si>
  <si>
    <t>MASCK</t>
  </si>
  <si>
    <t>730 WAUKEGAN RD</t>
  </si>
  <si>
    <t>11172699</t>
  </si>
  <si>
    <t>31162837</t>
  </si>
  <si>
    <t>UKRAINA DELI</t>
  </si>
  <si>
    <t>2304 W CHICAGO AVE</t>
  </si>
  <si>
    <t>1195122</t>
  </si>
  <si>
    <t>TINY HATT</t>
  </si>
  <si>
    <t>81329468</t>
  </si>
  <si>
    <t>GOOD II GO JAMAICAN CUISI</t>
  </si>
  <si>
    <t>711 HOWARD ST</t>
  </si>
  <si>
    <t>60391984</t>
  </si>
  <si>
    <t>CEDARS OF LEBANON</t>
  </si>
  <si>
    <t>1618 E. 53RD STREET</t>
  </si>
  <si>
    <t>70594304</t>
  </si>
  <si>
    <t>BOSTON BLACKIES/LINCOLNPK</t>
  </si>
  <si>
    <t>1962 N. HALSTED</t>
  </si>
  <si>
    <t>LINCOLN PARK</t>
  </si>
  <si>
    <t>50496447</t>
  </si>
  <si>
    <t>WOK CUISINE</t>
  </si>
  <si>
    <t>4554 N.KEDZIE</t>
  </si>
  <si>
    <t>71154090</t>
  </si>
  <si>
    <t>CIAO BELLA</t>
  </si>
  <si>
    <t>1514 US 41</t>
  </si>
  <si>
    <t>411405</t>
  </si>
  <si>
    <t>SCHNITZEL PLATZ</t>
  </si>
  <si>
    <t>729 E NORTH AVE</t>
  </si>
  <si>
    <t>80456288</t>
  </si>
  <si>
    <t>ORIG. MAXWELL ST. SOUTH</t>
  </si>
  <si>
    <t>13501 SOUTH PULASKI ROAD</t>
  </si>
  <si>
    <t>71277602</t>
  </si>
  <si>
    <t>LINCOLN FLATS</t>
  </si>
  <si>
    <t>1 NAPOLEON ST</t>
  </si>
  <si>
    <t>10972933</t>
  </si>
  <si>
    <t>JULIUS MEINL</t>
  </si>
  <si>
    <t>4363 N LINCOLN AVE</t>
  </si>
  <si>
    <t>81157232</t>
  </si>
  <si>
    <t>AMBASSADOR KITCHEN #336</t>
  </si>
  <si>
    <t>80470784</t>
  </si>
  <si>
    <t>AMF CLASSIC LANES   00632</t>
  </si>
  <si>
    <t>3201 EAST END AVENUE</t>
  </si>
  <si>
    <t>40206468</t>
  </si>
  <si>
    <t>4 FLAGS/BAVARIAN INN</t>
  </si>
  <si>
    <t>430 W ROOSEVELT RD</t>
  </si>
  <si>
    <t>21230818</t>
  </si>
  <si>
    <t>WHITING CAFE &amp; CANTINA</t>
  </si>
  <si>
    <t>1320 119TH ST</t>
  </si>
  <si>
    <t>71312714</t>
  </si>
  <si>
    <t>THE ROOST MILWAUKEE</t>
  </si>
  <si>
    <t>457 N MILWAUKEE AVE</t>
  </si>
  <si>
    <t>91196063</t>
  </si>
  <si>
    <t>CAFE #10</t>
  </si>
  <si>
    <t>2625 N HARLEM AVE</t>
  </si>
  <si>
    <t>20734075</t>
  </si>
  <si>
    <t>FISHER GRILLE- ELGIN</t>
  </si>
  <si>
    <t>1707 N. RANDALL RD.</t>
  </si>
  <si>
    <t>60553740</t>
  </si>
  <si>
    <t>BUTTERFINGER'S</t>
  </si>
  <si>
    <t>2552 45TH ST</t>
  </si>
  <si>
    <t>51264810</t>
  </si>
  <si>
    <t>POKEWORKS MADISON</t>
  </si>
  <si>
    <t>79 E MADISON ST</t>
  </si>
  <si>
    <t>717298</t>
  </si>
  <si>
    <t>BILL W.PIZZAERIA DO NOT S</t>
  </si>
  <si>
    <t>1234 OLD MAN</t>
  </si>
  <si>
    <t>71326243</t>
  </si>
  <si>
    <t>21185160</t>
  </si>
  <si>
    <t>SHIRLS DRIVE INN LEWIS</t>
  </si>
  <si>
    <t>2132 NORTH LEWIS AVE</t>
  </si>
  <si>
    <t>71110928</t>
  </si>
  <si>
    <t>1368 E. 53RD STREET</t>
  </si>
  <si>
    <t>71308688</t>
  </si>
  <si>
    <t>NO. 7 CAFE</t>
  </si>
  <si>
    <t>2485 N CLARK ST</t>
  </si>
  <si>
    <t>30029847</t>
  </si>
  <si>
    <t>800 ELM ST</t>
  </si>
  <si>
    <t>80984230</t>
  </si>
  <si>
    <t>OLD TOWN PUB WASCO</t>
  </si>
  <si>
    <t>40W290 LAFOX RD</t>
  </si>
  <si>
    <t>81207128</t>
  </si>
  <si>
    <t>BRGRBELLY CANAL</t>
  </si>
  <si>
    <t>91338863</t>
  </si>
  <si>
    <t>BARE BONES GASTRO PUB</t>
  </si>
  <si>
    <t>518 LINCOLNWAY</t>
  </si>
  <si>
    <t>90983362</t>
  </si>
  <si>
    <t>RPM ITALIAN</t>
  </si>
  <si>
    <t>52 W ILLINOIS</t>
  </si>
  <si>
    <t>21016357</t>
  </si>
  <si>
    <t>90764432</t>
  </si>
  <si>
    <t>LE JARDIN</t>
  </si>
  <si>
    <t>1S 151 WINFIELD RD</t>
  </si>
  <si>
    <t>91133264</t>
  </si>
  <si>
    <t>ANASTASIAS CAFE</t>
  </si>
  <si>
    <t>40 WEST 80TH PLACE</t>
  </si>
  <si>
    <t>1339688</t>
  </si>
  <si>
    <t>SOUL SHACK</t>
  </si>
  <si>
    <t>1368 E 53RD ST</t>
  </si>
  <si>
    <t>40680951</t>
  </si>
  <si>
    <t>BAR LOUIE HYDE PARK</t>
  </si>
  <si>
    <t>5500 S SHORE DR</t>
  </si>
  <si>
    <t>91297242</t>
  </si>
  <si>
    <t>MONNIE BURKE'S</t>
  </si>
  <si>
    <t>1163 W 18TH ST</t>
  </si>
  <si>
    <t>1345966</t>
  </si>
  <si>
    <t>BEACH AVENUE BBQ</t>
  </si>
  <si>
    <t>3453 GRAND BLVD</t>
  </si>
  <si>
    <t>452375</t>
  </si>
  <si>
    <t>RED HEN BREAD</t>
  </si>
  <si>
    <t>1623 MILWAUKEE</t>
  </si>
  <si>
    <t>60483542</t>
  </si>
  <si>
    <t>ARCADIA DELI</t>
  </si>
  <si>
    <t>27 HUNTINGTON LANE</t>
  </si>
  <si>
    <t>10536043</t>
  </si>
  <si>
    <t>9600 KEYSTONE</t>
  </si>
  <si>
    <t>1326883</t>
  </si>
  <si>
    <t>PHENOMENAL RIBS</t>
  </si>
  <si>
    <t>1166297</t>
  </si>
  <si>
    <t>FIRE BAR</t>
  </si>
  <si>
    <t>435 ANGELA LN</t>
  </si>
  <si>
    <t>70920079</t>
  </si>
  <si>
    <t>PUB YAHOO</t>
  </si>
  <si>
    <t>570 S GARY AVE</t>
  </si>
  <si>
    <t>70322177</t>
  </si>
  <si>
    <t>OMEGA **COLL** :)</t>
  </si>
  <si>
    <t>9100 W. GOLF RD.</t>
  </si>
  <si>
    <t>21158480</t>
  </si>
  <si>
    <t>TEQUILA REST/JJ CHICAS LL</t>
  </si>
  <si>
    <t>20950473</t>
  </si>
  <si>
    <t>CORNER CROSSING</t>
  </si>
  <si>
    <t>211 W GRASS LAKE RD</t>
  </si>
  <si>
    <t>11259058</t>
  </si>
  <si>
    <t>GRASS ROOTS 4WARD</t>
  </si>
  <si>
    <t>555 ROGERS ST</t>
  </si>
  <si>
    <t>652313</t>
  </si>
  <si>
    <t>PERRY'S PIZZA</t>
  </si>
  <si>
    <t>711 DEVON</t>
  </si>
  <si>
    <t>30033534</t>
  </si>
  <si>
    <t>RONNY'S II, INC.</t>
  </si>
  <si>
    <t>20 S. STATE ST.</t>
  </si>
  <si>
    <t>1233717</t>
  </si>
  <si>
    <t>1238807</t>
  </si>
  <si>
    <t>BITE SQUAD / KASA DELIVER</t>
  </si>
  <si>
    <t>466 WINDY POINT DR</t>
  </si>
  <si>
    <t>81312712</t>
  </si>
  <si>
    <t>THE ROOST FINANCIAL PLACE</t>
  </si>
  <si>
    <t>400 S FINANCIAL PL</t>
  </si>
  <si>
    <t>70482112</t>
  </si>
  <si>
    <t>CHARLIES PLACE, INC.</t>
  </si>
  <si>
    <t>290 SKOKIE BOULEVARD</t>
  </si>
  <si>
    <t>21326780</t>
  </si>
  <si>
    <t>CHEZ BENOIT BISTRO</t>
  </si>
  <si>
    <t>455 CENTRAL AVE</t>
  </si>
  <si>
    <t>40999500</t>
  </si>
  <si>
    <t>VINCENZOS</t>
  </si>
  <si>
    <t>1104 W MADISON AVE</t>
  </si>
  <si>
    <t>90559873</t>
  </si>
  <si>
    <t>VELVET ROPE *COLL*</t>
  </si>
  <si>
    <t>728 WEST LAKE STREET</t>
  </si>
  <si>
    <t>1345438</t>
  </si>
  <si>
    <t>CLEVER RABBIT RUSH</t>
  </si>
  <si>
    <t>1725 W HARRISON 2ND FLOOR</t>
  </si>
  <si>
    <t>50559434</t>
  </si>
  <si>
    <t>CHICKEN BOWL**COLL**</t>
  </si>
  <si>
    <t>1384 WINSTON PLAZA</t>
  </si>
  <si>
    <t>81279549</t>
  </si>
  <si>
    <t>CATCH 22 TABLE AND TAP</t>
  </si>
  <si>
    <t>500 EAST 81ST AVE</t>
  </si>
  <si>
    <t>71121883</t>
  </si>
  <si>
    <t>BRIAN BORU IRISH PUB</t>
  </si>
  <si>
    <t>7652 MADISON ST</t>
  </si>
  <si>
    <t>50470442</t>
  </si>
  <si>
    <t>JD MUGGS</t>
  </si>
  <si>
    <t>437 S. ADDISON</t>
  </si>
  <si>
    <t>10614873</t>
  </si>
  <si>
    <t>VIA VENTONO **COLL**</t>
  </si>
  <si>
    <t>2110 S. WABASH</t>
  </si>
  <si>
    <t>41176421</t>
  </si>
  <si>
    <t>COLIMA RESTAURANT</t>
  </si>
  <si>
    <t>301 LINCOLNWAY</t>
  </si>
  <si>
    <t>80987720</t>
  </si>
  <si>
    <t>QUIGLEY'S IRISH PUB</t>
  </si>
  <si>
    <t>43 E JEFFERSON</t>
  </si>
  <si>
    <t>71195952</t>
  </si>
  <si>
    <t>FRANKIE V'S BAR AND GRILL</t>
  </si>
  <si>
    <t>1923 CALUMET AVE</t>
  </si>
  <si>
    <t>187880</t>
  </si>
  <si>
    <t>JACOB BROS. ONTARIO</t>
  </si>
  <si>
    <t>401 E. ONTARIO</t>
  </si>
  <si>
    <t>61116752</t>
  </si>
  <si>
    <t>3439 N HALSTED</t>
  </si>
  <si>
    <t>80994866</t>
  </si>
  <si>
    <t>MOOGIES GYROS</t>
  </si>
  <si>
    <t>2121 E BUTTERFIELD RD.</t>
  </si>
  <si>
    <t>41338864</t>
  </si>
  <si>
    <t>TAYLOR STREET</t>
  </si>
  <si>
    <t>701 E LINCOLN HWY</t>
  </si>
  <si>
    <t>390799</t>
  </si>
  <si>
    <t>MIKE MCKITTRICK</t>
  </si>
  <si>
    <t>12630 S PARKSIDE AVE</t>
  </si>
  <si>
    <t>21297320</t>
  </si>
  <si>
    <t>ASADA GRILL &amp; CANTINA II</t>
  </si>
  <si>
    <t>2907 45TH ST</t>
  </si>
  <si>
    <t>41058298</t>
  </si>
  <si>
    <t>LUCKY FISH DELI</t>
  </si>
  <si>
    <t>530 SHERIDAN ROAD</t>
  </si>
  <si>
    <t>10390979</t>
  </si>
  <si>
    <t>BEVERLY RITZ LIMITED</t>
  </si>
  <si>
    <t>2414 W. 103RD STREET</t>
  </si>
  <si>
    <t>21308945</t>
  </si>
  <si>
    <t>LALO'S GLENVIEW</t>
  </si>
  <si>
    <t>30640254</t>
  </si>
  <si>
    <t>N Y C B D - WACKER</t>
  </si>
  <si>
    <t>300 S. WACKER - 1ST FLOOR</t>
  </si>
  <si>
    <t>11290897</t>
  </si>
  <si>
    <t>M LOUNGE</t>
  </si>
  <si>
    <t>1520 S WABASH AVE</t>
  </si>
  <si>
    <t>41317066</t>
  </si>
  <si>
    <t>MEZE RESTAURANT</t>
  </si>
  <si>
    <t>1276302</t>
  </si>
  <si>
    <t>SIXTY FOUR A WINE BAR</t>
  </si>
  <si>
    <t>123 WATER ST</t>
  </si>
  <si>
    <t>21217674</t>
  </si>
  <si>
    <t>TULLIO'S BAR &amp; GRILL</t>
  </si>
  <si>
    <t>1438 WOODCUTTER LN</t>
  </si>
  <si>
    <t>31299563</t>
  </si>
  <si>
    <t>SUGARHOUSE COFFEE</t>
  </si>
  <si>
    <t>7812 E TRYON GROVE RD</t>
  </si>
  <si>
    <t>91052050</t>
  </si>
  <si>
    <t>BULLDOGS</t>
  </si>
  <si>
    <t>32 N. ISLAND AVE</t>
  </si>
  <si>
    <t>11178167</t>
  </si>
  <si>
    <t>ATARAXIA</t>
  </si>
  <si>
    <t>884 INDUSTRIAL ST</t>
  </si>
  <si>
    <t>ALBION</t>
  </si>
  <si>
    <t>50611698</t>
  </si>
  <si>
    <t>ANNIE'S PANCAKE HOUSE</t>
  </si>
  <si>
    <t>4900 W. OAKTON ST.</t>
  </si>
  <si>
    <t>51293215</t>
  </si>
  <si>
    <t>YIA YIA'S NORTH RIVERSIDE</t>
  </si>
  <si>
    <t>2250 HARLEM AVE</t>
  </si>
  <si>
    <t>91046896</t>
  </si>
  <si>
    <t>FLANAGANS</t>
  </si>
  <si>
    <t>3201 BUCKLEY ROAD</t>
  </si>
  <si>
    <t>70679196</t>
  </si>
  <si>
    <t>GLENVIEW CHOCOLATE SHOPPE</t>
  </si>
  <si>
    <t>1823 WAUKEGAN ROAD</t>
  </si>
  <si>
    <t>40996175</t>
  </si>
  <si>
    <t>SHARK FISH AND CHICKEN</t>
  </si>
  <si>
    <t>194 TOWN CENTER</t>
  </si>
  <si>
    <t>21326293</t>
  </si>
  <si>
    <t>CITY WORKS EQUIP</t>
  </si>
  <si>
    <t>50482173</t>
  </si>
  <si>
    <t>HONG MIN RESTAURANT</t>
  </si>
  <si>
    <t>8048 W 111TH ST</t>
  </si>
  <si>
    <t>21301213</t>
  </si>
  <si>
    <t>NEW CAJUN GRILL</t>
  </si>
  <si>
    <t>7601 CICERO AVE</t>
  </si>
  <si>
    <t>60028735</t>
  </si>
  <si>
    <t>BIGGS REST.**COLL**</t>
  </si>
  <si>
    <t>11264934</t>
  </si>
  <si>
    <t>J&amp;J PIZZA MC</t>
  </si>
  <si>
    <t>1317783</t>
  </si>
  <si>
    <t>TRIFECTA GRILL</t>
  </si>
  <si>
    <t>91261396</t>
  </si>
  <si>
    <t>GOLD STAR CAFE</t>
  </si>
  <si>
    <t>1336 E COMMERCIAL AVE</t>
  </si>
  <si>
    <t>10515302</t>
  </si>
  <si>
    <t>COURTHOUSE GRILL **COLL**</t>
  </si>
  <si>
    <t>101 N. JOHNSON ST.</t>
  </si>
  <si>
    <t>30591721</t>
  </si>
  <si>
    <t>BROWN'S CHICKEN/SKOKIE</t>
  </si>
  <si>
    <t>3949 OAKTON STREET</t>
  </si>
  <si>
    <t>90903824</t>
  </si>
  <si>
    <t>SIMON SEZ</t>
  </si>
  <si>
    <t>2250 E. LINCOLN HIGHWAY</t>
  </si>
  <si>
    <t>535872</t>
  </si>
  <si>
    <t>CHICKEN CHARLIE'S</t>
  </si>
  <si>
    <t>1143 CHURCH STREET</t>
  </si>
  <si>
    <t>11257250</t>
  </si>
  <si>
    <t>SAMMY'S MEXICAN GRILL</t>
  </si>
  <si>
    <t>1354 LAKE ST</t>
  </si>
  <si>
    <t>50984186</t>
  </si>
  <si>
    <t>EL MOLCAJETE</t>
  </si>
  <si>
    <t>10897270</t>
  </si>
  <si>
    <t>1112 BRIGHTON</t>
  </si>
  <si>
    <t>51232999</t>
  </si>
  <si>
    <t>TRACY'S BISTRO</t>
  </si>
  <si>
    <t>468 RANDY RD</t>
  </si>
  <si>
    <t>61149159</t>
  </si>
  <si>
    <t>RODITY'S RESTAURANT</t>
  </si>
  <si>
    <t>222 S HALSTED ST</t>
  </si>
  <si>
    <t>60379708</t>
  </si>
  <si>
    <t>OCB---PURCHASING</t>
  </si>
  <si>
    <t>1460 BUFFET WAY</t>
  </si>
  <si>
    <t>EAGAN</t>
  </si>
  <si>
    <t>55121</t>
  </si>
  <si>
    <t>70482690</t>
  </si>
  <si>
    <t>ELMHURST PIZZA *COLL*</t>
  </si>
  <si>
    <t>105 1ST ST</t>
  </si>
  <si>
    <t>70812748</t>
  </si>
  <si>
    <t>SCUSA MI PIZZERIA</t>
  </si>
  <si>
    <t>10496503</t>
  </si>
  <si>
    <t>PIZZA CUCINA</t>
  </si>
  <si>
    <t>1087 ARMY TRAIL RD.</t>
  </si>
  <si>
    <t>50431626</t>
  </si>
  <si>
    <t>FOREST VIEW REST**COLL**</t>
  </si>
  <si>
    <t>1055 RIVER OAKS</t>
  </si>
  <si>
    <t>10646107</t>
  </si>
  <si>
    <t>FROOTS/DARIEN**COLL**</t>
  </si>
  <si>
    <t>2121 75TH STREET</t>
  </si>
  <si>
    <t>30035570</t>
  </si>
  <si>
    <t>Z Z DORMANT    NON-FOOD</t>
  </si>
  <si>
    <t>240 SKOKIE BLVD</t>
  </si>
  <si>
    <t>91225896</t>
  </si>
  <si>
    <t>HANNAH'S BRETZEL 161</t>
  </si>
  <si>
    <t>161 N CLARK ST</t>
  </si>
  <si>
    <t>31310089</t>
  </si>
  <si>
    <t>VILLAGE TAVERN CAROL STRE</t>
  </si>
  <si>
    <t>291 S. SCHMALE RD.</t>
  </si>
  <si>
    <t>91254144</t>
  </si>
  <si>
    <t>LA MICHOACANA GOMEZ</t>
  </si>
  <si>
    <t>156 GARY AVE</t>
  </si>
  <si>
    <t>30475008</t>
  </si>
  <si>
    <t>SCHAUMBURG TENNIS PLUS</t>
  </si>
  <si>
    <t>1416 N PAYNE RD</t>
  </si>
  <si>
    <t>10551760</t>
  </si>
  <si>
    <t>GRAND PARK CAFE  :)</t>
  </si>
  <si>
    <t>1599 E. 85TH AVENUE</t>
  </si>
  <si>
    <t>81333411</t>
  </si>
  <si>
    <t>DURTY NELLIE'S PALATINE</t>
  </si>
  <si>
    <t>60502697</t>
  </si>
  <si>
    <t>MORTON'S WESTCHESTER</t>
  </si>
  <si>
    <t>ONE WESTBROOK CORPORATE</t>
  </si>
  <si>
    <t>10810539</t>
  </si>
  <si>
    <t>ENYE RESTAURANT</t>
  </si>
  <si>
    <t>330 W STATE ST</t>
  </si>
  <si>
    <t>80483191</t>
  </si>
  <si>
    <t>CUCINA ROMA**COLL**</t>
  </si>
  <si>
    <t>800 E OGDEN</t>
  </si>
  <si>
    <t>90591587</t>
  </si>
  <si>
    <t>BROWN'S CHICKEN/BOLINGBRO</t>
  </si>
  <si>
    <t>439 N. BOLINGBROOK DRIVE</t>
  </si>
  <si>
    <t>60483815</t>
  </si>
  <si>
    <t>DARK HORSE TAP **COLL**</t>
  </si>
  <si>
    <t>3443 N SHEFFIELD</t>
  </si>
  <si>
    <t>60552205</t>
  </si>
  <si>
    <t>YIANNIS ON WASH**COLL**</t>
  </si>
  <si>
    <t>102 E WASHINGTON</t>
  </si>
  <si>
    <t>91203703</t>
  </si>
  <si>
    <t>SURF BAR</t>
  </si>
  <si>
    <t>2367 N MILWAUKEE AVE</t>
  </si>
  <si>
    <t>10647212</t>
  </si>
  <si>
    <t>NANNERS BEEF BRG**COLL*</t>
  </si>
  <si>
    <t>31229016</t>
  </si>
  <si>
    <t>MARCHESA</t>
  </si>
  <si>
    <t>535 N WELLS ST</t>
  </si>
  <si>
    <t>70483987</t>
  </si>
  <si>
    <t>URBAN EPICURE</t>
  </si>
  <si>
    <t>1512 W BERWYN</t>
  </si>
  <si>
    <t>70483367</t>
  </si>
  <si>
    <t>TRUFFLES GROVE,,</t>
  </si>
  <si>
    <t>360 N ROHLWING ROAD</t>
  </si>
  <si>
    <t>1317460</t>
  </si>
  <si>
    <t>CASA MARGARITA DOWNERS GR</t>
  </si>
  <si>
    <t>1341 BUTTERFIELD RD</t>
  </si>
  <si>
    <t>61308979</t>
  </si>
  <si>
    <t>1816 N HALSTED ST</t>
  </si>
  <si>
    <t>1079078</t>
  </si>
  <si>
    <t>SMOKEY'S INC</t>
  </si>
  <si>
    <t>1002 S MAIN ST</t>
  </si>
  <si>
    <t>1049584</t>
  </si>
  <si>
    <t>CLARKS EVANSTON</t>
  </si>
  <si>
    <t>720 CLARK STREET</t>
  </si>
  <si>
    <t>31239262</t>
  </si>
  <si>
    <t>40443046</t>
  </si>
  <si>
    <t>SAVANNAH'S TEA ROOM**COLL</t>
  </si>
  <si>
    <t>2840 FOX VALLEY CENTER DR</t>
  </si>
  <si>
    <t>40683435</t>
  </si>
  <si>
    <t>TEST CUSTOMER MPP ONLINE</t>
  </si>
  <si>
    <t>9399 W HIGGINS ROAD</t>
  </si>
  <si>
    <t>90390667</t>
  </si>
  <si>
    <t>CAJUN JOES</t>
  </si>
  <si>
    <t>2101 E. 71ST PLACE</t>
  </si>
  <si>
    <t>20120226</t>
  </si>
  <si>
    <t>EDWARDO'S</t>
  </si>
  <si>
    <t>235 S MICHIGAN AVE</t>
  </si>
  <si>
    <t>46601</t>
  </si>
  <si>
    <t>30572010</t>
  </si>
  <si>
    <t>GRILLE ON JACKSON**COLL**</t>
  </si>
  <si>
    <t>200 W. JACKSON ST.</t>
  </si>
  <si>
    <t>91190959</t>
  </si>
  <si>
    <t>SPARTAN HOUSE</t>
  </si>
  <si>
    <t>346 N LAKE ST</t>
  </si>
  <si>
    <t>81277808</t>
  </si>
  <si>
    <t>INVICTO</t>
  </si>
  <si>
    <t>296 E WILSON ST</t>
  </si>
  <si>
    <t>90831009</t>
  </si>
  <si>
    <t>OPA RISTORANTE</t>
  </si>
  <si>
    <t>90591710</t>
  </si>
  <si>
    <t>BROWN'S CHICKEN/PALATINE</t>
  </si>
  <si>
    <t>301 E. NORTHWEST HIGHWAY</t>
  </si>
  <si>
    <t>71260921</t>
  </si>
  <si>
    <t>FRANKLIN'S PUBLIC HOUSE</t>
  </si>
  <si>
    <t>12306 S HARLEM AVE</t>
  </si>
  <si>
    <t>50878818</t>
  </si>
  <si>
    <t>KNOCK OUTS SPORTS**COLL**</t>
  </si>
  <si>
    <t>260 EAST 84TH PLACE</t>
  </si>
  <si>
    <t>11300936</t>
  </si>
  <si>
    <t>EJ PIZZERIA</t>
  </si>
  <si>
    <t>9149 GROSS POINT RD</t>
  </si>
  <si>
    <t>1170885</t>
  </si>
  <si>
    <t>GRANDMA'SDELI AND WINE BA</t>
  </si>
  <si>
    <t>28924 W IL ROUTE 120</t>
  </si>
  <si>
    <t>41169301</t>
  </si>
  <si>
    <t>NICKARRY'S RESTAURANT</t>
  </si>
  <si>
    <t>1055 N LAKE ST</t>
  </si>
  <si>
    <t>60322427</t>
  </si>
  <si>
    <t>POPEYES #2579*COLL*</t>
  </si>
  <si>
    <t>2701 W. 95TH STREET</t>
  </si>
  <si>
    <t>1136316</t>
  </si>
  <si>
    <t>THE TAMELE SPACESHIP</t>
  </si>
  <si>
    <t>324 N. LEAVITT</t>
  </si>
  <si>
    <t>51171379</t>
  </si>
  <si>
    <t>SAWYER'S DOG HOUSE</t>
  </si>
  <si>
    <t>1790 DEERFIELD RD</t>
  </si>
  <si>
    <t>10286417</t>
  </si>
  <si>
    <t>OLD CHURCH INN**COLL**</t>
  </si>
  <si>
    <t>18 N. 4TH ST</t>
  </si>
  <si>
    <t>41151440</t>
  </si>
  <si>
    <t>THE ORIGNIAL ISLAND SHRP</t>
  </si>
  <si>
    <t>12902 A S. LAGRANGE RD</t>
  </si>
  <si>
    <t>20484754</t>
  </si>
  <si>
    <t>BOSTON BLACKIES-ARLINGTON</t>
  </si>
  <si>
    <t>222  E ALGONQUIN RD</t>
  </si>
  <si>
    <t>11199767</t>
  </si>
  <si>
    <t>DAILY PROJECTS COFFEE</t>
  </si>
  <si>
    <t>124 S RANDALL RD</t>
  </si>
  <si>
    <t>70033527</t>
  </si>
  <si>
    <t>THRESHOLD'S PAXTON HSE</t>
  </si>
  <si>
    <t>6941 S PAXTON</t>
  </si>
  <si>
    <t>90482415</t>
  </si>
  <si>
    <t>50034370</t>
  </si>
  <si>
    <t>MELROSE WEST RESTAURANT</t>
  </si>
  <si>
    <t>91258103</t>
  </si>
  <si>
    <t>NEW DALEY'S RESTAURANT</t>
  </si>
  <si>
    <t>809 E 63RD ST</t>
  </si>
  <si>
    <t>1278928</t>
  </si>
  <si>
    <t>CILANTRO - ELMHURST</t>
  </si>
  <si>
    <t>677 N YORK ST</t>
  </si>
  <si>
    <t>20555033</t>
  </si>
  <si>
    <t>TJ'S DELICATESSEN**COLL**</t>
  </si>
  <si>
    <t>2761 ALGONQUIN RD</t>
  </si>
  <si>
    <t>50519032</t>
  </si>
  <si>
    <t>BURNT TOAST</t>
  </si>
  <si>
    <t>2492 RANDALL RD</t>
  </si>
  <si>
    <t>21202767</t>
  </si>
  <si>
    <t>TRATTORIA</t>
  </si>
  <si>
    <t>40 W 80TH PL</t>
  </si>
  <si>
    <t>10572790</t>
  </si>
  <si>
    <t>VIOLET</t>
  </si>
  <si>
    <t>3819 N SOUTHPORT</t>
  </si>
  <si>
    <t>51032746</t>
  </si>
  <si>
    <t>817 UNIVERSITY DR</t>
  </si>
  <si>
    <t>1310275</t>
  </si>
  <si>
    <t>TECATE'S GRILL</t>
  </si>
  <si>
    <t>40455610</t>
  </si>
  <si>
    <t>HECKY'S BARBEQUE **COLL**</t>
  </si>
  <si>
    <t>1902 GREENBAY ROAD</t>
  </si>
  <si>
    <t>81006488</t>
  </si>
  <si>
    <t>STONEHOUSE PUB</t>
  </si>
  <si>
    <t>103 STEPHEN STREET</t>
  </si>
  <si>
    <t>51311926</t>
  </si>
  <si>
    <t>JUNEBUG CAFE</t>
  </si>
  <si>
    <t>4944 W IRVING PARK RD</t>
  </si>
  <si>
    <t>20880209</t>
  </si>
  <si>
    <t>1740 MILWAUKEE AVE.</t>
  </si>
  <si>
    <t>40482275</t>
  </si>
  <si>
    <t>CONSUMERS PACKING CO</t>
  </si>
  <si>
    <t>1301 CARSON DR</t>
  </si>
  <si>
    <t>51334597</t>
  </si>
  <si>
    <t>ADOBO GRILL</t>
  </si>
  <si>
    <t>215 W NORTH AVE</t>
  </si>
  <si>
    <t>61131371</t>
  </si>
  <si>
    <t>MARILYN'S</t>
  </si>
  <si>
    <t>5900 W. DEMPSTER</t>
  </si>
  <si>
    <t>10592319</t>
  </si>
  <si>
    <t>STEFANOS STUFFED **COLL**</t>
  </si>
  <si>
    <t>2124 W. LAWRENCE</t>
  </si>
  <si>
    <t>80923782</t>
  </si>
  <si>
    <t>EGG HARBOR/GENEVA</t>
  </si>
  <si>
    <t>477 SOUTH 3RD STREET</t>
  </si>
  <si>
    <t>51269017</t>
  </si>
  <si>
    <t>VICTORY MEAT &amp; SEAFOOD</t>
  </si>
  <si>
    <t>116 N YORK ST</t>
  </si>
  <si>
    <t>91084848</t>
  </si>
  <si>
    <t>MIZRAHI GRILL</t>
  </si>
  <si>
    <t>1500 OLD DEERFIELD ROAD</t>
  </si>
  <si>
    <t>40028573</t>
  </si>
  <si>
    <t>JOLLY CLUB THE  *PG*</t>
  </si>
  <si>
    <t>6501 WEST IRVING PARK</t>
  </si>
  <si>
    <t>40483166</t>
  </si>
  <si>
    <t>PSISTARIA ** COLL **</t>
  </si>
  <si>
    <t>4711 W TOUHY AVE</t>
  </si>
  <si>
    <t>61347456</t>
  </si>
  <si>
    <t>A-TOWN PIZZA &amp; PUB</t>
  </si>
  <si>
    <t>61233151</t>
  </si>
  <si>
    <t>TAKITO KITCHEN ON DIVISIO</t>
  </si>
  <si>
    <t>2013 W DIVISION ST</t>
  </si>
  <si>
    <t>90649039</t>
  </si>
  <si>
    <t>3511 N.CLARK ST</t>
  </si>
  <si>
    <t>30616817</t>
  </si>
  <si>
    <t>1339 N. WELLS</t>
  </si>
  <si>
    <t>71315626</t>
  </si>
  <si>
    <t>NAANSENSE 3Y EDI OG</t>
  </si>
  <si>
    <t>20028353</t>
  </si>
  <si>
    <t>3550 N HARLEM</t>
  </si>
  <si>
    <t>50107358</t>
  </si>
  <si>
    <t>ITALIAN CORNER</t>
  </si>
  <si>
    <t>2325 S CICERO AVE</t>
  </si>
  <si>
    <t>60650</t>
  </si>
  <si>
    <t>31131238</t>
  </si>
  <si>
    <t>CONTADINO RESTAURANT</t>
  </si>
  <si>
    <t>35527</t>
  </si>
  <si>
    <t>MARYVILLE ACADEMY</t>
  </si>
  <si>
    <t>810 WEST MONTROSE</t>
  </si>
  <si>
    <t>60034394</t>
  </si>
  <si>
    <t>DEBBIE'S COUNTRY INN</t>
  </si>
  <si>
    <t>170 E LAKE ST</t>
  </si>
  <si>
    <t>10621613</t>
  </si>
  <si>
    <t>WILLIAMS BAY PUBLIC HOUSE</t>
  </si>
  <si>
    <t>2 WEST GENEVA STREET</t>
  </si>
  <si>
    <t>61313003</t>
  </si>
  <si>
    <t>THE SOUTH SEAS GRILL</t>
  </si>
  <si>
    <t>200 BOSTON POST RD</t>
  </si>
  <si>
    <t>ORANGE</t>
  </si>
  <si>
    <t>CT</t>
  </si>
  <si>
    <t>06477</t>
  </si>
  <si>
    <t>81310641</t>
  </si>
  <si>
    <t>PHO HOA</t>
  </si>
  <si>
    <t>1107 N MAIN ST</t>
  </si>
  <si>
    <t>51239655</t>
  </si>
  <si>
    <t>TACO'S &amp; BURRITO'S HGHLND</t>
  </si>
  <si>
    <t>8401 INDIANAPOLIS BLVD</t>
  </si>
  <si>
    <t>60591476</t>
  </si>
  <si>
    <t>TONY'S DINER *COLL*</t>
  </si>
  <si>
    <t>12995 RED ARROW HIGHWAY</t>
  </si>
  <si>
    <t>SAWYER</t>
  </si>
  <si>
    <t>49125</t>
  </si>
  <si>
    <t>60124294</t>
  </si>
  <si>
    <t>ORGANIC TOMATO</t>
  </si>
  <si>
    <t>22 W MAPLE ST</t>
  </si>
  <si>
    <t>50483775</t>
  </si>
  <si>
    <t>SLICKS LOUNGE</t>
  </si>
  <si>
    <t>1115 N BRANCH</t>
  </si>
  <si>
    <t>41042581</t>
  </si>
  <si>
    <t>TOMMY NEVINS FRANKFORT</t>
  </si>
  <si>
    <t>9680 LINCOLNWAY LANE</t>
  </si>
  <si>
    <t>91082594</t>
  </si>
  <si>
    <t>SAM'S TAVERN</t>
  </si>
  <si>
    <t>101 S STATE STREET</t>
  </si>
  <si>
    <t>81143612</t>
  </si>
  <si>
    <t>X'S AND O'S</t>
  </si>
  <si>
    <t>7801 W 79TH ST</t>
  </si>
  <si>
    <t>51152379</t>
  </si>
  <si>
    <t>CAFFE BACI RIVERSIDE</t>
  </si>
  <si>
    <t>10 S RIVERSIDE PLZ</t>
  </si>
  <si>
    <t>21267976</t>
  </si>
  <si>
    <t>LIBANAIS RESTAURANT</t>
  </si>
  <si>
    <t>3300 W DEVON AVE</t>
  </si>
  <si>
    <t>31345770</t>
  </si>
  <si>
    <t>LOONEY'S PUB</t>
  </si>
  <si>
    <t>40805 NORTH, IL-83,</t>
  </si>
  <si>
    <t>61289245</t>
  </si>
  <si>
    <t>COLUMBUS DRIVE GYROS</t>
  </si>
  <si>
    <t>502 W COLUMBUS DR</t>
  </si>
  <si>
    <t>30914774</t>
  </si>
  <si>
    <t>VALLEY INN REST &amp; LOUNGE</t>
  </si>
  <si>
    <t>8300 W 107TH STREET</t>
  </si>
  <si>
    <t>91122150</t>
  </si>
  <si>
    <t>DAWALI</t>
  </si>
  <si>
    <t>1625 N HALSTED ST</t>
  </si>
  <si>
    <t>21122148</t>
  </si>
  <si>
    <t>SAVORY SALADS BARRINGTON</t>
  </si>
  <si>
    <t>215 N HOUGH ST</t>
  </si>
  <si>
    <t>61116331</t>
  </si>
  <si>
    <t>CITY NEWS CAFE</t>
  </si>
  <si>
    <t>4018 N. CICERO AVE</t>
  </si>
  <si>
    <t>80155351</t>
  </si>
  <si>
    <t>EXPRESS BURGERS</t>
  </si>
  <si>
    <t>858 N HENDERSON ST</t>
  </si>
  <si>
    <t>70568019</t>
  </si>
  <si>
    <t>EL FAMOUS BURRITO/MELROSE</t>
  </si>
  <si>
    <t>2507 W. NORTH AVE.</t>
  </si>
  <si>
    <t>91289975</t>
  </si>
  <si>
    <t>TOPAZ NEW</t>
  </si>
  <si>
    <t>780 VILLAGE CENTER</t>
  </si>
  <si>
    <t>21062922</t>
  </si>
  <si>
    <t>SHOOTERS MORTON GROVE</t>
  </si>
  <si>
    <t>6301 OAKTON STREET</t>
  </si>
  <si>
    <t>1026350</t>
  </si>
  <si>
    <t>FFF LADY GREGORY'S</t>
  </si>
  <si>
    <t>5260 N CLARK ST</t>
  </si>
  <si>
    <t>80484223</t>
  </si>
  <si>
    <t>DAIRY QUEEN **COLL**</t>
  </si>
  <si>
    <t>199 RAND ROAD</t>
  </si>
  <si>
    <t>70653332</t>
  </si>
  <si>
    <t>TRAXX SPORTS BAR &amp; GRILL</t>
  </si>
  <si>
    <t>102 DIXIE HIGHWAY</t>
  </si>
  <si>
    <t>50939602</t>
  </si>
  <si>
    <t>AMERICAN LEGION POST 18</t>
  </si>
  <si>
    <t>15052 ARCHER AVE</t>
  </si>
  <si>
    <t>10920049</t>
  </si>
  <si>
    <t>ARACELY'S BAKERY AND DELI</t>
  </si>
  <si>
    <t>9667 W FRANKLIN AVE</t>
  </si>
  <si>
    <t>90201294</t>
  </si>
  <si>
    <t>ED DEBEVIC'S-D/FLD**COLL*</t>
  </si>
  <si>
    <t>660 LAKE COOK RD      A/L</t>
  </si>
  <si>
    <t>50322205</t>
  </si>
  <si>
    <t>FAMOUS DAVES-YORKTOWN</t>
  </si>
  <si>
    <t>206B YORKTOWN CTR</t>
  </si>
  <si>
    <t>70614607</t>
  </si>
  <si>
    <t>TIMOTHY O'TOOLES</t>
  </si>
  <si>
    <t>5572 WEST GRAND</t>
  </si>
  <si>
    <t>60645058</t>
  </si>
  <si>
    <t>ADAM'S CAFE &amp; DELI**COLL*</t>
  </si>
  <si>
    <t>252 MCHENRY RD</t>
  </si>
  <si>
    <t>61197406</t>
  </si>
  <si>
    <t>ANIMALE</t>
  </si>
  <si>
    <t>1904 N WESTERN AVE</t>
  </si>
  <si>
    <t>70160338</t>
  </si>
  <si>
    <t>KENTUCKEY FRIED CHKN</t>
  </si>
  <si>
    <t>401 W DEARBORN ST</t>
  </si>
  <si>
    <t>HAVANA</t>
  </si>
  <si>
    <t>62644</t>
  </si>
  <si>
    <t>11052321</t>
  </si>
  <si>
    <t>WATERWORKS PIZZERIA</t>
  </si>
  <si>
    <t>7815 WEST OGDEN AVE.</t>
  </si>
  <si>
    <t>21336730</t>
  </si>
  <si>
    <t>FLAGSHIP ON THE FOX</t>
  </si>
  <si>
    <t>100 S RIVERSIDE AVE</t>
  </si>
  <si>
    <t>81300386</t>
  </si>
  <si>
    <t>TIMOTHY O'OTOOLES</t>
  </si>
  <si>
    <t>50553106</t>
  </si>
  <si>
    <t>WHITE CHOCOLATE GRILL</t>
  </si>
  <si>
    <t>1803 FREEDOM DRIVE</t>
  </si>
  <si>
    <t>60993649</t>
  </si>
  <si>
    <t>GRAND TAVERN</t>
  </si>
  <si>
    <t>3733 GRAND BOULEVARD</t>
  </si>
  <si>
    <t>70429642</t>
  </si>
  <si>
    <t>JOE DANIEL'S EATERY &amp; PUB</t>
  </si>
  <si>
    <t>12218 SOUTH HARLEM AVENUE</t>
  </si>
  <si>
    <t>80482565</t>
  </si>
  <si>
    <t>GENE &amp; GEORGETTI LTD</t>
  </si>
  <si>
    <t>500 N FRANKLIN</t>
  </si>
  <si>
    <t>11326451</t>
  </si>
  <si>
    <t>THE MOONLIGHTER</t>
  </si>
  <si>
    <t>3204 W ARMITAGE AVE</t>
  </si>
  <si>
    <t>1121698</t>
  </si>
  <si>
    <t>WISE OWL</t>
  </si>
  <si>
    <t>324 S RACINE AVE</t>
  </si>
  <si>
    <t>90032616</t>
  </si>
  <si>
    <t>Z Z DORMANT LAD BAR</t>
  </si>
  <si>
    <t>3620 23RD AVE</t>
  </si>
  <si>
    <t>MOLINE</t>
  </si>
  <si>
    <t>61265</t>
  </si>
  <si>
    <t>51227239</t>
  </si>
  <si>
    <t>MANDILE'S ITALIAN BANQUET</t>
  </si>
  <si>
    <t>2160 LAKE COOK RD</t>
  </si>
  <si>
    <t>21338868</t>
  </si>
  <si>
    <t>597 S KENNEDY DR</t>
  </si>
  <si>
    <t>20646089</t>
  </si>
  <si>
    <t>RED APPLE PANCAKE HS</t>
  </si>
  <si>
    <t>80955032</t>
  </si>
  <si>
    <t>TACO PATIO</t>
  </si>
  <si>
    <t>1022 EAST 9TH STREET</t>
  </si>
  <si>
    <t>10161875</t>
  </si>
  <si>
    <t>UNITED CTR/BANQUET</t>
  </si>
  <si>
    <t>11181849</t>
  </si>
  <si>
    <t>GROUNDSWELL COFFEE ROASTE</t>
  </si>
  <si>
    <t>4839 N DAMEN AVE</t>
  </si>
  <si>
    <t>40592958</t>
  </si>
  <si>
    <t>LA HACIENDA #4</t>
  </si>
  <si>
    <t>2740 WEST 75TH STREET</t>
  </si>
  <si>
    <t>70905088</t>
  </si>
  <si>
    <t>TEIBELS</t>
  </si>
  <si>
    <t>RTE30 &amp;41</t>
  </si>
  <si>
    <t>40914699</t>
  </si>
  <si>
    <t>MANHATTANS CLUB</t>
  </si>
  <si>
    <t>300 S SCHMALE RD</t>
  </si>
  <si>
    <t>90531666</t>
  </si>
  <si>
    <t>EL PUERTO RESTAURANT</t>
  </si>
  <si>
    <t>200 N. FOREST AVE.</t>
  </si>
  <si>
    <t>20972808</t>
  </si>
  <si>
    <t>PROSPECT HEIGHTS GRILL</t>
  </si>
  <si>
    <t>1600 N RAND</t>
  </si>
  <si>
    <t>41292764</t>
  </si>
  <si>
    <t>GUSTO ITALIANO RESTAURANT</t>
  </si>
  <si>
    <t>1834 GLENVIEW RD</t>
  </si>
  <si>
    <t>80994635</t>
  </si>
  <si>
    <t>GUSIPPES LA CANTINA</t>
  </si>
  <si>
    <t>1066 LEE ST</t>
  </si>
  <si>
    <t>1258318</t>
  </si>
  <si>
    <t>SABROSO MEXICAN GRILL INC</t>
  </si>
  <si>
    <t>941 N DAMEN AVE</t>
  </si>
  <si>
    <t>60483013</t>
  </si>
  <si>
    <t>UNITED RECYCLING IND</t>
  </si>
  <si>
    <t>3700 N RUNGE AVE</t>
  </si>
  <si>
    <t>81026445</t>
  </si>
  <si>
    <t>FFF ZED 451 #1</t>
  </si>
  <si>
    <t>739 N CLARK</t>
  </si>
  <si>
    <t>20481172</t>
  </si>
  <si>
    <t>SUNNY SIDE UP**COLL**</t>
  </si>
  <si>
    <t>1142 W DEVON</t>
  </si>
  <si>
    <t>600528</t>
  </si>
  <si>
    <t>WINGZ IT IZ</t>
  </si>
  <si>
    <t>1781 RIVER OAKS DRIVE</t>
  </si>
  <si>
    <t>31324056</t>
  </si>
  <si>
    <t>CITY TAP HOUSE CHICAGO</t>
  </si>
  <si>
    <t>850 W. FULTON ST.</t>
  </si>
  <si>
    <t>80683303</t>
  </si>
  <si>
    <t>THE DELI LAMA STORE &amp;CAFE</t>
  </si>
  <si>
    <t>37041 N. IL ROUTE 83</t>
  </si>
  <si>
    <t>11311222</t>
  </si>
  <si>
    <t>CASEY MORANS LP</t>
  </si>
  <si>
    <t>3660 N CLARK ST</t>
  </si>
  <si>
    <t>90878059</t>
  </si>
  <si>
    <t>KABUL HOUSE</t>
  </si>
  <si>
    <t>2424 DEMPSTER ST</t>
  </si>
  <si>
    <t>41316761</t>
  </si>
  <si>
    <t>BISTRO CAMPAGNE</t>
  </si>
  <si>
    <t>4518 N LINCOLN AVE</t>
  </si>
  <si>
    <t>60483633</t>
  </si>
  <si>
    <t>BLOOMINGDALES-DEPT 95</t>
  </si>
  <si>
    <t>600 N WABASH AVE</t>
  </si>
  <si>
    <t>81297376</t>
  </si>
  <si>
    <t>ALAMODE FOODS INC</t>
  </si>
  <si>
    <t>9240 W BELMONT AVE UNIT C</t>
  </si>
  <si>
    <t>80313844</t>
  </si>
  <si>
    <t>FAMOUS DAVES/ADDISON</t>
  </si>
  <si>
    <t>1631 W. LAKE STREET</t>
  </si>
  <si>
    <t>51133577</t>
  </si>
  <si>
    <t>HOPS AND HELMETS</t>
  </si>
  <si>
    <t>4010 W 111TH ST</t>
  </si>
  <si>
    <t>552729</t>
  </si>
  <si>
    <t>BULLS PIT SMKD BBQ *COLL*</t>
  </si>
  <si>
    <t>125 W. STATION STREET</t>
  </si>
  <si>
    <t>81080103</t>
  </si>
  <si>
    <t>DAVIDSON'S BAR &amp; GRILL</t>
  </si>
  <si>
    <t>14136 S BELL ROAD</t>
  </si>
  <si>
    <t>31026594</t>
  </si>
  <si>
    <t>FFF SUNDA</t>
  </si>
  <si>
    <t>110 W ILLINOIS</t>
  </si>
  <si>
    <t>11313905</t>
  </si>
  <si>
    <t>JAM'S PIZZA</t>
  </si>
  <si>
    <t>91240598</t>
  </si>
  <si>
    <t>BJ'S MARKET</t>
  </si>
  <si>
    <t>8734 S STONY ISLAND AVE</t>
  </si>
  <si>
    <t>91097386</t>
  </si>
  <si>
    <t>PORTOFINO'S</t>
  </si>
  <si>
    <t>3233 N STATE RD 39</t>
  </si>
  <si>
    <t>90483520</t>
  </si>
  <si>
    <t>NEW BEGINNING CHURCH</t>
  </si>
  <si>
    <t>6607 S KING DRIVE</t>
  </si>
  <si>
    <t>70812706</t>
  </si>
  <si>
    <t>WING SHACK</t>
  </si>
  <si>
    <t>1801 BELVIDERE ST.</t>
  </si>
  <si>
    <t>50930882</t>
  </si>
  <si>
    <t>*ZZ*FIRESIDE GRILLE</t>
  </si>
  <si>
    <t>49 SUGAR LANE</t>
  </si>
  <si>
    <t>10601185</t>
  </si>
  <si>
    <t>BOSTON BLACKIE'S/COMMISRY</t>
  </si>
  <si>
    <t>222 ALGONQUIN RD.</t>
  </si>
  <si>
    <t>70618756</t>
  </si>
  <si>
    <t>ROCKIT BAR AND GRILL</t>
  </si>
  <si>
    <t>22 W.HUBBARD ST</t>
  </si>
  <si>
    <t>10943025</t>
  </si>
  <si>
    <t>TOPAZ</t>
  </si>
  <si>
    <t>780 VILLAGE CENTER DRIVE</t>
  </si>
  <si>
    <t>40765471</t>
  </si>
  <si>
    <t>MILANO RISTORANT**COLL**</t>
  </si>
  <si>
    <t>60682465</t>
  </si>
  <si>
    <t>PHIL STEFANI'S 437 RUSH</t>
  </si>
  <si>
    <t>437 N RUSH ST</t>
  </si>
  <si>
    <t>61235917</t>
  </si>
  <si>
    <t>STRETCH BAR AND GRILL</t>
  </si>
  <si>
    <t>3485 N CLARK ST</t>
  </si>
  <si>
    <t>50510981</t>
  </si>
  <si>
    <t>LA MAGDALENA #1</t>
  </si>
  <si>
    <t>321 N ADDISON</t>
  </si>
  <si>
    <t>40208373</t>
  </si>
  <si>
    <t>PRETZELMAKER SPECIALEVENT</t>
  </si>
  <si>
    <t>INTERNATIONAL AMPITHEATRE</t>
  </si>
  <si>
    <t>71094734</t>
  </si>
  <si>
    <t>ROMANO'S LITTLE ITALY</t>
  </si>
  <si>
    <t>446 W VIRGINIA RD</t>
  </si>
  <si>
    <t>60482924</t>
  </si>
  <si>
    <t>DURKINS*</t>
  </si>
  <si>
    <t>810 WEST DIVERSEY</t>
  </si>
  <si>
    <t>60292034</t>
  </si>
  <si>
    <t>FAMOUS DAVES-CLUB</t>
  </si>
  <si>
    <t>739 N. CLARK          A/L</t>
  </si>
  <si>
    <t>61292736</t>
  </si>
  <si>
    <t>KNUCKLEHEADS</t>
  </si>
  <si>
    <t>204 N BARKER AVE</t>
  </si>
  <si>
    <t>11210614</t>
  </si>
  <si>
    <t>EMERALD CITY WILSON</t>
  </si>
  <si>
    <t>1224 W WILSON AVE</t>
  </si>
  <si>
    <t>10363620</t>
  </si>
  <si>
    <t>NEW DALEYS REST.</t>
  </si>
  <si>
    <t>809 E 63RD STREET</t>
  </si>
  <si>
    <t>90483546</t>
  </si>
  <si>
    <t>PINKYS RESTAURANT</t>
  </si>
  <si>
    <t>18238 S. KEDZIE</t>
  </si>
  <si>
    <t>60810033</t>
  </si>
  <si>
    <t>EGGSPERIENCE/P.R.*COLL**</t>
  </si>
  <si>
    <t>90 N. NORTHWEST HIGHWAY</t>
  </si>
  <si>
    <t>91328302</t>
  </si>
  <si>
    <t>CHARKIES RESTAURANT</t>
  </si>
  <si>
    <t>570 N SCHMALE RD</t>
  </si>
  <si>
    <t>629246</t>
  </si>
  <si>
    <t>WILD BULL BAR&amp;GRILL*COLL*</t>
  </si>
  <si>
    <t>1819 W GOLF RD</t>
  </si>
  <si>
    <t>90920034</t>
  </si>
  <si>
    <t>IRVING PARK CAFE :)-CAF</t>
  </si>
  <si>
    <t>11560 W IRVING PARK</t>
  </si>
  <si>
    <t>30487938</t>
  </si>
  <si>
    <t>CAPONE'S MARTINI BAR</t>
  </si>
  <si>
    <t>30035539</t>
  </si>
  <si>
    <t>Z Z DORMANT   AM *TAX*</t>
  </si>
  <si>
    <t>50144716</t>
  </si>
  <si>
    <t>JAZZ BUFFET OF CHICAGO</t>
  </si>
  <si>
    <t>2556 W DIVERSEY AVE</t>
  </si>
  <si>
    <t>31292337</t>
  </si>
  <si>
    <t>KRAZY HOGS BBQ</t>
  </si>
  <si>
    <t>337 E GLENWOOD LANSING RD</t>
  </si>
  <si>
    <t>10518926</t>
  </si>
  <si>
    <t>GEPPETTO'S</t>
  </si>
  <si>
    <t>113 N OAK PARK AVE</t>
  </si>
  <si>
    <t>31235989</t>
  </si>
  <si>
    <t>BLVD CHICAGO</t>
  </si>
  <si>
    <t>817 W LAKE ST</t>
  </si>
  <si>
    <t>71301527</t>
  </si>
  <si>
    <t>MIDICI NEOPOLITAN PIZZA</t>
  </si>
  <si>
    <t>135 WATER ST STE 101</t>
  </si>
  <si>
    <t>60483005</t>
  </si>
  <si>
    <t>VINCES HOFFMAN HOUSE</t>
  </si>
  <si>
    <t>1754 W ALGONQUIN</t>
  </si>
  <si>
    <t>51106540</t>
  </si>
  <si>
    <t>BURRITO LOCO</t>
  </si>
  <si>
    <t>600 S MAIN ST</t>
  </si>
  <si>
    <t>1140052</t>
  </si>
  <si>
    <t>MARGARITA'S</t>
  </si>
  <si>
    <t>40954141</t>
  </si>
  <si>
    <t>THE COMEDY SHRINE</t>
  </si>
  <si>
    <t>70147640</t>
  </si>
  <si>
    <t>DISCOVERY ZONE (ROCKFD)</t>
  </si>
  <si>
    <t>6055 E STATE ST</t>
  </si>
  <si>
    <t>50591585</t>
  </si>
  <si>
    <t>BROWN'S CHICKEN/ARLINGTON</t>
  </si>
  <si>
    <t>3441 N. ARLINGTON HEIGHTS</t>
  </si>
  <si>
    <t>90071861</t>
  </si>
  <si>
    <t>YIA YIA'S    :)</t>
  </si>
  <si>
    <t>2250 S HARLEM AVE</t>
  </si>
  <si>
    <t>70499231</t>
  </si>
  <si>
    <t>PIZZA DEN**COLL**</t>
  </si>
  <si>
    <t>6506 SILVER LAKE RD</t>
  </si>
  <si>
    <t>91083634</t>
  </si>
  <si>
    <t>KELSEYS OF PORTAGE</t>
  </si>
  <si>
    <t>5630 US HIGHWAY 6</t>
  </si>
  <si>
    <t>41211095</t>
  </si>
  <si>
    <t>EL PUEBLO MEXICAN RESTAUR</t>
  </si>
  <si>
    <t>5350 US HIGHWAY 6</t>
  </si>
  <si>
    <t>1344761</t>
  </si>
  <si>
    <t>90TH MERIDIAN</t>
  </si>
  <si>
    <t>231 S LA SALLE ST</t>
  </si>
  <si>
    <t>41278920</t>
  </si>
  <si>
    <t>CILANTRO - ADDISON</t>
  </si>
  <si>
    <t>503 W LAKE ST</t>
  </si>
  <si>
    <t>1315563</t>
  </si>
  <si>
    <t>CASA DE LUNA</t>
  </si>
  <si>
    <t>5481 N NORTHWEST HWY</t>
  </si>
  <si>
    <t>51348423</t>
  </si>
  <si>
    <t>TRACY'S - WHEELING</t>
  </si>
  <si>
    <t>18 W DUNDEE RD</t>
  </si>
  <si>
    <t>31077332</t>
  </si>
  <si>
    <t>JIMMY'S GRILL</t>
  </si>
  <si>
    <t>245 S. WASHINTON AVE.</t>
  </si>
  <si>
    <t>11232162</t>
  </si>
  <si>
    <t>BADERBRAU</t>
  </si>
  <si>
    <t>2515 S WABASH AVE</t>
  </si>
  <si>
    <t>90482258</t>
  </si>
  <si>
    <t>C &amp; C ENTERPRISES</t>
  </si>
  <si>
    <t>800 BLACKHAWK DR</t>
  </si>
  <si>
    <t>11308715</t>
  </si>
  <si>
    <t>GRAND DUKES</t>
  </si>
  <si>
    <t>60923794</t>
  </si>
  <si>
    <t>EGG HARBOR/NAPERVILLE</t>
  </si>
  <si>
    <t>175 WEST JACKSON</t>
  </si>
  <si>
    <t>20967725</t>
  </si>
  <si>
    <t>10933745</t>
  </si>
  <si>
    <t>AISHA'S SOUTHERN CUISINE</t>
  </si>
  <si>
    <t>2777 BLACK ROAD</t>
  </si>
  <si>
    <t>10482032</t>
  </si>
  <si>
    <t>SAULT &amp; PEPPER</t>
  </si>
  <si>
    <t>3150 SKOKIE VALLEY RD</t>
  </si>
  <si>
    <t>21213137</t>
  </si>
  <si>
    <t>BELLA'S BISTRO</t>
  </si>
  <si>
    <t>3940 FRANKLIN STREET</t>
  </si>
  <si>
    <t>11322534</t>
  </si>
  <si>
    <t>CATTLEMANS BURGER AND BRE</t>
  </si>
  <si>
    <t>205 S MAIN ST</t>
  </si>
  <si>
    <t>51156073</t>
  </si>
  <si>
    <t>PEACH AND GREEN</t>
  </si>
  <si>
    <t>33 S WABASH AVE UNIT C</t>
  </si>
  <si>
    <t>80482441</t>
  </si>
  <si>
    <t>Z SANTO MARIA'S RIST*COLL</t>
  </si>
  <si>
    <t>145 W WASHINGTON ST</t>
  </si>
  <si>
    <t>10854354</t>
  </si>
  <si>
    <t>L'ELEGANTE CUISINE</t>
  </si>
  <si>
    <t>1161 PAGNI DR</t>
  </si>
  <si>
    <t>71323968</t>
  </si>
  <si>
    <t>HONEY BUTTER FRIED CHICKE</t>
  </si>
  <si>
    <t>3361 N ELSTON AVE</t>
  </si>
  <si>
    <t>70647789</t>
  </si>
  <si>
    <t>SHOWTIME</t>
  </si>
  <si>
    <t>13343 S. CICERO AVENUE</t>
  </si>
  <si>
    <t>20905618</t>
  </si>
  <si>
    <t>MORNINGSIDE CAFE</t>
  </si>
  <si>
    <t>1920 OGDEN AVENUE</t>
  </si>
  <si>
    <t>70727805</t>
  </si>
  <si>
    <t>ZIO GIOVANNI</t>
  </si>
  <si>
    <t>46 S MEACHUM</t>
  </si>
  <si>
    <t>91331629</t>
  </si>
  <si>
    <t>HARPERS BBQ WINGS &amp; FISH</t>
  </si>
  <si>
    <t>6740 BROADWAY</t>
  </si>
  <si>
    <t>61268058</t>
  </si>
  <si>
    <t>DEVIL DAWGS WICKER PARK</t>
  </si>
  <si>
    <t>1431 N MILWAUKEE AVE</t>
  </si>
  <si>
    <t>91250456</t>
  </si>
  <si>
    <t>SHELL FOOD MART</t>
  </si>
  <si>
    <t>210 E OGDEN AVE</t>
  </si>
  <si>
    <t>91327478</t>
  </si>
  <si>
    <t>BEERHEAD BAR WRIGLEY</t>
  </si>
  <si>
    <t>3519 N CLARK ST</t>
  </si>
  <si>
    <t>994657</t>
  </si>
  <si>
    <t>THE NOODLE CAFE</t>
  </si>
  <si>
    <t>1154 CENTRAL AVE</t>
  </si>
  <si>
    <t>1280304</t>
  </si>
  <si>
    <t>CHINA DOLL</t>
  </si>
  <si>
    <t>1246 N WELLS ST</t>
  </si>
  <si>
    <t>60730512</t>
  </si>
  <si>
    <t>*ZZ*TRATTORIA 225</t>
  </si>
  <si>
    <t>225 HARRISON ST</t>
  </si>
  <si>
    <t>31257942</t>
  </si>
  <si>
    <t>MARKOS BAR AND GRILL PORT</t>
  </si>
  <si>
    <t>2385 WILLOWCREEK RD</t>
  </si>
  <si>
    <t>51087286</t>
  </si>
  <si>
    <t>ST. REST</t>
  </si>
  <si>
    <t>727 E. 87TH</t>
  </si>
  <si>
    <t>31026354</t>
  </si>
  <si>
    <t>FFF STANLEY'S</t>
  </si>
  <si>
    <t>1970 N LINOCLN AVE</t>
  </si>
  <si>
    <t>81306375</t>
  </si>
  <si>
    <t>AUSTRIA CAFE 330 N</t>
  </si>
  <si>
    <t>81233926</t>
  </si>
  <si>
    <t>9270 WICKER AVE</t>
  </si>
  <si>
    <t>71005623</t>
  </si>
  <si>
    <t>BIG BRICKS</t>
  </si>
  <si>
    <t>3832 N LINCOLN AVE</t>
  </si>
  <si>
    <t>10909075</t>
  </si>
  <si>
    <t>FOX RESTAURANT</t>
  </si>
  <si>
    <t>4700 MAIN STREET</t>
  </si>
  <si>
    <t>21044151</t>
  </si>
  <si>
    <t>NEVINS BREWING COMPANY</t>
  </si>
  <si>
    <t>12337 S ROUTE 59</t>
  </si>
  <si>
    <t>71316517</t>
  </si>
  <si>
    <t>THE BURGER LOCAL</t>
  </si>
  <si>
    <t>577 S 3RD ST STE 102</t>
  </si>
  <si>
    <t>999490</t>
  </si>
  <si>
    <t>HITZ PIZZA &amp; SPORTS</t>
  </si>
  <si>
    <t>700 S. BUTTERFIELD ROAD</t>
  </si>
  <si>
    <t>11297249</t>
  </si>
  <si>
    <t>OCEAN GENTLEMEN'S CLUB</t>
  </si>
  <si>
    <t>5555 W 70TH PL</t>
  </si>
  <si>
    <t>50873454</t>
  </si>
  <si>
    <t>EL BARRIO</t>
  </si>
  <si>
    <t>31311236</t>
  </si>
  <si>
    <t>NICKY'S RESTAURANT</t>
  </si>
  <si>
    <t>5801 S KEDZIE AVE</t>
  </si>
  <si>
    <t>10651420</t>
  </si>
  <si>
    <t>PIZZA NOW / STREAMWOOD</t>
  </si>
  <si>
    <t>1010 SOIUTH BARRINGTON RD</t>
  </si>
  <si>
    <t>70034129</t>
  </si>
  <si>
    <t>ROSEWOOD FAMILY REST</t>
  </si>
  <si>
    <t>367 W HIGHWAY 6</t>
  </si>
  <si>
    <t>11026895</t>
  </si>
  <si>
    <t>FFF FARMHOUSE CHICAGO</t>
  </si>
  <si>
    <t>1194497</t>
  </si>
  <si>
    <t>EGG'S WEBER</t>
  </si>
  <si>
    <t>71245245</t>
  </si>
  <si>
    <t>BRGRBELLY WABASH</t>
  </si>
  <si>
    <t>41259045</t>
  </si>
  <si>
    <t>TWO HEARTED QUEEN</t>
  </si>
  <si>
    <t>1205 W ROSCOE ST</t>
  </si>
  <si>
    <t>80591597</t>
  </si>
  <si>
    <t>BROWN'S CHICKEN/COUNTRYSI</t>
  </si>
  <si>
    <t>5801 S. LAGRANGE RD.</t>
  </si>
  <si>
    <t>30414353</t>
  </si>
  <si>
    <t>AWHP LTD./WHITE HEN</t>
  </si>
  <si>
    <t>3120 GLENVIEW RD. #8006-3</t>
  </si>
  <si>
    <t>70183165</t>
  </si>
  <si>
    <t>ST ANDREW'S INN</t>
  </si>
  <si>
    <t>5938 N BROADWAY AVE</t>
  </si>
  <si>
    <t>20552683</t>
  </si>
  <si>
    <t>OBERWEISS / VALPO</t>
  </si>
  <si>
    <t>2505 LA PORTE</t>
  </si>
  <si>
    <t>10561090</t>
  </si>
  <si>
    <t>CAFE 541/DELI TIME</t>
  </si>
  <si>
    <t>541 FAIRBANKS</t>
  </si>
  <si>
    <t>60618022</t>
  </si>
  <si>
    <t>COOPER'S HAWK WHEELING</t>
  </si>
  <si>
    <t>583 N MILWAUKEE</t>
  </si>
  <si>
    <t>51334118</t>
  </si>
  <si>
    <t>TRACY'S N YORKVILLE</t>
  </si>
  <si>
    <t>2635 N BRIDGE ST</t>
  </si>
  <si>
    <t>1296292</t>
  </si>
  <si>
    <t>TWO LIGHTS SEAFOOD &amp; OYST</t>
  </si>
  <si>
    <t>227 W NORTH AVE</t>
  </si>
  <si>
    <t>40028748</t>
  </si>
  <si>
    <t>BETWEEN SLICES INC</t>
  </si>
  <si>
    <t>8 EAST JACKSON</t>
  </si>
  <si>
    <t>41053943</t>
  </si>
  <si>
    <t>BARN &amp; COMPANY</t>
  </si>
  <si>
    <t>950 W WRIGHTWOOD</t>
  </si>
  <si>
    <t>11284247</t>
  </si>
  <si>
    <t>FRANCHESCO'S - ROCKFORD</t>
  </si>
  <si>
    <t>7128 SPRING CREEK RD</t>
  </si>
  <si>
    <t>80994890</t>
  </si>
  <si>
    <t>EL TIPICO</t>
  </si>
  <si>
    <t>3341 DEMPSTER ST.</t>
  </si>
  <si>
    <t>41344243</t>
  </si>
  <si>
    <t>SUPERKHANA</t>
  </si>
  <si>
    <t>3059 W DIVERSEY AVE</t>
  </si>
  <si>
    <t>51344331</t>
  </si>
  <si>
    <t>KIRKWOOD</t>
  </si>
  <si>
    <t>2934 N SHEFFIELD AVE</t>
  </si>
  <si>
    <t>21164421</t>
  </si>
  <si>
    <t>JOSH'S</t>
  </si>
  <si>
    <t>873 SANDERS RD</t>
  </si>
  <si>
    <t>80318959</t>
  </si>
  <si>
    <t>ORLAND SQUARE MALL  #364</t>
  </si>
  <si>
    <t>402123</t>
  </si>
  <si>
    <t>HOLLYWOOD BLVD **COLL**</t>
  </si>
  <si>
    <t>1001 WEST 75TH STREET</t>
  </si>
  <si>
    <t>877589</t>
  </si>
  <si>
    <t>JAMESON'S CHARHS/SKOKIE:)</t>
  </si>
  <si>
    <t>60051851</t>
  </si>
  <si>
    <t>WACCAMAW</t>
  </si>
  <si>
    <t>6136 GRAND AVE</t>
  </si>
  <si>
    <t>90475856</t>
  </si>
  <si>
    <t>BISTRO CAMPAGNE**COLL**</t>
  </si>
  <si>
    <t>4518 N. LINCOLN AVE.</t>
  </si>
  <si>
    <t>81309759</t>
  </si>
  <si>
    <t>CMM CAFE RICH. J DALEY</t>
  </si>
  <si>
    <t>7500 S PULASKI RD</t>
  </si>
  <si>
    <t>80042963</t>
  </si>
  <si>
    <t>STUDEBAKERS</t>
  </si>
  <si>
    <t>1251 E GOLF ROAD</t>
  </si>
  <si>
    <t>40697468</t>
  </si>
  <si>
    <t>MOE'S CANTINA - CLARK</t>
  </si>
  <si>
    <t>3518 N CLARK ST.</t>
  </si>
  <si>
    <t>10715092</t>
  </si>
  <si>
    <t>BUM TOWN UNDERGROUND BAR</t>
  </si>
  <si>
    <t>9301 W 191ST STREET</t>
  </si>
  <si>
    <t>51233781</t>
  </si>
  <si>
    <t>THE WHITE OAK</t>
  </si>
  <si>
    <t>1200 W WEBSTER AVE</t>
  </si>
  <si>
    <t>20520060</t>
  </si>
  <si>
    <t>HARVEST PANCAKE HSE :)</t>
  </si>
  <si>
    <t>339 63RD ST.</t>
  </si>
  <si>
    <t>521252</t>
  </si>
  <si>
    <t>AMERICA'S BAR</t>
  </si>
  <si>
    <t>2308 W. HIGGINS RD</t>
  </si>
  <si>
    <t>60483260</t>
  </si>
  <si>
    <t>11601 W TOUGHY/TERM 3 HK</t>
  </si>
  <si>
    <t>20292157</t>
  </si>
  <si>
    <t>225 S CANAL ST</t>
  </si>
  <si>
    <t>70484936</t>
  </si>
  <si>
    <t>SIDEOUTS</t>
  </si>
  <si>
    <t>4018 S ROBERTS RD</t>
  </si>
  <si>
    <t>81053530</t>
  </si>
  <si>
    <t>PEDWAY CAFE INC.</t>
  </si>
  <si>
    <t>3224 W. 95TH</t>
  </si>
  <si>
    <t>80482821</t>
  </si>
  <si>
    <t>BROOKFIELD REST **COLL**</t>
  </si>
  <si>
    <t>41014697</t>
  </si>
  <si>
    <t>THE HORSE THIEF HOLLOW</t>
  </si>
  <si>
    <t>10422 SO WESTERN AVE</t>
  </si>
  <si>
    <t>20318838</t>
  </si>
  <si>
    <t>POPEYES #3233 **COLL**</t>
  </si>
  <si>
    <t>750 W LINCOLN HWY</t>
  </si>
  <si>
    <t>51290500</t>
  </si>
  <si>
    <t>CHAVEZ RESTAURANT</t>
  </si>
  <si>
    <t>5239 N CENTRAL AVE</t>
  </si>
  <si>
    <t>1333194</t>
  </si>
  <si>
    <t>BUDLONG LINCOLN PARK</t>
  </si>
  <si>
    <t>1008 W ARMITAGE AVE</t>
  </si>
  <si>
    <t>10554798</t>
  </si>
  <si>
    <t>MEYERS CASTLE **COLL**</t>
  </si>
  <si>
    <t>1370 JOLIET</t>
  </si>
  <si>
    <t>80977192</t>
  </si>
  <si>
    <t>CONNORS BAR AND GRILL</t>
  </si>
  <si>
    <t>1010 PARK ST</t>
  </si>
  <si>
    <t>10484632</t>
  </si>
  <si>
    <t>INDIAN LAKES MASTERS</t>
  </si>
  <si>
    <t>955781</t>
  </si>
  <si>
    <t>GRANDPA'S</t>
  </si>
  <si>
    <t>1868 PRAIRIE STREET</t>
  </si>
  <si>
    <t>31013949</t>
  </si>
  <si>
    <t>PARMESANS WOOD STONE PIZZ</t>
  </si>
  <si>
    <t>10235 W LINCOLN HIGHWAY</t>
  </si>
  <si>
    <t>10734606</t>
  </si>
  <si>
    <t>ANGEL FOOD BAKERY</t>
  </si>
  <si>
    <t>1636 W.MONTROSE AVE</t>
  </si>
  <si>
    <t>31082084</t>
  </si>
  <si>
    <t>FRANKS NIGHT OUT</t>
  </si>
  <si>
    <t>12337 S. ROUTE 59 UNIT143</t>
  </si>
  <si>
    <t>50961127</t>
  </si>
  <si>
    <t>PEELED</t>
  </si>
  <si>
    <t>1571 N. SHEFFIELD AVE</t>
  </si>
  <si>
    <t>636654</t>
  </si>
  <si>
    <t>SIBONEY CUBAN CUISINE</t>
  </si>
  <si>
    <t>2165 N. WESTERN</t>
  </si>
  <si>
    <t>70482260</t>
  </si>
  <si>
    <t>WHISKEY BLUE</t>
  </si>
  <si>
    <t>172 WEST ADAMS ST</t>
  </si>
  <si>
    <t>11180163</t>
  </si>
  <si>
    <t>CHUCKS BBQ DARIEN</t>
  </si>
  <si>
    <t>8025 CASS AVE</t>
  </si>
  <si>
    <t>90935867</t>
  </si>
  <si>
    <t>SCOTT TAYLOR</t>
  </si>
  <si>
    <t>3611 PRESTIGE COURT</t>
  </si>
  <si>
    <t>40166944</t>
  </si>
  <si>
    <t>JACOB BROS. **COLL**</t>
  </si>
  <si>
    <t>1301 E. 53RD STREET</t>
  </si>
  <si>
    <t>31328685</t>
  </si>
  <si>
    <t>360 WEST NORTH STREET UNI</t>
  </si>
  <si>
    <t>1128610</t>
  </si>
  <si>
    <t>COUNTRY HOUSE/LISLE</t>
  </si>
  <si>
    <t>2799 MAPLE AVE</t>
  </si>
  <si>
    <t>81155343</t>
  </si>
  <si>
    <t>THE JUNCTION</t>
  </si>
  <si>
    <t>222 S RIVERSIDE PLZ</t>
  </si>
  <si>
    <t>10984219</t>
  </si>
  <si>
    <t>BUSY BEE</t>
  </si>
  <si>
    <t>7140 BARNARD MILL ROAD</t>
  </si>
  <si>
    <t>50984350</t>
  </si>
  <si>
    <t>EL NIAGARA RESTAURANT</t>
  </si>
  <si>
    <t>120 FIRST STREET</t>
  </si>
  <si>
    <t>51303915</t>
  </si>
  <si>
    <t>CRABBY BOIL</t>
  </si>
  <si>
    <t>220 N RANDALL RD</t>
  </si>
  <si>
    <t>11236213</t>
  </si>
  <si>
    <t>CARBON NOTE</t>
  </si>
  <si>
    <t>300 WEST 26TH ST</t>
  </si>
  <si>
    <t>60767019</t>
  </si>
  <si>
    <t>BILL W PIZZERIA TEST 2</t>
  </si>
  <si>
    <t>2837 S MAPLE AVE</t>
  </si>
  <si>
    <t>91257949</t>
  </si>
  <si>
    <t>MARKOS BAR AND GRILL MUNS</t>
  </si>
  <si>
    <t>435 RIDGE RD</t>
  </si>
  <si>
    <t>61336939</t>
  </si>
  <si>
    <t>KIRBY'S KORNER BAKERY</t>
  </si>
  <si>
    <t>PO BOX 503 165</t>
  </si>
  <si>
    <t>51324689</t>
  </si>
  <si>
    <t>LUMES PANCAKE HOUSE AND R</t>
  </si>
  <si>
    <t>1902 W FABYAN PKWY</t>
  </si>
  <si>
    <t>21314356</t>
  </si>
  <si>
    <t>DONKEY INN ALGONQUIN</t>
  </si>
  <si>
    <t>50208891</t>
  </si>
  <si>
    <t>LORENZOS</t>
  </si>
  <si>
    <t>348 2ND AVE S.</t>
  </si>
  <si>
    <t>52732</t>
  </si>
  <si>
    <t>11346178</t>
  </si>
  <si>
    <t>FRANK'S BACKYARD BBQ</t>
  </si>
  <si>
    <t>9720 W 133RD AVE</t>
  </si>
  <si>
    <t>50546563</t>
  </si>
  <si>
    <t>CHICAGOS PIZZA/ SHEFFIELD</t>
  </si>
  <si>
    <t>3006 N. SHEFFIELD AVE.</t>
  </si>
  <si>
    <t>90426255</t>
  </si>
  <si>
    <t>FLAT TOP GRILL/NORTH AVE.</t>
  </si>
  <si>
    <t>319 W. NORTH AVE.</t>
  </si>
  <si>
    <t>41138884</t>
  </si>
  <si>
    <t>CHILANGOS</t>
  </si>
  <si>
    <t>2567 N. CICERO</t>
  </si>
  <si>
    <t>61338869</t>
  </si>
  <si>
    <t>LEEDS PUBLIC HOUSE</t>
  </si>
  <si>
    <t>401 FRANKLIN ST</t>
  </si>
  <si>
    <t>40915183</t>
  </si>
  <si>
    <t>THE ICE CREAM SOCIAL</t>
  </si>
  <si>
    <t>123 ANY STREET</t>
  </si>
  <si>
    <t>71344618</t>
  </si>
  <si>
    <t>30647572</t>
  </si>
  <si>
    <t>EGGSHELLS</t>
  </si>
  <si>
    <t>596 W. IL RTE 22</t>
  </si>
  <si>
    <t>21026901</t>
  </si>
  <si>
    <t>FFF OYSY RIVER NORTH</t>
  </si>
  <si>
    <t>11144607</t>
  </si>
  <si>
    <t>ROCKS NORTHCENTER</t>
  </si>
  <si>
    <t>81255978</t>
  </si>
  <si>
    <t>CHICAGO PIZZA BOSS</t>
  </si>
  <si>
    <t>1093 ZYGMUNT CIR</t>
  </si>
  <si>
    <t>11263878</t>
  </si>
  <si>
    <t>PONO ONO POKE</t>
  </si>
  <si>
    <t>1630 CHICAGO AVE</t>
  </si>
  <si>
    <t>81333791</t>
  </si>
  <si>
    <t>RESTAURANT LEO</t>
  </si>
  <si>
    <t>2701 FRANKLIN ST</t>
  </si>
  <si>
    <t>30484802</t>
  </si>
  <si>
    <t>ROUTE 66 DRAGWAY-LEVY</t>
  </si>
  <si>
    <t>71228597</t>
  </si>
  <si>
    <t>TWINCADE-GRIFFITH</t>
  </si>
  <si>
    <t>108 N BROAD ST</t>
  </si>
  <si>
    <t>61265336</t>
  </si>
  <si>
    <t>SAS LOUNGE</t>
  </si>
  <si>
    <t>10000 W OHARE AVE</t>
  </si>
  <si>
    <t>10482248</t>
  </si>
  <si>
    <t>CAPTAIN HOOKS-OLYMPIA</t>
  </si>
  <si>
    <t>2520 W RT 30 UNIT E</t>
  </si>
  <si>
    <t>10729457</t>
  </si>
  <si>
    <t>NINE STEAKHOUSE</t>
  </si>
  <si>
    <t>440 W RANDOLPH</t>
  </si>
  <si>
    <t>21031364</t>
  </si>
  <si>
    <t>REZA'S TOWER</t>
  </si>
  <si>
    <t>40 N. TOWER</t>
  </si>
  <si>
    <t>60375672</t>
  </si>
  <si>
    <t>OCB#238 LAFAYET MKTPLACE</t>
  </si>
  <si>
    <t>3500 STATE ROAD #38 EAST</t>
  </si>
  <si>
    <t>LAFAYETTE</t>
  </si>
  <si>
    <t>47905</t>
  </si>
  <si>
    <t>50488238</t>
  </si>
  <si>
    <t>STONEWOOD ALE HOUSE</t>
  </si>
  <si>
    <t>601 MALL DRIVE</t>
  </si>
  <si>
    <t>90954777</t>
  </si>
  <si>
    <t>SABOR EXPRESS</t>
  </si>
  <si>
    <t>1230 W TAYLOR</t>
  </si>
  <si>
    <t>41235623</t>
  </si>
  <si>
    <t>CASA MARGARITA</t>
  </si>
  <si>
    <t>580 E ILLINOIS ST</t>
  </si>
  <si>
    <t>91198176</t>
  </si>
  <si>
    <t>LYNNIE QUES BBQ</t>
  </si>
  <si>
    <t>40629578</t>
  </si>
  <si>
    <t>VFW POST 9284</t>
  </si>
  <si>
    <t>400 EAST DEVON</t>
  </si>
  <si>
    <t>70187604</t>
  </si>
  <si>
    <t>UNITED CTR/SUITE</t>
  </si>
  <si>
    <t>71339006</t>
  </si>
  <si>
    <t>GREEN GOAT WAUCONDA</t>
  </si>
  <si>
    <t>71113864</t>
  </si>
  <si>
    <t>NEVINS BREWING MASTER</t>
  </si>
  <si>
    <t>1234 ROUTE 59</t>
  </si>
  <si>
    <t>1272418</t>
  </si>
  <si>
    <t>NIGHTHAWK AM</t>
  </si>
  <si>
    <t>2273 N LINCOLN AVE</t>
  </si>
  <si>
    <t>20324398</t>
  </si>
  <si>
    <t>INTERNET CAFE</t>
  </si>
  <si>
    <t>161 N. CLARK</t>
  </si>
  <si>
    <t>60915378</t>
  </si>
  <si>
    <t>SWEET BITES</t>
  </si>
  <si>
    <t>478 CENTRAL AVE</t>
  </si>
  <si>
    <t>50326446</t>
  </si>
  <si>
    <t>PLUMBERRIES FAMILY REST</t>
  </si>
  <si>
    <t>1319813</t>
  </si>
  <si>
    <t>KEVIN'S PLACE</t>
  </si>
  <si>
    <t>1385 LANCE AVE</t>
  </si>
  <si>
    <t>20789996</t>
  </si>
  <si>
    <t>TLMC-CHICAGO</t>
  </si>
  <si>
    <t>1055 W BRYN MAWR</t>
  </si>
  <si>
    <t>90907908</t>
  </si>
  <si>
    <t>ZELLA</t>
  </si>
  <si>
    <t>1983 N. CLYBOURN AVE</t>
  </si>
  <si>
    <t>1324136</t>
  </si>
  <si>
    <t>TOM &amp; JERRY'S</t>
  </si>
  <si>
    <t>6359 W MONTROSE AVE</t>
  </si>
  <si>
    <t>80295652</t>
  </si>
  <si>
    <t>GREAT GRITSBYS</t>
  </si>
  <si>
    <t>4415 MANCHESTER DR</t>
  </si>
  <si>
    <t>81261455</t>
  </si>
  <si>
    <t>THE FAT SHALLOT TRUCKS</t>
  </si>
  <si>
    <t>2300 S THROOP ST</t>
  </si>
  <si>
    <t>61334819</t>
  </si>
  <si>
    <t>LIFTED BEVERAGES</t>
  </si>
  <si>
    <t>501 N CLINTON ST #2805</t>
  </si>
  <si>
    <t>11275278</t>
  </si>
  <si>
    <t>STEINGOLD'S STATION</t>
  </si>
  <si>
    <t>30373229</t>
  </si>
  <si>
    <t>SWINGBELLY'S</t>
  </si>
  <si>
    <t>3101 E US HWY 12</t>
  </si>
  <si>
    <t>91320218</t>
  </si>
  <si>
    <t>THE LUCKY MONK INC.</t>
  </si>
  <si>
    <t>61026290</t>
  </si>
  <si>
    <t>THE TWISTED COW</t>
  </si>
  <si>
    <t>2112 E. GRAND AVE</t>
  </si>
  <si>
    <t>81277071</t>
  </si>
  <si>
    <t>BLITZ SPORT BAR &amp; GRILL</t>
  </si>
  <si>
    <t>20 N CASS AVE</t>
  </si>
  <si>
    <t>41252578</t>
  </si>
  <si>
    <t>CHEESIE'S GURNEE</t>
  </si>
  <si>
    <t>36725 US-41 UNIT B</t>
  </si>
  <si>
    <t>30527329</t>
  </si>
  <si>
    <t>LA CASA DE ISAAC</t>
  </si>
  <si>
    <t>431 TEMPLE AVE</t>
  </si>
  <si>
    <t>21157524</t>
  </si>
  <si>
    <t>SHRIMP SHACK</t>
  </si>
  <si>
    <t>8241 HOHMAN AVE</t>
  </si>
  <si>
    <t>11348216</t>
  </si>
  <si>
    <t>POLITAN ROW</t>
  </si>
  <si>
    <t>111 N ABERDEEN ST</t>
  </si>
  <si>
    <t>70201298</t>
  </si>
  <si>
    <t>ED DEBEVIC'S-MIL **COLL**</t>
  </si>
  <si>
    <t>780 N JEFFERSON ST    A/L</t>
  </si>
  <si>
    <t>40717290</t>
  </si>
  <si>
    <t>BILL W.PIZZERIA</t>
  </si>
  <si>
    <t>2121 WASHER WAY</t>
  </si>
  <si>
    <t>81131344</t>
  </si>
  <si>
    <t>CAFE DESCARTES-ST LOUIS</t>
  </si>
  <si>
    <t>5500 N ST LOUIS</t>
  </si>
  <si>
    <t>70890009</t>
  </si>
  <si>
    <t>LUCKY 13 DINER &amp; LOUNGE</t>
  </si>
  <si>
    <t>34028 N. US RT 45</t>
  </si>
  <si>
    <t>70955299</t>
  </si>
  <si>
    <t>JIJ FISH &amp; CHICKEN</t>
  </si>
  <si>
    <t>318 BELVIDERE RD</t>
  </si>
  <si>
    <t>21201629</t>
  </si>
  <si>
    <t>91020776</t>
  </si>
  <si>
    <t>BIG SHOT PIANO LOUNGE &amp; R</t>
  </si>
  <si>
    <t>2   S. VAIL AVENUE</t>
  </si>
  <si>
    <t>10926707</t>
  </si>
  <si>
    <t>TENDER TRAP SPORTS BAR</t>
  </si>
  <si>
    <t>109 SOUTH HALSTED STREET</t>
  </si>
  <si>
    <t>553214</t>
  </si>
  <si>
    <t>EL BRACERO  LAPORTE #11</t>
  </si>
  <si>
    <t>927 PINELAKE AVENUE</t>
  </si>
  <si>
    <t>61310355</t>
  </si>
  <si>
    <t>HARVEST ROOM MUNSTER</t>
  </si>
  <si>
    <t>9625 CALUMET AVE., STE B</t>
  </si>
  <si>
    <t>51334316</t>
  </si>
  <si>
    <t>CYOC FOX LAKE</t>
  </si>
  <si>
    <t>154 N US HIGHWAY 12</t>
  </si>
  <si>
    <t>21310750</t>
  </si>
  <si>
    <t>B-SIDE</t>
  </si>
  <si>
    <t>3734 W IRVING PARK RD</t>
  </si>
  <si>
    <t>30030753</t>
  </si>
  <si>
    <t>ALLGAUERS FIRESIDE</t>
  </si>
  <si>
    <t>2855 N MILWAUKEE AVE</t>
  </si>
  <si>
    <t>10793560</t>
  </si>
  <si>
    <t>PETES GHOST/DO NOT SHIP</t>
  </si>
  <si>
    <t>2530 N. SACRAMENTO AVE</t>
  </si>
  <si>
    <t>61196929</t>
  </si>
  <si>
    <t>TRADER TODDS</t>
  </si>
  <si>
    <t>90030495</t>
  </si>
  <si>
    <t>PRICING</t>
  </si>
  <si>
    <t>1 N WAUKEGAN</t>
  </si>
  <si>
    <t>30937163</t>
  </si>
  <si>
    <t>TROPICAL SMOOTHIE CAFE</t>
  </si>
  <si>
    <t>500 N. HOUGH STREET</t>
  </si>
  <si>
    <t>30482962</t>
  </si>
  <si>
    <t>GREAT WRAPS/V.HILLS *COLL</t>
  </si>
  <si>
    <t>905 HAWTHORNE CENTER</t>
  </si>
  <si>
    <t>80959174</t>
  </si>
  <si>
    <t>HASH HOUSE A GO-GO</t>
  </si>
  <si>
    <t>1212 N. STATE</t>
  </si>
  <si>
    <t>70885231</t>
  </si>
  <si>
    <t>CHINA BUFFET MON BBQ</t>
  </si>
  <si>
    <t>230NW RAND</t>
  </si>
  <si>
    <t>60995214</t>
  </si>
  <si>
    <t>CHUCK'S MANUFACTURING COM</t>
  </si>
  <si>
    <t>230 N MICHIGAN AVE</t>
  </si>
  <si>
    <t>40901738</t>
  </si>
  <si>
    <t>CAPPUCCINO CATERING INC</t>
  </si>
  <si>
    <t>3419 MADISON STREET</t>
  </si>
  <si>
    <t>71266803</t>
  </si>
  <si>
    <t>CROSSTOWN PUB &amp; GRILL</t>
  </si>
  <si>
    <t>909 E OGDEN AVE</t>
  </si>
  <si>
    <t>20516670</t>
  </si>
  <si>
    <t>MAESTRO GRILL</t>
  </si>
  <si>
    <t>500 ANTHONY TRAIL</t>
  </si>
  <si>
    <t>11267317</t>
  </si>
  <si>
    <t>BOURBON ON DIVISION</t>
  </si>
  <si>
    <t>2050 W DIVISION ST</t>
  </si>
  <si>
    <t>41158635</t>
  </si>
  <si>
    <t>THE WESTPOINT  LOUNGE</t>
  </si>
  <si>
    <t>11042 W US HIGHWAY 6</t>
  </si>
  <si>
    <t>70488440</t>
  </si>
  <si>
    <t>SAMMIES LAKE VILLA</t>
  </si>
  <si>
    <t>216 N MILWAUKEE RT 83</t>
  </si>
  <si>
    <t>41206004</t>
  </si>
  <si>
    <t>RECHIC UNIQUES SOMETHIN'S</t>
  </si>
  <si>
    <t>917 S HALLECK ST</t>
  </si>
  <si>
    <t>71304638</t>
  </si>
  <si>
    <t>31347719</t>
  </si>
  <si>
    <t>ROCK'S RIVERNORTH</t>
  </si>
  <si>
    <t>751 N CLARK ST</t>
  </si>
  <si>
    <t>70484027</t>
  </si>
  <si>
    <t>CME CLUB</t>
  </si>
  <si>
    <t>30 S WACKER DR MEZZANINE</t>
  </si>
  <si>
    <t>20996724</t>
  </si>
  <si>
    <t>JIMMYS RESTRAUNT</t>
  </si>
  <si>
    <t>1422 RIVERBOAT STREET</t>
  </si>
  <si>
    <t>20439766</t>
  </si>
  <si>
    <t>CAFE HOOKAH</t>
  </si>
  <si>
    <t>726 CLARK STREET</t>
  </si>
  <si>
    <t>51172898</t>
  </si>
  <si>
    <t>EL AZTECA RESTAURANT</t>
  </si>
  <si>
    <t>4200 IL ROUTE 173</t>
  </si>
  <si>
    <t>41152687</t>
  </si>
  <si>
    <t>COMIDA COMIDA SERVICES</t>
  </si>
  <si>
    <t>3349 S WABASH AVE</t>
  </si>
  <si>
    <t>71267298</t>
  </si>
  <si>
    <t>DOC'S VICTORY PUB</t>
  </si>
  <si>
    <t>490 S SPRING RD</t>
  </si>
  <si>
    <t>81217598</t>
  </si>
  <si>
    <t>THE CRAFTSMAN/TWO BROTHER</t>
  </si>
  <si>
    <t>16 W JEFFERSON AVE</t>
  </si>
  <si>
    <t>90527722</t>
  </si>
  <si>
    <t>VILLAGE BAR &amp; GRILL</t>
  </si>
  <si>
    <t>48 RAUPP BLVD</t>
  </si>
  <si>
    <t>70430897</t>
  </si>
  <si>
    <t>KILROY'S PUB **COLL**</t>
  </si>
  <si>
    <t>3502 RIDGE ROAD</t>
  </si>
  <si>
    <t>90647033</t>
  </si>
  <si>
    <t>YOUR WAY DELI</t>
  </si>
  <si>
    <t>90594771</t>
  </si>
  <si>
    <t>EMMA'S RESTAURANT**COLL**</t>
  </si>
  <si>
    <t>401 E EUCLID AVE.</t>
  </si>
  <si>
    <t>31150840</t>
  </si>
  <si>
    <t>ADOBE GILA'S NEW CITY</t>
  </si>
  <si>
    <t>1500 N CLYBOURNE</t>
  </si>
  <si>
    <t>31341423</t>
  </si>
  <si>
    <t>VIA CARDUCCI LA SORELLA</t>
  </si>
  <si>
    <t>1928 W DIVISION ST</t>
  </si>
  <si>
    <t>80767338</t>
  </si>
  <si>
    <t>YUMZ FROZEN YOGURT</t>
  </si>
  <si>
    <t>5006 NORTHWEST HWY</t>
  </si>
  <si>
    <t>31345978</t>
  </si>
  <si>
    <t>NR TAP HOUSE MGMT GROUP</t>
  </si>
  <si>
    <t>3341 W MAING ST</t>
  </si>
  <si>
    <t>80593155</t>
  </si>
  <si>
    <t>ORAZIO'S</t>
  </si>
  <si>
    <t>333 N CENTER ST</t>
  </si>
  <si>
    <t>11026416</t>
  </si>
  <si>
    <t>FFF PUBLIC HOUSE</t>
  </si>
  <si>
    <t>400 N STATE ST</t>
  </si>
  <si>
    <t>60049376</t>
  </si>
  <si>
    <t>BID ACCOUNT</t>
  </si>
  <si>
    <t>10553071</t>
  </si>
  <si>
    <t>TONY'S SUBS/LAKEMOOR</t>
  </si>
  <si>
    <t>209 W. RAND RD. RTE. 120</t>
  </si>
  <si>
    <t>30438691</t>
  </si>
  <si>
    <t>PORTOFINO ITAL.BSTRO**COL</t>
  </si>
  <si>
    <t>102 HAWTHORNE PKWY.</t>
  </si>
  <si>
    <t>21319199</t>
  </si>
  <si>
    <t>CUBANO BROS</t>
  </si>
  <si>
    <t>571 LANDMEIER RD</t>
  </si>
  <si>
    <t>40438186</t>
  </si>
  <si>
    <t>DECOYS BAR &amp; GRILL*COLL*</t>
  </si>
  <si>
    <t>1729 E. US HWY 20</t>
  </si>
  <si>
    <t>50158955</t>
  </si>
  <si>
    <t>BROWN BOTTLE</t>
  </si>
  <si>
    <t>115 E WASHINGTON AVE</t>
  </si>
  <si>
    <t>31334444</t>
  </si>
  <si>
    <t>DIP &amp; DOGS</t>
  </si>
  <si>
    <t>50 S GARFIELD ST</t>
  </si>
  <si>
    <t>90393158</t>
  </si>
  <si>
    <t>9329 W. 147TH STREET</t>
  </si>
  <si>
    <t>30620140</t>
  </si>
  <si>
    <t>SOUL 2 GO **COLLECTIONS**</t>
  </si>
  <si>
    <t>633 E.162ND STREET</t>
  </si>
  <si>
    <t>30484422</t>
  </si>
  <si>
    <t>Z BAXTER MCGAW PARK</t>
  </si>
  <si>
    <t>1620 WAUKEGAN RD</t>
  </si>
  <si>
    <t>MCGAW PARK</t>
  </si>
  <si>
    <t>30916316</t>
  </si>
  <si>
    <t>COURTNEY WHITMAN</t>
  </si>
  <si>
    <t>6420 DOUBLE EAGLE DR</t>
  </si>
  <si>
    <t>10883502</t>
  </si>
  <si>
    <t>SIGNATURE ROOM</t>
  </si>
  <si>
    <t>875 N MICHIGAN AVE</t>
  </si>
  <si>
    <t>21050695</t>
  </si>
  <si>
    <t>X'S &amp; O'S LOUNGE &amp; GRILL</t>
  </si>
  <si>
    <t>7801 W 79TH STREET</t>
  </si>
  <si>
    <t>70482104</t>
  </si>
  <si>
    <t>AL&amp;JANE HUDDLE  **COLL**</t>
  </si>
  <si>
    <t>406 GREENBAY RD</t>
  </si>
  <si>
    <t>30484679</t>
  </si>
  <si>
    <t>LABEMIS GRILL</t>
  </si>
  <si>
    <t>109 MAIN ST</t>
  </si>
  <si>
    <t>91252239</t>
  </si>
  <si>
    <t>BIG HILL CANTINA</t>
  </si>
  <si>
    <t>3307 BRYN MAWR</t>
  </si>
  <si>
    <t>90553462</t>
  </si>
  <si>
    <t>EL SUENO</t>
  </si>
  <si>
    <t>9850 MILWAUKEE AVE</t>
  </si>
  <si>
    <t>41204975</t>
  </si>
  <si>
    <t>SAVORY SALADS ARLINGTON H</t>
  </si>
  <si>
    <t>2932 W EUCLID AVE</t>
  </si>
  <si>
    <t>99416</t>
  </si>
  <si>
    <t>23RD AVE CAFE</t>
  </si>
  <si>
    <t>4241 23RD AVE</t>
  </si>
  <si>
    <t>80854979</t>
  </si>
  <si>
    <t>NORTH SHORE VENDING</t>
  </si>
  <si>
    <t>7020 N.RIDGEWAY</t>
  </si>
  <si>
    <t>1305903</t>
  </si>
  <si>
    <t>VERSATILE SOULFOOD CAFE</t>
  </si>
  <si>
    <t>9 N 5TH AVE</t>
  </si>
  <si>
    <t>1241694</t>
  </si>
  <si>
    <t>TRACY'S OAK FOREST</t>
  </si>
  <si>
    <t>5233 159TH ST</t>
  </si>
  <si>
    <t>40510919</t>
  </si>
  <si>
    <t>BLACKHAWK INN</t>
  </si>
  <si>
    <t>257 W. MAIN ST.</t>
  </si>
  <si>
    <t>10685055</t>
  </si>
  <si>
    <t>BRUNCH CAFE FOX RIVER</t>
  </si>
  <si>
    <t>935 ROUTE 22</t>
  </si>
  <si>
    <t>FOX RIVER GROVE</t>
  </si>
  <si>
    <t>60021</t>
  </si>
  <si>
    <t>50186550</t>
  </si>
  <si>
    <t>RAJUN CAJUN  **COLL**</t>
  </si>
  <si>
    <t>5714 WEST 159TH ST</t>
  </si>
  <si>
    <t>50528611</t>
  </si>
  <si>
    <t>ON-Q CLUB,HENNESSYS*COLL*</t>
  </si>
  <si>
    <t>2300 TECHNOLOGY DR</t>
  </si>
  <si>
    <t>41124231</t>
  </si>
  <si>
    <t>INDUSTRIAL STRIP</t>
  </si>
  <si>
    <t>3626 CALUMET AVE</t>
  </si>
  <si>
    <t>90997115</t>
  </si>
  <si>
    <t>80679699</t>
  </si>
  <si>
    <t>ONE NORTH KITCHEN &amp; BAR</t>
  </si>
  <si>
    <t>1 N WACKER</t>
  </si>
  <si>
    <t>71127831</t>
  </si>
  <si>
    <t>SALVORAS PIZZA</t>
  </si>
  <si>
    <t>786 MCCOOL RD</t>
  </si>
  <si>
    <t>669382</t>
  </si>
  <si>
    <t>RED HEN OAK PARK</t>
  </si>
  <si>
    <t>736 LAKE STREET</t>
  </si>
  <si>
    <t>71279558</t>
  </si>
  <si>
    <t>COUNTY FAIR BAKERY &amp; CAFE</t>
  </si>
  <si>
    <t>1020 W DEVON AVE</t>
  </si>
  <si>
    <t>81125841</t>
  </si>
  <si>
    <t>THE SPOKE &amp; THE BIRD</t>
  </si>
  <si>
    <t>205 E. 18TH ST</t>
  </si>
  <si>
    <t>61295739</t>
  </si>
  <si>
    <t>GUNDIS KURDISH KITCHE</t>
  </si>
  <si>
    <t>2909-11 N CLARK ST</t>
  </si>
  <si>
    <t>50482090</t>
  </si>
  <si>
    <t>LA DOLCE VITA</t>
  </si>
  <si>
    <t>21 OLD FRANKFORT WAY</t>
  </si>
  <si>
    <t>30482301</t>
  </si>
  <si>
    <t>HOOPERS SPORTS BAR &amp;</t>
  </si>
  <si>
    <t>975 NO MCLEAN BLVD</t>
  </si>
  <si>
    <t>31269038</t>
  </si>
  <si>
    <t>FREDS GARAGE</t>
  </si>
  <si>
    <t>574 GREEN BAY RD</t>
  </si>
  <si>
    <t>50049337</t>
  </si>
  <si>
    <t>3335 N CLARK ST</t>
  </si>
  <si>
    <t>50552090</t>
  </si>
  <si>
    <t>OBERWEIS/WICKER**COLL*</t>
  </si>
  <si>
    <t>1293 N MILWAUKEE AVE</t>
  </si>
  <si>
    <t>10997955</t>
  </si>
  <si>
    <t>MULLEN'S BAR &amp; GRILL/NORR</t>
  </si>
  <si>
    <t>8313 W. LAWRENCE</t>
  </si>
  <si>
    <t>10442853</t>
  </si>
  <si>
    <t>NICK'S BBQ ROMEOVILLE</t>
  </si>
  <si>
    <t>649 N. INDEPENDENCE BLVD.</t>
  </si>
  <si>
    <t>90933631</t>
  </si>
  <si>
    <t>NEW YORK BAGEL AND BIALY</t>
  </si>
  <si>
    <t>8794 W. DEMPSTER</t>
  </si>
  <si>
    <t>20486031</t>
  </si>
  <si>
    <t>PUNCHINELLOS</t>
  </si>
  <si>
    <t>20906574</t>
  </si>
  <si>
    <t>SIAM KITCHEN</t>
  </si>
  <si>
    <t>341 W. OGDEN AVENUE</t>
  </si>
  <si>
    <t>51325165</t>
  </si>
  <si>
    <t>SOPRAFFINA DEARBORN</t>
  </si>
  <si>
    <t>10 N DEARBORN ST</t>
  </si>
  <si>
    <t>30032262</t>
  </si>
  <si>
    <t>GOLDEN FLAME REST&amp;BANQUET</t>
  </si>
  <si>
    <t>6417 W HIGGINS</t>
  </si>
  <si>
    <t>61344354</t>
  </si>
  <si>
    <t>WOODIE'S FLAT</t>
  </si>
  <si>
    <t>1535 N WELLS ST</t>
  </si>
  <si>
    <t>20874681</t>
  </si>
  <si>
    <t>SUGAR BOWL</t>
  </si>
  <si>
    <t>1497 MINER STREET</t>
  </si>
  <si>
    <t>1332576</t>
  </si>
  <si>
    <t>RICK'S CABARET CHICAGO</t>
  </si>
  <si>
    <t>1531 N KINGSBURY ST</t>
  </si>
  <si>
    <t>70035639</t>
  </si>
  <si>
    <t>Z Z DORMANT9 NON-FOOD</t>
  </si>
  <si>
    <t>700 E KILBOURN ST</t>
  </si>
  <si>
    <t>91328542</t>
  </si>
  <si>
    <t>LA BARRA OAKBROOK</t>
  </si>
  <si>
    <t>3011 BUTTERFIELD RD</t>
  </si>
  <si>
    <t>90156647</t>
  </si>
  <si>
    <t>MOKENA FAMILY RESTAURANT</t>
  </si>
  <si>
    <t>11133 W 191ST ST</t>
  </si>
  <si>
    <t>21267562</t>
  </si>
  <si>
    <t>PARIS BISTRO/ SHOW PLACE</t>
  </si>
  <si>
    <t>2835 SHOWPLACE DR</t>
  </si>
  <si>
    <t>21305925</t>
  </si>
  <si>
    <t>SALSA VERDE/PRIMOS QUALIT</t>
  </si>
  <si>
    <t>2600 W 35TH</t>
  </si>
  <si>
    <t>81227860</t>
  </si>
  <si>
    <t>PLAYOFFS BAR &amp; GRILL</t>
  </si>
  <si>
    <t>720 E NORTH AVE</t>
  </si>
  <si>
    <t>41344359</t>
  </si>
  <si>
    <t>DERBY</t>
  </si>
  <si>
    <t>1224 W WEBSTER AVE</t>
  </si>
  <si>
    <t>91310532</t>
  </si>
  <si>
    <t>CMM CAFE OLIVE HARVEY</t>
  </si>
  <si>
    <t>10001 S WOODLAWN AVE</t>
  </si>
  <si>
    <t>70572698</t>
  </si>
  <si>
    <t>STEFATORI'S</t>
  </si>
  <si>
    <t>20600 TORRENCE AVE.</t>
  </si>
  <si>
    <t>90390873</t>
  </si>
  <si>
    <t>LYNWOOD BOWL</t>
  </si>
  <si>
    <t>2581 GLENWOOD</t>
  </si>
  <si>
    <t>40794273</t>
  </si>
  <si>
    <t>ONA'S ON THE AVENUE</t>
  </si>
  <si>
    <t>3 SOUTH BATAVIA AVE.</t>
  </si>
  <si>
    <t>81338915</t>
  </si>
  <si>
    <t>CORNICIONES</t>
  </si>
  <si>
    <t>1200 MAIN ST</t>
  </si>
  <si>
    <t>40400152</t>
  </si>
  <si>
    <t>ARVIN'S (CEDAR BAR)</t>
  </si>
  <si>
    <t>4477 CLEVELAND STREET</t>
  </si>
  <si>
    <t>61298527</t>
  </si>
  <si>
    <t>AMZN-CHICAGO ORD6</t>
  </si>
  <si>
    <t>1250 N MITTEL BLVD</t>
  </si>
  <si>
    <t>91313312</t>
  </si>
  <si>
    <t>NOSH</t>
  </si>
  <si>
    <t>22 N 3RD ST</t>
  </si>
  <si>
    <t>30494173</t>
  </si>
  <si>
    <t>MADISON ST GRILL *COLL*</t>
  </si>
  <si>
    <t>7600 MADISON ST</t>
  </si>
  <si>
    <t>40035024</t>
  </si>
  <si>
    <t>CANTEEN #61465/SHURE</t>
  </si>
  <si>
    <t>222 HARTREY</t>
  </si>
  <si>
    <t>70535604</t>
  </si>
  <si>
    <t>CZECH KITCHENS</t>
  </si>
  <si>
    <t>6733 W. PERSHING RD.</t>
  </si>
  <si>
    <t>21016373</t>
  </si>
  <si>
    <t>108 W KINZIE ST</t>
  </si>
  <si>
    <t>31143217</t>
  </si>
  <si>
    <t>615 HAWTHORN CENTER</t>
  </si>
  <si>
    <t>90733148</t>
  </si>
  <si>
    <t>1880 W. FULLERTON</t>
  </si>
  <si>
    <t>60495504</t>
  </si>
  <si>
    <t>MRS V'S</t>
  </si>
  <si>
    <t>415 4TH ST</t>
  </si>
  <si>
    <t>70953971</t>
  </si>
  <si>
    <t>668 W. NORTH AVENUE</t>
  </si>
  <si>
    <t>21290051</t>
  </si>
  <si>
    <t>TWO HOUND RED</t>
  </si>
  <si>
    <t>486 PENNSYLVANIA AVE</t>
  </si>
  <si>
    <t>71344295</t>
  </si>
  <si>
    <t>THE BARRREL CLUB</t>
  </si>
  <si>
    <t>4910 WEST 111TH ST</t>
  </si>
  <si>
    <t>71212377</t>
  </si>
  <si>
    <t>LITTLE BEANS CAFE CHICAGO</t>
  </si>
  <si>
    <t>1809 WEBSTER</t>
  </si>
  <si>
    <t>90483462</t>
  </si>
  <si>
    <t>AROMA ON RANDOLPH</t>
  </si>
  <si>
    <t>941 W RANDOLPH</t>
  </si>
  <si>
    <t>60976172</t>
  </si>
  <si>
    <t>FRIACOS (NAPERVILLE)</t>
  </si>
  <si>
    <t>4405 FOX VALLEY CENTER DR</t>
  </si>
  <si>
    <t>21095930</t>
  </si>
  <si>
    <t>KITCHEN 17</t>
  </si>
  <si>
    <t>613 W BRIAR PLACE</t>
  </si>
  <si>
    <t>70032883</t>
  </si>
  <si>
    <t>NOOKIES TREE</t>
  </si>
  <si>
    <t>3334 N HALSTED</t>
  </si>
  <si>
    <t>80510985</t>
  </si>
  <si>
    <t>LA MAGDALENA #3</t>
  </si>
  <si>
    <t>216 W. GOLF RD</t>
  </si>
  <si>
    <t>91174946</t>
  </si>
  <si>
    <t>DELI 3 NAPERVILLE</t>
  </si>
  <si>
    <t>55 SHUMAN BLVD</t>
  </si>
  <si>
    <t>1166420</t>
  </si>
  <si>
    <t>ZOOM PIZZA FACTORY</t>
  </si>
  <si>
    <t>2156 N CLYBOURN AVE</t>
  </si>
  <si>
    <t>70482914</t>
  </si>
  <si>
    <t>LITTLE OWL</t>
  </si>
  <si>
    <t>101 W STATE ST</t>
  </si>
  <si>
    <t>51319465</t>
  </si>
  <si>
    <t>SOMETHINGS BREWING</t>
  </si>
  <si>
    <t>30439764</t>
  </si>
  <si>
    <t>MI-LA SNACKS</t>
  </si>
  <si>
    <t>3459  OAKTON ST.</t>
  </si>
  <si>
    <t>80160336</t>
  </si>
  <si>
    <t>601 S TENNY ST</t>
  </si>
  <si>
    <t>KEWANEE</t>
  </si>
  <si>
    <t>61443</t>
  </si>
  <si>
    <t>21130414</t>
  </si>
  <si>
    <t>TOAST &amp; JAM :)</t>
  </si>
  <si>
    <t>7311 MALLARD LN</t>
  </si>
  <si>
    <t>31024334</t>
  </si>
  <si>
    <t>HANNAH'S BRETZEL - MONROE</t>
  </si>
  <si>
    <t>555 W. MONROE</t>
  </si>
  <si>
    <t>40482911</t>
  </si>
  <si>
    <t>250 S MAIN ST</t>
  </si>
  <si>
    <t>132134</t>
  </si>
  <si>
    <t>DISCOVERY ZONE/GLENDALE</t>
  </si>
  <si>
    <t>177 ARMY TRAIL RD</t>
  </si>
  <si>
    <t>81194094</t>
  </si>
  <si>
    <t>THE RED LION PUB LINCOLN</t>
  </si>
  <si>
    <t>4749 N ROCKWELL ST</t>
  </si>
  <si>
    <t>1322536</t>
  </si>
  <si>
    <t>THAI 55</t>
  </si>
  <si>
    <t>1607 E 55TH ST</t>
  </si>
  <si>
    <t>41215450</t>
  </si>
  <si>
    <t>MULLETS</t>
  </si>
  <si>
    <t>14903 S. BELL RD</t>
  </si>
  <si>
    <t>90874884</t>
  </si>
  <si>
    <t>CAFE AROMA</t>
  </si>
  <si>
    <t>749 ELM ST.</t>
  </si>
  <si>
    <t>30554604</t>
  </si>
  <si>
    <t>ROCCA'S**COLL**</t>
  </si>
  <si>
    <t>994 WARREN AVE</t>
  </si>
  <si>
    <t>30489835</t>
  </si>
  <si>
    <t>BLU RAZZ**COLL**</t>
  </si>
  <si>
    <t>558 RANDALL ROAD</t>
  </si>
  <si>
    <t>71234728</t>
  </si>
  <si>
    <t>BAD HUNTER</t>
  </si>
  <si>
    <t>802 W RANDOLPH ST</t>
  </si>
  <si>
    <t>807107</t>
  </si>
  <si>
    <t>WALKER BROS 2</t>
  </si>
  <si>
    <t>767 S. RAND ROAD</t>
  </si>
  <si>
    <t>60734522</t>
  </si>
  <si>
    <t>AJ'S HOT DOGS &amp; GYROS</t>
  </si>
  <si>
    <t>710 THEADORE STREET</t>
  </si>
  <si>
    <t>70170170</t>
  </si>
  <si>
    <t>DISCOVERY ZONE-CORP</t>
  </si>
  <si>
    <t>ONE CORPORATE PLAZA</t>
  </si>
  <si>
    <t>FORT LAUDERDALE</t>
  </si>
  <si>
    <t>33301</t>
  </si>
  <si>
    <t>71120513</t>
  </si>
  <si>
    <t>DUCK INN</t>
  </si>
  <si>
    <t>2701 S ELEANOR ST</t>
  </si>
  <si>
    <t>30516363</t>
  </si>
  <si>
    <t>HUNTER'S**COLL**</t>
  </si>
  <si>
    <t>21134291</t>
  </si>
  <si>
    <t>POP'S BAR PALATINE</t>
  </si>
  <si>
    <t>19 N BOTHWELL ST</t>
  </si>
  <si>
    <t>71109656</t>
  </si>
  <si>
    <t>JAMESON'S HUNTLEY</t>
  </si>
  <si>
    <t>70986682</t>
  </si>
  <si>
    <t>SPIRE FARM TO FORK CUISIN</t>
  </si>
  <si>
    <t>30914824</t>
  </si>
  <si>
    <t>1300 ELMHURST RD.</t>
  </si>
  <si>
    <t>50031293</t>
  </si>
  <si>
    <t>Z Z DORMANT     FOOD</t>
  </si>
  <si>
    <t>SALVATION ARMY CAMP</t>
  </si>
  <si>
    <t>60028578</t>
  </si>
  <si>
    <t>53 W JACKSON ST</t>
  </si>
  <si>
    <t>91267708</t>
  </si>
  <si>
    <t>MR. ALLISON'S</t>
  </si>
  <si>
    <t>1711 E CENTRAL ROAD</t>
  </si>
  <si>
    <t>30551980</t>
  </si>
  <si>
    <t>TOWN SQUARE RESTAURANT</t>
  </si>
  <si>
    <t>1120 ROOSEVELT RD</t>
  </si>
  <si>
    <t>WALKERTON</t>
  </si>
  <si>
    <t>46574</t>
  </si>
  <si>
    <t>1277276</t>
  </si>
  <si>
    <t>KIMPTON - BOLEO</t>
  </si>
  <si>
    <t>50028406</t>
  </si>
  <si>
    <t>FRIGATE **COLL**</t>
  </si>
  <si>
    <t>25250 W LAKE SHORE DR</t>
  </si>
  <si>
    <t>61230272</t>
  </si>
  <si>
    <t>RIGHT BEE CIDER</t>
  </si>
  <si>
    <t>1830 N KOSTNER AVE</t>
  </si>
  <si>
    <t>40764862</t>
  </si>
  <si>
    <t>2015 FINLEY RD</t>
  </si>
  <si>
    <t>80923238</t>
  </si>
  <si>
    <t>DALUCIANO</t>
  </si>
  <si>
    <t>8343 W GRAND AVE</t>
  </si>
  <si>
    <t>60373685</t>
  </si>
  <si>
    <t>C/O LOTTA CATERING CO.</t>
  </si>
  <si>
    <t>60921541</t>
  </si>
  <si>
    <t>11301504</t>
  </si>
  <si>
    <t>PIGGIE SMALLS GYRO SHOP</t>
  </si>
  <si>
    <t>205 W WACKER DR</t>
  </si>
  <si>
    <t>60482486</t>
  </si>
  <si>
    <t>FRANKIE D'S **COLL**</t>
  </si>
  <si>
    <t>1707 CHESTNUT</t>
  </si>
  <si>
    <t>91326348</t>
  </si>
  <si>
    <t>KUBO SUSHI</t>
  </si>
  <si>
    <t>70 S GROVE AVE</t>
  </si>
  <si>
    <t>90932211</t>
  </si>
  <si>
    <t>PLAYERS PUB &amp; GRILL</t>
  </si>
  <si>
    <t>1250 S. RIVER ROAD</t>
  </si>
  <si>
    <t>21271564</t>
  </si>
  <si>
    <t>AMERICAN GLORY</t>
  </si>
  <si>
    <t>40067357</t>
  </si>
  <si>
    <t>DINO'S DEN INC :)</t>
  </si>
  <si>
    <t>80 E GRAND AVE</t>
  </si>
  <si>
    <t>90932815</t>
  </si>
  <si>
    <t>EMERALD CITY COFFEE</t>
  </si>
  <si>
    <t>3938 N. SHERIDAN</t>
  </si>
  <si>
    <t>41131384</t>
  </si>
  <si>
    <t>KENNEDY POINT PUB &amp; REST</t>
  </si>
  <si>
    <t>2245 KENNEDY AVE</t>
  </si>
  <si>
    <t>60512</t>
  </si>
  <si>
    <t>90924994</t>
  </si>
  <si>
    <t>TWO SONS RESTAURANT</t>
  </si>
  <si>
    <t>3207 OAK PARK AVE</t>
  </si>
  <si>
    <t>21178561</t>
  </si>
  <si>
    <t>LA CANTINA</t>
  </si>
  <si>
    <t>1911 S MICHIGAN AVE</t>
  </si>
  <si>
    <t>70489711</t>
  </si>
  <si>
    <t>DELI 3</t>
  </si>
  <si>
    <t>1301 W 22ND ST</t>
  </si>
  <si>
    <t>41259169</t>
  </si>
  <si>
    <t>LUCREZIA'S CAFE</t>
  </si>
  <si>
    <t>71333751</t>
  </si>
  <si>
    <t>HOT N JUICY CRAB</t>
  </si>
  <si>
    <t>7216 191ST ST</t>
  </si>
  <si>
    <t>50484757</t>
  </si>
  <si>
    <t>BOSTON BLACKIES-DEERFIELD</t>
  </si>
  <si>
    <t>405 LAKE COOK RD</t>
  </si>
  <si>
    <t>11232485</t>
  </si>
  <si>
    <t>SMUTZER'S CLUB TAVERN</t>
  </si>
  <si>
    <t>608 MONROE ST</t>
  </si>
  <si>
    <t>90591694</t>
  </si>
  <si>
    <t>BROWN'S CHICKEN/HOFFMAN E</t>
  </si>
  <si>
    <t>1059 W. GOLF RD.</t>
  </si>
  <si>
    <t>51205995</t>
  </si>
  <si>
    <t>DEVILS TRUMPET BREWING CO</t>
  </si>
  <si>
    <t>8250 UTAH ST</t>
  </si>
  <si>
    <t>50035617</t>
  </si>
  <si>
    <t>Z Z DORMANT ON-FOOD</t>
  </si>
  <si>
    <t>401 E DUNDEE RD</t>
  </si>
  <si>
    <t>61253241</t>
  </si>
  <si>
    <t>EMPORIUM LOGAN SQUARE</t>
  </si>
  <si>
    <t>2363 N MILWAUKEE AVE</t>
  </si>
  <si>
    <t>70195334</t>
  </si>
  <si>
    <t>TIPSTER'S VILLAGE**COLL**</t>
  </si>
  <si>
    <t>8839 W CERMAK</t>
  </si>
  <si>
    <t>60954070</t>
  </si>
  <si>
    <t>MOTHERS :)</t>
  </si>
  <si>
    <t>2290 W GALENA</t>
  </si>
  <si>
    <t>91152645</t>
  </si>
  <si>
    <t>TAYLOR ST PIZZA</t>
  </si>
  <si>
    <t>40 W 301 RT 64</t>
  </si>
  <si>
    <t>WASCO</t>
  </si>
  <si>
    <t>60183</t>
  </si>
  <si>
    <t>41136516</t>
  </si>
  <si>
    <t>BOULEVARD SPORTS LOUNGE</t>
  </si>
  <si>
    <t>2645 W. NORTH AVE</t>
  </si>
  <si>
    <t>61233441</t>
  </si>
  <si>
    <t>GOLDEN BEAR RESTAURANT -</t>
  </si>
  <si>
    <t>12001 S CICERO AVE</t>
  </si>
  <si>
    <t>91208652</t>
  </si>
  <si>
    <t>DISH</t>
  </si>
  <si>
    <t>3907 CALUMET AVE STE 20</t>
  </si>
  <si>
    <t>51344414</t>
  </si>
  <si>
    <t>RANALLI'S</t>
  </si>
  <si>
    <t>1925 N LINCOLN AVE</t>
  </si>
  <si>
    <t>20483582</t>
  </si>
  <si>
    <t>THRESHOLDS,,</t>
  </si>
  <si>
    <t>4219 N LINCOLN</t>
  </si>
  <si>
    <t>70391057</t>
  </si>
  <si>
    <t>ST. JOHN'S SPORTS</t>
  </si>
  <si>
    <t>9119 WICKER AVE</t>
  </si>
  <si>
    <t>70469655</t>
  </si>
  <si>
    <t>HECKY'S-CHICAGO **COLL**</t>
  </si>
  <si>
    <t>1234 N. HALSTED</t>
  </si>
  <si>
    <t>30482905</t>
  </si>
  <si>
    <t>WRIGHTWOOD TAP</t>
  </si>
  <si>
    <t>1059 W WRIGHTWOOD</t>
  </si>
  <si>
    <t>61343919</t>
  </si>
  <si>
    <t>COACHES/BW</t>
  </si>
  <si>
    <t>41226853</t>
  </si>
  <si>
    <t>BARRACO'S BURBANK</t>
  </si>
  <si>
    <t>5740 W 87TH ST</t>
  </si>
  <si>
    <t>90483140</t>
  </si>
  <si>
    <t>T &amp; J CATERING</t>
  </si>
  <si>
    <t>8446 DUNMORE DR</t>
  </si>
  <si>
    <t>41103094</t>
  </si>
  <si>
    <t>GARRETT RIPLEYS/WOODHAVEN</t>
  </si>
  <si>
    <t>712 N CLARK ST</t>
  </si>
  <si>
    <t>80500010</t>
  </si>
  <si>
    <t>SANPA GRILL</t>
  </si>
  <si>
    <t>3315 N. MILWAUKEE</t>
  </si>
  <si>
    <t>61215109</t>
  </si>
  <si>
    <t>CH DISTILLERY</t>
  </si>
  <si>
    <t>564 W RANDOLPH ST</t>
  </si>
  <si>
    <t>51163905</t>
  </si>
  <si>
    <t>RIO'S FINE SOUTH AMERICAN</t>
  </si>
  <si>
    <t>1600 W LAKE ST</t>
  </si>
  <si>
    <t>91162586</t>
  </si>
  <si>
    <t>THE NEW MAGIC</t>
  </si>
  <si>
    <t>3335 W 111TH ST</t>
  </si>
  <si>
    <t>41164104</t>
  </si>
  <si>
    <t>SENOR PAN CAFE EXPRESS</t>
  </si>
  <si>
    <t>5059 W DIVERSEY AVE</t>
  </si>
  <si>
    <t>90483579</t>
  </si>
  <si>
    <t>THE GRAMERCY**COLL**</t>
  </si>
  <si>
    <t>316794</t>
  </si>
  <si>
    <t>NOODLE</t>
  </si>
  <si>
    <t>1875 GROVE ST.</t>
  </si>
  <si>
    <t>10042992</t>
  </si>
  <si>
    <t>FIRENZE CATERING **COLL**</t>
  </si>
  <si>
    <t>29 E CHICAGO AVE</t>
  </si>
  <si>
    <t>515197</t>
  </si>
  <si>
    <t>G W WHOLESALERS**COLL**</t>
  </si>
  <si>
    <t>1133 N. KILBOURN</t>
  </si>
  <si>
    <t>70594718</t>
  </si>
  <si>
    <t>GREEN TOWN TAVERN</t>
  </si>
  <si>
    <t>110 S. GENESEE ST.</t>
  </si>
  <si>
    <t>11208733</t>
  </si>
  <si>
    <t>DAIRY BELLE - HAMMOND</t>
  </si>
  <si>
    <t>7102 CALUMET AVE</t>
  </si>
  <si>
    <t>41083601</t>
  </si>
  <si>
    <t>THAIDAY CHICAGO</t>
  </si>
  <si>
    <t>3113 N HALSTED ST</t>
  </si>
  <si>
    <t>10994200</t>
  </si>
  <si>
    <t>15905 BELL ROAD</t>
  </si>
  <si>
    <t>40484644</t>
  </si>
  <si>
    <t>LEVY EVENTS CATERING</t>
  </si>
  <si>
    <t>942 W HURON</t>
  </si>
  <si>
    <t>80483720</t>
  </si>
  <si>
    <t>ELGIN SPORTS COMPLEX</t>
  </si>
  <si>
    <t>835 SPORTSWAY DR</t>
  </si>
  <si>
    <t>41028564</t>
  </si>
  <si>
    <t>FFF CARBON</t>
  </si>
  <si>
    <t>81086266</t>
  </si>
  <si>
    <t>HARRY CARAY'S WATER TOWER</t>
  </si>
  <si>
    <t>835 N. MICHIGAN AVE</t>
  </si>
  <si>
    <t>91291989</t>
  </si>
  <si>
    <t>A TAVOLA</t>
  </si>
  <si>
    <t>2148 W CHICAGO AVE</t>
  </si>
  <si>
    <t>20035499</t>
  </si>
  <si>
    <t>1321 EAST 57TH ST</t>
  </si>
  <si>
    <t>61306833</t>
  </si>
  <si>
    <t>8255 S KEDZIE AVE</t>
  </si>
  <si>
    <t>30553275</t>
  </si>
  <si>
    <t>COLOMBIA 1 CENTEA CAFE</t>
  </si>
  <si>
    <t>5600 N. RIVER ROAD</t>
  </si>
  <si>
    <t>30426266</t>
  </si>
  <si>
    <t>FLAT TOP GRILL/OAK PARK</t>
  </si>
  <si>
    <t>10972586</t>
  </si>
  <si>
    <t>FUJI BUFFET</t>
  </si>
  <si>
    <t>900 LAKEHURST</t>
  </si>
  <si>
    <t>61335782</t>
  </si>
  <si>
    <t>LIVIA ITALIAN</t>
  </si>
  <si>
    <t>50 YORK RD</t>
  </si>
  <si>
    <t>31120843</t>
  </si>
  <si>
    <t>TREE GUYS - ITASCA</t>
  </si>
  <si>
    <t>101 W IRVING PARK RD</t>
  </si>
  <si>
    <t>80831217</t>
  </si>
  <si>
    <t>SALAD HOUSE</t>
  </si>
  <si>
    <t>3176 N BROADWAY ST UNIT 1</t>
  </si>
  <si>
    <t>70955315</t>
  </si>
  <si>
    <t>GARIBALDI'S</t>
  </si>
  <si>
    <t>1960 N. ARLINGTON HTS RD.</t>
  </si>
  <si>
    <t>31243355</t>
  </si>
  <si>
    <t>THE PORT DRIVE IN</t>
  </si>
  <si>
    <t>419 CALUMET ROAD</t>
  </si>
  <si>
    <t>31290166</t>
  </si>
  <si>
    <t>ATHENA GREEK RESTAURANT</t>
  </si>
  <si>
    <t>212 S HALSTED ST STE 1</t>
  </si>
  <si>
    <t>30434575</t>
  </si>
  <si>
    <t>BRIDGES WATERFRONT CAFE</t>
  </si>
  <si>
    <t>508 E 2ND ST</t>
  </si>
  <si>
    <t>41185166</t>
  </si>
  <si>
    <t>TOBY'S TAVERN</t>
  </si>
  <si>
    <t>1930 GREEN BAY RD.</t>
  </si>
  <si>
    <t>31055726</t>
  </si>
  <si>
    <t>HOPPIN HOTS</t>
  </si>
  <si>
    <t>1477 W BALMORAL</t>
  </si>
  <si>
    <t>60511110</t>
  </si>
  <si>
    <t>SANDWICH WORKS</t>
  </si>
  <si>
    <t>4718 W.TOUHY</t>
  </si>
  <si>
    <t>61118873</t>
  </si>
  <si>
    <t>HUSKY HOG BBQ</t>
  </si>
  <si>
    <t>335 W. 31ST STREET</t>
  </si>
  <si>
    <t>213579</t>
  </si>
  <si>
    <t>KINGS COVE  **COLL**</t>
  </si>
  <si>
    <t>510 S PARK AVE</t>
  </si>
  <si>
    <t>20029146</t>
  </si>
  <si>
    <t>J &amp; J FISH</t>
  </si>
  <si>
    <t>16007 S KEDZIE</t>
  </si>
  <si>
    <t>30591606</t>
  </si>
  <si>
    <t>BROWN'S CHICKEN/EVERGREEN</t>
  </si>
  <si>
    <t>3414 W. 95TH STREET</t>
  </si>
  <si>
    <t>40955593</t>
  </si>
  <si>
    <t>EMIL'S</t>
  </si>
  <si>
    <t>90791609</t>
  </si>
  <si>
    <t>SALERNO'S PIZZA/VERNON</t>
  </si>
  <si>
    <t>102 E. HAWTHORNE PARKWAY</t>
  </si>
  <si>
    <t>90886235</t>
  </si>
  <si>
    <t>PL8</t>
  </si>
  <si>
    <t>736 W. NORTHWEST HWY</t>
  </si>
  <si>
    <t>31295900</t>
  </si>
  <si>
    <t>ARMANDS VICTORY TAP CHIC</t>
  </si>
  <si>
    <t>71319784</t>
  </si>
  <si>
    <t>THE SMITH- CHICAGO</t>
  </si>
  <si>
    <t>400 N CLARK ST</t>
  </si>
  <si>
    <t>51250611</t>
  </si>
  <si>
    <t>PUB ROYALE</t>
  </si>
  <si>
    <t>2049 W DIVISION ST</t>
  </si>
  <si>
    <t>11141066</t>
  </si>
  <si>
    <t>1198 E. SUMMIT ST.</t>
  </si>
  <si>
    <t>31169394</t>
  </si>
  <si>
    <t>MAC N CHEEZ</t>
  </si>
  <si>
    <t>375 N MILWAUKEE AVE</t>
  </si>
  <si>
    <t>31090038</t>
  </si>
  <si>
    <t>KOKOS</t>
  </si>
  <si>
    <t>1760 WEST  CHICAGO AVE</t>
  </si>
  <si>
    <t>20111688</t>
  </si>
  <si>
    <t>HAPPY JACK'S</t>
  </si>
  <si>
    <t>4911 W ELM (RTE 120)</t>
  </si>
  <si>
    <t>80375611</t>
  </si>
  <si>
    <t>OCB#31 E WASH PLAZA</t>
  </si>
  <si>
    <t>7783 E WASHINGTON ST</t>
  </si>
  <si>
    <t>46219</t>
  </si>
  <si>
    <t>20575908</t>
  </si>
  <si>
    <t>VANGELOS TOWN CTR**COLL**</t>
  </si>
  <si>
    <t>1021 FOUNTAIN VIEW DR</t>
  </si>
  <si>
    <t>31307440</t>
  </si>
  <si>
    <t>CHOP SOCIETY CHICAGO</t>
  </si>
  <si>
    <t>2775 N ELSTON AVE</t>
  </si>
  <si>
    <t>10950459</t>
  </si>
  <si>
    <t>LULO'S CUBAN CAFE</t>
  </si>
  <si>
    <t>970 HARRIS ROAD</t>
  </si>
  <si>
    <t>90648627</t>
  </si>
  <si>
    <t>PINECREST GOLF &amp; C.C.##</t>
  </si>
  <si>
    <t>11220 ALGONQUIN RD</t>
  </si>
  <si>
    <t>11312097</t>
  </si>
  <si>
    <t>GARIFUNA FLAVA</t>
  </si>
  <si>
    <t>2518 W 63RD ST</t>
  </si>
  <si>
    <t>31338361</t>
  </si>
  <si>
    <t>LOVEN OVEN PIZZA</t>
  </si>
  <si>
    <t>6808 KENNEDY AVE</t>
  </si>
  <si>
    <t>71332100</t>
  </si>
  <si>
    <t>RIVERSIDE PUB</t>
  </si>
  <si>
    <t>1625 IL ROUTE 176</t>
  </si>
  <si>
    <t>21023379</t>
  </si>
  <si>
    <t>FRANCONELLO</t>
  </si>
  <si>
    <t>10222 S. WESTERN AVE.</t>
  </si>
  <si>
    <t>60572757</t>
  </si>
  <si>
    <t>THAT LITTLE MEX CAFE/CHIC</t>
  </si>
  <si>
    <t>1055 W. BRYN MAWR</t>
  </si>
  <si>
    <t>61321014</t>
  </si>
  <si>
    <t>SAI CAFE</t>
  </si>
  <si>
    <t>2010 N SHEFFIELD AVE</t>
  </si>
  <si>
    <t>30551824</t>
  </si>
  <si>
    <t>CLUB ""O""</t>
  </si>
  <si>
    <t>17038 S. HALSTED ST.</t>
  </si>
  <si>
    <t>179382</t>
  </si>
  <si>
    <t>KOONER'S **COLL**</t>
  </si>
  <si>
    <t>438812</t>
  </si>
  <si>
    <t>HENRY'S GRILL **COLL**</t>
  </si>
  <si>
    <t>330 WEST TOWNLINE RD.</t>
  </si>
  <si>
    <t>1243849</t>
  </si>
  <si>
    <t>TWINS GYROS</t>
  </si>
  <si>
    <t>4870 N HARLEM AVE</t>
  </si>
  <si>
    <t>61205910</t>
  </si>
  <si>
    <t>HONEY FIELD RESTAURANT</t>
  </si>
  <si>
    <t>982 E 9TH ST</t>
  </si>
  <si>
    <t>81336240</t>
  </si>
  <si>
    <t>AUGUSTINO'S WEST CHICAGO</t>
  </si>
  <si>
    <t>300 W NORTH AVE</t>
  </si>
  <si>
    <t>80997695</t>
  </si>
  <si>
    <t>COMMUNITY</t>
  </si>
  <si>
    <t>535 N. WELLS</t>
  </si>
  <si>
    <t>10482644</t>
  </si>
  <si>
    <t>KOPI INC .</t>
  </si>
  <si>
    <t>5317 N CLARK</t>
  </si>
  <si>
    <t>30546725</t>
  </si>
  <si>
    <t>CHICAGO'S PIZZA/IRVING PK</t>
  </si>
  <si>
    <t>4520 W IRVING PARK ROAD</t>
  </si>
  <si>
    <t>1111749</t>
  </si>
  <si>
    <t>BEEF SHACK-ST CHARLES</t>
  </si>
  <si>
    <t>2114 W MAIN ST</t>
  </si>
  <si>
    <t>1055979</t>
  </si>
  <si>
    <t>GALVEZ RESTAURANT</t>
  </si>
  <si>
    <t>525 S. STATE ST.</t>
  </si>
  <si>
    <t>91060236</t>
  </si>
  <si>
    <t>FRANKIES RISTORANTE</t>
  </si>
  <si>
    <t>9501 W. 171ST STREET</t>
  </si>
  <si>
    <t>90363284</t>
  </si>
  <si>
    <t>POPPA CLEMENZA'S **COLL**</t>
  </si>
  <si>
    <t>901 S. PLUM GROVE ROAD</t>
  </si>
  <si>
    <t>31278922</t>
  </si>
  <si>
    <t>CILANTRO - ROSEMONT</t>
  </si>
  <si>
    <t>9509 W HIGGINS RD</t>
  </si>
  <si>
    <t>1115211</t>
  </si>
  <si>
    <t>OLD HERITAGE INN</t>
  </si>
  <si>
    <t>31324437</t>
  </si>
  <si>
    <t>HB FRIED CHICKEN</t>
  </si>
  <si>
    <t>3363 N ELSTON AVE</t>
  </si>
  <si>
    <t>50035633</t>
  </si>
  <si>
    <t>Z Z DORMANT 9 NON-FOOD</t>
  </si>
  <si>
    <t>235 S MICHIGAN</t>
  </si>
  <si>
    <t>10483519</t>
  </si>
  <si>
    <t>SPOKEN WORD CAFE**COLL**</t>
  </si>
  <si>
    <t>4655 S KING DRIVE</t>
  </si>
  <si>
    <t>90031287</t>
  </si>
  <si>
    <t>CANDLE LIGHT PLAYHOUSE</t>
  </si>
  <si>
    <t>5620 S HARLEM*AM DEL*</t>
  </si>
  <si>
    <t>60484813</t>
  </si>
  <si>
    <t>FINLEYS GRILL ROOM*</t>
  </si>
  <si>
    <t>3131 FINLEY ROAD</t>
  </si>
  <si>
    <t>30506430</t>
  </si>
  <si>
    <t>PLYMOUTH RESTAURANT :)</t>
  </si>
  <si>
    <t>327 SOUTH PLYMOUTH COURT</t>
  </si>
  <si>
    <t>41213513</t>
  </si>
  <si>
    <t>ONE FIFTY ONE KTCHN#10100</t>
  </si>
  <si>
    <t>151 N YORK ST</t>
  </si>
  <si>
    <t>389254</t>
  </si>
  <si>
    <t>ROUNDHOUSE COMPLEX</t>
  </si>
  <si>
    <t>20485140</t>
  </si>
  <si>
    <t>DEETERS</t>
  </si>
  <si>
    <t>15105 RTE 14</t>
  </si>
  <si>
    <t>11250594</t>
  </si>
  <si>
    <t>BAR DEVILLE</t>
  </si>
  <si>
    <t>701 N DAMEN AVE</t>
  </si>
  <si>
    <t>60619244</t>
  </si>
  <si>
    <t>BUTTERFIELD CC</t>
  </si>
  <si>
    <t>2800 MIDWEST RD</t>
  </si>
  <si>
    <t>50944677</t>
  </si>
  <si>
    <t>MR BEEF &amp; PIZZA</t>
  </si>
  <si>
    <t>1796 S ELMHURST RD</t>
  </si>
  <si>
    <t>591602</t>
  </si>
  <si>
    <t>BROWN'S CHICKEN/DOWNERS G</t>
  </si>
  <si>
    <t>236 OGDEN AVE.</t>
  </si>
  <si>
    <t>60033099</t>
  </si>
  <si>
    <t>JEDIS REST *PG*</t>
  </si>
  <si>
    <t>9266 CICERO AVE</t>
  </si>
  <si>
    <t>41316241</t>
  </si>
  <si>
    <t>AFFRESCO PIZZERIA</t>
  </si>
  <si>
    <t>20612982</t>
  </si>
  <si>
    <t>227  E. IRVING PARK ROAD</t>
  </si>
  <si>
    <t>20032348</t>
  </si>
  <si>
    <t>GOLDY BURGER</t>
  </si>
  <si>
    <t>7316 CIRCLE AVE.</t>
  </si>
  <si>
    <t>30524086</t>
  </si>
  <si>
    <t>NXXT RESTAURANT **COLL**</t>
  </si>
  <si>
    <t>2700 W. CHICAGO AVE</t>
  </si>
  <si>
    <t>21174024</t>
  </si>
  <si>
    <t>THE SPANISH SQUARE</t>
  </si>
  <si>
    <t>1358 W BELMONT AVE</t>
  </si>
  <si>
    <t>30535975</t>
  </si>
  <si>
    <t>VENUS SZECHUAN &amp; MANDARIN</t>
  </si>
  <si>
    <t>18 S NORTHWEST HIGHWAY</t>
  </si>
  <si>
    <t>70600606</t>
  </si>
  <si>
    <t>UNCLE DAN'S PIZZA**COLL**</t>
  </si>
  <si>
    <t>27 S. NORTHWEST HWY</t>
  </si>
  <si>
    <t>20953626</t>
  </si>
  <si>
    <t>GRAZIANO'S</t>
  </si>
  <si>
    <t>5960 W. TOUHY</t>
  </si>
  <si>
    <t>90952730</t>
  </si>
  <si>
    <t>PIE CAFE</t>
  </si>
  <si>
    <t>5357 N ASHLAND</t>
  </si>
  <si>
    <t>11136306</t>
  </si>
  <si>
    <t>SABOREA</t>
  </si>
  <si>
    <t>3400 W. FULLERTON AVE.</t>
  </si>
  <si>
    <t>90029836</t>
  </si>
  <si>
    <t>ROSIES KITCHEN INC</t>
  </si>
  <si>
    <t>619 GREENBAY ROAD</t>
  </si>
  <si>
    <t>50049378</t>
  </si>
  <si>
    <t>11239662</t>
  </si>
  <si>
    <t>LINCOLN STATION</t>
  </si>
  <si>
    <t>2432 N LINCOLN AVE</t>
  </si>
  <si>
    <t>80704125</t>
  </si>
  <si>
    <t>JADE GARDEN VALPO</t>
  </si>
  <si>
    <t>3022 N. CALUMET AVE.</t>
  </si>
  <si>
    <t>20484416</t>
  </si>
  <si>
    <t>ELGIN/PARTS CAFE</t>
  </si>
  <si>
    <t>2200 GALVIN DR</t>
  </si>
  <si>
    <t>90049644</t>
  </si>
  <si>
    <t>BYRON SALAD BAR/C.L.SWNS</t>
  </si>
  <si>
    <t>5025 E 26 TH AVE</t>
  </si>
  <si>
    <t>20619623</t>
  </si>
  <si>
    <t>SABROSO</t>
  </si>
  <si>
    <t>3816 W MONTROSE</t>
  </si>
  <si>
    <t>1099795</t>
  </si>
  <si>
    <t>911 OAK STREET</t>
  </si>
  <si>
    <t>91049445</t>
  </si>
  <si>
    <t>100 AWESOME AVENUE</t>
  </si>
  <si>
    <t>61017596</t>
  </si>
  <si>
    <t>ATHENS GYROS</t>
  </si>
  <si>
    <t>18300 S HALSTED STREET</t>
  </si>
  <si>
    <t>31201445</t>
  </si>
  <si>
    <t>SUBPITA</t>
  </si>
  <si>
    <t>9200 OGDEN AVE</t>
  </si>
  <si>
    <t>20292876</t>
  </si>
  <si>
    <t>RAMMY'S</t>
  </si>
  <si>
    <t>1022 W HIGGINS</t>
  </si>
  <si>
    <t>91213900</t>
  </si>
  <si>
    <t>BARRACO'S PIZZA</t>
  </si>
  <si>
    <t>3701 W 95TH ST</t>
  </si>
  <si>
    <t>91088211</t>
  </si>
  <si>
    <t>2 WEST GENEVA ST</t>
  </si>
  <si>
    <t>61081972</t>
  </si>
  <si>
    <t>BURRITO JALISCO #2 TNLY P</t>
  </si>
  <si>
    <t>7547 W 159TH ST</t>
  </si>
  <si>
    <t>61079299</t>
  </si>
  <si>
    <t>PETE MITCHELLS</t>
  </si>
  <si>
    <t>21000 S FRANKFORT SQ RD</t>
  </si>
  <si>
    <t>10482594</t>
  </si>
  <si>
    <t>XPEDX</t>
  </si>
  <si>
    <t>180 EXCHANGE BLVD</t>
  </si>
  <si>
    <t>71321996</t>
  </si>
  <si>
    <t>HAISOUS</t>
  </si>
  <si>
    <t>1800 S CARPENTER ST</t>
  </si>
  <si>
    <t>50207224</t>
  </si>
  <si>
    <t>EL MATADOR REST**COLL**</t>
  </si>
  <si>
    <t>501 BARTLETT  RD</t>
  </si>
  <si>
    <t>41173774</t>
  </si>
  <si>
    <t>TOMMY'S ON GRAND</t>
  </si>
  <si>
    <t>749945</t>
  </si>
  <si>
    <t>KP'S TO GO</t>
  </si>
  <si>
    <t>1301 LAKE COOK ROAD</t>
  </si>
  <si>
    <t>51291458</t>
  </si>
  <si>
    <t>EGG-O-HOLIC</t>
  </si>
  <si>
    <t>829 W HIGGINS RD</t>
  </si>
  <si>
    <t>81160541</t>
  </si>
  <si>
    <t>LONGSHOTS BAR &amp; GRILL</t>
  </si>
  <si>
    <t>2251 US 41</t>
  </si>
  <si>
    <t>20441010</t>
  </si>
  <si>
    <t>ELLY'S PANCAKE**COLL**</t>
  </si>
  <si>
    <t>435 TOWNLINE ROAD</t>
  </si>
  <si>
    <t>20493987</t>
  </si>
  <si>
    <t>PETE MILLER WHEELING</t>
  </si>
  <si>
    <t>412 N MILWAUKEE</t>
  </si>
  <si>
    <t>20936498</t>
  </si>
  <si>
    <t>PAISANS PIZZA BROOKFIELD</t>
  </si>
  <si>
    <t>3720 GRAND</t>
  </si>
  <si>
    <t>50482918</t>
  </si>
  <si>
    <t>FRANTASTIC WINGS*COLL*</t>
  </si>
  <si>
    <t>1554 EAST MAIN ST</t>
  </si>
  <si>
    <t>20930954</t>
  </si>
  <si>
    <t>BLT AMERICAN BRASSERIE</t>
  </si>
  <si>
    <t>70318944</t>
  </si>
  <si>
    <t>POTATO WORKS #4103</t>
  </si>
  <si>
    <t>180 FOX VALLEY CENTER</t>
  </si>
  <si>
    <t>20520037</t>
  </si>
  <si>
    <t>TEDDY'S REDHOTS/DOWNERS:)</t>
  </si>
  <si>
    <t>6310 S. MAIN ST.</t>
  </si>
  <si>
    <t>80955909</t>
  </si>
  <si>
    <t>CHEZ MOI</t>
  </si>
  <si>
    <t>415 W STATE  STREET #105</t>
  </si>
  <si>
    <t>61109658</t>
  </si>
  <si>
    <t>JAMESON'S CHARHOUSE BLDL</t>
  </si>
  <si>
    <t>94 STRATFORD DRIVE</t>
  </si>
  <si>
    <t>90429127</t>
  </si>
  <si>
    <t>*ZZ*CONVITO ITALIANO</t>
  </si>
  <si>
    <t>1176999</t>
  </si>
  <si>
    <t>38985 NORTH RT 41</t>
  </si>
  <si>
    <t>70290069</t>
  </si>
  <si>
    <t>GALENA STEAKHOUSE  *  ZZ</t>
  </si>
  <si>
    <t>1101 N GALENA AVE</t>
  </si>
  <si>
    <t>31252570</t>
  </si>
  <si>
    <t>CHEESIE'S EVANSTON</t>
  </si>
  <si>
    <t>622 DAVIS ST</t>
  </si>
  <si>
    <t>30963557</t>
  </si>
  <si>
    <t>BOTTLEFORK</t>
  </si>
  <si>
    <t>441 N. CLARK</t>
  </si>
  <si>
    <t>41149782</t>
  </si>
  <si>
    <t>PIGGYBACK BBQ</t>
  </si>
  <si>
    <t>176 N WELLS ST</t>
  </si>
  <si>
    <t>70994629</t>
  </si>
  <si>
    <t>TOKIO SAKE JAPANESE RESTA</t>
  </si>
  <si>
    <t>20330 DEER PARK BLVD</t>
  </si>
  <si>
    <t>50038850</t>
  </si>
  <si>
    <t>58 E RANDOLPH ST</t>
  </si>
  <si>
    <t>80669724</t>
  </si>
  <si>
    <t>ROB'S MEAT &amp; DELI</t>
  </si>
  <si>
    <t>2123 NORTHWINDS ROAD</t>
  </si>
  <si>
    <t>1273465</t>
  </si>
  <si>
    <t>NATURE CAFE-OAK PARK</t>
  </si>
  <si>
    <t>146-8 HARRISON ST</t>
  </si>
  <si>
    <t>80617517</t>
  </si>
  <si>
    <t>TEST ACCOUNT</t>
  </si>
  <si>
    <t>153 MALLARD LN</t>
  </si>
  <si>
    <t>10469013</t>
  </si>
  <si>
    <t>BENNIGANS/WARSAW BANQUETS</t>
  </si>
  <si>
    <t>2517 CENTER ST</t>
  </si>
  <si>
    <t>20426268</t>
  </si>
  <si>
    <t>FLAT TOP GRILL/EVANSTON</t>
  </si>
  <si>
    <t>707 CHURCH STREET</t>
  </si>
  <si>
    <t>30544308</t>
  </si>
  <si>
    <t>MIKE GALLAGHER PIZZA</t>
  </si>
  <si>
    <t>555 S DRYDEN</t>
  </si>
  <si>
    <t>20551859</t>
  </si>
  <si>
    <t>OUR KITCHEN</t>
  </si>
  <si>
    <t>363 WEST LAKE STREET</t>
  </si>
  <si>
    <t>31334261</t>
  </si>
  <si>
    <t>13 N CASS AVE</t>
  </si>
  <si>
    <t>91130401</t>
  </si>
  <si>
    <t>CUBA 312</t>
  </si>
  <si>
    <t>2054 W. ROSCOE ST</t>
  </si>
  <si>
    <t>80700693</t>
  </si>
  <si>
    <t>DOLAN-DO NOT SHIP ACCOUNT</t>
  </si>
  <si>
    <t>24814 GATES CT</t>
  </si>
  <si>
    <t>41339557</t>
  </si>
  <si>
    <t>BIG DELICIOUS CAFE</t>
  </si>
  <si>
    <t>412 N WOLCOTT AVE</t>
  </si>
  <si>
    <t>50482231</t>
  </si>
  <si>
    <t>JACKS RESTAURANT</t>
  </si>
  <si>
    <t>5201 TOUHY</t>
  </si>
  <si>
    <t>71318711</t>
  </si>
  <si>
    <t>HUBCAPS BAR &amp; GRILL</t>
  </si>
  <si>
    <t>4663 N RUBY STREET</t>
  </si>
  <si>
    <t>31251804</t>
  </si>
  <si>
    <t>TOMS STEAK HOUSE</t>
  </si>
  <si>
    <t>1901 W NORTH AVE</t>
  </si>
  <si>
    <t>41324591</t>
  </si>
  <si>
    <t>PARIS BISTRO YORKTWN MALL</t>
  </si>
  <si>
    <t>203 YORKTOWN CENTER UNIT</t>
  </si>
  <si>
    <t>70498167</t>
  </si>
  <si>
    <t>PIZZA TO THE PEOPLE</t>
  </si>
  <si>
    <t>844 S RT 59</t>
  </si>
  <si>
    <t>30594626</t>
  </si>
  <si>
    <t>TRAX TAVERN &amp; GRILL</t>
  </si>
  <si>
    <t>833A DEERFIELD ROAD</t>
  </si>
  <si>
    <t>71266001</t>
  </si>
  <si>
    <t>FIREHOUSE STEAK &amp; LEMONAD</t>
  </si>
  <si>
    <t>100 W 87TH ST</t>
  </si>
  <si>
    <t>1253525</t>
  </si>
  <si>
    <t>TACOCHELA</t>
  </si>
  <si>
    <t>2321 OGDEN AVE</t>
  </si>
  <si>
    <t>41248972</t>
  </si>
  <si>
    <t>WINFIELD WAFFLE</t>
  </si>
  <si>
    <t>27W095 GENEVA RD</t>
  </si>
  <si>
    <t>21268123</t>
  </si>
  <si>
    <t>CITRINE</t>
  </si>
  <si>
    <t>100 S OAK PARK AVE</t>
  </si>
  <si>
    <t>61309886</t>
  </si>
  <si>
    <t>BIG BUBBAS STEAK N LEMONA</t>
  </si>
  <si>
    <t>1227 E SIBLEY BLVD</t>
  </si>
  <si>
    <t>31080047</t>
  </si>
  <si>
    <t>GELSOSOMO / BULLPEN:)</t>
  </si>
  <si>
    <t>9318 INDIANAPOLIS BLVD</t>
  </si>
  <si>
    <t>20483897</t>
  </si>
  <si>
    <t>CONNTINENTAL SALES</t>
  </si>
  <si>
    <t>6333 S CICERO AVE</t>
  </si>
  <si>
    <t>1284470</t>
  </si>
  <si>
    <t>TAKE FIVE CAFE</t>
  </si>
  <si>
    <t>1111 W 22ND ST</t>
  </si>
  <si>
    <t>91251363</t>
  </si>
  <si>
    <t>CHOW</t>
  </si>
  <si>
    <t>116 W PARK AVE</t>
  </si>
  <si>
    <t>91162388</t>
  </si>
  <si>
    <t>LA CARETTA- SCHERERVILLE</t>
  </si>
  <si>
    <t>717 US-41</t>
  </si>
  <si>
    <t>10035509</t>
  </si>
  <si>
    <t>5002 S MAIN ST</t>
  </si>
  <si>
    <t>21305685</t>
  </si>
  <si>
    <t>RIVERS EATERY &amp; PUB</t>
  </si>
  <si>
    <t>4926 RIVER RD</t>
  </si>
  <si>
    <t>40443160</t>
  </si>
  <si>
    <t>MYSTIC CELT</t>
  </si>
  <si>
    <t>3443 N.SOUTHPORT</t>
  </si>
  <si>
    <t>30483572</t>
  </si>
  <si>
    <t>FOUR MOON TAVERN*,,</t>
  </si>
  <si>
    <t>1847 WEST ROSCOE</t>
  </si>
  <si>
    <t>10178424</t>
  </si>
  <si>
    <t>BROWNS CHKN&amp;PASTA</t>
  </si>
  <si>
    <t>950 E RAND RD</t>
  </si>
  <si>
    <t>80404973</t>
  </si>
  <si>
    <t>RAM BIGHORN ROSEMONT #110</t>
  </si>
  <si>
    <t>9520 W HIGGINS</t>
  </si>
  <si>
    <t>71284475</t>
  </si>
  <si>
    <t>BISTRO&amp;BISTRO AFTER DARK</t>
  </si>
  <si>
    <t>2 WESTBROOK CORPORATE CTR</t>
  </si>
  <si>
    <t>31209174</t>
  </si>
  <si>
    <t>THE FAT SHALLOT</t>
  </si>
  <si>
    <t>21208756</t>
  </si>
  <si>
    <t>DAIRY BELLE - SCHERERVILL</t>
  </si>
  <si>
    <t>2034 AUSTIN AVE</t>
  </si>
  <si>
    <t>90483678</t>
  </si>
  <si>
    <t>CAFE SIBONEY</t>
  </si>
  <si>
    <t>130 W BARTLETT RD</t>
  </si>
  <si>
    <t>80213150</t>
  </si>
  <si>
    <t>UNITED CTR/STADIUM CLUB</t>
  </si>
  <si>
    <t>530014</t>
  </si>
  <si>
    <t>SUMMIT ICE CREAM &amp; GELATO</t>
  </si>
  <si>
    <t>355 N. MILWAUKEE AVE.</t>
  </si>
  <si>
    <t>71057079</t>
  </si>
  <si>
    <t>LEGENDS GRILL &amp; BAR</t>
  </si>
  <si>
    <t>9710 W 191ST</t>
  </si>
  <si>
    <t>20520607</t>
  </si>
  <si>
    <t>ILLINOIS BAR &amp; GRILL-LEMT</t>
  </si>
  <si>
    <t>1113 STATE STREET</t>
  </si>
  <si>
    <t>70521257</t>
  </si>
  <si>
    <t>MICHAEL SWIADER</t>
  </si>
  <si>
    <t>26100 WEST RAVINE WOODS</t>
  </si>
  <si>
    <t>20476578</t>
  </si>
  <si>
    <t>EL FAMOUS BURRITO**COLL**</t>
  </si>
  <si>
    <t>1214 E CENTRAL RD</t>
  </si>
  <si>
    <t>70490990</t>
  </si>
  <si>
    <t>OUR FAMILY CHEF</t>
  </si>
  <si>
    <t>1162 WILMETTE AVE</t>
  </si>
  <si>
    <t>31025794</t>
  </si>
  <si>
    <t>WOODSTOCK PUBLIC NOTE</t>
  </si>
  <si>
    <t>10995066</t>
  </si>
  <si>
    <t>TRE AMICI/ ELK GROVE</t>
  </si>
  <si>
    <t>1536 NERGE RD</t>
  </si>
  <si>
    <t>41033762</t>
  </si>
  <si>
    <t>LONGSHOTS/JOLIET :)</t>
  </si>
  <si>
    <t>1609 W JEFFERSON</t>
  </si>
  <si>
    <t>11138328</t>
  </si>
  <si>
    <t>TESORI</t>
  </si>
  <si>
    <t>65 E ADAMS ST</t>
  </si>
  <si>
    <t>41089483</t>
  </si>
  <si>
    <t>MUG'S PIZZA-CHICAGO</t>
  </si>
  <si>
    <t>7228 N HARLEM AVE</t>
  </si>
  <si>
    <t>90552332</t>
  </si>
  <si>
    <t>131 PARK AVENUE</t>
  </si>
  <si>
    <t>50160332</t>
  </si>
  <si>
    <t>811 N MAIN ST</t>
  </si>
  <si>
    <t>41195975</t>
  </si>
  <si>
    <t>EMILIO'S PHILLY</t>
  </si>
  <si>
    <t>623 W NORTH AVE</t>
  </si>
  <si>
    <t>60336872</t>
  </si>
  <si>
    <t>TEXAS GRILL</t>
  </si>
  <si>
    <t>8750 N. SECOND ST.</t>
  </si>
  <si>
    <t>71190185</t>
  </si>
  <si>
    <t>ROJO GUSANO EXPRESS</t>
  </si>
  <si>
    <t>3131 N CENTRAL AVE</t>
  </si>
  <si>
    <t>90030271</t>
  </si>
  <si>
    <t>D &amp; J BISTRO</t>
  </si>
  <si>
    <t>466 S RAND RD</t>
  </si>
  <si>
    <t>81106593</t>
  </si>
  <si>
    <t>SKEETERS DINER</t>
  </si>
  <si>
    <t>1510 119TH STREET</t>
  </si>
  <si>
    <t>30493985</t>
  </si>
  <si>
    <t>PETE MILLER EVANSTON</t>
  </si>
  <si>
    <t>21181276</t>
  </si>
  <si>
    <t>LEGENDARY BAKING</t>
  </si>
  <si>
    <t>16345 SO KIDARE</t>
  </si>
  <si>
    <t>70653191</t>
  </si>
  <si>
    <t>JUMBO BUFFET</t>
  </si>
  <si>
    <t>2253 BELVIDERE RD</t>
  </si>
  <si>
    <t>61345849</t>
  </si>
  <si>
    <t>PHILZ COFFEE</t>
  </si>
  <si>
    <t>1640 W DIVISION ST</t>
  </si>
  <si>
    <t>81335945</t>
  </si>
  <si>
    <t>PIZZAOKI</t>
  </si>
  <si>
    <t>926 W DIVERSEY PKWY</t>
  </si>
  <si>
    <t>21249701</t>
  </si>
  <si>
    <t>TACO EL NORTE WAUKEGAN</t>
  </si>
  <si>
    <t>2663 GRAND AVE</t>
  </si>
  <si>
    <t>61160628</t>
  </si>
  <si>
    <t>BONFIRE STEAK HOUSE AND G</t>
  </si>
  <si>
    <t>15906 S BELL ROAD</t>
  </si>
  <si>
    <t>41229857</t>
  </si>
  <si>
    <t>OLD IRVING BREWERY</t>
  </si>
  <si>
    <t>4419 W MONTROSE AVE</t>
  </si>
  <si>
    <t>70135942</t>
  </si>
  <si>
    <t>AUNT JEAN'S REST</t>
  </si>
  <si>
    <t>22 W. CLINTON</t>
  </si>
  <si>
    <t>60434</t>
  </si>
  <si>
    <t>60527991</t>
  </si>
  <si>
    <t>JOHNNY ROCKETS</t>
  </si>
  <si>
    <t>542 N. RT 21</t>
  </si>
  <si>
    <t>1249168</t>
  </si>
  <si>
    <t>LIGHTHOUSE BAR AND GRILL</t>
  </si>
  <si>
    <t>13601 S CALHOUN AVE</t>
  </si>
  <si>
    <t>50457068</t>
  </si>
  <si>
    <t>KALUBA'S***COLL***</t>
  </si>
  <si>
    <t>1090 LANDMEIR'S</t>
  </si>
  <si>
    <t>10651396</t>
  </si>
  <si>
    <t>TANGERINE COLL</t>
  </si>
  <si>
    <t>47 E. CHICAGO AVE</t>
  </si>
  <si>
    <t>928713</t>
  </si>
  <si>
    <t>6169 N. NORTHWEST HWY</t>
  </si>
  <si>
    <t>30618326</t>
  </si>
  <si>
    <t>KATIE'S KITCHEN</t>
  </si>
  <si>
    <t>623 N. WOLF ROAD</t>
  </si>
  <si>
    <t>61275897</t>
  </si>
  <si>
    <t>CILANTRO TACO GRILL</t>
  </si>
  <si>
    <t>90098765</t>
  </si>
  <si>
    <t>BAGEL INC</t>
  </si>
  <si>
    <t>3107 BROADWAY AVE</t>
  </si>
  <si>
    <t>40572109</t>
  </si>
  <si>
    <t>BOB'S RESTAURANT</t>
  </si>
  <si>
    <t>123 SLOW PAY BLVD.</t>
  </si>
  <si>
    <t>51187557</t>
  </si>
  <si>
    <t>JODI'S ITALIAN ICE FACTOR</t>
  </si>
  <si>
    <t>7322 CALUMET AVE</t>
  </si>
  <si>
    <t>80483993</t>
  </si>
  <si>
    <t>FEATURES BAR AND GRIL</t>
  </si>
  <si>
    <t>10 W CHICAGO</t>
  </si>
  <si>
    <t>91320572</t>
  </si>
  <si>
    <t>PRIME BAR WACKER</t>
  </si>
  <si>
    <t>155 N WACKER DR STE 1</t>
  </si>
  <si>
    <t>71261341</t>
  </si>
  <si>
    <t>EARLS BBQ</t>
  </si>
  <si>
    <t>4835 N AUSTIN AVE</t>
  </si>
  <si>
    <t>31130040</t>
  </si>
  <si>
    <t>THIRSTY WHALE ALGONQUIN</t>
  </si>
  <si>
    <t>1700 S RANDALL RD</t>
  </si>
  <si>
    <t>21250618</t>
  </si>
  <si>
    <t>QUEEN MARY</t>
  </si>
  <si>
    <t>2125 W DIVISION ST</t>
  </si>
  <si>
    <t>61319786</t>
  </si>
  <si>
    <t>WHIRLYBALL</t>
  </si>
  <si>
    <t>1825 W WEBSTER AVE</t>
  </si>
  <si>
    <t>20035473</t>
  </si>
  <si>
    <t>PRESIDENTIAL MARKET</t>
  </si>
  <si>
    <t>118760</t>
  </si>
  <si>
    <t>COOL CREATIONS</t>
  </si>
  <si>
    <t>937 S HAMILTON</t>
  </si>
  <si>
    <t>61242863</t>
  </si>
  <si>
    <t>EXPRESSLY LESLIE</t>
  </si>
  <si>
    <t>110 S JOHNSON ST</t>
  </si>
  <si>
    <t>81245474</t>
  </si>
  <si>
    <t>SCAPEGOAT LOUNGE</t>
  </si>
  <si>
    <t>9300 S KINGERY HWY</t>
  </si>
  <si>
    <t>30521256</t>
  </si>
  <si>
    <t>SCOTT'S HOWARD</t>
  </si>
  <si>
    <t>136 JOHNSON DRIVE</t>
  </si>
  <si>
    <t>90484221</t>
  </si>
  <si>
    <t>502 SOUTH MILWAUKEE AVE</t>
  </si>
  <si>
    <t>61299905</t>
  </si>
  <si>
    <t>ALWAYS REMEMBER</t>
  </si>
  <si>
    <t>409 W 9TH ST</t>
  </si>
  <si>
    <t>21026885</t>
  </si>
  <si>
    <t>TAIRYO</t>
  </si>
  <si>
    <t>3099 OGDEN</t>
  </si>
  <si>
    <t>31130362</t>
  </si>
  <si>
    <t>WISE BOXER POUR HOUSE</t>
  </si>
  <si>
    <t>60511581</t>
  </si>
  <si>
    <t>PAISANO'S</t>
  </si>
  <si>
    <t>5614 BROADWAY</t>
  </si>
  <si>
    <t>11243102</t>
  </si>
  <si>
    <t>OLD TOWNE PUB</t>
  </si>
  <si>
    <t>201 W STATE ST</t>
  </si>
  <si>
    <t>71161392</t>
  </si>
  <si>
    <t>WARM BELLY BAKERY</t>
  </si>
  <si>
    <t>1209 N NOBLE ST</t>
  </si>
  <si>
    <t>31314701</t>
  </si>
  <si>
    <t>ROCK N RAVIOLI</t>
  </si>
  <si>
    <t>1012 CHURCH ST</t>
  </si>
  <si>
    <t>50449438</t>
  </si>
  <si>
    <t>BOBBY'S BARREL INN</t>
  </si>
  <si>
    <t>35009 GILMORE ROAD</t>
  </si>
  <si>
    <t>90213158</t>
  </si>
  <si>
    <t>UNITED CTR/LUNCH ROOM</t>
  </si>
  <si>
    <t>90483108</t>
  </si>
  <si>
    <t>EDISON PARK INN</t>
  </si>
  <si>
    <t>6715 N OLMSTED</t>
  </si>
  <si>
    <t>1226059</t>
  </si>
  <si>
    <t>2816 W IL ROUTE 120</t>
  </si>
  <si>
    <t>1230317</t>
  </si>
  <si>
    <t>EL HEFE DE TACOS</t>
  </si>
  <si>
    <t>8845 INDIANAPOLIS BLVD</t>
  </si>
  <si>
    <t>81289001</t>
  </si>
  <si>
    <t>TONYS MEXICAN GRILL :)</t>
  </si>
  <si>
    <t>1344423</t>
  </si>
  <si>
    <t>MOTEL BAR</t>
  </si>
  <si>
    <t>600 W CHICAGO AVE</t>
  </si>
  <si>
    <t>70552377</t>
  </si>
  <si>
    <t>PAPPA'S  ALSIP</t>
  </si>
  <si>
    <t>12219 S. PULASKI AVE.</t>
  </si>
  <si>
    <t>80954779</t>
  </si>
  <si>
    <t>PADDY MACS</t>
  </si>
  <si>
    <t>4157 N. PULASKI</t>
  </si>
  <si>
    <t>81175184</t>
  </si>
  <si>
    <t>ELLWOOD STK N FISH HSE</t>
  </si>
  <si>
    <t>2219 SYCAMORE RD</t>
  </si>
  <si>
    <t>DEKALB</t>
  </si>
  <si>
    <t>81174286</t>
  </si>
  <si>
    <t>EGG BEATER CAFE</t>
  </si>
  <si>
    <t>8141 47TH ST</t>
  </si>
  <si>
    <t>51286094</t>
  </si>
  <si>
    <t>SOPHIE'S AT SAKS 5TH AVE</t>
  </si>
  <si>
    <t>700 N. MICHIGAN AVE</t>
  </si>
  <si>
    <t>11201209</t>
  </si>
  <si>
    <t>RED ROOSTER INC</t>
  </si>
  <si>
    <t>1819 WAUKEGAN RD</t>
  </si>
  <si>
    <t>10086767</t>
  </si>
  <si>
    <t>MICHAEL'S DOGS &amp; FREYS</t>
  </si>
  <si>
    <t>712 VERNON AVENUE</t>
  </si>
  <si>
    <t>11161213</t>
  </si>
  <si>
    <t>THE FIREBOX BAR &amp; GRILL</t>
  </si>
  <si>
    <t>2207 US-12</t>
  </si>
  <si>
    <t>10483840</t>
  </si>
  <si>
    <t>PORT OF BLARNEY,</t>
  </si>
  <si>
    <t>27843 W GRASS LAKE RD</t>
  </si>
  <si>
    <t>70483318</t>
  </si>
  <si>
    <t>EMPORIUM EVENTS**COLL**</t>
  </si>
  <si>
    <t>20909 S TORRENCE AVE</t>
  </si>
  <si>
    <t>791442</t>
  </si>
  <si>
    <t>BRUNCH CAFE MCHENRY</t>
  </si>
  <si>
    <t>414 S RT 31</t>
  </si>
  <si>
    <t>30830707</t>
  </si>
  <si>
    <t>201 ANYROAD</t>
  </si>
  <si>
    <t>80570468</t>
  </si>
  <si>
    <t>ESTELLE'S</t>
  </si>
  <si>
    <t>2013 W. NORTH AVE.</t>
  </si>
  <si>
    <t>60552114</t>
  </si>
  <si>
    <t>CAROL SCHERINGA</t>
  </si>
  <si>
    <t>3029 ELEANOR ST</t>
  </si>
  <si>
    <t>91284489</t>
  </si>
  <si>
    <t>US CELLULAR CAFE</t>
  </si>
  <si>
    <t>8410 W BRYN MAWR AVE</t>
  </si>
  <si>
    <t>31269129</t>
  </si>
  <si>
    <t>PORTER KITCHEN &amp; DECK</t>
  </si>
  <si>
    <t>150 S RIVERSIDE PLZ</t>
  </si>
  <si>
    <t>81044737</t>
  </si>
  <si>
    <t>SPICE</t>
  </si>
  <si>
    <t>6161 GRAND AVE</t>
  </si>
  <si>
    <t>41032046</t>
  </si>
  <si>
    <t>FFF PINT</t>
  </si>
  <si>
    <t>1547 N MILWAUKEE</t>
  </si>
  <si>
    <t>20115408</t>
  </si>
  <si>
    <t>DISC.ZONE **COLL**</t>
  </si>
  <si>
    <t>8261 GOLF RD/4 FLAGS CTR</t>
  </si>
  <si>
    <t>81326274</t>
  </si>
  <si>
    <t>EGGSPERIENCE CAFE</t>
  </si>
  <si>
    <t>3233 N BROADWAY ST</t>
  </si>
  <si>
    <t>80324486</t>
  </si>
  <si>
    <t>TOGO'S/W RANDOLPH</t>
  </si>
  <si>
    <t>205 W RANDOLPH</t>
  </si>
  <si>
    <t>50445360</t>
  </si>
  <si>
    <t>CARTER TEMPLE CHURCH</t>
  </si>
  <si>
    <t>7841 S.WABASH</t>
  </si>
  <si>
    <t>90944414</t>
  </si>
  <si>
    <t>VIBE LOUNGE</t>
  </si>
  <si>
    <t>855 S ROSELLE RD</t>
  </si>
  <si>
    <t>50905157</t>
  </si>
  <si>
    <t>STRIKE TEN BOWL</t>
  </si>
  <si>
    <t>800 E NERGE RD</t>
  </si>
  <si>
    <t>40972101</t>
  </si>
  <si>
    <t>LUCKY'S DRIVE IN NOTE</t>
  </si>
  <si>
    <t>16200 S CICERO</t>
  </si>
  <si>
    <t>30883268</t>
  </si>
  <si>
    <t>BRICKSTONE BREWERY</t>
  </si>
  <si>
    <t>557 WILLIAM R. LATHAM SR.</t>
  </si>
  <si>
    <t>1340579</t>
  </si>
  <si>
    <t>BARI FOODS</t>
  </si>
  <si>
    <t>710 SCHNEIDER DR</t>
  </si>
  <si>
    <t>90519992</t>
  </si>
  <si>
    <t>CHICAGO'S PIZZA</t>
  </si>
  <si>
    <t>3114 N. LINCOLN</t>
  </si>
  <si>
    <t>51197549</t>
  </si>
  <si>
    <t>38995 RT. 41</t>
  </si>
  <si>
    <t>10552040</t>
  </si>
  <si>
    <t>CRUISIN STATE S *COLL*</t>
  </si>
  <si>
    <t>108 S STATE STREET</t>
  </si>
  <si>
    <t>975003</t>
  </si>
  <si>
    <t>SMASHMOUTH BURGERS</t>
  </si>
  <si>
    <t>764 E. US RTE 30</t>
  </si>
  <si>
    <t>61345260</t>
  </si>
  <si>
    <t>DON FRESCO</t>
  </si>
  <si>
    <t>520 W HARRISON ST</t>
  </si>
  <si>
    <t>31259161</t>
  </si>
  <si>
    <t>LUCREZIA'S</t>
  </si>
  <si>
    <t>70577630</t>
  </si>
  <si>
    <t>WILLIAM'S ST PUBLIC HOUSE</t>
  </si>
  <si>
    <t>83 N WILLIAMS STREET</t>
  </si>
  <si>
    <t>41151721</t>
  </si>
  <si>
    <t>ATLAS BREWING CO. - SPARE</t>
  </si>
  <si>
    <t>2747 N LINCOLN AVE</t>
  </si>
  <si>
    <t>30483341</t>
  </si>
  <si>
    <t>PLUTON</t>
  </si>
  <si>
    <t>873 N ORLEANS</t>
  </si>
  <si>
    <t>40042632</t>
  </si>
  <si>
    <t>HUNGRY LAD EXPRESS #2</t>
  </si>
  <si>
    <t>213 E MCKINKLEY AVE</t>
  </si>
  <si>
    <t>MISHAWAKA</t>
  </si>
  <si>
    <t>46545</t>
  </si>
  <si>
    <t>61191250</t>
  </si>
  <si>
    <t>936 JOLIET ST</t>
  </si>
  <si>
    <t>31322803</t>
  </si>
  <si>
    <t>GRAND TRUCK ROAD</t>
  </si>
  <si>
    <t>41328790</t>
  </si>
  <si>
    <t>CLUTCH FOOD</t>
  </si>
  <si>
    <t>20398764</t>
  </si>
  <si>
    <t>SAFARILAND</t>
  </si>
  <si>
    <t>701 W. NORTH AVE.</t>
  </si>
  <si>
    <t>80699663</t>
  </si>
  <si>
    <t>TACO JOE'S</t>
  </si>
  <si>
    <t>3458 W. 111TH STREET</t>
  </si>
  <si>
    <t>60686</t>
  </si>
  <si>
    <t>11157500</t>
  </si>
  <si>
    <t>CITY LIFE LTD</t>
  </si>
  <si>
    <t>712 E 83RD ST</t>
  </si>
  <si>
    <t>50484815</t>
  </si>
  <si>
    <t>FITNESS CAFE-JNC REST</t>
  </si>
  <si>
    <t>164 DANADA SQ WEST</t>
  </si>
  <si>
    <t>31127202</t>
  </si>
  <si>
    <t>GLAZE TERIYAKI GRILL</t>
  </si>
  <si>
    <t>3112 N. BROADWAY ST</t>
  </si>
  <si>
    <t>11291507</t>
  </si>
  <si>
    <t>BAMBOO JOHNNY'S-FRESH OFF</t>
  </si>
  <si>
    <t>112 LAKEVIEW</t>
  </si>
  <si>
    <t>60915501</t>
  </si>
  <si>
    <t>3RD BASE</t>
  </si>
  <si>
    <t>1201 PINE LAKE AVE</t>
  </si>
  <si>
    <t>30551816</t>
  </si>
  <si>
    <t>DUSTIES BUFFETS**COLL**</t>
  </si>
  <si>
    <t>11901 S. LOOMIS</t>
  </si>
  <si>
    <t>11242849</t>
  </si>
  <si>
    <t>LA PLACITA TAQUERIA</t>
  </si>
  <si>
    <t>108 CASS ST</t>
  </si>
  <si>
    <t>50032887</t>
  </si>
  <si>
    <t>NOOKIES TOO</t>
  </si>
  <si>
    <t>2114 N HALSTED</t>
  </si>
  <si>
    <t>51155851</t>
  </si>
  <si>
    <t>CHICAGO FOOD &amp; WINE</t>
  </si>
  <si>
    <t>900 N NORTH BRANCH</t>
  </si>
  <si>
    <t>1235944</t>
  </si>
  <si>
    <t>THE BERGHOFF</t>
  </si>
  <si>
    <t>17 W ADAMS ST</t>
  </si>
  <si>
    <t>50577725</t>
  </si>
  <si>
    <t>JAIPUR</t>
  </si>
  <si>
    <t>847 W. RANDOLPH ST.</t>
  </si>
  <si>
    <t>50085026</t>
  </si>
  <si>
    <t>JEZEBEL **COLL**</t>
  </si>
  <si>
    <t>3517 N CLARK ST</t>
  </si>
  <si>
    <t>91322347</t>
  </si>
  <si>
    <t>GAMMON COACH HOUSE</t>
  </si>
  <si>
    <t>3 S BATAVIA AVE # 7</t>
  </si>
  <si>
    <t>90766205</t>
  </si>
  <si>
    <t>51237600</t>
  </si>
  <si>
    <t>BEEF N BRANDY</t>
  </si>
  <si>
    <t>127 S STATE ST</t>
  </si>
  <si>
    <t>90484619</t>
  </si>
  <si>
    <t>CASALE PIZZA**COLL**</t>
  </si>
  <si>
    <t>216 N WALNUT ST</t>
  </si>
  <si>
    <t>191361</t>
  </si>
  <si>
    <t>D.J.SPORTS BAR **COLL**</t>
  </si>
  <si>
    <t>21635 E LINCOLNWAY</t>
  </si>
  <si>
    <t>60146800</t>
  </si>
  <si>
    <t>DISCOVERY ZONE/SCHAUMBURG</t>
  </si>
  <si>
    <t>2570 W SCHAUMBURG RD</t>
  </si>
  <si>
    <t>90578832</t>
  </si>
  <si>
    <t>CARRABBA'S ITALIAN GRILL</t>
  </si>
  <si>
    <t>944 SOUTH RT.59</t>
  </si>
  <si>
    <t>60252491</t>
  </si>
  <si>
    <t>GUIDO &amp; MURPHY'S **COLL**</t>
  </si>
  <si>
    <t>1050 BROADWAY</t>
  </si>
  <si>
    <t>90792458</t>
  </si>
  <si>
    <t>LA AZTECA PALETERIA</t>
  </si>
  <si>
    <t>3018 W. CERMAK</t>
  </si>
  <si>
    <t>1077304</t>
  </si>
  <si>
    <t>TONYS PLACE</t>
  </si>
  <si>
    <t>218 E LINCOLNWAY</t>
  </si>
  <si>
    <t>10310886</t>
  </si>
  <si>
    <t>FAMOUS DAVES/VERNON HILLS</t>
  </si>
  <si>
    <t>99 TOWNLINE RD</t>
  </si>
  <si>
    <t>20552360</t>
  </si>
  <si>
    <t>TOWNEE SQUARE</t>
  </si>
  <si>
    <t>508 N. MILWAUKEE</t>
  </si>
  <si>
    <t>10639136</t>
  </si>
  <si>
    <t>YANNIS GREEK **COLL**</t>
  </si>
  <si>
    <t>10 E. ALGONQUIN RD</t>
  </si>
  <si>
    <t>30764831</t>
  </si>
  <si>
    <t>KORNER HOUSE</t>
  </si>
  <si>
    <t>2736 OLD HIGGINS ROAD</t>
  </si>
  <si>
    <t>21286877</t>
  </si>
  <si>
    <t>KARI'S GAMING CAFE</t>
  </si>
  <si>
    <t>33548</t>
  </si>
  <si>
    <t>RONNYS III CORP</t>
  </si>
  <si>
    <t>340 S WABASH AV</t>
  </si>
  <si>
    <t>51174456</t>
  </si>
  <si>
    <t>PHILLY T'S / X+A INC</t>
  </si>
  <si>
    <t>1172683</t>
  </si>
  <si>
    <t>MARGARITA BLUE</t>
  </si>
  <si>
    <t>25 E HINSDALE AVE</t>
  </si>
  <si>
    <t>31331499</t>
  </si>
  <si>
    <t>THE HAMPTON SOCIAL SKOKIE</t>
  </si>
  <si>
    <t>11306214</t>
  </si>
  <si>
    <t>AUSTRIA CAFE 3333 S</t>
  </si>
  <si>
    <t>3333 S. LARAMIE</t>
  </si>
  <si>
    <t>57687</t>
  </si>
  <si>
    <t>BENNIGAN'S</t>
  </si>
  <si>
    <t>8420 W. BRYN MAWR</t>
  </si>
  <si>
    <t>50594332</t>
  </si>
  <si>
    <t>NORTHWOODS</t>
  </si>
  <si>
    <t>800 KEDZIE</t>
  </si>
  <si>
    <t>91242578</t>
  </si>
  <si>
    <t>BREAKING BREAD II</t>
  </si>
  <si>
    <t>230 VIRGINIA SUITE 250</t>
  </si>
  <si>
    <t>70297015</t>
  </si>
  <si>
    <t>BARKER INN/HEATH &amp; TILLNG</t>
  </si>
  <si>
    <t>41340415</t>
  </si>
  <si>
    <t>HOMETOWN COFFEE AND JUICE</t>
  </si>
  <si>
    <t>700 VERNON AVE</t>
  </si>
  <si>
    <t>61279949</t>
  </si>
  <si>
    <t>PADDY LONGS</t>
  </si>
  <si>
    <t>1028 W DIVERSEY PKWY # CH</t>
  </si>
  <si>
    <t>41240508</t>
  </si>
  <si>
    <t>LITTLE TOASTED</t>
  </si>
  <si>
    <t>300 S RIVERSIDE PLZ</t>
  </si>
  <si>
    <t>30483242</t>
  </si>
  <si>
    <t>PRICKLY PEAR**COLL**</t>
  </si>
  <si>
    <t>919 HILLGROVE</t>
  </si>
  <si>
    <t>41211608</t>
  </si>
  <si>
    <t>GAIL CARRIAGE INN</t>
  </si>
  <si>
    <t>9300 WAUKEGAN RD</t>
  </si>
  <si>
    <t>70491329</t>
  </si>
  <si>
    <t>MR MIYAKI</t>
  </si>
  <si>
    <t>546 A S. RANDALL RD</t>
  </si>
  <si>
    <t>11195658</t>
  </si>
  <si>
    <t>HUNGRY MAN SKILLET</t>
  </si>
  <si>
    <t>1319250</t>
  </si>
  <si>
    <t>FAT FISH BAR</t>
  </si>
  <si>
    <t>101683</t>
  </si>
  <si>
    <t>NEW HOLLYWOOD RESTAURANT</t>
  </si>
  <si>
    <t>1903 S HEATON</t>
  </si>
  <si>
    <t>50482819</t>
  </si>
  <si>
    <t>DRAGON INN NORTH</t>
  </si>
  <si>
    <t>1650 WAUKEGAN RD</t>
  </si>
  <si>
    <t>11081015</t>
  </si>
  <si>
    <t>NOWHERE BAR &amp; GRILL</t>
  </si>
  <si>
    <t>5868 E TIOGA TR</t>
  </si>
  <si>
    <t>40590564</t>
  </si>
  <si>
    <t>PJ CLARKE'S</t>
  </si>
  <si>
    <t>302 E ILLINOIS</t>
  </si>
  <si>
    <t>81134405</t>
  </si>
  <si>
    <t>SOFO TAP</t>
  </si>
  <si>
    <t>4923 N CLARK ST</t>
  </si>
  <si>
    <t>10994754</t>
  </si>
  <si>
    <t>SMOKEY'S BBQ</t>
  </si>
  <si>
    <t>50 COMMERCE DR.</t>
  </si>
  <si>
    <t>90855172</t>
  </si>
  <si>
    <t>GEORGE ST PUB</t>
  </si>
  <si>
    <t>2858 N. HALSTED</t>
  </si>
  <si>
    <t>51324549</t>
  </si>
  <si>
    <t>PTA PIZZA AND SUBS</t>
  </si>
  <si>
    <t>10721 S ROBERTS RD</t>
  </si>
  <si>
    <t>71194096</t>
  </si>
  <si>
    <t>CADDY SHACK GRILL</t>
  </si>
  <si>
    <t>61329306</t>
  </si>
  <si>
    <t>BIBLIOPHILE</t>
  </si>
  <si>
    <t>1644 E 53RD ST</t>
  </si>
  <si>
    <t>70535687</t>
  </si>
  <si>
    <t>91285296</t>
  </si>
  <si>
    <t>NOOKIES EDGEWATER</t>
  </si>
  <si>
    <t>1100 W BRYN MAWR AVE</t>
  </si>
  <si>
    <t>51157956</t>
  </si>
  <si>
    <t>GRCC</t>
  </si>
  <si>
    <t>1033 N BROAD ST</t>
  </si>
  <si>
    <t>11346236</t>
  </si>
  <si>
    <t>HOT N JUICY CRAB EVERGREE</t>
  </si>
  <si>
    <t>9642 S WESTERN AVE</t>
  </si>
  <si>
    <t>91347286</t>
  </si>
  <si>
    <t>UOVO</t>
  </si>
  <si>
    <t>5410 S LA GRANGE RD</t>
  </si>
  <si>
    <t>11111663</t>
  </si>
  <si>
    <t>MILK PAIL PARTIES</t>
  </si>
  <si>
    <t>14N630 ROUTE 25</t>
  </si>
  <si>
    <t>70879614</t>
  </si>
  <si>
    <t>ROSATTI'S PIZZA</t>
  </si>
  <si>
    <t>4867 N. BROADWAY</t>
  </si>
  <si>
    <t>1278191</t>
  </si>
  <si>
    <t>DEVIL DAWGS SHEFFIELD</t>
  </si>
  <si>
    <t>2147 N SHEFFIELD AVE</t>
  </si>
  <si>
    <t>70395744</t>
  </si>
  <si>
    <t>ILLINOIS B &amp; G/ MIDWAY</t>
  </si>
  <si>
    <t>5559 S. ARCHER</t>
  </si>
  <si>
    <t>51323194</t>
  </si>
  <si>
    <t>LUCKY GIRL BREWING DUNDEE</t>
  </si>
  <si>
    <t>311 BARRINGTON AVE</t>
  </si>
  <si>
    <t>51013811</t>
  </si>
  <si>
    <t>HONEYFIELD RESTAURANT</t>
  </si>
  <si>
    <t>984 E 9TH STREET</t>
  </si>
  <si>
    <t>50553841</t>
  </si>
  <si>
    <t>O'LEARY'S PUB **COLL**</t>
  </si>
  <si>
    <t>113 S. BENTON ST.</t>
  </si>
  <si>
    <t>20313094</t>
  </si>
  <si>
    <t>Z/HAWKS VIEW FAMILY EST</t>
  </si>
  <si>
    <t>11189 FOREST HILL RD</t>
  </si>
  <si>
    <t>31036072</t>
  </si>
  <si>
    <t>CLASEN'S TAVERN</t>
  </si>
  <si>
    <t>17628 DEPOT</t>
  </si>
  <si>
    <t>30595946</t>
  </si>
  <si>
    <t>TRIO   **COLL**</t>
  </si>
  <si>
    <t>11845 SOUTHWEST HWY.</t>
  </si>
  <si>
    <t>70390802</t>
  </si>
  <si>
    <t>NICK'S BARBEQUE TP</t>
  </si>
  <si>
    <t>16638 S OAK PARK AVE</t>
  </si>
  <si>
    <t>71237739</t>
  </si>
  <si>
    <t>THE WHISTLE - OAKLAWN</t>
  </si>
  <si>
    <t>4911 W 95TH ST</t>
  </si>
  <si>
    <t>31254568</t>
  </si>
  <si>
    <t>IKIGAI SUSHI</t>
  </si>
  <si>
    <t>550 N GREEN BAY RD</t>
  </si>
  <si>
    <t>30494520</t>
  </si>
  <si>
    <t>MANCINIS REST**COLL**</t>
  </si>
  <si>
    <t>5245 ST CHARLES RD</t>
  </si>
  <si>
    <t>BERKELEY</t>
  </si>
  <si>
    <t>70591722</t>
  </si>
  <si>
    <t>BROWN'S CHICKEN/TINLEY PA</t>
  </si>
  <si>
    <t>6801 W. 159TH STREET</t>
  </si>
  <si>
    <t>70958988</t>
  </si>
  <si>
    <t>FRANK'S CHICAGO SHRIMP HS</t>
  </si>
  <si>
    <t>3071 N BARRINGTON RD</t>
  </si>
  <si>
    <t>70908413</t>
  </si>
  <si>
    <t>DESI CHILLI</t>
  </si>
  <si>
    <t>677 N. CASS AVENUE</t>
  </si>
  <si>
    <t>40995375</t>
  </si>
  <si>
    <t>LA FONDA</t>
  </si>
  <si>
    <t>5350 N. BROADWAY</t>
  </si>
  <si>
    <t>50918861</t>
  </si>
  <si>
    <t>CAMALGINO'S PIZZA</t>
  </si>
  <si>
    <t>3539 N. WESTERN AVE.</t>
  </si>
  <si>
    <t>21242201</t>
  </si>
  <si>
    <t>STANLEY'S ALE HOUSE</t>
  </si>
  <si>
    <t>335 N MCLEAN BLVD</t>
  </si>
  <si>
    <t>31208762</t>
  </si>
  <si>
    <t>FLACO'S TACOS IV</t>
  </si>
  <si>
    <t>1116-20 W GRANVILLE AVE</t>
  </si>
  <si>
    <t>70857958</t>
  </si>
  <si>
    <t>152 BIESTERFIELD RD.</t>
  </si>
  <si>
    <t>61265344</t>
  </si>
  <si>
    <t>PATTI'S SUNRISE CAFE</t>
  </si>
  <si>
    <t>78 BURR RIDGE PKWY</t>
  </si>
  <si>
    <t>30905178</t>
  </si>
  <si>
    <t>IMPECCA RESTAURANT</t>
  </si>
  <si>
    <t>426304</t>
  </si>
  <si>
    <t>PASTABILITIES</t>
  </si>
  <si>
    <t>167 MCHENRY ROAD</t>
  </si>
  <si>
    <t>50298678</t>
  </si>
  <si>
    <t>CHARLIE'S/WEBSTER *COLL*</t>
  </si>
  <si>
    <t>1224 W. WEBSTER</t>
  </si>
  <si>
    <t>61189882</t>
  </si>
  <si>
    <t>SALPICON</t>
  </si>
  <si>
    <t>90552241</t>
  </si>
  <si>
    <t>GOLDEN HEART RESTAURANT</t>
  </si>
  <si>
    <t>4210 S. ARCHER AVENUE</t>
  </si>
  <si>
    <t>80545841</t>
  </si>
  <si>
    <t>ISIS CAFE &amp; FAMILY REST.</t>
  </si>
  <si>
    <t>9265 W. CERMAK RD.</t>
  </si>
  <si>
    <t>70718655</t>
  </si>
  <si>
    <t>CHRISTY'S</t>
  </si>
  <si>
    <t>200 E IRVING PARK RD.</t>
  </si>
  <si>
    <t>90074006</t>
  </si>
  <si>
    <t>JAZZ OASIS THE</t>
  </si>
  <si>
    <t>343 W ERIE ST</t>
  </si>
  <si>
    <t>81335655</t>
  </si>
  <si>
    <t>FLIP CREPES</t>
  </si>
  <si>
    <t>131 N CLINTON ST</t>
  </si>
  <si>
    <t>50613660</t>
  </si>
  <si>
    <t>PALATINE CAFE - CAF :)</t>
  </si>
  <si>
    <t>1300 E. NORTHWEST HWY</t>
  </si>
  <si>
    <t>90994732</t>
  </si>
  <si>
    <t>MAC'S ON SLADE</t>
  </si>
  <si>
    <t>117 W. SLADE</t>
  </si>
  <si>
    <t>91206789</t>
  </si>
  <si>
    <t>AT THE OFFICE BAR&amp;GRILL</t>
  </si>
  <si>
    <t>90621095</t>
  </si>
  <si>
    <t>INOVASI RESTAURANT</t>
  </si>
  <si>
    <t>28 E. CENTER STREET</t>
  </si>
  <si>
    <t>21247275</t>
  </si>
  <si>
    <t>FARM BAR ANDERSONVILLE</t>
  </si>
  <si>
    <t>5520 N CLARK ST</t>
  </si>
  <si>
    <t>1130418</t>
  </si>
  <si>
    <t>TASTE OF CUBA</t>
  </si>
  <si>
    <t>3918 W. TOUHY AVE</t>
  </si>
  <si>
    <t>81184590</t>
  </si>
  <si>
    <t>ROUTE 12 PUB N GRILL</t>
  </si>
  <si>
    <t>37540 N US HWY RT 12</t>
  </si>
  <si>
    <t>50648252</t>
  </si>
  <si>
    <t>FUJI THAI</t>
  </si>
  <si>
    <t>1000 WEILAND RD</t>
  </si>
  <si>
    <t>86785</t>
  </si>
  <si>
    <t>ONCE UPON A BAGEL</t>
  </si>
  <si>
    <t>718 VERNON</t>
  </si>
  <si>
    <t>41234469</t>
  </si>
  <si>
    <t>BROAD STREET GYROS</t>
  </si>
  <si>
    <t>105 N BROAD ST</t>
  </si>
  <si>
    <t>61314431</t>
  </si>
  <si>
    <t>OOZI CORNER</t>
  </si>
  <si>
    <t>9115 S HARLEM AVE</t>
  </si>
  <si>
    <t>70558960</t>
  </si>
  <si>
    <t>MONACO'S BAR***COLL***</t>
  </si>
  <si>
    <t>2816 RT. 120</t>
  </si>
  <si>
    <t>396184</t>
  </si>
  <si>
    <t>HENRY'S HOT DOG</t>
  </si>
  <si>
    <t>6031 W. OGDEN AVE.</t>
  </si>
  <si>
    <t>91164756</t>
  </si>
  <si>
    <t>WU'S HOUSE</t>
  </si>
  <si>
    <t>16310 S LA GRANGE RD</t>
  </si>
  <si>
    <t>1161660</t>
  </si>
  <si>
    <t>AL GELATO CHICAGO</t>
  </si>
  <si>
    <t>9133 BELDEN AVE</t>
  </si>
  <si>
    <t>60472271</t>
  </si>
  <si>
    <t>TANGO GRILL</t>
  </si>
  <si>
    <t>5 W. JACKSON AVE</t>
  </si>
  <si>
    <t>91278911</t>
  </si>
  <si>
    <t>CILANTRO - OAK BROOK</t>
  </si>
  <si>
    <t>448 OAK BROOK CENTER ROAD</t>
  </si>
  <si>
    <t>30030696</t>
  </si>
  <si>
    <t>ATHOS CAFE  *PG*</t>
  </si>
  <si>
    <t>8500 SOUTH HARLEM AVE</t>
  </si>
  <si>
    <t>70976634</t>
  </si>
  <si>
    <t>JAPAN HIBACHI GRILL &amp; BUF</t>
  </si>
  <si>
    <t>4817-4827 W. 77TH STREET</t>
  </si>
  <si>
    <t>31232598</t>
  </si>
  <si>
    <t>GROUND CONTROL</t>
  </si>
  <si>
    <t>3315 W ARMITAGE AVE</t>
  </si>
  <si>
    <t>41313826</t>
  </si>
  <si>
    <t>SLAP SHOTS SPORTS BAR &amp; G</t>
  </si>
  <si>
    <t>14608 CICERO AVE</t>
  </si>
  <si>
    <t>70407374</t>
  </si>
  <si>
    <t>103 W MARKETVIEW DR</t>
  </si>
  <si>
    <t>31032485</t>
  </si>
  <si>
    <t>TAP ROOM HOSPITALITY</t>
  </si>
  <si>
    <t>328 W. SOUTH MAIN ST</t>
  </si>
  <si>
    <t>80976822</t>
  </si>
  <si>
    <t>CROSSTOWN PUB AND GRILL</t>
  </si>
  <si>
    <t>900 EAST OGDEN</t>
  </si>
  <si>
    <t>71194864</t>
  </si>
  <si>
    <t>BURGER BROS</t>
  </si>
  <si>
    <t>5926 S PULASKI RD</t>
  </si>
  <si>
    <t>91199091</t>
  </si>
  <si>
    <t>PENUMBRA</t>
  </si>
  <si>
    <t>3309 W FULLERTON AVE</t>
  </si>
  <si>
    <t>21295688</t>
  </si>
  <si>
    <t>YUMMY PLACE</t>
  </si>
  <si>
    <t>2400 E MAIN ST STE 112</t>
  </si>
  <si>
    <t>91204222</t>
  </si>
  <si>
    <t>BIMBOS ITALIAN CUISINE</t>
  </si>
  <si>
    <t>51107704</t>
  </si>
  <si>
    <t>BEELOW'S STEAKHOUSE</t>
  </si>
  <si>
    <t>763 S. RAND ROAD</t>
  </si>
  <si>
    <t>60213139</t>
  </si>
  <si>
    <t>GREAT AMERICAN BAGEL</t>
  </si>
  <si>
    <t>3240 KIRCHOFF RD</t>
  </si>
  <si>
    <t>40483372</t>
  </si>
  <si>
    <t>JOURNEYS END</t>
  </si>
  <si>
    <t>2075 S LAKE ST</t>
  </si>
  <si>
    <t>70501960</t>
  </si>
  <si>
    <t>BELLALUKES</t>
  </si>
  <si>
    <t>193 S RAND ROAD</t>
  </si>
  <si>
    <t>61323598</t>
  </si>
  <si>
    <t>FLAVOR BRUNCH</t>
  </si>
  <si>
    <t>17575 KEDZIE AVE</t>
  </si>
  <si>
    <t>51286102</t>
  </si>
  <si>
    <t>BOUNCE SPORTING CLUB</t>
  </si>
  <si>
    <t>324 W CHICAGO AVE</t>
  </si>
  <si>
    <t>51089480</t>
  </si>
  <si>
    <t>MUG'S PIZZA-ARLINGTON HEI</t>
  </si>
  <si>
    <t>807 W RAND ROAD</t>
  </si>
  <si>
    <t>90956533</t>
  </si>
  <si>
    <t>6978 SOUL FOOD</t>
  </si>
  <si>
    <t>6978 W. NORTH AVE</t>
  </si>
  <si>
    <t>71024582</t>
  </si>
  <si>
    <t>KITCHEN EATERY</t>
  </si>
  <si>
    <t>601 W ST CHARLES ROAD</t>
  </si>
  <si>
    <t>1134352</t>
  </si>
  <si>
    <t>DAY GO DOGS</t>
  </si>
  <si>
    <t>5 W CAMPBELL ST</t>
  </si>
  <si>
    <t>51267979</t>
  </si>
  <si>
    <t>INTERURBAN BOATHOUSE</t>
  </si>
  <si>
    <t>41320599</t>
  </si>
  <si>
    <t>PIE, PIE MY DARLING</t>
  </si>
  <si>
    <t>2636 W. CHICAGO AVE</t>
  </si>
  <si>
    <t>80391006</t>
  </si>
  <si>
    <t>LAKE CO JAIL/MILK</t>
  </si>
  <si>
    <t>2293 N MAIN ST</t>
  </si>
  <si>
    <t>10313310</t>
  </si>
  <si>
    <t>FIELD SCHOOL</t>
  </si>
  <si>
    <t>51 ST. ARMAND LANE</t>
  </si>
  <si>
    <t>91188078</t>
  </si>
  <si>
    <t>ITALIAN FIEST</t>
  </si>
  <si>
    <t>1919 E 71ST ST</t>
  </si>
  <si>
    <t>41336942</t>
  </si>
  <si>
    <t>ANDREW'S OPEN PIT</t>
  </si>
  <si>
    <t>2610 DEMPSTER ST</t>
  </si>
  <si>
    <t>81241689</t>
  </si>
  <si>
    <t>TRACY'S WINTHROP HARBOR</t>
  </si>
  <si>
    <t>1275 SHERIDAN RD</t>
  </si>
  <si>
    <t>11299138</t>
  </si>
  <si>
    <t>MANTRA</t>
  </si>
  <si>
    <t>9438 IRVING PARK RD</t>
  </si>
  <si>
    <t>81139289</t>
  </si>
  <si>
    <t>LA PLACITA</t>
  </si>
  <si>
    <t>2423 W 51ST ST</t>
  </si>
  <si>
    <t>60483302</t>
  </si>
  <si>
    <t>LE FRANCAIS***COLL***</t>
  </si>
  <si>
    <t>269 S MILWAUKEE AVE</t>
  </si>
  <si>
    <t>91315937</t>
  </si>
  <si>
    <t>THE PRIORY BAR &amp; KITCHEN</t>
  </si>
  <si>
    <t>5130 N WESTERN AVE</t>
  </si>
  <si>
    <t>71287031</t>
  </si>
  <si>
    <t>STREETERVILLE PIZZA PUB</t>
  </si>
  <si>
    <t>90698846</t>
  </si>
  <si>
    <t>POINT RESTAURANT</t>
  </si>
  <si>
    <t>1952 SKOKIE HWY</t>
  </si>
  <si>
    <t>20338760</t>
  </si>
  <si>
    <t>GOLDEN BOWL REST *COLL**</t>
  </si>
  <si>
    <t>1013 W LINCOLN HWY</t>
  </si>
  <si>
    <t>81173254</t>
  </si>
  <si>
    <t>A O SUSHI</t>
  </si>
  <si>
    <t>1178 MCHENRY RD</t>
  </si>
  <si>
    <t>60482213</t>
  </si>
  <si>
    <t>35 WEST IRVING PARK RD</t>
  </si>
  <si>
    <t>80395528</t>
  </si>
  <si>
    <t>BARRACO'S PIZZA &amp; REST.</t>
  </si>
  <si>
    <t>3701 W. 95TH STREET</t>
  </si>
  <si>
    <t>41237355</t>
  </si>
  <si>
    <t>814 COMMERCE CT HSD LLC</t>
  </si>
  <si>
    <t>814 COMMERCE DR</t>
  </si>
  <si>
    <t>61141271</t>
  </si>
  <si>
    <t>BROKEN OAR</t>
  </si>
  <si>
    <t>614 RAWSON BRIDGE RD</t>
  </si>
  <si>
    <t>PORT BARRINGTON</t>
  </si>
  <si>
    <t>61225074</t>
  </si>
  <si>
    <t>RAVENS PLACE</t>
  </si>
  <si>
    <t>13031 WESTERN AVE</t>
  </si>
  <si>
    <t>81331639</t>
  </si>
  <si>
    <t>CARLSON'S DRIVE-IN</t>
  </si>
  <si>
    <t>118 W COOLSPRING AVE</t>
  </si>
  <si>
    <t>40516734</t>
  </si>
  <si>
    <t>IRA'S OF NORTHBROOK</t>
  </si>
  <si>
    <t>873 SANDERS ROAD</t>
  </si>
  <si>
    <t>20239901</t>
  </si>
  <si>
    <t>NOW SERVING</t>
  </si>
  <si>
    <t>723 1/2 W HILLGROVE</t>
  </si>
  <si>
    <t>71270961</t>
  </si>
  <si>
    <t>SIX 06 CAFE BAR</t>
  </si>
  <si>
    <t>1641 W CHICAGO AVE</t>
  </si>
  <si>
    <t>31177280</t>
  </si>
  <si>
    <t>11314861</t>
  </si>
  <si>
    <t>BAYAN KO</t>
  </si>
  <si>
    <t>1810 W MONTROSE AVE</t>
  </si>
  <si>
    <t>31036205</t>
  </si>
  <si>
    <t>MACARENA TAPAS- ST CHAS</t>
  </si>
  <si>
    <t>1890 WEST MAIN ST</t>
  </si>
  <si>
    <t>60495470</t>
  </si>
  <si>
    <t>NORTHSHORE COOKERY</t>
  </si>
  <si>
    <t>600 CENTRAL AVE.</t>
  </si>
  <si>
    <t>30647853</t>
  </si>
  <si>
    <t>THE BALLPARK AT ROSELLE</t>
  </si>
  <si>
    <t>394 E IRVING PARK RD</t>
  </si>
  <si>
    <t>80618028</t>
  </si>
  <si>
    <t>COOPER'S HAWK S/BARRINGTN</t>
  </si>
  <si>
    <t>100 WEST HIGGINS RD</t>
  </si>
  <si>
    <t>11317427</t>
  </si>
  <si>
    <t>UNIDAD LATIN KITCHEN</t>
  </si>
  <si>
    <t>3339 W 95TH ST</t>
  </si>
  <si>
    <t>80484017</t>
  </si>
  <si>
    <t>SUSAN PICK</t>
  </si>
  <si>
    <t>31ST AND YORK ROAD</t>
  </si>
  <si>
    <t>21103809</t>
  </si>
  <si>
    <t>BRASS MONKEY BRASSERIE</t>
  </si>
  <si>
    <t>401 N MORGAN</t>
  </si>
  <si>
    <t>71287296</t>
  </si>
  <si>
    <t>PLAYA BAJA</t>
  </si>
  <si>
    <t>1701 FRANKLIN ST</t>
  </si>
  <si>
    <t>71317093</t>
  </si>
  <si>
    <t>CMM CDK HOFFMAN</t>
  </si>
  <si>
    <t>1950 HASSELL RD</t>
  </si>
  <si>
    <t>70483326</t>
  </si>
  <si>
    <t>FREELING ROOM AT RAVI</t>
  </si>
  <si>
    <t>205 ST JOHN</t>
  </si>
  <si>
    <t>31062284</t>
  </si>
  <si>
    <t>PENANG ASIAN CUISINE</t>
  </si>
  <si>
    <t>1720 W ALGONQUIN RD</t>
  </si>
  <si>
    <t>20318812</t>
  </si>
  <si>
    <t>POPEYES #2422**COLL**</t>
  </si>
  <si>
    <t>14536 S. PULASKI AVE</t>
  </si>
  <si>
    <t>30391015</t>
  </si>
  <si>
    <t>ASPEN RESTAURANT</t>
  </si>
  <si>
    <t>9141 WICKER AVE</t>
  </si>
  <si>
    <t>80517659</t>
  </si>
  <si>
    <t>843 WAUKEGAN ROAD</t>
  </si>
  <si>
    <t>60477775</t>
  </si>
  <si>
    <t>NIKO'S STEAK AND SEAFD</t>
  </si>
  <si>
    <t>216 SOUTH BROAD STREET</t>
  </si>
  <si>
    <t>470781</t>
  </si>
  <si>
    <t>AMF HOFFMAN LANES   00618</t>
  </si>
  <si>
    <t>80 WEST HIGGINS RD.</t>
  </si>
  <si>
    <t>70470729</t>
  </si>
  <si>
    <t>FREDDY'S STEAKHOUSE**COLL</t>
  </si>
  <si>
    <t>6442 KENNDY AVE.</t>
  </si>
  <si>
    <t>31180623</t>
  </si>
  <si>
    <t>MATEY'S RESTAURANT</t>
  </si>
  <si>
    <t>110 FRANKLIN ST</t>
  </si>
  <si>
    <t>51290922</t>
  </si>
  <si>
    <t>PERSONA</t>
  </si>
  <si>
    <t>408 S WELLS ST</t>
  </si>
  <si>
    <t>81297764</t>
  </si>
  <si>
    <t>GRUPAZZA LLC</t>
  </si>
  <si>
    <t>21162839</t>
  </si>
  <si>
    <t>PAPPA JOE'S CHICAGO RIDGE</t>
  </si>
  <si>
    <t>5900 111TH ST</t>
  </si>
  <si>
    <t>70094867</t>
  </si>
  <si>
    <t>DISCOVERY ZONE/ELSTON</t>
  </si>
  <si>
    <t>2585 N ELSTON AVE</t>
  </si>
  <si>
    <t>90653874</t>
  </si>
  <si>
    <t>GALWAY ARMS</t>
  </si>
  <si>
    <t>2442 N. CLARK ST</t>
  </si>
  <si>
    <t>51162816</t>
  </si>
  <si>
    <t>CONNOLLY'S IRISH PUB &amp; RE</t>
  </si>
  <si>
    <t>1109 SOUTH BLVD</t>
  </si>
  <si>
    <t>91174755</t>
  </si>
  <si>
    <t>HONEY BRUNCH CAFE</t>
  </si>
  <si>
    <t>31 E GOLF RD</t>
  </si>
  <si>
    <t>80729478</t>
  </si>
  <si>
    <t>BEST WESTERN COUNTRYSIDE</t>
  </si>
  <si>
    <t>6251 JOLIET ROAD</t>
  </si>
  <si>
    <t>10395523</t>
  </si>
  <si>
    <t>GRAND CHINESE KITCHEN</t>
  </si>
  <si>
    <t>100 W. 87TH ST.</t>
  </si>
  <si>
    <t>40469819</t>
  </si>
  <si>
    <t>GLENVIEW PARK DISTRICT</t>
  </si>
  <si>
    <t>1930 PRAIRE STREET</t>
  </si>
  <si>
    <t>70482385</t>
  </si>
  <si>
    <t>OAK BROOK GOLF CLUB</t>
  </si>
  <si>
    <t>2606 YORK RD</t>
  </si>
  <si>
    <t>1208339</t>
  </si>
  <si>
    <t>PUB 47  HUNTLEY</t>
  </si>
  <si>
    <t>10400 N IL ROUTE 47</t>
  </si>
  <si>
    <t>70961537</t>
  </si>
  <si>
    <t>MARIE'S CAFE &amp; CATERING</t>
  </si>
  <si>
    <t>3660 WEST 111TH</t>
  </si>
  <si>
    <t>50390814</t>
  </si>
  <si>
    <t>SENECA REST**COLL**</t>
  </si>
  <si>
    <t>6544 W CERMAK</t>
  </si>
  <si>
    <t>90505751</t>
  </si>
  <si>
    <t>PEARLS CHIX FISH **COLL**</t>
  </si>
  <si>
    <t>2645 W.63RD ST</t>
  </si>
  <si>
    <t>81028045</t>
  </si>
  <si>
    <t>CONFETTI'S</t>
  </si>
  <si>
    <t>5101 WASHINGTON ST</t>
  </si>
  <si>
    <t>10617389</t>
  </si>
  <si>
    <t>STONE LOTUS</t>
  </si>
  <si>
    <t>873 N. ORLEANS ST.</t>
  </si>
  <si>
    <t>20503314</t>
  </si>
  <si>
    <t>LA MARGARITA**COLL**</t>
  </si>
  <si>
    <t>108 BARRINGTON COMMONS</t>
  </si>
  <si>
    <t>31199342</t>
  </si>
  <si>
    <t>1318 RIVERSIDE DR.</t>
  </si>
  <si>
    <t>80767668</t>
  </si>
  <si>
    <t>THE BOILER ROOM</t>
  </si>
  <si>
    <t>2210 N CALIFORNIA AVE</t>
  </si>
  <si>
    <t>30699805</t>
  </si>
  <si>
    <t>PALOS LANES</t>
  </si>
  <si>
    <t>11025 SOUTHWEST HIGHWAY</t>
  </si>
  <si>
    <t>570705</t>
  </si>
  <si>
    <t>200 W. OGDEN AVE.</t>
  </si>
  <si>
    <t>30483093</t>
  </si>
  <si>
    <t>RUBYES REST,</t>
  </si>
  <si>
    <t>8125  S HALSTED</t>
  </si>
  <si>
    <t>80682586</t>
  </si>
  <si>
    <t>BLU RAZZ</t>
  </si>
  <si>
    <t>10894467</t>
  </si>
  <si>
    <t>STANLEY'S ALE HSE &amp; REST.</t>
  </si>
  <si>
    <t>335 S MCLEAN BLVD</t>
  </si>
  <si>
    <t>878363</t>
  </si>
  <si>
    <t>SANTIAGO'S MEXICAN RESTAU</t>
  </si>
  <si>
    <t>24 W CALENDAR AVE</t>
  </si>
  <si>
    <t>70914874</t>
  </si>
  <si>
    <t>EL CORTEZ MEX REST/MOKENA</t>
  </si>
  <si>
    <t>10128 WEST 191ST STREET</t>
  </si>
  <si>
    <t>20527644</t>
  </si>
  <si>
    <t>SUSHI THAI RESTAURANT</t>
  </si>
  <si>
    <t>1742 MILWAUKEE AVE</t>
  </si>
  <si>
    <t>20482568</t>
  </si>
  <si>
    <t>HEAVEN ON SEVEN ON CL</t>
  </si>
  <si>
    <t>3478 N CLARK ST</t>
  </si>
  <si>
    <t>11111648</t>
  </si>
  <si>
    <t>TIPSTERS VILLAGE PUB</t>
  </si>
  <si>
    <t>8839 W CERMAK ROAD</t>
  </si>
  <si>
    <t>41332131</t>
  </si>
  <si>
    <t>THE ROOST COMMISSARY</t>
  </si>
  <si>
    <t>60485166</t>
  </si>
  <si>
    <t>HOME RUN INN PIZZA CO</t>
  </si>
  <si>
    <t>1300 INTERNATIONALE PRKWY</t>
  </si>
  <si>
    <t>41026592</t>
  </si>
  <si>
    <t>FFF ROCKIT BAR &amp; GRILL</t>
  </si>
  <si>
    <t>61090353</t>
  </si>
  <si>
    <t>MAHONEYS PUB &amp; GRILLE</t>
  </si>
  <si>
    <t>551 N OGDEN</t>
  </si>
  <si>
    <t>40289423</t>
  </si>
  <si>
    <t>MANCINO'S-LANSING**COLL**</t>
  </si>
  <si>
    <t>3300 RIDGE RD</t>
  </si>
  <si>
    <t>50720242</t>
  </si>
  <si>
    <t>MORGAN'S</t>
  </si>
  <si>
    <t>18700 OLD PLANK ROAD</t>
  </si>
  <si>
    <t>70728217</t>
  </si>
  <si>
    <t>BLACK ROCK PUB &amp; KITCHEN</t>
  </si>
  <si>
    <t>3614 N. DAMEN AVE.</t>
  </si>
  <si>
    <t>20035606</t>
  </si>
  <si>
    <t>9300 SKOKIE BLVD</t>
  </si>
  <si>
    <t>20591590</t>
  </si>
  <si>
    <t>6909 W. ARCHER AVE.</t>
  </si>
  <si>
    <t>20811626</t>
  </si>
  <si>
    <t>SUNDANCE SALOON**COLL**</t>
  </si>
  <si>
    <t>300 LAKEHURST RD</t>
  </si>
  <si>
    <t>81332249</t>
  </si>
  <si>
    <t>THE MASON JAR</t>
  </si>
  <si>
    <t>50219542</t>
  </si>
  <si>
    <t>BRADFORDS REST.**COLL**</t>
  </si>
  <si>
    <t>629 S 8TH STREET</t>
  </si>
  <si>
    <t>20318945</t>
  </si>
  <si>
    <t>CHICAGO HOT DOG #4106</t>
  </si>
  <si>
    <t>96 RIVER OAKS CENTER</t>
  </si>
  <si>
    <t>91220012</t>
  </si>
  <si>
    <t>CHICK N' RUN</t>
  </si>
  <si>
    <t>126 W BOUGHTON RD</t>
  </si>
  <si>
    <t>10034965</t>
  </si>
  <si>
    <t>CANTEEN #28597/CHGO TRIBU</t>
  </si>
  <si>
    <t>435 N MICHIGAN AVE *FD*</t>
  </si>
  <si>
    <t>989046</t>
  </si>
  <si>
    <t>BISTRO KAITO</t>
  </si>
  <si>
    <t>175 W GOLF ROAD</t>
  </si>
  <si>
    <t>51310118</t>
  </si>
  <si>
    <t>ROGERS WINGS</t>
  </si>
  <si>
    <t>6750 N SHERIDAN RD</t>
  </si>
  <si>
    <t>312348</t>
  </si>
  <si>
    <t>CHIPOTLE MEX.GRILL #0087</t>
  </si>
  <si>
    <t>711 CHURCH ST</t>
  </si>
  <si>
    <t>20571469</t>
  </si>
  <si>
    <t>COLL/ADAM'S RIB &amp; ALE HSE</t>
  </si>
  <si>
    <t>301 N. MILWAUKEE AVE</t>
  </si>
  <si>
    <t>51306231</t>
  </si>
  <si>
    <t>AUSTRIA CAFE 50 S</t>
  </si>
  <si>
    <t>50 S LASALLE</t>
  </si>
  <si>
    <t>80875313</t>
  </si>
  <si>
    <t>HONKY TONK BBQ</t>
  </si>
  <si>
    <t>1213 W. 18TH STREET</t>
  </si>
  <si>
    <t>10489185</t>
  </si>
  <si>
    <t>OSTERIA GIACOMO'S</t>
  </si>
  <si>
    <t>30318943</t>
  </si>
  <si>
    <t>CHICAGO HOT DOG #4105</t>
  </si>
  <si>
    <t>CHICAGO RIDGE MALL #462</t>
  </si>
  <si>
    <t>1327725</t>
  </si>
  <si>
    <t>LIVIA ITALIAN EATERY</t>
  </si>
  <si>
    <t>207 S 3RD ST</t>
  </si>
  <si>
    <t>91224170</t>
  </si>
  <si>
    <t>FRANCESCAS</t>
  </si>
  <si>
    <t>200 S 2ND ST</t>
  </si>
  <si>
    <t>10591683</t>
  </si>
  <si>
    <t>BROWN'S CHICKEN/JOLIET</t>
  </si>
  <si>
    <t>2301 W. JEFFERSON ST.</t>
  </si>
  <si>
    <t>71305924</t>
  </si>
  <si>
    <t>TOM'S RESTAURANT</t>
  </si>
  <si>
    <t>894 BURNHAM AVE</t>
  </si>
  <si>
    <t>10718823</t>
  </si>
  <si>
    <t>RX CAFE**COLL**</t>
  </si>
  <si>
    <t>113 WEST MAIN STREET</t>
  </si>
  <si>
    <t>90041658</t>
  </si>
  <si>
    <t>NEW STEVEN'S CAFE &amp; BAR</t>
  </si>
  <si>
    <t>2150 OGDEN</t>
  </si>
  <si>
    <t>80591688</t>
  </si>
  <si>
    <t>NORTH SHORE CAFETERIA</t>
  </si>
  <si>
    <t>565 W ADAM ST</t>
  </si>
  <si>
    <t>50995182</t>
  </si>
  <si>
    <t>STONEY POINT BAR &amp; GRILL</t>
  </si>
  <si>
    <t>21338702</t>
  </si>
  <si>
    <t>DAO JAPANESE STEAKHOUSE S</t>
  </si>
  <si>
    <t>200 BURR RIDGE PKWY</t>
  </si>
  <si>
    <t>21176938</t>
  </si>
  <si>
    <t>ANVIL CLUB</t>
  </si>
  <si>
    <t>309 MEIER ST</t>
  </si>
  <si>
    <t>428508</t>
  </si>
  <si>
    <t>GREGORY CARTER</t>
  </si>
  <si>
    <t>1925 HIGHLAND AVE</t>
  </si>
  <si>
    <t>50340488</t>
  </si>
  <si>
    <t>LAKE BLUFF GOLF COURSE</t>
  </si>
  <si>
    <t>355 W. WASHINGTON AVE.</t>
  </si>
  <si>
    <t>10483501</t>
  </si>
  <si>
    <t>PUERTO VALLARTA REST.</t>
  </si>
  <si>
    <t>71152797</t>
  </si>
  <si>
    <t>BAKE FOR ME  #3</t>
  </si>
  <si>
    <t>303 E WACKER DR</t>
  </si>
  <si>
    <t>81301400</t>
  </si>
  <si>
    <t>BLIND BARBER</t>
  </si>
  <si>
    <t>948 W FULTON MARKET</t>
  </si>
  <si>
    <t>90906983</t>
  </si>
  <si>
    <t>SAMMIES (GRAYSLAKE)</t>
  </si>
  <si>
    <t>799 E. BELVIDERE RD</t>
  </si>
  <si>
    <t>11191566</t>
  </si>
  <si>
    <t>PALADINOS PIZZA HOUSE</t>
  </si>
  <si>
    <t>1647 W CORTLAND ST</t>
  </si>
  <si>
    <t>31042112</t>
  </si>
  <si>
    <t>J J GRILL</t>
  </si>
  <si>
    <t>616 E. 79TH</t>
  </si>
  <si>
    <t>11016359</t>
  </si>
  <si>
    <t>DEMA'S CAFE</t>
  </si>
  <si>
    <t>240 SPRUCE RD</t>
  </si>
  <si>
    <t>90483314</t>
  </si>
  <si>
    <t>GOLDEN CHEF</t>
  </si>
  <si>
    <t>600 S MILWAUKEE</t>
  </si>
  <si>
    <t>10954568</t>
  </si>
  <si>
    <t>FIAMICOQ</t>
  </si>
  <si>
    <t>226 N. SHERIDAN RD</t>
  </si>
  <si>
    <t>50877166</t>
  </si>
  <si>
    <t>CIRCLE OF SERBIAN SISTERS</t>
  </si>
  <si>
    <t>5701 N. REDWOOD DRIVE</t>
  </si>
  <si>
    <t>20966867</t>
  </si>
  <si>
    <t>TAQUERIA EL TORO RESTAURT</t>
  </si>
  <si>
    <t>217 W GRAND AVE</t>
  </si>
  <si>
    <t>11152360</t>
  </si>
  <si>
    <t>CAFFE BACI WACKER DRIVE</t>
  </si>
  <si>
    <t>225 W WACKER DR</t>
  </si>
  <si>
    <t>30559256</t>
  </si>
  <si>
    <t>DOS AMIGOS</t>
  </si>
  <si>
    <t>119 W. PLYMOUTH</t>
  </si>
  <si>
    <t>BREMEN</t>
  </si>
  <si>
    <t>46506</t>
  </si>
  <si>
    <t>30184238</t>
  </si>
  <si>
    <t>PIER MANAGEMNT(CONCESSION</t>
  </si>
  <si>
    <t>51308674</t>
  </si>
  <si>
    <t>LITTLE ROCK STOCK CAFE</t>
  </si>
  <si>
    <t>304 BARRINGTON RD</t>
  </si>
  <si>
    <t>318873</t>
  </si>
  <si>
    <t>POPEYES #2352**COLL**</t>
  </si>
  <si>
    <t>300 E 35TH ST</t>
  </si>
  <si>
    <t>61226858</t>
  </si>
  <si>
    <t>BARRACO'S ORLAND HILLS</t>
  </si>
  <si>
    <t>8915 W.159TH STREET</t>
  </si>
  <si>
    <t>71265326</t>
  </si>
  <si>
    <t>PAPA BEAR RESTAURANT :)</t>
  </si>
  <si>
    <t>2340 N FARNSWORTH AVE</t>
  </si>
  <si>
    <t>61131645</t>
  </si>
  <si>
    <t>7101 S HARLEM AVE</t>
  </si>
  <si>
    <t>30483978</t>
  </si>
  <si>
    <t>RIOJA**COLL**</t>
  </si>
  <si>
    <t>5101 N CLARK</t>
  </si>
  <si>
    <t>50482108</t>
  </si>
  <si>
    <t>MY FAVORITE INN**COLL**</t>
  </si>
  <si>
    <t>11 HIGHWOOD AVE</t>
  </si>
  <si>
    <t>31344336</t>
  </si>
  <si>
    <t>WESTEND</t>
  </si>
  <si>
    <t>1326 W MADISON ST</t>
  </si>
  <si>
    <t>50491166</t>
  </si>
  <si>
    <t>BLOCK 44  **COLL**</t>
  </si>
  <si>
    <t>4363 N. LINCOLN AVE.</t>
  </si>
  <si>
    <t>60553310</t>
  </si>
  <si>
    <t>SALAD BOWL REST</t>
  </si>
  <si>
    <t>909 LINCOLN AVE</t>
  </si>
  <si>
    <t>HOLLAND</t>
  </si>
  <si>
    <t>49423</t>
  </si>
  <si>
    <t>80966708</t>
  </si>
  <si>
    <t>BROOSTERS</t>
  </si>
  <si>
    <t>434 W. 22ND STREET</t>
  </si>
  <si>
    <t>80591720</t>
  </si>
  <si>
    <t>BROWN'S CHICKEN/WAUKEGAN</t>
  </si>
  <si>
    <t>3150 BELVIDERE</t>
  </si>
  <si>
    <t>70984174</t>
  </si>
  <si>
    <t>VILLAGE VINTNER WINERY</t>
  </si>
  <si>
    <t>2380 ESPLANDE DR.</t>
  </si>
  <si>
    <t>886259</t>
  </si>
  <si>
    <t>DINO'S PIZZA</t>
  </si>
  <si>
    <t>7004 W HIGGINS</t>
  </si>
  <si>
    <t>40594715</t>
  </si>
  <si>
    <t>RUSTIC RESTAURANT**COLL**</t>
  </si>
  <si>
    <t>2515 NORTH CALIFORNIA</t>
  </si>
  <si>
    <t>31044035</t>
  </si>
  <si>
    <t>ALADDIN MEDITERRANEAN GRI</t>
  </si>
  <si>
    <t>1644  S  RANDALL ROAD</t>
  </si>
  <si>
    <t>41335787</t>
  </si>
  <si>
    <t>VILLAGE TAVERN ELGIN</t>
  </si>
  <si>
    <t>464 REDINGTON DR</t>
  </si>
  <si>
    <t>91180901</t>
  </si>
  <si>
    <t>MESA URBANA</t>
  </si>
  <si>
    <t>3566 MILWAUKEE AVE</t>
  </si>
  <si>
    <t>60593928</t>
  </si>
  <si>
    <t>LE COLONIAL</t>
  </si>
  <si>
    <t>937 N.RUSH ST</t>
  </si>
  <si>
    <t>51284511</t>
  </si>
  <si>
    <t>TALL TAILS GRILL CAFE</t>
  </si>
  <si>
    <t>39700 N LEWIS AVE</t>
  </si>
  <si>
    <t>51131035</t>
  </si>
  <si>
    <t>BRODY'S IRISH PUB</t>
  </si>
  <si>
    <t>90559915</t>
  </si>
  <si>
    <t>STATE STREET BAR **COLL**</t>
  </si>
  <si>
    <t>502 STATE STREET</t>
  </si>
  <si>
    <t>31084650</t>
  </si>
  <si>
    <t>JOHN'S PIZZA &amp; CATERING</t>
  </si>
  <si>
    <t>247 RIDGE ROAD</t>
  </si>
  <si>
    <t>21129689</t>
  </si>
  <si>
    <t>GAMBA RISTORANTE</t>
  </si>
  <si>
    <t>455 E 84TH DR</t>
  </si>
  <si>
    <t>70954581</t>
  </si>
  <si>
    <t>MOM'S HOME CAFE</t>
  </si>
  <si>
    <t>1113 PINELAKE AVE</t>
  </si>
  <si>
    <t>40955791</t>
  </si>
  <si>
    <t>1843 GLENVIEW ROAD</t>
  </si>
  <si>
    <t>41023672</t>
  </si>
  <si>
    <t>61253662</t>
  </si>
  <si>
    <t>ERIK'S DELI</t>
  </si>
  <si>
    <t>2 PIERCE PL</t>
  </si>
  <si>
    <t>10031243</t>
  </si>
  <si>
    <t>CAMP MOYOCA</t>
  </si>
  <si>
    <t>22925 W  VILLA RICA RD</t>
  </si>
  <si>
    <t>61256889</t>
  </si>
  <si>
    <t>THE ROOKERY</t>
  </si>
  <si>
    <t>2109 W CHICAGO AVE</t>
  </si>
  <si>
    <t>71243984</t>
  </si>
  <si>
    <t>3RD COAST CAFE &amp; WINE BAR</t>
  </si>
  <si>
    <t>1260 N DEARBORN ST</t>
  </si>
  <si>
    <t>91255463</t>
  </si>
  <si>
    <t>BURTON PLACE</t>
  </si>
  <si>
    <t>1447 N WELLS ST</t>
  </si>
  <si>
    <t>61311809</t>
  </si>
  <si>
    <t>THAT LITTLE MEXICAN CAFE</t>
  </si>
  <si>
    <t>1010 CHURCH ST</t>
  </si>
  <si>
    <t>40994261</t>
  </si>
  <si>
    <t>MITCHELL'S HOT DOGS</t>
  </si>
  <si>
    <t>847 N WILKE RD</t>
  </si>
  <si>
    <t>10462562</t>
  </si>
  <si>
    <t>BENNIGAN'S/GARY**COLL**</t>
  </si>
  <si>
    <t>500 EAST 5TH AVE.</t>
  </si>
  <si>
    <t>90855685</t>
  </si>
  <si>
    <t>KAFEIN</t>
  </si>
  <si>
    <t>1621 CHICAGO AVE</t>
  </si>
  <si>
    <t>60697950</t>
  </si>
  <si>
    <t>KOHAN JAPANESE **COLL**</t>
  </si>
  <si>
    <t>730 W. MAXWELL STREET</t>
  </si>
  <si>
    <t>30732515</t>
  </si>
  <si>
    <t>PALMER PLACE</t>
  </si>
  <si>
    <t>56 S LAGRANGE ROAD</t>
  </si>
  <si>
    <t>91015099</t>
  </si>
  <si>
    <t>CARLUCCIO'S</t>
  </si>
  <si>
    <t>801 SUPREME DRIVE</t>
  </si>
  <si>
    <t>40032328</t>
  </si>
  <si>
    <t>GUIDO'S</t>
  </si>
  <si>
    <t>210 SO. WAUKEGAN RD</t>
  </si>
  <si>
    <t>61116893</t>
  </si>
  <si>
    <t>BURGUNDY RESTAURANT</t>
  </si>
  <si>
    <t>5959 W IRVING PARK RD</t>
  </si>
  <si>
    <t>10103166</t>
  </si>
  <si>
    <t>MAMA MIA</t>
  </si>
  <si>
    <t>3316 N HALSTED ST</t>
  </si>
  <si>
    <t>81237323</t>
  </si>
  <si>
    <t>70483961</t>
  </si>
  <si>
    <t>MERLES RIBS*</t>
  </si>
  <si>
    <t>1727 BENSON</t>
  </si>
  <si>
    <t>91189126</t>
  </si>
  <si>
    <t>AURELIOS PIZZA</t>
  </si>
  <si>
    <t>601 E 170TH ST</t>
  </si>
  <si>
    <t>61297776</t>
  </si>
  <si>
    <t>13057 WESTERN AVE</t>
  </si>
  <si>
    <t>60029006</t>
  </si>
  <si>
    <t>JOHNNYS PIZZA  *PG*</t>
  </si>
  <si>
    <t>265 S SCHUYLER</t>
  </si>
  <si>
    <t>91332452</t>
  </si>
  <si>
    <t>ROYAL CRAB HOUSE</t>
  </si>
  <si>
    <t>787 E DUNDEE RD</t>
  </si>
  <si>
    <t>10470763</t>
  </si>
  <si>
    <t>AMF FOREST LANES    00165</t>
  </si>
  <si>
    <t>7700 W. 47TH STREET</t>
  </si>
  <si>
    <t>31073174</t>
  </si>
  <si>
    <t>FORNO PALESE</t>
  </si>
  <si>
    <t>369 N. WOOD DALE ROAD</t>
  </si>
  <si>
    <t>90993189</t>
  </si>
  <si>
    <t>MACARENA TAPAS-NAPERVILLE</t>
  </si>
  <si>
    <t>618 S ROUTE 59 #120</t>
  </si>
  <si>
    <t>20470787</t>
  </si>
  <si>
    <t>AMF VALLEY LANES    00382</t>
  </si>
  <si>
    <t>310 S LINCOLN WAY</t>
  </si>
  <si>
    <t>10110054</t>
  </si>
  <si>
    <t>157768</t>
  </si>
  <si>
    <t>KALIPSOS FAM **COL**BD DT</t>
  </si>
  <si>
    <t>7206 CALUMET AVE</t>
  </si>
  <si>
    <t>60300829</t>
  </si>
  <si>
    <t>RUSSELLS BBQ</t>
  </si>
  <si>
    <t>1621 THATCHER AVE</t>
  </si>
  <si>
    <t>60677</t>
  </si>
  <si>
    <t>70482930</t>
  </si>
  <si>
    <t>KING OF THE GREENS**COLL*</t>
  </si>
  <si>
    <t>1001 HILL AVE</t>
  </si>
  <si>
    <t>31289960</t>
  </si>
  <si>
    <t>BERGSTEINS NY DELICATES</t>
  </si>
  <si>
    <t>200 DIXIE HWY SUITE F</t>
  </si>
  <si>
    <t>10525988</t>
  </si>
  <si>
    <t>POPOLANO'S**COLL**</t>
  </si>
  <si>
    <t>61152476</t>
  </si>
  <si>
    <t>CAFFE BACI S LASALLE</t>
  </si>
  <si>
    <t>60337847</t>
  </si>
  <si>
    <t>JAMES JOYCE IRISH PUB</t>
  </si>
  <si>
    <t>7138 W. WINDSOR</t>
  </si>
  <si>
    <t>20573135</t>
  </si>
  <si>
    <t>OMAGGIO REST**COLL**</t>
  </si>
  <si>
    <t>1639 ORRINGTON AVE.</t>
  </si>
  <si>
    <t>40923781</t>
  </si>
  <si>
    <t>EGG HARBOR/ARLINGTON HEIG</t>
  </si>
  <si>
    <t>140 EAST WING STREET</t>
  </si>
  <si>
    <t>70208269</t>
  </si>
  <si>
    <t>AA/AMERICA'S DOG</t>
  </si>
  <si>
    <t>700 E GRAND AVE (NAVY PIR</t>
  </si>
  <si>
    <t>80649155</t>
  </si>
  <si>
    <t>THE RACK BAR &amp; GRILL</t>
  </si>
  <si>
    <t>11011 SOUTHWEST HIGHWAY</t>
  </si>
  <si>
    <t>91296285</t>
  </si>
  <si>
    <t>BURGER CITY</t>
  </si>
  <si>
    <t>6466 COLLEGE RD</t>
  </si>
  <si>
    <t>11024247</t>
  </si>
  <si>
    <t>SALSA 17</t>
  </si>
  <si>
    <t>17 W CAMPBELL ST</t>
  </si>
  <si>
    <t>30994909</t>
  </si>
  <si>
    <t>BURRITO HOUSE</t>
  </si>
  <si>
    <t>9001 N. MILWAUKEE AVE.</t>
  </si>
  <si>
    <t>61201679</t>
  </si>
  <si>
    <t>PIZZERIA NEO / NAPERVILLE</t>
  </si>
  <si>
    <t>47 CHICAGO AVENUE</t>
  </si>
  <si>
    <t>1295062</t>
  </si>
  <si>
    <t>TREDWELL COFFEE</t>
  </si>
  <si>
    <t>14 W DOWNER PL</t>
  </si>
  <si>
    <t>21124565</t>
  </si>
  <si>
    <t>AMBER</t>
  </si>
  <si>
    <t>30923015</t>
  </si>
  <si>
    <t>DEPOT NUEVO</t>
  </si>
  <si>
    <t>1139 WILMETTE AVE</t>
  </si>
  <si>
    <t>40938037</t>
  </si>
  <si>
    <t>1157 WILMETTE AVE</t>
  </si>
  <si>
    <t>90415183</t>
  </si>
  <si>
    <t>CHICAGO RIB HOUSE *COLL*</t>
  </si>
  <si>
    <t>3851 S. MICHIGAN AVE</t>
  </si>
  <si>
    <t>50335215</t>
  </si>
  <si>
    <t>HANK'S STEAKHOUSE*COLL**</t>
  </si>
  <si>
    <t>13115 LAKESHORE DR.</t>
  </si>
  <si>
    <t>41269903</t>
  </si>
  <si>
    <t>TANGO 2</t>
  </si>
  <si>
    <t>5 JACKSON AVE</t>
  </si>
  <si>
    <t>70506134</t>
  </si>
  <si>
    <t>GREAT WRAPS/TIN PK*COLL*</t>
  </si>
  <si>
    <t>16205 S. HARLEM - SUITE E</t>
  </si>
  <si>
    <t>31083306</t>
  </si>
  <si>
    <t>BILLYS BEEF,HOTDOGS &amp; MOR</t>
  </si>
  <si>
    <t>2020 N RT 12</t>
  </si>
  <si>
    <t>31311608</t>
  </si>
  <si>
    <t>NIGHT FISH</t>
  </si>
  <si>
    <t>1421 W CHICAGO AVE</t>
  </si>
  <si>
    <t>41319310</t>
  </si>
  <si>
    <t>CHICAGO DINER SKOKIE TECH</t>
  </si>
  <si>
    <t>7518 SAINT LOUIS AVE UNIT</t>
  </si>
  <si>
    <t>80114796</t>
  </si>
  <si>
    <t>MICH CITY YACHT CLUB-COLL</t>
  </si>
  <si>
    <t>17 PARK DR</t>
  </si>
  <si>
    <t>11340668</t>
  </si>
  <si>
    <t>BAD APPLE BAR</t>
  </si>
  <si>
    <t>4300 N LINCOLN AVE</t>
  </si>
  <si>
    <t>30613111</t>
  </si>
  <si>
    <t>WALKER'S RIBS **COLL**</t>
  </si>
  <si>
    <t>1109 BROADWAY</t>
  </si>
  <si>
    <t>21252572</t>
  </si>
  <si>
    <t>CHEESIE'S WICKER PARK</t>
  </si>
  <si>
    <t>1365 N MILWAUKEE AVE</t>
  </si>
  <si>
    <t>71064034</t>
  </si>
  <si>
    <t>QUEST EATERY</t>
  </si>
  <si>
    <t>1204 W LINCOLN HIGHAWY</t>
  </si>
  <si>
    <t>51307205</t>
  </si>
  <si>
    <t>KEN'S DINER AND GRILL</t>
  </si>
  <si>
    <t>3353 DEMPSTER ST</t>
  </si>
  <si>
    <t>80484181</t>
  </si>
  <si>
    <t>DAIRY QUEEN 18461</t>
  </si>
  <si>
    <t>948 ARMY TRAIL RD</t>
  </si>
  <si>
    <t>90484650</t>
  </si>
  <si>
    <t>SEARS TOWER CHEF EXPR</t>
  </si>
  <si>
    <t>233 S WACKER</t>
  </si>
  <si>
    <t>60889995</t>
  </si>
  <si>
    <t>THE COOK</t>
  </si>
  <si>
    <t>1448 GLENCOE AVE</t>
  </si>
  <si>
    <t>90482845</t>
  </si>
  <si>
    <t>HALF SHELL</t>
  </si>
  <si>
    <t>676 W DIVERSEY</t>
  </si>
  <si>
    <t>70954672</t>
  </si>
  <si>
    <t>BUFFALOES ICE CREAM</t>
  </si>
  <si>
    <t>1180 LAKE COOK RD</t>
  </si>
  <si>
    <t>30907422</t>
  </si>
  <si>
    <t>2 W. NAPERVILLE ROAD</t>
  </si>
  <si>
    <t>20483368</t>
  </si>
  <si>
    <t>GOLDEN PALACE**COLL**</t>
  </si>
  <si>
    <t>915 W IRVING PARK</t>
  </si>
  <si>
    <t>60591708</t>
  </si>
  <si>
    <t>BROWN'S CHICKEN/LOCKPORT</t>
  </si>
  <si>
    <t>1055 E. 9TH STREET</t>
  </si>
  <si>
    <t>81120693</t>
  </si>
  <si>
    <t>CHICK CAGO GRILLE</t>
  </si>
  <si>
    <t>520 N. MICHIGAN</t>
  </si>
  <si>
    <t>91102541</t>
  </si>
  <si>
    <t>MINGLE JUICE BAR</t>
  </si>
  <si>
    <t>1830 TOWER DRIVE</t>
  </si>
  <si>
    <t>1304344</t>
  </si>
  <si>
    <t>BUDDYZ PIZZA MCHENRY</t>
  </si>
  <si>
    <t>1138 N GREEN ST</t>
  </si>
  <si>
    <t>41343906</t>
  </si>
  <si>
    <t>BLAKE ALEXANDERS</t>
  </si>
  <si>
    <t>3838 W 141ST AVE</t>
  </si>
  <si>
    <t>81203200</t>
  </si>
  <si>
    <t>THE HARDING TAVERN</t>
  </si>
  <si>
    <t>2732 N MILWAUKEE AVE</t>
  </si>
  <si>
    <t>81340671</t>
  </si>
  <si>
    <t>FRANKIE'S BEEF &amp; PASTA</t>
  </si>
  <si>
    <t>5721 W 95TH ST</t>
  </si>
  <si>
    <t>11185154</t>
  </si>
  <si>
    <t>20030649</t>
  </si>
  <si>
    <t>ALEXANDER'S REST</t>
  </si>
  <si>
    <t>217 W HURON</t>
  </si>
  <si>
    <t>31145238</t>
  </si>
  <si>
    <t>CATALPA KITCHEN/LR REST G</t>
  </si>
  <si>
    <t>1304096</t>
  </si>
  <si>
    <t>TEXICAN CHICAGO</t>
  </si>
  <si>
    <t>869 N LARRABEE ST</t>
  </si>
  <si>
    <t>10901858</t>
  </si>
  <si>
    <t>TOSCANA ITAL AMERCAN REST</t>
  </si>
  <si>
    <t>1859 W. CENTRAL AVE</t>
  </si>
  <si>
    <t>20092532</t>
  </si>
  <si>
    <t>MATEO'S II **COLL*</t>
  </si>
  <si>
    <t>6817 W MONTROSE</t>
  </si>
  <si>
    <t>40916884</t>
  </si>
  <si>
    <t>GILSONS</t>
  </si>
  <si>
    <t>1126 CENTRAL STREET</t>
  </si>
  <si>
    <t>50484666</t>
  </si>
  <si>
    <t>SEARS TOWER DOS HERMA</t>
  </si>
  <si>
    <t>683771</t>
  </si>
  <si>
    <t>CHICAGO PIZZA **COLL**</t>
  </si>
  <si>
    <t>4075 FOX VALLEY CENTER DR</t>
  </si>
  <si>
    <t>20520003</t>
  </si>
  <si>
    <t>SULTAN CAFE **COLL**</t>
  </si>
  <si>
    <t>2037 W. GLENN PARK AVE</t>
  </si>
  <si>
    <t>50576750</t>
  </si>
  <si>
    <t>DUNDEE BAR &amp; GRILL**COLL*</t>
  </si>
  <si>
    <t>1959 HUNTLEY RD</t>
  </si>
  <si>
    <t>41110040</t>
  </si>
  <si>
    <t>11TH ST RODEO BAR</t>
  </si>
  <si>
    <t>1103 FRANKLIN</t>
  </si>
  <si>
    <t>31081144</t>
  </si>
  <si>
    <t>BONNY'S BISTRO JOLIET</t>
  </si>
  <si>
    <t>1310 N. LARKIN AVE</t>
  </si>
  <si>
    <t>30516751</t>
  </si>
  <si>
    <t>LITTLE LOUIE'S RED HOTS</t>
  </si>
  <si>
    <t>1342 SHERMER ROAD</t>
  </si>
  <si>
    <t>50559269</t>
  </si>
  <si>
    <t>BURRITO BRAVO CHICAGO</t>
  </si>
  <si>
    <t>750 S. HALSTED</t>
  </si>
  <si>
    <t>1296508</t>
  </si>
  <si>
    <t>FIESTA MEXICANA BROADWAY</t>
  </si>
  <si>
    <t>4806 N BROADWAY ST</t>
  </si>
  <si>
    <t>70030903</t>
  </si>
  <si>
    <t>CACCIATORE INC</t>
  </si>
  <si>
    <t>25 DANADA SQUARE</t>
  </si>
  <si>
    <t>60513116</t>
  </si>
  <si>
    <t>MONKEY DISH  **COLL**</t>
  </si>
  <si>
    <t>5572 W.GRAND AVE</t>
  </si>
  <si>
    <t>50717743</t>
  </si>
  <si>
    <t>ANYWAY'S GRILL &amp; PUB :)</t>
  </si>
  <si>
    <t>304 W. ARMY TRAIL ROAD</t>
  </si>
  <si>
    <t>1104231</t>
  </si>
  <si>
    <t>THE MARQ</t>
  </si>
  <si>
    <t>60 W ADAMS</t>
  </si>
  <si>
    <t>20600904</t>
  </si>
  <si>
    <t>THE PUBLICAN</t>
  </si>
  <si>
    <t>837 WEST FULTON ST</t>
  </si>
  <si>
    <t>51133981</t>
  </si>
  <si>
    <t>BUDDY'S DRIVE IN</t>
  </si>
  <si>
    <t>613 DIXIE HWY</t>
  </si>
  <si>
    <t>559641</t>
  </si>
  <si>
    <t>SALAD SPINNERS -AON*COLL*</t>
  </si>
  <si>
    <t>200 E. RANDOLPH ST.</t>
  </si>
  <si>
    <t>90162942</t>
  </si>
  <si>
    <t>BISMARCK ENTERPRISE CORP</t>
  </si>
  <si>
    <t>680 N LAKESHORE DR</t>
  </si>
  <si>
    <t>70714902</t>
  </si>
  <si>
    <t>ORCHID</t>
  </si>
  <si>
    <t>201 STRATFORD SQUARE DRIV</t>
  </si>
  <si>
    <t>41243304</t>
  </si>
  <si>
    <t>60516481</t>
  </si>
  <si>
    <t>BOTTAIO</t>
  </si>
  <si>
    <t>946 N. MILWAUKEE AVE.</t>
  </si>
  <si>
    <t>81307381</t>
  </si>
  <si>
    <t>30912976</t>
  </si>
  <si>
    <t>20944567</t>
  </si>
  <si>
    <t>DUNLAYS ON THE SQUARE</t>
  </si>
  <si>
    <t>700476</t>
  </si>
  <si>
    <t>BOSTON BLACKIES/COM *DIP*</t>
  </si>
  <si>
    <t>70483722</t>
  </si>
  <si>
    <t>MARTINI ROOM</t>
  </si>
  <si>
    <t>161 E CHICAGO</t>
  </si>
  <si>
    <t>60483641</t>
  </si>
  <si>
    <t>LAKE COUNTY CAFE</t>
  </si>
  <si>
    <t>50 S RT 45</t>
  </si>
  <si>
    <t>51026219</t>
  </si>
  <si>
    <t>XXFFF ARTOPOLIS CAFE &amp; BA</t>
  </si>
  <si>
    <t>306-308 S HALSTED ST</t>
  </si>
  <si>
    <t>80386485</t>
  </si>
  <si>
    <t>APPLE VALLEY PANCAKE HOUS</t>
  </si>
  <si>
    <t>1961 W. WILSON STREET</t>
  </si>
  <si>
    <t>80256167</t>
  </si>
  <si>
    <t>LAGRANGE VIEW **COLL**</t>
  </si>
  <si>
    <t>49 S LAGRANGE RD</t>
  </si>
  <si>
    <t>1026442</t>
  </si>
  <si>
    <t>FFF MACY'S WALNUT ROOM</t>
  </si>
  <si>
    <t>41027582</t>
  </si>
  <si>
    <t>VIO CAFE AND GRILL</t>
  </si>
  <si>
    <t>2339 DAMEN ST</t>
  </si>
  <si>
    <t>11104502</t>
  </si>
  <si>
    <t>HI VIBE</t>
  </si>
  <si>
    <t>222 MERCHANDISE PLAZA</t>
  </si>
  <si>
    <t>61089074</t>
  </si>
  <si>
    <t>HEAT PIZZA</t>
  </si>
  <si>
    <t>182 RANDHURST VILLAGE DRI</t>
  </si>
  <si>
    <t>11192010</t>
  </si>
  <si>
    <t>BEER BISTRO MADISON</t>
  </si>
  <si>
    <t>90494196</t>
  </si>
  <si>
    <t>DELI 3 DAYCARE</t>
  </si>
  <si>
    <t>5334 SEARS PARKWAY</t>
  </si>
  <si>
    <t>91306837</t>
  </si>
  <si>
    <t>640 W 63RD ST</t>
  </si>
  <si>
    <t>50520915</t>
  </si>
  <si>
    <t>WILD FISH #2</t>
  </si>
  <si>
    <t>91230326</t>
  </si>
  <si>
    <t>ANNOYANCE BAR &amp; THEATRE</t>
  </si>
  <si>
    <t>851 W BELMONT AVE</t>
  </si>
  <si>
    <t>50296490</t>
  </si>
  <si>
    <t>ESPN ZONE</t>
  </si>
  <si>
    <t>500 S BUENA VISTA ST</t>
  </si>
  <si>
    <t>91521</t>
  </si>
  <si>
    <t>20482543</t>
  </si>
  <si>
    <t>COLD COMFORT CAFE &amp; D</t>
  </si>
  <si>
    <t>2211 WEST NORTH AVENUE</t>
  </si>
  <si>
    <t>20699336</t>
  </si>
  <si>
    <t>PAMELA'S PARKSIDE*COLL**</t>
  </si>
  <si>
    <t>27 W CAMPBELL</t>
  </si>
  <si>
    <t>10601748</t>
  </si>
  <si>
    <t>DUNELAND BEACH INN</t>
  </si>
  <si>
    <t>3311 POTTAWATTAMIE TRAIL</t>
  </si>
  <si>
    <t>10462554</t>
  </si>
  <si>
    <t>BREWSKI'S   **COLL**</t>
  </si>
  <si>
    <t>1084 LINWOOD AVE.</t>
  </si>
  <si>
    <t>51242329</t>
  </si>
  <si>
    <t>KIE GOL LANEE</t>
  </si>
  <si>
    <t>5004 N SHERIDAN RD</t>
  </si>
  <si>
    <t>11204385</t>
  </si>
  <si>
    <t>SKOOTERS ROADHOUSE</t>
  </si>
  <si>
    <t>700 W JEFFERSON ST</t>
  </si>
  <si>
    <t>90482993</t>
  </si>
  <si>
    <t>BELVEDERE BANQUET**COLL**</t>
  </si>
  <si>
    <t>1170 DEVON AVE</t>
  </si>
  <si>
    <t>31182686</t>
  </si>
  <si>
    <t>RIVERWALK CAFE NAPERVILLE</t>
  </si>
  <si>
    <t>441 AURORA AVE</t>
  </si>
  <si>
    <t>20032512</t>
  </si>
  <si>
    <t>CLAIM CO REST</t>
  </si>
  <si>
    <t>900 N MICHIGAN AVE</t>
  </si>
  <si>
    <t>50575521</t>
  </si>
  <si>
    <t>REAL TIME SPORTS II*COLL*</t>
  </si>
  <si>
    <t>584 S RANDALL ROAD</t>
  </si>
  <si>
    <t>60396967</t>
  </si>
  <si>
    <t>BACCHUS NIBBLES BELVIDER</t>
  </si>
  <si>
    <t>217 SOUTH STATE STREET</t>
  </si>
  <si>
    <t>51339356</t>
  </si>
  <si>
    <t>MOLLYS ORIGINAL PANCAKE H</t>
  </si>
  <si>
    <t>572 W IL ROUTE 22</t>
  </si>
  <si>
    <t>61328548</t>
  </si>
  <si>
    <t>LABRIOLA CAFE LLC OAKBROO</t>
  </si>
  <si>
    <t>3021 BUTTERFIELD RD</t>
  </si>
  <si>
    <t>61250619</t>
  </si>
  <si>
    <t>BRIGHT CHICAGO</t>
  </si>
  <si>
    <t>326 N MORGAN ST</t>
  </si>
  <si>
    <t>90510983</t>
  </si>
  <si>
    <t>LA MAGDALENA #4</t>
  </si>
  <si>
    <t>469 REDINGTON DR</t>
  </si>
  <si>
    <t>61220067</t>
  </si>
  <si>
    <t>CAFE POMIGLIANO</t>
  </si>
  <si>
    <t>160 E COOK AVE</t>
  </si>
  <si>
    <t>11210358</t>
  </si>
  <si>
    <t>PEPPER PARK COFFEE SHOP</t>
  </si>
  <si>
    <t>50591593</t>
  </si>
  <si>
    <t>4359 N. PULASKI RD.</t>
  </si>
  <si>
    <t>51041952</t>
  </si>
  <si>
    <t>TOMMY NEVIN'S NAPERVILLE</t>
  </si>
  <si>
    <t>3032 ENGLISH ROWS</t>
  </si>
  <si>
    <t>11343084</t>
  </si>
  <si>
    <t>LUMES 83</t>
  </si>
  <si>
    <t>900 PLAINFIELD RD</t>
  </si>
  <si>
    <t>11195120</t>
  </si>
  <si>
    <t>PLATFORM 18 TAVERN &amp; GRIL</t>
  </si>
  <si>
    <t>40680977</t>
  </si>
  <si>
    <t>BAR LOUIE TAYLOR</t>
  </si>
  <si>
    <t>1321 W TAYLOR</t>
  </si>
  <si>
    <t>50909159</t>
  </si>
  <si>
    <t>OGGI TRATTORIA</t>
  </si>
  <si>
    <t>1378 W GRAND</t>
  </si>
  <si>
    <t>50697358</t>
  </si>
  <si>
    <t>JAMESON'S CRYSTAL LAKE:)</t>
  </si>
  <si>
    <t>20636338</t>
  </si>
  <si>
    <t>435 W. ILLINOIS AVE.</t>
  </si>
  <si>
    <t>81124695</t>
  </si>
  <si>
    <t>TOSCANI WOOD DALE</t>
  </si>
  <si>
    <t>356 GEORGETOWN SQ</t>
  </si>
  <si>
    <t>715227</t>
  </si>
  <si>
    <t>CZIMER'S GAME &amp; SEAFOOD</t>
  </si>
  <si>
    <t>13136 W. 159TH STREET</t>
  </si>
  <si>
    <t>718874</t>
  </si>
  <si>
    <t>POCKETS CATERING</t>
  </si>
  <si>
    <t>1894 NORTH MILWAUKEE AVE.</t>
  </si>
  <si>
    <t>71307458</t>
  </si>
  <si>
    <t>THE STANDARD BAR AND GRIL</t>
  </si>
  <si>
    <t>71285670</t>
  </si>
  <si>
    <t>THE ALIBI BARR &amp; GRILL</t>
  </si>
  <si>
    <t>91339002</t>
  </si>
  <si>
    <t>THE BOOK CELLAR</t>
  </si>
  <si>
    <t>4736 N LINCOLN AVE</t>
  </si>
  <si>
    <t>21327390</t>
  </si>
  <si>
    <t>AUSTRIA CAFE BURGER JOINT</t>
  </si>
  <si>
    <t>2800 W HIGGINS RD</t>
  </si>
  <si>
    <t>21155643</t>
  </si>
  <si>
    <t>30456552</t>
  </si>
  <si>
    <t>MRS. NOODLES **COLL**</t>
  </si>
  <si>
    <t>5956 W HIGGINS</t>
  </si>
  <si>
    <t>20142550</t>
  </si>
  <si>
    <t>ARMAGHETTI'S-STEVE COURI</t>
  </si>
  <si>
    <t>606 W HUDSON ST</t>
  </si>
  <si>
    <t>21285960</t>
  </si>
  <si>
    <t>WEST TOWN BAKERY WRIGLEY</t>
  </si>
  <si>
    <t>3630 N CLARK ST</t>
  </si>
  <si>
    <t>10097129</t>
  </si>
  <si>
    <t>DISCOVERY ZONE /WESTMONT</t>
  </si>
  <si>
    <t>6226 S CASS AVE</t>
  </si>
  <si>
    <t>80099518</t>
  </si>
  <si>
    <t>DISCOVERY ZONE/ VILLA PK</t>
  </si>
  <si>
    <t>154 W ROOSEVELT RD</t>
  </si>
  <si>
    <t>31337397</t>
  </si>
  <si>
    <t>BRICK HOUSE BAR &amp; GRILL</t>
  </si>
  <si>
    <t>230 MAIN ST</t>
  </si>
  <si>
    <t>10747988</t>
  </si>
  <si>
    <t>ROSEBUD STEAKHOUSE</t>
  </si>
  <si>
    <t>1043 N RUSH ST</t>
  </si>
  <si>
    <t>81333775</t>
  </si>
  <si>
    <t>VIRTUE</t>
  </si>
  <si>
    <t>1462 E 53RD ST</t>
  </si>
  <si>
    <t>90043001</t>
  </si>
  <si>
    <t>ROONEY'S ORIG LOBSTER HSE</t>
  </si>
  <si>
    <t>431 N DEARBORN ST</t>
  </si>
  <si>
    <t>51148161</t>
  </si>
  <si>
    <t>CONNIE JEAN'S CUISINE</t>
  </si>
  <si>
    <t>1933 N. MEACHAM RD</t>
  </si>
  <si>
    <t>10429132</t>
  </si>
  <si>
    <t>THE TEXAN BAR B Q</t>
  </si>
  <si>
    <t>105 W. ST.CHARLES RD</t>
  </si>
  <si>
    <t>20591608</t>
  </si>
  <si>
    <t>BROWN'S CHICKEN/ELK GROVE</t>
  </si>
  <si>
    <t>90 E. DEVON AVE.</t>
  </si>
  <si>
    <t>50028455</t>
  </si>
  <si>
    <t>AMBROSIA REST</t>
  </si>
  <si>
    <t>71161624</t>
  </si>
  <si>
    <t>BOBBERS</t>
  </si>
  <si>
    <t>710 N OLD RAND RD</t>
  </si>
  <si>
    <t>80934607</t>
  </si>
  <si>
    <t>FALAFEL BISTRO R.M.</t>
  </si>
  <si>
    <t>1669 ALGONQUIN</t>
  </si>
  <si>
    <t>81001554</t>
  </si>
  <si>
    <t>300 N. LAKE STREET</t>
  </si>
  <si>
    <t>71150122</t>
  </si>
  <si>
    <t>EL MARIACHI-TEQUILA BAR 3</t>
  </si>
  <si>
    <t>3906 N BROADWAY ST</t>
  </si>
  <si>
    <t>1026368</t>
  </si>
  <si>
    <t>FFF FIRST SLICE RAVENWOOD</t>
  </si>
  <si>
    <t>4401 N RAVENWOOD</t>
  </si>
  <si>
    <t>30617799</t>
  </si>
  <si>
    <t>DENNIS</t>
  </si>
  <si>
    <t>153 ELIZABETH</t>
  </si>
  <si>
    <t>60618931</t>
  </si>
  <si>
    <t>17731 OAK PARK AVE.</t>
  </si>
  <si>
    <t>873604</t>
  </si>
  <si>
    <t>CHEF DAVITO'S ITALIAN</t>
  </si>
  <si>
    <t>4000 N JOHNSBERG ROAD</t>
  </si>
  <si>
    <t>80463094</t>
  </si>
  <si>
    <t>PASTA PASTA</t>
  </si>
  <si>
    <t>1917 W. DIVISION ST.</t>
  </si>
  <si>
    <t>91294363</t>
  </si>
  <si>
    <t>ALADDIN'S HOUSE</t>
  </si>
  <si>
    <t>9348 S ROBERTS RD</t>
  </si>
  <si>
    <t>80890890</t>
  </si>
  <si>
    <t>WHOLLY FRIJOLES</t>
  </si>
  <si>
    <t>5414 GRAND AVE.</t>
  </si>
  <si>
    <t>60510203</t>
  </si>
  <si>
    <t>FIVE O'CLOCK STEAK HOUSE</t>
  </si>
  <si>
    <t>1050 EAST NORTHWEST HWY.</t>
  </si>
  <si>
    <t>91325373</t>
  </si>
  <si>
    <t>HUTCH RIVER NORTH</t>
  </si>
  <si>
    <t>416 W ONTARIO ST</t>
  </si>
  <si>
    <t>91124149</t>
  </si>
  <si>
    <t>LA HACIENDA #1 NOTE</t>
  </si>
  <si>
    <t>1571 W LAKE ST</t>
  </si>
  <si>
    <t>60548286</t>
  </si>
  <si>
    <t>ERIC ITALIAN RESTAURANT</t>
  </si>
  <si>
    <t>228 WASHINGTON</t>
  </si>
  <si>
    <t>50736396</t>
  </si>
  <si>
    <t>EL FARO RESTAURANT</t>
  </si>
  <si>
    <t>3936 W. 31ST STREET</t>
  </si>
  <si>
    <t>70135199</t>
  </si>
  <si>
    <t>CEFALU'S RESTORANTE</t>
  </si>
  <si>
    <t>8354 W IRVING PARK RD</t>
  </si>
  <si>
    <t>51182491</t>
  </si>
  <si>
    <t>TACO DIABLO</t>
  </si>
  <si>
    <t>1026 DAVIS ST</t>
  </si>
  <si>
    <t>80483456</t>
  </si>
  <si>
    <t>JOHNS REST</t>
  </si>
  <si>
    <t>100 E LAKE ST</t>
  </si>
  <si>
    <t>31231988</t>
  </si>
  <si>
    <t>HARRY'S SPORTS BAR &amp; GRIL</t>
  </si>
  <si>
    <t>9901 W 55TH ST</t>
  </si>
  <si>
    <t>31304371</t>
  </si>
  <si>
    <t>226 MAIN ST</t>
  </si>
  <si>
    <t>10395705</t>
  </si>
  <si>
    <t>ILLINOIS BAR &amp; GRILL/47TH</t>
  </si>
  <si>
    <t>4135 W. 47TH STREET</t>
  </si>
  <si>
    <t>91108621</t>
  </si>
  <si>
    <t>SAM'S EGGS &amp; HAM</t>
  </si>
  <si>
    <t>1642 PINE RD</t>
  </si>
  <si>
    <t>70505326</t>
  </si>
  <si>
    <t>CILANTRO GRILL  **COLL**</t>
  </si>
  <si>
    <t>634 SOUTH WEBER ROAD</t>
  </si>
  <si>
    <t>1291582</t>
  </si>
  <si>
    <t>SOL CAFE</t>
  </si>
  <si>
    <t>1615 W HOWARD ST</t>
  </si>
  <si>
    <t>873570</t>
  </si>
  <si>
    <t>ANASTASIAS REST WAUKEGN</t>
  </si>
  <si>
    <t>3880 NORTH POINT BLVD</t>
  </si>
  <si>
    <t>41329996</t>
  </si>
  <si>
    <t>BIGBY'S POURHOUSE</t>
  </si>
  <si>
    <t>1649 W. ALGONQUIN RD</t>
  </si>
  <si>
    <t>11061215</t>
  </si>
  <si>
    <t>SPILL THE BEANS</t>
  </si>
  <si>
    <t>7992 BROADWAY</t>
  </si>
  <si>
    <t>31099039</t>
  </si>
  <si>
    <t>TACO DEL NORTE</t>
  </si>
  <si>
    <t>7 VILLAGE SQUARE</t>
  </si>
  <si>
    <t>61329157</t>
  </si>
  <si>
    <t>CITY'S EDGE</t>
  </si>
  <si>
    <t>5310 W DEVON AVE</t>
  </si>
  <si>
    <t>651562</t>
  </si>
  <si>
    <t>PENNY ROAD PUB</t>
  </si>
  <si>
    <t>545 PENNY ROAD</t>
  </si>
  <si>
    <t>30615199</t>
  </si>
  <si>
    <t>CUCINA BELLA PALATINE</t>
  </si>
  <si>
    <t>2001 N. RAND RD</t>
  </si>
  <si>
    <t>91330092</t>
  </si>
  <si>
    <t>400 E 87TH ST</t>
  </si>
  <si>
    <t>51238533</t>
  </si>
  <si>
    <t>LAKE ZURICH BEELOWS</t>
  </si>
  <si>
    <t>763 S RAND RD</t>
  </si>
  <si>
    <t>81151862</t>
  </si>
  <si>
    <t>GRANDMA'S HOUSE OF PAN</t>
  </si>
  <si>
    <t>50904929</t>
  </si>
  <si>
    <t>183331  TORENCE AVE</t>
  </si>
  <si>
    <t>20516605</t>
  </si>
  <si>
    <t>JASON'S STEAKHOUSE*COLL*</t>
  </si>
  <si>
    <t>211 N. RIVER ST.</t>
  </si>
  <si>
    <t>50701150</t>
  </si>
  <si>
    <t>ITALIAN PIZZA KITCHEN</t>
  </si>
  <si>
    <t>11 MONACO DRIVE</t>
  </si>
  <si>
    <t>10679330</t>
  </si>
  <si>
    <t>LAPORTE HOTEL &amp; CONF CTR</t>
  </si>
  <si>
    <t>444 PINELAKE AVE</t>
  </si>
  <si>
    <t>20717294</t>
  </si>
  <si>
    <t>BILL W. PIZZERIA-DO NOT S</t>
  </si>
  <si>
    <t>24814 GATES CT.</t>
  </si>
  <si>
    <t>1304641</t>
  </si>
  <si>
    <t>FARRELL'S ICE CREAM PARLO</t>
  </si>
  <si>
    <t>5415 TOUHY AVE</t>
  </si>
  <si>
    <t>91158295</t>
  </si>
  <si>
    <t>PLATEIA</t>
  </si>
  <si>
    <t>9860 MILWAUKEE AVE</t>
  </si>
  <si>
    <t>90952342</t>
  </si>
  <si>
    <t>BREE</t>
  </si>
  <si>
    <t>1234 CAMDEN ROAD</t>
  </si>
  <si>
    <t>20732673</t>
  </si>
  <si>
    <t>MOTHERS**COLL**</t>
  </si>
  <si>
    <t>51344844</t>
  </si>
  <si>
    <t>TAKITO STREET LINCOLN PAR</t>
  </si>
  <si>
    <t>60989589</t>
  </si>
  <si>
    <t>TROQUET RIVER NORTH</t>
  </si>
  <si>
    <t>111 W. HURON ST</t>
  </si>
  <si>
    <t>42630</t>
  </si>
  <si>
    <t>AUNT MARY'S</t>
  </si>
  <si>
    <t>4431 EAST STATE ST</t>
  </si>
  <si>
    <t>61224234</t>
  </si>
  <si>
    <t>MIRABELLA</t>
  </si>
  <si>
    <t>80465073</t>
  </si>
  <si>
    <t>FOUR SEASONS CAFE &amp; GRILL</t>
  </si>
  <si>
    <t>1818 W. NORTHWEST HWY</t>
  </si>
  <si>
    <t>70434493</t>
  </si>
  <si>
    <t>AL'S PIZZA &amp; GRIND*COLL*</t>
  </si>
  <si>
    <t>2421 169TH ST</t>
  </si>
  <si>
    <t>91015115</t>
  </si>
  <si>
    <t>CRAZY CALABRESE</t>
  </si>
  <si>
    <t>3350 N. HARLEM AVE,</t>
  </si>
  <si>
    <t>1027275</t>
  </si>
  <si>
    <t>RYAN'S PIER</t>
  </si>
  <si>
    <t>112 E. FIRST</t>
  </si>
  <si>
    <t>AROMA PARK</t>
  </si>
  <si>
    <t>60910</t>
  </si>
  <si>
    <t>70147558</t>
  </si>
  <si>
    <t>GAZEBO GRILL</t>
  </si>
  <si>
    <t>1050 E NORTHWEST HWY</t>
  </si>
  <si>
    <t>524561</t>
  </si>
  <si>
    <t>PAISANO'S ITALIAN*COLL*</t>
  </si>
  <si>
    <t>620 RT 120 W. RAND RD</t>
  </si>
  <si>
    <t>1328012</t>
  </si>
  <si>
    <t>TRAIL'S EDGE</t>
  </si>
  <si>
    <t>20 KANSAS ST</t>
  </si>
  <si>
    <t>41176520</t>
  </si>
  <si>
    <t>ROOKIES SPORTS BAR &amp; GRIL</t>
  </si>
  <si>
    <t>26440 W WOOSTER LAKE DR</t>
  </si>
  <si>
    <t>51247583</t>
  </si>
  <si>
    <t>TWO BROTHERS SOCIAL TAP</t>
  </si>
  <si>
    <t>100 S MARION ST</t>
  </si>
  <si>
    <t>40034597</t>
  </si>
  <si>
    <t>Z Z DORMANT   AM *DRY*</t>
  </si>
  <si>
    <t>41258187</t>
  </si>
  <si>
    <t>71297246</t>
  </si>
  <si>
    <t>S.K.Y.</t>
  </si>
  <si>
    <t>1239 W 18TH ST</t>
  </si>
  <si>
    <t>21241690</t>
  </si>
  <si>
    <t>TRACY'S CAROL STREAM</t>
  </si>
  <si>
    <t>465 THORNHILL DR</t>
  </si>
  <si>
    <t>21298112</t>
  </si>
  <si>
    <t>ARMANDS EDSN PK</t>
  </si>
  <si>
    <t>6694 N NORTHWEST HWY</t>
  </si>
  <si>
    <t>1258029</t>
  </si>
  <si>
    <t>POLISH PEASANT</t>
  </si>
  <si>
    <t>624 WABASH ST</t>
  </si>
  <si>
    <t>1184738</t>
  </si>
  <si>
    <t>CLASENS TAVERN</t>
  </si>
  <si>
    <t>17628 DEPOT ST</t>
  </si>
  <si>
    <t>71339154</t>
  </si>
  <si>
    <t>THE SKYLARK</t>
  </si>
  <si>
    <t>2149 S HALSTED ST</t>
  </si>
  <si>
    <t>923797</t>
  </si>
  <si>
    <t>EGG HARBOR/HINSDALE</t>
  </si>
  <si>
    <t>777 NORTH YORK ROAD</t>
  </si>
  <si>
    <t>71220867</t>
  </si>
  <si>
    <t>EL JALISCO RESTAURANT</t>
  </si>
  <si>
    <t>4949 GRAND AVE</t>
  </si>
  <si>
    <t>91157883</t>
  </si>
  <si>
    <t>THE LODGE OF ANTIOCH</t>
  </si>
  <si>
    <t>30034367</t>
  </si>
  <si>
    <t>1937 W HOWARD ST</t>
  </si>
  <si>
    <t>90414855</t>
  </si>
  <si>
    <t>WOODMAR CAFE **COLL**</t>
  </si>
  <si>
    <t>7231 INDIANAPOLIS BLVD</t>
  </si>
  <si>
    <t>639450</t>
  </si>
  <si>
    <t>WALT'S SHRIMP AND FISH</t>
  </si>
  <si>
    <t>869 S ROSELLE RD</t>
  </si>
  <si>
    <t>30648703</t>
  </si>
  <si>
    <t>BALLYDOYLE IRISH PUB</t>
  </si>
  <si>
    <t>5157 MAIN STREET</t>
  </si>
  <si>
    <t>51284503</t>
  </si>
  <si>
    <t>ATRIUM CAFE</t>
  </si>
  <si>
    <t>1 PARKWAY N</t>
  </si>
  <si>
    <t>506329</t>
  </si>
  <si>
    <t>MARTINI'S ON MAIN *COLL*</t>
  </si>
  <si>
    <t>8 S. MAIN ST</t>
  </si>
  <si>
    <t>90552183</t>
  </si>
  <si>
    <t>MAYBERRY JUNCTION REST</t>
  </si>
  <si>
    <t>390 N LOCUST</t>
  </si>
  <si>
    <t>30440754</t>
  </si>
  <si>
    <t>SKOKIE WATER PLAYGROUND</t>
  </si>
  <si>
    <t>4701 OAKTON ST</t>
  </si>
  <si>
    <t>91332395</t>
  </si>
  <si>
    <t>BAR DOWN SPORTS BAR</t>
  </si>
  <si>
    <t>2354 W HIGGINS RD</t>
  </si>
  <si>
    <t>60034980</t>
  </si>
  <si>
    <t>CANTEEN #24893/HARRIS TRU</t>
  </si>
  <si>
    <t>311 W MONROE ST  *FOOD*</t>
  </si>
  <si>
    <t>31253198</t>
  </si>
  <si>
    <t>CONCORD MUSIC HALL</t>
  </si>
  <si>
    <t>2047 N MILWAUKEE AVE</t>
  </si>
  <si>
    <t>91190504</t>
  </si>
  <si>
    <t>SUGAR FACTORY CHICAGO E/S</t>
  </si>
  <si>
    <t>40955155</t>
  </si>
  <si>
    <t>LITTLE ITALIAN PIZZERIA</t>
  </si>
  <si>
    <t>70318951</t>
  </si>
  <si>
    <t>CORN DOG ON A STICK #2943</t>
  </si>
  <si>
    <t>21212683</t>
  </si>
  <si>
    <t>41286329</t>
  </si>
  <si>
    <t>GILT BAR</t>
  </si>
  <si>
    <t>230 W KINZIE ST</t>
  </si>
  <si>
    <t>80894595</t>
  </si>
  <si>
    <t>1151 W. 37TH AVE</t>
  </si>
  <si>
    <t>20629101</t>
  </si>
  <si>
    <t>PASHA RESTAURANT *COLL**</t>
  </si>
  <si>
    <t>802 W. RANDOLPH</t>
  </si>
  <si>
    <t>70499306</t>
  </si>
  <si>
    <t>CAPONATA'S RIST. **COLL**</t>
  </si>
  <si>
    <t>100 N. HALE</t>
  </si>
  <si>
    <t>90873373</t>
  </si>
  <si>
    <t>CREAM OF CREPE</t>
  </si>
  <si>
    <t>8 S.NORTHWEST HWY</t>
  </si>
  <si>
    <t>50528546</t>
  </si>
  <si>
    <t>38283 BOLTON</t>
  </si>
  <si>
    <t>10889665</t>
  </si>
  <si>
    <t>10833 BROADWAY</t>
  </si>
  <si>
    <t>80998537</t>
  </si>
  <si>
    <t>PLATO'S CORNER</t>
  </si>
  <si>
    <t>31 S. COUNTY ST</t>
  </si>
  <si>
    <t>70037189</t>
  </si>
  <si>
    <t>STEAK ESCAPE SOUTHRIDGE</t>
  </si>
  <si>
    <t>50547397</t>
  </si>
  <si>
    <t>HAUSSMANN BRASSERIE**COLL</t>
  </si>
  <si>
    <t>305 HAPP RD</t>
  </si>
  <si>
    <t>60901709</t>
  </si>
  <si>
    <t>HEATHER RIDGE GOLF COURSE</t>
  </si>
  <si>
    <t>5900 HEATHERRIDGE DR.</t>
  </si>
  <si>
    <t>11334422</t>
  </si>
  <si>
    <t>FULLER HOUSE</t>
  </si>
  <si>
    <t>35 E 1ST ST</t>
  </si>
  <si>
    <t>70854021</t>
  </si>
  <si>
    <t>GOOD TEQUILAS MEXICAN GR</t>
  </si>
  <si>
    <t>950 ELK GROVE TOWN CTR</t>
  </si>
  <si>
    <t>80438898</t>
  </si>
  <si>
    <t>ORCHARD HILLS GOLF COURSE</t>
  </si>
  <si>
    <t>31250616</t>
  </si>
  <si>
    <t>LONE WOLF</t>
  </si>
  <si>
    <t>806 W RANDOLPH ST</t>
  </si>
  <si>
    <t>20767877</t>
  </si>
  <si>
    <t>BLOKES AND BIRDS</t>
  </si>
  <si>
    <t>11275641</t>
  </si>
  <si>
    <t>KAVA CAFE</t>
  </si>
  <si>
    <t>77 W JACKSON BLVD</t>
  </si>
  <si>
    <t>90484643</t>
  </si>
  <si>
    <t>JAKE MELNICKS CORNER</t>
  </si>
  <si>
    <t>41 E SUPERIOR AVE</t>
  </si>
  <si>
    <t>30974075</t>
  </si>
  <si>
    <t>TAZZA ITALIAN RISTORANTE</t>
  </si>
  <si>
    <t>14065 S BELL ROAD</t>
  </si>
  <si>
    <t>51181634</t>
  </si>
  <si>
    <t>HSD 2056 WESTINGS AVE</t>
  </si>
  <si>
    <t>2056 WESTINGS AVE</t>
  </si>
  <si>
    <t>11346160</t>
  </si>
  <si>
    <t>PLAINFIELD'S DELIGHT</t>
  </si>
  <si>
    <t>24020 W 119TH ST</t>
  </si>
  <si>
    <t>31328248</t>
  </si>
  <si>
    <t>BREAD BASKET BELMONT</t>
  </si>
  <si>
    <t>90470774</t>
  </si>
  <si>
    <t>AMF BOLINGBROOK LNS 00387</t>
  </si>
  <si>
    <t>401 W. BOUGHTON ROAD</t>
  </si>
  <si>
    <t>51042992</t>
  </si>
  <si>
    <t>HOUSE OF WAH SUN</t>
  </si>
  <si>
    <t>4319 N. LINCOLN</t>
  </si>
  <si>
    <t>31084007</t>
  </si>
  <si>
    <t>CRAWFORDS PUB</t>
  </si>
  <si>
    <t>5820 FRANKLIN STREET</t>
  </si>
  <si>
    <t>11088556</t>
  </si>
  <si>
    <t>LITO'S EMPANADAS LNCLN PK</t>
  </si>
  <si>
    <t>2566 N CLARK ST</t>
  </si>
  <si>
    <t>50546472</t>
  </si>
  <si>
    <t>EL FAMOUS BUR/PK RG**COLL</t>
  </si>
  <si>
    <t>28 MAIN STREET</t>
  </si>
  <si>
    <t>91342063</t>
  </si>
  <si>
    <t>LOWCOUNTRY LAKEVIEW</t>
  </si>
  <si>
    <t>51250272</t>
  </si>
  <si>
    <t>KNEAD PIZZA</t>
  </si>
  <si>
    <t>2101 W NORTH AVE</t>
  </si>
  <si>
    <t>90483967</t>
  </si>
  <si>
    <t>NOYES STREET CAFE*</t>
  </si>
  <si>
    <t>828 NOYES STREET</t>
  </si>
  <si>
    <t>81080038</t>
  </si>
  <si>
    <t>GELSOSOMO</t>
  </si>
  <si>
    <t>13019 WICKER AVE</t>
  </si>
  <si>
    <t>71109037</t>
  </si>
  <si>
    <t>LITTLE JOE'S-NEW LENOX</t>
  </si>
  <si>
    <t>1300 N CEDAR RD</t>
  </si>
  <si>
    <t>70505508</t>
  </si>
  <si>
    <t>BIG DADDY'S BBQ**COLL**</t>
  </si>
  <si>
    <t>1900 MCDONALD ROAD</t>
  </si>
  <si>
    <t>71326490</t>
  </si>
  <si>
    <t>ANASTONI'S PIZZA</t>
  </si>
  <si>
    <t>228 MITCHELL DR</t>
  </si>
  <si>
    <t>60545</t>
  </si>
  <si>
    <t>91335760</t>
  </si>
  <si>
    <t>MIDDLETON'S ON MAIN</t>
  </si>
  <si>
    <t>41235185</t>
  </si>
  <si>
    <t>JIMADOR MEXICAN RESTAURAN</t>
  </si>
  <si>
    <t>156 S BLOOMINGDALE RD</t>
  </si>
  <si>
    <t>41156795</t>
  </si>
  <si>
    <t>OVERTIME BAR &amp; GRILL</t>
  </si>
  <si>
    <t>801 E ROOSEVELT RD</t>
  </si>
  <si>
    <t>71295604</t>
  </si>
  <si>
    <t>LAKE DALE ALE</t>
  </si>
  <si>
    <t>5512 MAIN STREET</t>
  </si>
  <si>
    <t>41007113</t>
  </si>
  <si>
    <t>EL REY DE POLLO ASADO</t>
  </si>
  <si>
    <t>505 S. GREENBAY RD.</t>
  </si>
  <si>
    <t>10533818</t>
  </si>
  <si>
    <t>JAMESON'S BLOOMINGDALE :)</t>
  </si>
  <si>
    <t>81276610</t>
  </si>
  <si>
    <t>PHIL'S CARIBBEAN CUISINE</t>
  </si>
  <si>
    <t>2330 CLINE AVE</t>
  </si>
  <si>
    <t>80482144</t>
  </si>
  <si>
    <t>DEL RIO REST,,</t>
  </si>
  <si>
    <t>228 GREEN BAY RD</t>
  </si>
  <si>
    <t>50695865</t>
  </si>
  <si>
    <t>MINI BAR</t>
  </si>
  <si>
    <t>3341 N. HALSTED</t>
  </si>
  <si>
    <t>80075849</t>
  </si>
  <si>
    <t>THREE FLAG'S REST</t>
  </si>
  <si>
    <t>33 S TOUTE 12</t>
  </si>
  <si>
    <t>70085840</t>
  </si>
  <si>
    <t>PIZZA CAPRI L.B.P.**COLL*</t>
  </si>
  <si>
    <t>962 W. BELMONT</t>
  </si>
  <si>
    <t>91244814</t>
  </si>
  <si>
    <t>WOODSTOCK PUBLIC ALE HOUS</t>
  </si>
  <si>
    <t>555235</t>
  </si>
  <si>
    <t>ORIGINAL SANDWICH**COLL**</t>
  </si>
  <si>
    <t>6300 S. KINGERY HWY</t>
  </si>
  <si>
    <t>60426590</t>
  </si>
  <si>
    <t>THE GETAWAY BAR &amp; GRILL</t>
  </si>
  <si>
    <t>1827 W. 45TH ST.</t>
  </si>
  <si>
    <t>60483963</t>
  </si>
  <si>
    <t>THAI GRILL</t>
  </si>
  <si>
    <t>1040 W GRANVILLE</t>
  </si>
  <si>
    <t>30482533</t>
  </si>
  <si>
    <t>EXEL INN WAREHOUSE</t>
  </si>
  <si>
    <t>811 N MAYFAIR</t>
  </si>
  <si>
    <t>61290904</t>
  </si>
  <si>
    <t>LEFT COAST LINCOLN PARK</t>
  </si>
  <si>
    <t>11145505</t>
  </si>
  <si>
    <t>LITTLE GEM RESTAURANT</t>
  </si>
  <si>
    <t>189 N MARION STREET</t>
  </si>
  <si>
    <t>20488144</t>
  </si>
  <si>
    <t>HAL SLOAN</t>
  </si>
  <si>
    <t>450 HARVEY AVE.</t>
  </si>
  <si>
    <t>20456356</t>
  </si>
  <si>
    <t>PARK AVENUE REST.**COLL**</t>
  </si>
  <si>
    <t>16109 S. PARK AVE.</t>
  </si>
  <si>
    <t>916551</t>
  </si>
  <si>
    <t>THE LITTLE TRAVELER</t>
  </si>
  <si>
    <t>404 S 3RD ST</t>
  </si>
  <si>
    <t>60521366</t>
  </si>
  <si>
    <t>9540 IRVING PARK RD</t>
  </si>
  <si>
    <t>91030486</t>
  </si>
  <si>
    <t>RED JUNE CAFE</t>
  </si>
  <si>
    <t>2020 N LEAVITT</t>
  </si>
  <si>
    <t>51173730</t>
  </si>
  <si>
    <t>JD KADD'S</t>
  </si>
  <si>
    <t>805 N NORTHWEST HWY UNIT</t>
  </si>
  <si>
    <t>651836</t>
  </si>
  <si>
    <t>EL SOL DEL PUEBLO - BENS</t>
  </si>
  <si>
    <t>1221 W IRVING PARK RD</t>
  </si>
  <si>
    <t>50086958</t>
  </si>
  <si>
    <t>DAVES DINER</t>
  </si>
  <si>
    <t>30085567</t>
  </si>
  <si>
    <t>G &amp; M FAMILY REST</t>
  </si>
  <si>
    <t>901 S CENTERVILLE</t>
  </si>
  <si>
    <t>STURGIS</t>
  </si>
  <si>
    <t>49091</t>
  </si>
  <si>
    <t>41242207</t>
  </si>
  <si>
    <t>WISHBONE WEST   LOOP</t>
  </si>
  <si>
    <t>1001 W WASHINGTON BLVD</t>
  </si>
  <si>
    <t>90955386</t>
  </si>
  <si>
    <t>SMASH MOUTH BURGERS&amp;PIZZA</t>
  </si>
  <si>
    <t>764 E US ROUTE 30</t>
  </si>
  <si>
    <t>1109669</t>
  </si>
  <si>
    <t>JAMESON'S CHARHOUSE GLEN</t>
  </si>
  <si>
    <t>2601 NAVY BLVD</t>
  </si>
  <si>
    <t>50908169</t>
  </si>
  <si>
    <t>JOE'S BAR-B-Q &amp; FISH #3</t>
  </si>
  <si>
    <t>79 CLOCK TOWER PLAZA</t>
  </si>
  <si>
    <t>31284482</t>
  </si>
  <si>
    <t>CAMPUS CENTER CAFE</t>
  </si>
  <si>
    <t>37 S WABASH AVE</t>
  </si>
  <si>
    <t>30030183</t>
  </si>
  <si>
    <t>POPEYES FRIED CHICKEN</t>
  </si>
  <si>
    <t>500 W MADISON</t>
  </si>
  <si>
    <t>11058955</t>
  </si>
  <si>
    <t>1514 JOLIET STREET</t>
  </si>
  <si>
    <t>21044409</t>
  </si>
  <si>
    <t>CEMENO'S PIZZA</t>
  </si>
  <si>
    <t>1630 ESSINGTON ROAD</t>
  </si>
  <si>
    <t>31287303</t>
  </si>
  <si>
    <t>CITY'S EDGE CHICAGO</t>
  </si>
  <si>
    <t>51342319</t>
  </si>
  <si>
    <t>SIP</t>
  </si>
  <si>
    <t>7551 175TH ST</t>
  </si>
  <si>
    <t>61321782</t>
  </si>
  <si>
    <t>81064800</t>
  </si>
  <si>
    <t>ROSARIO'S PIZZA</t>
  </si>
  <si>
    <t>771 E. NERGE ROAD</t>
  </si>
  <si>
    <t>30482152</t>
  </si>
  <si>
    <t>KUHNS DELI</t>
  </si>
  <si>
    <t>749 W GOLF RD</t>
  </si>
  <si>
    <t>10487817</t>
  </si>
  <si>
    <t>JOHN KERRIGAN</t>
  </si>
  <si>
    <t>6420 NORTH TAHOMA</t>
  </si>
  <si>
    <t>50682327</t>
  </si>
  <si>
    <t>1330 E RAND RD</t>
  </si>
  <si>
    <t>21264585</t>
  </si>
  <si>
    <t>BRGRBELLY CATERING</t>
  </si>
  <si>
    <t>4800 N CENTRAL AVE</t>
  </si>
  <si>
    <t>90927641</t>
  </si>
  <si>
    <t>CLAVIO'S EATERY</t>
  </si>
  <si>
    <t>1908 N 5TH AVE.</t>
  </si>
  <si>
    <t>71307631</t>
  </si>
  <si>
    <t>HOOSIER MAMA PIE CO.</t>
  </si>
  <si>
    <t>1618 W CHICAGO AVE</t>
  </si>
  <si>
    <t>60482403</t>
  </si>
  <si>
    <t>LA BELLE GOURMET LTD</t>
  </si>
  <si>
    <t>16 W. CALENDAR</t>
  </si>
  <si>
    <t>10680627</t>
  </si>
  <si>
    <t>BAR LOUIE *DEARBORN</t>
  </si>
  <si>
    <t>47 W POLK ST</t>
  </si>
  <si>
    <t>10034569</t>
  </si>
  <si>
    <t>MERCY MEMORIAL/CANTEEN</t>
  </si>
  <si>
    <t>1234 NAPIER AVE</t>
  </si>
  <si>
    <t>SAINT JOSEPH</t>
  </si>
  <si>
    <t>49085</t>
  </si>
  <si>
    <t>71304463</t>
  </si>
  <si>
    <t>NIKO'S TAVERN</t>
  </si>
  <si>
    <t>50328343</t>
  </si>
  <si>
    <t>THE RODEO  **COLL**</t>
  </si>
  <si>
    <t>5972 E. ST RD 10</t>
  </si>
  <si>
    <t>ROSELAWN</t>
  </si>
  <si>
    <t>46372</t>
  </si>
  <si>
    <t>896753</t>
  </si>
  <si>
    <t>LA SIESTA RESTAURANT</t>
  </si>
  <si>
    <t>180 SOUTH KENNEDY DRIVE</t>
  </si>
  <si>
    <t>11299575</t>
  </si>
  <si>
    <t>CUBBY HOLE DINER</t>
  </si>
  <si>
    <t>10713 N MAIN ST</t>
  </si>
  <si>
    <t>81189714</t>
  </si>
  <si>
    <t>LATITUDES @MARINA SHORES</t>
  </si>
  <si>
    <t>5987 S DUNE HARBOR DR</t>
  </si>
  <si>
    <t>50503291</t>
  </si>
  <si>
    <t>FULL SLAB    ***COLL***</t>
  </si>
  <si>
    <t>34500 N HIGHWAY 45</t>
  </si>
  <si>
    <t>90915166</t>
  </si>
  <si>
    <t>A J HUDSONS PUBLIC HOUSE</t>
  </si>
  <si>
    <t>3801 N. ASHLAND AVE.</t>
  </si>
  <si>
    <t>51296457</t>
  </si>
  <si>
    <t>HEY NONNY</t>
  </si>
  <si>
    <t>10 S VAIL AVE</t>
  </si>
  <si>
    <t>40703282</t>
  </si>
  <si>
    <t>THE COLOSSEUM REST*COLL*</t>
  </si>
  <si>
    <t>1350 E CHICAGO AVE</t>
  </si>
  <si>
    <t>61180758</t>
  </si>
  <si>
    <t>ZAZA'S STEAK HOUSE</t>
  </si>
  <si>
    <t>69 WASHINGTON ST</t>
  </si>
  <si>
    <t>91023655</t>
  </si>
  <si>
    <t>10648905</t>
  </si>
  <si>
    <t>WALNUT SPEAKEASY</t>
  </si>
  <si>
    <t>214 WALNUT AVE</t>
  </si>
  <si>
    <t>60329828</t>
  </si>
  <si>
    <t>BUCK'S PIT STOP</t>
  </si>
  <si>
    <t>6501 KANE STREET</t>
  </si>
  <si>
    <t>HODGKINS</t>
  </si>
  <si>
    <t>90552662</t>
  </si>
  <si>
    <t>FOGATA VILLAGE</t>
  </si>
  <si>
    <t>1820 S. ASHLAND</t>
  </si>
  <si>
    <t>10528479</t>
  </si>
  <si>
    <t>FROOTS DES PLAINES*COLL*</t>
  </si>
  <si>
    <t>657 METROPOLITAN WAY</t>
  </si>
  <si>
    <t>391011</t>
  </si>
  <si>
    <t>FRANKY'S FAMIL REST</t>
  </si>
  <si>
    <t>18161 WENTWORTH AVE</t>
  </si>
  <si>
    <t>51241685</t>
  </si>
  <si>
    <t>TRACY'S GLENDALE HEIGHTS</t>
  </si>
  <si>
    <t>183 E ARMY TRAIL RD</t>
  </si>
  <si>
    <t>21336821</t>
  </si>
  <si>
    <t>ALTER BREWING COMPANY</t>
  </si>
  <si>
    <t>2300 WISCONSIN AVE SUITE</t>
  </si>
  <si>
    <t>41304213</t>
  </si>
  <si>
    <t>THE BLUE TACO BAR</t>
  </si>
  <si>
    <t>304 N CEDAR LAKE RD</t>
  </si>
  <si>
    <t>81215832</t>
  </si>
  <si>
    <t>ZENWICH CHICAGO</t>
  </si>
  <si>
    <t>208 W VAN BUREN ST</t>
  </si>
  <si>
    <t>50220235</t>
  </si>
  <si>
    <t>BAKE FOR ME</t>
  </si>
  <si>
    <t>321 NORTH CLARK</t>
  </si>
  <si>
    <t>90911223</t>
  </si>
  <si>
    <t>FAHRENHEIT 212</t>
  </si>
  <si>
    <t>10805 BROADWAY</t>
  </si>
  <si>
    <t>10482651</t>
  </si>
  <si>
    <t>ALS REST &amp; PIZZERIA</t>
  </si>
  <si>
    <t>6050 W. CERMAK</t>
  </si>
  <si>
    <t>51346286</t>
  </si>
  <si>
    <t>219 TAPROOM</t>
  </si>
  <si>
    <t>109 S 3RD ST</t>
  </si>
  <si>
    <t>21287925</t>
  </si>
  <si>
    <t>DANZIGER KOSHER CATERING</t>
  </si>
  <si>
    <t>3931 S LEAVITT ST</t>
  </si>
  <si>
    <t>552687</t>
  </si>
  <si>
    <t>KINSLEY'S GIFT</t>
  </si>
  <si>
    <t>2304 W. HIGGINS RD</t>
  </si>
  <si>
    <t>80409980</t>
  </si>
  <si>
    <t>TOREO RESTAURANT**COLL**</t>
  </si>
  <si>
    <t>383 W. NORTHWEST HWY</t>
  </si>
  <si>
    <t>81137556</t>
  </si>
  <si>
    <t>SUNDAES ON THE LAKE</t>
  </si>
  <si>
    <t>13134 LAKE SHORE DR.</t>
  </si>
  <si>
    <t>20522041</t>
  </si>
  <si>
    <t>FLIP FLOPS TIKI BAR&amp;GRILL</t>
  </si>
  <si>
    <t>1022 FOUNTAIN VIEW DRIVE</t>
  </si>
  <si>
    <t>91266429</t>
  </si>
  <si>
    <t>TASTE BUDS</t>
  </si>
  <si>
    <t>8130 BEECH AVE</t>
  </si>
  <si>
    <t>20906657</t>
  </si>
  <si>
    <t>CHEERS SPORTS BAR</t>
  </si>
  <si>
    <t>8901 BURLINGTON AVE</t>
  </si>
  <si>
    <t>21234679</t>
  </si>
  <si>
    <t>RESTAURANT JULIETTE</t>
  </si>
  <si>
    <t>524 W STATE ST UNIT 3</t>
  </si>
  <si>
    <t>81018400</t>
  </si>
  <si>
    <t>MERCADITO TAVERNITA</t>
  </si>
  <si>
    <t>151 W. ERIE</t>
  </si>
  <si>
    <t>60390804</t>
  </si>
  <si>
    <t>NICK'S BARBEQUE BURBANK</t>
  </si>
  <si>
    <t>6945 W 79TH ST</t>
  </si>
  <si>
    <t>61301131</t>
  </si>
  <si>
    <t>KISSED BY FIRE</t>
  </si>
  <si>
    <t>829 GRANDVIEW DR</t>
  </si>
  <si>
    <t>51292290</t>
  </si>
  <si>
    <t>VEGGIE GRILL</t>
  </si>
  <si>
    <t>614 W DIVERSEY AVE</t>
  </si>
  <si>
    <t>91026351</t>
  </si>
  <si>
    <t>FFF SLURPING TURTLE</t>
  </si>
  <si>
    <t>81150120</t>
  </si>
  <si>
    <t>3420 N BROADWAY ST</t>
  </si>
  <si>
    <t>10592988</t>
  </si>
  <si>
    <t>NITE 'N GALE</t>
  </si>
  <si>
    <t>346 SHERIDAN ROAD</t>
  </si>
  <si>
    <t>61333134</t>
  </si>
  <si>
    <t>HAROLD'S</t>
  </si>
  <si>
    <t>1118 W WILSON AVE</t>
  </si>
  <si>
    <t>90483959</t>
  </si>
  <si>
    <t>FONDUE STUBE</t>
  </si>
  <si>
    <t>2717 W PETERSON</t>
  </si>
  <si>
    <t>70490859</t>
  </si>
  <si>
    <t>JOLIET TROPICANA CLUB</t>
  </si>
  <si>
    <t>665 COLLINS ST</t>
  </si>
  <si>
    <t>51124972</t>
  </si>
  <si>
    <t>DIVE BAR</t>
  </si>
  <si>
    <t>80475494</t>
  </si>
  <si>
    <t>QUICK PANTRY</t>
  </si>
  <si>
    <t>814 STATE STREET</t>
  </si>
  <si>
    <t>80030455</t>
  </si>
  <si>
    <t>MICHAELS ON WELLS</t>
  </si>
  <si>
    <t>330 S WELLS</t>
  </si>
  <si>
    <t>71169775</t>
  </si>
  <si>
    <t>MARINA BISTRO</t>
  </si>
  <si>
    <t>4250 N MARINE DR</t>
  </si>
  <si>
    <t>41333238</t>
  </si>
  <si>
    <t>BUDLONG REVIVAL</t>
  </si>
  <si>
    <t>20877460</t>
  </si>
  <si>
    <t>HENG WING</t>
  </si>
  <si>
    <t>121 W. PALATINE RD.</t>
  </si>
  <si>
    <t>40035099</t>
  </si>
  <si>
    <t>Z Z DORMANT    FOOD</t>
  </si>
  <si>
    <t>7920 CALUMET AVE</t>
  </si>
  <si>
    <t>80728199</t>
  </si>
  <si>
    <t>INDIA HOUSE</t>
  </si>
  <si>
    <t>228 MCHENRY ROAD</t>
  </si>
  <si>
    <t>31024540</t>
  </si>
  <si>
    <t>SWEDEN PANCAKE HOUSE</t>
  </si>
  <si>
    <t>91301630</t>
  </si>
  <si>
    <t>RAIL HOUSE BAR &amp; GRILL</t>
  </si>
  <si>
    <t>415 RAILROAD AVE</t>
  </si>
  <si>
    <t>91285726</t>
  </si>
  <si>
    <t>DELMONICO</t>
  </si>
  <si>
    <t>111 W WASHINGTON ST</t>
  </si>
  <si>
    <t>30917272</t>
  </si>
  <si>
    <t>5960 TOUHY</t>
  </si>
  <si>
    <t>60519030</t>
  </si>
  <si>
    <t>MARISA'S PIZZA</t>
  </si>
  <si>
    <t>4175 DUNDEE ROAD</t>
  </si>
  <si>
    <t>40995136</t>
  </si>
  <si>
    <t>ACES SOUL FOOD.</t>
  </si>
  <si>
    <t>432 E 63RD STREED</t>
  </si>
  <si>
    <t>71236046</t>
  </si>
  <si>
    <t>FITTINGLY DELICIOUS</t>
  </si>
  <si>
    <t>3939 W IRVING PARK RD</t>
  </si>
  <si>
    <t>81107807</t>
  </si>
  <si>
    <t>VILLA ROSA PIZZA</t>
  </si>
  <si>
    <t>5786 S ARCHER AVE</t>
  </si>
  <si>
    <t>91042259</t>
  </si>
  <si>
    <t>PETE MILLERS WHEELING</t>
  </si>
  <si>
    <t>412 N.MILWAUKEE</t>
  </si>
  <si>
    <t>30552442</t>
  </si>
  <si>
    <t>MURPHYS RED HOTS</t>
  </si>
  <si>
    <t>1211 WEST BELMONT AVE.</t>
  </si>
  <si>
    <t>70500368</t>
  </si>
  <si>
    <t>CARIBBEAN BARBEQUE</t>
  </si>
  <si>
    <t>878 N LAKE ST</t>
  </si>
  <si>
    <t>40603284</t>
  </si>
  <si>
    <t>GURNEE DINER</t>
  </si>
  <si>
    <t>751 S. MILWAUKEE AVE.</t>
  </si>
  <si>
    <t>80546583</t>
  </si>
  <si>
    <t>COLADA'S ISLAND PIZZA CO</t>
  </si>
  <si>
    <t>1050 HORSE PRARIE AVE</t>
  </si>
  <si>
    <t>91111864</t>
  </si>
  <si>
    <t>ROLL N DONUTS LLC</t>
  </si>
  <si>
    <t>703 E 9TH ST  UNIT 106</t>
  </si>
  <si>
    <t>40702649</t>
  </si>
  <si>
    <t>CARDALONES PIZZA</t>
  </si>
  <si>
    <t>12908 S. LAGRANGE RD.</t>
  </si>
  <si>
    <t>21268008</t>
  </si>
  <si>
    <t>4120 DEMPSTER ST</t>
  </si>
  <si>
    <t>50788025</t>
  </si>
  <si>
    <t>LEE'S PIZZA LODGE**COLL**</t>
  </si>
  <si>
    <t>2738 N 48TH RD</t>
  </si>
  <si>
    <t>SANDWICH</t>
  </si>
  <si>
    <t>60548</t>
  </si>
  <si>
    <t>70902556</t>
  </si>
  <si>
    <t>HARMONY FRESH FARMS</t>
  </si>
  <si>
    <t>330 WEST ROOSEVELT RD</t>
  </si>
  <si>
    <t>30318950</t>
  </si>
  <si>
    <t>320 W. KIMBERLY RD.</t>
  </si>
  <si>
    <t>80403488</t>
  </si>
  <si>
    <t>LA PETITE FOLIE</t>
  </si>
  <si>
    <t>1504 EAST 55TH ST.</t>
  </si>
  <si>
    <t>70484860</t>
  </si>
  <si>
    <t>AMBROSIA EURE-AMERICA</t>
  </si>
  <si>
    <t>710 W NORTHWEST HWY</t>
  </si>
  <si>
    <t>1225010</t>
  </si>
  <si>
    <t>HOP CAT BREWPUB</t>
  </si>
  <si>
    <t>2577 N CLARK ST</t>
  </si>
  <si>
    <t>1040583</t>
  </si>
  <si>
    <t>BUDDYZ RIVERWALK REST</t>
  </si>
  <si>
    <t>1138 N GREEN STREET</t>
  </si>
  <si>
    <t>31318892</t>
  </si>
  <si>
    <t>THE DINNER BELLE</t>
  </si>
  <si>
    <t>3109 BROADWAY</t>
  </si>
  <si>
    <t>60976495</t>
  </si>
  <si>
    <t>RILEYS SUB HUT</t>
  </si>
  <si>
    <t>100 GREEN ST</t>
  </si>
  <si>
    <t>40653651</t>
  </si>
  <si>
    <t>DELI TIME/NAPERVILLEWOODS</t>
  </si>
  <si>
    <t>1100 E. WARRENVILLE RD.</t>
  </si>
  <si>
    <t>20882114</t>
  </si>
  <si>
    <t>BOP N GRILL</t>
  </si>
  <si>
    <t>1903 CHURCH STREET</t>
  </si>
  <si>
    <t>41161514</t>
  </si>
  <si>
    <t>BOOCOOROUX</t>
  </si>
  <si>
    <t>81344616</t>
  </si>
  <si>
    <t>70591599</t>
  </si>
  <si>
    <t>BROWN'S CHICKEN/CHC HEIGH</t>
  </si>
  <si>
    <t>600 S. HALSTED ST.</t>
  </si>
  <si>
    <t>21306378</t>
  </si>
  <si>
    <t>AUSTRIA CAFE 801 S</t>
  </si>
  <si>
    <t>801 S CANAL ST FL 2</t>
  </si>
  <si>
    <t>11330024</t>
  </si>
  <si>
    <t>BELVEDERE CHATEAU</t>
  </si>
  <si>
    <t>8055 W 103RD ST</t>
  </si>
  <si>
    <t>90551904</t>
  </si>
  <si>
    <t>AMERICAS COUNTRY**COLL**</t>
  </si>
  <si>
    <t>201 EAST WASHINGTON</t>
  </si>
  <si>
    <t>70747753</t>
  </si>
  <si>
    <t>FITZGERALD'S</t>
  </si>
  <si>
    <t>6611 W. ROOSEVELT RD</t>
  </si>
  <si>
    <t>728162</t>
  </si>
  <si>
    <t>DUCK FAT TAVERN &amp; GRILL</t>
  </si>
  <si>
    <t>7218 W. MADISON</t>
  </si>
  <si>
    <t>41189457</t>
  </si>
  <si>
    <t>SIP COFFEE HOUSE HIGHLAND</t>
  </si>
  <si>
    <t>2815 JEWETT</t>
  </si>
  <si>
    <t>20956827</t>
  </si>
  <si>
    <t>SWEETWATER DELI</t>
  </si>
  <si>
    <t>316 CANAL STREET</t>
  </si>
  <si>
    <t>21255880</t>
  </si>
  <si>
    <t>MUCHIE'S</t>
  </si>
  <si>
    <t>22 E CHICAGO AVE</t>
  </si>
  <si>
    <t>81058646</t>
  </si>
  <si>
    <t>1084052</t>
  </si>
  <si>
    <t>TWISTED K-8 BREWING</t>
  </si>
  <si>
    <t>610 MONROE STREET</t>
  </si>
  <si>
    <t>80483498</t>
  </si>
  <si>
    <t>BISON PRAIRIE GR #370 ZOO</t>
  </si>
  <si>
    <t>11110814</t>
  </si>
  <si>
    <t>THE AVENUE</t>
  </si>
  <si>
    <t>81084568</t>
  </si>
  <si>
    <t>OLIVER'S BAR &amp; GRILL##</t>
  </si>
  <si>
    <t>2122 W STATION ST</t>
  </si>
  <si>
    <t>41219684</t>
  </si>
  <si>
    <t>O'HARES PUB</t>
  </si>
  <si>
    <t>207 S MAIN STREET</t>
  </si>
  <si>
    <t>41249186</t>
  </si>
  <si>
    <t>DECLANS</t>
  </si>
  <si>
    <t>1240 N WELLS ST</t>
  </si>
  <si>
    <t>50593789</t>
  </si>
  <si>
    <t>RIVER LANE PUB*COLL*</t>
  </si>
  <si>
    <t>65 N RIVER LANE</t>
  </si>
  <si>
    <t>920090</t>
  </si>
  <si>
    <t>DUKES</t>
  </si>
  <si>
    <t>8115 SOUTH HARLEM</t>
  </si>
  <si>
    <t>70934260</t>
  </si>
  <si>
    <t>DON'S DOCK</t>
  </si>
  <si>
    <t>1220 NORTHWEST HWY</t>
  </si>
  <si>
    <t>80942766</t>
  </si>
  <si>
    <t>260 OAKBROOK CENTER</t>
  </si>
  <si>
    <t>201301</t>
  </si>
  <si>
    <t>ED DEBEVIC'S-CHI **COLL**</t>
  </si>
  <si>
    <t>640 N WELLS ST        A/L</t>
  </si>
  <si>
    <t>179309</t>
  </si>
  <si>
    <t>JACOB BROS. ARMITAGE</t>
  </si>
  <si>
    <t>953 W. ARMITAGE</t>
  </si>
  <si>
    <t>50319433</t>
  </si>
  <si>
    <t>TENUTA'S PIZZA **COLL**</t>
  </si>
  <si>
    <t>25240 75TH ST (HWY 50)</t>
  </si>
  <si>
    <t>71345284</t>
  </si>
  <si>
    <t>CLEVER RABBIT - DIVISION</t>
  </si>
  <si>
    <t>2015 W DIVISION ST</t>
  </si>
  <si>
    <t>70355623</t>
  </si>
  <si>
    <t>SYMPHONY'S  **COLL**</t>
  </si>
  <si>
    <t>1945 CENTRAL</t>
  </si>
  <si>
    <t>61298972</t>
  </si>
  <si>
    <t>CHARMERS CAFE</t>
  </si>
  <si>
    <t>1500 W JARVIS AVE</t>
  </si>
  <si>
    <t>71308191</t>
  </si>
  <si>
    <t>BALBOA'S CHEESESTEAKS</t>
  </si>
  <si>
    <t>22 E CHICAGO AVE STE 11</t>
  </si>
  <si>
    <t>81320277</t>
  </si>
  <si>
    <t>RUCKER CAFE</t>
  </si>
  <si>
    <t>2024 W 119TH ST</t>
  </si>
  <si>
    <t>1200260</t>
  </si>
  <si>
    <t>FORAGE &amp; CRAFT</t>
  </si>
  <si>
    <t>4999 OLD ORCHARD CTR STE</t>
  </si>
  <si>
    <t>50483825</t>
  </si>
  <si>
    <t>RED DOOR TAVERN***COLL**</t>
  </si>
  <si>
    <t>7 W JACKSON AVE</t>
  </si>
  <si>
    <t>90573486</t>
  </si>
  <si>
    <t>PADZ'S RED HOTS</t>
  </si>
  <si>
    <t>1575 SHERIDAN ROAD</t>
  </si>
  <si>
    <t>71280341</t>
  </si>
  <si>
    <t>GOOSE ISLAND BREWHOUSE</t>
  </si>
  <si>
    <t>33 E LAUREL ST</t>
  </si>
  <si>
    <t>PHILADELPHIA</t>
  </si>
  <si>
    <t>PA</t>
  </si>
  <si>
    <t>19123</t>
  </si>
  <si>
    <t>20531414</t>
  </si>
  <si>
    <t>GEORGE'S KOFFEE KUP</t>
  </si>
  <si>
    <t>105 S. MAIN ST</t>
  </si>
  <si>
    <t>51027589</t>
  </si>
  <si>
    <t>GREEK FEAST</t>
  </si>
  <si>
    <t>2784 DUNDEE RD</t>
  </si>
  <si>
    <t>61025847</t>
  </si>
  <si>
    <t>STONEY POINT GRILL</t>
  </si>
  <si>
    <t>81226433</t>
  </si>
  <si>
    <t>RYLON'S SMOKEHOUSE</t>
  </si>
  <si>
    <t>67 E CERMAK RD STE 1</t>
  </si>
  <si>
    <t>20954632</t>
  </si>
  <si>
    <t>GRASS LAKE LANDINGS</t>
  </si>
  <si>
    <t>26250 HEART O LAKES BLVD</t>
  </si>
  <si>
    <t>945246</t>
  </si>
  <si>
    <t>9003 NORTH MILWAUKEE AVE</t>
  </si>
  <si>
    <t>31133796</t>
  </si>
  <si>
    <t>FRITZ PASTRY</t>
  </si>
  <si>
    <t>2233 N LINCOLN AVE</t>
  </si>
  <si>
    <t>40392011</t>
  </si>
  <si>
    <t>T'S BAR &amp; REST</t>
  </si>
  <si>
    <t>5025 N. CLARK</t>
  </si>
  <si>
    <t>51312718</t>
  </si>
  <si>
    <t>THE ROOST IRVING PARK</t>
  </si>
  <si>
    <t>1467 W IRVING PARK RD</t>
  </si>
  <si>
    <t>41109976</t>
  </si>
  <si>
    <t>7 SANDWICH SHOP</t>
  </si>
  <si>
    <t>1053 LAKE ST</t>
  </si>
  <si>
    <t>20411062</t>
  </si>
  <si>
    <t>HAIFA CAFE**COLL**</t>
  </si>
  <si>
    <t>163 N. WELLS</t>
  </si>
  <si>
    <t>60485737</t>
  </si>
  <si>
    <t>KOHL CHILDRENS MUSEUM</t>
  </si>
  <si>
    <t>2100 PATRIOT BLVD</t>
  </si>
  <si>
    <t>40559684</t>
  </si>
  <si>
    <t>431 W BOUGHTON</t>
  </si>
  <si>
    <t>80975139</t>
  </si>
  <si>
    <t>110 S. MAIN</t>
  </si>
  <si>
    <t>11220159</t>
  </si>
  <si>
    <t>ROCKY'S PIZZERIA 2</t>
  </si>
  <si>
    <t>2501 MARTIN LUTHER KING J</t>
  </si>
  <si>
    <t>972919</t>
  </si>
  <si>
    <t>CHESSIE'S</t>
  </si>
  <si>
    <t>200 APPLEBEE ST</t>
  </si>
  <si>
    <t>1303429</t>
  </si>
  <si>
    <t>ZACHARY'S GRILL</t>
  </si>
  <si>
    <t>13415 S RIDGELAND AVE</t>
  </si>
  <si>
    <t>31138365</t>
  </si>
  <si>
    <t>EPICURE BISTRO</t>
  </si>
  <si>
    <t>718 NORTHWEST HWY</t>
  </si>
  <si>
    <t>31019565</t>
  </si>
  <si>
    <t>SUBS DELUXE INC.</t>
  </si>
  <si>
    <t>224 A. LINCOLN MALL</t>
  </si>
  <si>
    <t>90484668</t>
  </si>
  <si>
    <t>RAVINIA MUSICAL FESTI</t>
  </si>
  <si>
    <t>400 IRIS LANE</t>
  </si>
  <si>
    <t>11276540</t>
  </si>
  <si>
    <t>CHICAGO MASON</t>
  </si>
  <si>
    <t>613 N WELLS ST</t>
  </si>
  <si>
    <t>31314891</t>
  </si>
  <si>
    <t>FRESH EXPRESS</t>
  </si>
  <si>
    <t>311 MELTON RD</t>
  </si>
  <si>
    <t>31196512</t>
  </si>
  <si>
    <t>3 FLOYDS BREWPUB</t>
  </si>
  <si>
    <t>9750 INDIANA PKWY</t>
  </si>
  <si>
    <t>41318387</t>
  </si>
  <si>
    <t>SLIM'S 2 LLC</t>
  </si>
  <si>
    <t>2020 W MONTROSE AVE</t>
  </si>
  <si>
    <t>90484304</t>
  </si>
  <si>
    <t>DAIRY QUEEN 18329</t>
  </si>
  <si>
    <t>14128 S BELL RD</t>
  </si>
  <si>
    <t>10028595</t>
  </si>
  <si>
    <t>NOLAN'S **COLL**</t>
  </si>
  <si>
    <t>4033 N BLUFF LAKE</t>
  </si>
  <si>
    <t>31315658</t>
  </si>
  <si>
    <t>PITA HEAVEN CHICAGO</t>
  </si>
  <si>
    <t>1250 S MICHIGAN AVE</t>
  </si>
  <si>
    <t>10679488</t>
  </si>
  <si>
    <t>1122 W LAKE ST</t>
  </si>
  <si>
    <t>60934916</t>
  </si>
  <si>
    <t>PEPE'S MEXICAN REST/ H.H.</t>
  </si>
  <si>
    <t>4610 N HARLEM AVE</t>
  </si>
  <si>
    <t>90810433</t>
  </si>
  <si>
    <t>THE LANTERN</t>
  </si>
  <si>
    <t>768 N. WESTERN AVE</t>
  </si>
  <si>
    <t>10546570</t>
  </si>
  <si>
    <t>EGGSPERIENCE/LONG*COLL**</t>
  </si>
  <si>
    <t>3970 ROUTE 22</t>
  </si>
  <si>
    <t>71177190</t>
  </si>
  <si>
    <t>GYORGOS CAFE</t>
  </si>
  <si>
    <t>7233 STATE PARK RD</t>
  </si>
  <si>
    <t>20552444</t>
  </si>
  <si>
    <t>STARSHIP SUBS</t>
  </si>
  <si>
    <t>7618 W. MADISON</t>
  </si>
  <si>
    <t>70483094</t>
  </si>
  <si>
    <t>VICEROY OF INDIA,,,</t>
  </si>
  <si>
    <t>19W555 ROOSEVELT RD</t>
  </si>
  <si>
    <t>81088163</t>
  </si>
  <si>
    <t>SENOR TACOS</t>
  </si>
  <si>
    <t>2643 KIRCHOFF RD</t>
  </si>
  <si>
    <t>61117669</t>
  </si>
  <si>
    <t>RAIMONDO'S PIZZA AND PUB</t>
  </si>
  <si>
    <t>1033 KILBERY LN</t>
  </si>
  <si>
    <t>80997281</t>
  </si>
  <si>
    <t>KONA TIKI LOUNGE</t>
  </si>
  <si>
    <t>334 GEORGETOWN SQUARE</t>
  </si>
  <si>
    <t>31089063</t>
  </si>
  <si>
    <t>PIECES PIZZA</t>
  </si>
  <si>
    <t>1700 N NORTH AVE</t>
  </si>
  <si>
    <t>91248203</t>
  </si>
  <si>
    <t>SHIMA'S SUSHI JAPANESE RE</t>
  </si>
  <si>
    <t>40W 222 LA FOX RD</t>
  </si>
  <si>
    <t>31024177</t>
  </si>
  <si>
    <t>DANI'S BISTRO DONT SHIP</t>
  </si>
  <si>
    <t>244 WOODSTOCK</t>
  </si>
  <si>
    <t>61142238</t>
  </si>
  <si>
    <t>PATRICK'S GRILLE</t>
  </si>
  <si>
    <t>4125 FRANKLIN ST</t>
  </si>
  <si>
    <t>91112490</t>
  </si>
  <si>
    <t>BULLDOG'S ALE HOUSE</t>
  </si>
  <si>
    <t>2387 E. JOLIET HWY</t>
  </si>
  <si>
    <t>91159376</t>
  </si>
  <si>
    <t>HALF SOUR</t>
  </si>
  <si>
    <t>938 HEMLOCK ST</t>
  </si>
  <si>
    <t>10719631</t>
  </si>
  <si>
    <t>BEEF VILLA SOUTH ELGIN</t>
  </si>
  <si>
    <t>1255 WEST SPRING STREET</t>
  </si>
  <si>
    <t>40035453</t>
  </si>
  <si>
    <t>Z Z DFORMANT   NON-FOOD</t>
  </si>
  <si>
    <t>521 S DEARBORN ST</t>
  </si>
  <si>
    <t>30360085</t>
  </si>
  <si>
    <t>THE VENETIAN STEAK</t>
  </si>
  <si>
    <t>23224 W LINCOLN HIGHWAY</t>
  </si>
  <si>
    <t>70508957</t>
  </si>
  <si>
    <t>BELLISIMO KABOB**COLL**</t>
  </si>
  <si>
    <t>16111 S. LAGRANGE RD.</t>
  </si>
  <si>
    <t>11278900</t>
  </si>
  <si>
    <t>CILANTRO - ELGIN</t>
  </si>
  <si>
    <t>512 WAVERLY DR</t>
  </si>
  <si>
    <t>81272171</t>
  </si>
  <si>
    <t>STATE STREET DINER</t>
  </si>
  <si>
    <t>630 W STATE ST</t>
  </si>
  <si>
    <t>80515687</t>
  </si>
  <si>
    <t>HAY CARAMBA</t>
  </si>
  <si>
    <t>122 S. PROSPECT</t>
  </si>
  <si>
    <t>940684</t>
  </si>
  <si>
    <t>VIA ROMA</t>
  </si>
  <si>
    <t>686 LEE ST</t>
  </si>
  <si>
    <t>30520837</t>
  </si>
  <si>
    <t>THE PERFECT DINNER**COLL*</t>
  </si>
  <si>
    <t>809 SOUTH BOULEVARD</t>
  </si>
  <si>
    <t>1230184</t>
  </si>
  <si>
    <t>BARRACO'S BEVERLY</t>
  </si>
  <si>
    <t>2020 W 95TH ST</t>
  </si>
  <si>
    <t>31085053</t>
  </si>
  <si>
    <t>CATCH 22</t>
  </si>
  <si>
    <t>500 EAST 81ST STREET</t>
  </si>
  <si>
    <t>80914344</t>
  </si>
  <si>
    <t>PALETTE BISTRO</t>
  </si>
  <si>
    <t>2834 N SOUTHPORT</t>
  </si>
  <si>
    <t>11192481</t>
  </si>
  <si>
    <t>CARNITAS DON ROY</t>
  </si>
  <si>
    <t>118 E MAIN ST</t>
  </si>
  <si>
    <t>20393153</t>
  </si>
  <si>
    <t>MICKEY'S GYROS</t>
  </si>
  <si>
    <t>525 N. HARLEM</t>
  </si>
  <si>
    <t>90482456</t>
  </si>
  <si>
    <t>MONICA'S CAFE **COLL**</t>
  </si>
  <si>
    <t>401 E EUCLID</t>
  </si>
  <si>
    <t>21346408</t>
  </si>
  <si>
    <t>SONGBIRD CAFE</t>
  </si>
  <si>
    <t>21950 HOWELL DR</t>
  </si>
  <si>
    <t>70994652</t>
  </si>
  <si>
    <t>BAKERSFIELD RESTAURANT</t>
  </si>
  <si>
    <t>338 EAST OGDEN AVE</t>
  </si>
  <si>
    <t>90483561</t>
  </si>
  <si>
    <t>CUSTOM MEATS</t>
  </si>
  <si>
    <t>40W484 RT 64</t>
  </si>
  <si>
    <t>81257610</t>
  </si>
  <si>
    <t>DURTY NELLIES</t>
  </si>
  <si>
    <t>20559571</t>
  </si>
  <si>
    <t>BIG JONES CHICAGO</t>
  </si>
  <si>
    <t>5347 N. CLARK ST.</t>
  </si>
  <si>
    <t>31177686</t>
  </si>
  <si>
    <t>DIXIE KITCHEN EVANSTON</t>
  </si>
  <si>
    <t>90961079</t>
  </si>
  <si>
    <t>DI BENEDETTO TRATTORIA</t>
  </si>
  <si>
    <t>1766 W. ALGONQUIN ROAD</t>
  </si>
  <si>
    <t>81152993</t>
  </si>
  <si>
    <t>PUNKY'S PIZZA &amp; PASTA</t>
  </si>
  <si>
    <t>2600 S WALLACE ST</t>
  </si>
  <si>
    <t>60552445</t>
  </si>
  <si>
    <t>DOWNER'S DELIGHT   :)</t>
  </si>
  <si>
    <t>401 75TH STREET</t>
  </si>
  <si>
    <t>71320931</t>
  </si>
  <si>
    <t>SHUGGA SHACK LLC</t>
  </si>
  <si>
    <t>1719 E SAUK TRL</t>
  </si>
  <si>
    <t>884668</t>
  </si>
  <si>
    <t>WASHINGTON STREET STATION</t>
  </si>
  <si>
    <t>14801 WASHINGTON ST.</t>
  </si>
  <si>
    <t>31200900</t>
  </si>
  <si>
    <t>CLUB HOUSE BAR &amp; GRILL</t>
  </si>
  <si>
    <t>9163 WICKER AVE</t>
  </si>
  <si>
    <t>441741</t>
  </si>
  <si>
    <t>1212 E. 59TH STREET</t>
  </si>
  <si>
    <t>10984698</t>
  </si>
  <si>
    <t>JOHNNY'S WEE NEE WAGON</t>
  </si>
  <si>
    <t>15743 S CRAWFORD</t>
  </si>
  <si>
    <t>20858338</t>
  </si>
  <si>
    <t>RED LANTERN</t>
  </si>
  <si>
    <t>61108296</t>
  </si>
  <si>
    <t>MIA PASSIONE</t>
  </si>
  <si>
    <t>8347 W. GRAND AVE</t>
  </si>
  <si>
    <t>30936454</t>
  </si>
  <si>
    <t>HERM'S BBQ</t>
  </si>
  <si>
    <t>39210 N. SHERIDAN</t>
  </si>
  <si>
    <t>10482503</t>
  </si>
  <si>
    <t>GREAT WRAPS-NILES</t>
  </si>
  <si>
    <t>8273 W GOLF ROAD</t>
  </si>
  <si>
    <t>50483502</t>
  </si>
  <si>
    <t>BOCADITOS #337 BRKFD</t>
  </si>
  <si>
    <t>21348024</t>
  </si>
  <si>
    <t>BERNIE'S CHICAGO</t>
  </si>
  <si>
    <t>660 N ORLEANS ST</t>
  </si>
  <si>
    <t>51134286</t>
  </si>
  <si>
    <t>PUB 47</t>
  </si>
  <si>
    <t>10434 RT 47</t>
  </si>
  <si>
    <t>81206393</t>
  </si>
  <si>
    <t>OLD TOWN POUR HOUSE E/S</t>
  </si>
  <si>
    <t>1703 FREEDOM</t>
  </si>
  <si>
    <t>91213959</t>
  </si>
  <si>
    <t>ZENWICH</t>
  </si>
  <si>
    <t>416 N YORK ST</t>
  </si>
  <si>
    <t>91174011</t>
  </si>
  <si>
    <t>ALPS</t>
  </si>
  <si>
    <t>3637 W IRVING PARK ROAD</t>
  </si>
  <si>
    <t>1165687</t>
  </si>
  <si>
    <t>DEL SUR</t>
  </si>
  <si>
    <t>4559 S HALSTED ST</t>
  </si>
  <si>
    <t>60509544</t>
  </si>
  <si>
    <t>KOOK'S RACINE DAIRY QUEEN</t>
  </si>
  <si>
    <t>7106 WASHINGTON AVE</t>
  </si>
  <si>
    <t>51110823</t>
  </si>
  <si>
    <t>JULIET'S</t>
  </si>
  <si>
    <t>205 N CHICAGO</t>
  </si>
  <si>
    <t>50032333</t>
  </si>
  <si>
    <t>Z Z DORMANT  MARKET INC</t>
  </si>
  <si>
    <t>585 N. MCLEAN BLVD</t>
  </si>
  <si>
    <t>40956096</t>
  </si>
  <si>
    <t>14801 WASHINGTON STREET</t>
  </si>
  <si>
    <t>61256095</t>
  </si>
  <si>
    <t>STEFARI CAF</t>
  </si>
  <si>
    <t>150 N SCHUYLER AVE</t>
  </si>
  <si>
    <t>21025796</t>
  </si>
  <si>
    <t>WILLIAMS ST PUBLIC NOTE</t>
  </si>
  <si>
    <t>70567979</t>
  </si>
  <si>
    <t>FION WINE &amp; SPIRITS</t>
  </si>
  <si>
    <t>426 W. DIVERSEY PKWY</t>
  </si>
  <si>
    <t>70601141</t>
  </si>
  <si>
    <t>BARLEY HOUSE**COLL*</t>
  </si>
  <si>
    <t>1520 SOUTH RANDALLL RD</t>
  </si>
  <si>
    <t>10204501</t>
  </si>
  <si>
    <t>RON OF JAPAN/CHGO</t>
  </si>
  <si>
    <t>230 E ONTARIO ST</t>
  </si>
  <si>
    <t>40577553</t>
  </si>
  <si>
    <t>NEW UBER BURGER, LLC</t>
  </si>
  <si>
    <t>618 1/2 CHURCH STREET</t>
  </si>
  <si>
    <t>50484740</t>
  </si>
  <si>
    <t>FOX LAKE FAMILY REST</t>
  </si>
  <si>
    <t>56 N RT 12</t>
  </si>
  <si>
    <t>91222612</t>
  </si>
  <si>
    <t>HALSTED 311 S WACKER</t>
  </si>
  <si>
    <t>311 S WACKER DR</t>
  </si>
  <si>
    <t>61117545</t>
  </si>
  <si>
    <t>MARION ST CHEESE MARKET</t>
  </si>
  <si>
    <t>21211529</t>
  </si>
  <si>
    <t>PICK WICK RESTAURANT</t>
  </si>
  <si>
    <t>1 S PROSPECT AVE</t>
  </si>
  <si>
    <t>21340872</t>
  </si>
  <si>
    <t>SHARKS FISH AND CHICKEN</t>
  </si>
  <si>
    <t>14550 PARK AVE</t>
  </si>
  <si>
    <t>81130825</t>
  </si>
  <si>
    <t>VEGETARIAN EXPRESS</t>
  </si>
  <si>
    <t>3109 N HALSTED</t>
  </si>
  <si>
    <t>30910814</t>
  </si>
  <si>
    <t>OLIVERII NORTH</t>
  </si>
  <si>
    <t>384 LAKE STREET</t>
  </si>
  <si>
    <t>995365</t>
  </si>
  <si>
    <t>TRIO TRATTORIA</t>
  </si>
  <si>
    <t>210 ABERDEEN DR</t>
  </si>
  <si>
    <t>20885216</t>
  </si>
  <si>
    <t>WASHINGTON GARDENS</t>
  </si>
  <si>
    <t>256 GREEN BAY ROAD</t>
  </si>
  <si>
    <t>30995138</t>
  </si>
  <si>
    <t>DINE RESTAURANT</t>
  </si>
  <si>
    <t>733 W MADISON AVE</t>
  </si>
  <si>
    <t>1257070</t>
  </si>
  <si>
    <t>CHEESIE'S LAGRANGE</t>
  </si>
  <si>
    <t>46 S LA GRANGE RD</t>
  </si>
  <si>
    <t>60955507</t>
  </si>
  <si>
    <t>FANTASY</t>
  </si>
  <si>
    <t>3850 179TH STREET</t>
  </si>
  <si>
    <t>30904908</t>
  </si>
  <si>
    <t>30032700</t>
  </si>
  <si>
    <t>Z Z DORMANT   SEAFOOD</t>
  </si>
  <si>
    <t>2200 W KIMBERLY</t>
  </si>
  <si>
    <t>678888</t>
  </si>
  <si>
    <t>JAPONAIS</t>
  </si>
  <si>
    <t>600 W.CHICAGO AVE</t>
  </si>
  <si>
    <t>50483130</t>
  </si>
  <si>
    <t>CHAMPIYONS EATERY &amp; P</t>
  </si>
  <si>
    <t>10307 S ROBERTS RD.</t>
  </si>
  <si>
    <t>80122963</t>
  </si>
  <si>
    <t>TIP TOP CAFE</t>
  </si>
  <si>
    <t>202 MAIN ST</t>
  </si>
  <si>
    <t>40521254</t>
  </si>
  <si>
    <t>TRACI POWELL</t>
  </si>
  <si>
    <t>1919 DEERE LANE</t>
  </si>
  <si>
    <t>51120046</t>
  </si>
  <si>
    <t>ROXANA'S GRILLE</t>
  </si>
  <si>
    <t>234 W 81ST AVE</t>
  </si>
  <si>
    <t>20119913</t>
  </si>
  <si>
    <t>DISCOVERY ZONE/MERRILVILL</t>
  </si>
  <si>
    <t>1700 EAST 80TH ST</t>
  </si>
  <si>
    <t>90924887</t>
  </si>
  <si>
    <t>BIG SAMMY'S ELGIN</t>
  </si>
  <si>
    <t>2490 BUSHWOOD DR</t>
  </si>
  <si>
    <t>61042370</t>
  </si>
  <si>
    <t>TAP HOUSE 1233 LLC</t>
  </si>
  <si>
    <t>1223 CENTRAL AVE</t>
  </si>
  <si>
    <t>20551750</t>
  </si>
  <si>
    <t>GOLDEN CROWN RESTAURANT</t>
  </si>
  <si>
    <t>17904 S. TORRENCE</t>
  </si>
  <si>
    <t>81224552</t>
  </si>
  <si>
    <t>THE POLENTA BAR</t>
  </si>
  <si>
    <t>1002 W LAKE ST</t>
  </si>
  <si>
    <t>591719</t>
  </si>
  <si>
    <t>BROWN'S CHICKEN/MIDLOTHIA</t>
  </si>
  <si>
    <t>3721 W. 147TH STREET</t>
  </si>
  <si>
    <t>80532161</t>
  </si>
  <si>
    <t>C.T. WORKS DEEP DISH</t>
  </si>
  <si>
    <t>1709 CALUMET AVE</t>
  </si>
  <si>
    <t>91206011</t>
  </si>
  <si>
    <t>I-57 RIB HOUSE</t>
  </si>
  <si>
    <t>1524 W 115TH ST</t>
  </si>
  <si>
    <t>90909896</t>
  </si>
  <si>
    <t>TOWN CLUB RESTAURANT</t>
  </si>
  <si>
    <t>2904 45TH STREET</t>
  </si>
  <si>
    <t>20483301</t>
  </si>
  <si>
    <t>SLATE STREET BILL**COLL**</t>
  </si>
  <si>
    <t>700 N MILWAUKEE AVE. #139</t>
  </si>
  <si>
    <t>81147076</t>
  </si>
  <si>
    <t>TAILGATERS GRUB</t>
  </si>
  <si>
    <t>206 E. 35TH ST</t>
  </si>
  <si>
    <t>591701</t>
  </si>
  <si>
    <t>BROWN'S CHICKEN/HOMER GLE</t>
  </si>
  <si>
    <t>14226 S. BELL RD.</t>
  </si>
  <si>
    <t>60852837</t>
  </si>
  <si>
    <t>THE  CROSS ROADS</t>
  </si>
  <si>
    <t>1120 WEST MADISON ST</t>
  </si>
  <si>
    <t>456129</t>
  </si>
  <si>
    <t>FLATLANDER'S**COLL**</t>
  </si>
  <si>
    <t>61310074</t>
  </si>
  <si>
    <t>FLAVOR FRENZY</t>
  </si>
  <si>
    <t>318 W HALF DAY RD # 295</t>
  </si>
  <si>
    <t>50935766</t>
  </si>
  <si>
    <t>FLACO'S TACOS #1</t>
  </si>
  <si>
    <t>725 S. DEARBORN</t>
  </si>
  <si>
    <t>51213916</t>
  </si>
  <si>
    <t>NEW WASHINGTON SQUARE RES</t>
  </si>
  <si>
    <t>1699 SAUK TRAIL</t>
  </si>
  <si>
    <t>40484669</t>
  </si>
  <si>
    <t>SHANAHANS,</t>
  </si>
  <si>
    <t>7353 MADISON ST</t>
  </si>
  <si>
    <t>91010470</t>
  </si>
  <si>
    <t>KHAYAT FAT MAN BOWL</t>
  </si>
  <si>
    <t>13860 ROCKLAND RD</t>
  </si>
  <si>
    <t>GREEN OAKS</t>
  </si>
  <si>
    <t>1018175</t>
  </si>
  <si>
    <t>KROLLS SOUTH LOOP</t>
  </si>
  <si>
    <t>1736 SOUTH MICHIGAN AVE</t>
  </si>
  <si>
    <t>21001672</t>
  </si>
  <si>
    <t>THE BURGER PHILOSOPHY</t>
  </si>
  <si>
    <t>1541 W. BRYN MAWR AVE</t>
  </si>
  <si>
    <t>30484828</t>
  </si>
  <si>
    <t>ST ISIDORE CHURCH</t>
  </si>
  <si>
    <t>427 W ARMY TRAIL RD</t>
  </si>
  <si>
    <t>70372768</t>
  </si>
  <si>
    <t>SIDETRACK SALOON</t>
  </si>
  <si>
    <t>106 WASHINGTON STREET</t>
  </si>
  <si>
    <t>20925194</t>
  </si>
  <si>
    <t>FRANKS KARMA CAFE</t>
  </si>
  <si>
    <t>203 S. MAIN STREET</t>
  </si>
  <si>
    <t>251645</t>
  </si>
  <si>
    <t>QUIZNO'S CORP**COLL**</t>
  </si>
  <si>
    <t>1415 LARIMER STREET</t>
  </si>
  <si>
    <t>80202</t>
  </si>
  <si>
    <t>90902925</t>
  </si>
  <si>
    <t>TLC-THE L CAFE</t>
  </si>
  <si>
    <t>424 S. WABASH</t>
  </si>
  <si>
    <t>50429182</t>
  </si>
  <si>
    <t>MR. G'S CATERING**COLL**</t>
  </si>
  <si>
    <t>8480 COMMERCIAL</t>
  </si>
  <si>
    <t>60483898</t>
  </si>
  <si>
    <t>GRAZIE RISTORANTE**COLL**</t>
  </si>
  <si>
    <t>1050 EAST OAKTON</t>
  </si>
  <si>
    <t>11165743</t>
  </si>
  <si>
    <t>MINER DUNN</t>
  </si>
  <si>
    <t>8940 INDIANAPOLIS BLVD</t>
  </si>
  <si>
    <t>1303353</t>
  </si>
  <si>
    <t>90326448</t>
  </si>
  <si>
    <t>SPRING GROVE REST</t>
  </si>
  <si>
    <t>1521 S WEST AVE</t>
  </si>
  <si>
    <t>30482145</t>
  </si>
  <si>
    <t>WING WAH</t>
  </si>
  <si>
    <t>337 E RAND RD</t>
  </si>
  <si>
    <t>10595049</t>
  </si>
  <si>
    <t>DUPAGE CHILDRENS MUSEUM</t>
  </si>
  <si>
    <t>301 N WASHINGTON</t>
  </si>
  <si>
    <t>21252135</t>
  </si>
  <si>
    <t>RAVINIA BREWING</t>
  </si>
  <si>
    <t>2925 W MONTROSE AVE</t>
  </si>
  <si>
    <t>81339335</t>
  </si>
  <si>
    <t>BOUNMY GRILL</t>
  </si>
  <si>
    <t>3207 N HALSTED ST</t>
  </si>
  <si>
    <t>1298553</t>
  </si>
  <si>
    <t>AVENUE ALE HOUSE</t>
  </si>
  <si>
    <t>825 S OAK PARK AVE</t>
  </si>
  <si>
    <t>50034982</t>
  </si>
  <si>
    <t>CANTEEN #26484/HARRIS TR</t>
  </si>
  <si>
    <t>111 W MONROE ST *FOOD*</t>
  </si>
  <si>
    <t>61108882</t>
  </si>
  <si>
    <t>DIMITO'S DOUBLE D SALOON</t>
  </si>
  <si>
    <t>11059318</t>
  </si>
  <si>
    <t>BENEDICT BREAKFAST&amp;LUNCH</t>
  </si>
  <si>
    <t>1103 JOLIET STREET</t>
  </si>
  <si>
    <t>309757</t>
  </si>
  <si>
    <t>HOT TAMALES **COLL**</t>
  </si>
  <si>
    <t>700 S BUTTERFIELD RD</t>
  </si>
  <si>
    <t>21342456</t>
  </si>
  <si>
    <t>FORBIDDEN ROOT</t>
  </si>
  <si>
    <t>1746 W CHICAGO AVE</t>
  </si>
  <si>
    <t>406801</t>
  </si>
  <si>
    <t>LAGRANGE CC HALFWAY HOUSE</t>
  </si>
  <si>
    <t>620  BRAINARD</t>
  </si>
  <si>
    <t>20957304</t>
  </si>
  <si>
    <t>GREEN CHILLI</t>
  </si>
  <si>
    <t>5019 ACE LANE</t>
  </si>
  <si>
    <t>10551943</t>
  </si>
  <si>
    <t>MICHAEL'S NORTH</t>
  </si>
  <si>
    <t>101 W NORTH AVE</t>
  </si>
  <si>
    <t>51321362</t>
  </si>
  <si>
    <t>QUIGLEY?S IRISH PUB</t>
  </si>
  <si>
    <t>43 E JEFFERSON AVE</t>
  </si>
  <si>
    <t>41286717</t>
  </si>
  <si>
    <t>31090202</t>
  </si>
  <si>
    <t>SUREFIRE</t>
  </si>
  <si>
    <t>2103 N CALUMET AVE</t>
  </si>
  <si>
    <t>41284480</t>
  </si>
  <si>
    <t>COLUMBUS CAFE</t>
  </si>
  <si>
    <t>280 S COLUMBUS DR FL 2</t>
  </si>
  <si>
    <t>10552651</t>
  </si>
  <si>
    <t>GAS CITY MOKENA</t>
  </si>
  <si>
    <t>198550 S. LAGRANGE RD.</t>
  </si>
  <si>
    <t>60813060</t>
  </si>
  <si>
    <t>FIRST SLICE CAFE</t>
  </si>
  <si>
    <t>4664 N MANOR</t>
  </si>
  <si>
    <t>10161024</t>
  </si>
  <si>
    <t>OLD CHICAGO PASTA**COLL**</t>
  </si>
  <si>
    <t>1000 BUSSE RD.</t>
  </si>
  <si>
    <t>30503064</t>
  </si>
  <si>
    <t>BEACH CAFE INC**COLL**</t>
  </si>
  <si>
    <t>903 N. SHELBY ST.</t>
  </si>
  <si>
    <t>20455432</t>
  </si>
  <si>
    <t>Z SIZZLE ON BROADWAY</t>
  </si>
  <si>
    <t>6157 N. BROADWAY</t>
  </si>
  <si>
    <t>90482217</t>
  </si>
  <si>
    <t>VICEROY OF INDIA*</t>
  </si>
  <si>
    <t>2520 W. DEVON AVENUE</t>
  </si>
  <si>
    <t>50034362</t>
  </si>
  <si>
    <t>2120 N HALSTED STREET</t>
  </si>
  <si>
    <t>60188653</t>
  </si>
  <si>
    <t>ELIO'S RIST. **COLL**</t>
  </si>
  <si>
    <t>338 E ARMY TRAIL RD</t>
  </si>
  <si>
    <t>80576986</t>
  </si>
  <si>
    <t>SOUL</t>
  </si>
  <si>
    <t>1 WALKER AVE</t>
  </si>
  <si>
    <t>70943717</t>
  </si>
  <si>
    <t>75 E. WOODSTOCK STREET</t>
  </si>
  <si>
    <t>11312063</t>
  </si>
  <si>
    <t>TWISTED HIPPO BREWING</t>
  </si>
  <si>
    <t>11284478</t>
  </si>
  <si>
    <t>RONIN CAPITAL CAFE</t>
  </si>
  <si>
    <t>60483773</t>
  </si>
  <si>
    <t>GIGANTE BAKERY INC</t>
  </si>
  <si>
    <t>140 S BOLINGBROOK DR</t>
  </si>
  <si>
    <t>20636031</t>
  </si>
  <si>
    <t>IHOP # 5409 - ST. CHARLES</t>
  </si>
  <si>
    <t>125 SMITH ROAD</t>
  </si>
  <si>
    <t>10318855</t>
  </si>
  <si>
    <t>POPEYES #2353</t>
  </si>
  <si>
    <t>5401 S HALSTED ST</t>
  </si>
  <si>
    <t>91269407</t>
  </si>
  <si>
    <t>HUGO'S PELMENI</t>
  </si>
  <si>
    <t>2468 N CLARK ST</t>
  </si>
  <si>
    <t>11241700</t>
  </si>
  <si>
    <t>TRACY'S ROUND LAKE BEACH</t>
  </si>
  <si>
    <t>318 W ROLLINS RD UNIT A</t>
  </si>
  <si>
    <t>20037966</t>
  </si>
  <si>
    <t>NEW FARADAYS/AVE 64 RESTN</t>
  </si>
  <si>
    <t>602 E NORTH AVE</t>
  </si>
  <si>
    <t>NORTH GLEN ELLYN</t>
  </si>
  <si>
    <t>91149575</t>
  </si>
  <si>
    <t>FOX LAKE FAMILY RESTAURAN</t>
  </si>
  <si>
    <t>56 US-12</t>
  </si>
  <si>
    <t>60514742</t>
  </si>
  <si>
    <t>JACK DESMONDS</t>
  </si>
  <si>
    <t>10339 SOUTH RIDGELAND</t>
  </si>
  <si>
    <t>80991995</t>
  </si>
  <si>
    <t>AJ'S PIZZA</t>
  </si>
  <si>
    <t>150 E US HIGHWAY 6</t>
  </si>
  <si>
    <t>41294620</t>
  </si>
  <si>
    <t>SUGO</t>
  </si>
  <si>
    <t>4949 OAKTON ST</t>
  </si>
  <si>
    <t>21342662</t>
  </si>
  <si>
    <t>TIKKA N' CURRY</t>
  </si>
  <si>
    <t>411 S FINANCIAL PL</t>
  </si>
  <si>
    <t>41316514</t>
  </si>
  <si>
    <t>BARREL + RYE</t>
  </si>
  <si>
    <t>477 S 3RD ST # 184</t>
  </si>
  <si>
    <t>81235350</t>
  </si>
  <si>
    <t>TASTE 222</t>
  </si>
  <si>
    <t>21147376</t>
  </si>
  <si>
    <t>MONGO MC MICHAELS</t>
  </si>
  <si>
    <t>1101 N. INDEPENDENCE BLVD</t>
  </si>
  <si>
    <t>31111743</t>
  </si>
  <si>
    <t>BEEF SHACK-HOFFMAN EST.</t>
  </si>
  <si>
    <t>41043845</t>
  </si>
  <si>
    <t>THE KERRY PIPER</t>
  </si>
  <si>
    <t>7900 JOLIET ROAD</t>
  </si>
  <si>
    <t>31060031</t>
  </si>
  <si>
    <t>SNUGERY</t>
  </si>
  <si>
    <t>222 S RIVERSIDE PLAZA</t>
  </si>
  <si>
    <t>20110755</t>
  </si>
  <si>
    <t>BEEF HOUSE THE</t>
  </si>
  <si>
    <t>10339 S RIDGELAND AVE</t>
  </si>
  <si>
    <t>71155931</t>
  </si>
  <si>
    <t>THE COTTON DUCK</t>
  </si>
  <si>
    <t>939 N DAMEN</t>
  </si>
  <si>
    <t>30472757</t>
  </si>
  <si>
    <t>FRESCO'S MEDITERRANEAN CA</t>
  </si>
  <si>
    <t>143 N.YORK RD</t>
  </si>
  <si>
    <t>51344455</t>
  </si>
  <si>
    <t>81092165</t>
  </si>
  <si>
    <t>LALO'S RESTAURANT 26 AVE</t>
  </si>
  <si>
    <t>4126 W. 26TH ST</t>
  </si>
  <si>
    <t>297655</t>
  </si>
  <si>
    <t>FAMOUS DAVES-CORP.</t>
  </si>
  <si>
    <t>7657 ANAGRAM DRIVE</t>
  </si>
  <si>
    <t>71344352</t>
  </si>
  <si>
    <t>FATPOUR TAP WORKS</t>
  </si>
  <si>
    <t>2005 W DIVISION ST</t>
  </si>
  <si>
    <t>40615056</t>
  </si>
  <si>
    <t>THE MEAN WEINER</t>
  </si>
  <si>
    <t>532 SHERIDAN ROAD</t>
  </si>
  <si>
    <t>40521916</t>
  </si>
  <si>
    <t>GROVE COURT MEATS**COLL**</t>
  </si>
  <si>
    <t>793 S. BUFFALO GROVE RD</t>
  </si>
  <si>
    <t>60030731</t>
  </si>
  <si>
    <t>PACIFIC CLUB</t>
  </si>
  <si>
    <t>175 YORKTOWN MALL</t>
  </si>
  <si>
    <t>41256918</t>
  </si>
  <si>
    <t>CHEESIE'S FOOD TRUCK</t>
  </si>
  <si>
    <t>40511875</t>
  </si>
  <si>
    <t>CAFENEO  **COLL**</t>
  </si>
  <si>
    <t>4655 N. LINCOLN AVE.</t>
  </si>
  <si>
    <t>71236277</t>
  </si>
  <si>
    <t>BANNERMAN'S BAR BARTLETT</t>
  </si>
  <si>
    <t>858 S IL ROUTE 59</t>
  </si>
  <si>
    <t>61061842</t>
  </si>
  <si>
    <t>1913 RESTAURANT &amp; BAR</t>
  </si>
  <si>
    <t>123 E MAIN ST</t>
  </si>
  <si>
    <t>50792274</t>
  </si>
  <si>
    <t>BILL'S PIZZA - DO NOT SHI</t>
  </si>
  <si>
    <t>30974273</t>
  </si>
  <si>
    <t>RIVERSTONE RESTAURANT</t>
  </si>
  <si>
    <t>702 MONTGOMERY ROAD</t>
  </si>
  <si>
    <t>81110678</t>
  </si>
  <si>
    <t>SAM'S TRIPLE CROWN</t>
  </si>
  <si>
    <t>9191 W 159TH ST.</t>
  </si>
  <si>
    <t>10995181</t>
  </si>
  <si>
    <t>SWEET HOME GELATO</t>
  </si>
  <si>
    <t>617 CENTRAL AVE</t>
  </si>
  <si>
    <t>41015017</t>
  </si>
  <si>
    <t>PUPUSITA EXPRESS</t>
  </si>
  <si>
    <t>1114 N. CEDAR LAKE ROAD</t>
  </si>
  <si>
    <t>60535499</t>
  </si>
  <si>
    <t>THE GRILL **COLL**</t>
  </si>
  <si>
    <t>331 WAUKEGAN AVE.</t>
  </si>
  <si>
    <t>735134</t>
  </si>
  <si>
    <t>ONE SIXTY FOUR NORTH</t>
  </si>
  <si>
    <t>164 N SCHUYLER AVE</t>
  </si>
  <si>
    <t>21170642</t>
  </si>
  <si>
    <t>JOANIE'S PIZEERIA</t>
  </si>
  <si>
    <t>235 ROBERT PARKER</t>
  </si>
  <si>
    <t>20669602</t>
  </si>
  <si>
    <t>TOWER GRILLE **COLL**</t>
  </si>
  <si>
    <t>1800 TOWER DRIVE</t>
  </si>
  <si>
    <t>50534783</t>
  </si>
  <si>
    <t>MAN-JO-VINS</t>
  </si>
  <si>
    <t>3224 N DAMEN</t>
  </si>
  <si>
    <t>81181216</t>
  </si>
  <si>
    <t>KO SUSHI BOLINGBROOK</t>
  </si>
  <si>
    <t>1237 W BOUGHTON RD</t>
  </si>
  <si>
    <t>80318843</t>
  </si>
  <si>
    <t>POPEYES #2564**COLL**</t>
  </si>
  <si>
    <t>4604 N BROADWAY AVE</t>
  </si>
  <si>
    <t>1332402</t>
  </si>
  <si>
    <t>PALM COURT RESTAURANT</t>
  </si>
  <si>
    <t>1912 N ARLINGTON HEIGHTS</t>
  </si>
  <si>
    <t>90888728</t>
  </si>
  <si>
    <t>DRINKS ON ME</t>
  </si>
  <si>
    <t>1229 E. 87TH STREET</t>
  </si>
  <si>
    <t>91302125</t>
  </si>
  <si>
    <t>91098806</t>
  </si>
  <si>
    <t>THE DOCK @ MONTROSE BEACH</t>
  </si>
  <si>
    <t>21027081</t>
  </si>
  <si>
    <t>MI CASA RESTAURANTE</t>
  </si>
  <si>
    <t>1720 N MAIN ST</t>
  </si>
  <si>
    <t>61233359</t>
  </si>
  <si>
    <t>TOMATO BAR PIZZ/BKRY VALP</t>
  </si>
  <si>
    <t>10591709</t>
  </si>
  <si>
    <t>BROWN'S CHICKEN/ROUND LAK</t>
  </si>
  <si>
    <t>714 E. ROLLINS RD.</t>
  </si>
  <si>
    <t>60502630</t>
  </si>
  <si>
    <t>WET NIGHTCLUB</t>
  </si>
  <si>
    <t>209 W LAKE ST.</t>
  </si>
  <si>
    <t>20482790</t>
  </si>
  <si>
    <t>AURORA PANCAKE HOUSE</t>
  </si>
  <si>
    <t>321 N LAKE</t>
  </si>
  <si>
    <t>50399815</t>
  </si>
  <si>
    <t>LEVY/COMISKEY PARK</t>
  </si>
  <si>
    <t>333 W 35TH STREET</t>
  </si>
  <si>
    <t>90068289</t>
  </si>
  <si>
    <t>13 COLONIES BANQUETS</t>
  </si>
  <si>
    <t>10549293</t>
  </si>
  <si>
    <t>SUPER 8 MILWAUKEE W</t>
  </si>
  <si>
    <t>115 N. MAYFAIR ROAD</t>
  </si>
  <si>
    <t>50483395</t>
  </si>
  <si>
    <t>EUROPEAN CRYSTAL BANQ</t>
  </si>
  <si>
    <t>519 W ALGONQUIN RD</t>
  </si>
  <si>
    <t>51085264</t>
  </si>
  <si>
    <t>THE WIT</t>
  </si>
  <si>
    <t>201 N. STATE ST</t>
  </si>
  <si>
    <t>30994875</t>
  </si>
  <si>
    <t>BUTLER NATIONAL</t>
  </si>
  <si>
    <t>2616 S. YORK ROAD</t>
  </si>
  <si>
    <t>21087598</t>
  </si>
  <si>
    <t>INVERNESS GOLF CLUB</t>
  </si>
  <si>
    <t>102 N ROSELLE RD</t>
  </si>
  <si>
    <t>INVERNESS</t>
  </si>
  <si>
    <t>21131586</t>
  </si>
  <si>
    <t>AMTRAK</t>
  </si>
  <si>
    <t>225 S CANAL STREET</t>
  </si>
  <si>
    <t>20188272</t>
  </si>
  <si>
    <t>HYATT MILWAUKEE GMO *ZZ*</t>
  </si>
  <si>
    <t>333 W KILBOURN</t>
  </si>
  <si>
    <t>71176820</t>
  </si>
  <si>
    <t>HOTEL HYATT DEERFIELD</t>
  </si>
  <si>
    <t>1750 LAKE COOK RD</t>
  </si>
  <si>
    <t>90325408</t>
  </si>
  <si>
    <t>AA/APPLAUSE FOOD SERV</t>
  </si>
  <si>
    <t>220 S. MICHIGAN AVE.</t>
  </si>
  <si>
    <t>10482313</t>
  </si>
  <si>
    <t>BRUNSWICK OAK LAWN #3190</t>
  </si>
  <si>
    <t>4700 W 103RD ST</t>
  </si>
  <si>
    <t>31030968</t>
  </si>
  <si>
    <t>1211 S NEW WILKE RD</t>
  </si>
  <si>
    <t>60619236</t>
  </si>
  <si>
    <t>KLEIN CREEK GOLF CLUB</t>
  </si>
  <si>
    <t>1N333 PLEASANT HILL ROAD</t>
  </si>
  <si>
    <t>41123902</t>
  </si>
  <si>
    <t>SUSTENANCE WITH STYLE</t>
  </si>
  <si>
    <t>671 W. WAYMAN ST UNIT A</t>
  </si>
  <si>
    <t>50601285</t>
  </si>
  <si>
    <t>LALO'S/ MIDWAY</t>
  </si>
  <si>
    <t>5757 S. CICERO AVE.</t>
  </si>
  <si>
    <t>51283612</t>
  </si>
  <si>
    <t>SPG GREEN GARDEN</t>
  </si>
  <si>
    <t>9511 W MANHATTAN MONEE RD</t>
  </si>
  <si>
    <t>91322529</t>
  </si>
  <si>
    <t>BEST WESTERN UNIVERSITY I</t>
  </si>
  <si>
    <t>760 MORTHLAND DR</t>
  </si>
  <si>
    <t>71311591</t>
  </si>
  <si>
    <t>TRAMA CATERING</t>
  </si>
  <si>
    <t>1040 RIDGE RD</t>
  </si>
  <si>
    <t>11003423</t>
  </si>
  <si>
    <t>INDIAN CULTURAL CENTER</t>
  </si>
  <si>
    <t>8605 MERRILLVILLE RD</t>
  </si>
  <si>
    <t>61342424</t>
  </si>
  <si>
    <t>EXQUISITE CATERING AND EV</t>
  </si>
  <si>
    <t>20390878</t>
  </si>
  <si>
    <t>PATRICK HALEY MANSION</t>
  </si>
  <si>
    <t>17 S. CENTER ST.</t>
  </si>
  <si>
    <t>70034988</t>
  </si>
  <si>
    <t>MARRIOTT/KATTEN, MUCHIN</t>
  </si>
  <si>
    <t>&amp; ZAVIS</t>
  </si>
  <si>
    <t>41139593</t>
  </si>
  <si>
    <t>WESTIN CHICAGO NORTHWEST</t>
  </si>
  <si>
    <t>400 PARK BLVD</t>
  </si>
  <si>
    <t>61246849</t>
  </si>
  <si>
    <t>JORDAN'S FOOD OF DISTINCI</t>
  </si>
  <si>
    <t>1551 W THOMAS ST</t>
  </si>
  <si>
    <t>10729663</t>
  </si>
  <si>
    <t>PARK PLACE BANQUETS</t>
  </si>
  <si>
    <t>6240 JOLIET ROAD</t>
  </si>
  <si>
    <t>31225915</t>
  </si>
  <si>
    <t>FITNESS FORMULA CLB-PKRDG</t>
  </si>
  <si>
    <t>826 W TOUHY AVE</t>
  </si>
  <si>
    <t>61339479</t>
  </si>
  <si>
    <t>EATS AND BEATS</t>
  </si>
  <si>
    <t>26 S MELROSE AVE</t>
  </si>
  <si>
    <t>1126481</t>
  </si>
  <si>
    <t>COMFORT SUITES-ELGIN</t>
  </si>
  <si>
    <t>2480 BUSHWOOD DRIVE</t>
  </si>
  <si>
    <t>11064730</t>
  </si>
  <si>
    <t>RIVERS WAREHOUSE</t>
  </si>
  <si>
    <t>21064746</t>
  </si>
  <si>
    <t>RIVERS HUMAN RESOURCES</t>
  </si>
  <si>
    <t>80593221</t>
  </si>
  <si>
    <t>SYMPOSIUM CATERING</t>
  </si>
  <si>
    <t>3848 N. FRONTAGE RD.</t>
  </si>
  <si>
    <t>31231798</t>
  </si>
  <si>
    <t>BRIX CATERING</t>
  </si>
  <si>
    <t>1463 W LELAND AVE</t>
  </si>
  <si>
    <t>10413177</t>
  </si>
  <si>
    <t>SHERATON-CHGO NW PROP #96</t>
  </si>
  <si>
    <t>3400 W EUCLID</t>
  </si>
  <si>
    <t>30264972</t>
  </si>
  <si>
    <t>HYATT MCCORMICK PLACE*ZZ*</t>
  </si>
  <si>
    <t>2233 S MARTIN LUTHER KING</t>
  </si>
  <si>
    <t>20619276</t>
  </si>
  <si>
    <t>ODYSSEY GOLF COURSE</t>
  </si>
  <si>
    <t>19110 S. RIDGELAND</t>
  </si>
  <si>
    <t>10483485</t>
  </si>
  <si>
    <t>CATERING SRVS#330 BRKFLD</t>
  </si>
  <si>
    <t>3300 GOLD RD</t>
  </si>
  <si>
    <t>51190940</t>
  </si>
  <si>
    <t>NORTH SHORE COUNTRY CLUB</t>
  </si>
  <si>
    <t>1340 GLENVIEW RD</t>
  </si>
  <si>
    <t>40717571</t>
  </si>
  <si>
    <t>THE ODEUM EXPO CENTER</t>
  </si>
  <si>
    <t>1033 N VILLA AVE</t>
  </si>
  <si>
    <t>61295325</t>
  </si>
  <si>
    <t>SOUTHWEST ICE SKATE ARENA</t>
  </si>
  <si>
    <t>5505 127TH ST</t>
  </si>
  <si>
    <t>31282890</t>
  </si>
  <si>
    <t>LYRIC WOOD STREET</t>
  </si>
  <si>
    <t>11044997</t>
  </si>
  <si>
    <t>RENAISSANCE CHICAGO OHARE</t>
  </si>
  <si>
    <t>8500 W BRYN MAWR AVE</t>
  </si>
  <si>
    <t>30727234</t>
  </si>
  <si>
    <t>CORPORATE CATERING LLC</t>
  </si>
  <si>
    <t>2126 ILLINOIS RD</t>
  </si>
  <si>
    <t>30483416</t>
  </si>
  <si>
    <t>HOMEWOOD SUITES</t>
  </si>
  <si>
    <t>815 E AMERICAN LN</t>
  </si>
  <si>
    <t>31344716</t>
  </si>
  <si>
    <t>ASSYRIAN KITCHEN</t>
  </si>
  <si>
    <t>10176907</t>
  </si>
  <si>
    <t>SHERATON - STREETERVILLE</t>
  </si>
  <si>
    <t>301 E NORTH WATER ST</t>
  </si>
  <si>
    <t>40204372</t>
  </si>
  <si>
    <t>MARRIOTT LINCOLNSHIRE</t>
  </si>
  <si>
    <t>S. OF RT 22 ON MILWAUKEE</t>
  </si>
  <si>
    <t>71301600</t>
  </si>
  <si>
    <t>LOQUASCIUOS CULINARY</t>
  </si>
  <si>
    <t>10018 S WESTERN AVE</t>
  </si>
  <si>
    <t>80168792</t>
  </si>
  <si>
    <t>HYATT REGENCY E PROD *ZZ*</t>
  </si>
  <si>
    <t>151 E WACKER DR</t>
  </si>
  <si>
    <t>41116450</t>
  </si>
  <si>
    <t>640 N CALUMET RD</t>
  </si>
  <si>
    <t>91266189</t>
  </si>
  <si>
    <t>CUSTOMIZED CULINARY SOLUT</t>
  </si>
  <si>
    <t>9450 KEYSTONE AVE</t>
  </si>
  <si>
    <t>61306551</t>
  </si>
  <si>
    <t>HOLIDAY INN &amp; SUITES -ROS</t>
  </si>
  <si>
    <t>10233 W HIGGINS RD</t>
  </si>
  <si>
    <t>11278728</t>
  </si>
  <si>
    <t>HOLIDAY INN ROSELLE</t>
  </si>
  <si>
    <t>1490 LAKE ST</t>
  </si>
  <si>
    <t>21153887</t>
  </si>
  <si>
    <t>CAFFE BACI COMMISARY</t>
  </si>
  <si>
    <t>309 N JUSTINE ST</t>
  </si>
  <si>
    <t>40576357</t>
  </si>
  <si>
    <t>COURTYARD BANQUETS</t>
  </si>
  <si>
    <t>3S200 RT 59</t>
  </si>
  <si>
    <t>50897065</t>
  </si>
  <si>
    <t>MEDINAH SHRINE CENTER/CAT</t>
  </si>
  <si>
    <t>550 SHRINERS DRIVE</t>
  </si>
  <si>
    <t>70448154</t>
  </si>
  <si>
    <t>SHERATON CHICAGO NORTHWST</t>
  </si>
  <si>
    <t>3400 WEST EUCLID AVE</t>
  </si>
  <si>
    <t>80399801</t>
  </si>
  <si>
    <t>LEVY/SEARS TOWER MRS LEVY</t>
  </si>
  <si>
    <t>233 S WACKER DRIVE</t>
  </si>
  <si>
    <t>70480488</t>
  </si>
  <si>
    <t>GO BANANAS</t>
  </si>
  <si>
    <t>4516 N. HARLEM AVE.</t>
  </si>
  <si>
    <t>90644931</t>
  </si>
  <si>
    <t>VALLEY LO CLUB</t>
  </si>
  <si>
    <t>2200 TANGLEWOOD DRIVE</t>
  </si>
  <si>
    <t>90468984</t>
  </si>
  <si>
    <t>ROLLING IN DOUGH*COLL**</t>
  </si>
  <si>
    <t>914 1/2 NOYES</t>
  </si>
  <si>
    <t>927210</t>
  </si>
  <si>
    <t>WEBER PARK CAFE</t>
  </si>
  <si>
    <t>9300 WEBER PARK PLACE</t>
  </si>
  <si>
    <t>31051337</t>
  </si>
  <si>
    <t>DO NOT USE SETUP IN ERROR</t>
  </si>
  <si>
    <t>2971 MOOSE TRAIL</t>
  </si>
  <si>
    <t>29843</t>
  </si>
  <si>
    <t>SCANDIA CATERING</t>
  </si>
  <si>
    <t>1193 WILMETTE</t>
  </si>
  <si>
    <t>70258744</t>
  </si>
  <si>
    <t>CHRISTOS BANQUET CENTER</t>
  </si>
  <si>
    <t>830 LINCOLNWAY EAST</t>
  </si>
  <si>
    <t>80958283</t>
  </si>
  <si>
    <t>FRONTIER AIRLINES</t>
  </si>
  <si>
    <t>8900 W 50TH STREET</t>
  </si>
  <si>
    <t>51199164</t>
  </si>
  <si>
    <t>HYATT REGENCY SCHAUMBURG</t>
  </si>
  <si>
    <t>1800 EAST GOLF RD</t>
  </si>
  <si>
    <t>10409878</t>
  </si>
  <si>
    <t>CHICAGO YACHT CLUB "B"</t>
  </si>
  <si>
    <t>300 W. BELMONT AVE.</t>
  </si>
  <si>
    <t>70520093</t>
  </si>
  <si>
    <t>MIDWAY CONCESSIONS-MAC</t>
  </si>
  <si>
    <t>5559 S. ARCHER AVE.</t>
  </si>
  <si>
    <t>21297643</t>
  </si>
  <si>
    <t>USA ATHLETIC CLUB &amp; SPA</t>
  </si>
  <si>
    <t>1975 MELISSA LN</t>
  </si>
  <si>
    <t>11225562</t>
  </si>
  <si>
    <t>ODYSSEY BANQUETS</t>
  </si>
  <si>
    <t>19110 RIDGELAND AVE</t>
  </si>
  <si>
    <t>20487831</t>
  </si>
  <si>
    <t>ROBERT RAKOW</t>
  </si>
  <si>
    <t>878 PATRICIA DRIVE</t>
  </si>
  <si>
    <t>61044228</t>
  </si>
  <si>
    <t>AMF BOLIINGBROOK LNS #387</t>
  </si>
  <si>
    <t>401 W BOUGHTON RD</t>
  </si>
  <si>
    <t>21067996</t>
  </si>
  <si>
    <t>MUVICO</t>
  </si>
  <si>
    <t>9701 BRYN MAWR AVE.</t>
  </si>
  <si>
    <t>80482284</t>
  </si>
  <si>
    <t>DEIHS CATERING</t>
  </si>
  <si>
    <t>280 S MELROSE</t>
  </si>
  <si>
    <t>90964297</t>
  </si>
  <si>
    <t>Q BILLIARDS</t>
  </si>
  <si>
    <t>8109 S. CASS AVENUE</t>
  </si>
  <si>
    <t>40620056</t>
  </si>
  <si>
    <t>BIRKY'S/VALPO EXPO CENTER</t>
  </si>
  <si>
    <t>ROUTE 49 AND DIVISION RD.</t>
  </si>
  <si>
    <t>90279753</t>
  </si>
  <si>
    <t>SPRING VALLEY NATURE CTR</t>
  </si>
  <si>
    <t>1111 E. SCHAUMBURG RD</t>
  </si>
  <si>
    <t>21235932</t>
  </si>
  <si>
    <t>61195491</t>
  </si>
  <si>
    <t>HOLIDAY INN</t>
  </si>
  <si>
    <t>1501 SHERMAN AVE</t>
  </si>
  <si>
    <t>41190513</t>
  </si>
  <si>
    <t>ODEUM EXPO CENTER</t>
  </si>
  <si>
    <t>70733647</t>
  </si>
  <si>
    <t>CARDINAL CREEK  GOLF</t>
  </si>
  <si>
    <t>615 DIXIE HYW</t>
  </si>
  <si>
    <t>81064743</t>
  </si>
  <si>
    <t>RIVERS TDR CULINARY</t>
  </si>
  <si>
    <t>3000 RIVER RD</t>
  </si>
  <si>
    <t>30328918</t>
  </si>
  <si>
    <t>SOCCER ENTERPRISES</t>
  </si>
  <si>
    <t>545 CONSUMERS AVE.</t>
  </si>
  <si>
    <t>60399805</t>
  </si>
  <si>
    <t>LEVY/SEARS TOWER EADIE'S</t>
  </si>
  <si>
    <t>1064757</t>
  </si>
  <si>
    <t>RIVERS VIP LOUNGE</t>
  </si>
  <si>
    <t>30951941</t>
  </si>
  <si>
    <t>ABC CATERING</t>
  </si>
  <si>
    <t>1000 EAST 80TH PLACE</t>
  </si>
  <si>
    <t>60984127</t>
  </si>
  <si>
    <t>JILL'S LILY LAKE RESORT</t>
  </si>
  <si>
    <t>70032776</t>
  </si>
  <si>
    <t>HOLIDAY INN-CONCORD   (F)</t>
  </si>
  <si>
    <t>1450 EAST TOUHY AVE</t>
  </si>
  <si>
    <t>1178557</t>
  </si>
  <si>
    <t>HAUNTED TRAILS CHARMING C</t>
  </si>
  <si>
    <t>7759 S HARLEM AVE</t>
  </si>
  <si>
    <t>41087149</t>
  </si>
  <si>
    <t>RELISH CATERING KITCHEN</t>
  </si>
  <si>
    <t>19 W WISE RD</t>
  </si>
  <si>
    <t>91278739</t>
  </si>
  <si>
    <t>FAIRFIELD VALPARAISO</t>
  </si>
  <si>
    <t>2101 MORTHLAND DR</t>
  </si>
  <si>
    <t>91094961</t>
  </si>
  <si>
    <t>TOUGH MUDDER</t>
  </si>
  <si>
    <t>8206 NORTH SOLON RD</t>
  </si>
  <si>
    <t>90971912</t>
  </si>
  <si>
    <t>ARCHER KITCHENS -MAC</t>
  </si>
  <si>
    <t>71073332</t>
  </si>
  <si>
    <t>AV/LANGHAM 3Y EDI ORG</t>
  </si>
  <si>
    <t>330 N WABASH</t>
  </si>
  <si>
    <t>1186949</t>
  </si>
  <si>
    <t>OWL'S ATHLETIC CLUB</t>
  </si>
  <si>
    <t>214 E. CHICAGO ST.</t>
  </si>
  <si>
    <t>91132746</t>
  </si>
  <si>
    <t>CRYSTAL TREE GOLF CLUB</t>
  </si>
  <si>
    <t>10700 W 153RD ST</t>
  </si>
  <si>
    <t>20611513</t>
  </si>
  <si>
    <t>15690 SO HARLEM AVE</t>
  </si>
  <si>
    <t>91012922</t>
  </si>
  <si>
    <t>BARTLETT AQUATIC CENTER</t>
  </si>
  <si>
    <t>620 W STEARNS RD</t>
  </si>
  <si>
    <t>81104259</t>
  </si>
  <si>
    <t>CASEY MORANS W</t>
  </si>
  <si>
    <t>3660 N CLARK</t>
  </si>
  <si>
    <t>60191863</t>
  </si>
  <si>
    <t>RAINFOREST CAFE WDF</t>
  </si>
  <si>
    <t>D-121 WOODFIELD MALL  A/L</t>
  </si>
  <si>
    <t>697789</t>
  </si>
  <si>
    <t>HOLIDAY INN/PERU</t>
  </si>
  <si>
    <t>5253 TROMPETER RD</t>
  </si>
  <si>
    <t>61344453</t>
  </si>
  <si>
    <t>INNOVATIVE CUISINE SERVIC</t>
  </si>
  <si>
    <t>4300 W LAKE ST</t>
  </si>
  <si>
    <t>20730206</t>
  </si>
  <si>
    <t>COMFORT SUITES/GRAYSLAKE</t>
  </si>
  <si>
    <t>1775 E. BELVIDERE RD</t>
  </si>
  <si>
    <t>11291622</t>
  </si>
  <si>
    <t>SALT CREEK GOLF CLUB</t>
  </si>
  <si>
    <t>1051 N PROSPECT AVE</t>
  </si>
  <si>
    <t>81062044</t>
  </si>
  <si>
    <t>JEWELL EVENTS CITADEL</t>
  </si>
  <si>
    <t>131 S DEARBORN ST</t>
  </si>
  <si>
    <t>90996265</t>
  </si>
  <si>
    <t>HOLIDAY INN EXPRESS LZ</t>
  </si>
  <si>
    <t>197 SOUTH RAND ROAD</t>
  </si>
  <si>
    <t>30747836</t>
  </si>
  <si>
    <t>EQUESTRIAN CATERING</t>
  </si>
  <si>
    <t>2029 OGDEN AVE</t>
  </si>
  <si>
    <t>70036736</t>
  </si>
  <si>
    <t>HYATT O'HARE *ZZ*</t>
  </si>
  <si>
    <t>9300 W BRYN MAWR AVE  A/L</t>
  </si>
  <si>
    <t>80949431</t>
  </si>
  <si>
    <t>HSG CATERING (CHICAGO)</t>
  </si>
  <si>
    <t>31W331 SCHOGER DR</t>
  </si>
  <si>
    <t>10483139</t>
  </si>
  <si>
    <t>SPORTYS CATERING</t>
  </si>
  <si>
    <t>442 W. ARMY TRAIL RD</t>
  </si>
  <si>
    <t>555441</t>
  </si>
  <si>
    <t>HOLIDAY INN CHICAGO OHARE</t>
  </si>
  <si>
    <t>5615 N CUMBERLAND</t>
  </si>
  <si>
    <t>70944863</t>
  </si>
  <si>
    <t>ICE THEATERS 87TH</t>
  </si>
  <si>
    <t>210 WEST 87TH STREET</t>
  </si>
  <si>
    <t>10748663</t>
  </si>
  <si>
    <t>DEER CREEK GOLF</t>
  </si>
  <si>
    <t>25055 S WESTERN AVE</t>
  </si>
  <si>
    <t>70033154</t>
  </si>
  <si>
    <t>Z Z DORMANT-S BEND*HSKP</t>
  </si>
  <si>
    <t>515 DIXIEWAY NO&amp;US31</t>
  </si>
  <si>
    <t>1051341</t>
  </si>
  <si>
    <t>378117</t>
  </si>
  <si>
    <t>CLUB HOUSE INN &amp; SUITES</t>
  </si>
  <si>
    <t>630 PASQUINELLI DRIVE</t>
  </si>
  <si>
    <t>41252016</t>
  </si>
  <si>
    <t>CRESS CREEK CC</t>
  </si>
  <si>
    <t>1215 ROYAL SAINT GEORGE D</t>
  </si>
  <si>
    <t>496950</t>
  </si>
  <si>
    <t>THE MEADOW CLUB**COLL**</t>
  </si>
  <si>
    <t>2950 WEST GOLF ROAD</t>
  </si>
  <si>
    <t>61252458</t>
  </si>
  <si>
    <t>ARCADA THEATRE</t>
  </si>
  <si>
    <t>10984110</t>
  </si>
  <si>
    <t>TWIN LAKES COUNTRY CLUB</t>
  </si>
  <si>
    <t>1230 LEGION DRIVE</t>
  </si>
  <si>
    <t>20482758</t>
  </si>
  <si>
    <t>SARANECKI BROTHERS CT</t>
  </si>
  <si>
    <t>4720 W ARMITAGE</t>
  </si>
  <si>
    <t>41064742</t>
  </si>
  <si>
    <t>RIVERS MIAN</t>
  </si>
  <si>
    <t>30483028</t>
  </si>
  <si>
    <t>WINGATE INN**COLL**</t>
  </si>
  <si>
    <t>600 MILWAUKEE AVE</t>
  </si>
  <si>
    <t>532010</t>
  </si>
  <si>
    <t>MUVICO ROSEMONT 18</t>
  </si>
  <si>
    <t>20483087</t>
  </si>
  <si>
    <t>WOODBINE GOLF COURSE</t>
  </si>
  <si>
    <t>14240 W 151ST ST</t>
  </si>
  <si>
    <t>40680878</t>
  </si>
  <si>
    <t>MINDFUL MEALS</t>
  </si>
  <si>
    <t>250 N. EVERGREEN AVE</t>
  </si>
  <si>
    <t>50482249</t>
  </si>
  <si>
    <t>GEORGIS CATERING*</t>
  </si>
  <si>
    <t>6339 SOUTH CENTRAL AVENUE</t>
  </si>
  <si>
    <t>61044863</t>
  </si>
  <si>
    <t>THE ELK'S LAVILLETTA</t>
  </si>
  <si>
    <t>2284 BITTERSWEET DR</t>
  </si>
  <si>
    <t>SAINT ANNE</t>
  </si>
  <si>
    <t>60964</t>
  </si>
  <si>
    <t>51278729</t>
  </si>
  <si>
    <t>FOUR POINTS SHERIDAN</t>
  </si>
  <si>
    <t>900 W LAKE COOK RD</t>
  </si>
  <si>
    <t>60482726</t>
  </si>
  <si>
    <t>BARN OF BARRINGTON**COLL*</t>
  </si>
  <si>
    <t>1415 S BARRINGTON RD</t>
  </si>
  <si>
    <t>51235752</t>
  </si>
  <si>
    <t>QUALITY INN /AURORA</t>
  </si>
  <si>
    <t>4005 GABRIELLE LN</t>
  </si>
  <si>
    <t>10294478</t>
  </si>
  <si>
    <t>WESTERN OPEN AT COG HILL</t>
  </si>
  <si>
    <t>81329336</t>
  </si>
  <si>
    <t>WILLIAM TELL BANQUETS</t>
  </si>
  <si>
    <t>6201 JOLIET RD</t>
  </si>
  <si>
    <t>91089920</t>
  </si>
  <si>
    <t>LOEWS CHI STARBUCKS EDI</t>
  </si>
  <si>
    <t>455 N PARK DRIVE</t>
  </si>
  <si>
    <t>41030966</t>
  </si>
  <si>
    <t>NICHOL KNOLL GOLF CLUB</t>
  </si>
  <si>
    <t>3800 N KENNICOTT AVE.</t>
  </si>
  <si>
    <t>30483325</t>
  </si>
  <si>
    <t>GLENVIEW PK DIST SENI</t>
  </si>
  <si>
    <t>2400 CHESTNUT</t>
  </si>
  <si>
    <t>21093810</t>
  </si>
  <si>
    <t>KIDDIE KINGDOM</t>
  </si>
  <si>
    <t>7411 N MILWAUKEE AVE</t>
  </si>
  <si>
    <t>91326330</t>
  </si>
  <si>
    <t>ORBIT ICE ARENA</t>
  </si>
  <si>
    <t>615 S CONSUMERS AVE</t>
  </si>
  <si>
    <t>390690</t>
  </si>
  <si>
    <t>MARIO'S CATERING</t>
  </si>
  <si>
    <t>11224 S. HARLEM AVE.</t>
  </si>
  <si>
    <t>61333902</t>
  </si>
  <si>
    <t>SYMPOSIUM CATERING LLC</t>
  </si>
  <si>
    <t>3848 N FRONTAGE RD</t>
  </si>
  <si>
    <t>90989369</t>
  </si>
  <si>
    <t>91113860</t>
  </si>
  <si>
    <t>YORK ATHLETIC BOOSTER CLB</t>
  </si>
  <si>
    <t>355 W. ST. CHARLES ROAD</t>
  </si>
  <si>
    <t>10524288</t>
  </si>
  <si>
    <t>ASTORIA BANQUET</t>
  </si>
  <si>
    <t>21291356</t>
  </si>
  <si>
    <t>PARAMOUNT THEATRE</t>
  </si>
  <si>
    <t>23 E GALENA BLVD</t>
  </si>
  <si>
    <t>30399810</t>
  </si>
  <si>
    <t>LEVY/CAFE SPIAGGIA</t>
  </si>
  <si>
    <t>980 N MICHIGAN AVENUE</t>
  </si>
  <si>
    <t>91099804</t>
  </si>
  <si>
    <t>HOTEL INDIGO</t>
  </si>
  <si>
    <t>450 N. MILWAUKEE AVE.</t>
  </si>
  <si>
    <t>170894</t>
  </si>
  <si>
    <t>HYATT REGENCY/CHEM *ZZ*</t>
  </si>
  <si>
    <t>1400 CORPORETUM       A/L</t>
  </si>
  <si>
    <t>71231872</t>
  </si>
  <si>
    <t>NORTH SHORE CATERING AND</t>
  </si>
  <si>
    <t>3100 DUNDEE RD STE 116</t>
  </si>
  <si>
    <t>60682960</t>
  </si>
  <si>
    <t>110 S. MAIN ST</t>
  </si>
  <si>
    <t>30034979</t>
  </si>
  <si>
    <t>Z Z DORMANT     ASSURNC</t>
  </si>
  <si>
    <t>55 E JACKSON BLVD *SPLY</t>
  </si>
  <si>
    <t>31233430</t>
  </si>
  <si>
    <t>BARRY'S BOOTCAMP HALSTED</t>
  </si>
  <si>
    <t>1937 N HALSTED ST</t>
  </si>
  <si>
    <t>10899813</t>
  </si>
  <si>
    <t>LAKE BARRINGTON SHORES</t>
  </si>
  <si>
    <t>40 SHORELINE RD</t>
  </si>
  <si>
    <t>70390836</t>
  </si>
  <si>
    <t>SABRE ROOM</t>
  </si>
  <si>
    <t>8900 W. 95TH STREET</t>
  </si>
  <si>
    <t>61068334</t>
  </si>
  <si>
    <t>THE CHICAGO THEATER</t>
  </si>
  <si>
    <t>175 N. STATE STREET</t>
  </si>
  <si>
    <t>10496461</t>
  </si>
  <si>
    <t>COMFORT SUITES - AURORA</t>
  </si>
  <si>
    <t>111 NORTH BROADWAY</t>
  </si>
  <si>
    <t>71190672</t>
  </si>
  <si>
    <t>HAMPTON INN AND SUITES</t>
  </si>
  <si>
    <t>9480 W HIGGINS RD</t>
  </si>
  <si>
    <t>81087710</t>
  </si>
  <si>
    <t>THE ENCHANTED ESTATE/ LEM</t>
  </si>
  <si>
    <t>16501 W 135TH STREET</t>
  </si>
  <si>
    <t>60994753</t>
  </si>
  <si>
    <t>OAK PARK COUNTRY CLUB</t>
  </si>
  <si>
    <t>2011 NORTH THATCHER</t>
  </si>
  <si>
    <t>40399800</t>
  </si>
  <si>
    <t>LEVY/SEARS TOWER CHEF'S</t>
  </si>
  <si>
    <t>41303553</t>
  </si>
  <si>
    <t>SCHAUL'S SIGNATURE CATERI</t>
  </si>
  <si>
    <t>520 LIVELY BLVD</t>
  </si>
  <si>
    <t>61181871</t>
  </si>
  <si>
    <t>SPRINGBROOK GOLF COURSE</t>
  </si>
  <si>
    <t>2220 W 83RD ST</t>
  </si>
  <si>
    <t>41290503</t>
  </si>
  <si>
    <t>CATER TO YOU</t>
  </si>
  <si>
    <t>2423 E 75TH ST</t>
  </si>
  <si>
    <t>21251061</t>
  </si>
  <si>
    <t>CHROMIUM/MIDTOWN ATHLETIC</t>
  </si>
  <si>
    <t>2020 W FULLERTON AVE</t>
  </si>
  <si>
    <t>41030768</t>
  </si>
  <si>
    <t>NOTEABLE EVENTS-16 CHALET</t>
  </si>
  <si>
    <t>61143293</t>
  </si>
  <si>
    <t>JUST A DASH CATERING</t>
  </si>
  <si>
    <t>31258130</t>
  </si>
  <si>
    <t>HOTEL BAKER/ ST. CHARLES</t>
  </si>
  <si>
    <t>91231605</t>
  </si>
  <si>
    <t>CATERING PROGRAM #336</t>
  </si>
  <si>
    <t>81206807</t>
  </si>
  <si>
    <t>SJ MEALS</t>
  </si>
  <si>
    <t>1544 FLEETWOOD DR</t>
  </si>
  <si>
    <t>60638764</t>
  </si>
  <si>
    <t>BASS LAKE GOLF COURSE</t>
  </si>
  <si>
    <t>5235 E. 500S</t>
  </si>
  <si>
    <t>40295016</t>
  </si>
  <si>
    <t>PEPPERCORNS/CARY CNTRY CL</t>
  </si>
  <si>
    <t>2400 GROVE LN</t>
  </si>
  <si>
    <t>732867</t>
  </si>
  <si>
    <t>AMAZING EDIBLES</t>
  </si>
  <si>
    <t>2419 WEST 14TH ST.</t>
  </si>
  <si>
    <t>50399807</t>
  </si>
  <si>
    <t>LEVY/SEARS TOWER DOS HERM</t>
  </si>
  <si>
    <t>51168524</t>
  </si>
  <si>
    <t>THE CLUB AT STRAWBERRY CR</t>
  </si>
  <si>
    <t>14810 72ND ST</t>
  </si>
  <si>
    <t>71174817</t>
  </si>
  <si>
    <t>WILD ASPARAGUS</t>
  </si>
  <si>
    <t>50500685</t>
  </si>
  <si>
    <t>SPORTSMANS CC /OPEN KITCH</t>
  </si>
  <si>
    <t>3535 DUNDEE RD</t>
  </si>
  <si>
    <t>1013713</t>
  </si>
  <si>
    <t>ATOLITO</t>
  </si>
  <si>
    <t>4429 N. BROADWAY</t>
  </si>
  <si>
    <t>80932296</t>
  </si>
  <si>
    <t>XTREME WHEELS  HOHLY INC.</t>
  </si>
  <si>
    <t>691 VIRGINIA RD</t>
  </si>
  <si>
    <t>11342680</t>
  </si>
  <si>
    <t>HANDCUT FOODS</t>
  </si>
  <si>
    <t>1441 W WILLOW ST</t>
  </si>
  <si>
    <t>11169711</t>
  </si>
  <si>
    <t>DAYS INN ARLINGTON HEIGHT</t>
  </si>
  <si>
    <t>1415 W DUNDEE RD</t>
  </si>
  <si>
    <t>10304996</t>
  </si>
  <si>
    <t>SHERATON TOWERS/ROOM SRVC</t>
  </si>
  <si>
    <t>41051335</t>
  </si>
  <si>
    <t>40967549</t>
  </si>
  <si>
    <t>BOJO'S CONCESSIONS &amp; CATE</t>
  </si>
  <si>
    <t>RAMM RD AND SCHROEGER</t>
  </si>
  <si>
    <t>30961031</t>
  </si>
  <si>
    <t>PRESTWICK COUNTRY CLUB</t>
  </si>
  <si>
    <t>601 PRESTWICK  DRIVE</t>
  </si>
  <si>
    <t>90482159</t>
  </si>
  <si>
    <t>HILLCREST CC NON FOOD</t>
  </si>
  <si>
    <t>3217 RFD &amp; RTE 53</t>
  </si>
  <si>
    <t>50593219</t>
  </si>
  <si>
    <t>HOTEL ARISTA-SUGARTOAD</t>
  </si>
  <si>
    <t>2139 CITYGATE LANE</t>
  </si>
  <si>
    <t>1278738</t>
  </si>
  <si>
    <t>BEST WESTERN MILWAUKEE</t>
  </si>
  <si>
    <t>5105 S HOWELL AVE</t>
  </si>
  <si>
    <t>90898651</t>
  </si>
  <si>
    <t>HIE , SCHAUMBURG</t>
  </si>
  <si>
    <t>1550 N ROSELLE RD</t>
  </si>
  <si>
    <t>51201606</t>
  </si>
  <si>
    <t>FITNESS FORMULA CLUB</t>
  </si>
  <si>
    <t>1114 LAKE ST</t>
  </si>
  <si>
    <t>70551858</t>
  </si>
  <si>
    <t>HOLIDAY INN EXPRESS &lt;</t>
  </si>
  <si>
    <t>100 EAST SHORE COURT</t>
  </si>
  <si>
    <t>21143037</t>
  </si>
  <si>
    <t>ST. GEORGE BANQUET HALL</t>
  </si>
  <si>
    <t>528 W. 77TH AVE</t>
  </si>
  <si>
    <t>61051330</t>
  </si>
  <si>
    <t>28054 - 2 C.R. 4 WEST</t>
  </si>
  <si>
    <t>51030765</t>
  </si>
  <si>
    <t>NOTEABLE EVNTS OWNER PAV</t>
  </si>
  <si>
    <t>20482618</t>
  </si>
  <si>
    <t>CHICAGO CAFE CATERERS</t>
  </si>
  <si>
    <t>1629 WEST GRAND AVE.</t>
  </si>
  <si>
    <t>11299195</t>
  </si>
  <si>
    <t>GOLF CLUB OF ILLINOIS</t>
  </si>
  <si>
    <t>1575 EDGEWOOD DR</t>
  </si>
  <si>
    <t>91339689</t>
  </si>
  <si>
    <t>THE PRESERVE AT OAK MEADO</t>
  </si>
  <si>
    <t>900 N WOOD DALE RD</t>
  </si>
  <si>
    <t>40482663</t>
  </si>
  <si>
    <t>CHICAGO FROM THE LAKE</t>
  </si>
  <si>
    <t>455 E ILLINOIS</t>
  </si>
  <si>
    <t>11050291</t>
  </si>
  <si>
    <t>MOTEL 6/TRAVELODGE</t>
  </si>
  <si>
    <t>16941 SOUTH HALSTEAD ST</t>
  </si>
  <si>
    <t>70620364</t>
  </si>
  <si>
    <t>COMFORT INN O'HARE INT</t>
  </si>
  <si>
    <t>2550 LANDMEIER RD</t>
  </si>
  <si>
    <t>40316788</t>
  </si>
  <si>
    <t>AON/EUREST DINING #3536</t>
  </si>
  <si>
    <t>200 E. RANDOLPH</t>
  </si>
  <si>
    <t>10559995</t>
  </si>
  <si>
    <t>HOUSE OF LYNWOOD*COLL*</t>
  </si>
  <si>
    <t>20909 TORRENCE AVENUE</t>
  </si>
  <si>
    <t>50390020</t>
  </si>
  <si>
    <t>LOTTA CATERING COMPANY</t>
  </si>
  <si>
    <t>10682060</t>
  </si>
  <si>
    <t>ELMCREST BANQUETS</t>
  </si>
  <si>
    <t>7370 W GRAND AVE</t>
  </si>
  <si>
    <t>60188604</t>
  </si>
  <si>
    <t>HYATT DEERFIELD CHEM *ZZ*</t>
  </si>
  <si>
    <t>1750 LAKE COOK RD     A/L</t>
  </si>
  <si>
    <t>41323619</t>
  </si>
  <si>
    <t>ELEGANCE CATERING</t>
  </si>
  <si>
    <t>1480 OLD DEERFIELD RD</t>
  </si>
  <si>
    <t>1218890</t>
  </si>
  <si>
    <t>STONEBRIDGE COUNTRY CLUB</t>
  </si>
  <si>
    <t>2705 STONEBRIDGE BLVD</t>
  </si>
  <si>
    <t>40793580</t>
  </si>
  <si>
    <t>US FOOD FAKE- DO NOT SHIP</t>
  </si>
  <si>
    <t>800 SUPREAM DR</t>
  </si>
  <si>
    <t>71011571</t>
  </si>
  <si>
    <t>HOLIDAY INN ELK GROVE</t>
  </si>
  <si>
    <t>1000 BUSSE RD</t>
  </si>
  <si>
    <t>1064740</t>
  </si>
  <si>
    <t>RIVERS FLIPT CULINARY</t>
  </si>
  <si>
    <t>50614494</t>
  </si>
  <si>
    <t>COOKERY TT</t>
  </si>
  <si>
    <t>810 LINCOLNWAY</t>
  </si>
  <si>
    <t>30484919</t>
  </si>
  <si>
    <t>MARIANI NURSERY</t>
  </si>
  <si>
    <t>7865 GARDEN PRARIE RD</t>
  </si>
  <si>
    <t>41102930</t>
  </si>
  <si>
    <t>BOTTLE ROCKET GALLERY</t>
  </si>
  <si>
    <t>7322 MADISON ST</t>
  </si>
  <si>
    <t>71326763</t>
  </si>
  <si>
    <t>102 ROSELLE RD</t>
  </si>
  <si>
    <t>11162831</t>
  </si>
  <si>
    <t>THE DIGGZ</t>
  </si>
  <si>
    <t>4590 W 61ST AVE</t>
  </si>
  <si>
    <t>80891310</t>
  </si>
  <si>
    <t>GLENVIEW GOLF CLUB-OPEN K</t>
  </si>
  <si>
    <t>800 SHERMER  RD</t>
  </si>
  <si>
    <t>51043214</t>
  </si>
  <si>
    <t>CORNER COOKS</t>
  </si>
  <si>
    <t>507 CHESTNUT STREET</t>
  </si>
  <si>
    <t>81255465</t>
  </si>
  <si>
    <t>BEST WESTRN HWTHRN TR ECO</t>
  </si>
  <si>
    <t>3434 N. BROADWAY</t>
  </si>
  <si>
    <t>51236255</t>
  </si>
  <si>
    <t>ECONO LODGE</t>
  </si>
  <si>
    <t>17301 HALSTED ST</t>
  </si>
  <si>
    <t>50482728</t>
  </si>
  <si>
    <t>RAFAELS CATERING**COLL**</t>
  </si>
  <si>
    <t>1345 W ARGYLE</t>
  </si>
  <si>
    <t>30033138</t>
  </si>
  <si>
    <t>Z Z DORMANT OAKBRK HSK</t>
  </si>
  <si>
    <t>17 W 350 22ND ST</t>
  </si>
  <si>
    <t>30618573</t>
  </si>
  <si>
    <t>LAKE/FOUR SEASONS MAINT.</t>
  </si>
  <si>
    <t>1048 LAKESHORE DR</t>
  </si>
  <si>
    <t>11215118</t>
  </si>
  <si>
    <t>BOWLING GREEN FAMILY FUN</t>
  </si>
  <si>
    <t>243 W ROOSEVELT RD</t>
  </si>
  <si>
    <t>10399780</t>
  </si>
  <si>
    <t>LEVY/CERISE AT LE MERIDIE</t>
  </si>
  <si>
    <t>520 NORTH MICHIGAN AVE</t>
  </si>
  <si>
    <t>90029992</t>
  </si>
  <si>
    <t>ORRINGTON HOTEL</t>
  </si>
  <si>
    <t>1710 ORRINGTON AVE</t>
  </si>
  <si>
    <t>30313779</t>
  </si>
  <si>
    <t>PRAIRIE ISLE GOLF CLUB</t>
  </si>
  <si>
    <t>2216 RTE 176</t>
  </si>
  <si>
    <t>PRAIRIE GROVE</t>
  </si>
  <si>
    <t>30259444</t>
  </si>
  <si>
    <t>BATEMAN/MOOSEHEART/STORE</t>
  </si>
  <si>
    <t>RTE # 31</t>
  </si>
  <si>
    <t>MOOSEHEART</t>
  </si>
  <si>
    <t>60539</t>
  </si>
  <si>
    <t>40224784</t>
  </si>
  <si>
    <t>PALATINE  GOLF COURSE</t>
  </si>
  <si>
    <t>512 W NORTHWEST HWY</t>
  </si>
  <si>
    <t>30942353</t>
  </si>
  <si>
    <t>114 APPLEBEE STREET</t>
  </si>
  <si>
    <t>31254170</t>
  </si>
  <si>
    <t>TIVOLI BOWL</t>
  </si>
  <si>
    <t>938 WARREN AVE</t>
  </si>
  <si>
    <t>475004</t>
  </si>
  <si>
    <t>COMMUNITY RECREATION CTR</t>
  </si>
  <si>
    <t>505 SPRINGINSGUTH RD</t>
  </si>
  <si>
    <t>80932106</t>
  </si>
  <si>
    <t>THE LANDMARK, MARLENE'S</t>
  </si>
  <si>
    <t>6800 SOUTH ARCHER ROAD</t>
  </si>
  <si>
    <t>10990729</t>
  </si>
  <si>
    <t>SACHS RECREATION CENTER</t>
  </si>
  <si>
    <t>455 LAKE COOK ROAD</t>
  </si>
  <si>
    <t>30483101</t>
  </si>
  <si>
    <t>CORNERSTONE CATERING/TLF</t>
  </si>
  <si>
    <t>1111 NORTH WELLS</t>
  </si>
  <si>
    <t>61161444</t>
  </si>
  <si>
    <t>FAIRFIELD INN SUITES</t>
  </si>
  <si>
    <t>70977426</t>
  </si>
  <si>
    <t>SHOREACRES</t>
  </si>
  <si>
    <t>1601 SHOREACRES ROAD</t>
  </si>
  <si>
    <t>71062046</t>
  </si>
  <si>
    <t>CAFE BYJEWELL EVENTS AON</t>
  </si>
  <si>
    <t>1000 MILWAUKEE AVE</t>
  </si>
  <si>
    <t>70482179</t>
  </si>
  <si>
    <t>UPPER CRUST</t>
  </si>
  <si>
    <t>1045 BURLINGTON UNIT3</t>
  </si>
  <si>
    <t>10654283</t>
  </si>
  <si>
    <t>VAUGHAN ATHLETIC CENTER</t>
  </si>
  <si>
    <t>2121 WEST INDIAN TR</t>
  </si>
  <si>
    <t>90916545</t>
  </si>
  <si>
    <t>KINGS HALL</t>
  </si>
  <si>
    <t>1000-40 ROHLWING RD</t>
  </si>
  <si>
    <t>80965973</t>
  </si>
  <si>
    <t>HINSDALE LITTLE LEAGUE</t>
  </si>
  <si>
    <t>15 SPINNING WHEEL DR</t>
  </si>
  <si>
    <t>31130834</t>
  </si>
  <si>
    <t>ALLEGRA BANQUETS VILLA PK</t>
  </si>
  <si>
    <t>237 W ST CHARLES RD</t>
  </si>
  <si>
    <t>80931108</t>
  </si>
  <si>
    <t>STREAMWOOD PARK DISTRICT</t>
  </si>
  <si>
    <t>700 W IRVING PARK ROAD</t>
  </si>
  <si>
    <t>90729476</t>
  </si>
  <si>
    <t>ROYALTY WEST BANQUETS</t>
  </si>
  <si>
    <t>8675 ARCHER AVENUE</t>
  </si>
  <si>
    <t>91098350</t>
  </si>
  <si>
    <t>AV HOLIDAY INN COUNTRYSDE</t>
  </si>
  <si>
    <t>11051323</t>
  </si>
  <si>
    <t>50621903</t>
  </si>
  <si>
    <t>FITZ'S LANES INC</t>
  </si>
  <si>
    <t>119 N YORK</t>
  </si>
  <si>
    <t>41285610</t>
  </si>
  <si>
    <t>ST CONSTANTINE &amp; HELEN BA</t>
  </si>
  <si>
    <t>8000 MADISON ST</t>
  </si>
  <si>
    <t>31042658</t>
  </si>
  <si>
    <t>AV HOLIDAY INN EXPRESS</t>
  </si>
  <si>
    <t>1773 FOUTAIN PARK DRIVE</t>
  </si>
  <si>
    <t>520106</t>
  </si>
  <si>
    <t>DOT. COM REST-MAC</t>
  </si>
  <si>
    <t>5559 S.ARCHER AVE.</t>
  </si>
  <si>
    <t>60483534</t>
  </si>
  <si>
    <t>BRUNSWICK ALGONQUIN #3100</t>
  </si>
  <si>
    <t>2075 ALGONQUIN RD</t>
  </si>
  <si>
    <t>1057074</t>
  </si>
  <si>
    <t>BELA VISTA BANQUETS</t>
  </si>
  <si>
    <t>60651627</t>
  </si>
  <si>
    <t>SPRING HILL SUITES-ELMHST</t>
  </si>
  <si>
    <t>410 W. LAKE ST</t>
  </si>
  <si>
    <t>31089923</t>
  </si>
  <si>
    <t>LOEWS CHICAGO EDI</t>
  </si>
  <si>
    <t>71110209</t>
  </si>
  <si>
    <t>JOHANSEN FARMS # 2</t>
  </si>
  <si>
    <t>710 W BOUGHTON RD</t>
  </si>
  <si>
    <t>20399820</t>
  </si>
  <si>
    <t>LEVY/WRIGLEY FIELD</t>
  </si>
  <si>
    <t>1060 W ADDISON</t>
  </si>
  <si>
    <t>31211527</t>
  </si>
  <si>
    <t>PONY UP OTB</t>
  </si>
  <si>
    <t>10919272</t>
  </si>
  <si>
    <t>GLEN FLORA COUNTRY CLUB</t>
  </si>
  <si>
    <t>2200 N. SHERIDAN RD.</t>
  </si>
  <si>
    <t>31025091</t>
  </si>
  <si>
    <t>TINLEY PARK DISTRICT</t>
  </si>
  <si>
    <t>8125 W 171ST STREET</t>
  </si>
  <si>
    <t>1078385</t>
  </si>
  <si>
    <t>GOLF NATION</t>
  </si>
  <si>
    <t>399 N QUENTIN RD</t>
  </si>
  <si>
    <t>70326434</t>
  </si>
  <si>
    <t>WICKER PARK CLUB HOUSE</t>
  </si>
  <si>
    <t>2125 RIDGE RD</t>
  </si>
  <si>
    <t>20508818</t>
  </si>
  <si>
    <t>MUNCHY'S GRYOS AND HOTDOG</t>
  </si>
  <si>
    <t>2704 E MAIN ST</t>
  </si>
  <si>
    <t>90933904</t>
  </si>
  <si>
    <t>THE MAX</t>
  </si>
  <si>
    <t>4750 VERNON AVENUE</t>
  </si>
  <si>
    <t>1064732</t>
  </si>
  <si>
    <t>RIVERS CANOPY COMMISSARY</t>
  </si>
  <si>
    <t>3000 SOUTH RIVER RD</t>
  </si>
  <si>
    <t>31266067</t>
  </si>
  <si>
    <t>MIREPOIX WELLNESS STUDIO</t>
  </si>
  <si>
    <t>1414 N ASHLAND AVE</t>
  </si>
  <si>
    <t>60856960</t>
  </si>
  <si>
    <t>ESKAPE ENTERTAINMENT</t>
  </si>
  <si>
    <t>3 MCHENRY RD</t>
  </si>
  <si>
    <t>11077138</t>
  </si>
  <si>
    <t>HOST O'HARE ELI'S</t>
  </si>
  <si>
    <t>O'HARE INTERNATIONAL</t>
  </si>
  <si>
    <t>730010</t>
  </si>
  <si>
    <t>BEST WESTERN HAWTHORN TER</t>
  </si>
  <si>
    <t>90646506</t>
  </si>
  <si>
    <t>COUNTRY INN AND SUITES</t>
  </si>
  <si>
    <t>1160 W DEVON</t>
  </si>
  <si>
    <t>40908766</t>
  </si>
  <si>
    <t>PUMP IT UP/CHICAGO</t>
  </si>
  <si>
    <t>821 W EASTMAN</t>
  </si>
  <si>
    <t>61121901</t>
  </si>
  <si>
    <t>DIAMONDS BILLIARDS - FOOD</t>
  </si>
  <si>
    <t>944 E 9TH ST</t>
  </si>
  <si>
    <t>1137561</t>
  </si>
  <si>
    <t>SPARTA DOME</t>
  </si>
  <si>
    <t>1355 EAST NORTH ST</t>
  </si>
  <si>
    <t>11317252</t>
  </si>
  <si>
    <t>SIGNATURE PLATES</t>
  </si>
  <si>
    <t>2001 S MICHIGAN AVE STE 2</t>
  </si>
  <si>
    <t>10994846</t>
  </si>
  <si>
    <t>EDGEWOOD VALLEY C.C.</t>
  </si>
  <si>
    <t>7500 WILLOW SPRINGS RD.</t>
  </si>
  <si>
    <t>40483398</t>
  </si>
  <si>
    <t>APROPO CATERING</t>
  </si>
  <si>
    <t>4318 RIVER RD</t>
  </si>
  <si>
    <t>90305202</t>
  </si>
  <si>
    <t>TASTE OF COUNTRY</t>
  </si>
  <si>
    <t>14380 W L0TH RD</t>
  </si>
  <si>
    <t>KENT</t>
  </si>
  <si>
    <t>61044</t>
  </si>
  <si>
    <t>10029858</t>
  </si>
  <si>
    <t>SCHERWOOD GOLF</t>
  </si>
  <si>
    <t>P.O.BOX 567</t>
  </si>
  <si>
    <t>20997979</t>
  </si>
  <si>
    <t>CAMELOT BANQUETS</t>
  </si>
  <si>
    <t>8624 W 95TH STREET</t>
  </si>
  <si>
    <t>21047964</t>
  </si>
  <si>
    <t>EDR -CHASE BUILDING</t>
  </si>
  <si>
    <t>10 S DEARBORN</t>
  </si>
  <si>
    <t>90520255</t>
  </si>
  <si>
    <t>DOUBLETREE GUEST SUITES &amp;</t>
  </si>
  <si>
    <t>2111 BUTTERFIELD ROAD</t>
  </si>
  <si>
    <t>11236817</t>
  </si>
  <si>
    <t>THE ALISE CHICAGO</t>
  </si>
  <si>
    <t>1 W WASHINGTON ST</t>
  </si>
  <si>
    <t>71230908</t>
  </si>
  <si>
    <t>COMFORT SUITE INN</t>
  </si>
  <si>
    <t>2300 WILLOWCREEK RD</t>
  </si>
  <si>
    <t>61298907</t>
  </si>
  <si>
    <t>HOLIDAY INN WILLIAM TELL</t>
  </si>
  <si>
    <t>1055045</t>
  </si>
  <si>
    <t>BEST WESTERN-ANTIOCH</t>
  </si>
  <si>
    <t>350 W HIGHWAY 173</t>
  </si>
  <si>
    <t>521971</t>
  </si>
  <si>
    <t>TAYLOR STREET-MAC</t>
  </si>
  <si>
    <t>5559 S. ARCHER AVE</t>
  </si>
  <si>
    <t>50029941</t>
  </si>
  <si>
    <t>O'HARE AIRPORT</t>
  </si>
  <si>
    <t>71139059</t>
  </si>
  <si>
    <t>2581 GLENWOOD LANSING RD</t>
  </si>
  <si>
    <t>61140851</t>
  </si>
  <si>
    <t>THE ALLEY IN HIGHWOOD</t>
  </si>
  <si>
    <t>210 GREENBAY RD</t>
  </si>
  <si>
    <t>41310087</t>
  </si>
  <si>
    <t>DOUBLETREE OAKBROOK</t>
  </si>
  <si>
    <t>1909 SPRING RD</t>
  </si>
  <si>
    <t>83204</t>
  </si>
  <si>
    <t>BACCONE LTD</t>
  </si>
  <si>
    <t>2039 W WABANSIA AVE</t>
  </si>
  <si>
    <t>31329501</t>
  </si>
  <si>
    <t>COUNTRY INN &amp; SUITES</t>
  </si>
  <si>
    <t>777 E GRAND AVE</t>
  </si>
  <si>
    <t>21141023</t>
  </si>
  <si>
    <t>HOLLYWOOD PALMS CINEMA</t>
  </si>
  <si>
    <t>352 S. ROUTE 59</t>
  </si>
  <si>
    <t>10159770</t>
  </si>
  <si>
    <t>HYATT REG EAST PASTRY*ZZ*</t>
  </si>
  <si>
    <t>151 E WACKER DR       A/L</t>
  </si>
  <si>
    <t>1195197</t>
  </si>
  <si>
    <t>T&amp;S CATERING</t>
  </si>
  <si>
    <t>3530 ILLINOIS ST</t>
  </si>
  <si>
    <t>91218040</t>
  </si>
  <si>
    <t>GOOD EARTH CATERING</t>
  </si>
  <si>
    <t>3931 S. LEAVITT SOUTH KIT</t>
  </si>
  <si>
    <t>80881477</t>
  </si>
  <si>
    <t>BRAVO BAKERY</t>
  </si>
  <si>
    <t>1758 W. ALGONQUIN ROAD</t>
  </si>
  <si>
    <t>91203471</t>
  </si>
  <si>
    <t>TOURCATS INC</t>
  </si>
  <si>
    <t>6920 MANNHEIM RD</t>
  </si>
  <si>
    <t>80905086</t>
  </si>
  <si>
    <t>MUNSTER PERFORMING ARTS C</t>
  </si>
  <si>
    <t>423 RIDGE ROAD</t>
  </si>
  <si>
    <t>1158492</t>
  </si>
  <si>
    <t>MARRIOTT</t>
  </si>
  <si>
    <t>11 S.LASALLE</t>
  </si>
  <si>
    <t>91132993</t>
  </si>
  <si>
    <t>ARCLIGHT GLENVIEW</t>
  </si>
  <si>
    <t>1850 TOWER DR</t>
  </si>
  <si>
    <t>60483427</t>
  </si>
  <si>
    <t>FELLOWSHIP MB CHURCH</t>
  </si>
  <si>
    <t>45TH PL &amp; PRINCETON AVE.</t>
  </si>
  <si>
    <t>51051332</t>
  </si>
  <si>
    <t>60171949</t>
  </si>
  <si>
    <t>HYATT O'HARE GROCERY *ZZ*</t>
  </si>
  <si>
    <t>51065266</t>
  </si>
  <si>
    <t>VICTORIA GROUP INC-DIP</t>
  </si>
  <si>
    <t>4825 N SCOTT ST</t>
  </si>
  <si>
    <t>40245714</t>
  </si>
  <si>
    <t>HOLIDAY INN GLENELLYN(#33</t>
  </si>
  <si>
    <t>90940404</t>
  </si>
  <si>
    <t>SLEEP INN</t>
  </si>
  <si>
    <t>1831 W DEIHL ROAD</t>
  </si>
  <si>
    <t>31059116</t>
  </si>
  <si>
    <t>HILTON GARDEN INN PARK PL</t>
  </si>
  <si>
    <t>11600 W PARK PLACE</t>
  </si>
  <si>
    <t>70484019</t>
  </si>
  <si>
    <t>ST CHARLES COUNTRY CL</t>
  </si>
  <si>
    <t>1250 COUNTRY CLUB RD</t>
  </si>
  <si>
    <t>20484762</t>
  </si>
  <si>
    <t>1254341</t>
  </si>
  <si>
    <t>SILVER PALACE</t>
  </si>
  <si>
    <t>1719 STATE ST</t>
  </si>
  <si>
    <t>577718</t>
  </si>
  <si>
    <t>HOLIDAY INN EXPRESS/WAUKG</t>
  </si>
  <si>
    <t>611 LAKEHURST RD</t>
  </si>
  <si>
    <t>40034969</t>
  </si>
  <si>
    <t>Z Z DORMANT    INS.</t>
  </si>
  <si>
    <t>5050 N BROADWAY SUPPLY*</t>
  </si>
  <si>
    <t>30916993</t>
  </si>
  <si>
    <t>CHOICE CONCESSIONS,LLC</t>
  </si>
  <si>
    <t>P.O. BOX 653</t>
  </si>
  <si>
    <t>MABLETON</t>
  </si>
  <si>
    <t>30126</t>
  </si>
  <si>
    <t>31064736</t>
  </si>
  <si>
    <t>RIVERS CANOPY CULINARY</t>
  </si>
  <si>
    <t>91186791</t>
  </si>
  <si>
    <t>VOLO AUTO MUSEUM</t>
  </si>
  <si>
    <t>27644 VOLO VILLAGE RD</t>
  </si>
  <si>
    <t>51023786</t>
  </si>
  <si>
    <t>JAY VNDNG/CENTENNIAL PARK</t>
  </si>
  <si>
    <t>15600 WEST AVE</t>
  </si>
  <si>
    <t>60031671</t>
  </si>
  <si>
    <t>ELEGANCE MEAT</t>
  </si>
  <si>
    <t>3135 DUNDEE RD</t>
  </si>
  <si>
    <t>40416224</t>
  </si>
  <si>
    <t>WOMENS ATHLETIC CLUB</t>
  </si>
  <si>
    <t>626 N. MICHIGAN AVE.</t>
  </si>
  <si>
    <t>90877804</t>
  </si>
  <si>
    <t>DISH FUNCTIONS</t>
  </si>
  <si>
    <t>3169 N BROADWAY</t>
  </si>
  <si>
    <t>71074082</t>
  </si>
  <si>
    <t>WYNDHAM GARDEN ELK GROVE</t>
  </si>
  <si>
    <t>2550 LANDMEIER ROAD</t>
  </si>
  <si>
    <t>61278743</t>
  </si>
  <si>
    <t>HAMPTON INN AND SUITES EL</t>
  </si>
  <si>
    <t>405 AIRPORT RD</t>
  </si>
  <si>
    <t>388157</t>
  </si>
  <si>
    <t>BEVERLY WOODS REST</t>
  </si>
  <si>
    <t>11532 SOUTH WESTERN</t>
  </si>
  <si>
    <t>91289306</t>
  </si>
  <si>
    <t>11042637</t>
  </si>
  <si>
    <t>AV COMFORT INN</t>
  </si>
  <si>
    <t>1019 W LINCOLN HIGHWAY</t>
  </si>
  <si>
    <t>11213881</t>
  </si>
  <si>
    <t>BOOMERS BASEBALL SCHAUMBU</t>
  </si>
  <si>
    <t>199 S SPRINGINSGUTH RD</t>
  </si>
  <si>
    <t>80030679</t>
  </si>
  <si>
    <t>1500 S LUMBER</t>
  </si>
  <si>
    <t>80035017</t>
  </si>
  <si>
    <t>PREFERRED MEAL SYS INC</t>
  </si>
  <si>
    <t>5240 ST. CHARLES RD</t>
  </si>
  <si>
    <t>31261357</t>
  </si>
  <si>
    <t>PUMP IT UP OF LISLE</t>
  </si>
  <si>
    <t>4995 VARSITY DR</t>
  </si>
  <si>
    <t>61283099</t>
  </si>
  <si>
    <t>GS CAFE</t>
  </si>
  <si>
    <t>10101 MADISON ST</t>
  </si>
  <si>
    <t>81331951</t>
  </si>
  <si>
    <t>CHICAGO TIKI BOAT</t>
  </si>
  <si>
    <t>400 E MONROE ST</t>
  </si>
  <si>
    <t>10203875</t>
  </si>
  <si>
    <t>RAINFOREST CAFE GUR</t>
  </si>
  <si>
    <t>6170 W GRAND AVE      A/L</t>
  </si>
  <si>
    <t>60299914</t>
  </si>
  <si>
    <t>HYATT PRNTRS ROW HSEK*ZZ*</t>
  </si>
  <si>
    <t>500 S DEARBORN</t>
  </si>
  <si>
    <t>71326052</t>
  </si>
  <si>
    <t>HALIM TIME &amp; GLASS</t>
  </si>
  <si>
    <t>1560 OAK AVE</t>
  </si>
  <si>
    <t>314922</t>
  </si>
  <si>
    <t>ACCENTURE</t>
  </si>
  <si>
    <t>161 N CLARK</t>
  </si>
  <si>
    <t>91291658</t>
  </si>
  <si>
    <t>RED ROOF INN</t>
  </si>
  <si>
    <t>340 S WAUKEGAN RD</t>
  </si>
  <si>
    <t>40483000</t>
  </si>
  <si>
    <t>ASHYANA BANQUETS_FOOD</t>
  </si>
  <si>
    <t>61290250</t>
  </si>
  <si>
    <t>LA GRANGE PARK LITTLE LE</t>
  </si>
  <si>
    <t>1527 BARNSDALE AVE</t>
  </si>
  <si>
    <t>LA GRANGE PARK</t>
  </si>
  <si>
    <t>41065954</t>
  </si>
  <si>
    <t>KIP'S CATERING</t>
  </si>
  <si>
    <t>1964 LAWRENCE AVENUE</t>
  </si>
  <si>
    <t>40520090</t>
  </si>
  <si>
    <t>HARRY CARAY-MAC</t>
  </si>
  <si>
    <t>80482243</t>
  </si>
  <si>
    <t>CHI MARRIOT B RDGE PR</t>
  </si>
  <si>
    <t>1200 BURR RIDGE</t>
  </si>
  <si>
    <t>592956</t>
  </si>
  <si>
    <t>77 BUCKLEY ROAD</t>
  </si>
  <si>
    <t>1178920</t>
  </si>
  <si>
    <t>ZHOUB ART CENTER</t>
  </si>
  <si>
    <t>1029 W 35TH ST</t>
  </si>
  <si>
    <t>30483606</t>
  </si>
  <si>
    <t>LUCKY STRIKE CHGO.-FO</t>
  </si>
  <si>
    <t>322 E ILLINOIS ST</t>
  </si>
  <si>
    <t>31045768</t>
  </si>
  <si>
    <t>PROM MNGMT-CONCESSIONS 1</t>
  </si>
  <si>
    <t>11218146</t>
  </si>
  <si>
    <t>ROCKFORD COUNTRY CLUB</t>
  </si>
  <si>
    <t>2500 OXFORD ST</t>
  </si>
  <si>
    <t>41054016</t>
  </si>
  <si>
    <t>PREMIER BANQUETS</t>
  </si>
  <si>
    <t>940 DUNDEE RD</t>
  </si>
  <si>
    <t>50940832</t>
  </si>
  <si>
    <t>CRYSTAL GRAND BANQUETS</t>
  </si>
  <si>
    <t>12416 ARCHER AVE</t>
  </si>
  <si>
    <t>61089926</t>
  </si>
  <si>
    <t>LOEWS CHICAGO ECOLAB EDI</t>
  </si>
  <si>
    <t>41176819</t>
  </si>
  <si>
    <t>GLEN FLORA GOLF &amp; COUNTRY</t>
  </si>
  <si>
    <t>2200 N SHERIDAN RD</t>
  </si>
  <si>
    <t>11174893</t>
  </si>
  <si>
    <t>MEDINAH CC</t>
  </si>
  <si>
    <t>51200285</t>
  </si>
  <si>
    <t>MCHENRY ATLETIC COMPLEX</t>
  </si>
  <si>
    <t>1310 RIDGEFIELD RD</t>
  </si>
  <si>
    <t>21188511</t>
  </si>
  <si>
    <t>FORT HILL ACTIVITY CENTER</t>
  </si>
  <si>
    <t>20 FORT HILL DR</t>
  </si>
  <si>
    <t>81010977</t>
  </si>
  <si>
    <t>TEE 2 GREEN INDOOR GOLF</t>
  </si>
  <si>
    <t>11173 DUNDEE RD</t>
  </si>
  <si>
    <t>80877939</t>
  </si>
  <si>
    <t>IDLEWILD CC</t>
  </si>
  <si>
    <t>19201 DIXIE HWY</t>
  </si>
  <si>
    <t>50422807</t>
  </si>
  <si>
    <t>//WELCOME LODGING</t>
  </si>
  <si>
    <t>619 S. GREENBAY ROAD</t>
  </si>
  <si>
    <t>40259061</t>
  </si>
  <si>
    <t>CANDLEWOOD HOTEL</t>
  </si>
  <si>
    <t>7555 WALTON STREET</t>
  </si>
  <si>
    <t>1330349</t>
  </si>
  <si>
    <t>BRISTOL PALACE ONE</t>
  </si>
  <si>
    <t>828 E RAND RD</t>
  </si>
  <si>
    <t>50520097</t>
  </si>
  <si>
    <t>OAK STREET BEACH-MAC</t>
  </si>
  <si>
    <t>50575133</t>
  </si>
  <si>
    <t>HESTON HILLS BANQUETS</t>
  </si>
  <si>
    <t>1933 E. 800 NORTH</t>
  </si>
  <si>
    <t>61064747</t>
  </si>
  <si>
    <t>RIVERS SERVICE BAR</t>
  </si>
  <si>
    <t>31251655</t>
  </si>
  <si>
    <t>PLAY &amp; SPIN</t>
  </si>
  <si>
    <t>7613 N CALDWELL AVE</t>
  </si>
  <si>
    <t>40522096</t>
  </si>
  <si>
    <t>2255 W. 173RD ST.</t>
  </si>
  <si>
    <t>50858497</t>
  </si>
  <si>
    <t>TREASURE ISLAND/N. WELLS</t>
  </si>
  <si>
    <t>1639 N. WELLS</t>
  </si>
  <si>
    <t>31271224</t>
  </si>
  <si>
    <t>ASPARAGUS CATERING</t>
  </si>
  <si>
    <t>71296917</t>
  </si>
  <si>
    <t>COMFORT SUITES O'HARE</t>
  </si>
  <si>
    <t>4200 RIVER RD</t>
  </si>
  <si>
    <t>20176921</t>
  </si>
  <si>
    <t>SHERATON - RIVERSIDE #12</t>
  </si>
  <si>
    <t>301 E NORTH WATER ST. A/L</t>
  </si>
  <si>
    <t>70159793</t>
  </si>
  <si>
    <t>HYATT PRINTERS ROW *ZZ*</t>
  </si>
  <si>
    <t>500 S DEARBORN ST</t>
  </si>
  <si>
    <t>10522316</t>
  </si>
  <si>
    <t>DOUBLETREE MAGNIFICENT ML</t>
  </si>
  <si>
    <t>300 E OHIO ST</t>
  </si>
  <si>
    <t>1309855</t>
  </si>
  <si>
    <t>HOLIDAY INN EXPRESS  BENS</t>
  </si>
  <si>
    <t>811 GRAND AVE</t>
  </si>
  <si>
    <t>20551933</t>
  </si>
  <si>
    <t>PEGASUS ON THE FLY</t>
  </si>
  <si>
    <t>20551891</t>
  </si>
  <si>
    <t>FOCUS ENTERPRISES &lt;</t>
  </si>
  <si>
    <t>660 MORTHLAND DRIVE STE A</t>
  </si>
  <si>
    <t>10049542</t>
  </si>
  <si>
    <t>HYATT REGY W STORE RM*ZZ*</t>
  </si>
  <si>
    <t>50171941</t>
  </si>
  <si>
    <t>HYATT O'HARE BAKERY *ZZ*</t>
  </si>
  <si>
    <t>61293346</t>
  </si>
  <si>
    <t>NICOLE JORDAN CATERING</t>
  </si>
  <si>
    <t>3931 S. LEAVITT AVE 2ND F</t>
  </si>
  <si>
    <t>61030748</t>
  </si>
  <si>
    <t>FFF RENAISSANCE CHICAGO O</t>
  </si>
  <si>
    <t>8500 W BRYN MAWR AVENUE</t>
  </si>
  <si>
    <t>1346287</t>
  </si>
  <si>
    <t>SALVATORE'S</t>
  </si>
  <si>
    <t>525 W ARLINGTON PL</t>
  </si>
  <si>
    <t>71166391</t>
  </si>
  <si>
    <t>COMFORT SUITES GRAYSLAKE</t>
  </si>
  <si>
    <t>1775 E BELVIDERE RD</t>
  </si>
  <si>
    <t>61008736</t>
  </si>
  <si>
    <t>MAMA LUCY'S CATERING</t>
  </si>
  <si>
    <t>6054 S. PRAIRIE AVE</t>
  </si>
  <si>
    <t>70549670</t>
  </si>
  <si>
    <t>LAKE ETTA BANQUET</t>
  </si>
  <si>
    <t>4801 WEST 29TH AVENUE</t>
  </si>
  <si>
    <t>30552673</t>
  </si>
  <si>
    <t>GENESIS CONVENTION**COLL*</t>
  </si>
  <si>
    <t>ONE GENESIS PLAZA</t>
  </si>
  <si>
    <t>80483415</t>
  </si>
  <si>
    <t>CATERING OUT THE BOX</t>
  </si>
  <si>
    <t>2443 W. 16TH STREET</t>
  </si>
  <si>
    <t>80236961</t>
  </si>
  <si>
    <t>HYATT DEERFIELD PROD *ZZ*</t>
  </si>
  <si>
    <t>60904695</t>
  </si>
  <si>
    <t>GLENDALE LAKE GOLF CLUB</t>
  </si>
  <si>
    <t>1550 PRESIDENT STREET</t>
  </si>
  <si>
    <t>20311619</t>
  </si>
  <si>
    <t>COTILLION</t>
  </si>
  <si>
    <t>360 CREEKSIDE</t>
  </si>
  <si>
    <t>21088737</t>
  </si>
  <si>
    <t>SKYBOX ON SHEFFIELD</t>
  </si>
  <si>
    <t>3627 N. SHEFFIELD</t>
  </si>
  <si>
    <t>81051336</t>
  </si>
  <si>
    <t>30955736</t>
  </si>
  <si>
    <t>FUNWAY</t>
  </si>
  <si>
    <t>1335 SOUTH RIVER STREET</t>
  </si>
  <si>
    <t>41247693</t>
  </si>
  <si>
    <t>CALIHAN CATERING</t>
  </si>
  <si>
    <t>833 W HAINES ST</t>
  </si>
  <si>
    <t>91194530</t>
  </si>
  <si>
    <t>SCHAUL'S SIGNATURE CUISIN</t>
  </si>
  <si>
    <t>30830590</t>
  </si>
  <si>
    <t>WYNDHAM GLENVIEW SUITES</t>
  </si>
  <si>
    <t>1400 MILWAUKEE AVE</t>
  </si>
  <si>
    <t>41278748</t>
  </si>
  <si>
    <t>HOLIDAY INN EXPRESS KALAM</t>
  </si>
  <si>
    <t>3630 E CORK ST</t>
  </si>
  <si>
    <t>KALAMAZOO</t>
  </si>
  <si>
    <t>49001</t>
  </si>
  <si>
    <t>20483970</t>
  </si>
  <si>
    <t>DANZINGER CATERING*</t>
  </si>
  <si>
    <t>3910 DEVON AVENUE</t>
  </si>
  <si>
    <t>20701058</t>
  </si>
  <si>
    <t>LINCOLNSHIRE CC</t>
  </si>
  <si>
    <t>390 E RICHTON RD</t>
  </si>
  <si>
    <t>21043880</t>
  </si>
  <si>
    <t>SIGNATURE BANQUETS</t>
  </si>
  <si>
    <t>1908 EAST COMMERCIAL AVE</t>
  </si>
  <si>
    <t>51312072</t>
  </si>
  <si>
    <t>NOAH'S EVENT VENUE</t>
  </si>
  <si>
    <t>200 BARCLAY BLVD</t>
  </si>
  <si>
    <t>20956124</t>
  </si>
  <si>
    <t>1857 ELMDALE AVE</t>
  </si>
  <si>
    <t>31325293</t>
  </si>
  <si>
    <t>IGNITE GAMING LOUNGE CHIC</t>
  </si>
  <si>
    <t>3341 N ELSTON AVE</t>
  </si>
  <si>
    <t>80483324</t>
  </si>
  <si>
    <t>ROLLING GREEN CC</t>
  </si>
  <si>
    <t>750 NORTH RAND ROAD</t>
  </si>
  <si>
    <t>90807231</t>
  </si>
  <si>
    <t>THE SUPER BOWL</t>
  </si>
  <si>
    <t>218 S EAST ST</t>
  </si>
  <si>
    <t>61301511</t>
  </si>
  <si>
    <t>L'ELEGANTE CUISINE CATERI</t>
  </si>
  <si>
    <t>11319365</t>
  </si>
  <si>
    <t>REWIRED CATERING</t>
  </si>
  <si>
    <t>540 W MADISON</t>
  </si>
  <si>
    <t>60552338</t>
  </si>
  <si>
    <t>BRUNSWICK GALA WEST</t>
  </si>
  <si>
    <t>1515 W. AURORA AVE.</t>
  </si>
  <si>
    <t>30400477</t>
  </si>
  <si>
    <t>INDIAN AMERICAN CULTURE</t>
  </si>
  <si>
    <t>442582</t>
  </si>
  <si>
    <t>MOUNT PROSPECT GOLF</t>
  </si>
  <si>
    <t>600 SO SEE -GWUN</t>
  </si>
  <si>
    <t>21273750</t>
  </si>
  <si>
    <t>WHITE HAWK COUNTRY CLUB</t>
  </si>
  <si>
    <t>1001 WHITE HAWK DR</t>
  </si>
  <si>
    <t>41033879</t>
  </si>
  <si>
    <t>RENAISSANCE PLACE CINEMA</t>
  </si>
  <si>
    <t>1850 SECOND STREET</t>
  </si>
  <si>
    <t>61282851</t>
  </si>
  <si>
    <t>BANQUETS OF SAINT GEORGE</t>
  </si>
  <si>
    <t>528 W 77TH AVE</t>
  </si>
  <si>
    <t>10955029</t>
  </si>
  <si>
    <t>16245 S.  LA GRANGE RD.</t>
  </si>
  <si>
    <t>40483976</t>
  </si>
  <si>
    <t>CATERING BY MICHAEL</t>
  </si>
  <si>
    <t>6203 PARK AVENUE</t>
  </si>
  <si>
    <t>20462313</t>
  </si>
  <si>
    <t>CHETNIK MEMORIAL HALL</t>
  </si>
  <si>
    <t>1350 WOODVIEW DR.</t>
  </si>
  <si>
    <t>399824</t>
  </si>
  <si>
    <t>LEVY/LINCOLN PARK ZOO</t>
  </si>
  <si>
    <t>2230 N CANNON DRIVE</t>
  </si>
  <si>
    <t>41082975</t>
  </si>
  <si>
    <t>SILVERBROOK GOLF COURSE</t>
  </si>
  <si>
    <t>2220 W. 83RD ST.</t>
  </si>
  <si>
    <t>21051347</t>
  </si>
  <si>
    <t>61278735</t>
  </si>
  <si>
    <t>HOLIDAY INN ITASCA</t>
  </si>
  <si>
    <t>860 W IRVING PARK RD</t>
  </si>
  <si>
    <t>70735188</t>
  </si>
  <si>
    <t>SPRIGS RESTAURANT-MAC</t>
  </si>
  <si>
    <t>71022990</t>
  </si>
  <si>
    <t>ORBIT SKATE CENTER</t>
  </si>
  <si>
    <t>615 S. CONSUMERS AVE.</t>
  </si>
  <si>
    <t>1189133</t>
  </si>
  <si>
    <t>6806 W 111TH ST</t>
  </si>
  <si>
    <t>853853</t>
  </si>
  <si>
    <t>EMBASSY SUITES</t>
  </si>
  <si>
    <t>41310947</t>
  </si>
  <si>
    <t>ZELDA'S  CATERING</t>
  </si>
  <si>
    <t>71026983</t>
  </si>
  <si>
    <t>MOTEL 6</t>
  </si>
  <si>
    <t>5150 WEST 127TH ST</t>
  </si>
  <si>
    <t>41348277</t>
  </si>
  <si>
    <t>PALOMAR</t>
  </si>
  <si>
    <t>40399818</t>
  </si>
  <si>
    <t>LEVY/ALEXIAN FIELD-SCHAUM</t>
  </si>
  <si>
    <t>1999 S SPRINGINSGUTH RD</t>
  </si>
  <si>
    <t>20915252</t>
  </si>
  <si>
    <t>BIG STIK, LLC</t>
  </si>
  <si>
    <t>3111 N WESTERN AVE</t>
  </si>
  <si>
    <t>393256</t>
  </si>
  <si>
    <t>WICKER PARK SOCIAL CENTER</t>
  </si>
  <si>
    <t>RIDGE RD &amp;INDIANAPOLIS BL</t>
  </si>
  <si>
    <t>31103260</t>
  </si>
  <si>
    <t>AV HOTEL ARISTA NAPERVILL</t>
  </si>
  <si>
    <t>2139 CITY GATE LANE</t>
  </si>
  <si>
    <t>11041811</t>
  </si>
  <si>
    <t>GLENWOODIE GOLF CLUB</t>
  </si>
  <si>
    <t>19301 S. STATE STREET</t>
  </si>
  <si>
    <t>70428933</t>
  </si>
  <si>
    <t>BONNIE BROOK GOLF COURSE</t>
  </si>
  <si>
    <t>2800 N. LEWIS AVENUE</t>
  </si>
  <si>
    <t>40573123</t>
  </si>
  <si>
    <t>UNITED AIRLINES</t>
  </si>
  <si>
    <t>O'HARE INTERNATIONAL APOR</t>
  </si>
  <si>
    <t>1112523</t>
  </si>
  <si>
    <t>CRYSTAL PALACE BANQUETS</t>
  </si>
  <si>
    <t>1070 S ELMHURST RD</t>
  </si>
  <si>
    <t>61297149</t>
  </si>
  <si>
    <t>UFC GYM DOWNERS GROVE</t>
  </si>
  <si>
    <t>1320 75TH ST</t>
  </si>
  <si>
    <t>81251183</t>
  </si>
  <si>
    <t>WILD BUFFALO</t>
  </si>
  <si>
    <t>60482114</t>
  </si>
  <si>
    <t>GREEN ACRES CC,</t>
  </si>
  <si>
    <t>916 DUNDEE ROAD</t>
  </si>
  <si>
    <t>51316495</t>
  </si>
  <si>
    <t>HOTEL VERSEY</t>
  </si>
  <si>
    <t>644 W DIVERSEY PKWY</t>
  </si>
  <si>
    <t>21311220</t>
  </si>
  <si>
    <t>SUPER 8</t>
  </si>
  <si>
    <t>17225 HALSTED ST</t>
  </si>
  <si>
    <t>60236049</t>
  </si>
  <si>
    <t>RAINFOREST CAFE DTC</t>
  </si>
  <si>
    <t>605 N CLARK ST        A/L</t>
  </si>
  <si>
    <t>71030761</t>
  </si>
  <si>
    <t>NOTEABLE EVENTS - MEDIA</t>
  </si>
  <si>
    <t>61290847</t>
  </si>
  <si>
    <t>CLARAS CATERING</t>
  </si>
  <si>
    <t>320 W 110TH ST</t>
  </si>
  <si>
    <t>91228684</t>
  </si>
  <si>
    <t>BOUNCE AROUND</t>
  </si>
  <si>
    <t>288 E GENEVA RD</t>
  </si>
  <si>
    <t>60651015</t>
  </si>
  <si>
    <t>PREMIER GLOBAL PRODUCTION</t>
  </si>
  <si>
    <t>2305 LANCE DR.</t>
  </si>
  <si>
    <t>80094121</t>
  </si>
  <si>
    <t>HYATT REGENCY E STRRM*ZZ*</t>
  </si>
  <si>
    <t>90527888</t>
  </si>
  <si>
    <t>LONG ISLAND SOUND**COLL**</t>
  </si>
  <si>
    <t>1920 E. NEW YORK ST.</t>
  </si>
  <si>
    <t>1083740</t>
  </si>
  <si>
    <t>JOHN'S CATERING</t>
  </si>
  <si>
    <t>247 RIDGE RD</t>
  </si>
  <si>
    <t>41083759</t>
  </si>
  <si>
    <t>1050 HORSE PRAIRIE DRIVE</t>
  </si>
  <si>
    <t>60390697</t>
  </si>
  <si>
    <t>5000 W. 127TH STREET</t>
  </si>
  <si>
    <t>70159785</t>
  </si>
  <si>
    <t>HYATT REGECENCY SM PA*ZZ*</t>
  </si>
  <si>
    <t>11318086</t>
  </si>
  <si>
    <t>GO FOR IT SPORTS</t>
  </si>
  <si>
    <t>9231 GALENA RD</t>
  </si>
  <si>
    <t>51030740</t>
  </si>
  <si>
    <t>FFF AV/SWISSOTEL CHICAGO</t>
  </si>
  <si>
    <t>323 E WACKER DRIVE</t>
  </si>
  <si>
    <t>61087763</t>
  </si>
  <si>
    <t>MIDWAY VENDING- (MAC)</t>
  </si>
  <si>
    <t>40884595</t>
  </si>
  <si>
    <t>RED MANGO-MAC</t>
  </si>
  <si>
    <t>60527652</t>
  </si>
  <si>
    <t>AMERICAN ROADSHOW CATERIN</t>
  </si>
  <si>
    <t>1445 S ROCKWELL</t>
  </si>
  <si>
    <t>615583</t>
  </si>
  <si>
    <t>HOLIDAY INN - OAKBROOK</t>
  </si>
  <si>
    <t>17W250 22ND STREET</t>
  </si>
  <si>
    <t>20973996</t>
  </si>
  <si>
    <t>AMENITIES KIOSK-MAC</t>
  </si>
  <si>
    <t>31005846</t>
  </si>
  <si>
    <t>RED TAIL GOLF CLUB</t>
  </si>
  <si>
    <t>7900 REDTAIL DR.</t>
  </si>
  <si>
    <t>11014115</t>
  </si>
  <si>
    <t>HOLIDAY INN EXP SCHAUMBRG</t>
  </si>
  <si>
    <t>1550 N. ROSELLE RD.</t>
  </si>
  <si>
    <t>31095706</t>
  </si>
  <si>
    <t>BLU AQUA RADSISSON HOTEL</t>
  </si>
  <si>
    <t>221 N COLUMBUS DRIVE</t>
  </si>
  <si>
    <t>80526817</t>
  </si>
  <si>
    <t>CATERED PRODUCTIONS</t>
  </si>
  <si>
    <t>277 W PETERSON RD.</t>
  </si>
  <si>
    <t>90544032</t>
  </si>
  <si>
    <t>D'ABSOLUTE CATERING*COLL*</t>
  </si>
  <si>
    <t>5106 W. IRVING PARK</t>
  </si>
  <si>
    <t>11156684</t>
  </si>
  <si>
    <t>LAKESHORE SPORT&amp;FITNES</t>
  </si>
  <si>
    <t>1320 W FULLERTON</t>
  </si>
  <si>
    <t>30961023</t>
  </si>
  <si>
    <t>BOLINGBROOK LITTLE LEAGUE</t>
  </si>
  <si>
    <t>INDIAN BOUNDRY ROAD</t>
  </si>
  <si>
    <t>20975603</t>
  </si>
  <si>
    <t>MINNE MONESSE GOLF COURSE</t>
  </si>
  <si>
    <t>15499 E SIX MILE GROVE RD</t>
  </si>
  <si>
    <t>10904613</t>
  </si>
  <si>
    <t>FANCY FOOD CATERING</t>
  </si>
  <si>
    <t>816 EAGLE DRIVE</t>
  </si>
  <si>
    <t>443705</t>
  </si>
  <si>
    <t>KAPPA ALPHA THETA/CHAMP.</t>
  </si>
  <si>
    <t>611 E. DANIEL</t>
  </si>
  <si>
    <t>10653202</t>
  </si>
  <si>
    <t>AMBASSADOR BANQUETS</t>
  </si>
  <si>
    <t>1967 EAST 37TH AVE</t>
  </si>
  <si>
    <t>10484053</t>
  </si>
  <si>
    <t>FAIRFIELD INN-PEOSOLD</t>
  </si>
  <si>
    <t>2002 W WAR MEMORIAL DR</t>
  </si>
  <si>
    <t>30109847</t>
  </si>
  <si>
    <t>GOTTLEIB FITTNESS CTR</t>
  </si>
  <si>
    <t>701 W NORTH AVE</t>
  </si>
  <si>
    <t>10700151</t>
  </si>
  <si>
    <t>HOWARD JOHNSON - ADDISON</t>
  </si>
  <si>
    <t>600 E. LAKE STREET</t>
  </si>
  <si>
    <t>81016297</t>
  </si>
  <si>
    <t>NOW WE'RE COOKIN'</t>
  </si>
  <si>
    <t>RTE 47</t>
  </si>
  <si>
    <t>31318645</t>
  </si>
  <si>
    <t>WILD ONION CHICAGO</t>
  </si>
  <si>
    <t>806 N WINCHESTER AVE</t>
  </si>
  <si>
    <t>50516376</t>
  </si>
  <si>
    <t>KELLY'S CATERING **COLL**</t>
  </si>
  <si>
    <t>21086699</t>
  </si>
  <si>
    <t>BELVEDERE CHATEAU -</t>
  </si>
  <si>
    <t>8055 W 103RD STREET</t>
  </si>
  <si>
    <t>31082092</t>
  </si>
  <si>
    <t>HELLER CATERING</t>
  </si>
  <si>
    <t>29870 SKOKIE HWY</t>
  </si>
  <si>
    <t>60878212</t>
  </si>
  <si>
    <t>MANNY'S EXPRESS-MAC</t>
  </si>
  <si>
    <t>91076836</t>
  </si>
  <si>
    <t>RED ROOF INN/ NAPERVILLE</t>
  </si>
  <si>
    <t>1698 WEST DIEHLRD.</t>
  </si>
  <si>
    <t>61163838</t>
  </si>
  <si>
    <t>BELLE SALLE BANQUETS</t>
  </si>
  <si>
    <t>1920 E NEW YORK ST</t>
  </si>
  <si>
    <t>21260203</t>
  </si>
  <si>
    <t>BEST WESTERN NAPERVILLE I</t>
  </si>
  <si>
    <t>1617 NAPERVILLE WHEATON R</t>
  </si>
  <si>
    <t>50162031</t>
  </si>
  <si>
    <t>HYATT  EXEC DINING *ZZ*</t>
  </si>
  <si>
    <t>200 W MADISON AVE</t>
  </si>
  <si>
    <t>80098395</t>
  </si>
  <si>
    <t>TASTEFULLY YOURS **COLL**</t>
  </si>
  <si>
    <t>230 E MAIN ST</t>
  </si>
  <si>
    <t>71064737</t>
  </si>
  <si>
    <t>RIVERS COFFEE SPOT FOH</t>
  </si>
  <si>
    <t>50366764</t>
  </si>
  <si>
    <t>WYNSTONE GOLF CLUB</t>
  </si>
  <si>
    <t>1 WYNSTONE DR</t>
  </si>
  <si>
    <t>NORTH BARRINGTON</t>
  </si>
  <si>
    <t>20519393</t>
  </si>
  <si>
    <t>WILMETTE GOLF COURSE</t>
  </si>
  <si>
    <t>3900 FAIRWAY DR</t>
  </si>
  <si>
    <t>10472926</t>
  </si>
  <si>
    <t>GREAT OAKS AFTER 4 CLU</t>
  </si>
  <si>
    <t>13109 S WICKER AVE</t>
  </si>
  <si>
    <t>399808</t>
  </si>
  <si>
    <t>LEVY/BISTRO 110</t>
  </si>
  <si>
    <t>110 E PEARSON STREET</t>
  </si>
  <si>
    <t>71046320</t>
  </si>
  <si>
    <t>PROM MNGMT-CONCESSIONS 2</t>
  </si>
  <si>
    <t>61115739</t>
  </si>
  <si>
    <t>WESTRIDGE BANQUETS</t>
  </si>
  <si>
    <t>628 STATE ST</t>
  </si>
  <si>
    <t>40258451</t>
  </si>
  <si>
    <t>PARAGON BANQUETS</t>
  </si>
  <si>
    <t>1701 EAST 37TH AVE</t>
  </si>
  <si>
    <t>40551715</t>
  </si>
  <si>
    <t>RADISSON/DEL HRS 8-11 AM</t>
  </si>
  <si>
    <t>800 EAST 81ST STREET</t>
  </si>
  <si>
    <t>21059118</t>
  </si>
  <si>
    <t>DOUBLETREE HOTEL ALSIP</t>
  </si>
  <si>
    <t>10520062</t>
  </si>
  <si>
    <t>WILLOWBROOK BALLROOM</t>
  </si>
  <si>
    <t>8900 S. ARCHER AVE.</t>
  </si>
  <si>
    <t>10390888</t>
  </si>
  <si>
    <t>CHATEAU BU-SCHE'</t>
  </si>
  <si>
    <t>11535 S. CICERO</t>
  </si>
  <si>
    <t>10436996</t>
  </si>
  <si>
    <t>CENTENIAL RECREATION COMP</t>
  </si>
  <si>
    <t>2300 OLD GLENVIEW RD</t>
  </si>
  <si>
    <t>60925815</t>
  </si>
  <si>
    <t>KINGPIN GRILL/LISLE LANES</t>
  </si>
  <si>
    <t>4920 LINCOLN AVE</t>
  </si>
  <si>
    <t>51064749</t>
  </si>
  <si>
    <t>RIVERS PASTRY</t>
  </si>
  <si>
    <t>10699015</t>
  </si>
  <si>
    <t>SEARS CENTER</t>
  </si>
  <si>
    <t>5333 PRAIRIE STONE PKWY</t>
  </si>
  <si>
    <t>31315096</t>
  </si>
  <si>
    <t>HOMEWOOD SUITES ORLAND PA</t>
  </si>
  <si>
    <t>16245 S LA GRANGE RD</t>
  </si>
  <si>
    <t>40593691</t>
  </si>
  <si>
    <t>MAYANA CHOCOLATE</t>
  </si>
  <si>
    <t>2447 W. LUNT AVE, #1R</t>
  </si>
  <si>
    <t>61085429</t>
  </si>
  <si>
    <t>HOLIDAY INN &amp; CONVENTION</t>
  </si>
  <si>
    <t>18501 CONVENTION CENTER</t>
  </si>
  <si>
    <t>71051338</t>
  </si>
  <si>
    <t>41009309</t>
  </si>
  <si>
    <t>CANDLEWOOD SUITES-LIBERTY</t>
  </si>
  <si>
    <t>1100 N. US HWY 45</t>
  </si>
  <si>
    <t>81253510</t>
  </si>
  <si>
    <t>ENTREE KITCHEN</t>
  </si>
  <si>
    <t>26W276 GENEVA RD STE A</t>
  </si>
  <si>
    <t>41342528</t>
  </si>
  <si>
    <t>LOWELL LITTLE LEAGUE</t>
  </si>
  <si>
    <t>17401 MORSE ST</t>
  </si>
  <si>
    <t>70479894</t>
  </si>
  <si>
    <t>GOURMET GARDEN CATERING</t>
  </si>
  <si>
    <t>106 WASHINGTON AVE.</t>
  </si>
  <si>
    <t>10420594</t>
  </si>
  <si>
    <t>HANNA BROTHERS EXTREME</t>
  </si>
  <si>
    <t>11001 EASUM RD.</t>
  </si>
  <si>
    <t>LOUISVILLE</t>
  </si>
  <si>
    <t>KY</t>
  </si>
  <si>
    <t>40299</t>
  </si>
  <si>
    <t>41240763</t>
  </si>
  <si>
    <t>JEWELL EVENTS OLD ORCHARD</t>
  </si>
  <si>
    <t>5202 OLD ORCHARD RD</t>
  </si>
  <si>
    <t>1251123</t>
  </si>
  <si>
    <t>PURELY SIMPLE CATERING</t>
  </si>
  <si>
    <t>1363 SHERMER RD</t>
  </si>
  <si>
    <t>10483006</t>
  </si>
  <si>
    <t>ROSEMONT CATERING</t>
  </si>
  <si>
    <t>9301 W BRYN MAWR</t>
  </si>
  <si>
    <t>1279892</t>
  </si>
  <si>
    <t>FIELDHOUSE JONES</t>
  </si>
  <si>
    <t>312 W CHESTNUT ST</t>
  </si>
  <si>
    <t>81046328</t>
  </si>
  <si>
    <t>PROM MNGMT-CONCESSIONS 3</t>
  </si>
  <si>
    <t>61106258</t>
  </si>
  <si>
    <t>DO NOT USE TTE PEORIA</t>
  </si>
  <si>
    <t>51338580</t>
  </si>
  <si>
    <t>MINNE MONESSE</t>
  </si>
  <si>
    <t>15933 E SIX MILE GROVE RD</t>
  </si>
  <si>
    <t>80601297</t>
  </si>
  <si>
    <t>HAMPTON INN &amp; SUITES</t>
  </si>
  <si>
    <t>1400 MILWAUKEE AVENUE</t>
  </si>
  <si>
    <t>61244810</t>
  </si>
  <si>
    <t>LOFT 21 BANQUETS</t>
  </si>
  <si>
    <t>1501 N. MILWAUKEE AVE.</t>
  </si>
  <si>
    <t>81064727</t>
  </si>
  <si>
    <t>RIVERS ASIAN CANOPY</t>
  </si>
  <si>
    <t>10944858</t>
  </si>
  <si>
    <t>ICE THEATERS ROOSEVELT</t>
  </si>
  <si>
    <t>3330 W. ROOSEVELT ROAD</t>
  </si>
  <si>
    <t>71318372</t>
  </si>
  <si>
    <t>THE ALLURE ON THE LAKE</t>
  </si>
  <si>
    <t>526 INDIAN BOUNDARY RD</t>
  </si>
  <si>
    <t>60484060</t>
  </si>
  <si>
    <t>HYATT REGENCY OAK BRO</t>
  </si>
  <si>
    <t>329466</t>
  </si>
  <si>
    <t>LA QUINTA #678</t>
  </si>
  <si>
    <t>2280 BARRINGTON ROAD</t>
  </si>
  <si>
    <t>1147461</t>
  </si>
  <si>
    <t>SHEFFIELD BASEBALL CLUB</t>
  </si>
  <si>
    <t>3619 N SHEFFIELD AVE</t>
  </si>
  <si>
    <t>71064745</t>
  </si>
  <si>
    <t>RIVERS STEWARDING</t>
  </si>
  <si>
    <t>41000803</t>
  </si>
  <si>
    <t>HOLLYWOOD CASINO   @@{{</t>
  </si>
  <si>
    <t>8N STOLP ISLAND</t>
  </si>
  <si>
    <t>70171947</t>
  </si>
  <si>
    <t>HYATT O'HARE DAIRY *ZZ*</t>
  </si>
  <si>
    <t>91340067</t>
  </si>
  <si>
    <t>MARIO CATERING</t>
  </si>
  <si>
    <t>8737 FENWICK ST</t>
  </si>
  <si>
    <t>SUNLAND</t>
  </si>
  <si>
    <t>91040</t>
  </si>
  <si>
    <t>80912355</t>
  </si>
  <si>
    <t>VAN LANG FOODS</t>
  </si>
  <si>
    <t>5227 DANSHER ROAD</t>
  </si>
  <si>
    <t>90286543</t>
  </si>
  <si>
    <t>FIRST CLASS BINGO</t>
  </si>
  <si>
    <t>374 COMMONS DR</t>
  </si>
  <si>
    <t>325407</t>
  </si>
  <si>
    <t>SKADDEN ARPS</t>
  </si>
  <si>
    <t>333 W. WACKER ST.</t>
  </si>
  <si>
    <t>30035059</t>
  </si>
  <si>
    <t>MARRIOTT/NALCO CHEM.</t>
  </si>
  <si>
    <t>1601 W. DIEHL RD.</t>
  </si>
  <si>
    <t>60566</t>
  </si>
  <si>
    <t>50399823</t>
  </si>
  <si>
    <t>LEVY/RAVINIA MUSIC FESTIV</t>
  </si>
  <si>
    <t>10482115</t>
  </si>
  <si>
    <t>THE DEER PATH INN CORP,</t>
  </si>
  <si>
    <t>80482235</t>
  </si>
  <si>
    <t>WESTMONT HEALTH CORE</t>
  </si>
  <si>
    <t>882274</t>
  </si>
  <si>
    <t>STAYBRIDGE SUITES</t>
  </si>
  <si>
    <t>2600 LEHIGH AVE</t>
  </si>
  <si>
    <t>10832970</t>
  </si>
  <si>
    <t>CROWN GYM MATS INC</t>
  </si>
  <si>
    <t>27 W 929 INDUSTRIAL AVE</t>
  </si>
  <si>
    <t>10170876</t>
  </si>
  <si>
    <t>THE LODGE HYATT STEW *ZZ*</t>
  </si>
  <si>
    <t>2815 JORIE BLVD</t>
  </si>
  <si>
    <t>40482507</t>
  </si>
  <si>
    <t>HILTON NORTHBROOK/ALL</t>
  </si>
  <si>
    <t>30921845</t>
  </si>
  <si>
    <t>SADDLE &amp; CYCLE CLUB</t>
  </si>
  <si>
    <t>900 W FOSTER AVE</t>
  </si>
  <si>
    <t>61089702</t>
  </si>
  <si>
    <t>1957 THATCHER</t>
  </si>
  <si>
    <t>91051334</t>
  </si>
  <si>
    <t>91019471</t>
  </si>
  <si>
    <t>ADVENTURE REALM</t>
  </si>
  <si>
    <t>71 DANADA SQUARE EAST</t>
  </si>
  <si>
    <t>11128188</t>
  </si>
  <si>
    <t>80984263</t>
  </si>
  <si>
    <t>WILLIAM TELL</t>
  </si>
  <si>
    <t>6201 JOLIET ROAD</t>
  </si>
  <si>
    <t>40038325</t>
  </si>
  <si>
    <t>CATERING SHOPPE</t>
  </si>
  <si>
    <t>399 HWY 1 WEST</t>
  </si>
  <si>
    <t>50575208</t>
  </si>
  <si>
    <t>LINCOLN INN BANQUETS</t>
  </si>
  <si>
    <t>1345 S. BATAVIA AVE.</t>
  </si>
  <si>
    <t>50485168</t>
  </si>
  <si>
    <t>FOUR SEASONS HOTEL**COLL*</t>
  </si>
  <si>
    <t>120 E DELAWARE PLACE</t>
  </si>
  <si>
    <t>40652687</t>
  </si>
  <si>
    <t>CHATEAU RITZ</t>
  </si>
  <si>
    <t>9100 MILWAUKEE AVE</t>
  </si>
  <si>
    <t>31064744</t>
  </si>
  <si>
    <t>RIVERS LOTUS BAR</t>
  </si>
  <si>
    <t>51234755</t>
  </si>
  <si>
    <t>THE CLUBHOUSE INN</t>
  </si>
  <si>
    <t>13100 SOUTHWEST HWY</t>
  </si>
  <si>
    <t>51025161</t>
  </si>
  <si>
    <t>BEST WESTERN MIDWAY</t>
  </si>
  <si>
    <t>8220 SOUTH CICERIO</t>
  </si>
  <si>
    <t>71083463</t>
  </si>
  <si>
    <t>TOP SHELF SNACK BAR</t>
  </si>
  <si>
    <t>451 PLAINFIELD RD</t>
  </si>
  <si>
    <t>21310651</t>
  </si>
  <si>
    <t>SUNSET VALLEY GOLF COURSE</t>
  </si>
  <si>
    <t>1390 SUNSET RD</t>
  </si>
  <si>
    <t>20030037</t>
  </si>
  <si>
    <t>KNOLLWOOD COUNTRY CLUB</t>
  </si>
  <si>
    <t>1890 WAUKEGAN RD</t>
  </si>
  <si>
    <t>30030795</t>
  </si>
  <si>
    <t>7770 FRONTAGE RD</t>
  </si>
  <si>
    <t>31178668</t>
  </si>
  <si>
    <t>MIDWEST CONFERENCE CENTER</t>
  </si>
  <si>
    <t>401 W LAKE ST</t>
  </si>
  <si>
    <t>1169739</t>
  </si>
  <si>
    <t>DAYS INN</t>
  </si>
  <si>
    <t>2280 BARRINGTON RD</t>
  </si>
  <si>
    <t>91169722</t>
  </si>
  <si>
    <t>DAYS INN &amp; SUITES SCHAMB</t>
  </si>
  <si>
    <t>1730 E HIGGINS RD</t>
  </si>
  <si>
    <t>90305004</t>
  </si>
  <si>
    <t>SHERATON TOWERS/HOUSEKPNG</t>
  </si>
  <si>
    <t>81029704</t>
  </si>
  <si>
    <t>LENORE'S KITCHEN CATERING</t>
  </si>
  <si>
    <t>2447 W. 69TH</t>
  </si>
  <si>
    <t>51026458</t>
  </si>
  <si>
    <t>BEST WESTERN UNVRSTY INN</t>
  </si>
  <si>
    <t>760 MORTHLAND DRIVE</t>
  </si>
  <si>
    <t>697987</t>
  </si>
  <si>
    <t>WILMETTE RECREATION CTR.</t>
  </si>
  <si>
    <t>3000 GLENVIEW ROAD</t>
  </si>
  <si>
    <t>50960517</t>
  </si>
  <si>
    <t>BULL VALLEY GOLF CLUB</t>
  </si>
  <si>
    <t>1311 CLUB ROAD</t>
  </si>
  <si>
    <t>50994409</t>
  </si>
  <si>
    <t>AMBROSINOS</t>
  </si>
  <si>
    <t>20495 S LA GRANGE RD.</t>
  </si>
  <si>
    <t>91030767</t>
  </si>
  <si>
    <t>NOTEABLE EVNT FOUNDRS CLB</t>
  </si>
  <si>
    <t>90831454</t>
  </si>
  <si>
    <t>KENMARE CATERING &amp; EVENTS</t>
  </si>
  <si>
    <t>112 S. MICHIGAN AVE</t>
  </si>
  <si>
    <t>81064735</t>
  </si>
  <si>
    <t>RIVERS CUBE</t>
  </si>
  <si>
    <t>70399803</t>
  </si>
  <si>
    <t>LEVY/SEARS TOWER MIA TORR</t>
  </si>
  <si>
    <t>11146016</t>
  </si>
  <si>
    <t>KENMARE LOFT</t>
  </si>
  <si>
    <t>401 N PAULINA ST</t>
  </si>
  <si>
    <t>91064741</t>
  </si>
  <si>
    <t>RIVERS TDR FOH</t>
  </si>
  <si>
    <t>11205606</t>
  </si>
  <si>
    <t>BURNHAM HARBOR YACHT CLUB</t>
  </si>
  <si>
    <t>1500 LYNN WHITE DR</t>
  </si>
  <si>
    <t>80520091</t>
  </si>
  <si>
    <t>MANNY'S DELI-MAC</t>
  </si>
  <si>
    <t>41313784</t>
  </si>
  <si>
    <t>LONE TREE MANOR</t>
  </si>
  <si>
    <t>7730 N MILWAUKEE AVE</t>
  </si>
  <si>
    <t>30483176</t>
  </si>
  <si>
    <t>GLEN OAK CC INC</t>
  </si>
  <si>
    <t>21 W 451 HILL AVE</t>
  </si>
  <si>
    <t>40730780</t>
  </si>
  <si>
    <t>COUNTRY INN &amp; SUITES/ZION</t>
  </si>
  <si>
    <t>1100 33RD STREET</t>
  </si>
  <si>
    <t>35592</t>
  </si>
  <si>
    <t>5830 E STATE ST</t>
  </si>
  <si>
    <t>90520081</t>
  </si>
  <si>
    <t>MILLER PUB-MAC</t>
  </si>
  <si>
    <t>91058479</t>
  </si>
  <si>
    <t>FOOD FOR THOUGHT/MAIN</t>
  </si>
  <si>
    <t>20521472</t>
  </si>
  <si>
    <t>WYNDHAM GLENVIEW**COLL**</t>
  </si>
  <si>
    <t>41345331</t>
  </si>
  <si>
    <t>REPS GYM</t>
  </si>
  <si>
    <t>2643 W CHICAGO AVE</t>
  </si>
  <si>
    <t>91238337</t>
  </si>
  <si>
    <t>BELLAS BOUNCIES</t>
  </si>
  <si>
    <t>720 E. GRAND AVE.</t>
  </si>
  <si>
    <t>61227617</t>
  </si>
  <si>
    <t>JEWELL PARKWAY 6</t>
  </si>
  <si>
    <t>6 PARKWAY N</t>
  </si>
  <si>
    <t>35584</t>
  </si>
  <si>
    <t>MANGIAMO ITALIAN REST</t>
  </si>
  <si>
    <t>3113 N DRIES LANE</t>
  </si>
  <si>
    <t>61325031</t>
  </si>
  <si>
    <t>FISHERMEN'S INN ELBURN</t>
  </si>
  <si>
    <t>43W901 MAIN STREET RD</t>
  </si>
  <si>
    <t>31134380</t>
  </si>
  <si>
    <t>LAKESHORE SPORT &amp; FITNESS</t>
  </si>
  <si>
    <t>211 N. STETSON AVE</t>
  </si>
  <si>
    <t>70551965</t>
  </si>
  <si>
    <t>INN AT LINCOLN PARK</t>
  </si>
  <si>
    <t>601 W. DIVERSEY PKWY</t>
  </si>
  <si>
    <t>91160531</t>
  </si>
  <si>
    <t>JEWELL EVENTS AT 401</t>
  </si>
  <si>
    <t>401 N MICHIGAN AVE</t>
  </si>
  <si>
    <t>81201188</t>
  </si>
  <si>
    <t>ENERGY VBC</t>
  </si>
  <si>
    <t>6352 W HOWARD ST</t>
  </si>
  <si>
    <t>60399821</t>
  </si>
  <si>
    <t>LEVY/INDIAN LAKES</t>
  </si>
  <si>
    <t>250 W SCHICK ROAD</t>
  </si>
  <si>
    <t>91107425</t>
  </si>
  <si>
    <t>VENUE ONE</t>
  </si>
  <si>
    <t>1044 W RANDOLPH</t>
  </si>
  <si>
    <t>30033088</t>
  </si>
  <si>
    <t>Z Z DORMANT NORTH</t>
  </si>
  <si>
    <t>U.S. 55  &amp; RTE 51</t>
  </si>
  <si>
    <t>21169883</t>
  </si>
  <si>
    <t>LSG SKY CHEFS MSC100209</t>
  </si>
  <si>
    <t>200 E TOUHY AVE</t>
  </si>
  <si>
    <t>91167023</t>
  </si>
  <si>
    <t>SALINA'S CATERING</t>
  </si>
  <si>
    <t>41278995</t>
  </si>
  <si>
    <t>16900 HALSTED ST</t>
  </si>
  <si>
    <t>51149789</t>
  </si>
  <si>
    <t>CASTAWAY GRILL #385</t>
  </si>
  <si>
    <t>71286264</t>
  </si>
  <si>
    <t>IVY BOUTIQUE HOTEL</t>
  </si>
  <si>
    <t>233 E ONTARIO ST</t>
  </si>
  <si>
    <t>20452686</t>
  </si>
  <si>
    <t>MARAVELA'S</t>
  </si>
  <si>
    <t>4 S. WASHINGTON AVE.</t>
  </si>
  <si>
    <t>70228044</t>
  </si>
  <si>
    <t>ADDI'S UNIQUE CATERING</t>
  </si>
  <si>
    <t>554B E. DEVON AVE.</t>
  </si>
  <si>
    <t>30399802</t>
  </si>
  <si>
    <t>LEVY/MCCORMICK PLACE</t>
  </si>
  <si>
    <t>2301 S LAKE SHORE DRIVE</t>
  </si>
  <si>
    <t>50159797</t>
  </si>
  <si>
    <t>HYATT REGENCY LISLE *ZZ*</t>
  </si>
  <si>
    <t>80469562</t>
  </si>
  <si>
    <t>BANQUETS ON THE GREEN</t>
  </si>
  <si>
    <t>6400 HARRISON</t>
  </si>
  <si>
    <t>71130579</t>
  </si>
  <si>
    <t>ITASCA COUNTRY CLUB</t>
  </si>
  <si>
    <t>400 E ORCHARD ST</t>
  </si>
  <si>
    <t>50035609</t>
  </si>
  <si>
    <t>Z Z DORMANT  LODGE</t>
  </si>
  <si>
    <t>STATE PARK ROAD</t>
  </si>
  <si>
    <t>COOKSVILLE</t>
  </si>
  <si>
    <t>61730</t>
  </si>
  <si>
    <t>40324162</t>
  </si>
  <si>
    <t>D'MASTI EVENTS/CATERING</t>
  </si>
  <si>
    <t>11915 S. WESTERN</t>
  </si>
  <si>
    <t>81114605</t>
  </si>
  <si>
    <t>LA VIVA</t>
  </si>
  <si>
    <t>4425 W MONTROSE AVE</t>
  </si>
  <si>
    <t>51166080</t>
  </si>
  <si>
    <t>ARROWHEAD COUNTRY CLUB</t>
  </si>
  <si>
    <t>26 BUTTERFIELD RD</t>
  </si>
  <si>
    <t>90483488</t>
  </si>
  <si>
    <t>CONCORDE BANQUETS INC</t>
  </si>
  <si>
    <t>20922 N RAND RD</t>
  </si>
  <si>
    <t>81211906</t>
  </si>
  <si>
    <t>FFC WEST LOOP</t>
  </si>
  <si>
    <t>10 S CLINTON ST</t>
  </si>
  <si>
    <t>31213655</t>
  </si>
  <si>
    <t>LACUNA CATERING</t>
  </si>
  <si>
    <t>2150 S CANALPORT AVE</t>
  </si>
  <si>
    <t>31260185</t>
  </si>
  <si>
    <t>J &amp; L CATERING</t>
  </si>
  <si>
    <t>30648414</t>
  </si>
  <si>
    <t>PLUMCAFE/HAROLDWASHINGTON</t>
  </si>
  <si>
    <t>30 E. LAKE STREET</t>
  </si>
  <si>
    <t>10233880</t>
  </si>
  <si>
    <t>BATEMAN/MOOSEHEART CHILD</t>
  </si>
  <si>
    <t>RTE # 31              A/L</t>
  </si>
  <si>
    <t>51278737</t>
  </si>
  <si>
    <t>FOUR POINTS KALAMAZOO</t>
  </si>
  <si>
    <t>3600 E CORK ST</t>
  </si>
  <si>
    <t>70648969</t>
  </si>
  <si>
    <t>CEDAR HOTEL</t>
  </si>
  <si>
    <t>1112 N. STATE</t>
  </si>
  <si>
    <t>590745</t>
  </si>
  <si>
    <t>ST PETER AND PAUL MOC</t>
  </si>
  <si>
    <t>9660 BROADWAY</t>
  </si>
  <si>
    <t>51297349</t>
  </si>
  <si>
    <t>1ST &amp; FRESH CATERING</t>
  </si>
  <si>
    <t>205 W RANDOLPH ST # LL1</t>
  </si>
  <si>
    <t>61322749</t>
  </si>
  <si>
    <t>BEST WESTERN PLUS</t>
  </si>
  <si>
    <t>225 S.W. FRONTAGE RD.</t>
  </si>
  <si>
    <t>1015700</t>
  </si>
  <si>
    <t>1831 W DIEHL RD</t>
  </si>
  <si>
    <t>40228207</t>
  </si>
  <si>
    <t>CPN CORP PURCHASING</t>
  </si>
  <si>
    <t>1300 E. WOODFIELD ROAD</t>
  </si>
  <si>
    <t>40989493</t>
  </si>
  <si>
    <t>NICKOL KNOLL GOLF CLUB</t>
  </si>
  <si>
    <t>40399826</t>
  </si>
  <si>
    <t>LEVY/ARLINGTON TRACKSIDE</t>
  </si>
  <si>
    <t>EUCLID &amp; WILKE ROADS</t>
  </si>
  <si>
    <t>832915</t>
  </si>
  <si>
    <t>ARTISTIC ENTERTAINING</t>
  </si>
  <si>
    <t>209 STEPHEN ST</t>
  </si>
  <si>
    <t>30700504</t>
  </si>
  <si>
    <t>RAVENSWOOD EVENT CENTER</t>
  </si>
  <si>
    <t>4011 N. RAVENSWOOD AVE.</t>
  </si>
  <si>
    <t>21215587</t>
  </si>
  <si>
    <t>CUOMO SPORTS CATERING</t>
  </si>
  <si>
    <t>22 E NORTH AE</t>
  </si>
  <si>
    <t>80466428</t>
  </si>
  <si>
    <t>WINNETKA GOLF COURSE</t>
  </si>
  <si>
    <t>1300 OAK STREET</t>
  </si>
  <si>
    <t>60544491</t>
  </si>
  <si>
    <t>NOTEBAERT NATURE MUSEUM</t>
  </si>
  <si>
    <t>2430 N. CANNON DRIVE</t>
  </si>
  <si>
    <t>1171172</t>
  </si>
  <si>
    <t>CLIFFBREAKERS</t>
  </si>
  <si>
    <t>700 W RIVERSIDE BLVD</t>
  </si>
  <si>
    <t>70552336</t>
  </si>
  <si>
    <t>PASTIFICIO</t>
  </si>
  <si>
    <t>122 HIGHWOOD AVE.</t>
  </si>
  <si>
    <t>90470691</t>
  </si>
  <si>
    <t>RAINFOREST CAFE(CORP USE)</t>
  </si>
  <si>
    <t>1510 W. LOOP SOUTH</t>
  </si>
  <si>
    <t>77027</t>
  </si>
  <si>
    <t>31201676</t>
  </si>
  <si>
    <t>OSCAR SWANS</t>
  </si>
  <si>
    <t>1800 W STATE ST</t>
  </si>
  <si>
    <t>71256416</t>
  </si>
  <si>
    <t>TRAVEL LODGE</t>
  </si>
  <si>
    <t>17301 HALSTEAD STREET BUI</t>
  </si>
  <si>
    <t>11064722</t>
  </si>
  <si>
    <t>RIVERS FLIPT FOH</t>
  </si>
  <si>
    <t>70390794</t>
  </si>
  <si>
    <t>OBIES RESTAURANT</t>
  </si>
  <si>
    <t>3904 RIDGE RD</t>
  </si>
  <si>
    <t>71170583</t>
  </si>
  <si>
    <t>SUNSTONE HOTEL INVESTORS</t>
  </si>
  <si>
    <t>600 N STATE ST</t>
  </si>
  <si>
    <t>60033156</t>
  </si>
  <si>
    <t>Z Z DORMANT S BEND *SUP</t>
  </si>
  <si>
    <t>10030112</t>
  </si>
  <si>
    <t>ANDORRA'S ** COLL **</t>
  </si>
  <si>
    <t>BOX 365 1112 RT 41</t>
  </si>
  <si>
    <t>80930886</t>
  </si>
  <si>
    <t>PEARCE'S @ FOX BEND GOLF</t>
  </si>
  <si>
    <t>3516 ROUTE 34</t>
  </si>
  <si>
    <t>51278745</t>
  </si>
  <si>
    <t>COUNTRY INN AND SUITES SY</t>
  </si>
  <si>
    <t>1450 S. PEACE RD.</t>
  </si>
  <si>
    <t>10644888</t>
  </si>
  <si>
    <t>LOST MARSH **COLL**</t>
  </si>
  <si>
    <t>1001 129TH AVE.</t>
  </si>
  <si>
    <t>40491110</t>
  </si>
  <si>
    <t>ESPLANADE LAKES BY DBL TR</t>
  </si>
  <si>
    <t>3500 LACEY ROAD</t>
  </si>
  <si>
    <t>70858485</t>
  </si>
  <si>
    <t>TREASURE ISLAND/N LK SHOR</t>
  </si>
  <si>
    <t>680 N. LAKE SHORE DR</t>
  </si>
  <si>
    <t>80736184</t>
  </si>
  <si>
    <t>MARRIOTT BURR RIDGE</t>
  </si>
  <si>
    <t>1200 BURR RIDGE PKWY</t>
  </si>
  <si>
    <t>71240311</t>
  </si>
  <si>
    <t>RESIDENCE INN</t>
  </si>
  <si>
    <t>180 REMINGTON BLVD</t>
  </si>
  <si>
    <t>60486529</t>
  </si>
  <si>
    <t>H &amp; R CATERING INC</t>
  </si>
  <si>
    <t>20491155</t>
  </si>
  <si>
    <t>FAIRMONT- CHICAGO</t>
  </si>
  <si>
    <t>200 N. COLUMBUS DRIVE</t>
  </si>
  <si>
    <t>30530323</t>
  </si>
  <si>
    <t>BEST WESTERN INN&amp;SUITES</t>
  </si>
  <si>
    <t>3326 CASSOPOLIS STREET</t>
  </si>
  <si>
    <t>31030760</t>
  </si>
  <si>
    <t>NOTEABLE EVENTS BMW 18TH</t>
  </si>
  <si>
    <t>61239927</t>
  </si>
  <si>
    <t>TRAIL MAP VENTURES</t>
  </si>
  <si>
    <t>3200 W IRVING</t>
  </si>
  <si>
    <t>1233832</t>
  </si>
  <si>
    <t>ENTERTAINING COMPANY CATE</t>
  </si>
  <si>
    <t>1640 WEST WALTON STREET</t>
  </si>
  <si>
    <t>81236044</t>
  </si>
  <si>
    <t>ELEMENTS AT WATER STREET</t>
  </si>
  <si>
    <t>70484100</t>
  </si>
  <si>
    <t>AV FAIRFIELD INN OSHKOSH</t>
  </si>
  <si>
    <t>1800 W KOELLER RD</t>
  </si>
  <si>
    <t>40484107</t>
  </si>
  <si>
    <t>COMFORT INN-MANITOWOC</t>
  </si>
  <si>
    <t>2200 S 44TH ST</t>
  </si>
  <si>
    <t>50728658</t>
  </si>
  <si>
    <t>COMFORT INN HOFFMAN ESTAT</t>
  </si>
  <si>
    <t>2075 BARRINGTON RD</t>
  </si>
  <si>
    <t>51186088</t>
  </si>
  <si>
    <t>ELGIN LANES CORP</t>
  </si>
  <si>
    <t>401 SHEPARD DR.</t>
  </si>
  <si>
    <t>1154236</t>
  </si>
  <si>
    <t>BITES OF PLEASURE</t>
  </si>
  <si>
    <t>4006 MAIN ST</t>
  </si>
  <si>
    <t>10031326</t>
  </si>
  <si>
    <t>Z Z DORMANT RESORT</t>
  </si>
  <si>
    <t>7801 E STATE ST</t>
  </si>
  <si>
    <t>41104803</t>
  </si>
  <si>
    <t>BLOOMINGDALE GOLF CLUB</t>
  </si>
  <si>
    <t>181 GLEN ELLYN RD</t>
  </si>
  <si>
    <t>21302070</t>
  </si>
  <si>
    <t>1758 FOUNTAIN PARK DR</t>
  </si>
  <si>
    <t>90702663</t>
  </si>
  <si>
    <t>NORTH TOWNSHIP OF LAKE CO</t>
  </si>
  <si>
    <t>WICKER MEMORIAL PARK</t>
  </si>
  <si>
    <t>81294886</t>
  </si>
  <si>
    <t>LOWELL BLUEBIRDS SOFTBALL</t>
  </si>
  <si>
    <t>40171944</t>
  </si>
  <si>
    <t>HYATT OHARE STEW CHEM*ZZ*</t>
  </si>
  <si>
    <t>21305578</t>
  </si>
  <si>
    <t>ACCELERATE INDOOR SPEEDWA</t>
  </si>
  <si>
    <t>8580 SPRING LAKE DR</t>
  </si>
  <si>
    <t>81278731</t>
  </si>
  <si>
    <t>HOLIDAY INN COUNTRYSIDE</t>
  </si>
  <si>
    <t>80491202</t>
  </si>
  <si>
    <t>BEST WESTERN- PALWAUKEE</t>
  </si>
  <si>
    <t>91145730</t>
  </si>
  <si>
    <t>SK EVENT SERVICE</t>
  </si>
  <si>
    <t>715 N INDEPENDENCE BLVD</t>
  </si>
  <si>
    <t>21278742</t>
  </si>
  <si>
    <t>COMFORT INN  SCHAUMBURG</t>
  </si>
  <si>
    <t>1100 E HIGGINS RD</t>
  </si>
  <si>
    <t>1271253</t>
  </si>
  <si>
    <t>CONGRESS PLAZA HOTEL</t>
  </si>
  <si>
    <t>520 S MICHIGAN AVE</t>
  </si>
  <si>
    <t>21243977</t>
  </si>
  <si>
    <t>LENORES CATERING</t>
  </si>
  <si>
    <t>80484660</t>
  </si>
  <si>
    <t>INDIAN LAKES BANQ</t>
  </si>
  <si>
    <t>10399806</t>
  </si>
  <si>
    <t>LEVY/NAVY PIER</t>
  </si>
  <si>
    <t>600 E GRAND AVENUE</t>
  </si>
  <si>
    <t>91278721</t>
  </si>
  <si>
    <t>FOUR POINTS SHERATON MILW</t>
  </si>
  <si>
    <t>5311 S HOWELL AVE</t>
  </si>
  <si>
    <t>31278740</t>
  </si>
  <si>
    <t>COMFORT INN ELGIN</t>
  </si>
  <si>
    <t>2480 BUSHWOOD DR</t>
  </si>
  <si>
    <t>31305675</t>
  </si>
  <si>
    <t>LENCIONI CATERING / CASA</t>
  </si>
  <si>
    <t>500 NORTHGATE ( CASA MARI</t>
  </si>
  <si>
    <t>50669449</t>
  </si>
  <si>
    <t>HOLIDAY INN BURR RIDGE</t>
  </si>
  <si>
    <t>7800 KINGERY HIGHWAY</t>
  </si>
  <si>
    <t>11242435</t>
  </si>
  <si>
    <t>452656</t>
  </si>
  <si>
    <t>PEAR TREE CATERING</t>
  </si>
  <si>
    <t>345 N. WOLF RD</t>
  </si>
  <si>
    <t>51167955</t>
  </si>
  <si>
    <t>MAIN EVENT 3Y EDI OG</t>
  </si>
  <si>
    <t>28248 DIEHL RD</t>
  </si>
  <si>
    <t>41174905</t>
  </si>
  <si>
    <t>MELON EXPRESS</t>
  </si>
  <si>
    <t>10528248</t>
  </si>
  <si>
    <t>RAVINIA GREEN COUNTRYCLUB</t>
  </si>
  <si>
    <t>1200 SAUNDERS RD</t>
  </si>
  <si>
    <t>81348203</t>
  </si>
  <si>
    <t>ACRON NAVY PIER HOTEL</t>
  </si>
  <si>
    <t>1000 E GRAND AVE</t>
  </si>
  <si>
    <t>1042654</t>
  </si>
  <si>
    <t>GOLDFISH SWIM SCHOOL</t>
  </si>
  <si>
    <t>3455 LEGACY BLVD</t>
  </si>
  <si>
    <t>21051339</t>
  </si>
  <si>
    <t>31294150</t>
  </si>
  <si>
    <t>HARBOR COUNTRY ADVENTURES</t>
  </si>
  <si>
    <t>13 ON LAKE</t>
  </si>
  <si>
    <t>1024983</t>
  </si>
  <si>
    <t>2525 EAST RAND ROAD</t>
  </si>
  <si>
    <t>41133141</t>
  </si>
  <si>
    <t>DAYS INN &amp; SUITES</t>
  </si>
  <si>
    <t>16900 S HALSTEAD STREET</t>
  </si>
  <si>
    <t>20482147</t>
  </si>
  <si>
    <t>SKOKIE COUNTRY CLUB,</t>
  </si>
  <si>
    <t>500 WASHINGTON AVE</t>
  </si>
  <si>
    <t>90503681</t>
  </si>
  <si>
    <t>CONCESSIONS CONCEPTS*COL*</t>
  </si>
  <si>
    <t>23 PUMP BRANCH RD</t>
  </si>
  <si>
    <t>NJ</t>
  </si>
  <si>
    <t>08009</t>
  </si>
  <si>
    <t>60789724</t>
  </si>
  <si>
    <t>AN APPLE A DAY</t>
  </si>
  <si>
    <t>317 PARK AVE</t>
  </si>
  <si>
    <t>21064753</t>
  </si>
  <si>
    <t>RIVERS MISCELLANEOUS DEPT</t>
  </si>
  <si>
    <t>41327230</t>
  </si>
  <si>
    <t>LUV 2 PLAY</t>
  </si>
  <si>
    <t>4845 W 111TH ST</t>
  </si>
  <si>
    <t>10134120</t>
  </si>
  <si>
    <t>EDDIE BULLS/MERLIN CATER</t>
  </si>
  <si>
    <t>180 EAST LAKE ST</t>
  </si>
  <si>
    <t>51196970</t>
  </si>
  <si>
    <t>MARAVELA'S FOXLAKE</t>
  </si>
  <si>
    <t>4 WASHINGTON AVE</t>
  </si>
  <si>
    <t>90965351</t>
  </si>
  <si>
    <t>WHITEFORD YOUTH BASEBALL</t>
  </si>
  <si>
    <t>NE FRONTAGE ROAD &amp; BLACK</t>
  </si>
  <si>
    <t>51182681</t>
  </si>
  <si>
    <t>CENTENNIAL BEACH NAPERVIL</t>
  </si>
  <si>
    <t>500 W JEFFERSON AVE</t>
  </si>
  <si>
    <t>71307250</t>
  </si>
  <si>
    <t>GENEVA HIGH SCHOOL CONCES</t>
  </si>
  <si>
    <t>416 MCKINLEY AVE</t>
  </si>
  <si>
    <t>60973849</t>
  </si>
  <si>
    <t>QUALITY INN MIDWAY</t>
  </si>
  <si>
    <t>7353 S. CICERO AVE.</t>
  </si>
  <si>
    <t>32573</t>
  </si>
  <si>
    <t>HOLIDAY INN   **COLL**</t>
  </si>
  <si>
    <t>1300 E SOUTH STREET</t>
  </si>
  <si>
    <t>81251050</t>
  </si>
  <si>
    <t>PALATINE CAFE/MIDTOWN ATH</t>
  </si>
  <si>
    <t>1760 N HICKS RD</t>
  </si>
  <si>
    <t>20530358</t>
  </si>
  <si>
    <t>424 N. WOOD ST.</t>
  </si>
  <si>
    <t>10551745</t>
  </si>
  <si>
    <t>ARBOR HILL INN</t>
  </si>
  <si>
    <t>263 WEST JOHNSON ROAD</t>
  </si>
  <si>
    <t>91130575</t>
  </si>
  <si>
    <t>2595 BUNKER HILL DRIVE</t>
  </si>
  <si>
    <t>70522065</t>
  </si>
  <si>
    <t>ROYAL PALACE</t>
  </si>
  <si>
    <t>6254 W. 111TH ST.</t>
  </si>
  <si>
    <t>81026908</t>
  </si>
  <si>
    <t>FFF GERMANIA PLACE</t>
  </si>
  <si>
    <t>108 W GERMANIA PLACE</t>
  </si>
  <si>
    <t>91144543</t>
  </si>
  <si>
    <t>HARMONY CATERING</t>
  </si>
  <si>
    <t>2928 PEACHGATE COURT</t>
  </si>
  <si>
    <t>80321698</t>
  </si>
  <si>
    <t>CARY PARK DISTRICT</t>
  </si>
  <si>
    <t>1180 SILVER LAKE RD.</t>
  </si>
  <si>
    <t>546564</t>
  </si>
  <si>
    <t>CHICAGOS PIZZA/ MONTROSE</t>
  </si>
  <si>
    <t>1919 WEST MONTROSE</t>
  </si>
  <si>
    <t>61293494</t>
  </si>
  <si>
    <t>HAMPTON INN AND SUITE BUR</t>
  </si>
  <si>
    <t>100 HARVESTER DR</t>
  </si>
  <si>
    <t>80403231</t>
  </si>
  <si>
    <t>700 COMMERCE DRIVE</t>
  </si>
  <si>
    <t>20159794</t>
  </si>
  <si>
    <t>THE LODGE (HYATT) *ZZ*</t>
  </si>
  <si>
    <t>2815 JORIE BLVD       A/L</t>
  </si>
  <si>
    <t>10318533</t>
  </si>
  <si>
    <t>CALIHAN SELECT CATERING</t>
  </si>
  <si>
    <t>833 HAINES ST.</t>
  </si>
  <si>
    <t>50733823</t>
  </si>
  <si>
    <t>MERRILLVILLE OTB **DIP**</t>
  </si>
  <si>
    <t>7610 BROADWAY</t>
  </si>
  <si>
    <t>50071901</t>
  </si>
  <si>
    <t>KRAFT EVANSTON       2099</t>
  </si>
  <si>
    <t>1801 MAPLE AVE</t>
  </si>
  <si>
    <t>60159795</t>
  </si>
  <si>
    <t>HYATT REGENCY OAKBRK *ZZ*</t>
  </si>
  <si>
    <t>80044464</t>
  </si>
  <si>
    <t>HYATT DEERFIELD *ZZ*</t>
  </si>
  <si>
    <t>21041876</t>
  </si>
  <si>
    <t>DREAM PALACE BANQUET HALL</t>
  </si>
  <si>
    <t>19825 STONEY ISLAND</t>
  </si>
  <si>
    <t>21126826</t>
  </si>
  <si>
    <t>BAYMONT INN &amp; SUITES</t>
  </si>
  <si>
    <t>308 S. LINCOLNWAY ST</t>
  </si>
  <si>
    <t>30315774</t>
  </si>
  <si>
    <t>HOLIDAYINN-O'HARE **ZZ**</t>
  </si>
  <si>
    <t>5440 N RIVER RD</t>
  </si>
  <si>
    <t>1089937</t>
  </si>
  <si>
    <t>LOEWS CHI NON FOOD EDI</t>
  </si>
  <si>
    <t>60921525</t>
  </si>
  <si>
    <t>SEASONS EVENTS CATERING</t>
  </si>
  <si>
    <t>7219 TAFT STREET</t>
  </si>
  <si>
    <t>31301500</t>
  </si>
  <si>
    <t>MAKRAY GOLF CLUB</t>
  </si>
  <si>
    <t>1010 EAST NORTHWEST HWY</t>
  </si>
  <si>
    <t>40606949</t>
  </si>
  <si>
    <t>HOLIDAY INN EXPRESS/MORIS</t>
  </si>
  <si>
    <t>222 GORE ROAD</t>
  </si>
  <si>
    <t>21182696</t>
  </si>
  <si>
    <t>NAPERBROOK GC</t>
  </si>
  <si>
    <t>22204 W 111TH ST</t>
  </si>
  <si>
    <t>30984124</t>
  </si>
  <si>
    <t>BOB O LINK</t>
  </si>
  <si>
    <t>1120 CROFTON RD.</t>
  </si>
  <si>
    <t>41318569</t>
  </si>
  <si>
    <t>FOODBUY LLC</t>
  </si>
  <si>
    <t>2400 YORKMONT ROAD</t>
  </si>
  <si>
    <t>NC</t>
  </si>
  <si>
    <t>28217</t>
  </si>
  <si>
    <t>20035622</t>
  </si>
  <si>
    <t>Z Z DORMANT  STEEL</t>
  </si>
  <si>
    <t>1 N. BUCHANAN</t>
  </si>
  <si>
    <t>30926240</t>
  </si>
  <si>
    <t>CHICAGO RESTAURANT PARTNE</t>
  </si>
  <si>
    <t>2301 S LAKE SHORE DR</t>
  </si>
  <si>
    <t>20413191</t>
  </si>
  <si>
    <t>SHERATON CHGO-NW PROP #96</t>
  </si>
  <si>
    <t>30267538</t>
  </si>
  <si>
    <t>HYATT MCCORMICK DAIRY*ZZ*</t>
  </si>
  <si>
    <t>81062036</t>
  </si>
  <si>
    <t>JEWELL/PARKWAY 9</t>
  </si>
  <si>
    <t>9 PARKWAY NORTH</t>
  </si>
  <si>
    <t>90977802</t>
  </si>
  <si>
    <t>KANKAKEE COUNTRY CLUB</t>
  </si>
  <si>
    <t>2011 COBB BLVD</t>
  </si>
  <si>
    <t>81129579</t>
  </si>
  <si>
    <t>HOLIDAY INN ALGONQUIN</t>
  </si>
  <si>
    <t>2595 BUNKER HILL DR</t>
  </si>
  <si>
    <t>60267010</t>
  </si>
  <si>
    <t>BATEMAN/LAKEFOREST PLACE</t>
  </si>
  <si>
    <t>1100 PEMBRIDGE DR     A/L</t>
  </si>
  <si>
    <t>60522737</t>
  </si>
  <si>
    <t>WHIRLYBALL/CHICAGO</t>
  </si>
  <si>
    <t>1880 W  FULLERTON AVE</t>
  </si>
  <si>
    <t>71333462</t>
  </si>
  <si>
    <t>THE HAWK COUNTRY CLUB</t>
  </si>
  <si>
    <t>5N748 BURR RD</t>
  </si>
  <si>
    <t>60551926</t>
  </si>
  <si>
    <t>4005 GABRIELLE DR.</t>
  </si>
  <si>
    <t>50532597</t>
  </si>
  <si>
    <t>HOLIDAY INN NORTH SHORE</t>
  </si>
  <si>
    <t>5300 TOUHY AVE</t>
  </si>
  <si>
    <t>30552160</t>
  </si>
  <si>
    <t>BIRKY'S MIDWEST CENTER</t>
  </si>
  <si>
    <t>50928449</t>
  </si>
  <si>
    <t>RADISSON HOTEL SCHAUMBURG</t>
  </si>
  <si>
    <t>1725 E. ALGONQUIN RD.</t>
  </si>
  <si>
    <t>90727173</t>
  </si>
  <si>
    <t>ODYSSEY FUN WORLD NAPERVL</t>
  </si>
  <si>
    <t>3440 ODYSSEY COURT</t>
  </si>
  <si>
    <t>91226233</t>
  </si>
  <si>
    <t>LA VIDA CATERING</t>
  </si>
  <si>
    <t>4429 W MONTROSE AVE</t>
  </si>
  <si>
    <t>21132667</t>
  </si>
  <si>
    <t>CHEVY CHASE COUNTRY CLUB</t>
  </si>
  <si>
    <t>1000 N MILWAUKEE AVE</t>
  </si>
  <si>
    <t>21259874</t>
  </si>
  <si>
    <t>NAVY PIER CATERING</t>
  </si>
  <si>
    <t>438564</t>
  </si>
  <si>
    <t>BEVERLY COUNTRY CLUB</t>
  </si>
  <si>
    <t>8700 SOUTH WESTERN</t>
  </si>
  <si>
    <t>40484065</t>
  </si>
  <si>
    <t>FAIRFIELD INN-NORMAL</t>
  </si>
  <si>
    <t>202 LANDMARK DR</t>
  </si>
  <si>
    <t>80652647</t>
  </si>
  <si>
    <t>DEERFIELD GOLF CLUB</t>
  </si>
  <si>
    <t>1201 SAUNDERS ROAD</t>
  </si>
  <si>
    <t>11026267</t>
  </si>
  <si>
    <t>AV WYNDHAM BLAKE BEVERAGE</t>
  </si>
  <si>
    <t>500 S. DEARBORN ST.</t>
  </si>
  <si>
    <t>11253051</t>
  </si>
  <si>
    <t>COMFORT INN &amp; SUITES - TI</t>
  </si>
  <si>
    <t>18400 SPRING CREEK DR</t>
  </si>
  <si>
    <t>80484751</t>
  </si>
  <si>
    <t>QUADRANGLE CLUB</t>
  </si>
  <si>
    <t>1155 E 57TH</t>
  </si>
  <si>
    <t>1337963</t>
  </si>
  <si>
    <t>SUMMIT EXECUTIVE CENTRE</t>
  </si>
  <si>
    <t>205 N MICHIGAN AVE</t>
  </si>
  <si>
    <t>534222</t>
  </si>
  <si>
    <t>BENNIGAN WARSAW BANQUETS</t>
  </si>
  <si>
    <t>2517 E. CENTER</t>
  </si>
  <si>
    <t>91261545</t>
  </si>
  <si>
    <t>300 W. BELMONT AVE</t>
  </si>
  <si>
    <t>942250</t>
  </si>
  <si>
    <t>LANDMARK THEATRES CENTURY</t>
  </si>
  <si>
    <t>2828 N. CLARK ST.</t>
  </si>
  <si>
    <t>11309507</t>
  </si>
  <si>
    <t>ENCORE GAMING</t>
  </si>
  <si>
    <t>4521 W 211TH</t>
  </si>
  <si>
    <t>30483077</t>
  </si>
  <si>
    <t>HIGHLAND PK COUNTRY C</t>
  </si>
  <si>
    <t>1201 PARK AVENUE</t>
  </si>
  <si>
    <t>30915144</t>
  </si>
  <si>
    <t>AV/HAMPTON INN CAROL STRM</t>
  </si>
  <si>
    <t>205 WEST NORTH AVE.</t>
  </si>
  <si>
    <t>81340234</t>
  </si>
  <si>
    <t>COUNTRY INN &amp; SUITES MATT</t>
  </si>
  <si>
    <t>950 LAKE SUPERIOR DR</t>
  </si>
  <si>
    <t>71157457</t>
  </si>
  <si>
    <t>CATERING SENSATION</t>
  </si>
  <si>
    <t>632 E IRVING PARK ROAD</t>
  </si>
  <si>
    <t>41218991</t>
  </si>
  <si>
    <t>CHIC CHEF CHICAGO</t>
  </si>
  <si>
    <t>51293108</t>
  </si>
  <si>
    <t>EPIC AIR</t>
  </si>
  <si>
    <t>1675 N LANCASTER RD</t>
  </si>
  <si>
    <t>10035061</t>
  </si>
  <si>
    <t>PREFERRED MEALS</t>
  </si>
  <si>
    <t>501 ELLA AVENUE</t>
  </si>
  <si>
    <t>40520082</t>
  </si>
  <si>
    <t>LET THEM EAT CAKE-MAC</t>
  </si>
  <si>
    <t>91133207</t>
  </si>
  <si>
    <t>SKOKIE PARK DISTRICT</t>
  </si>
  <si>
    <t>10399798</t>
  </si>
  <si>
    <t>LEVY/SPIAGGIA PRIVATE DIN</t>
  </si>
  <si>
    <t>10213866</t>
  </si>
  <si>
    <t>HYATT UNIVERSITY INN *ZZ*</t>
  </si>
  <si>
    <t>625 S ASHLAND AVE</t>
  </si>
  <si>
    <t>80552128</t>
  </si>
  <si>
    <t>HOMEWOOD HOTEL</t>
  </si>
  <si>
    <t>17400 S HALSTED ST</t>
  </si>
  <si>
    <t>80482102</t>
  </si>
  <si>
    <t>BIRCHWOOD CLUB,</t>
  </si>
  <si>
    <t>1174 W PARK AVE BOX 418</t>
  </si>
  <si>
    <t>20531893</t>
  </si>
  <si>
    <t>HIGHLANDS OF ELGIN</t>
  </si>
  <si>
    <t>875 SPORTS WAY</t>
  </si>
  <si>
    <t>40325409</t>
  </si>
  <si>
    <t>SAM'S RESTAURANT**COLL**</t>
  </si>
  <si>
    <t>104 W. SAUK TRAIL</t>
  </si>
  <si>
    <t>31061252</t>
  </si>
  <si>
    <t>733 W. MADISON</t>
  </si>
  <si>
    <t>71293492</t>
  </si>
  <si>
    <t>6353 MELTON RD</t>
  </si>
  <si>
    <t>81218307</t>
  </si>
  <si>
    <t>LA QUINTA INN</t>
  </si>
  <si>
    <t>5210 SOUTHWICK DR</t>
  </si>
  <si>
    <t>81249872</t>
  </si>
  <si>
    <t>MIDTOWN ATHLETIC</t>
  </si>
  <si>
    <t>3611 N KEDZIE AVE</t>
  </si>
  <si>
    <t>40267536</t>
  </si>
  <si>
    <t>HYATT MCCORMICK STEW *ZZ*</t>
  </si>
  <si>
    <t>90436213</t>
  </si>
  <si>
    <t>VICTORIA CATERING</t>
  </si>
  <si>
    <t>7600 W IRVING PARK RD</t>
  </si>
  <si>
    <t>943340</t>
  </si>
  <si>
    <t>TOP GOLF WOOD DALE</t>
  </si>
  <si>
    <t>60503950</t>
  </si>
  <si>
    <t>HIDDEN CREEK AQUA PARK</t>
  </si>
  <si>
    <t>1220 FREDRICKSON PLACE</t>
  </si>
  <si>
    <t>81020752</t>
  </si>
  <si>
    <t>SHOWPLACE ICON</t>
  </si>
  <si>
    <t>1011 S. DELANO CT. EAST</t>
  </si>
  <si>
    <t>61088902</t>
  </si>
  <si>
    <t>STORM DANCE ALLIANCE</t>
  </si>
  <si>
    <t>2062 MITCHELL DRIVE</t>
  </si>
  <si>
    <t>10700128</t>
  </si>
  <si>
    <t>COMFORT SUITES-SCHAUMBURG</t>
  </si>
  <si>
    <t>20519997</t>
  </si>
  <si>
    <t>81029324</t>
  </si>
  <si>
    <t>FOUR POINTS</t>
  </si>
  <si>
    <t>500 HAMILTON</t>
  </si>
  <si>
    <t>20399804</t>
  </si>
  <si>
    <t>LEVY/JAKE MELNICK'S CORNE</t>
  </si>
  <si>
    <t>41 E SUPERIOR</t>
  </si>
  <si>
    <t>11199254</t>
  </si>
  <si>
    <t>FOUNTAIN BLUE BANQUETS</t>
  </si>
  <si>
    <t>2300 MANNHEM RD</t>
  </si>
  <si>
    <t>60399813</t>
  </si>
  <si>
    <t>942 WEST HURON</t>
  </si>
  <si>
    <t>10154086</t>
  </si>
  <si>
    <t>EMMITT'S SANDWICH CATERNG</t>
  </si>
  <si>
    <t>932 E LINCOLN HWY</t>
  </si>
  <si>
    <t>FORD HEIGHTS</t>
  </si>
  <si>
    <t>70408943</t>
  </si>
  <si>
    <t>GILLSON BEACH</t>
  </si>
  <si>
    <t>LAKE AVE. &amp; MICHIGAN</t>
  </si>
  <si>
    <t>80593783</t>
  </si>
  <si>
    <t>MARCELLO'S</t>
  </si>
  <si>
    <t>1880 W. FULLERTON AVE.</t>
  </si>
  <si>
    <t>10484103</t>
  </si>
  <si>
    <t>AV FAIRMONT CHICAGO/NON</t>
  </si>
  <si>
    <t>200 N COLUMBUS DR</t>
  </si>
  <si>
    <t>51194256</t>
  </si>
  <si>
    <t>HIDDEN CREEK POOL</t>
  </si>
  <si>
    <t>1220 FREDRICKSON PL</t>
  </si>
  <si>
    <t>31089691</t>
  </si>
  <si>
    <t>71251052</t>
  </si>
  <si>
    <t>WILLOWBROOK CAFE/MIDTOWN</t>
  </si>
  <si>
    <t>215 63RD ST</t>
  </si>
  <si>
    <t>61340121</t>
  </si>
  <si>
    <t>GREEN MEADOWS GOLF CLUB</t>
  </si>
  <si>
    <t>18W201 W 63RD ST</t>
  </si>
  <si>
    <t>31001332</t>
  </si>
  <si>
    <t>AL &amp; PEG'S GOURMET FOODS</t>
  </si>
  <si>
    <t>71040786</t>
  </si>
  <si>
    <t>HYATT PLACE CHI SOUTH</t>
  </si>
  <si>
    <t>5225 S HARPER AVENUE</t>
  </si>
  <si>
    <t>81149965</t>
  </si>
  <si>
    <t>HYATT LISLE</t>
  </si>
  <si>
    <t>1400 CORPORATION DR.</t>
  </si>
  <si>
    <t>554634</t>
  </si>
  <si>
    <t>GOURMET TO GO/ CHICAGO</t>
  </si>
  <si>
    <t>81166704</t>
  </si>
  <si>
    <t>RAMADA HAMMOND HOTEL &amp; CO</t>
  </si>
  <si>
    <t>4141 CALUMET AVE</t>
  </si>
  <si>
    <t>10522084</t>
  </si>
  <si>
    <t>16920 S HALSTED</t>
  </si>
  <si>
    <t>390963</t>
  </si>
  <si>
    <t>BUSSEAN CATERING</t>
  </si>
  <si>
    <t>41098302</t>
  </si>
  <si>
    <t>BBQ'D PRODUCTIONS GRILL</t>
  </si>
  <si>
    <t>34121 RT 45</t>
  </si>
  <si>
    <t>90935107</t>
  </si>
  <si>
    <t>SLEEP INN / LAKE BLUFF</t>
  </si>
  <si>
    <t>3250 BITTERSWEET AVE.</t>
  </si>
  <si>
    <t>71248405</t>
  </si>
  <si>
    <t>FOURTH LAKE RESORT</t>
  </si>
  <si>
    <t>36670 N CORONA DR</t>
  </si>
  <si>
    <t>51018505</t>
  </si>
  <si>
    <t>RAMADA INN CHICAGO OHARE</t>
  </si>
  <si>
    <t>1600 OAKTON STREET</t>
  </si>
  <si>
    <t>90514910</t>
  </si>
  <si>
    <t>400 E. ORCHARD ST</t>
  </si>
  <si>
    <t>81049710</t>
  </si>
  <si>
    <t>WESTIN NORTHSHORE</t>
  </si>
  <si>
    <t>601 N. MILWAUKEE AVE</t>
  </si>
  <si>
    <t>30482475</t>
  </si>
  <si>
    <t>STONEGATE CONFERENCE</t>
  </si>
  <si>
    <t>2401 W HIGGINS RD</t>
  </si>
  <si>
    <t>20267530</t>
  </si>
  <si>
    <t>HYATT MCCORMICK CMCLS*ZZ*</t>
  </si>
  <si>
    <t>70071493</t>
  </si>
  <si>
    <t>WESTIN H.Q.EAST</t>
  </si>
  <si>
    <t>20001 6TH AVE</t>
  </si>
  <si>
    <t>WA</t>
  </si>
  <si>
    <t>98121</t>
  </si>
  <si>
    <t>20471595</t>
  </si>
  <si>
    <t>FLICK PARK POOL</t>
  </si>
  <si>
    <t>3600 GLENVIEW ROAD</t>
  </si>
  <si>
    <t>70614649</t>
  </si>
  <si>
    <t>QUALITY INN/MORRIS</t>
  </si>
  <si>
    <t>200 GORE ROAD</t>
  </si>
  <si>
    <t>61023503</t>
  </si>
  <si>
    <t>WINDY CITY THUNDERBOLTS</t>
  </si>
  <si>
    <t>14011 S KENTON AVE</t>
  </si>
  <si>
    <t>1089960</t>
  </si>
  <si>
    <t>BIG SURF CONCESSIONS</t>
  </si>
  <si>
    <t>411 S MAPLE ST</t>
  </si>
  <si>
    <t>81076838</t>
  </si>
  <si>
    <t>RED ROOF INN /WILLOWBROOK</t>
  </si>
  <si>
    <t>7535 KINGERY HWY/RT 83</t>
  </si>
  <si>
    <t>31247273</t>
  </si>
  <si>
    <t>RIVERSIDE PRIVATE GOLF CL</t>
  </si>
  <si>
    <t>2520 DESPLAINES AVE</t>
  </si>
  <si>
    <t>80237993</t>
  </si>
  <si>
    <t>BRIAR RIDGE COUNTRY CLUB</t>
  </si>
  <si>
    <t>123 COUNTRY CLUB DR</t>
  </si>
  <si>
    <t>51064731</t>
  </si>
  <si>
    <t>RIVERS CANOPY FOH</t>
  </si>
  <si>
    <t>71178693</t>
  </si>
  <si>
    <t>1038 WAVELAND ROOFTOP</t>
  </si>
  <si>
    <t>1038 W WAVELAND AVE</t>
  </si>
  <si>
    <t>10502540</t>
  </si>
  <si>
    <t>PRAIRIE LANDING GOLF COUR</t>
  </si>
  <si>
    <t>2325 LONGEST DRIVE</t>
  </si>
  <si>
    <t>40259442</t>
  </si>
  <si>
    <t>BATEMAN/MOOSEHEART/#76638</t>
  </si>
  <si>
    <t>RTE  31</t>
  </si>
  <si>
    <t>60483807</t>
  </si>
  <si>
    <t>BANEK'S RESTAURANT</t>
  </si>
  <si>
    <t>2121 W INDIAN TRAIL</t>
  </si>
  <si>
    <t>21212808</t>
  </si>
  <si>
    <t>HILTON GARDEN INN</t>
  </si>
  <si>
    <t>66 E. WACKER DRIVE</t>
  </si>
  <si>
    <t>40552531</t>
  </si>
  <si>
    <t>ANCILLA DOMINI CONVENT</t>
  </si>
  <si>
    <t>9601 UNION ROAD</t>
  </si>
  <si>
    <t>DONALDSON</t>
  </si>
  <si>
    <t>46513</t>
  </si>
  <si>
    <t>30790570</t>
  </si>
  <si>
    <t>BLUE CHIP CRABLEGS</t>
  </si>
  <si>
    <t>41334533</t>
  </si>
  <si>
    <t>HAMPTON INN LOYOLA</t>
  </si>
  <si>
    <t>1209 W ALBION AVE</t>
  </si>
  <si>
    <t>20216784</t>
  </si>
  <si>
    <t>0072 WEST CHICAGO</t>
  </si>
  <si>
    <t>172 W ADAMS ST</t>
  </si>
  <si>
    <t>80430382</t>
  </si>
  <si>
    <t>CUOMO CATERING</t>
  </si>
  <si>
    <t>23 E. NORTH AVE.</t>
  </si>
  <si>
    <t>70483979</t>
  </si>
  <si>
    <t>WHITE EAGLE</t>
  </si>
  <si>
    <t>10483311</t>
  </si>
  <si>
    <t>BAUERS PARTY MASTERS</t>
  </si>
  <si>
    <t>1414 N MILWAUKEE AVE.</t>
  </si>
  <si>
    <t>301739</t>
  </si>
  <si>
    <t>HOLIDAY INN-O'HARE **ZZ**</t>
  </si>
  <si>
    <t>5440 NORTH RIVER ROAD</t>
  </si>
  <si>
    <t>10483287</t>
  </si>
  <si>
    <t>MERIT CLUB</t>
  </si>
  <si>
    <t>1500 MERIT CLUB LANE</t>
  </si>
  <si>
    <t>91251058</t>
  </si>
  <si>
    <t>BANNOCKBURN CAFE/MIDTOWN</t>
  </si>
  <si>
    <t>2211 WAUKEGAN RD</t>
  </si>
  <si>
    <t>20937025</t>
  </si>
  <si>
    <t>BEST WESTERN DES PLAINES</t>
  </si>
  <si>
    <t>1231 LEE ST</t>
  </si>
  <si>
    <t>21343579</t>
  </si>
  <si>
    <t>CORPORATE CATERERS</t>
  </si>
  <si>
    <t>524 W STATE ST STE N</t>
  </si>
  <si>
    <t>61064739</t>
  </si>
  <si>
    <t>RIVERS COFFEE SPOT CULNRY</t>
  </si>
  <si>
    <t>41220732</t>
  </si>
  <si>
    <t>HOTEL BAKER</t>
  </si>
  <si>
    <t>31316839</t>
  </si>
  <si>
    <t>601 PRESTWICK DR</t>
  </si>
  <si>
    <t>20954582</t>
  </si>
  <si>
    <t>MILAN BANQUETS</t>
  </si>
  <si>
    <t>651 LAKEHURST ROAD</t>
  </si>
  <si>
    <t>50952076</t>
  </si>
  <si>
    <t>GUARANTEED RATE</t>
  </si>
  <si>
    <t>3940 N RAVENSWOOD</t>
  </si>
  <si>
    <t>21169735</t>
  </si>
  <si>
    <t>DAYS INN SCHAUMBURG</t>
  </si>
  <si>
    <t>1230 E HIGGINS RD</t>
  </si>
  <si>
    <t>11243953</t>
  </si>
  <si>
    <t>BABY DUMPLINS</t>
  </si>
  <si>
    <t>61109153</t>
  </si>
  <si>
    <t>6220 BROADWAY STREET</t>
  </si>
  <si>
    <t>41326737</t>
  </si>
  <si>
    <t>KEHOE DESIGNS</t>
  </si>
  <si>
    <t>2555 S LEAVITT ST</t>
  </si>
  <si>
    <t>71213839</t>
  </si>
  <si>
    <t>GARY SOUTH SHORE RAIL CAT</t>
  </si>
  <si>
    <t>11051315</t>
  </si>
  <si>
    <t>80189715</t>
  </si>
  <si>
    <t>PINK PEPPERCORN THE</t>
  </si>
  <si>
    <t>4700 N UNIV.DR/METRO CTR</t>
  </si>
  <si>
    <t>992016</t>
  </si>
  <si>
    <t>THE CARLISLE</t>
  </si>
  <si>
    <t>435 EAST BUTTERFIELD ROAD</t>
  </si>
  <si>
    <t>40482812</t>
  </si>
  <si>
    <t>ARBORETUM GOLF COURSE</t>
  </si>
  <si>
    <t>401 HALF DAY RD</t>
  </si>
  <si>
    <t>30443709</t>
  </si>
  <si>
    <t>PHI SIGMA SIGMA/NORMAL</t>
  </si>
  <si>
    <t>909 FRANKLIN AVE.</t>
  </si>
  <si>
    <t>71056246</t>
  </si>
  <si>
    <t>EMBASSY STE CHI LKFRNT</t>
  </si>
  <si>
    <t>511 NORTH COLUMBUS DR</t>
  </si>
  <si>
    <t>11144581</t>
  </si>
  <si>
    <t>HILTON GARDEN CHESTERTON</t>
  </si>
  <si>
    <t>501 GATEWAY BOULEVARD</t>
  </si>
  <si>
    <t>91011676</t>
  </si>
  <si>
    <t>FIREFLY ENENTS &amp; CATERING</t>
  </si>
  <si>
    <t>111 GREEN BAY RD</t>
  </si>
  <si>
    <t>1341460</t>
  </si>
  <si>
    <t>MARRIOT OAK BROOK</t>
  </si>
  <si>
    <t>1401 W 22ND ST</t>
  </si>
  <si>
    <t>51322162</t>
  </si>
  <si>
    <t>WHIRLYBALL VERNON HILLS</t>
  </si>
  <si>
    <t>285 CENTER DR</t>
  </si>
  <si>
    <t>50483387</t>
  </si>
  <si>
    <t>NAPERVILLE CC</t>
  </si>
  <si>
    <t>25W570 EAST CHICAGO AVE</t>
  </si>
  <si>
    <t>80171945</t>
  </si>
  <si>
    <t>HYATT O'HARE FROZEN *ZZ*</t>
  </si>
  <si>
    <t>9300 W BRYN MAWR AVE</t>
  </si>
  <si>
    <t>41116443</t>
  </si>
  <si>
    <t>VILLA CESARE</t>
  </si>
  <si>
    <t>900 EAGLE RIDGE DR</t>
  </si>
  <si>
    <t>81178865</t>
  </si>
  <si>
    <t>1010 WAVELAND ROOFTOP</t>
  </si>
  <si>
    <t>1010 W WAVELAND AVE</t>
  </si>
  <si>
    <t>10526945</t>
  </si>
  <si>
    <t>SIMPLY DELICIOUS GOURMET</t>
  </si>
  <si>
    <t>373 W. NORTHWEST HWY</t>
  </si>
  <si>
    <t>80435035</t>
  </si>
  <si>
    <t>CULINARY ENTERPRISES</t>
  </si>
  <si>
    <t>716 5TH AVE</t>
  </si>
  <si>
    <t>41146960</t>
  </si>
  <si>
    <t>LUNCH AT HAND</t>
  </si>
  <si>
    <t>19450 97TH AVE</t>
  </si>
  <si>
    <t>30653158</t>
  </si>
  <si>
    <t>LYRIC OPERA OF CHICAGO</t>
  </si>
  <si>
    <t>20 N WACKER DRIVE</t>
  </si>
  <si>
    <t>50607811</t>
  </si>
  <si>
    <t>HOLIDAY INN OTTAWA</t>
  </si>
  <si>
    <t>120 W STEVENSON RD</t>
  </si>
  <si>
    <t>OTTAWA</t>
  </si>
  <si>
    <t>71278741</t>
  </si>
  <si>
    <t>41292442</t>
  </si>
  <si>
    <t>DIMITRI'S CATERING</t>
  </si>
  <si>
    <t>8550 TAFT ST</t>
  </si>
  <si>
    <t>21319074</t>
  </si>
  <si>
    <t>21162607</t>
  </si>
  <si>
    <t>HILTON CHICAGO</t>
  </si>
  <si>
    <t>720 S MICHIGAN AVE</t>
  </si>
  <si>
    <t>30521744</t>
  </si>
  <si>
    <t>RAFFAELLO HOTEL</t>
  </si>
  <si>
    <t>201 E. DELAWARE PLACE</t>
  </si>
  <si>
    <t>10491199</t>
  </si>
  <si>
    <t>MARRIOTT SCHAUMBURG</t>
  </si>
  <si>
    <t>50 NORTH MARTINGALE DR.</t>
  </si>
  <si>
    <t>80445307</t>
  </si>
  <si>
    <t>MAKRAY MEMORIAL GOLF CLUB</t>
  </si>
  <si>
    <t>1010 EAST NORTHWEST HWY.</t>
  </si>
  <si>
    <t>61212197</t>
  </si>
  <si>
    <t>MY CHEF CATERING/ NAPERVI</t>
  </si>
  <si>
    <t>2772 GOLFVIEW RD</t>
  </si>
  <si>
    <t>90748542</t>
  </si>
  <si>
    <t>WYNDHAM GLENVIEW</t>
  </si>
  <si>
    <t>81339681</t>
  </si>
  <si>
    <t>MAPLE MEADOWS GOLF CLUB</t>
  </si>
  <si>
    <t>272 ADDISON RD</t>
  </si>
  <si>
    <t>30399828</t>
  </si>
  <si>
    <t>LEVY/ARLINGTON INTL RACE</t>
  </si>
  <si>
    <t>60495306</t>
  </si>
  <si>
    <t>WHITEHALL HOTEL</t>
  </si>
  <si>
    <t>105 E. DELAWARE</t>
  </si>
  <si>
    <t>30954333</t>
  </si>
  <si>
    <t>THE LOGAN THEATRE</t>
  </si>
  <si>
    <t>2646 N MILWAUKEE AVE</t>
  </si>
  <si>
    <t>50669852</t>
  </si>
  <si>
    <t>GAMEWORKS</t>
  </si>
  <si>
    <t>1601 N MARTINGALE RD</t>
  </si>
  <si>
    <t>21261425</t>
  </si>
  <si>
    <t>COMFORT INN &amp; SUITES</t>
  </si>
  <si>
    <t>308 S. LINCOLN HIGHWAY</t>
  </si>
  <si>
    <t>11140134</t>
  </si>
  <si>
    <t>BOWLMOR AMF  BRUNS</t>
  </si>
  <si>
    <t>7313 BELL CREEK ROAD</t>
  </si>
  <si>
    <t>MECHANICSVILLE</t>
  </si>
  <si>
    <t>VA</t>
  </si>
  <si>
    <t>23111</t>
  </si>
  <si>
    <t>HOS_Existing Customers</t>
  </si>
  <si>
    <t>HOS_Modellable Customers</t>
  </si>
  <si>
    <t>HOS_Customer Info</t>
  </si>
  <si>
    <t>HExisting Customer Variable 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</si>
</sst>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4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/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9" borderId="1" xfId="0" applyFill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0" fillId="12" borderId="1" xfId="0" applyFill="1" applyBorder="1"/>
    <xf numFmtId="0" fontId="3" fillId="11" borderId="1" xfId="0" applyFont="1" applyFill="1" applyBorder="1"/>
    <xf numFmtId="0" fontId="0" fillId="0" borderId="5" xfId="0" applyBorder="1"/>
    <xf numFmtId="0" fontId="0" fillId="9" borderId="5" xfId="0" applyFill="1" applyBorder="1"/>
    <xf numFmtId="0" fontId="3" fillId="11" borderId="5" xfId="0" applyFont="1" applyFill="1" applyBorder="1"/>
    <xf numFmtId="0" fontId="0" fillId="9" borderId="0" xfId="0" applyFill="1"/>
    <xf numFmtId="0" fontId="1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180974</xdr:rowOff>
    </xdr:from>
    <xdr:to>
      <xdr:col>5</xdr:col>
      <xdr:colOff>590550</xdr:colOff>
      <xdr:row>5</xdr:row>
      <xdr:rowOff>152399</xdr:rowOff>
    </xdr:to>
    <xdr:sp macro="[0]!Master_Start_Here" textlink="">
      <xdr:nvSpPr>
        <xdr:cNvPr id="2" name="Rectangle 1">
          <a:extLst>
            <a:ext uri="{FF2B5EF4-FFF2-40B4-BE49-F238E27FC236}">
              <a16:creationId xmlns:a16="http://schemas.microsoft.com/office/drawing/2014/main" id="{ADE07444-1477-4333-B3CC-51311BF72CBF}"/>
            </a:ext>
          </a:extLst>
        </xdr:cNvPr>
        <xdr:cNvSpPr/>
      </xdr:nvSpPr>
      <xdr:spPr>
        <a:xfrm>
          <a:off x="1219200" y="180974"/>
          <a:ext cx="2419350" cy="9239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Create</a:t>
          </a:r>
          <a:r>
            <a:rPr lang="en-US" sz="2400" baseline="0"/>
            <a:t> Market ALC Files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5</xdr:col>
      <xdr:colOff>590550</xdr:colOff>
      <xdr:row>12</xdr:row>
      <xdr:rowOff>161925</xdr:rowOff>
    </xdr:to>
    <xdr:sp macro="[0]!PushToSharePoint.PushToSharePoint" textlink="">
      <xdr:nvSpPr>
        <xdr:cNvPr id="4" name="Rectangle 3">
          <a:extLst>
            <a:ext uri="{FF2B5EF4-FFF2-40B4-BE49-F238E27FC236}">
              <a16:creationId xmlns:a16="http://schemas.microsoft.com/office/drawing/2014/main" id="{15FFCA5B-AECC-45AE-9674-D22B7E4D8C5E}"/>
            </a:ext>
          </a:extLst>
        </xdr:cNvPr>
        <xdr:cNvSpPr/>
      </xdr:nvSpPr>
      <xdr:spPr>
        <a:xfrm>
          <a:off x="1219200" y="1524000"/>
          <a:ext cx="2419350" cy="9239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aseline="0"/>
            <a:t>Push To SharePoint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C69DD0-1200-43F2-88D7-01E43D81A989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M"/>
      <queryTableField id="2" name="CUST_NBR"/>
      <queryTableField id="3" name="SUM(C.&quot;VARIABLE DELIVERY COST&quot;)"/>
      <queryTableField id="4" name="SUM(C.&quot;VARIABLE SELLING COST&quot;)"/>
      <queryTableField id="5" name="SUM(C.&quot;VARIABLE WAREHOUSE COST&quot;)"/>
      <queryTableField id="6" name="SUM(C.DROPS)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F6C640E-B856-4F27-BCF2-DCC9B9799A8A}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UST_NBR"/>
      <queryTableField id="2" name="CUST_NM"/>
    </queryTableFields>
    <sortState xmlns:xlrd2="http://schemas.microsoft.com/office/spreadsheetml/2017/richdata2" ref="A2:B138">
      <sortCondition ref="B1"/>
    </sortState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5E736D-7113-4114-9B8B-998D8C597E2D}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UST_NBR"/>
      <queryTableField id="2" name="CUST_NM"/>
    </queryTableFields>
    <sortState xmlns:xlrd2="http://schemas.microsoft.com/office/spreadsheetml/2017/richdata2" ref="A2:B917">
      <sortCondition ref="B1"/>
    </sortState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1E95696-3C89-4EE4-A558-6B532533CF22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BR"/>
      <queryTableField id="2" name="CUST_NM"/>
      <queryTableField id="3" name="ADDR_LN_1"/>
      <queryTableField id="4" name="CITY"/>
      <queryTableField id="5" name="ST"/>
      <queryTableField id="6" name="ZIP_CODE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661FB38-D50B-4E2F-9D88-862F4EFB2872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BR"/>
      <queryTableField id="2" name="CUST_NM"/>
      <queryTableField id="3" name="ADDR_LN_1"/>
      <queryTableField id="4" name="CITY"/>
      <queryTableField id="5" name="ST"/>
      <queryTableField id="6" name="ZIP_CODE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1CC640F-293E-4980-BDFC-B8A02D12BEAB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M"/>
      <queryTableField id="2" name="CUST_NBR"/>
      <queryTableField id="3" name="SUM(C.&quot;VARIABLE DELIVERY COST&quot;)"/>
      <queryTableField id="4" name="SUM(C.&quot;VARIABLE SELLING COST&quot;)"/>
      <queryTableField id="5" name="SUM(C.&quot;VARIABLE WAREHOUSE COST&quot;)"/>
      <queryTableField id="6" name="SUM(C.DROPS)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4F0AAD-A440-44DC-B000-4E4B2FAA64E8}" autoFormatId="0" applyNumberFormats="0" applyBorderFormats="0" applyFontFormats="1" applyPatternFormats="1" applyAlignmentFormats="0" applyWidthHeightFormats="0">
  <queryTableRefresh preserveSortFilterLayout="0" nextId="29">
    <queryTableFields count="28">
      <queryTableField id="1" name="CUST_NBR"/>
      <queryTableField id="2" name="CUST_NM"/>
      <queryTableField id="3" name="PARENT_MULTI_UNIT"/>
      <queryTableField id="4" name="PYRAMID_SEGMENT_DESC"/>
      <queryTableField id="5" name="ACCOUNTABLITY"/>
      <queryTableField id="6" name="MENU_GROUPING"/>
      <queryTableField id="7" name="SIMPLIFIED_MENU_TYPE"/>
      <queryTableField id="8" name="PIM_CLASS_DESC"/>
      <queryTableField id="9" name="ZIP_CODE"/>
      <queryTableField id="10" name="Z5_ZIP"/>
      <queryTableField id="11" name="REGION_NAME"/>
      <queryTableField id="12" name="DIVISION_NAME"/>
      <queryTableField id="13" name="ZONE_NAME"/>
      <queryTableField id="14" name="QUANTITY_SHIPPED_SUM"/>
      <queryTableField id="15" name="EB_CASES"/>
      <queryTableField id="16" name="NET_WEIGHT_SHIPPED_SUM"/>
      <queryTableField id="17" name="GROSS_SALES_EXTENDED_SUM"/>
      <queryTableField id="18" name="GROSS_TGP_SUM"/>
      <queryTableField id="19" name="TOTAL_ALLOWANCE_SUM"/>
      <queryTableField id="20" name="TOTAL_VENDOR_FUNDED_DEVIATIONS"/>
      <queryTableField id="21" name="TOTAL_INTERNAL_FUNDED_DEVIATIONS"/>
      <queryTableField id="22" name="TAGP"/>
      <queryTableField id="23" name="CITY"/>
      <queryTableField id="24" name="STATE"/>
      <queryTableField id="25" name="ADDRESS_1"/>
      <queryTableField id="26" name="ADDRESS_2"/>
      <queryTableField id="27" name="PHONE_NUMBER"/>
      <queryTableField id="28" name="BRNCH_CD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4624-0296-4BC8-94E2-4F35169A9342}">
  <sheetPr codeName="Sheet8"/>
  <dimension ref="A1:F137"/>
  <sheetViews>
    <sheetView workbookViewId="0">
      <selection activeCell="H11" sqref="H11"/>
    </sheetView>
  </sheetViews>
  <sheetFormatPr defaultRowHeight="15" x14ac:dyDescent="0.25"/>
  <cols>
    <col min="1" max="1" width="31.42578125" bestFit="1" customWidth="1"/>
    <col min="2" max="2" width="10.28515625" bestFit="1" customWidth="1"/>
    <col min="3" max="3" width="33.42578125" bestFit="1" customWidth="1"/>
    <col min="4" max="4" width="32.28515625" bestFit="1" customWidth="1"/>
    <col min="5" max="5" width="36.85546875" bestFit="1" customWidth="1"/>
    <col min="6" max="6" width="14.5703125" bestFit="1" customWidth="1"/>
  </cols>
  <sheetData>
    <row r="1" spans="1:6" x14ac:dyDescent="0.25">
      <c r="A1" s="21" t="s">
        <v>206</v>
      </c>
      <c r="B1" s="21" t="s">
        <v>205</v>
      </c>
      <c r="C1" s="21" t="s">
        <v>4374</v>
      </c>
      <c r="D1" s="21" t="s">
        <v>4375</v>
      </c>
      <c r="E1" s="21" t="s">
        <v>4376</v>
      </c>
      <c r="F1" s="21" t="s">
        <v>4377</v>
      </c>
    </row>
    <row r="2" spans="1:6" x14ac:dyDescent="0.25">
      <c r="A2" t="s">
        <v>3824</v>
      </c>
      <c r="B2" t="s">
        <v>3823</v>
      </c>
      <c r="C2">
        <v>6135.7703836729997</v>
      </c>
      <c r="D2">
        <v>5772.2373493960004</v>
      </c>
      <c r="E2">
        <v>2255.4566214000001</v>
      </c>
      <c r="F2">
        <v>64</v>
      </c>
    </row>
    <row r="3" spans="1:6" x14ac:dyDescent="0.25">
      <c r="A3" t="s">
        <v>4327</v>
      </c>
      <c r="B3" t="s">
        <v>4326</v>
      </c>
      <c r="C3">
        <v>4650.9416396480001</v>
      </c>
      <c r="D3">
        <v>5235.6355434569996</v>
      </c>
      <c r="E3">
        <v>2461.6615553920001</v>
      </c>
      <c r="F3">
        <v>58</v>
      </c>
    </row>
    <row r="4" spans="1:6" x14ac:dyDescent="0.25">
      <c r="A4" t="s">
        <v>4075</v>
      </c>
      <c r="B4" t="s">
        <v>4074</v>
      </c>
      <c r="C4">
        <v>4947.5842480769998</v>
      </c>
      <c r="D4">
        <v>4312.6394252370001</v>
      </c>
      <c r="E4">
        <v>1816.378527887</v>
      </c>
      <c r="F4">
        <v>49</v>
      </c>
    </row>
    <row r="5" spans="1:6" x14ac:dyDescent="0.25">
      <c r="A5" t="s">
        <v>4276</v>
      </c>
      <c r="B5" t="s">
        <v>4275</v>
      </c>
      <c r="C5">
        <v>3823.4084535040001</v>
      </c>
      <c r="D5">
        <v>4001.698599501</v>
      </c>
      <c r="E5">
        <v>1690.7706647319999</v>
      </c>
      <c r="F5">
        <v>54</v>
      </c>
    </row>
    <row r="6" spans="1:6" x14ac:dyDescent="0.25">
      <c r="A6" t="s">
        <v>4224</v>
      </c>
      <c r="B6" t="s">
        <v>4223</v>
      </c>
      <c r="C6">
        <v>3222.6721050040001</v>
      </c>
      <c r="D6">
        <v>3470.0048675500002</v>
      </c>
      <c r="E6">
        <v>1475.0617324150001</v>
      </c>
      <c r="F6">
        <v>49</v>
      </c>
    </row>
    <row r="7" spans="1:6" x14ac:dyDescent="0.25">
      <c r="A7" t="s">
        <v>3970</v>
      </c>
      <c r="B7" t="s">
        <v>3969</v>
      </c>
      <c r="C7">
        <v>6558.9446463140002</v>
      </c>
      <c r="D7">
        <v>7506.678174359</v>
      </c>
      <c r="E7">
        <v>2997.4771891800001</v>
      </c>
      <c r="F7">
        <v>58</v>
      </c>
    </row>
    <row r="8" spans="1:6" x14ac:dyDescent="0.25">
      <c r="A8" t="s">
        <v>4065</v>
      </c>
      <c r="B8" t="s">
        <v>4064</v>
      </c>
      <c r="C8">
        <v>2510.1327094990002</v>
      </c>
      <c r="D8">
        <v>2477.2307468039999</v>
      </c>
      <c r="E8">
        <v>1183.648768237</v>
      </c>
      <c r="F8">
        <v>25</v>
      </c>
    </row>
    <row r="9" spans="1:6" x14ac:dyDescent="0.25">
      <c r="A9" t="s">
        <v>3893</v>
      </c>
      <c r="B9" t="s">
        <v>3892</v>
      </c>
      <c r="C9">
        <v>3479.6936027870001</v>
      </c>
      <c r="D9">
        <v>3895.9009736339999</v>
      </c>
      <c r="E9">
        <v>1592.359683481</v>
      </c>
      <c r="F9">
        <v>10.666666666999999</v>
      </c>
    </row>
    <row r="10" spans="1:6" x14ac:dyDescent="0.25">
      <c r="A10" t="s">
        <v>4093</v>
      </c>
      <c r="B10" t="s">
        <v>4092</v>
      </c>
      <c r="C10">
        <v>5227.7237253740004</v>
      </c>
      <c r="D10">
        <v>5953.2734147000001</v>
      </c>
      <c r="E10">
        <v>2508.1659430019999</v>
      </c>
      <c r="F10">
        <v>56</v>
      </c>
    </row>
    <row r="11" spans="1:6" x14ac:dyDescent="0.25">
      <c r="A11" t="s">
        <v>3843</v>
      </c>
      <c r="B11" t="s">
        <v>3842</v>
      </c>
      <c r="C11">
        <v>11545.922752979999</v>
      </c>
      <c r="D11">
        <v>10488.800827075</v>
      </c>
      <c r="E11">
        <v>4600.7779309460002</v>
      </c>
      <c r="F11">
        <v>100</v>
      </c>
    </row>
    <row r="12" spans="1:6" x14ac:dyDescent="0.25">
      <c r="A12" t="s">
        <v>4120</v>
      </c>
      <c r="B12" t="s">
        <v>4119</v>
      </c>
      <c r="C12">
        <v>7275.1850364029997</v>
      </c>
      <c r="D12">
        <v>6431.000419043</v>
      </c>
      <c r="E12">
        <v>3213.650475595</v>
      </c>
      <c r="F12">
        <v>70</v>
      </c>
    </row>
    <row r="13" spans="1:6" x14ac:dyDescent="0.25">
      <c r="A13" t="s">
        <v>4016</v>
      </c>
      <c r="B13" t="s">
        <v>4015</v>
      </c>
      <c r="C13">
        <v>3324.1281548679999</v>
      </c>
      <c r="D13">
        <v>2915.1593392619998</v>
      </c>
      <c r="E13">
        <v>1438.2060404470001</v>
      </c>
      <c r="F13">
        <v>51</v>
      </c>
    </row>
    <row r="14" spans="1:6" x14ac:dyDescent="0.25">
      <c r="A14" t="s">
        <v>4362</v>
      </c>
      <c r="B14" t="s">
        <v>4361</v>
      </c>
      <c r="C14">
        <v>3427.0493211930002</v>
      </c>
      <c r="D14">
        <v>3205.965390934</v>
      </c>
      <c r="E14">
        <v>1262.8718310039999</v>
      </c>
      <c r="F14">
        <v>45</v>
      </c>
    </row>
    <row r="15" spans="1:6" x14ac:dyDescent="0.25">
      <c r="A15" t="s">
        <v>4233</v>
      </c>
      <c r="B15" t="s">
        <v>4232</v>
      </c>
      <c r="C15">
        <v>4582.3400254529997</v>
      </c>
      <c r="D15">
        <v>4477.9803197789997</v>
      </c>
      <c r="E15">
        <v>1787.970894325</v>
      </c>
      <c r="F15">
        <v>55</v>
      </c>
    </row>
    <row r="16" spans="1:6" x14ac:dyDescent="0.25">
      <c r="A16" t="s">
        <v>4087</v>
      </c>
      <c r="B16" t="s">
        <v>4086</v>
      </c>
      <c r="C16">
        <v>5670.7345475359998</v>
      </c>
      <c r="D16">
        <v>4488.6889186159997</v>
      </c>
      <c r="E16">
        <v>1935.8399071040001</v>
      </c>
      <c r="F16">
        <v>54</v>
      </c>
    </row>
    <row r="17" spans="1:6" x14ac:dyDescent="0.25">
      <c r="A17" t="s">
        <v>4354</v>
      </c>
      <c r="B17" t="s">
        <v>4353</v>
      </c>
      <c r="C17">
        <v>9588.5659497929992</v>
      </c>
      <c r="D17">
        <v>11291.09597083</v>
      </c>
      <c r="E17">
        <v>4729.0713131319999</v>
      </c>
      <c r="F17">
        <v>103</v>
      </c>
    </row>
    <row r="18" spans="1:6" x14ac:dyDescent="0.25">
      <c r="A18" t="s">
        <v>4334</v>
      </c>
      <c r="B18" t="s">
        <v>4333</v>
      </c>
      <c r="C18">
        <v>18348.475226768001</v>
      </c>
      <c r="D18">
        <v>19699.098491414999</v>
      </c>
      <c r="E18">
        <v>8789.1881830660004</v>
      </c>
      <c r="F18">
        <v>107.5</v>
      </c>
    </row>
    <row r="19" spans="1:6" x14ac:dyDescent="0.25">
      <c r="A19" t="s">
        <v>3889</v>
      </c>
      <c r="B19" t="s">
        <v>3888</v>
      </c>
      <c r="C19">
        <v>2858.4485436559999</v>
      </c>
      <c r="D19">
        <v>3415.9095447449999</v>
      </c>
      <c r="E19">
        <v>1294.9844970619999</v>
      </c>
      <c r="F19">
        <v>43</v>
      </c>
    </row>
    <row r="20" spans="1:6" x14ac:dyDescent="0.25">
      <c r="A20" t="s">
        <v>4313</v>
      </c>
      <c r="B20" t="s">
        <v>4312</v>
      </c>
      <c r="C20">
        <v>2492.4878713399999</v>
      </c>
      <c r="D20">
        <v>2346.3294516870001</v>
      </c>
      <c r="E20">
        <v>1282.2179618089999</v>
      </c>
      <c r="F20">
        <v>49</v>
      </c>
    </row>
    <row r="21" spans="1:6" x14ac:dyDescent="0.25">
      <c r="A21" t="s">
        <v>3934</v>
      </c>
      <c r="B21" t="s">
        <v>3933</v>
      </c>
      <c r="C21">
        <v>8601.1437017959997</v>
      </c>
      <c r="D21">
        <v>8938.6662436919996</v>
      </c>
      <c r="E21">
        <v>4448.7240816289996</v>
      </c>
      <c r="F21">
        <v>111</v>
      </c>
    </row>
    <row r="22" spans="1:6" x14ac:dyDescent="0.25">
      <c r="A22" t="s">
        <v>3961</v>
      </c>
      <c r="B22" t="s">
        <v>3960</v>
      </c>
      <c r="C22">
        <v>7615.3008049350001</v>
      </c>
      <c r="D22">
        <v>11124.043300265001</v>
      </c>
      <c r="E22">
        <v>5097.7496516179999</v>
      </c>
      <c r="F22">
        <v>54</v>
      </c>
    </row>
    <row r="23" spans="1:6" x14ac:dyDescent="0.25">
      <c r="A23" t="s">
        <v>3850</v>
      </c>
      <c r="B23" t="s">
        <v>3849</v>
      </c>
      <c r="C23">
        <v>4166.636152178</v>
      </c>
      <c r="D23">
        <v>3410.610218027</v>
      </c>
      <c r="E23">
        <v>1474.3893102889999</v>
      </c>
      <c r="F23">
        <v>48</v>
      </c>
    </row>
    <row r="24" spans="1:6" x14ac:dyDescent="0.25">
      <c r="A24" t="s">
        <v>3945</v>
      </c>
      <c r="B24" t="s">
        <v>3944</v>
      </c>
      <c r="C24">
        <v>6441.8252130689998</v>
      </c>
      <c r="D24">
        <v>8212.0526399900009</v>
      </c>
      <c r="E24">
        <v>3785.5553036000001</v>
      </c>
      <c r="F24">
        <v>50</v>
      </c>
    </row>
    <row r="25" spans="1:6" x14ac:dyDescent="0.25">
      <c r="A25" t="s">
        <v>3784</v>
      </c>
      <c r="B25" t="s">
        <v>3783</v>
      </c>
      <c r="C25">
        <v>2799.7079806420002</v>
      </c>
      <c r="D25">
        <v>4219.8122069860001</v>
      </c>
      <c r="E25">
        <v>2041.1976149770001</v>
      </c>
      <c r="F25">
        <v>46</v>
      </c>
    </row>
    <row r="26" spans="1:6" x14ac:dyDescent="0.25">
      <c r="A26" t="s">
        <v>4052</v>
      </c>
      <c r="B26" t="s">
        <v>4051</v>
      </c>
      <c r="C26">
        <v>12744.198981595</v>
      </c>
      <c r="D26">
        <v>17187.619407278999</v>
      </c>
      <c r="E26">
        <v>8420.69742262</v>
      </c>
      <c r="F26">
        <v>175</v>
      </c>
    </row>
    <row r="27" spans="1:6" x14ac:dyDescent="0.25">
      <c r="A27" t="s">
        <v>4217</v>
      </c>
      <c r="B27" t="s">
        <v>4216</v>
      </c>
      <c r="C27">
        <v>3634.2217669199999</v>
      </c>
      <c r="D27">
        <v>3435.326521252</v>
      </c>
      <c r="E27">
        <v>1564.3578271629999</v>
      </c>
      <c r="F27">
        <v>35</v>
      </c>
    </row>
    <row r="28" spans="1:6" x14ac:dyDescent="0.25">
      <c r="A28" t="s">
        <v>257</v>
      </c>
      <c r="B28" t="s">
        <v>4346</v>
      </c>
      <c r="C28">
        <v>6382.4847699149996</v>
      </c>
      <c r="D28">
        <v>5696.7199001620002</v>
      </c>
      <c r="E28">
        <v>2388.516111332</v>
      </c>
      <c r="F28">
        <v>93</v>
      </c>
    </row>
    <row r="29" spans="1:6" x14ac:dyDescent="0.25">
      <c r="A29" t="s">
        <v>3974</v>
      </c>
      <c r="B29" t="s">
        <v>3973</v>
      </c>
      <c r="C29">
        <v>5219.6537497930003</v>
      </c>
      <c r="D29">
        <v>5584.6855730879997</v>
      </c>
      <c r="E29">
        <v>2323.8914493329999</v>
      </c>
      <c r="F29">
        <v>83</v>
      </c>
    </row>
    <row r="30" spans="1:6" x14ac:dyDescent="0.25">
      <c r="A30" t="s">
        <v>4128</v>
      </c>
      <c r="B30" t="s">
        <v>4127</v>
      </c>
      <c r="C30">
        <v>2903.5465903290001</v>
      </c>
      <c r="D30">
        <v>2993.484266815</v>
      </c>
      <c r="E30">
        <v>1371.934222614</v>
      </c>
      <c r="F30">
        <v>22</v>
      </c>
    </row>
    <row r="31" spans="1:6" x14ac:dyDescent="0.25">
      <c r="A31" t="s">
        <v>4261</v>
      </c>
      <c r="B31" t="s">
        <v>4260</v>
      </c>
      <c r="C31">
        <v>4177.0125770209997</v>
      </c>
      <c r="D31">
        <v>6009.0851118809996</v>
      </c>
      <c r="E31">
        <v>2711.8205653579998</v>
      </c>
      <c r="F31">
        <v>70</v>
      </c>
    </row>
    <row r="32" spans="1:6" x14ac:dyDescent="0.25">
      <c r="A32" t="s">
        <v>3906</v>
      </c>
      <c r="B32" t="s">
        <v>3905</v>
      </c>
      <c r="C32">
        <v>4084.6620234980001</v>
      </c>
      <c r="D32">
        <v>3051.7642735670001</v>
      </c>
      <c r="E32">
        <v>1582.574438976</v>
      </c>
      <c r="F32">
        <v>39</v>
      </c>
    </row>
    <row r="33" spans="1:6" x14ac:dyDescent="0.25">
      <c r="A33" t="s">
        <v>4103</v>
      </c>
      <c r="B33" t="s">
        <v>4102</v>
      </c>
      <c r="C33">
        <v>52962.1349692</v>
      </c>
      <c r="D33">
        <v>22285.454093155</v>
      </c>
      <c r="E33">
        <v>9596.6053759330007</v>
      </c>
      <c r="F33">
        <v>110</v>
      </c>
    </row>
    <row r="34" spans="1:6" x14ac:dyDescent="0.25">
      <c r="A34" t="s">
        <v>4331</v>
      </c>
      <c r="B34" t="s">
        <v>4330</v>
      </c>
      <c r="C34">
        <v>22427.219889648</v>
      </c>
      <c r="D34">
        <v>21264.326222472999</v>
      </c>
      <c r="E34">
        <v>9941.0453669800008</v>
      </c>
      <c r="F34">
        <v>222</v>
      </c>
    </row>
    <row r="35" spans="1:6" x14ac:dyDescent="0.25">
      <c r="A35" t="s">
        <v>4249</v>
      </c>
      <c r="B35" t="s">
        <v>4248</v>
      </c>
      <c r="C35">
        <v>7796.1929330209996</v>
      </c>
      <c r="D35">
        <v>6192.6499054710002</v>
      </c>
      <c r="E35">
        <v>2601.378211789</v>
      </c>
      <c r="F35">
        <v>60</v>
      </c>
    </row>
    <row r="36" spans="1:6" x14ac:dyDescent="0.25">
      <c r="A36" t="s">
        <v>4185</v>
      </c>
      <c r="B36" t="s">
        <v>4184</v>
      </c>
      <c r="C36">
        <v>19234.111194960999</v>
      </c>
      <c r="D36">
        <v>28771.002877736999</v>
      </c>
      <c r="E36">
        <v>11632.268759693001</v>
      </c>
      <c r="F36">
        <v>109</v>
      </c>
    </row>
    <row r="37" spans="1:6" x14ac:dyDescent="0.25">
      <c r="A37" t="s">
        <v>3884</v>
      </c>
      <c r="B37" t="s">
        <v>3883</v>
      </c>
      <c r="C37">
        <v>3960.4848779710001</v>
      </c>
      <c r="D37">
        <v>3408.6452821990001</v>
      </c>
      <c r="E37">
        <v>1419.671026301</v>
      </c>
      <c r="F37">
        <v>49</v>
      </c>
    </row>
    <row r="38" spans="1:6" x14ac:dyDescent="0.25">
      <c r="A38" t="s">
        <v>224</v>
      </c>
      <c r="B38" t="s">
        <v>4324</v>
      </c>
      <c r="C38">
        <v>2670.3748053600002</v>
      </c>
      <c r="D38">
        <v>3226.1539553010002</v>
      </c>
      <c r="E38">
        <v>1578.8954599149999</v>
      </c>
      <c r="F38">
        <v>44</v>
      </c>
    </row>
    <row r="39" spans="1:6" x14ac:dyDescent="0.25">
      <c r="A39" t="s">
        <v>4289</v>
      </c>
      <c r="B39" t="s">
        <v>4288</v>
      </c>
      <c r="C39">
        <v>8795.0911423510006</v>
      </c>
      <c r="D39">
        <v>6198.4546646700001</v>
      </c>
      <c r="E39">
        <v>2740.5151391180002</v>
      </c>
      <c r="F39">
        <v>78</v>
      </c>
    </row>
    <row r="40" spans="1:6" x14ac:dyDescent="0.25">
      <c r="A40" t="s">
        <v>4285</v>
      </c>
      <c r="B40" t="s">
        <v>4284</v>
      </c>
      <c r="C40">
        <v>8406.6078033869999</v>
      </c>
      <c r="D40">
        <v>10894.242203431</v>
      </c>
      <c r="E40">
        <v>5085.4524362359998</v>
      </c>
      <c r="F40">
        <v>71</v>
      </c>
    </row>
    <row r="41" spans="1:6" x14ac:dyDescent="0.25">
      <c r="A41" t="s">
        <v>3878</v>
      </c>
      <c r="B41" t="s">
        <v>3877</v>
      </c>
      <c r="C41">
        <v>1865.0483273069999</v>
      </c>
      <c r="D41">
        <v>1980.7041289589999</v>
      </c>
      <c r="E41">
        <v>860.22273988200004</v>
      </c>
      <c r="F41">
        <v>24</v>
      </c>
    </row>
    <row r="42" spans="1:6" x14ac:dyDescent="0.25">
      <c r="A42" t="s">
        <v>4338</v>
      </c>
      <c r="B42" t="s">
        <v>4337</v>
      </c>
      <c r="C42">
        <v>6380.9913961760003</v>
      </c>
      <c r="D42">
        <v>4453.5729509820003</v>
      </c>
      <c r="E42">
        <v>2063.7726402200001</v>
      </c>
      <c r="F42">
        <v>71</v>
      </c>
    </row>
    <row r="43" spans="1:6" x14ac:dyDescent="0.25">
      <c r="A43" t="s">
        <v>4358</v>
      </c>
      <c r="B43" t="s">
        <v>4357</v>
      </c>
      <c r="C43">
        <v>10331.093674536</v>
      </c>
      <c r="D43">
        <v>9010.7584047529999</v>
      </c>
      <c r="E43">
        <v>4503.9322706140001</v>
      </c>
      <c r="F43">
        <v>103</v>
      </c>
    </row>
    <row r="44" spans="1:6" x14ac:dyDescent="0.25">
      <c r="A44" t="s">
        <v>3839</v>
      </c>
      <c r="B44" t="s">
        <v>3838</v>
      </c>
      <c r="C44">
        <v>5184.0765241090003</v>
      </c>
      <c r="D44">
        <v>6073.5353174510001</v>
      </c>
      <c r="E44">
        <v>2703.7799583599999</v>
      </c>
      <c r="F44">
        <v>63</v>
      </c>
    </row>
    <row r="45" spans="1:6" x14ac:dyDescent="0.25">
      <c r="A45" t="s">
        <v>4207</v>
      </c>
      <c r="B45" t="s">
        <v>4206</v>
      </c>
      <c r="C45">
        <v>7238.6472296399998</v>
      </c>
      <c r="D45">
        <v>9667.2560512159998</v>
      </c>
      <c r="E45">
        <v>4844.1350901189999</v>
      </c>
      <c r="F45">
        <v>55</v>
      </c>
    </row>
    <row r="46" spans="1:6" x14ac:dyDescent="0.25">
      <c r="A46" t="s">
        <v>4032</v>
      </c>
      <c r="B46" t="s">
        <v>4031</v>
      </c>
      <c r="C46">
        <v>35205.551159112998</v>
      </c>
      <c r="D46">
        <v>62659.230738459999</v>
      </c>
      <c r="E46">
        <v>26353.383083241999</v>
      </c>
      <c r="F46">
        <v>252</v>
      </c>
    </row>
    <row r="47" spans="1:6" x14ac:dyDescent="0.25">
      <c r="A47" t="s">
        <v>4156</v>
      </c>
      <c r="B47" t="s">
        <v>4155</v>
      </c>
      <c r="C47">
        <v>11182.994242373999</v>
      </c>
      <c r="D47">
        <v>10999.006933786</v>
      </c>
      <c r="E47">
        <v>4423.678762001</v>
      </c>
      <c r="F47">
        <v>112</v>
      </c>
    </row>
    <row r="48" spans="1:6" x14ac:dyDescent="0.25">
      <c r="A48" t="s">
        <v>257</v>
      </c>
      <c r="B48" t="s">
        <v>4159</v>
      </c>
      <c r="C48">
        <v>5748.6212619380003</v>
      </c>
      <c r="D48">
        <v>4706.1264913129999</v>
      </c>
      <c r="E48">
        <v>1908.5128803160001</v>
      </c>
      <c r="F48">
        <v>100</v>
      </c>
    </row>
    <row r="49" spans="1:6" x14ac:dyDescent="0.25">
      <c r="A49" t="s">
        <v>4212</v>
      </c>
      <c r="B49" t="s">
        <v>4211</v>
      </c>
      <c r="C49">
        <v>9967.6226305559994</v>
      </c>
      <c r="D49">
        <v>13023.955910705001</v>
      </c>
      <c r="E49">
        <v>5546.5222141220002</v>
      </c>
      <c r="F49">
        <v>122</v>
      </c>
    </row>
    <row r="50" spans="1:6" x14ac:dyDescent="0.25">
      <c r="A50" t="s">
        <v>3914</v>
      </c>
      <c r="B50" t="s">
        <v>3913</v>
      </c>
      <c r="C50">
        <v>5327.1297113820001</v>
      </c>
      <c r="D50">
        <v>5480.2643582130004</v>
      </c>
      <c r="E50">
        <v>2571.2535041410001</v>
      </c>
      <c r="F50">
        <v>54</v>
      </c>
    </row>
    <row r="51" spans="1:6" x14ac:dyDescent="0.25">
      <c r="A51" t="s">
        <v>3901</v>
      </c>
      <c r="B51" t="s">
        <v>3900</v>
      </c>
      <c r="C51">
        <v>3788.0219873209999</v>
      </c>
      <c r="D51">
        <v>2530.6240470729999</v>
      </c>
      <c r="E51">
        <v>1104.71830682</v>
      </c>
      <c r="F51">
        <v>50</v>
      </c>
    </row>
    <row r="52" spans="1:6" x14ac:dyDescent="0.25">
      <c r="A52" t="s">
        <v>4152</v>
      </c>
      <c r="B52" t="s">
        <v>4151</v>
      </c>
      <c r="C52">
        <v>12562.160745813</v>
      </c>
      <c r="D52">
        <v>9963.7320287050006</v>
      </c>
      <c r="E52">
        <v>4895.0643592819997</v>
      </c>
      <c r="F52">
        <v>196</v>
      </c>
    </row>
    <row r="53" spans="1:6" x14ac:dyDescent="0.25">
      <c r="A53" t="s">
        <v>3966</v>
      </c>
      <c r="B53" t="s">
        <v>3965</v>
      </c>
      <c r="C53">
        <v>3395.70585394</v>
      </c>
      <c r="D53">
        <v>3400.3542498759998</v>
      </c>
      <c r="E53">
        <v>1542.2668925630001</v>
      </c>
      <c r="F53">
        <v>48</v>
      </c>
    </row>
    <row r="54" spans="1:6" x14ac:dyDescent="0.25">
      <c r="A54" t="s">
        <v>4253</v>
      </c>
      <c r="B54" t="s">
        <v>4252</v>
      </c>
      <c r="C54">
        <v>5186.5238051699998</v>
      </c>
      <c r="D54">
        <v>6618.8143406429999</v>
      </c>
      <c r="E54">
        <v>2818.9221301849998</v>
      </c>
      <c r="F54">
        <v>33</v>
      </c>
    </row>
    <row r="55" spans="1:6" x14ac:dyDescent="0.25">
      <c r="A55" t="s">
        <v>3930</v>
      </c>
      <c r="B55" t="s">
        <v>3929</v>
      </c>
      <c r="C55">
        <v>7802.6871280770001</v>
      </c>
      <c r="D55">
        <v>9000.5979973720005</v>
      </c>
      <c r="E55">
        <v>3735.9721176879998</v>
      </c>
      <c r="F55">
        <v>64</v>
      </c>
    </row>
    <row r="56" spans="1:6" x14ac:dyDescent="0.25">
      <c r="A56" t="s">
        <v>3993</v>
      </c>
      <c r="B56" t="s">
        <v>3992</v>
      </c>
      <c r="C56">
        <v>69613.569796462005</v>
      </c>
      <c r="D56">
        <v>2246.3216302350002</v>
      </c>
      <c r="E56">
        <v>1061.3214309059999</v>
      </c>
      <c r="F56">
        <v>46</v>
      </c>
    </row>
    <row r="57" spans="1:6" x14ac:dyDescent="0.25">
      <c r="A57" t="s">
        <v>4350</v>
      </c>
      <c r="B57" t="s">
        <v>4349</v>
      </c>
      <c r="C57">
        <v>2475.9752687340001</v>
      </c>
      <c r="D57">
        <v>3402.9009444660001</v>
      </c>
      <c r="E57">
        <v>1362.94461265</v>
      </c>
      <c r="F57">
        <v>43</v>
      </c>
    </row>
    <row r="58" spans="1:6" x14ac:dyDescent="0.25">
      <c r="A58" t="s">
        <v>4257</v>
      </c>
      <c r="B58" t="s">
        <v>4256</v>
      </c>
      <c r="C58">
        <v>10673.484259469</v>
      </c>
      <c r="D58">
        <v>7932.1719860530002</v>
      </c>
      <c r="E58">
        <v>3308.8980341360002</v>
      </c>
      <c r="F58">
        <v>91</v>
      </c>
    </row>
    <row r="59" spans="1:6" x14ac:dyDescent="0.25">
      <c r="A59" t="s">
        <v>4245</v>
      </c>
      <c r="B59" t="s">
        <v>4244</v>
      </c>
      <c r="C59">
        <v>10466.961507</v>
      </c>
      <c r="D59">
        <v>4439.6022787069996</v>
      </c>
      <c r="E59">
        <v>1986.536409072</v>
      </c>
      <c r="F59">
        <v>71</v>
      </c>
    </row>
    <row r="60" spans="1:6" x14ac:dyDescent="0.25">
      <c r="A60" t="s">
        <v>4321</v>
      </c>
      <c r="B60" t="s">
        <v>4320</v>
      </c>
      <c r="C60">
        <v>11894.537292645</v>
      </c>
      <c r="D60">
        <v>15875.253475288</v>
      </c>
      <c r="E60">
        <v>7297.187703517</v>
      </c>
      <c r="F60">
        <v>53</v>
      </c>
    </row>
    <row r="61" spans="1:6" x14ac:dyDescent="0.25">
      <c r="A61" t="s">
        <v>3918</v>
      </c>
      <c r="B61" t="s">
        <v>3917</v>
      </c>
      <c r="C61">
        <v>1488.4888214590001</v>
      </c>
      <c r="D61">
        <v>1433.270002217</v>
      </c>
      <c r="E61">
        <v>616.26659075199996</v>
      </c>
      <c r="F61">
        <v>31</v>
      </c>
    </row>
    <row r="62" spans="1:6" x14ac:dyDescent="0.25">
      <c r="A62" t="s">
        <v>4007</v>
      </c>
      <c r="B62" t="s">
        <v>4006</v>
      </c>
      <c r="C62">
        <v>2110.6234317950002</v>
      </c>
      <c r="D62">
        <v>3072.84561007</v>
      </c>
      <c r="E62">
        <v>1376.952763924</v>
      </c>
      <c r="F62">
        <v>36</v>
      </c>
    </row>
    <row r="63" spans="1:6" x14ac:dyDescent="0.25">
      <c r="A63" t="s">
        <v>4040</v>
      </c>
      <c r="B63" t="s">
        <v>4039</v>
      </c>
      <c r="C63">
        <v>4988.2353880769997</v>
      </c>
      <c r="D63">
        <v>6587.9057016779998</v>
      </c>
      <c r="E63">
        <v>2876.2493812530001</v>
      </c>
      <c r="F63">
        <v>60</v>
      </c>
    </row>
    <row r="64" spans="1:6" x14ac:dyDescent="0.25">
      <c r="A64" t="s">
        <v>4070</v>
      </c>
      <c r="B64" t="s">
        <v>4069</v>
      </c>
      <c r="C64">
        <v>2806.6612449240001</v>
      </c>
      <c r="D64">
        <v>5564.2511400740004</v>
      </c>
      <c r="E64">
        <v>2273.6836783499998</v>
      </c>
      <c r="F64">
        <v>49</v>
      </c>
    </row>
    <row r="65" spans="1:6" x14ac:dyDescent="0.25">
      <c r="A65" t="s">
        <v>3982</v>
      </c>
      <c r="B65" t="s">
        <v>3981</v>
      </c>
      <c r="C65">
        <v>18925.612850124999</v>
      </c>
      <c r="D65">
        <v>26278.082733906002</v>
      </c>
      <c r="E65">
        <v>10658.976746536</v>
      </c>
      <c r="F65">
        <v>106</v>
      </c>
    </row>
    <row r="66" spans="1:6" x14ac:dyDescent="0.25">
      <c r="A66" t="s">
        <v>3854</v>
      </c>
      <c r="B66" t="s">
        <v>3853</v>
      </c>
      <c r="C66">
        <v>5239.671956571</v>
      </c>
      <c r="D66">
        <v>5336.1162901219996</v>
      </c>
      <c r="E66">
        <v>2159.5086859839998</v>
      </c>
      <c r="F66">
        <v>63</v>
      </c>
    </row>
    <row r="67" spans="1:6" x14ac:dyDescent="0.25">
      <c r="A67" t="s">
        <v>4124</v>
      </c>
      <c r="B67" t="s">
        <v>4123</v>
      </c>
      <c r="C67">
        <v>7139.1351413969996</v>
      </c>
      <c r="D67">
        <v>7518.3052498799998</v>
      </c>
      <c r="E67">
        <v>3038.798529011</v>
      </c>
      <c r="F67">
        <v>66</v>
      </c>
    </row>
    <row r="68" spans="1:6" x14ac:dyDescent="0.25">
      <c r="A68" t="s">
        <v>3862</v>
      </c>
      <c r="B68" t="s">
        <v>3861</v>
      </c>
      <c r="C68">
        <v>6584.1174702589997</v>
      </c>
      <c r="D68">
        <v>8248.0536173410001</v>
      </c>
      <c r="E68">
        <v>3506.8278005910001</v>
      </c>
      <c r="F68">
        <v>64</v>
      </c>
    </row>
    <row r="69" spans="1:6" x14ac:dyDescent="0.25">
      <c r="A69" t="s">
        <v>4136</v>
      </c>
      <c r="B69" t="s">
        <v>4135</v>
      </c>
      <c r="C69">
        <v>6649.9598814359997</v>
      </c>
      <c r="D69">
        <v>8165.0803873969999</v>
      </c>
      <c r="E69">
        <v>4000.2037267159999</v>
      </c>
      <c r="F69">
        <v>100</v>
      </c>
    </row>
    <row r="70" spans="1:6" x14ac:dyDescent="0.25">
      <c r="A70" t="s">
        <v>4118</v>
      </c>
      <c r="B70" t="s">
        <v>4117</v>
      </c>
      <c r="C70">
        <v>6120.8087535089999</v>
      </c>
      <c r="D70">
        <v>9181.9988076059999</v>
      </c>
      <c r="E70">
        <v>3938.3430706210002</v>
      </c>
      <c r="F70">
        <v>78</v>
      </c>
    </row>
    <row r="71" spans="1:6" x14ac:dyDescent="0.25">
      <c r="A71" t="s">
        <v>3815</v>
      </c>
      <c r="B71" t="s">
        <v>3814</v>
      </c>
      <c r="C71">
        <v>8423.2869294909997</v>
      </c>
      <c r="D71">
        <v>6567.6964773319996</v>
      </c>
      <c r="E71">
        <v>3229.741494289</v>
      </c>
      <c r="F71">
        <v>63</v>
      </c>
    </row>
    <row r="72" spans="1:6" x14ac:dyDescent="0.25">
      <c r="A72" t="s">
        <v>4293</v>
      </c>
      <c r="B72" t="s">
        <v>4292</v>
      </c>
      <c r="C72">
        <v>3407.739109095</v>
      </c>
      <c r="D72">
        <v>4287.876823048</v>
      </c>
      <c r="E72">
        <v>2701.094891106</v>
      </c>
      <c r="F72">
        <v>91</v>
      </c>
    </row>
    <row r="73" spans="1:6" x14ac:dyDescent="0.25">
      <c r="A73" t="s">
        <v>3794</v>
      </c>
      <c r="B73" t="s">
        <v>3793</v>
      </c>
      <c r="C73">
        <v>14803.215464845</v>
      </c>
      <c r="D73">
        <v>32860.540729672997</v>
      </c>
      <c r="E73">
        <v>14568.727602117</v>
      </c>
      <c r="F73">
        <v>177</v>
      </c>
    </row>
    <row r="74" spans="1:6" x14ac:dyDescent="0.25">
      <c r="A74" t="s">
        <v>3820</v>
      </c>
      <c r="B74" t="s">
        <v>3819</v>
      </c>
      <c r="C74">
        <v>35070.575981752998</v>
      </c>
      <c r="D74">
        <v>42697.316721003997</v>
      </c>
      <c r="E74">
        <v>17842.644428380001</v>
      </c>
      <c r="F74">
        <v>161</v>
      </c>
    </row>
    <row r="75" spans="1:6" x14ac:dyDescent="0.25">
      <c r="A75" t="s">
        <v>4190</v>
      </c>
      <c r="B75" t="s">
        <v>4189</v>
      </c>
      <c r="C75">
        <v>1990.8750856500001</v>
      </c>
      <c r="D75">
        <v>3543.969087981</v>
      </c>
      <c r="E75">
        <v>1430.7330377579999</v>
      </c>
      <c r="F75">
        <v>18</v>
      </c>
    </row>
    <row r="76" spans="1:6" x14ac:dyDescent="0.25">
      <c r="A76" t="s">
        <v>3922</v>
      </c>
      <c r="B76" t="s">
        <v>3921</v>
      </c>
      <c r="C76">
        <v>14729.945073972</v>
      </c>
      <c r="D76">
        <v>16224.988953143</v>
      </c>
      <c r="E76">
        <v>7719.7009869499998</v>
      </c>
      <c r="F76">
        <v>229</v>
      </c>
    </row>
    <row r="77" spans="1:6" x14ac:dyDescent="0.25">
      <c r="A77" t="s">
        <v>4371</v>
      </c>
      <c r="B77" t="s">
        <v>4370</v>
      </c>
      <c r="C77">
        <v>3587.6457814609998</v>
      </c>
      <c r="D77">
        <v>4208.4645602259998</v>
      </c>
      <c r="E77">
        <v>1667.544879092</v>
      </c>
      <c r="F77">
        <v>10.666666666999999</v>
      </c>
    </row>
    <row r="78" spans="1:6" x14ac:dyDescent="0.25">
      <c r="A78" t="s">
        <v>4044</v>
      </c>
      <c r="B78" t="s">
        <v>4043</v>
      </c>
      <c r="C78">
        <v>2238.084257472</v>
      </c>
      <c r="D78">
        <v>2929.6647139790002</v>
      </c>
      <c r="E78">
        <v>1273.624583029</v>
      </c>
      <c r="F78">
        <v>22</v>
      </c>
    </row>
    <row r="79" spans="1:6" x14ac:dyDescent="0.25">
      <c r="A79" t="s">
        <v>4237</v>
      </c>
      <c r="B79" t="s">
        <v>4236</v>
      </c>
      <c r="C79">
        <v>1812.612938539</v>
      </c>
      <c r="D79">
        <v>1671.8939229600001</v>
      </c>
      <c r="E79">
        <v>721.26362737199997</v>
      </c>
      <c r="F79">
        <v>27</v>
      </c>
    </row>
    <row r="80" spans="1:6" x14ac:dyDescent="0.25">
      <c r="A80" t="s">
        <v>4012</v>
      </c>
      <c r="B80" t="s">
        <v>4011</v>
      </c>
      <c r="C80">
        <v>5656.2141388979999</v>
      </c>
      <c r="D80">
        <v>5608.9734970250001</v>
      </c>
      <c r="E80">
        <v>2454.9016361720001</v>
      </c>
      <c r="F80">
        <v>54</v>
      </c>
    </row>
    <row r="81" spans="1:6" x14ac:dyDescent="0.25">
      <c r="A81" t="s">
        <v>3798</v>
      </c>
      <c r="B81" t="s">
        <v>3797</v>
      </c>
      <c r="C81">
        <v>29114.804502227998</v>
      </c>
      <c r="D81">
        <v>35208.368499841999</v>
      </c>
      <c r="E81">
        <v>15070.794959211</v>
      </c>
      <c r="F81">
        <v>149</v>
      </c>
    </row>
    <row r="82" spans="1:6" x14ac:dyDescent="0.25">
      <c r="A82" t="s">
        <v>4195</v>
      </c>
      <c r="B82" t="s">
        <v>4194</v>
      </c>
      <c r="C82">
        <v>4332.6065900510002</v>
      </c>
      <c r="D82">
        <v>5142.6649012380003</v>
      </c>
      <c r="E82">
        <v>2327.7890206520001</v>
      </c>
      <c r="F82">
        <v>49.5</v>
      </c>
    </row>
    <row r="83" spans="1:6" x14ac:dyDescent="0.25">
      <c r="A83" t="s">
        <v>4366</v>
      </c>
      <c r="B83" t="s">
        <v>4365</v>
      </c>
      <c r="C83">
        <v>6691.2268077890003</v>
      </c>
      <c r="D83">
        <v>12322.097340921</v>
      </c>
      <c r="E83">
        <v>5100.5687124639999</v>
      </c>
      <c r="F83">
        <v>61</v>
      </c>
    </row>
    <row r="84" spans="1:6" x14ac:dyDescent="0.25">
      <c r="A84" t="s">
        <v>3986</v>
      </c>
      <c r="B84" t="s">
        <v>3985</v>
      </c>
      <c r="C84">
        <v>7267.1835790320001</v>
      </c>
      <c r="D84">
        <v>10309.407079529999</v>
      </c>
      <c r="E84">
        <v>4528.0148602440004</v>
      </c>
      <c r="F84">
        <v>77</v>
      </c>
    </row>
    <row r="85" spans="1:6" x14ac:dyDescent="0.25">
      <c r="A85" t="s">
        <v>4099</v>
      </c>
      <c r="B85" t="s">
        <v>4098</v>
      </c>
      <c r="C85">
        <v>39766.639978844003</v>
      </c>
      <c r="D85">
        <v>45602.376797607998</v>
      </c>
      <c r="E85">
        <v>21784.006232731001</v>
      </c>
      <c r="F85">
        <v>255</v>
      </c>
    </row>
    <row r="86" spans="1:6" x14ac:dyDescent="0.25">
      <c r="A86" t="s">
        <v>3949</v>
      </c>
      <c r="B86" t="s">
        <v>3948</v>
      </c>
      <c r="C86">
        <v>4877.7859502470001</v>
      </c>
      <c r="D86">
        <v>4036.0654880090001</v>
      </c>
      <c r="E86">
        <v>1609.330347525</v>
      </c>
      <c r="F86">
        <v>58</v>
      </c>
    </row>
    <row r="87" spans="1:6" x14ac:dyDescent="0.25">
      <c r="A87" t="s">
        <v>3802</v>
      </c>
      <c r="B87" t="s">
        <v>3801</v>
      </c>
      <c r="C87">
        <v>7553.9667961900004</v>
      </c>
      <c r="D87">
        <v>8384.5709172379993</v>
      </c>
      <c r="E87">
        <v>3462.228088284</v>
      </c>
      <c r="F87">
        <v>102</v>
      </c>
    </row>
    <row r="88" spans="1:6" x14ac:dyDescent="0.25">
      <c r="A88" t="s">
        <v>4229</v>
      </c>
      <c r="B88" t="s">
        <v>4228</v>
      </c>
      <c r="C88">
        <v>15934.643871673999</v>
      </c>
      <c r="D88">
        <v>21483.428438977</v>
      </c>
      <c r="E88">
        <v>8894.3686733930008</v>
      </c>
      <c r="F88">
        <v>102</v>
      </c>
    </row>
    <row r="89" spans="1:6" x14ac:dyDescent="0.25">
      <c r="A89" t="s">
        <v>3999</v>
      </c>
      <c r="B89" t="s">
        <v>3998</v>
      </c>
      <c r="C89">
        <v>5384.1484451460001</v>
      </c>
      <c r="D89">
        <v>6599.303270849</v>
      </c>
      <c r="E89">
        <v>3261.5137836899999</v>
      </c>
      <c r="F89">
        <v>44</v>
      </c>
    </row>
    <row r="90" spans="1:6" x14ac:dyDescent="0.25">
      <c r="A90" t="s">
        <v>4180</v>
      </c>
      <c r="B90" t="s">
        <v>4179</v>
      </c>
      <c r="C90">
        <v>6194.3003547649996</v>
      </c>
      <c r="D90">
        <v>5593.8725404659999</v>
      </c>
      <c r="E90">
        <v>2562.4244421560002</v>
      </c>
      <c r="F90">
        <v>47</v>
      </c>
    </row>
    <row r="91" spans="1:6" x14ac:dyDescent="0.25">
      <c r="A91" t="s">
        <v>3978</v>
      </c>
      <c r="B91" t="s">
        <v>3977</v>
      </c>
      <c r="C91">
        <v>3259.0869348239999</v>
      </c>
      <c r="D91">
        <v>3192.6868893020001</v>
      </c>
      <c r="E91">
        <v>1524.217649103</v>
      </c>
      <c r="F91">
        <v>44</v>
      </c>
    </row>
    <row r="92" spans="1:6" x14ac:dyDescent="0.25">
      <c r="A92" t="s">
        <v>4197</v>
      </c>
      <c r="B92" t="s">
        <v>4196</v>
      </c>
      <c r="C92">
        <v>3851.612742715</v>
      </c>
      <c r="D92">
        <v>3526.805080182</v>
      </c>
      <c r="E92">
        <v>1507.718957006</v>
      </c>
      <c r="F92">
        <v>34</v>
      </c>
    </row>
    <row r="93" spans="1:6" x14ac:dyDescent="0.25">
      <c r="A93" t="s">
        <v>4168</v>
      </c>
      <c r="B93" t="s">
        <v>4167</v>
      </c>
      <c r="C93">
        <v>9738.8364614549992</v>
      </c>
      <c r="D93">
        <v>12650.130163491</v>
      </c>
      <c r="E93">
        <v>5091.4684274640003</v>
      </c>
      <c r="F93">
        <v>94</v>
      </c>
    </row>
    <row r="94" spans="1:6" x14ac:dyDescent="0.25">
      <c r="A94" t="s">
        <v>4299</v>
      </c>
      <c r="B94" t="s">
        <v>4298</v>
      </c>
      <c r="C94">
        <v>8915.9171553329998</v>
      </c>
      <c r="D94">
        <v>9387.361527514</v>
      </c>
      <c r="E94">
        <v>4041.061811609</v>
      </c>
      <c r="F94">
        <v>119</v>
      </c>
    </row>
    <row r="95" spans="1:6" x14ac:dyDescent="0.25">
      <c r="A95" t="s">
        <v>3858</v>
      </c>
      <c r="B95" t="s">
        <v>3857</v>
      </c>
      <c r="C95">
        <v>3341.9708588399999</v>
      </c>
      <c r="D95">
        <v>2908.3715480609999</v>
      </c>
      <c r="E95">
        <v>1503.013502755</v>
      </c>
      <c r="F95">
        <v>32</v>
      </c>
    </row>
    <row r="96" spans="1:6" x14ac:dyDescent="0.25">
      <c r="A96" t="s">
        <v>3807</v>
      </c>
      <c r="B96" t="s">
        <v>3806</v>
      </c>
      <c r="C96">
        <v>12165.456816751999</v>
      </c>
      <c r="D96">
        <v>12887.789243994001</v>
      </c>
      <c r="E96">
        <v>5767.2788946279998</v>
      </c>
      <c r="F96">
        <v>98</v>
      </c>
    </row>
    <row r="97" spans="1:6" x14ac:dyDescent="0.25">
      <c r="A97" t="s">
        <v>4036</v>
      </c>
      <c r="B97" t="s">
        <v>4035</v>
      </c>
      <c r="C97">
        <v>4380.198343092</v>
      </c>
      <c r="D97">
        <v>5756.7761718649999</v>
      </c>
      <c r="E97">
        <v>3279.3756491849999</v>
      </c>
      <c r="F97">
        <v>88</v>
      </c>
    </row>
    <row r="98" spans="1:6" x14ac:dyDescent="0.25">
      <c r="A98" t="s">
        <v>3811</v>
      </c>
      <c r="B98" t="s">
        <v>3810</v>
      </c>
      <c r="C98">
        <v>44454.569333369</v>
      </c>
      <c r="D98">
        <v>71398.888457413996</v>
      </c>
      <c r="E98">
        <v>32154.919443273</v>
      </c>
      <c r="F98">
        <v>109</v>
      </c>
    </row>
    <row r="99" spans="1:6" x14ac:dyDescent="0.25">
      <c r="A99" t="s">
        <v>4023</v>
      </c>
      <c r="B99" t="s">
        <v>4022</v>
      </c>
      <c r="C99">
        <v>9140.9829428400008</v>
      </c>
      <c r="D99">
        <v>9572.5021116299995</v>
      </c>
      <c r="E99">
        <v>4254.6175926690003</v>
      </c>
      <c r="F99">
        <v>83</v>
      </c>
    </row>
    <row r="100" spans="1:6" x14ac:dyDescent="0.25">
      <c r="A100" t="s">
        <v>4140</v>
      </c>
      <c r="B100" t="s">
        <v>4139</v>
      </c>
      <c r="C100">
        <v>3604.914768054</v>
      </c>
      <c r="D100">
        <v>2680.1182410870001</v>
      </c>
      <c r="E100">
        <v>1648.0922251699999</v>
      </c>
      <c r="F100">
        <v>47</v>
      </c>
    </row>
    <row r="101" spans="1:6" x14ac:dyDescent="0.25">
      <c r="A101" t="s">
        <v>4144</v>
      </c>
      <c r="B101" t="s">
        <v>4143</v>
      </c>
      <c r="C101">
        <v>4694.2786734319998</v>
      </c>
      <c r="D101">
        <v>3635.411708222</v>
      </c>
      <c r="E101">
        <v>1842.5682935729999</v>
      </c>
      <c r="F101">
        <v>54</v>
      </c>
    </row>
    <row r="102" spans="1:6" x14ac:dyDescent="0.25">
      <c r="A102" t="s">
        <v>3957</v>
      </c>
      <c r="B102" t="s">
        <v>3956</v>
      </c>
      <c r="C102">
        <v>3427.1464639790001</v>
      </c>
      <c r="D102">
        <v>6302.1595925510001</v>
      </c>
      <c r="E102">
        <v>2662.4951391999998</v>
      </c>
      <c r="F102">
        <v>38</v>
      </c>
    </row>
    <row r="103" spans="1:6" x14ac:dyDescent="0.25">
      <c r="A103" t="s">
        <v>4163</v>
      </c>
      <c r="B103" t="s">
        <v>4162</v>
      </c>
      <c r="C103">
        <v>4813.4134412129997</v>
      </c>
      <c r="D103">
        <v>6525.2681823510002</v>
      </c>
      <c r="E103">
        <v>2759.4574360440001</v>
      </c>
      <c r="F103">
        <v>51</v>
      </c>
    </row>
    <row r="104" spans="1:6" x14ac:dyDescent="0.25">
      <c r="A104" t="s">
        <v>4114</v>
      </c>
      <c r="B104" t="s">
        <v>4113</v>
      </c>
      <c r="C104">
        <v>15447.194319073</v>
      </c>
      <c r="D104">
        <v>11874.913090710001</v>
      </c>
      <c r="E104">
        <v>5284.9890419020003</v>
      </c>
      <c r="F104">
        <v>173</v>
      </c>
    </row>
    <row r="105" spans="1:6" x14ac:dyDescent="0.25">
      <c r="A105" t="s">
        <v>3778</v>
      </c>
      <c r="B105" t="s">
        <v>3777</v>
      </c>
      <c r="C105">
        <v>3308.8278416889998</v>
      </c>
      <c r="D105">
        <v>2846.018278692</v>
      </c>
      <c r="E105">
        <v>1316.138539459</v>
      </c>
      <c r="F105">
        <v>41</v>
      </c>
    </row>
    <row r="106" spans="1:6" x14ac:dyDescent="0.25">
      <c r="A106" t="s">
        <v>4309</v>
      </c>
      <c r="B106" t="s">
        <v>4308</v>
      </c>
      <c r="C106">
        <v>6178.0592267430002</v>
      </c>
      <c r="D106">
        <v>4965.0968070400004</v>
      </c>
      <c r="E106">
        <v>2242.0720864509999</v>
      </c>
      <c r="F106">
        <v>78</v>
      </c>
    </row>
    <row r="107" spans="1:6" x14ac:dyDescent="0.25">
      <c r="A107" t="s">
        <v>4202</v>
      </c>
      <c r="B107" t="s">
        <v>4201</v>
      </c>
      <c r="C107">
        <v>4817.7656800189998</v>
      </c>
      <c r="D107">
        <v>3854.1093339839999</v>
      </c>
      <c r="E107">
        <v>1934.830785208</v>
      </c>
      <c r="F107">
        <v>75</v>
      </c>
    </row>
    <row r="108" spans="1:6" x14ac:dyDescent="0.25">
      <c r="A108" t="s">
        <v>3926</v>
      </c>
      <c r="B108" t="s">
        <v>3925</v>
      </c>
      <c r="C108">
        <v>10231.355949399</v>
      </c>
      <c r="D108">
        <v>14630.441343328999</v>
      </c>
      <c r="E108">
        <v>5800.8226979259998</v>
      </c>
      <c r="F108">
        <v>79</v>
      </c>
    </row>
    <row r="109" spans="1:6" x14ac:dyDescent="0.25">
      <c r="A109" t="s">
        <v>4061</v>
      </c>
      <c r="B109" t="s">
        <v>4060</v>
      </c>
      <c r="C109">
        <v>12706.589363387</v>
      </c>
      <c r="D109">
        <v>38909.248167783997</v>
      </c>
      <c r="E109">
        <v>16382.173395316</v>
      </c>
      <c r="F109">
        <v>131</v>
      </c>
    </row>
    <row r="110" spans="1:6" x14ac:dyDescent="0.25">
      <c r="A110" t="s">
        <v>4003</v>
      </c>
      <c r="B110" t="s">
        <v>4002</v>
      </c>
      <c r="C110">
        <v>7823.3547120900002</v>
      </c>
      <c r="D110">
        <v>6481.0421024819998</v>
      </c>
      <c r="E110">
        <v>2826.4394354380001</v>
      </c>
      <c r="F110">
        <v>68</v>
      </c>
    </row>
    <row r="111" spans="1:6" x14ac:dyDescent="0.25">
      <c r="A111" t="s">
        <v>4110</v>
      </c>
      <c r="B111" t="s">
        <v>4109</v>
      </c>
      <c r="C111">
        <v>6348.6748994890004</v>
      </c>
      <c r="D111">
        <v>4662.346288062</v>
      </c>
      <c r="E111">
        <v>2116.4737849879998</v>
      </c>
      <c r="F111">
        <v>76</v>
      </c>
    </row>
    <row r="112" spans="1:6" x14ac:dyDescent="0.25">
      <c r="A112" t="s">
        <v>3835</v>
      </c>
      <c r="B112" t="s">
        <v>3834</v>
      </c>
      <c r="C112">
        <v>3303.469427047</v>
      </c>
      <c r="D112">
        <v>2034.409932432</v>
      </c>
      <c r="E112">
        <v>913.63543830200001</v>
      </c>
      <c r="F112">
        <v>38</v>
      </c>
    </row>
    <row r="113" spans="1:6" x14ac:dyDescent="0.25">
      <c r="A113" t="s">
        <v>4343</v>
      </c>
      <c r="B113" t="s">
        <v>4342</v>
      </c>
      <c r="C113">
        <v>3775.966298289</v>
      </c>
      <c r="D113">
        <v>5055.4769510249998</v>
      </c>
      <c r="E113">
        <v>2051.06229545</v>
      </c>
      <c r="F113">
        <v>10.666666666999999</v>
      </c>
    </row>
    <row r="114" spans="1:6" x14ac:dyDescent="0.25">
      <c r="A114" t="s">
        <v>4241</v>
      </c>
      <c r="B114" t="s">
        <v>4240</v>
      </c>
      <c r="C114">
        <v>5510.64767097</v>
      </c>
      <c r="D114">
        <v>3396.066981683</v>
      </c>
      <c r="E114">
        <v>1390.650039377</v>
      </c>
      <c r="F114">
        <v>99</v>
      </c>
    </row>
    <row r="115" spans="1:6" x14ac:dyDescent="0.25">
      <c r="A115" t="s">
        <v>4048</v>
      </c>
      <c r="B115" t="s">
        <v>4047</v>
      </c>
      <c r="C115">
        <v>7560.1764996789998</v>
      </c>
      <c r="D115">
        <v>5449.7502482350001</v>
      </c>
      <c r="E115">
        <v>2315.4603347520001</v>
      </c>
      <c r="F115">
        <v>90</v>
      </c>
    </row>
    <row r="116" spans="1:6" x14ac:dyDescent="0.25">
      <c r="A116" t="s">
        <v>4058</v>
      </c>
      <c r="B116" t="s">
        <v>4057</v>
      </c>
      <c r="C116">
        <v>12346.343299861001</v>
      </c>
      <c r="D116">
        <v>48335.311374755998</v>
      </c>
      <c r="E116">
        <v>21128.390843084999</v>
      </c>
      <c r="F116">
        <v>127</v>
      </c>
    </row>
    <row r="117" spans="1:6" x14ac:dyDescent="0.25">
      <c r="A117" t="s">
        <v>3876</v>
      </c>
      <c r="B117" t="s">
        <v>3875</v>
      </c>
      <c r="C117">
        <v>5548.8664182140001</v>
      </c>
      <c r="D117">
        <v>16660.153396365</v>
      </c>
      <c r="E117">
        <v>6705.8413920599996</v>
      </c>
      <c r="F117">
        <v>49</v>
      </c>
    </row>
    <row r="118" spans="1:6" x14ac:dyDescent="0.25">
      <c r="A118" t="s">
        <v>3896</v>
      </c>
      <c r="B118" t="s">
        <v>3895</v>
      </c>
      <c r="C118">
        <v>22137.990063969999</v>
      </c>
      <c r="D118">
        <v>23259.654752015002</v>
      </c>
      <c r="E118">
        <v>9842.9072060590006</v>
      </c>
      <c r="F118">
        <v>135</v>
      </c>
    </row>
    <row r="119" spans="1:6" x14ac:dyDescent="0.25">
      <c r="A119" t="s">
        <v>257</v>
      </c>
      <c r="B119" t="s">
        <v>4082</v>
      </c>
      <c r="C119">
        <v>7358.2314249459996</v>
      </c>
      <c r="D119">
        <v>9058.3083255719994</v>
      </c>
      <c r="E119">
        <v>3890.9721146249999</v>
      </c>
      <c r="F119">
        <v>100</v>
      </c>
    </row>
    <row r="120" spans="1:6" x14ac:dyDescent="0.25">
      <c r="A120" t="s">
        <v>4133</v>
      </c>
      <c r="B120" t="s">
        <v>4132</v>
      </c>
      <c r="C120">
        <v>3204.266395865</v>
      </c>
      <c r="D120">
        <v>3405.826459502</v>
      </c>
      <c r="E120">
        <v>1399.140790275</v>
      </c>
      <c r="F120">
        <v>6.75</v>
      </c>
    </row>
    <row r="121" spans="1:6" x14ac:dyDescent="0.25">
      <c r="A121" t="s">
        <v>3828</v>
      </c>
      <c r="B121" t="s">
        <v>3827</v>
      </c>
      <c r="C121">
        <v>3070.5187501179998</v>
      </c>
      <c r="D121">
        <v>2968.2882541230001</v>
      </c>
      <c r="E121">
        <v>1291.197940537</v>
      </c>
      <c r="F121">
        <v>56</v>
      </c>
    </row>
    <row r="122" spans="1:6" x14ac:dyDescent="0.25">
      <c r="A122" t="s">
        <v>3953</v>
      </c>
      <c r="B122" t="s">
        <v>3952</v>
      </c>
      <c r="C122">
        <v>28095.226875554999</v>
      </c>
      <c r="D122">
        <v>44024.550269459003</v>
      </c>
      <c r="E122">
        <v>19305.140843656998</v>
      </c>
      <c r="F122">
        <v>191</v>
      </c>
    </row>
    <row r="123" spans="1:6" x14ac:dyDescent="0.25">
      <c r="A123" t="s">
        <v>4220</v>
      </c>
      <c r="B123" t="s">
        <v>4219</v>
      </c>
      <c r="C123">
        <v>5105.2355386669997</v>
      </c>
      <c r="D123">
        <v>6539.0650817670003</v>
      </c>
      <c r="E123">
        <v>3257.506848175</v>
      </c>
      <c r="F123">
        <v>52</v>
      </c>
    </row>
    <row r="124" spans="1:6" x14ac:dyDescent="0.25">
      <c r="A124" t="s">
        <v>3939</v>
      </c>
      <c r="B124" t="s">
        <v>3938</v>
      </c>
      <c r="C124">
        <v>5996.8546197779997</v>
      </c>
      <c r="D124">
        <v>7292.3014362180002</v>
      </c>
      <c r="E124">
        <v>3649.7722236929999</v>
      </c>
      <c r="F124">
        <v>69</v>
      </c>
    </row>
    <row r="125" spans="1:6" x14ac:dyDescent="0.25">
      <c r="A125" t="s">
        <v>3910</v>
      </c>
      <c r="B125" t="s">
        <v>3909</v>
      </c>
      <c r="C125">
        <v>5328.1786243059996</v>
      </c>
      <c r="D125">
        <v>5695.1651979839999</v>
      </c>
      <c r="E125">
        <v>2362.728225412</v>
      </c>
      <c r="F125">
        <v>21</v>
      </c>
    </row>
    <row r="126" spans="1:6" x14ac:dyDescent="0.25">
      <c r="A126" t="s">
        <v>4079</v>
      </c>
      <c r="B126" t="s">
        <v>4078</v>
      </c>
      <c r="C126">
        <v>5021.0476742069995</v>
      </c>
      <c r="D126">
        <v>4017.9357326139998</v>
      </c>
      <c r="E126">
        <v>1630.701285072</v>
      </c>
      <c r="F126">
        <v>57</v>
      </c>
    </row>
    <row r="127" spans="1:6" x14ac:dyDescent="0.25">
      <c r="A127" t="s">
        <v>3789</v>
      </c>
      <c r="B127" t="s">
        <v>3788</v>
      </c>
      <c r="C127">
        <v>15193.499633793001</v>
      </c>
      <c r="D127">
        <v>21253.909371313999</v>
      </c>
      <c r="E127">
        <v>9323.5108696719999</v>
      </c>
      <c r="F127">
        <v>104</v>
      </c>
    </row>
    <row r="128" spans="1:6" x14ac:dyDescent="0.25">
      <c r="A128" t="s">
        <v>4305</v>
      </c>
      <c r="B128" t="s">
        <v>4304</v>
      </c>
      <c r="C128">
        <v>16334.495973739</v>
      </c>
      <c r="D128">
        <v>11058.183989990001</v>
      </c>
      <c r="E128">
        <v>4938.3988118830002</v>
      </c>
      <c r="F128">
        <v>161</v>
      </c>
    </row>
    <row r="129" spans="1:6" x14ac:dyDescent="0.25">
      <c r="A129" t="s">
        <v>4028</v>
      </c>
      <c r="B129" t="s">
        <v>4027</v>
      </c>
      <c r="C129">
        <v>16235.057099621999</v>
      </c>
      <c r="D129">
        <v>17649.782959347998</v>
      </c>
      <c r="E129">
        <v>9373.0009106319994</v>
      </c>
      <c r="F129">
        <v>119</v>
      </c>
    </row>
    <row r="130" spans="1:6" x14ac:dyDescent="0.25">
      <c r="A130" t="s">
        <v>4281</v>
      </c>
      <c r="B130" t="s">
        <v>4280</v>
      </c>
      <c r="C130">
        <v>8134.176161198</v>
      </c>
      <c r="D130">
        <v>6478.8998570330004</v>
      </c>
      <c r="E130">
        <v>3220.4134877020001</v>
      </c>
      <c r="F130">
        <v>85</v>
      </c>
    </row>
    <row r="131" spans="1:6" x14ac:dyDescent="0.25">
      <c r="A131" t="s">
        <v>3866</v>
      </c>
      <c r="B131" t="s">
        <v>3865</v>
      </c>
      <c r="C131">
        <v>2609.3890551760001</v>
      </c>
      <c r="D131">
        <v>3275.744711756</v>
      </c>
      <c r="E131">
        <v>1475.8531898159999</v>
      </c>
      <c r="F131">
        <v>37</v>
      </c>
    </row>
    <row r="132" spans="1:6" x14ac:dyDescent="0.25">
      <c r="A132" t="s">
        <v>4317</v>
      </c>
      <c r="B132" t="s">
        <v>4316</v>
      </c>
      <c r="C132">
        <v>5675.7041238620004</v>
      </c>
      <c r="D132">
        <v>5445.6765927460001</v>
      </c>
      <c r="E132">
        <v>2306.3673246359999</v>
      </c>
      <c r="F132">
        <v>46</v>
      </c>
    </row>
    <row r="133" spans="1:6" x14ac:dyDescent="0.25">
      <c r="A133" t="s">
        <v>3871</v>
      </c>
      <c r="B133" t="s">
        <v>3870</v>
      </c>
      <c r="C133">
        <v>5328.2323790199998</v>
      </c>
      <c r="D133">
        <v>7067.6874271870001</v>
      </c>
      <c r="E133">
        <v>3400.732533759</v>
      </c>
      <c r="F133">
        <v>38</v>
      </c>
    </row>
    <row r="134" spans="1:6" x14ac:dyDescent="0.25">
      <c r="A134" t="s">
        <v>4266</v>
      </c>
      <c r="B134" t="s">
        <v>4265</v>
      </c>
      <c r="C134">
        <v>18779.419418313999</v>
      </c>
      <c r="D134">
        <v>14899.770643124</v>
      </c>
      <c r="E134">
        <v>6778.0309885249999</v>
      </c>
      <c r="F134">
        <v>142</v>
      </c>
    </row>
    <row r="135" spans="1:6" x14ac:dyDescent="0.25">
      <c r="A135" t="s">
        <v>4148</v>
      </c>
      <c r="B135" t="s">
        <v>4147</v>
      </c>
      <c r="C135">
        <v>4921.1296198950004</v>
      </c>
      <c r="D135">
        <v>5133.1121936999998</v>
      </c>
      <c r="E135">
        <v>2208.645457051</v>
      </c>
      <c r="F135">
        <v>61</v>
      </c>
    </row>
    <row r="136" spans="1:6" x14ac:dyDescent="0.25">
      <c r="A136" t="s">
        <v>4178</v>
      </c>
      <c r="B136" t="s">
        <v>4177</v>
      </c>
      <c r="C136">
        <v>967.09397141399995</v>
      </c>
      <c r="D136">
        <v>3175.9360459589998</v>
      </c>
      <c r="E136">
        <v>1590.9232137280001</v>
      </c>
      <c r="F136">
        <v>49.5</v>
      </c>
    </row>
    <row r="137" spans="1:6" x14ac:dyDescent="0.25">
      <c r="A137" t="s">
        <v>4271</v>
      </c>
      <c r="B137" t="s">
        <v>4270</v>
      </c>
      <c r="C137">
        <v>7958.5931686350004</v>
      </c>
      <c r="D137">
        <v>6246.8711633909998</v>
      </c>
      <c r="E137">
        <v>3060.1971080409999</v>
      </c>
      <c r="F137">
        <v>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0DF5-9B07-4734-9BA5-759FA15E40D7}">
  <sheetPr codeName="Sheet32"/>
  <dimension ref="A1:B138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.42578125" bestFit="1" customWidth="1"/>
  </cols>
  <sheetData>
    <row r="1" spans="1:2" x14ac:dyDescent="0.25">
      <c r="A1" s="21" t="s">
        <v>205</v>
      </c>
      <c r="B1" s="21" t="s">
        <v>206</v>
      </c>
    </row>
    <row r="2" spans="1:2" x14ac:dyDescent="0.25">
      <c r="A2" t="s">
        <v>3865</v>
      </c>
      <c r="B2" t="s">
        <v>3866</v>
      </c>
    </row>
    <row r="3" spans="1:2" x14ac:dyDescent="0.25">
      <c r="A3" t="s">
        <v>4132</v>
      </c>
      <c r="B3" t="s">
        <v>4133</v>
      </c>
    </row>
    <row r="4" spans="1:2" x14ac:dyDescent="0.25">
      <c r="A4" t="s">
        <v>4155</v>
      </c>
      <c r="B4" t="s">
        <v>4156</v>
      </c>
    </row>
    <row r="5" spans="1:2" x14ac:dyDescent="0.25">
      <c r="A5" t="s">
        <v>4275</v>
      </c>
      <c r="B5" t="s">
        <v>4276</v>
      </c>
    </row>
    <row r="6" spans="1:2" x14ac:dyDescent="0.25">
      <c r="A6" t="s">
        <v>4201</v>
      </c>
      <c r="B6" t="s">
        <v>4202</v>
      </c>
    </row>
    <row r="7" spans="1:2" x14ac:dyDescent="0.25">
      <c r="A7" t="s">
        <v>4312</v>
      </c>
      <c r="B7" t="s">
        <v>4313</v>
      </c>
    </row>
    <row r="8" spans="1:2" x14ac:dyDescent="0.25">
      <c r="A8" t="s">
        <v>4043</v>
      </c>
      <c r="B8" t="s">
        <v>4044</v>
      </c>
    </row>
    <row r="9" spans="1:2" x14ac:dyDescent="0.25">
      <c r="A9" t="s">
        <v>3849</v>
      </c>
      <c r="B9" t="s">
        <v>3850</v>
      </c>
    </row>
    <row r="10" spans="1:2" x14ac:dyDescent="0.25">
      <c r="A10" t="s">
        <v>4248</v>
      </c>
      <c r="B10" t="s">
        <v>4249</v>
      </c>
    </row>
    <row r="11" spans="1:2" x14ac:dyDescent="0.25">
      <c r="A11" t="s">
        <v>4292</v>
      </c>
      <c r="B11" t="s">
        <v>4293</v>
      </c>
    </row>
    <row r="12" spans="1:2" x14ac:dyDescent="0.25">
      <c r="A12" t="s">
        <v>4228</v>
      </c>
      <c r="B12" t="s">
        <v>4229</v>
      </c>
    </row>
    <row r="13" spans="1:2" x14ac:dyDescent="0.25">
      <c r="A13" t="s">
        <v>4357</v>
      </c>
      <c r="B13" t="s">
        <v>4358</v>
      </c>
    </row>
    <row r="14" spans="1:2" x14ac:dyDescent="0.25">
      <c r="A14" t="s">
        <v>4151</v>
      </c>
      <c r="B14" t="s">
        <v>4152</v>
      </c>
    </row>
    <row r="15" spans="1:2" x14ac:dyDescent="0.25">
      <c r="A15" t="s">
        <v>4027</v>
      </c>
      <c r="B15" t="s">
        <v>4028</v>
      </c>
    </row>
    <row r="16" spans="1:2" x14ac:dyDescent="0.25">
      <c r="A16" t="s">
        <v>3921</v>
      </c>
      <c r="B16" t="s">
        <v>3922</v>
      </c>
    </row>
    <row r="17" spans="1:2" x14ac:dyDescent="0.25">
      <c r="A17" t="s">
        <v>4236</v>
      </c>
      <c r="B17" t="s">
        <v>4237</v>
      </c>
    </row>
    <row r="18" spans="1:2" x14ac:dyDescent="0.25">
      <c r="A18" t="s">
        <v>4280</v>
      </c>
      <c r="B18" t="s">
        <v>4281</v>
      </c>
    </row>
    <row r="19" spans="1:2" x14ac:dyDescent="0.25">
      <c r="A19" t="s">
        <v>3929</v>
      </c>
      <c r="B19" t="s">
        <v>3930</v>
      </c>
    </row>
    <row r="20" spans="1:2" x14ac:dyDescent="0.25">
      <c r="A20" t="s">
        <v>4057</v>
      </c>
      <c r="B20" t="s">
        <v>4058</v>
      </c>
    </row>
    <row r="21" spans="1:2" x14ac:dyDescent="0.25">
      <c r="A21" t="s">
        <v>4194</v>
      </c>
      <c r="B21" t="s">
        <v>4195</v>
      </c>
    </row>
    <row r="22" spans="1:2" x14ac:dyDescent="0.25">
      <c r="A22" t="s">
        <v>4177</v>
      </c>
      <c r="B22" t="s">
        <v>4178</v>
      </c>
    </row>
    <row r="23" spans="1:2" x14ac:dyDescent="0.25">
      <c r="A23" t="s">
        <v>3905</v>
      </c>
      <c r="B23" t="s">
        <v>3906</v>
      </c>
    </row>
    <row r="24" spans="1:2" x14ac:dyDescent="0.25">
      <c r="A24" t="s">
        <v>3875</v>
      </c>
      <c r="B24" t="s">
        <v>3876</v>
      </c>
    </row>
    <row r="25" spans="1:2" x14ac:dyDescent="0.25">
      <c r="A25" t="s">
        <v>4117</v>
      </c>
      <c r="B25" t="s">
        <v>4118</v>
      </c>
    </row>
    <row r="26" spans="1:2" x14ac:dyDescent="0.25">
      <c r="A26" t="s">
        <v>3883</v>
      </c>
      <c r="B26" t="s">
        <v>3884</v>
      </c>
    </row>
    <row r="27" spans="1:2" x14ac:dyDescent="0.25">
      <c r="A27" t="s">
        <v>3888</v>
      </c>
      <c r="B27" t="s">
        <v>3889</v>
      </c>
    </row>
    <row r="28" spans="1:2" x14ac:dyDescent="0.25">
      <c r="A28" t="s">
        <v>3938</v>
      </c>
      <c r="B28" t="s">
        <v>3939</v>
      </c>
    </row>
    <row r="29" spans="1:2" x14ac:dyDescent="0.25">
      <c r="A29" t="s">
        <v>3917</v>
      </c>
      <c r="B29" t="s">
        <v>3918</v>
      </c>
    </row>
    <row r="30" spans="1:2" x14ac:dyDescent="0.25">
      <c r="A30" t="s">
        <v>4298</v>
      </c>
      <c r="B30" t="s">
        <v>4299</v>
      </c>
    </row>
    <row r="31" spans="1:2" x14ac:dyDescent="0.25">
      <c r="A31" t="s">
        <v>3992</v>
      </c>
      <c r="B31" t="s">
        <v>3993</v>
      </c>
    </row>
    <row r="32" spans="1:2" x14ac:dyDescent="0.25">
      <c r="A32" t="s">
        <v>4288</v>
      </c>
      <c r="B32" t="s">
        <v>4289</v>
      </c>
    </row>
    <row r="33" spans="1:2" x14ac:dyDescent="0.25">
      <c r="A33" t="s">
        <v>4349</v>
      </c>
      <c r="B33" t="s">
        <v>4350</v>
      </c>
    </row>
    <row r="34" spans="1:2" x14ac:dyDescent="0.25">
      <c r="A34" t="s">
        <v>4047</v>
      </c>
      <c r="B34" t="s">
        <v>4048</v>
      </c>
    </row>
    <row r="35" spans="1:2" x14ac:dyDescent="0.25">
      <c r="A35" t="s">
        <v>3793</v>
      </c>
      <c r="B35" t="s">
        <v>3794</v>
      </c>
    </row>
    <row r="36" spans="1:2" x14ac:dyDescent="0.25">
      <c r="A36" t="s">
        <v>3998</v>
      </c>
      <c r="B36" t="s">
        <v>3999</v>
      </c>
    </row>
    <row r="37" spans="1:2" x14ac:dyDescent="0.25">
      <c r="A37" t="s">
        <v>3797</v>
      </c>
      <c r="B37" t="s">
        <v>3798</v>
      </c>
    </row>
    <row r="38" spans="1:2" x14ac:dyDescent="0.25">
      <c r="A38" t="s">
        <v>4031</v>
      </c>
      <c r="B38" t="s">
        <v>4032</v>
      </c>
    </row>
    <row r="39" spans="1:2" x14ac:dyDescent="0.25">
      <c r="A39" t="s">
        <v>3788</v>
      </c>
      <c r="B39" t="s">
        <v>3789</v>
      </c>
    </row>
    <row r="40" spans="1:2" x14ac:dyDescent="0.25">
      <c r="A40" t="s">
        <v>4064</v>
      </c>
      <c r="B40" t="s">
        <v>4065</v>
      </c>
    </row>
    <row r="41" spans="1:2" x14ac:dyDescent="0.25">
      <c r="A41" t="s">
        <v>4078</v>
      </c>
      <c r="B41" t="s">
        <v>4079</v>
      </c>
    </row>
    <row r="42" spans="1:2" x14ac:dyDescent="0.25">
      <c r="A42" t="s">
        <v>4252</v>
      </c>
      <c r="B42" t="s">
        <v>4253</v>
      </c>
    </row>
    <row r="43" spans="1:2" x14ac:dyDescent="0.25">
      <c r="A43" t="s">
        <v>3819</v>
      </c>
      <c r="B43" t="s">
        <v>3820</v>
      </c>
    </row>
    <row r="44" spans="1:2" x14ac:dyDescent="0.25">
      <c r="A44" t="s">
        <v>3838</v>
      </c>
      <c r="B44" t="s">
        <v>3839</v>
      </c>
    </row>
    <row r="45" spans="1:2" x14ac:dyDescent="0.25">
      <c r="A45" t="s">
        <v>3965</v>
      </c>
      <c r="B45" t="s">
        <v>3966</v>
      </c>
    </row>
    <row r="46" spans="1:2" x14ac:dyDescent="0.25">
      <c r="A46" t="s">
        <v>4196</v>
      </c>
      <c r="B46" t="s">
        <v>4197</v>
      </c>
    </row>
    <row r="47" spans="1:2" x14ac:dyDescent="0.25">
      <c r="A47" t="s">
        <v>4330</v>
      </c>
      <c r="B47" t="s">
        <v>4331</v>
      </c>
    </row>
    <row r="48" spans="1:2" x14ac:dyDescent="0.25">
      <c r="A48" t="s">
        <v>4184</v>
      </c>
      <c r="B48" t="s">
        <v>4185</v>
      </c>
    </row>
    <row r="49" spans="1:2" x14ac:dyDescent="0.25">
      <c r="A49" t="s">
        <v>3981</v>
      </c>
      <c r="B49" t="s">
        <v>3982</v>
      </c>
    </row>
    <row r="50" spans="1:2" x14ac:dyDescent="0.25">
      <c r="A50" t="s">
        <v>4015</v>
      </c>
      <c r="B50" t="s">
        <v>4016</v>
      </c>
    </row>
    <row r="51" spans="1:2" x14ac:dyDescent="0.25">
      <c r="A51" t="s">
        <v>3810</v>
      </c>
      <c r="B51" t="s">
        <v>3811</v>
      </c>
    </row>
    <row r="52" spans="1:2" x14ac:dyDescent="0.25">
      <c r="A52" t="s">
        <v>4211</v>
      </c>
      <c r="B52" t="s">
        <v>4212</v>
      </c>
    </row>
    <row r="53" spans="1:2" x14ac:dyDescent="0.25">
      <c r="A53" t="s">
        <v>4092</v>
      </c>
      <c r="B53" t="s">
        <v>4093</v>
      </c>
    </row>
    <row r="54" spans="1:2" x14ac:dyDescent="0.25">
      <c r="A54" t="s">
        <v>4172</v>
      </c>
      <c r="B54" t="s">
        <v>4173</v>
      </c>
    </row>
    <row r="55" spans="1:2" x14ac:dyDescent="0.25">
      <c r="A55" t="s">
        <v>4361</v>
      </c>
      <c r="B55" t="s">
        <v>4362</v>
      </c>
    </row>
    <row r="56" spans="1:2" x14ac:dyDescent="0.25">
      <c r="A56" t="s">
        <v>3925</v>
      </c>
      <c r="B56" t="s">
        <v>3926</v>
      </c>
    </row>
    <row r="57" spans="1:2" x14ac:dyDescent="0.25">
      <c r="A57" t="s">
        <v>4039</v>
      </c>
      <c r="B57" t="s">
        <v>4040</v>
      </c>
    </row>
    <row r="58" spans="1:2" x14ac:dyDescent="0.25">
      <c r="A58" t="s">
        <v>4316</v>
      </c>
      <c r="B58" t="s">
        <v>4317</v>
      </c>
    </row>
    <row r="59" spans="1:2" x14ac:dyDescent="0.25">
      <c r="A59" t="s">
        <v>3960</v>
      </c>
      <c r="B59" t="s">
        <v>3961</v>
      </c>
    </row>
    <row r="60" spans="1:2" x14ac:dyDescent="0.25">
      <c r="A60" t="s">
        <v>3861</v>
      </c>
      <c r="B60" t="s">
        <v>3862</v>
      </c>
    </row>
    <row r="61" spans="1:2" x14ac:dyDescent="0.25">
      <c r="A61" t="s">
        <v>4162</v>
      </c>
      <c r="B61" t="s">
        <v>4163</v>
      </c>
    </row>
    <row r="62" spans="1:2" x14ac:dyDescent="0.25">
      <c r="A62" t="s">
        <v>3985</v>
      </c>
      <c r="B62" t="s">
        <v>3986</v>
      </c>
    </row>
    <row r="63" spans="1:2" x14ac:dyDescent="0.25">
      <c r="A63" t="s">
        <v>4326</v>
      </c>
      <c r="B63" t="s">
        <v>4327</v>
      </c>
    </row>
    <row r="64" spans="1:2" x14ac:dyDescent="0.25">
      <c r="A64" t="s">
        <v>4147</v>
      </c>
      <c r="B64" t="s">
        <v>4148</v>
      </c>
    </row>
    <row r="65" spans="1:2" x14ac:dyDescent="0.25">
      <c r="A65" t="s">
        <v>4143</v>
      </c>
      <c r="B65" t="s">
        <v>4144</v>
      </c>
    </row>
    <row r="66" spans="1:2" x14ac:dyDescent="0.25">
      <c r="A66" t="s">
        <v>4346</v>
      </c>
      <c r="B66" t="s">
        <v>257</v>
      </c>
    </row>
    <row r="67" spans="1:2" x14ac:dyDescent="0.25">
      <c r="A67" t="s">
        <v>4082</v>
      </c>
      <c r="B67" t="s">
        <v>257</v>
      </c>
    </row>
    <row r="68" spans="1:2" x14ac:dyDescent="0.25">
      <c r="A68" t="s">
        <v>4159</v>
      </c>
      <c r="B68" t="s">
        <v>257</v>
      </c>
    </row>
    <row r="69" spans="1:2" x14ac:dyDescent="0.25">
      <c r="A69" t="s">
        <v>4167</v>
      </c>
      <c r="B69" t="s">
        <v>4168</v>
      </c>
    </row>
    <row r="70" spans="1:2" x14ac:dyDescent="0.25">
      <c r="A70" t="s">
        <v>4123</v>
      </c>
      <c r="B70" t="s">
        <v>4124</v>
      </c>
    </row>
    <row r="71" spans="1:2" x14ac:dyDescent="0.25">
      <c r="A71" t="s">
        <v>3783</v>
      </c>
      <c r="B71" t="s">
        <v>3784</v>
      </c>
    </row>
    <row r="72" spans="1:2" x14ac:dyDescent="0.25">
      <c r="A72" t="s">
        <v>4270</v>
      </c>
      <c r="B72" t="s">
        <v>4271</v>
      </c>
    </row>
    <row r="73" spans="1:2" x14ac:dyDescent="0.25">
      <c r="A73" t="s">
        <v>4223</v>
      </c>
      <c r="B73" t="s">
        <v>4224</v>
      </c>
    </row>
    <row r="74" spans="1:2" x14ac:dyDescent="0.25">
      <c r="A74" t="s">
        <v>3977</v>
      </c>
      <c r="B74" t="s">
        <v>3978</v>
      </c>
    </row>
    <row r="75" spans="1:2" x14ac:dyDescent="0.25">
      <c r="A75" t="s">
        <v>4113</v>
      </c>
      <c r="B75" t="s">
        <v>4114</v>
      </c>
    </row>
    <row r="76" spans="1:2" x14ac:dyDescent="0.25">
      <c r="A76" t="s">
        <v>4022</v>
      </c>
      <c r="B76" t="s">
        <v>4023</v>
      </c>
    </row>
    <row r="77" spans="1:2" x14ac:dyDescent="0.25">
      <c r="A77" t="s">
        <v>3870</v>
      </c>
      <c r="B77" t="s">
        <v>3871</v>
      </c>
    </row>
    <row r="78" spans="1:2" x14ac:dyDescent="0.25">
      <c r="A78" t="s">
        <v>4240</v>
      </c>
      <c r="B78" t="s">
        <v>4241</v>
      </c>
    </row>
    <row r="79" spans="1:2" x14ac:dyDescent="0.25">
      <c r="A79" t="s">
        <v>4265</v>
      </c>
      <c r="B79" t="s">
        <v>4266</v>
      </c>
    </row>
    <row r="80" spans="1:2" x14ac:dyDescent="0.25">
      <c r="A80" t="s">
        <v>4098</v>
      </c>
      <c r="B80" t="s">
        <v>4099</v>
      </c>
    </row>
    <row r="81" spans="1:2" x14ac:dyDescent="0.25">
      <c r="A81" t="s">
        <v>4304</v>
      </c>
      <c r="B81" t="s">
        <v>4305</v>
      </c>
    </row>
    <row r="82" spans="1:2" x14ac:dyDescent="0.25">
      <c r="A82" t="s">
        <v>4333</v>
      </c>
      <c r="B82" t="s">
        <v>4334</v>
      </c>
    </row>
    <row r="83" spans="1:2" x14ac:dyDescent="0.25">
      <c r="A83" t="s">
        <v>4284</v>
      </c>
      <c r="B83" t="s">
        <v>4285</v>
      </c>
    </row>
    <row r="84" spans="1:2" x14ac:dyDescent="0.25">
      <c r="A84" t="s">
        <v>4086</v>
      </c>
      <c r="B84" t="s">
        <v>4087</v>
      </c>
    </row>
    <row r="85" spans="1:2" x14ac:dyDescent="0.25">
      <c r="A85" t="s">
        <v>3801</v>
      </c>
      <c r="B85" t="s">
        <v>3802</v>
      </c>
    </row>
    <row r="86" spans="1:2" x14ac:dyDescent="0.25">
      <c r="A86" t="s">
        <v>3777</v>
      </c>
      <c r="B86" t="s">
        <v>3778</v>
      </c>
    </row>
    <row r="87" spans="1:2" x14ac:dyDescent="0.25">
      <c r="A87" t="s">
        <v>3853</v>
      </c>
      <c r="B87" t="s">
        <v>3854</v>
      </c>
    </row>
    <row r="88" spans="1:2" x14ac:dyDescent="0.25">
      <c r="A88" t="s">
        <v>3895</v>
      </c>
      <c r="B88" t="s">
        <v>3896</v>
      </c>
    </row>
    <row r="89" spans="1:2" x14ac:dyDescent="0.25">
      <c r="A89" t="s">
        <v>4260</v>
      </c>
      <c r="B89" t="s">
        <v>4261</v>
      </c>
    </row>
    <row r="90" spans="1:2" x14ac:dyDescent="0.25">
      <c r="A90" t="s">
        <v>4035</v>
      </c>
      <c r="B90" t="s">
        <v>4036</v>
      </c>
    </row>
    <row r="91" spans="1:2" x14ac:dyDescent="0.25">
      <c r="A91" t="s">
        <v>4244</v>
      </c>
      <c r="B91" t="s">
        <v>4245</v>
      </c>
    </row>
    <row r="92" spans="1:2" x14ac:dyDescent="0.25">
      <c r="A92" t="s">
        <v>4051</v>
      </c>
      <c r="B92" t="s">
        <v>4052</v>
      </c>
    </row>
    <row r="93" spans="1:2" x14ac:dyDescent="0.25">
      <c r="A93" t="s">
        <v>3842</v>
      </c>
      <c r="B93" t="s">
        <v>3843</v>
      </c>
    </row>
    <row r="94" spans="1:2" x14ac:dyDescent="0.25">
      <c r="A94" t="s">
        <v>3857</v>
      </c>
      <c r="B94" t="s">
        <v>3858</v>
      </c>
    </row>
    <row r="95" spans="1:2" x14ac:dyDescent="0.25">
      <c r="A95" t="s">
        <v>4127</v>
      </c>
      <c r="B95" t="s">
        <v>4128</v>
      </c>
    </row>
    <row r="96" spans="1:2" x14ac:dyDescent="0.25">
      <c r="A96" t="s">
        <v>4074</v>
      </c>
      <c r="B96" t="s">
        <v>4075</v>
      </c>
    </row>
    <row r="97" spans="1:2" x14ac:dyDescent="0.25">
      <c r="A97" t="s">
        <v>3952</v>
      </c>
      <c r="B97" t="s">
        <v>3953</v>
      </c>
    </row>
    <row r="98" spans="1:2" x14ac:dyDescent="0.25">
      <c r="A98" t="s">
        <v>4011</v>
      </c>
      <c r="B98" t="s">
        <v>4012</v>
      </c>
    </row>
    <row r="99" spans="1:2" x14ac:dyDescent="0.25">
      <c r="A99" t="s">
        <v>3944</v>
      </c>
      <c r="B99" t="s">
        <v>3945</v>
      </c>
    </row>
    <row r="100" spans="1:2" x14ac:dyDescent="0.25">
      <c r="A100" t="s">
        <v>4060</v>
      </c>
      <c r="B100" t="s">
        <v>4061</v>
      </c>
    </row>
    <row r="101" spans="1:2" x14ac:dyDescent="0.25">
      <c r="A101" t="s">
        <v>3913</v>
      </c>
      <c r="B101" t="s">
        <v>3914</v>
      </c>
    </row>
    <row r="102" spans="1:2" x14ac:dyDescent="0.25">
      <c r="A102" t="s">
        <v>4353</v>
      </c>
      <c r="B102" t="s">
        <v>4354</v>
      </c>
    </row>
    <row r="103" spans="1:2" x14ac:dyDescent="0.25">
      <c r="A103" t="s">
        <v>4337</v>
      </c>
      <c r="B103" t="s">
        <v>4338</v>
      </c>
    </row>
    <row r="104" spans="1:2" x14ac:dyDescent="0.25">
      <c r="A104" t="s">
        <v>4002</v>
      </c>
      <c r="B104" t="s">
        <v>4003</v>
      </c>
    </row>
    <row r="105" spans="1:2" x14ac:dyDescent="0.25">
      <c r="A105" t="s">
        <v>3933</v>
      </c>
      <c r="B105" t="s">
        <v>3934</v>
      </c>
    </row>
    <row r="106" spans="1:2" x14ac:dyDescent="0.25">
      <c r="A106" t="s">
        <v>4365</v>
      </c>
      <c r="B106" t="s">
        <v>4366</v>
      </c>
    </row>
    <row r="107" spans="1:2" x14ac:dyDescent="0.25">
      <c r="A107" t="s">
        <v>4324</v>
      </c>
      <c r="B107" t="s">
        <v>224</v>
      </c>
    </row>
    <row r="108" spans="1:2" x14ac:dyDescent="0.25">
      <c r="A108" t="s">
        <v>3827</v>
      </c>
      <c r="B108" t="s">
        <v>3828</v>
      </c>
    </row>
    <row r="109" spans="1:2" x14ac:dyDescent="0.25">
      <c r="A109" t="s">
        <v>4320</v>
      </c>
      <c r="B109" t="s">
        <v>4321</v>
      </c>
    </row>
    <row r="110" spans="1:2" x14ac:dyDescent="0.25">
      <c r="A110" t="s">
        <v>3877</v>
      </c>
      <c r="B110" t="s">
        <v>3878</v>
      </c>
    </row>
    <row r="111" spans="1:2" x14ac:dyDescent="0.25">
      <c r="A111" t="s">
        <v>4069</v>
      </c>
      <c r="B111" t="s">
        <v>4070</v>
      </c>
    </row>
    <row r="112" spans="1:2" x14ac:dyDescent="0.25">
      <c r="A112" t="s">
        <v>4370</v>
      </c>
      <c r="B112" t="s">
        <v>4371</v>
      </c>
    </row>
    <row r="113" spans="1:2" x14ac:dyDescent="0.25">
      <c r="A113" t="s">
        <v>3892</v>
      </c>
      <c r="B113" t="s">
        <v>3893</v>
      </c>
    </row>
    <row r="114" spans="1:2" x14ac:dyDescent="0.25">
      <c r="A114" t="s">
        <v>4342</v>
      </c>
      <c r="B114" t="s">
        <v>4343</v>
      </c>
    </row>
    <row r="115" spans="1:2" x14ac:dyDescent="0.25">
      <c r="A115" t="s">
        <v>3909</v>
      </c>
      <c r="B115" t="s">
        <v>3910</v>
      </c>
    </row>
    <row r="116" spans="1:2" x14ac:dyDescent="0.25">
      <c r="A116" t="s">
        <v>4102</v>
      </c>
      <c r="B116" t="s">
        <v>4103</v>
      </c>
    </row>
    <row r="117" spans="1:2" x14ac:dyDescent="0.25">
      <c r="A117" t="s">
        <v>4216</v>
      </c>
      <c r="B117" t="s">
        <v>4217</v>
      </c>
    </row>
    <row r="118" spans="1:2" x14ac:dyDescent="0.25">
      <c r="A118" t="s">
        <v>3956</v>
      </c>
      <c r="B118" t="s">
        <v>3957</v>
      </c>
    </row>
    <row r="119" spans="1:2" x14ac:dyDescent="0.25">
      <c r="A119" t="s">
        <v>3806</v>
      </c>
      <c r="B119" t="s">
        <v>3807</v>
      </c>
    </row>
    <row r="120" spans="1:2" x14ac:dyDescent="0.25">
      <c r="A120" t="s">
        <v>3948</v>
      </c>
      <c r="B120" t="s">
        <v>3949</v>
      </c>
    </row>
    <row r="121" spans="1:2" x14ac:dyDescent="0.25">
      <c r="A121" t="s">
        <v>3969</v>
      </c>
      <c r="B121" t="s">
        <v>3970</v>
      </c>
    </row>
    <row r="122" spans="1:2" x14ac:dyDescent="0.25">
      <c r="A122" t="s">
        <v>4119</v>
      </c>
      <c r="B122" t="s">
        <v>4120</v>
      </c>
    </row>
    <row r="123" spans="1:2" x14ac:dyDescent="0.25">
      <c r="A123" t="s">
        <v>3834</v>
      </c>
      <c r="B123" t="s">
        <v>3835</v>
      </c>
    </row>
    <row r="124" spans="1:2" x14ac:dyDescent="0.25">
      <c r="A124" t="s">
        <v>4179</v>
      </c>
      <c r="B124" t="s">
        <v>4180</v>
      </c>
    </row>
    <row r="125" spans="1:2" x14ac:dyDescent="0.25">
      <c r="A125" t="s">
        <v>3973</v>
      </c>
      <c r="B125" t="s">
        <v>3974</v>
      </c>
    </row>
    <row r="126" spans="1:2" x14ac:dyDescent="0.25">
      <c r="A126" t="s">
        <v>4219</v>
      </c>
      <c r="B126" t="s">
        <v>4220</v>
      </c>
    </row>
    <row r="127" spans="1:2" x14ac:dyDescent="0.25">
      <c r="A127" t="s">
        <v>4139</v>
      </c>
      <c r="B127" t="s">
        <v>4140</v>
      </c>
    </row>
    <row r="128" spans="1:2" x14ac:dyDescent="0.25">
      <c r="A128" t="s">
        <v>3900</v>
      </c>
      <c r="B128" t="s">
        <v>3901</v>
      </c>
    </row>
    <row r="129" spans="1:2" x14ac:dyDescent="0.25">
      <c r="A129" t="s">
        <v>4135</v>
      </c>
      <c r="B129" t="s">
        <v>4136</v>
      </c>
    </row>
    <row r="130" spans="1:2" x14ac:dyDescent="0.25">
      <c r="A130" t="s">
        <v>4308</v>
      </c>
      <c r="B130" t="s">
        <v>4309</v>
      </c>
    </row>
    <row r="131" spans="1:2" x14ac:dyDescent="0.25">
      <c r="A131" t="s">
        <v>4006</v>
      </c>
      <c r="B131" t="s">
        <v>4007</v>
      </c>
    </row>
    <row r="132" spans="1:2" x14ac:dyDescent="0.25">
      <c r="A132" t="s">
        <v>4232</v>
      </c>
      <c r="B132" t="s">
        <v>4233</v>
      </c>
    </row>
    <row r="133" spans="1:2" x14ac:dyDescent="0.25">
      <c r="A133" t="s">
        <v>3814</v>
      </c>
      <c r="B133" t="s">
        <v>3815</v>
      </c>
    </row>
    <row r="134" spans="1:2" x14ac:dyDescent="0.25">
      <c r="A134" t="s">
        <v>4206</v>
      </c>
      <c r="B134" t="s">
        <v>4207</v>
      </c>
    </row>
    <row r="135" spans="1:2" x14ac:dyDescent="0.25">
      <c r="A135" t="s">
        <v>4189</v>
      </c>
      <c r="B135" t="s">
        <v>4190</v>
      </c>
    </row>
    <row r="136" spans="1:2" x14ac:dyDescent="0.25">
      <c r="A136" t="s">
        <v>3823</v>
      </c>
      <c r="B136" t="s">
        <v>3824</v>
      </c>
    </row>
    <row r="137" spans="1:2" x14ac:dyDescent="0.25">
      <c r="A137" t="s">
        <v>4109</v>
      </c>
      <c r="B137" t="s">
        <v>4110</v>
      </c>
    </row>
    <row r="138" spans="1:2" x14ac:dyDescent="0.25">
      <c r="A138" t="s">
        <v>4256</v>
      </c>
      <c r="B138" t="s">
        <v>4257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823CE-5CB1-438C-81CA-1B02B339AD63}">
  <sheetPr codeName="Sheet31"/>
  <dimension ref="A1:B917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" bestFit="1" customWidth="1"/>
  </cols>
  <sheetData>
    <row r="1" spans="1:2" x14ac:dyDescent="0.25">
      <c r="A1" s="21" t="s">
        <v>205</v>
      </c>
      <c r="B1" s="21" t="s">
        <v>206</v>
      </c>
    </row>
    <row r="2" spans="1:2" x14ac:dyDescent="0.25">
      <c r="A2" t="s">
        <v>3048</v>
      </c>
      <c r="B2" t="s">
        <v>3049</v>
      </c>
    </row>
    <row r="3" spans="1:2" x14ac:dyDescent="0.25">
      <c r="A3" t="s">
        <v>1143</v>
      </c>
      <c r="B3" t="s">
        <v>1144</v>
      </c>
    </row>
    <row r="4" spans="1:2" x14ac:dyDescent="0.25">
      <c r="A4" t="s">
        <v>3366</v>
      </c>
      <c r="B4" t="s">
        <v>3367</v>
      </c>
    </row>
    <row r="5" spans="1:2" x14ac:dyDescent="0.25">
      <c r="A5" t="s">
        <v>2777</v>
      </c>
      <c r="B5" t="s">
        <v>2778</v>
      </c>
    </row>
    <row r="6" spans="1:2" x14ac:dyDescent="0.25">
      <c r="A6" t="s">
        <v>2516</v>
      </c>
      <c r="B6" t="s">
        <v>2517</v>
      </c>
    </row>
    <row r="7" spans="1:2" x14ac:dyDescent="0.25">
      <c r="A7" t="s">
        <v>3348</v>
      </c>
      <c r="B7" t="s">
        <v>3349</v>
      </c>
    </row>
    <row r="8" spans="1:2" x14ac:dyDescent="0.25">
      <c r="A8" t="s">
        <v>3434</v>
      </c>
      <c r="B8" t="s">
        <v>3435</v>
      </c>
    </row>
    <row r="9" spans="1:2" x14ac:dyDescent="0.25">
      <c r="A9" t="s">
        <v>2107</v>
      </c>
      <c r="B9" t="s">
        <v>2108</v>
      </c>
    </row>
    <row r="10" spans="1:2" x14ac:dyDescent="0.25">
      <c r="A10" t="s">
        <v>2406</v>
      </c>
      <c r="B10" t="s">
        <v>2407</v>
      </c>
    </row>
    <row r="11" spans="1:2" x14ac:dyDescent="0.25">
      <c r="A11" t="s">
        <v>1864</v>
      </c>
      <c r="B11" t="s">
        <v>1865</v>
      </c>
    </row>
    <row r="12" spans="1:2" x14ac:dyDescent="0.25">
      <c r="A12" t="s">
        <v>1363</v>
      </c>
      <c r="B12" t="s">
        <v>1364</v>
      </c>
    </row>
    <row r="13" spans="1:2" x14ac:dyDescent="0.25">
      <c r="A13" t="s">
        <v>686</v>
      </c>
      <c r="B13" t="s">
        <v>687</v>
      </c>
    </row>
    <row r="14" spans="1:2" x14ac:dyDescent="0.25">
      <c r="A14" t="s">
        <v>2287</v>
      </c>
      <c r="B14" t="s">
        <v>2288</v>
      </c>
    </row>
    <row r="15" spans="1:2" x14ac:dyDescent="0.25">
      <c r="A15" t="s">
        <v>3380</v>
      </c>
      <c r="B15" t="s">
        <v>3381</v>
      </c>
    </row>
    <row r="16" spans="1:2" x14ac:dyDescent="0.25">
      <c r="A16" t="s">
        <v>690</v>
      </c>
      <c r="B16" t="s">
        <v>691</v>
      </c>
    </row>
    <row r="17" spans="1:2" x14ac:dyDescent="0.25">
      <c r="A17" t="s">
        <v>2382</v>
      </c>
      <c r="B17" t="s">
        <v>2383</v>
      </c>
    </row>
    <row r="18" spans="1:2" x14ac:dyDescent="0.25">
      <c r="A18" t="s">
        <v>2758</v>
      </c>
      <c r="B18" t="s">
        <v>2759</v>
      </c>
    </row>
    <row r="19" spans="1:2" x14ac:dyDescent="0.25">
      <c r="A19" t="s">
        <v>3042</v>
      </c>
      <c r="B19" t="s">
        <v>3043</v>
      </c>
    </row>
    <row r="20" spans="1:2" x14ac:dyDescent="0.25">
      <c r="A20" t="s">
        <v>2425</v>
      </c>
      <c r="B20" t="s">
        <v>2426</v>
      </c>
    </row>
    <row r="21" spans="1:2" x14ac:dyDescent="0.25">
      <c r="A21" t="s">
        <v>790</v>
      </c>
      <c r="B21" t="s">
        <v>791</v>
      </c>
    </row>
    <row r="22" spans="1:2" x14ac:dyDescent="0.25">
      <c r="A22" t="s">
        <v>660</v>
      </c>
      <c r="B22" t="s">
        <v>661</v>
      </c>
    </row>
    <row r="23" spans="1:2" x14ac:dyDescent="0.25">
      <c r="A23" t="s">
        <v>934</v>
      </c>
      <c r="B23" t="s">
        <v>935</v>
      </c>
    </row>
    <row r="24" spans="1:2" x14ac:dyDescent="0.25">
      <c r="A24" t="s">
        <v>3691</v>
      </c>
      <c r="B24" t="s">
        <v>3692</v>
      </c>
    </row>
    <row r="25" spans="1:2" x14ac:dyDescent="0.25">
      <c r="A25" t="s">
        <v>3134</v>
      </c>
      <c r="B25" t="s">
        <v>3135</v>
      </c>
    </row>
    <row r="26" spans="1:2" x14ac:dyDescent="0.25">
      <c r="A26" t="s">
        <v>994</v>
      </c>
      <c r="B26" t="s">
        <v>995</v>
      </c>
    </row>
    <row r="27" spans="1:2" x14ac:dyDescent="0.25">
      <c r="A27" t="s">
        <v>3248</v>
      </c>
      <c r="B27" t="s">
        <v>3249</v>
      </c>
    </row>
    <row r="28" spans="1:2" x14ac:dyDescent="0.25">
      <c r="A28" t="s">
        <v>2976</v>
      </c>
      <c r="B28" t="s">
        <v>2977</v>
      </c>
    </row>
    <row r="29" spans="1:2" x14ac:dyDescent="0.25">
      <c r="A29" t="s">
        <v>2037</v>
      </c>
      <c r="B29" t="s">
        <v>2038</v>
      </c>
    </row>
    <row r="30" spans="1:2" x14ac:dyDescent="0.25">
      <c r="A30" t="s">
        <v>1070</v>
      </c>
      <c r="B30" t="s">
        <v>1071</v>
      </c>
    </row>
    <row r="31" spans="1:2" x14ac:dyDescent="0.25">
      <c r="A31" t="s">
        <v>2104</v>
      </c>
      <c r="B31" t="s">
        <v>2105</v>
      </c>
    </row>
    <row r="32" spans="1:2" x14ac:dyDescent="0.25">
      <c r="A32" t="s">
        <v>1997</v>
      </c>
      <c r="B32" t="s">
        <v>1998</v>
      </c>
    </row>
    <row r="33" spans="1:2" x14ac:dyDescent="0.25">
      <c r="A33" t="s">
        <v>2633</v>
      </c>
      <c r="B33" t="s">
        <v>2634</v>
      </c>
    </row>
    <row r="34" spans="1:2" x14ac:dyDescent="0.25">
      <c r="A34" t="s">
        <v>3099</v>
      </c>
      <c r="B34" t="s">
        <v>3100</v>
      </c>
    </row>
    <row r="35" spans="1:2" x14ac:dyDescent="0.25">
      <c r="A35" t="s">
        <v>3607</v>
      </c>
      <c r="B35" t="s">
        <v>3608</v>
      </c>
    </row>
    <row r="36" spans="1:2" x14ac:dyDescent="0.25">
      <c r="A36" t="s">
        <v>2328</v>
      </c>
      <c r="B36" t="s">
        <v>2329</v>
      </c>
    </row>
    <row r="37" spans="1:2" x14ac:dyDescent="0.25">
      <c r="A37" t="s">
        <v>3437</v>
      </c>
      <c r="B37" t="s">
        <v>3438</v>
      </c>
    </row>
    <row r="38" spans="1:2" x14ac:dyDescent="0.25">
      <c r="A38" t="s">
        <v>2415</v>
      </c>
      <c r="B38" t="s">
        <v>2416</v>
      </c>
    </row>
    <row r="39" spans="1:2" x14ac:dyDescent="0.25">
      <c r="A39" t="s">
        <v>1328</v>
      </c>
      <c r="B39" t="s">
        <v>1329</v>
      </c>
    </row>
    <row r="40" spans="1:2" x14ac:dyDescent="0.25">
      <c r="A40" t="s">
        <v>701</v>
      </c>
      <c r="B40" t="s">
        <v>702</v>
      </c>
    </row>
    <row r="41" spans="1:2" x14ac:dyDescent="0.25">
      <c r="A41" t="s">
        <v>1275</v>
      </c>
      <c r="B41" t="s">
        <v>1276</v>
      </c>
    </row>
    <row r="42" spans="1:2" x14ac:dyDescent="0.25">
      <c r="A42" t="s">
        <v>3764</v>
      </c>
      <c r="B42" t="s">
        <v>3765</v>
      </c>
    </row>
    <row r="43" spans="1:2" x14ac:dyDescent="0.25">
      <c r="A43" t="s">
        <v>2817</v>
      </c>
      <c r="B43" t="s">
        <v>2818</v>
      </c>
    </row>
    <row r="44" spans="1:2" x14ac:dyDescent="0.25">
      <c r="A44" t="s">
        <v>3651</v>
      </c>
      <c r="B44" t="s">
        <v>360</v>
      </c>
    </row>
    <row r="45" spans="1:2" x14ac:dyDescent="0.25">
      <c r="A45" t="s">
        <v>2970</v>
      </c>
      <c r="B45" t="s">
        <v>2971</v>
      </c>
    </row>
    <row r="46" spans="1:2" x14ac:dyDescent="0.25">
      <c r="A46" t="s">
        <v>783</v>
      </c>
      <c r="B46" t="s">
        <v>784</v>
      </c>
    </row>
    <row r="47" spans="1:2" x14ac:dyDescent="0.25">
      <c r="A47" t="s">
        <v>2625</v>
      </c>
      <c r="B47" t="s">
        <v>2626</v>
      </c>
    </row>
    <row r="48" spans="1:2" x14ac:dyDescent="0.25">
      <c r="A48" t="s">
        <v>2152</v>
      </c>
      <c r="B48" t="s">
        <v>2153</v>
      </c>
    </row>
    <row r="49" spans="1:2" x14ac:dyDescent="0.25">
      <c r="A49" t="s">
        <v>3118</v>
      </c>
      <c r="B49" t="s">
        <v>3119</v>
      </c>
    </row>
    <row r="50" spans="1:2" x14ac:dyDescent="0.25">
      <c r="A50" t="s">
        <v>2877</v>
      </c>
      <c r="B50" t="s">
        <v>2878</v>
      </c>
    </row>
    <row r="51" spans="1:2" x14ac:dyDescent="0.25">
      <c r="A51" t="s">
        <v>2163</v>
      </c>
      <c r="B51" t="s">
        <v>2164</v>
      </c>
    </row>
    <row r="52" spans="1:2" x14ac:dyDescent="0.25">
      <c r="A52" t="s">
        <v>2883</v>
      </c>
      <c r="B52" t="s">
        <v>2884</v>
      </c>
    </row>
    <row r="53" spans="1:2" x14ac:dyDescent="0.25">
      <c r="A53" t="s">
        <v>1752</v>
      </c>
      <c r="B53" t="s">
        <v>1753</v>
      </c>
    </row>
    <row r="54" spans="1:2" x14ac:dyDescent="0.25">
      <c r="A54" t="s">
        <v>1707</v>
      </c>
      <c r="B54" t="s">
        <v>1708</v>
      </c>
    </row>
    <row r="55" spans="1:2" x14ac:dyDescent="0.25">
      <c r="A55" t="s">
        <v>3158</v>
      </c>
      <c r="B55" t="s">
        <v>3159</v>
      </c>
    </row>
    <row r="56" spans="1:2" x14ac:dyDescent="0.25">
      <c r="A56" t="s">
        <v>3024</v>
      </c>
      <c r="B56" t="s">
        <v>3025</v>
      </c>
    </row>
    <row r="57" spans="1:2" x14ac:dyDescent="0.25">
      <c r="A57" t="s">
        <v>974</v>
      </c>
      <c r="B57" t="s">
        <v>975</v>
      </c>
    </row>
    <row r="58" spans="1:2" x14ac:dyDescent="0.25">
      <c r="A58" t="s">
        <v>1818</v>
      </c>
      <c r="B58" t="s">
        <v>1819</v>
      </c>
    </row>
    <row r="59" spans="1:2" x14ac:dyDescent="0.25">
      <c r="A59" t="s">
        <v>1687</v>
      </c>
      <c r="B59" t="s">
        <v>1688</v>
      </c>
    </row>
    <row r="60" spans="1:2" x14ac:dyDescent="0.25">
      <c r="A60" t="s">
        <v>1076</v>
      </c>
      <c r="B60" t="s">
        <v>1077</v>
      </c>
    </row>
    <row r="61" spans="1:2" x14ac:dyDescent="0.25">
      <c r="A61" t="s">
        <v>924</v>
      </c>
      <c r="B61" t="s">
        <v>925</v>
      </c>
    </row>
    <row r="62" spans="1:2" x14ac:dyDescent="0.25">
      <c r="A62" t="s">
        <v>2597</v>
      </c>
      <c r="B62" t="s">
        <v>2598</v>
      </c>
    </row>
    <row r="63" spans="1:2" x14ac:dyDescent="0.25">
      <c r="A63" t="s">
        <v>2485</v>
      </c>
      <c r="B63" t="s">
        <v>2486</v>
      </c>
    </row>
    <row r="64" spans="1:2" x14ac:dyDescent="0.25">
      <c r="A64" t="s">
        <v>3007</v>
      </c>
      <c r="B64" t="s">
        <v>3008</v>
      </c>
    </row>
    <row r="65" spans="1:2" x14ac:dyDescent="0.25">
      <c r="A65" t="s">
        <v>2705</v>
      </c>
      <c r="B65" t="s">
        <v>2706</v>
      </c>
    </row>
    <row r="66" spans="1:2" x14ac:dyDescent="0.25">
      <c r="A66" t="s">
        <v>3218</v>
      </c>
      <c r="B66" t="s">
        <v>3219</v>
      </c>
    </row>
    <row r="67" spans="1:2" x14ac:dyDescent="0.25">
      <c r="A67" t="s">
        <v>2133</v>
      </c>
      <c r="B67" t="s">
        <v>2134</v>
      </c>
    </row>
    <row r="68" spans="1:2" x14ac:dyDescent="0.25">
      <c r="A68" t="s">
        <v>3475</v>
      </c>
      <c r="B68" t="s">
        <v>3476</v>
      </c>
    </row>
    <row r="69" spans="1:2" x14ac:dyDescent="0.25">
      <c r="A69" t="s">
        <v>1831</v>
      </c>
      <c r="B69" t="s">
        <v>1832</v>
      </c>
    </row>
    <row r="70" spans="1:2" x14ac:dyDescent="0.25">
      <c r="A70" t="s">
        <v>3054</v>
      </c>
      <c r="B70" t="s">
        <v>3055</v>
      </c>
    </row>
    <row r="71" spans="1:2" x14ac:dyDescent="0.25">
      <c r="A71" t="s">
        <v>2055</v>
      </c>
      <c r="B71" t="s">
        <v>2056</v>
      </c>
    </row>
    <row r="72" spans="1:2" x14ac:dyDescent="0.25">
      <c r="A72" t="s">
        <v>3340</v>
      </c>
      <c r="B72" t="s">
        <v>3341</v>
      </c>
    </row>
    <row r="73" spans="1:2" x14ac:dyDescent="0.25">
      <c r="A73" t="s">
        <v>2814</v>
      </c>
      <c r="B73" t="s">
        <v>2815</v>
      </c>
    </row>
    <row r="74" spans="1:2" x14ac:dyDescent="0.25">
      <c r="A74" t="s">
        <v>1294</v>
      </c>
      <c r="B74" t="s">
        <v>1295</v>
      </c>
    </row>
    <row r="75" spans="1:2" x14ac:dyDescent="0.25">
      <c r="A75" t="s">
        <v>1883</v>
      </c>
      <c r="B75" t="s">
        <v>1884</v>
      </c>
    </row>
    <row r="76" spans="1:2" x14ac:dyDescent="0.25">
      <c r="A76" t="s">
        <v>1391</v>
      </c>
      <c r="B76" t="s">
        <v>1392</v>
      </c>
    </row>
    <row r="77" spans="1:2" x14ac:dyDescent="0.25">
      <c r="A77" t="s">
        <v>2887</v>
      </c>
      <c r="B77" t="s">
        <v>2888</v>
      </c>
    </row>
    <row r="78" spans="1:2" x14ac:dyDescent="0.25">
      <c r="A78" t="s">
        <v>2664</v>
      </c>
      <c r="B78" t="s">
        <v>2665</v>
      </c>
    </row>
    <row r="79" spans="1:2" x14ac:dyDescent="0.25">
      <c r="A79" t="s">
        <v>3210</v>
      </c>
      <c r="B79" t="s">
        <v>3211</v>
      </c>
    </row>
    <row r="80" spans="1:2" x14ac:dyDescent="0.25">
      <c r="A80" t="s">
        <v>3431</v>
      </c>
      <c r="B80" t="s">
        <v>3432</v>
      </c>
    </row>
    <row r="81" spans="1:2" x14ac:dyDescent="0.25">
      <c r="A81" t="s">
        <v>1755</v>
      </c>
      <c r="B81" t="s">
        <v>1756</v>
      </c>
    </row>
    <row r="82" spans="1:2" x14ac:dyDescent="0.25">
      <c r="A82" t="s">
        <v>3564</v>
      </c>
      <c r="B82" t="s">
        <v>3565</v>
      </c>
    </row>
    <row r="83" spans="1:2" x14ac:dyDescent="0.25">
      <c r="A83" t="s">
        <v>2313</v>
      </c>
      <c r="B83" t="s">
        <v>2314</v>
      </c>
    </row>
    <row r="84" spans="1:2" x14ac:dyDescent="0.25">
      <c r="A84" t="s">
        <v>3010</v>
      </c>
      <c r="B84" t="s">
        <v>3011</v>
      </c>
    </row>
    <row r="85" spans="1:2" x14ac:dyDescent="0.25">
      <c r="A85" t="s">
        <v>913</v>
      </c>
      <c r="B85" t="s">
        <v>914</v>
      </c>
    </row>
    <row r="86" spans="1:2" x14ac:dyDescent="0.25">
      <c r="A86" t="s">
        <v>3330</v>
      </c>
      <c r="B86" t="s">
        <v>3331</v>
      </c>
    </row>
    <row r="87" spans="1:2" x14ac:dyDescent="0.25">
      <c r="A87" t="s">
        <v>3149</v>
      </c>
      <c r="B87" t="s">
        <v>3150</v>
      </c>
    </row>
    <row r="88" spans="1:2" x14ac:dyDescent="0.25">
      <c r="A88" t="s">
        <v>3601</v>
      </c>
      <c r="B88" t="s">
        <v>3602</v>
      </c>
    </row>
    <row r="89" spans="1:2" x14ac:dyDescent="0.25">
      <c r="A89" t="s">
        <v>2095</v>
      </c>
      <c r="B89" t="s">
        <v>2096</v>
      </c>
    </row>
    <row r="90" spans="1:2" x14ac:dyDescent="0.25">
      <c r="A90" t="s">
        <v>2187</v>
      </c>
      <c r="B90" t="s">
        <v>2188</v>
      </c>
    </row>
    <row r="91" spans="1:2" x14ac:dyDescent="0.25">
      <c r="A91" t="s">
        <v>1553</v>
      </c>
      <c r="B91" t="s">
        <v>1554</v>
      </c>
    </row>
    <row r="92" spans="1:2" x14ac:dyDescent="0.25">
      <c r="A92" t="s">
        <v>3516</v>
      </c>
      <c r="B92" t="s">
        <v>3517</v>
      </c>
    </row>
    <row r="93" spans="1:2" x14ac:dyDescent="0.25">
      <c r="A93" t="s">
        <v>670</v>
      </c>
      <c r="B93" t="s">
        <v>671</v>
      </c>
    </row>
    <row r="94" spans="1:2" x14ac:dyDescent="0.25">
      <c r="A94" t="s">
        <v>3267</v>
      </c>
      <c r="B94" t="s">
        <v>3268</v>
      </c>
    </row>
    <row r="95" spans="1:2" x14ac:dyDescent="0.25">
      <c r="A95" t="s">
        <v>3233</v>
      </c>
      <c r="B95" t="s">
        <v>3234</v>
      </c>
    </row>
    <row r="96" spans="1:2" x14ac:dyDescent="0.25">
      <c r="A96" t="s">
        <v>1963</v>
      </c>
      <c r="B96" t="s">
        <v>1964</v>
      </c>
    </row>
    <row r="97" spans="1:2" x14ac:dyDescent="0.25">
      <c r="A97" t="s">
        <v>1826</v>
      </c>
      <c r="B97" t="s">
        <v>1827</v>
      </c>
    </row>
    <row r="98" spans="1:2" x14ac:dyDescent="0.25">
      <c r="A98" t="s">
        <v>2639</v>
      </c>
      <c r="B98" t="s">
        <v>2640</v>
      </c>
    </row>
    <row r="99" spans="1:2" x14ac:dyDescent="0.25">
      <c r="A99" t="s">
        <v>3324</v>
      </c>
      <c r="B99" t="s">
        <v>3325</v>
      </c>
    </row>
    <row r="100" spans="1:2" x14ac:dyDescent="0.25">
      <c r="A100" t="s">
        <v>1673</v>
      </c>
      <c r="B100" t="s">
        <v>1674</v>
      </c>
    </row>
    <row r="101" spans="1:2" x14ac:dyDescent="0.25">
      <c r="A101" t="s">
        <v>2811</v>
      </c>
      <c r="B101" t="s">
        <v>2812</v>
      </c>
    </row>
    <row r="102" spans="1:2" x14ac:dyDescent="0.25">
      <c r="A102" t="s">
        <v>1334</v>
      </c>
      <c r="B102" t="s">
        <v>1335</v>
      </c>
    </row>
    <row r="103" spans="1:2" x14ac:dyDescent="0.25">
      <c r="A103" t="s">
        <v>2868</v>
      </c>
      <c r="B103" t="s">
        <v>2869</v>
      </c>
    </row>
    <row r="104" spans="1:2" x14ac:dyDescent="0.25">
      <c r="A104" t="s">
        <v>1066</v>
      </c>
      <c r="B104" t="s">
        <v>1067</v>
      </c>
    </row>
    <row r="105" spans="1:2" x14ac:dyDescent="0.25">
      <c r="A105" t="s">
        <v>3299</v>
      </c>
      <c r="B105" t="s">
        <v>3300</v>
      </c>
    </row>
    <row r="106" spans="1:2" x14ac:dyDescent="0.25">
      <c r="A106" t="s">
        <v>2755</v>
      </c>
      <c r="B106" t="s">
        <v>2756</v>
      </c>
    </row>
    <row r="107" spans="1:2" x14ac:dyDescent="0.25">
      <c r="A107" t="s">
        <v>2527</v>
      </c>
      <c r="B107" t="s">
        <v>2528</v>
      </c>
    </row>
    <row r="108" spans="1:2" x14ac:dyDescent="0.25">
      <c r="A108" t="s">
        <v>3063</v>
      </c>
      <c r="B108" t="s">
        <v>3064</v>
      </c>
    </row>
    <row r="109" spans="1:2" x14ac:dyDescent="0.25">
      <c r="A109" t="s">
        <v>2910</v>
      </c>
      <c r="B109" t="s">
        <v>2911</v>
      </c>
    </row>
    <row r="110" spans="1:2" x14ac:dyDescent="0.25">
      <c r="A110" t="s">
        <v>2273</v>
      </c>
      <c r="B110" t="s">
        <v>2274</v>
      </c>
    </row>
    <row r="111" spans="1:2" x14ac:dyDescent="0.25">
      <c r="A111" t="s">
        <v>991</v>
      </c>
      <c r="B111" t="s">
        <v>992</v>
      </c>
    </row>
    <row r="112" spans="1:2" x14ac:dyDescent="0.25">
      <c r="A112" t="s">
        <v>2569</v>
      </c>
      <c r="B112" t="s">
        <v>2570</v>
      </c>
    </row>
    <row r="113" spans="1:2" x14ac:dyDescent="0.25">
      <c r="A113" t="s">
        <v>711</v>
      </c>
      <c r="B113" t="s">
        <v>712</v>
      </c>
    </row>
    <row r="114" spans="1:2" x14ac:dyDescent="0.25">
      <c r="A114" t="s">
        <v>2445</v>
      </c>
      <c r="B114" t="s">
        <v>2446</v>
      </c>
    </row>
    <row r="115" spans="1:2" x14ac:dyDescent="0.25">
      <c r="A115" t="s">
        <v>1611</v>
      </c>
      <c r="B115" t="s">
        <v>1612</v>
      </c>
    </row>
    <row r="116" spans="1:2" x14ac:dyDescent="0.25">
      <c r="A116" t="s">
        <v>2076</v>
      </c>
      <c r="B116" t="s">
        <v>2077</v>
      </c>
    </row>
    <row r="117" spans="1:2" x14ac:dyDescent="0.25">
      <c r="A117" t="s">
        <v>644</v>
      </c>
      <c r="B117" t="s">
        <v>645</v>
      </c>
    </row>
    <row r="118" spans="1:2" x14ac:dyDescent="0.25">
      <c r="A118" t="s">
        <v>2928</v>
      </c>
      <c r="B118" t="s">
        <v>2929</v>
      </c>
    </row>
    <row r="119" spans="1:2" x14ac:dyDescent="0.25">
      <c r="A119" t="s">
        <v>2196</v>
      </c>
      <c r="B119" t="s">
        <v>2197</v>
      </c>
    </row>
    <row r="120" spans="1:2" x14ac:dyDescent="0.25">
      <c r="A120" t="s">
        <v>2865</v>
      </c>
      <c r="B120" t="s">
        <v>2866</v>
      </c>
    </row>
    <row r="121" spans="1:2" x14ac:dyDescent="0.25">
      <c r="A121" t="s">
        <v>3036</v>
      </c>
      <c r="B121" t="s">
        <v>3037</v>
      </c>
    </row>
    <row r="122" spans="1:2" x14ac:dyDescent="0.25">
      <c r="A122" t="s">
        <v>2722</v>
      </c>
      <c r="B122" t="s">
        <v>2723</v>
      </c>
    </row>
    <row r="123" spans="1:2" x14ac:dyDescent="0.25">
      <c r="A123" t="s">
        <v>733</v>
      </c>
      <c r="B123" t="s">
        <v>734</v>
      </c>
    </row>
    <row r="124" spans="1:2" x14ac:dyDescent="0.25">
      <c r="A124" t="s">
        <v>1339</v>
      </c>
      <c r="B124" t="s">
        <v>1340</v>
      </c>
    </row>
    <row r="125" spans="1:2" x14ac:dyDescent="0.25">
      <c r="A125" t="s">
        <v>2216</v>
      </c>
      <c r="B125" t="s">
        <v>2217</v>
      </c>
    </row>
    <row r="126" spans="1:2" x14ac:dyDescent="0.25">
      <c r="A126" t="s">
        <v>1445</v>
      </c>
      <c r="B126" t="s">
        <v>1446</v>
      </c>
    </row>
    <row r="127" spans="1:2" x14ac:dyDescent="0.25">
      <c r="A127" t="s">
        <v>2973</v>
      </c>
      <c r="B127" t="s">
        <v>2974</v>
      </c>
    </row>
    <row r="128" spans="1:2" x14ac:dyDescent="0.25">
      <c r="A128" t="s">
        <v>2309</v>
      </c>
      <c r="B128" t="s">
        <v>2310</v>
      </c>
    </row>
    <row r="129" spans="1:2" x14ac:dyDescent="0.25">
      <c r="A129" t="s">
        <v>2168</v>
      </c>
      <c r="B129" t="s">
        <v>2169</v>
      </c>
    </row>
    <row r="130" spans="1:2" x14ac:dyDescent="0.25">
      <c r="A130" t="s">
        <v>1867</v>
      </c>
      <c r="B130" t="s">
        <v>1868</v>
      </c>
    </row>
    <row r="131" spans="1:2" x14ac:dyDescent="0.25">
      <c r="A131" t="s">
        <v>2351</v>
      </c>
      <c r="B131" t="s">
        <v>2352</v>
      </c>
    </row>
    <row r="132" spans="1:2" x14ac:dyDescent="0.25">
      <c r="A132" t="s">
        <v>3273</v>
      </c>
      <c r="B132" t="s">
        <v>3274</v>
      </c>
    </row>
    <row r="133" spans="1:2" x14ac:dyDescent="0.25">
      <c r="A133" t="s">
        <v>1781</v>
      </c>
      <c r="B133" t="s">
        <v>1782</v>
      </c>
    </row>
    <row r="134" spans="1:2" x14ac:dyDescent="0.25">
      <c r="A134" t="s">
        <v>1905</v>
      </c>
      <c r="B134" t="s">
        <v>1906</v>
      </c>
    </row>
    <row r="135" spans="1:2" x14ac:dyDescent="0.25">
      <c r="A135" t="s">
        <v>2467</v>
      </c>
      <c r="B135" t="s">
        <v>2468</v>
      </c>
    </row>
    <row r="136" spans="1:2" x14ac:dyDescent="0.25">
      <c r="A136" t="s">
        <v>1216</v>
      </c>
      <c r="B136" t="s">
        <v>1217</v>
      </c>
    </row>
    <row r="137" spans="1:2" x14ac:dyDescent="0.25">
      <c r="A137" t="s">
        <v>2643</v>
      </c>
      <c r="B137" t="s">
        <v>2644</v>
      </c>
    </row>
    <row r="138" spans="1:2" x14ac:dyDescent="0.25">
      <c r="A138" t="s">
        <v>3613</v>
      </c>
      <c r="B138" t="s">
        <v>3614</v>
      </c>
    </row>
    <row r="139" spans="1:2" x14ac:dyDescent="0.25">
      <c r="A139" t="s">
        <v>2331</v>
      </c>
      <c r="B139" t="s">
        <v>2332</v>
      </c>
    </row>
    <row r="140" spans="1:2" x14ac:dyDescent="0.25">
      <c r="A140" t="s">
        <v>2476</v>
      </c>
      <c r="B140" t="s">
        <v>2477</v>
      </c>
    </row>
    <row r="141" spans="1:2" x14ac:dyDescent="0.25">
      <c r="A141" t="s">
        <v>3755</v>
      </c>
      <c r="B141" t="s">
        <v>3756</v>
      </c>
    </row>
    <row r="142" spans="1:2" x14ac:dyDescent="0.25">
      <c r="A142" t="s">
        <v>3775</v>
      </c>
      <c r="B142" t="s">
        <v>3756</v>
      </c>
    </row>
    <row r="143" spans="1:2" x14ac:dyDescent="0.25">
      <c r="A143" t="s">
        <v>1501</v>
      </c>
      <c r="B143" t="s">
        <v>1502</v>
      </c>
    </row>
    <row r="144" spans="1:2" x14ac:dyDescent="0.25">
      <c r="A144" t="s">
        <v>693</v>
      </c>
      <c r="B144" t="s">
        <v>694</v>
      </c>
    </row>
    <row r="145" spans="1:2" x14ac:dyDescent="0.25">
      <c r="A145" t="s">
        <v>3761</v>
      </c>
      <c r="B145" t="s">
        <v>3762</v>
      </c>
    </row>
    <row r="146" spans="1:2" x14ac:dyDescent="0.25">
      <c r="A146" t="s">
        <v>3717</v>
      </c>
      <c r="B146" t="s">
        <v>3718</v>
      </c>
    </row>
    <row r="147" spans="1:2" x14ac:dyDescent="0.25">
      <c r="A147" t="s">
        <v>2563</v>
      </c>
      <c r="B147" t="s">
        <v>2564</v>
      </c>
    </row>
    <row r="148" spans="1:2" x14ac:dyDescent="0.25">
      <c r="A148" t="s">
        <v>2148</v>
      </c>
      <c r="B148" t="s">
        <v>2149</v>
      </c>
    </row>
    <row r="149" spans="1:2" x14ac:dyDescent="0.25">
      <c r="A149" t="s">
        <v>2603</v>
      </c>
      <c r="B149" t="s">
        <v>2604</v>
      </c>
    </row>
    <row r="150" spans="1:2" x14ac:dyDescent="0.25">
      <c r="A150" t="s">
        <v>1418</v>
      </c>
      <c r="B150" t="s">
        <v>1419</v>
      </c>
    </row>
    <row r="151" spans="1:2" x14ac:dyDescent="0.25">
      <c r="A151" t="s">
        <v>2422</v>
      </c>
      <c r="B151" t="s">
        <v>2423</v>
      </c>
    </row>
    <row r="152" spans="1:2" x14ac:dyDescent="0.25">
      <c r="A152" t="s">
        <v>3108</v>
      </c>
      <c r="B152" t="s">
        <v>3109</v>
      </c>
    </row>
    <row r="153" spans="1:2" x14ac:dyDescent="0.25">
      <c r="A153" t="s">
        <v>2844</v>
      </c>
      <c r="B153" t="s">
        <v>2845</v>
      </c>
    </row>
    <row r="154" spans="1:2" x14ac:dyDescent="0.25">
      <c r="A154" t="s">
        <v>1482</v>
      </c>
      <c r="B154" t="s">
        <v>1483</v>
      </c>
    </row>
    <row r="155" spans="1:2" x14ac:dyDescent="0.25">
      <c r="A155" t="s">
        <v>3389</v>
      </c>
      <c r="B155" t="s">
        <v>3390</v>
      </c>
    </row>
    <row r="156" spans="1:2" x14ac:dyDescent="0.25">
      <c r="A156" t="s">
        <v>1569</v>
      </c>
      <c r="B156" t="s">
        <v>607</v>
      </c>
    </row>
    <row r="157" spans="1:2" x14ac:dyDescent="0.25">
      <c r="A157" t="s">
        <v>3699</v>
      </c>
      <c r="B157" t="s">
        <v>3700</v>
      </c>
    </row>
    <row r="158" spans="1:2" x14ac:dyDescent="0.25">
      <c r="A158" t="s">
        <v>677</v>
      </c>
      <c r="B158" t="s">
        <v>678</v>
      </c>
    </row>
    <row r="159" spans="1:2" x14ac:dyDescent="0.25">
      <c r="A159" t="s">
        <v>696</v>
      </c>
      <c r="B159" t="s">
        <v>697</v>
      </c>
    </row>
    <row r="160" spans="1:2" x14ac:dyDescent="0.25">
      <c r="A160" t="s">
        <v>3540</v>
      </c>
      <c r="B160" t="s">
        <v>3541</v>
      </c>
    </row>
    <row r="161" spans="1:2" x14ac:dyDescent="0.25">
      <c r="A161" t="s">
        <v>3546</v>
      </c>
      <c r="B161" t="s">
        <v>3547</v>
      </c>
    </row>
    <row r="162" spans="1:2" x14ac:dyDescent="0.25">
      <c r="A162" t="s">
        <v>807</v>
      </c>
      <c r="B162" t="s">
        <v>808</v>
      </c>
    </row>
    <row r="163" spans="1:2" x14ac:dyDescent="0.25">
      <c r="A163" t="s">
        <v>3519</v>
      </c>
      <c r="B163" t="s">
        <v>3520</v>
      </c>
    </row>
    <row r="164" spans="1:2" x14ac:dyDescent="0.25">
      <c r="A164" t="s">
        <v>2951</v>
      </c>
      <c r="B164" t="s">
        <v>2952</v>
      </c>
    </row>
    <row r="165" spans="1:2" x14ac:dyDescent="0.25">
      <c r="A165" t="s">
        <v>1991</v>
      </c>
      <c r="B165" t="s">
        <v>1992</v>
      </c>
    </row>
    <row r="166" spans="1:2" x14ac:dyDescent="0.25">
      <c r="A166" t="s">
        <v>3726</v>
      </c>
      <c r="B166" t="s">
        <v>3727</v>
      </c>
    </row>
    <row r="167" spans="1:2" x14ac:dyDescent="0.25">
      <c r="A167" t="s">
        <v>2225</v>
      </c>
      <c r="B167" t="s">
        <v>2226</v>
      </c>
    </row>
    <row r="168" spans="1:2" x14ac:dyDescent="0.25">
      <c r="A168" t="s">
        <v>2473</v>
      </c>
      <c r="B168" t="s">
        <v>2474</v>
      </c>
    </row>
    <row r="169" spans="1:2" x14ac:dyDescent="0.25">
      <c r="A169" t="s">
        <v>1073</v>
      </c>
      <c r="B169" t="s">
        <v>1074</v>
      </c>
    </row>
    <row r="170" spans="1:2" x14ac:dyDescent="0.25">
      <c r="A170" t="s">
        <v>811</v>
      </c>
      <c r="B170" t="s">
        <v>812</v>
      </c>
    </row>
    <row r="171" spans="1:2" x14ac:dyDescent="0.25">
      <c r="A171" t="s">
        <v>1799</v>
      </c>
      <c r="B171" t="s">
        <v>1800</v>
      </c>
    </row>
    <row r="172" spans="1:2" x14ac:dyDescent="0.25">
      <c r="A172" t="s">
        <v>2461</v>
      </c>
      <c r="B172" t="s">
        <v>2462</v>
      </c>
    </row>
    <row r="173" spans="1:2" x14ac:dyDescent="0.25">
      <c r="A173" t="s">
        <v>2495</v>
      </c>
      <c r="B173" t="s">
        <v>2496</v>
      </c>
    </row>
    <row r="174" spans="1:2" x14ac:dyDescent="0.25">
      <c r="A174" t="s">
        <v>2823</v>
      </c>
      <c r="B174" t="s">
        <v>2824</v>
      </c>
    </row>
    <row r="175" spans="1:2" x14ac:dyDescent="0.25">
      <c r="A175" t="s">
        <v>773</v>
      </c>
      <c r="B175" t="s">
        <v>774</v>
      </c>
    </row>
    <row r="176" spans="1:2" x14ac:dyDescent="0.25">
      <c r="A176" t="s">
        <v>3729</v>
      </c>
      <c r="B176" t="s">
        <v>3730</v>
      </c>
    </row>
    <row r="177" spans="1:2" x14ac:dyDescent="0.25">
      <c r="A177" t="s">
        <v>1845</v>
      </c>
      <c r="B177" t="s">
        <v>1846</v>
      </c>
    </row>
    <row r="178" spans="1:2" x14ac:dyDescent="0.25">
      <c r="A178" t="s">
        <v>947</v>
      </c>
      <c r="B178" t="s">
        <v>948</v>
      </c>
    </row>
    <row r="179" spans="1:2" x14ac:dyDescent="0.25">
      <c r="A179" t="s">
        <v>1556</v>
      </c>
      <c r="B179" t="s">
        <v>1557</v>
      </c>
    </row>
    <row r="180" spans="1:2" x14ac:dyDescent="0.25">
      <c r="A180" t="s">
        <v>1529</v>
      </c>
      <c r="B180" t="s">
        <v>1530</v>
      </c>
    </row>
    <row r="181" spans="1:2" x14ac:dyDescent="0.25">
      <c r="A181" t="s">
        <v>3586</v>
      </c>
      <c r="B181" t="s">
        <v>3587</v>
      </c>
    </row>
    <row r="182" spans="1:2" x14ac:dyDescent="0.25">
      <c r="A182" t="s">
        <v>2136</v>
      </c>
      <c r="B182" t="s">
        <v>2137</v>
      </c>
    </row>
    <row r="183" spans="1:2" x14ac:dyDescent="0.25">
      <c r="A183" t="s">
        <v>1178</v>
      </c>
      <c r="B183" t="s">
        <v>1179</v>
      </c>
    </row>
    <row r="184" spans="1:2" x14ac:dyDescent="0.25">
      <c r="A184" t="s">
        <v>1943</v>
      </c>
      <c r="B184" t="s">
        <v>1944</v>
      </c>
    </row>
    <row r="185" spans="1:2" x14ac:dyDescent="0.25">
      <c r="A185" t="s">
        <v>3321</v>
      </c>
      <c r="B185" t="s">
        <v>3322</v>
      </c>
    </row>
    <row r="186" spans="1:2" x14ac:dyDescent="0.25">
      <c r="A186" t="s">
        <v>2325</v>
      </c>
      <c r="B186" t="s">
        <v>2326</v>
      </c>
    </row>
    <row r="187" spans="1:2" x14ac:dyDescent="0.25">
      <c r="A187" t="s">
        <v>3288</v>
      </c>
      <c r="B187" t="s">
        <v>3289</v>
      </c>
    </row>
    <row r="188" spans="1:2" x14ac:dyDescent="0.25">
      <c r="A188" t="s">
        <v>3528</v>
      </c>
      <c r="B188" t="s">
        <v>3529</v>
      </c>
    </row>
    <row r="189" spans="1:2" x14ac:dyDescent="0.25">
      <c r="A189" t="s">
        <v>1778</v>
      </c>
      <c r="B189" t="s">
        <v>1779</v>
      </c>
    </row>
    <row r="190" spans="1:2" x14ac:dyDescent="0.25">
      <c r="A190" t="s">
        <v>3357</v>
      </c>
      <c r="B190" t="s">
        <v>3358</v>
      </c>
    </row>
    <row r="191" spans="1:2" x14ac:dyDescent="0.25">
      <c r="A191" t="s">
        <v>2734</v>
      </c>
      <c r="B191" t="s">
        <v>2735</v>
      </c>
    </row>
    <row r="192" spans="1:2" x14ac:dyDescent="0.25">
      <c r="A192" t="s">
        <v>1061</v>
      </c>
      <c r="B192" t="s">
        <v>1062</v>
      </c>
    </row>
    <row r="193" spans="1:2" x14ac:dyDescent="0.25">
      <c r="A193" t="s">
        <v>1946</v>
      </c>
      <c r="B193" t="s">
        <v>1947</v>
      </c>
    </row>
    <row r="194" spans="1:2" x14ac:dyDescent="0.25">
      <c r="A194" t="s">
        <v>1988</v>
      </c>
      <c r="B194" t="s">
        <v>1989</v>
      </c>
    </row>
    <row r="195" spans="1:2" x14ac:dyDescent="0.25">
      <c r="A195" t="s">
        <v>2513</v>
      </c>
      <c r="B195" t="s">
        <v>2514</v>
      </c>
    </row>
    <row r="196" spans="1:2" x14ac:dyDescent="0.25">
      <c r="A196" t="s">
        <v>3083</v>
      </c>
      <c r="B196" t="s">
        <v>3084</v>
      </c>
    </row>
    <row r="197" spans="1:2" x14ac:dyDescent="0.25">
      <c r="A197" t="s">
        <v>1128</v>
      </c>
      <c r="B197" t="s">
        <v>1129</v>
      </c>
    </row>
    <row r="198" spans="1:2" x14ac:dyDescent="0.25">
      <c r="A198" t="s">
        <v>3670</v>
      </c>
      <c r="B198" t="s">
        <v>3671</v>
      </c>
    </row>
    <row r="199" spans="1:2" x14ac:dyDescent="0.25">
      <c r="A199" t="s">
        <v>2347</v>
      </c>
      <c r="B199" t="s">
        <v>2348</v>
      </c>
    </row>
    <row r="200" spans="1:2" x14ac:dyDescent="0.25">
      <c r="A200" t="s">
        <v>3580</v>
      </c>
      <c r="B200" t="s">
        <v>3581</v>
      </c>
    </row>
    <row r="201" spans="1:2" x14ac:dyDescent="0.25">
      <c r="A201" t="s">
        <v>1521</v>
      </c>
      <c r="B201" t="s">
        <v>1522</v>
      </c>
    </row>
    <row r="202" spans="1:2" x14ac:dyDescent="0.25">
      <c r="A202" t="s">
        <v>2431</v>
      </c>
      <c r="B202" t="s">
        <v>2432</v>
      </c>
    </row>
    <row r="203" spans="1:2" x14ac:dyDescent="0.25">
      <c r="A203" t="s">
        <v>1498</v>
      </c>
      <c r="B203" t="s">
        <v>1499</v>
      </c>
    </row>
    <row r="204" spans="1:2" x14ac:dyDescent="0.25">
      <c r="A204" t="s">
        <v>739</v>
      </c>
      <c r="B204" t="s">
        <v>740</v>
      </c>
    </row>
    <row r="205" spans="1:2" x14ac:dyDescent="0.25">
      <c r="A205" t="s">
        <v>1876</v>
      </c>
      <c r="B205" t="s">
        <v>1877</v>
      </c>
    </row>
    <row r="206" spans="1:2" x14ac:dyDescent="0.25">
      <c r="A206" t="s">
        <v>2130</v>
      </c>
      <c r="B206" t="s">
        <v>2131</v>
      </c>
    </row>
    <row r="207" spans="1:2" x14ac:dyDescent="0.25">
      <c r="A207" t="s">
        <v>2957</v>
      </c>
      <c r="B207" t="s">
        <v>2958</v>
      </c>
    </row>
    <row r="208" spans="1:2" x14ac:dyDescent="0.25">
      <c r="A208" t="s">
        <v>3641</v>
      </c>
      <c r="B208" t="s">
        <v>3642</v>
      </c>
    </row>
    <row r="209" spans="1:2" x14ac:dyDescent="0.25">
      <c r="A209" t="s">
        <v>2850</v>
      </c>
      <c r="B209" t="s">
        <v>2851</v>
      </c>
    </row>
    <row r="210" spans="1:2" x14ac:dyDescent="0.25">
      <c r="A210" t="s">
        <v>3674</v>
      </c>
      <c r="B210" t="s">
        <v>3675</v>
      </c>
    </row>
    <row r="211" spans="1:2" x14ac:dyDescent="0.25">
      <c r="A211" t="s">
        <v>3555</v>
      </c>
      <c r="B211" t="s">
        <v>3556</v>
      </c>
    </row>
    <row r="212" spans="1:2" x14ac:dyDescent="0.25">
      <c r="A212" t="s">
        <v>2458</v>
      </c>
      <c r="B212" t="s">
        <v>2459</v>
      </c>
    </row>
    <row r="213" spans="1:2" x14ac:dyDescent="0.25">
      <c r="A213" t="s">
        <v>3558</v>
      </c>
      <c r="B213" t="s">
        <v>3559</v>
      </c>
    </row>
    <row r="214" spans="1:2" x14ac:dyDescent="0.25">
      <c r="A214" t="s">
        <v>3375</v>
      </c>
      <c r="B214" t="s">
        <v>3376</v>
      </c>
    </row>
    <row r="215" spans="1:2" x14ac:dyDescent="0.25">
      <c r="A215" t="s">
        <v>681</v>
      </c>
      <c r="B215" t="s">
        <v>682</v>
      </c>
    </row>
    <row r="216" spans="1:2" x14ac:dyDescent="0.25">
      <c r="A216" t="s">
        <v>1305</v>
      </c>
      <c r="B216" t="s">
        <v>1306</v>
      </c>
    </row>
    <row r="217" spans="1:2" x14ac:dyDescent="0.25">
      <c r="A217" t="s">
        <v>2533</v>
      </c>
      <c r="B217" t="s">
        <v>2534</v>
      </c>
    </row>
    <row r="218" spans="1:2" x14ac:dyDescent="0.25">
      <c r="A218" t="s">
        <v>944</v>
      </c>
      <c r="B218" t="s">
        <v>945</v>
      </c>
    </row>
    <row r="219" spans="1:2" x14ac:dyDescent="0.25">
      <c r="A219" t="s">
        <v>868</v>
      </c>
      <c r="B219" t="s">
        <v>869</v>
      </c>
    </row>
    <row r="220" spans="1:2" x14ac:dyDescent="0.25">
      <c r="A220" t="s">
        <v>3383</v>
      </c>
      <c r="B220" t="s">
        <v>3384</v>
      </c>
    </row>
    <row r="221" spans="1:2" x14ac:dyDescent="0.25">
      <c r="A221" t="s">
        <v>2026</v>
      </c>
      <c r="B221" t="s">
        <v>2027</v>
      </c>
    </row>
    <row r="222" spans="1:2" x14ac:dyDescent="0.25">
      <c r="A222" t="s">
        <v>1465</v>
      </c>
      <c r="B222" t="s">
        <v>1466</v>
      </c>
    </row>
    <row r="223" spans="1:2" x14ac:dyDescent="0.25">
      <c r="A223" t="s">
        <v>2934</v>
      </c>
      <c r="B223" t="s">
        <v>2935</v>
      </c>
    </row>
    <row r="224" spans="1:2" x14ac:dyDescent="0.25">
      <c r="A224" t="s">
        <v>2996</v>
      </c>
      <c r="B224" t="s">
        <v>2997</v>
      </c>
    </row>
    <row r="225" spans="1:2" x14ac:dyDescent="0.25">
      <c r="A225" t="s">
        <v>2184</v>
      </c>
      <c r="B225" t="s">
        <v>2185</v>
      </c>
    </row>
    <row r="226" spans="1:2" x14ac:dyDescent="0.25">
      <c r="A226" t="s">
        <v>2905</v>
      </c>
      <c r="B226" t="s">
        <v>2906</v>
      </c>
    </row>
    <row r="227" spans="1:2" x14ac:dyDescent="0.25">
      <c r="A227" t="s">
        <v>964</v>
      </c>
      <c r="B227" t="s">
        <v>965</v>
      </c>
    </row>
    <row r="228" spans="1:2" x14ac:dyDescent="0.25">
      <c r="A228" t="s">
        <v>2022</v>
      </c>
      <c r="B228" t="s">
        <v>2023</v>
      </c>
    </row>
    <row r="229" spans="1:2" x14ac:dyDescent="0.25">
      <c r="A229" t="s">
        <v>2551</v>
      </c>
      <c r="B229" t="s">
        <v>2552</v>
      </c>
    </row>
    <row r="230" spans="1:2" x14ac:dyDescent="0.25">
      <c r="A230" t="s">
        <v>2219</v>
      </c>
      <c r="B230" t="s">
        <v>2220</v>
      </c>
    </row>
    <row r="231" spans="1:2" x14ac:dyDescent="0.25">
      <c r="A231" t="s">
        <v>3182</v>
      </c>
      <c r="B231" t="s">
        <v>3183</v>
      </c>
    </row>
    <row r="232" spans="1:2" x14ac:dyDescent="0.25">
      <c r="A232" t="s">
        <v>3124</v>
      </c>
      <c r="B232" t="s">
        <v>3125</v>
      </c>
    </row>
    <row r="233" spans="1:2" x14ac:dyDescent="0.25">
      <c r="A233" t="s">
        <v>890</v>
      </c>
      <c r="B233" t="s">
        <v>891</v>
      </c>
    </row>
    <row r="234" spans="1:2" x14ac:dyDescent="0.25">
      <c r="A234" t="s">
        <v>3404</v>
      </c>
      <c r="B234" t="s">
        <v>3405</v>
      </c>
    </row>
    <row r="235" spans="1:2" x14ac:dyDescent="0.25">
      <c r="A235" t="s">
        <v>1796</v>
      </c>
      <c r="B235" t="s">
        <v>1797</v>
      </c>
    </row>
    <row r="236" spans="1:2" x14ac:dyDescent="0.25">
      <c r="A236" t="s">
        <v>2091</v>
      </c>
      <c r="B236" t="s">
        <v>2092</v>
      </c>
    </row>
    <row r="237" spans="1:2" x14ac:dyDescent="0.25">
      <c r="A237" t="s">
        <v>3261</v>
      </c>
      <c r="B237" t="s">
        <v>3262</v>
      </c>
    </row>
    <row r="238" spans="1:2" x14ac:dyDescent="0.25">
      <c r="A238" t="s">
        <v>2409</v>
      </c>
      <c r="B238" t="s">
        <v>2410</v>
      </c>
    </row>
    <row r="239" spans="1:2" x14ac:dyDescent="0.25">
      <c r="A239" t="s">
        <v>787</v>
      </c>
      <c r="B239" t="s">
        <v>788</v>
      </c>
    </row>
    <row r="240" spans="1:2" x14ac:dyDescent="0.25">
      <c r="A240" t="s">
        <v>780</v>
      </c>
      <c r="B240" t="s">
        <v>781</v>
      </c>
    </row>
    <row r="241" spans="1:2" x14ac:dyDescent="0.25">
      <c r="A241" t="s">
        <v>748</v>
      </c>
      <c r="B241" t="s">
        <v>749</v>
      </c>
    </row>
    <row r="242" spans="1:2" x14ac:dyDescent="0.25">
      <c r="A242" t="s">
        <v>1372</v>
      </c>
      <c r="B242" t="s">
        <v>1373</v>
      </c>
    </row>
    <row r="243" spans="1:2" x14ac:dyDescent="0.25">
      <c r="A243" t="s">
        <v>1922</v>
      </c>
      <c r="B243" t="s">
        <v>1923</v>
      </c>
    </row>
    <row r="244" spans="1:2" x14ac:dyDescent="0.25">
      <c r="A244" t="s">
        <v>2557</v>
      </c>
      <c r="B244" t="s">
        <v>2558</v>
      </c>
    </row>
    <row r="245" spans="1:2" x14ac:dyDescent="0.25">
      <c r="A245" t="s">
        <v>3616</v>
      </c>
      <c r="B245" t="s">
        <v>3617</v>
      </c>
    </row>
    <row r="246" spans="1:2" x14ac:dyDescent="0.25">
      <c r="A246" t="s">
        <v>2282</v>
      </c>
      <c r="B246" t="s">
        <v>2283</v>
      </c>
    </row>
    <row r="247" spans="1:2" x14ac:dyDescent="0.25">
      <c r="A247" t="s">
        <v>2683</v>
      </c>
      <c r="B247" t="s">
        <v>2684</v>
      </c>
    </row>
    <row r="248" spans="1:2" x14ac:dyDescent="0.25">
      <c r="A248" t="s">
        <v>1366</v>
      </c>
      <c r="B248" t="s">
        <v>1367</v>
      </c>
    </row>
    <row r="249" spans="1:2" x14ac:dyDescent="0.25">
      <c r="A249" t="s">
        <v>2802</v>
      </c>
      <c r="B249" t="s">
        <v>2803</v>
      </c>
    </row>
    <row r="250" spans="1:2" x14ac:dyDescent="0.25">
      <c r="A250" t="s">
        <v>1388</v>
      </c>
      <c r="B250" t="s">
        <v>1389</v>
      </c>
    </row>
    <row r="251" spans="1:2" x14ac:dyDescent="0.25">
      <c r="A251" t="s">
        <v>3723</v>
      </c>
      <c r="B251" t="s">
        <v>3724</v>
      </c>
    </row>
    <row r="252" spans="1:2" x14ac:dyDescent="0.25">
      <c r="A252" t="s">
        <v>2610</v>
      </c>
      <c r="B252" t="s">
        <v>2611</v>
      </c>
    </row>
    <row r="253" spans="1:2" x14ac:dyDescent="0.25">
      <c r="A253" t="s">
        <v>3610</v>
      </c>
      <c r="B253" t="s">
        <v>3611</v>
      </c>
    </row>
    <row r="254" spans="1:2" x14ac:dyDescent="0.25">
      <c r="A254" t="s">
        <v>3004</v>
      </c>
      <c r="B254" t="s">
        <v>3005</v>
      </c>
    </row>
    <row r="255" spans="1:2" x14ac:dyDescent="0.25">
      <c r="A255" t="s">
        <v>3282</v>
      </c>
      <c r="B255" t="s">
        <v>3283</v>
      </c>
    </row>
    <row r="256" spans="1:2" x14ac:dyDescent="0.25">
      <c r="A256" t="s">
        <v>1930</v>
      </c>
      <c r="B256" t="s">
        <v>1931</v>
      </c>
    </row>
    <row r="257" spans="1:2" x14ac:dyDescent="0.25">
      <c r="A257" t="s">
        <v>2455</v>
      </c>
      <c r="B257" t="s">
        <v>2456</v>
      </c>
    </row>
    <row r="258" spans="1:2" x14ac:dyDescent="0.25">
      <c r="A258" t="s">
        <v>2893</v>
      </c>
      <c r="B258" t="s">
        <v>2894</v>
      </c>
    </row>
    <row r="259" spans="1:2" x14ac:dyDescent="0.25">
      <c r="A259" t="s">
        <v>3416</v>
      </c>
      <c r="B259" t="s">
        <v>3417</v>
      </c>
    </row>
    <row r="260" spans="1:2" x14ac:dyDescent="0.25">
      <c r="A260" t="s">
        <v>1659</v>
      </c>
      <c r="B260" t="s">
        <v>1660</v>
      </c>
    </row>
    <row r="261" spans="1:2" x14ac:dyDescent="0.25">
      <c r="A261" t="s">
        <v>3595</v>
      </c>
      <c r="B261" t="s">
        <v>3596</v>
      </c>
    </row>
    <row r="262" spans="1:2" x14ac:dyDescent="0.25">
      <c r="A262" t="s">
        <v>893</v>
      </c>
      <c r="B262" t="s">
        <v>894</v>
      </c>
    </row>
    <row r="263" spans="1:2" x14ac:dyDescent="0.25">
      <c r="A263" t="s">
        <v>3161</v>
      </c>
      <c r="B263" t="s">
        <v>3162</v>
      </c>
    </row>
    <row r="264" spans="1:2" x14ac:dyDescent="0.25">
      <c r="A264" t="s">
        <v>1577</v>
      </c>
      <c r="B264" t="s">
        <v>1578</v>
      </c>
    </row>
    <row r="265" spans="1:2" x14ac:dyDescent="0.25">
      <c r="A265" t="s">
        <v>1516</v>
      </c>
      <c r="B265" t="s">
        <v>1517</v>
      </c>
    </row>
    <row r="266" spans="1:2" x14ac:dyDescent="0.25">
      <c r="A266" t="s">
        <v>988</v>
      </c>
      <c r="B266" t="s">
        <v>989</v>
      </c>
    </row>
    <row r="267" spans="1:2" x14ac:dyDescent="0.25">
      <c r="A267" t="s">
        <v>3057</v>
      </c>
      <c r="B267" t="s">
        <v>3058</v>
      </c>
    </row>
    <row r="268" spans="1:2" x14ac:dyDescent="0.25">
      <c r="A268" t="s">
        <v>3589</v>
      </c>
      <c r="B268" t="s">
        <v>3590</v>
      </c>
    </row>
    <row r="269" spans="1:2" x14ac:dyDescent="0.25">
      <c r="A269" t="s">
        <v>3513</v>
      </c>
      <c r="B269" t="s">
        <v>3514</v>
      </c>
    </row>
    <row r="270" spans="1:2" x14ac:dyDescent="0.25">
      <c r="A270" t="s">
        <v>2344</v>
      </c>
      <c r="B270" t="s">
        <v>2345</v>
      </c>
    </row>
    <row r="271" spans="1:2" x14ac:dyDescent="0.25">
      <c r="A271" t="s">
        <v>3398</v>
      </c>
      <c r="B271" t="s">
        <v>3399</v>
      </c>
    </row>
    <row r="272" spans="1:2" x14ac:dyDescent="0.25">
      <c r="A272" t="s">
        <v>2711</v>
      </c>
      <c r="B272" t="s">
        <v>2712</v>
      </c>
    </row>
    <row r="273" spans="1:2" x14ac:dyDescent="0.25">
      <c r="A273" t="s">
        <v>2749</v>
      </c>
      <c r="B273" t="s">
        <v>2750</v>
      </c>
    </row>
    <row r="274" spans="1:2" x14ac:dyDescent="0.25">
      <c r="A274" t="s">
        <v>1985</v>
      </c>
      <c r="B274" t="s">
        <v>1986</v>
      </c>
    </row>
    <row r="275" spans="1:2" x14ac:dyDescent="0.25">
      <c r="A275" t="s">
        <v>3345</v>
      </c>
      <c r="B275" t="s">
        <v>3346</v>
      </c>
    </row>
    <row r="276" spans="1:2" x14ac:dyDescent="0.25">
      <c r="A276" t="s">
        <v>3185</v>
      </c>
      <c r="B276" t="s">
        <v>3186</v>
      </c>
    </row>
    <row r="277" spans="1:2" x14ac:dyDescent="0.25">
      <c r="A277" t="s">
        <v>1897</v>
      </c>
      <c r="B277" t="s">
        <v>1898</v>
      </c>
    </row>
    <row r="278" spans="1:2" x14ac:dyDescent="0.25">
      <c r="A278" t="s">
        <v>2686</v>
      </c>
      <c r="B278" t="s">
        <v>2687</v>
      </c>
    </row>
    <row r="279" spans="1:2" x14ac:dyDescent="0.25">
      <c r="A279" t="s">
        <v>3758</v>
      </c>
      <c r="B279" t="s">
        <v>3759</v>
      </c>
    </row>
    <row r="280" spans="1:2" x14ac:dyDescent="0.25">
      <c r="A280" t="s">
        <v>3279</v>
      </c>
      <c r="B280" t="s">
        <v>3280</v>
      </c>
    </row>
    <row r="281" spans="1:2" x14ac:dyDescent="0.25">
      <c r="A281" t="s">
        <v>3072</v>
      </c>
      <c r="B281" t="s">
        <v>3073</v>
      </c>
    </row>
    <row r="282" spans="1:2" x14ac:dyDescent="0.25">
      <c r="A282" t="s">
        <v>3489</v>
      </c>
      <c r="B282" t="s">
        <v>3490</v>
      </c>
    </row>
    <row r="283" spans="1:2" x14ac:dyDescent="0.25">
      <c r="A283" t="s">
        <v>2442</v>
      </c>
      <c r="B283" t="s">
        <v>2443</v>
      </c>
    </row>
    <row r="284" spans="1:2" x14ac:dyDescent="0.25">
      <c r="A284" t="s">
        <v>804</v>
      </c>
      <c r="B284" t="s">
        <v>805</v>
      </c>
    </row>
    <row r="285" spans="1:2" x14ac:dyDescent="0.25">
      <c r="A285" t="s">
        <v>2792</v>
      </c>
      <c r="B285" t="s">
        <v>2793</v>
      </c>
    </row>
    <row r="286" spans="1:2" x14ac:dyDescent="0.25">
      <c r="A286" t="s">
        <v>2981</v>
      </c>
      <c r="B286" t="s">
        <v>2982</v>
      </c>
    </row>
    <row r="287" spans="1:2" x14ac:dyDescent="0.25">
      <c r="A287" t="s">
        <v>1308</v>
      </c>
      <c r="B287" t="s">
        <v>1309</v>
      </c>
    </row>
    <row r="288" spans="1:2" x14ac:dyDescent="0.25">
      <c r="A288" t="s">
        <v>3592</v>
      </c>
      <c r="B288" t="s">
        <v>3593</v>
      </c>
    </row>
    <row r="289" spans="1:2" x14ac:dyDescent="0.25">
      <c r="A289" t="s">
        <v>3638</v>
      </c>
      <c r="B289" t="s">
        <v>3639</v>
      </c>
    </row>
    <row r="290" spans="1:2" x14ac:dyDescent="0.25">
      <c r="A290" t="s">
        <v>957</v>
      </c>
      <c r="B290" t="s">
        <v>958</v>
      </c>
    </row>
    <row r="291" spans="1:2" x14ac:dyDescent="0.25">
      <c r="A291" t="s">
        <v>1193</v>
      </c>
      <c r="B291" t="s">
        <v>1194</v>
      </c>
    </row>
    <row r="292" spans="1:2" x14ac:dyDescent="0.25">
      <c r="A292" t="s">
        <v>3264</v>
      </c>
      <c r="B292" t="s">
        <v>3265</v>
      </c>
    </row>
    <row r="293" spans="1:2" x14ac:dyDescent="0.25">
      <c r="A293" t="s">
        <v>1256</v>
      </c>
      <c r="B293" t="s">
        <v>1257</v>
      </c>
    </row>
    <row r="294" spans="1:2" x14ac:dyDescent="0.25">
      <c r="A294" t="s">
        <v>3702</v>
      </c>
      <c r="B294" t="s">
        <v>3703</v>
      </c>
    </row>
    <row r="295" spans="1:2" x14ac:dyDescent="0.25">
      <c r="A295" t="s">
        <v>3697</v>
      </c>
      <c r="B295" t="s">
        <v>3698</v>
      </c>
    </row>
    <row r="296" spans="1:2" x14ac:dyDescent="0.25">
      <c r="A296" t="s">
        <v>1662</v>
      </c>
      <c r="B296" t="s">
        <v>1663</v>
      </c>
    </row>
    <row r="297" spans="1:2" x14ac:dyDescent="0.25">
      <c r="A297" t="s">
        <v>2510</v>
      </c>
      <c r="B297" t="s">
        <v>2511</v>
      </c>
    </row>
    <row r="298" spans="1:2" x14ac:dyDescent="0.25">
      <c r="A298" t="s">
        <v>720</v>
      </c>
      <c r="B298" t="s">
        <v>721</v>
      </c>
    </row>
    <row r="299" spans="1:2" x14ac:dyDescent="0.25">
      <c r="A299" t="s">
        <v>3549</v>
      </c>
      <c r="B299" t="s">
        <v>3550</v>
      </c>
    </row>
    <row r="300" spans="1:2" x14ac:dyDescent="0.25">
      <c r="A300" t="s">
        <v>715</v>
      </c>
      <c r="B300" t="s">
        <v>716</v>
      </c>
    </row>
    <row r="301" spans="1:2" x14ac:dyDescent="0.25">
      <c r="A301" t="s">
        <v>744</v>
      </c>
      <c r="B301" t="s">
        <v>745</v>
      </c>
    </row>
    <row r="302" spans="1:2" x14ac:dyDescent="0.25">
      <c r="A302" t="s">
        <v>3531</v>
      </c>
      <c r="B302" t="s">
        <v>3532</v>
      </c>
    </row>
    <row r="303" spans="1:2" x14ac:dyDescent="0.25">
      <c r="A303" t="s">
        <v>2334</v>
      </c>
      <c r="B303" t="s">
        <v>2335</v>
      </c>
    </row>
    <row r="304" spans="1:2" x14ac:dyDescent="0.25">
      <c r="A304" t="s">
        <v>2916</v>
      </c>
      <c r="B304" t="s">
        <v>2917</v>
      </c>
    </row>
    <row r="305" spans="1:2" x14ac:dyDescent="0.25">
      <c r="A305" t="s">
        <v>3472</v>
      </c>
      <c r="B305" t="s">
        <v>3473</v>
      </c>
    </row>
    <row r="306" spans="1:2" x14ac:dyDescent="0.25">
      <c r="A306" t="s">
        <v>3167</v>
      </c>
      <c r="B306" t="s">
        <v>3168</v>
      </c>
    </row>
    <row r="307" spans="1:2" x14ac:dyDescent="0.25">
      <c r="A307" t="s">
        <v>3495</v>
      </c>
      <c r="B307" t="s">
        <v>3496</v>
      </c>
    </row>
    <row r="308" spans="1:2" x14ac:dyDescent="0.25">
      <c r="A308" t="s">
        <v>1656</v>
      </c>
      <c r="B308" t="s">
        <v>1657</v>
      </c>
    </row>
    <row r="309" spans="1:2" x14ac:dyDescent="0.25">
      <c r="A309" t="s">
        <v>2699</v>
      </c>
      <c r="B309" t="s">
        <v>2700</v>
      </c>
    </row>
    <row r="310" spans="1:2" x14ac:dyDescent="0.25">
      <c r="A310" t="s">
        <v>819</v>
      </c>
      <c r="B310" t="s">
        <v>820</v>
      </c>
    </row>
    <row r="311" spans="1:2" x14ac:dyDescent="0.25">
      <c r="A311" t="s">
        <v>1573</v>
      </c>
      <c r="B311" t="s">
        <v>1574</v>
      </c>
    </row>
    <row r="312" spans="1:2" x14ac:dyDescent="0.25">
      <c r="A312" t="s">
        <v>2003</v>
      </c>
      <c r="B312" t="s">
        <v>2004</v>
      </c>
    </row>
    <row r="313" spans="1:2" x14ac:dyDescent="0.25">
      <c r="A313" t="s">
        <v>1606</v>
      </c>
      <c r="B313" t="s">
        <v>1607</v>
      </c>
    </row>
    <row r="314" spans="1:2" x14ac:dyDescent="0.25">
      <c r="A314" t="s">
        <v>3334</v>
      </c>
      <c r="B314" t="s">
        <v>3335</v>
      </c>
    </row>
    <row r="315" spans="1:2" x14ac:dyDescent="0.25">
      <c r="A315" t="s">
        <v>2655</v>
      </c>
      <c r="B315" t="s">
        <v>2656</v>
      </c>
    </row>
    <row r="316" spans="1:2" x14ac:dyDescent="0.25">
      <c r="A316" t="s">
        <v>1016</v>
      </c>
      <c r="B316" t="s">
        <v>1017</v>
      </c>
    </row>
    <row r="317" spans="1:2" x14ac:dyDescent="0.25">
      <c r="A317" t="s">
        <v>2829</v>
      </c>
      <c r="B317" t="s">
        <v>2830</v>
      </c>
    </row>
    <row r="318" spans="1:2" x14ac:dyDescent="0.25">
      <c r="A318" t="s">
        <v>706</v>
      </c>
      <c r="B318" t="s">
        <v>707</v>
      </c>
    </row>
    <row r="319" spans="1:2" x14ac:dyDescent="0.25">
      <c r="A319" t="s">
        <v>3205</v>
      </c>
      <c r="B319" t="s">
        <v>3206</v>
      </c>
    </row>
    <row r="320" spans="1:2" x14ac:dyDescent="0.25">
      <c r="A320" t="s">
        <v>3694</v>
      </c>
      <c r="B320" t="s">
        <v>3695</v>
      </c>
    </row>
    <row r="321" spans="1:2" x14ac:dyDescent="0.25">
      <c r="A321" t="s">
        <v>3131</v>
      </c>
      <c r="B321" t="s">
        <v>3132</v>
      </c>
    </row>
    <row r="322" spans="1:2" x14ac:dyDescent="0.25">
      <c r="A322" t="s">
        <v>1173</v>
      </c>
      <c r="B322" t="s">
        <v>1174</v>
      </c>
    </row>
    <row r="323" spans="1:2" x14ac:dyDescent="0.25">
      <c r="A323" t="s">
        <v>1400</v>
      </c>
      <c r="B323" t="s">
        <v>1401</v>
      </c>
    </row>
    <row r="324" spans="1:2" x14ac:dyDescent="0.25">
      <c r="A324" t="s">
        <v>2063</v>
      </c>
      <c r="B324" t="s">
        <v>2064</v>
      </c>
    </row>
    <row r="325" spans="1:2" x14ac:dyDescent="0.25">
      <c r="A325" t="s">
        <v>918</v>
      </c>
      <c r="B325" t="s">
        <v>919</v>
      </c>
    </row>
    <row r="326" spans="1:2" x14ac:dyDescent="0.25">
      <c r="A326" t="s">
        <v>3685</v>
      </c>
      <c r="B326" t="s">
        <v>3686</v>
      </c>
    </row>
    <row r="327" spans="1:2" x14ac:dyDescent="0.25">
      <c r="A327" t="s">
        <v>2942</v>
      </c>
      <c r="B327" t="s">
        <v>2943</v>
      </c>
    </row>
    <row r="328" spans="1:2" x14ac:dyDescent="0.25">
      <c r="A328" t="s">
        <v>664</v>
      </c>
      <c r="B328" t="s">
        <v>665</v>
      </c>
    </row>
    <row r="329" spans="1:2" x14ac:dyDescent="0.25">
      <c r="A329" t="s">
        <v>2082</v>
      </c>
      <c r="B329" t="s">
        <v>2083</v>
      </c>
    </row>
    <row r="330" spans="1:2" x14ac:dyDescent="0.25">
      <c r="A330" t="s">
        <v>755</v>
      </c>
      <c r="B330" t="s">
        <v>756</v>
      </c>
    </row>
    <row r="331" spans="1:2" x14ac:dyDescent="0.25">
      <c r="A331" t="s">
        <v>1282</v>
      </c>
      <c r="B331" t="s">
        <v>1283</v>
      </c>
    </row>
    <row r="332" spans="1:2" x14ac:dyDescent="0.25">
      <c r="A332" t="s">
        <v>2841</v>
      </c>
      <c r="B332" t="s">
        <v>2842</v>
      </c>
    </row>
    <row r="333" spans="1:2" x14ac:dyDescent="0.25">
      <c r="A333" t="s">
        <v>2178</v>
      </c>
      <c r="B333" t="s">
        <v>2179</v>
      </c>
    </row>
    <row r="334" spans="1:2" x14ac:dyDescent="0.25">
      <c r="A334" t="s">
        <v>2372</v>
      </c>
      <c r="B334" t="s">
        <v>2373</v>
      </c>
    </row>
    <row r="335" spans="1:2" x14ac:dyDescent="0.25">
      <c r="A335" t="s">
        <v>2248</v>
      </c>
      <c r="B335" t="s">
        <v>2249</v>
      </c>
    </row>
    <row r="336" spans="1:2" x14ac:dyDescent="0.25">
      <c r="A336" t="s">
        <v>2560</v>
      </c>
      <c r="B336" t="s">
        <v>2561</v>
      </c>
    </row>
    <row r="337" spans="1:2" x14ac:dyDescent="0.25">
      <c r="A337" t="s">
        <v>3627</v>
      </c>
      <c r="B337" t="s">
        <v>3628</v>
      </c>
    </row>
    <row r="338" spans="1:2" x14ac:dyDescent="0.25">
      <c r="A338" t="s">
        <v>1653</v>
      </c>
      <c r="B338" t="s">
        <v>1654</v>
      </c>
    </row>
    <row r="339" spans="1:2" x14ac:dyDescent="0.25">
      <c r="A339" t="s">
        <v>2536</v>
      </c>
      <c r="B339" t="s">
        <v>2537</v>
      </c>
    </row>
    <row r="340" spans="1:2" x14ac:dyDescent="0.25">
      <c r="A340" t="s">
        <v>2363</v>
      </c>
      <c r="B340" t="s">
        <v>2364</v>
      </c>
    </row>
    <row r="341" spans="1:2" x14ac:dyDescent="0.25">
      <c r="A341" t="s">
        <v>767</v>
      </c>
      <c r="B341" t="s">
        <v>768</v>
      </c>
    </row>
    <row r="342" spans="1:2" x14ac:dyDescent="0.25">
      <c r="A342" t="s">
        <v>3443</v>
      </c>
      <c r="B342" t="s">
        <v>3444</v>
      </c>
    </row>
    <row r="343" spans="1:2" x14ac:dyDescent="0.25">
      <c r="A343" t="s">
        <v>2606</v>
      </c>
      <c r="B343" t="s">
        <v>2607</v>
      </c>
    </row>
    <row r="344" spans="1:2" x14ac:dyDescent="0.25">
      <c r="A344" t="s">
        <v>1227</v>
      </c>
      <c r="B344" t="s">
        <v>1228</v>
      </c>
    </row>
    <row r="345" spans="1:2" x14ac:dyDescent="0.25">
      <c r="A345" t="s">
        <v>2922</v>
      </c>
      <c r="B345" t="s">
        <v>2923</v>
      </c>
    </row>
    <row r="346" spans="1:2" x14ac:dyDescent="0.25">
      <c r="A346" t="s">
        <v>1107</v>
      </c>
      <c r="B346" t="s">
        <v>1108</v>
      </c>
    </row>
    <row r="347" spans="1:2" x14ac:dyDescent="0.25">
      <c r="A347" t="s">
        <v>3045</v>
      </c>
      <c r="B347" t="s">
        <v>3046</v>
      </c>
    </row>
    <row r="348" spans="1:2" x14ac:dyDescent="0.25">
      <c r="A348" t="s">
        <v>3128</v>
      </c>
      <c r="B348" t="s">
        <v>3129</v>
      </c>
    </row>
    <row r="349" spans="1:2" x14ac:dyDescent="0.25">
      <c r="A349" t="s">
        <v>1966</v>
      </c>
      <c r="B349" t="s">
        <v>1967</v>
      </c>
    </row>
    <row r="350" spans="1:2" x14ac:dyDescent="0.25">
      <c r="A350" t="s">
        <v>3714</v>
      </c>
      <c r="B350" t="s">
        <v>3715</v>
      </c>
    </row>
    <row r="351" spans="1:2" x14ac:dyDescent="0.25">
      <c r="A351" t="s">
        <v>2121</v>
      </c>
      <c r="B351" t="s">
        <v>2122</v>
      </c>
    </row>
    <row r="352" spans="1:2" x14ac:dyDescent="0.25">
      <c r="A352" t="s">
        <v>3425</v>
      </c>
      <c r="B352" t="s">
        <v>3426</v>
      </c>
    </row>
    <row r="353" spans="1:2" x14ac:dyDescent="0.25">
      <c r="A353" t="s">
        <v>1487</v>
      </c>
      <c r="B353" t="s">
        <v>1488</v>
      </c>
    </row>
    <row r="354" spans="1:2" x14ac:dyDescent="0.25">
      <c r="A354" t="s">
        <v>3051</v>
      </c>
      <c r="B354" t="s">
        <v>3052</v>
      </c>
    </row>
    <row r="355" spans="1:2" x14ac:dyDescent="0.25">
      <c r="A355" t="s">
        <v>1385</v>
      </c>
      <c r="B355" t="s">
        <v>1386</v>
      </c>
    </row>
    <row r="356" spans="1:2" x14ac:dyDescent="0.25">
      <c r="A356" t="s">
        <v>1473</v>
      </c>
      <c r="B356" t="s">
        <v>1474</v>
      </c>
    </row>
    <row r="357" spans="1:2" x14ac:dyDescent="0.25">
      <c r="A357" t="s">
        <v>3522</v>
      </c>
      <c r="B357" t="s">
        <v>3523</v>
      </c>
    </row>
    <row r="358" spans="1:2" x14ac:dyDescent="0.25">
      <c r="A358" t="s">
        <v>847</v>
      </c>
      <c r="B358" t="s">
        <v>848</v>
      </c>
    </row>
    <row r="359" spans="1:2" x14ac:dyDescent="0.25">
      <c r="A359" t="s">
        <v>1508</v>
      </c>
      <c r="B359" t="s">
        <v>1509</v>
      </c>
    </row>
    <row r="360" spans="1:2" x14ac:dyDescent="0.25">
      <c r="A360" t="s">
        <v>2545</v>
      </c>
      <c r="B360" t="s">
        <v>2546</v>
      </c>
    </row>
    <row r="361" spans="1:2" x14ac:dyDescent="0.25">
      <c r="A361" t="s">
        <v>2716</v>
      </c>
      <c r="B361" t="s">
        <v>2717</v>
      </c>
    </row>
    <row r="362" spans="1:2" x14ac:dyDescent="0.25">
      <c r="A362" t="s">
        <v>1580</v>
      </c>
      <c r="B362" t="s">
        <v>1581</v>
      </c>
    </row>
    <row r="363" spans="1:2" x14ac:dyDescent="0.25">
      <c r="A363" t="s">
        <v>2306</v>
      </c>
      <c r="B363" t="s">
        <v>2307</v>
      </c>
    </row>
    <row r="364" spans="1:2" x14ac:dyDescent="0.25">
      <c r="A364" t="s">
        <v>3498</v>
      </c>
      <c r="B364" t="s">
        <v>3499</v>
      </c>
    </row>
    <row r="365" spans="1:2" x14ac:dyDescent="0.25">
      <c r="A365" t="s">
        <v>1442</v>
      </c>
      <c r="B365" t="s">
        <v>1443</v>
      </c>
    </row>
    <row r="366" spans="1:2" x14ac:dyDescent="0.25">
      <c r="A366" t="s">
        <v>3682</v>
      </c>
      <c r="B366" t="s">
        <v>3683</v>
      </c>
    </row>
    <row r="367" spans="1:2" x14ac:dyDescent="0.25">
      <c r="A367" t="s">
        <v>1206</v>
      </c>
      <c r="B367" t="s">
        <v>1207</v>
      </c>
    </row>
    <row r="368" spans="1:2" x14ac:dyDescent="0.25">
      <c r="A368" t="s">
        <v>2011</v>
      </c>
      <c r="B368" t="s">
        <v>2012</v>
      </c>
    </row>
    <row r="369" spans="1:2" x14ac:dyDescent="0.25">
      <c r="A369" t="s">
        <v>1376</v>
      </c>
      <c r="B369" t="s">
        <v>1377</v>
      </c>
    </row>
    <row r="370" spans="1:2" x14ac:dyDescent="0.25">
      <c r="A370" t="s">
        <v>2702</v>
      </c>
      <c r="B370" t="s">
        <v>2703</v>
      </c>
    </row>
    <row r="371" spans="1:2" x14ac:dyDescent="0.25">
      <c r="A371" t="s">
        <v>3164</v>
      </c>
      <c r="B371" t="s">
        <v>3165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3236</v>
      </c>
      <c r="B373" t="s">
        <v>3237</v>
      </c>
    </row>
    <row r="374" spans="1:2" x14ac:dyDescent="0.25">
      <c r="A374" t="s">
        <v>1162</v>
      </c>
      <c r="B374" t="s">
        <v>1163</v>
      </c>
    </row>
    <row r="375" spans="1:2" x14ac:dyDescent="0.25">
      <c r="A375" t="s">
        <v>2270</v>
      </c>
      <c r="B375" t="s">
        <v>2271</v>
      </c>
    </row>
    <row r="376" spans="1:2" x14ac:dyDescent="0.25">
      <c r="A376" t="s">
        <v>1021</v>
      </c>
      <c r="B376" t="s">
        <v>1022</v>
      </c>
    </row>
    <row r="377" spans="1:2" x14ac:dyDescent="0.25">
      <c r="A377" t="s">
        <v>3060</v>
      </c>
      <c r="B377" t="s">
        <v>3061</v>
      </c>
    </row>
    <row r="378" spans="1:2" x14ac:dyDescent="0.25">
      <c r="A378" t="s">
        <v>2580</v>
      </c>
      <c r="B378" t="s">
        <v>2581</v>
      </c>
    </row>
    <row r="379" spans="1:2" x14ac:dyDescent="0.25">
      <c r="A379" t="s">
        <v>1311</v>
      </c>
      <c r="B379" t="s">
        <v>1312</v>
      </c>
    </row>
    <row r="380" spans="1:2" x14ac:dyDescent="0.25">
      <c r="A380" t="s">
        <v>2389</v>
      </c>
      <c r="B380" t="s">
        <v>2390</v>
      </c>
    </row>
    <row r="381" spans="1:2" x14ac:dyDescent="0.25">
      <c r="A381" t="s">
        <v>2880</v>
      </c>
      <c r="B381" t="s">
        <v>2881</v>
      </c>
    </row>
    <row r="382" spans="1:2" x14ac:dyDescent="0.25">
      <c r="A382" t="s">
        <v>1761</v>
      </c>
      <c r="B382" t="s">
        <v>1762</v>
      </c>
    </row>
    <row r="383" spans="1:2" x14ac:dyDescent="0.25">
      <c r="A383" t="s">
        <v>2554</v>
      </c>
      <c r="B383" t="s">
        <v>2555</v>
      </c>
    </row>
    <row r="384" spans="1:2" x14ac:dyDescent="0.25">
      <c r="A384" t="s">
        <v>3561</v>
      </c>
      <c r="B384" t="s">
        <v>3562</v>
      </c>
    </row>
    <row r="385" spans="1:2" x14ac:dyDescent="0.25">
      <c r="A385" t="s">
        <v>3221</v>
      </c>
      <c r="B385" t="s">
        <v>3222</v>
      </c>
    </row>
    <row r="386" spans="1:2" x14ac:dyDescent="0.25">
      <c r="A386" t="s">
        <v>1589</v>
      </c>
      <c r="B386" t="s">
        <v>1590</v>
      </c>
    </row>
    <row r="387" spans="1:2" x14ac:dyDescent="0.25">
      <c r="A387" t="s">
        <v>1982</v>
      </c>
      <c r="B387" t="s">
        <v>1983</v>
      </c>
    </row>
    <row r="388" spans="1:2" x14ac:dyDescent="0.25">
      <c r="A388" t="s">
        <v>3552</v>
      </c>
      <c r="B388" t="s">
        <v>3553</v>
      </c>
    </row>
    <row r="389" spans="1:2" x14ac:dyDescent="0.25">
      <c r="A389" t="s">
        <v>2993</v>
      </c>
      <c r="B389" t="s">
        <v>2994</v>
      </c>
    </row>
    <row r="390" spans="1:2" x14ac:dyDescent="0.25">
      <c r="A390" t="s">
        <v>2017</v>
      </c>
      <c r="B390" t="s">
        <v>2018</v>
      </c>
    </row>
    <row r="391" spans="1:2" x14ac:dyDescent="0.25">
      <c r="A391" t="s">
        <v>2202</v>
      </c>
      <c r="B391" t="s">
        <v>2203</v>
      </c>
    </row>
    <row r="392" spans="1:2" x14ac:dyDescent="0.25">
      <c r="A392" t="s">
        <v>2669</v>
      </c>
      <c r="B392" t="s">
        <v>2670</v>
      </c>
    </row>
    <row r="393" spans="1:2" x14ac:dyDescent="0.25">
      <c r="A393" t="s">
        <v>3019</v>
      </c>
      <c r="B393" t="s">
        <v>3020</v>
      </c>
    </row>
    <row r="394" spans="1:2" x14ac:dyDescent="0.25">
      <c r="A394" t="s">
        <v>1479</v>
      </c>
      <c r="B394" t="s">
        <v>1480</v>
      </c>
    </row>
    <row r="395" spans="1:2" x14ac:dyDescent="0.25">
      <c r="A395" t="s">
        <v>1323</v>
      </c>
      <c r="B395" t="s">
        <v>1324</v>
      </c>
    </row>
    <row r="396" spans="1:2" x14ac:dyDescent="0.25">
      <c r="A396" t="s">
        <v>2207</v>
      </c>
      <c r="B396" t="s">
        <v>2208</v>
      </c>
    </row>
    <row r="397" spans="1:2" x14ac:dyDescent="0.25">
      <c r="A397" t="s">
        <v>2386</v>
      </c>
      <c r="B397" t="s">
        <v>2387</v>
      </c>
    </row>
    <row r="398" spans="1:2" x14ac:dyDescent="0.25">
      <c r="A398" t="s">
        <v>3449</v>
      </c>
      <c r="B398" t="s">
        <v>3450</v>
      </c>
    </row>
    <row r="399" spans="1:2" x14ac:dyDescent="0.25">
      <c r="A399" t="s">
        <v>1583</v>
      </c>
      <c r="B399" t="s">
        <v>1584</v>
      </c>
    </row>
    <row r="400" spans="1:2" x14ac:dyDescent="0.25">
      <c r="A400" t="s">
        <v>2874</v>
      </c>
      <c r="B400" t="s">
        <v>2875</v>
      </c>
    </row>
    <row r="401" spans="1:2" x14ac:dyDescent="0.25">
      <c r="A401" t="s">
        <v>2255</v>
      </c>
      <c r="B401" t="s">
        <v>2256</v>
      </c>
    </row>
    <row r="402" spans="1:2" x14ac:dyDescent="0.25">
      <c r="A402" t="s">
        <v>3170</v>
      </c>
      <c r="B402" t="s">
        <v>3171</v>
      </c>
    </row>
    <row r="403" spans="1:2" x14ac:dyDescent="0.25">
      <c r="A403" t="s">
        <v>1268</v>
      </c>
      <c r="B403" t="s">
        <v>1269</v>
      </c>
    </row>
    <row r="404" spans="1:2" x14ac:dyDescent="0.25">
      <c r="A404" t="s">
        <v>897</v>
      </c>
      <c r="B404" t="s">
        <v>898</v>
      </c>
    </row>
    <row r="405" spans="1:2" x14ac:dyDescent="0.25">
      <c r="A405" t="s">
        <v>2826</v>
      </c>
      <c r="B405" t="s">
        <v>2827</v>
      </c>
    </row>
    <row r="406" spans="1:2" x14ac:dyDescent="0.25">
      <c r="A406" t="s">
        <v>1407</v>
      </c>
      <c r="B406" t="s">
        <v>1408</v>
      </c>
    </row>
    <row r="407" spans="1:2" x14ac:dyDescent="0.25">
      <c r="A407" t="s">
        <v>3492</v>
      </c>
      <c r="B407" t="s">
        <v>3493</v>
      </c>
    </row>
    <row r="408" spans="1:2" x14ac:dyDescent="0.25">
      <c r="A408" t="s">
        <v>2954</v>
      </c>
      <c r="B408" t="s">
        <v>2955</v>
      </c>
    </row>
    <row r="409" spans="1:2" x14ac:dyDescent="0.25">
      <c r="A409" t="s">
        <v>1815</v>
      </c>
      <c r="B409" t="s">
        <v>1816</v>
      </c>
    </row>
    <row r="410" spans="1:2" x14ac:dyDescent="0.25">
      <c r="A410" t="s">
        <v>3663</v>
      </c>
      <c r="B410" t="s">
        <v>3664</v>
      </c>
    </row>
    <row r="411" spans="1:2" x14ac:dyDescent="0.25">
      <c r="A411" t="s">
        <v>723</v>
      </c>
      <c r="B411" t="s">
        <v>724</v>
      </c>
    </row>
    <row r="412" spans="1:2" x14ac:dyDescent="0.25">
      <c r="A412" t="s">
        <v>3622</v>
      </c>
      <c r="B412" t="s">
        <v>3623</v>
      </c>
    </row>
    <row r="413" spans="1:2" x14ac:dyDescent="0.25">
      <c r="A413" t="s">
        <v>1620</v>
      </c>
      <c r="B413" t="s">
        <v>1621</v>
      </c>
    </row>
    <row r="414" spans="1:2" x14ac:dyDescent="0.25">
      <c r="A414" t="s">
        <v>2375</v>
      </c>
      <c r="B414" t="s">
        <v>2376</v>
      </c>
    </row>
    <row r="415" spans="1:2" x14ac:dyDescent="0.25">
      <c r="A415" t="s">
        <v>1565</v>
      </c>
      <c r="B415" t="s">
        <v>1566</v>
      </c>
    </row>
    <row r="416" spans="1:2" x14ac:dyDescent="0.25">
      <c r="A416" t="s">
        <v>3446</v>
      </c>
      <c r="B416" t="s">
        <v>3447</v>
      </c>
    </row>
    <row r="417" spans="1:2" x14ac:dyDescent="0.25">
      <c r="A417" t="s">
        <v>3720</v>
      </c>
      <c r="B417" t="s">
        <v>3721</v>
      </c>
    </row>
    <row r="418" spans="1:2" x14ac:dyDescent="0.25">
      <c r="A418" t="s">
        <v>1236</v>
      </c>
      <c r="B418" t="s">
        <v>1237</v>
      </c>
    </row>
    <row r="419" spans="1:2" x14ac:dyDescent="0.25">
      <c r="A419" t="s">
        <v>1667</v>
      </c>
      <c r="B419" t="s">
        <v>1668</v>
      </c>
    </row>
    <row r="420" spans="1:2" x14ac:dyDescent="0.25">
      <c r="A420" t="s">
        <v>3245</v>
      </c>
      <c r="B420" t="s">
        <v>3246</v>
      </c>
    </row>
    <row r="421" spans="1:2" x14ac:dyDescent="0.25">
      <c r="A421" t="s">
        <v>2231</v>
      </c>
      <c r="B421" t="s">
        <v>2232</v>
      </c>
    </row>
    <row r="422" spans="1:2" x14ac:dyDescent="0.25">
      <c r="A422" t="s">
        <v>1002</v>
      </c>
      <c r="B422" t="s">
        <v>1003</v>
      </c>
    </row>
    <row r="423" spans="1:2" x14ac:dyDescent="0.25">
      <c r="A423" t="s">
        <v>3254</v>
      </c>
      <c r="B423" t="s">
        <v>3255</v>
      </c>
    </row>
    <row r="424" spans="1:2" x14ac:dyDescent="0.25">
      <c r="A424" t="s">
        <v>2319</v>
      </c>
      <c r="B424" t="s">
        <v>2320</v>
      </c>
    </row>
    <row r="425" spans="1:2" x14ac:dyDescent="0.25">
      <c r="A425" t="s">
        <v>3410</v>
      </c>
      <c r="B425" t="s">
        <v>3411</v>
      </c>
    </row>
    <row r="426" spans="1:2" x14ac:dyDescent="0.25">
      <c r="A426" t="s">
        <v>2030</v>
      </c>
      <c r="B426" t="s">
        <v>2031</v>
      </c>
    </row>
    <row r="427" spans="1:2" x14ac:dyDescent="0.25">
      <c r="A427" t="s">
        <v>1492</v>
      </c>
      <c r="B427" t="s">
        <v>1493</v>
      </c>
    </row>
    <row r="428" spans="1:2" x14ac:dyDescent="0.25">
      <c r="A428" t="s">
        <v>928</v>
      </c>
      <c r="B428" t="s">
        <v>929</v>
      </c>
    </row>
    <row r="429" spans="1:2" x14ac:dyDescent="0.25">
      <c r="A429" t="s">
        <v>1690</v>
      </c>
      <c r="B429" t="s">
        <v>1691</v>
      </c>
    </row>
    <row r="430" spans="1:2" x14ac:dyDescent="0.25">
      <c r="A430" t="s">
        <v>3570</v>
      </c>
      <c r="B430" t="s">
        <v>3571</v>
      </c>
    </row>
    <row r="431" spans="1:2" x14ac:dyDescent="0.25">
      <c r="A431" t="s">
        <v>2193</v>
      </c>
      <c r="B431" t="s">
        <v>2194</v>
      </c>
    </row>
    <row r="432" spans="1:2" x14ac:dyDescent="0.25">
      <c r="A432" t="s">
        <v>3705</v>
      </c>
      <c r="B432" t="s">
        <v>3706</v>
      </c>
    </row>
    <row r="433" spans="1:2" x14ac:dyDescent="0.25">
      <c r="A433" t="s">
        <v>2079</v>
      </c>
      <c r="B433" t="s">
        <v>2080</v>
      </c>
    </row>
    <row r="434" spans="1:2" x14ac:dyDescent="0.25">
      <c r="A434" t="s">
        <v>1094</v>
      </c>
      <c r="B434" t="s">
        <v>1095</v>
      </c>
    </row>
    <row r="435" spans="1:2" x14ac:dyDescent="0.25">
      <c r="A435" t="s">
        <v>2110</v>
      </c>
      <c r="B435" t="s">
        <v>2111</v>
      </c>
    </row>
    <row r="436" spans="1:2" x14ac:dyDescent="0.25">
      <c r="A436" t="s">
        <v>1597</v>
      </c>
      <c r="B436" t="s">
        <v>1598</v>
      </c>
    </row>
    <row r="437" spans="1:2" x14ac:dyDescent="0.25">
      <c r="A437" t="s">
        <v>2746</v>
      </c>
      <c r="B437" t="s">
        <v>2747</v>
      </c>
    </row>
    <row r="438" spans="1:2" x14ac:dyDescent="0.25">
      <c r="A438" t="s">
        <v>1460</v>
      </c>
      <c r="B438" t="s">
        <v>1461</v>
      </c>
    </row>
    <row r="439" spans="1:2" x14ac:dyDescent="0.25">
      <c r="A439" t="s">
        <v>3567</v>
      </c>
      <c r="B439" t="s">
        <v>3568</v>
      </c>
    </row>
    <row r="440" spans="1:2" x14ac:dyDescent="0.25">
      <c r="A440" t="s">
        <v>2490</v>
      </c>
      <c r="B440" t="s">
        <v>2491</v>
      </c>
    </row>
    <row r="441" spans="1:2" x14ac:dyDescent="0.25">
      <c r="A441" t="s">
        <v>2040</v>
      </c>
      <c r="B441" t="s">
        <v>2041</v>
      </c>
    </row>
    <row r="442" spans="1:2" x14ac:dyDescent="0.25">
      <c r="A442" t="s">
        <v>1279</v>
      </c>
      <c r="B442" t="s">
        <v>1280</v>
      </c>
    </row>
    <row r="443" spans="1:2" x14ac:dyDescent="0.25">
      <c r="A443" t="s">
        <v>3469</v>
      </c>
      <c r="B443" t="s">
        <v>3470</v>
      </c>
    </row>
    <row r="444" spans="1:2" x14ac:dyDescent="0.25">
      <c r="A444" t="s">
        <v>1288</v>
      </c>
      <c r="B444" t="s">
        <v>1289</v>
      </c>
    </row>
    <row r="445" spans="1:2" x14ac:dyDescent="0.25">
      <c r="A445" t="s">
        <v>3660</v>
      </c>
      <c r="B445" t="s">
        <v>3661</v>
      </c>
    </row>
    <row r="446" spans="1:2" x14ac:dyDescent="0.25">
      <c r="A446" t="s">
        <v>3630</v>
      </c>
      <c r="B446" t="s">
        <v>3631</v>
      </c>
    </row>
    <row r="447" spans="1:2" x14ac:dyDescent="0.25">
      <c r="A447" t="s">
        <v>2412</v>
      </c>
      <c r="B447" t="s">
        <v>2413</v>
      </c>
    </row>
    <row r="448" spans="1:2" x14ac:dyDescent="0.25">
      <c r="A448" t="s">
        <v>3146</v>
      </c>
      <c r="B448" t="s">
        <v>3147</v>
      </c>
    </row>
    <row r="449" spans="1:2" x14ac:dyDescent="0.25">
      <c r="A449" t="s">
        <v>2258</v>
      </c>
      <c r="B449" t="s">
        <v>2259</v>
      </c>
    </row>
    <row r="450" spans="1:2" x14ac:dyDescent="0.25">
      <c r="A450" t="s">
        <v>3738</v>
      </c>
      <c r="B450" t="s">
        <v>3739</v>
      </c>
    </row>
    <row r="451" spans="1:2" x14ac:dyDescent="0.25">
      <c r="A451" t="s">
        <v>1435</v>
      </c>
      <c r="B451" t="s">
        <v>1436</v>
      </c>
    </row>
    <row r="452" spans="1:2" x14ac:dyDescent="0.25">
      <c r="A452" t="s">
        <v>2437</v>
      </c>
      <c r="B452" t="s">
        <v>256</v>
      </c>
    </row>
    <row r="453" spans="1:2" x14ac:dyDescent="0.25">
      <c r="A453" t="s">
        <v>1784</v>
      </c>
      <c r="B453" t="s">
        <v>1785</v>
      </c>
    </row>
    <row r="454" spans="1:2" x14ac:dyDescent="0.25">
      <c r="A454" t="s">
        <v>3215</v>
      </c>
      <c r="B454" t="s">
        <v>3216</v>
      </c>
    </row>
    <row r="455" spans="1:2" x14ac:dyDescent="0.25">
      <c r="A455" t="s">
        <v>1911</v>
      </c>
      <c r="B455" t="s">
        <v>1912</v>
      </c>
    </row>
    <row r="456" spans="1:2" x14ac:dyDescent="0.25">
      <c r="A456" t="s">
        <v>1451</v>
      </c>
      <c r="B456" t="s">
        <v>1452</v>
      </c>
    </row>
    <row r="457" spans="1:2" x14ac:dyDescent="0.25">
      <c r="A457" t="s">
        <v>1710</v>
      </c>
      <c r="B457" t="s">
        <v>1711</v>
      </c>
    </row>
    <row r="458" spans="1:2" x14ac:dyDescent="0.25">
      <c r="A458" t="s">
        <v>3666</v>
      </c>
      <c r="B458" t="s">
        <v>3667</v>
      </c>
    </row>
    <row r="459" spans="1:2" x14ac:dyDescent="0.25">
      <c r="A459" t="s">
        <v>2290</v>
      </c>
      <c r="B459" t="s">
        <v>2291</v>
      </c>
    </row>
    <row r="460" spans="1:2" x14ac:dyDescent="0.25">
      <c r="A460" t="s">
        <v>3657</v>
      </c>
      <c r="B460" t="s">
        <v>3658</v>
      </c>
    </row>
    <row r="461" spans="1:2" x14ac:dyDescent="0.25">
      <c r="A461" t="s">
        <v>1823</v>
      </c>
      <c r="B461" t="s">
        <v>1824</v>
      </c>
    </row>
    <row r="462" spans="1:2" x14ac:dyDescent="0.25">
      <c r="A462" t="s">
        <v>1241</v>
      </c>
      <c r="B462" t="s">
        <v>1242</v>
      </c>
    </row>
    <row r="463" spans="1:2" x14ac:dyDescent="0.25">
      <c r="A463" t="s">
        <v>2014</v>
      </c>
      <c r="B463" t="s">
        <v>2015</v>
      </c>
    </row>
    <row r="464" spans="1:2" x14ac:dyDescent="0.25">
      <c r="A464" t="s">
        <v>800</v>
      </c>
      <c r="B464" t="s">
        <v>801</v>
      </c>
    </row>
    <row r="465" spans="1:2" x14ac:dyDescent="0.25">
      <c r="A465" t="s">
        <v>2945</v>
      </c>
      <c r="B465" t="s">
        <v>2946</v>
      </c>
    </row>
    <row r="466" spans="1:2" x14ac:dyDescent="0.25">
      <c r="A466" t="s">
        <v>3395</v>
      </c>
      <c r="B466" t="s">
        <v>3396</v>
      </c>
    </row>
    <row r="467" spans="1:2" x14ac:dyDescent="0.25">
      <c r="A467" t="s">
        <v>1005</v>
      </c>
      <c r="B467" t="s">
        <v>1006</v>
      </c>
    </row>
    <row r="468" spans="1:2" x14ac:dyDescent="0.25">
      <c r="A468" t="s">
        <v>2689</v>
      </c>
      <c r="B468" t="s">
        <v>2690</v>
      </c>
    </row>
    <row r="469" spans="1:2" x14ac:dyDescent="0.25">
      <c r="A469" t="s">
        <v>2524</v>
      </c>
      <c r="B469" t="s">
        <v>2525</v>
      </c>
    </row>
    <row r="470" spans="1:2" x14ac:dyDescent="0.25">
      <c r="A470" t="s">
        <v>2252</v>
      </c>
      <c r="B470" t="s">
        <v>2253</v>
      </c>
    </row>
    <row r="471" spans="1:2" x14ac:dyDescent="0.25">
      <c r="A471" t="s">
        <v>1040</v>
      </c>
      <c r="B471" t="s">
        <v>1041</v>
      </c>
    </row>
    <row r="472" spans="1:2" x14ac:dyDescent="0.25">
      <c r="A472" t="s">
        <v>3386</v>
      </c>
      <c r="B472" t="s">
        <v>3387</v>
      </c>
    </row>
    <row r="473" spans="1:2" x14ac:dyDescent="0.25">
      <c r="A473" t="s">
        <v>3462</v>
      </c>
      <c r="B473" t="s">
        <v>3463</v>
      </c>
    </row>
    <row r="474" spans="1:2" x14ac:dyDescent="0.25">
      <c r="A474" t="s">
        <v>2127</v>
      </c>
      <c r="B474" t="s">
        <v>2128</v>
      </c>
    </row>
    <row r="475" spans="1:2" x14ac:dyDescent="0.25">
      <c r="A475" t="s">
        <v>656</v>
      </c>
      <c r="B475" t="s">
        <v>657</v>
      </c>
    </row>
    <row r="476" spans="1:2" x14ac:dyDescent="0.25">
      <c r="A476" t="s">
        <v>2890</v>
      </c>
      <c r="B476" t="s">
        <v>2891</v>
      </c>
    </row>
    <row r="477" spans="1:2" x14ac:dyDescent="0.25">
      <c r="A477" t="s">
        <v>2267</v>
      </c>
      <c r="B477" t="s">
        <v>2268</v>
      </c>
    </row>
    <row r="478" spans="1:2" x14ac:dyDescent="0.25">
      <c r="A478" t="s">
        <v>827</v>
      </c>
      <c r="B478" t="s">
        <v>828</v>
      </c>
    </row>
    <row r="479" spans="1:2" x14ac:dyDescent="0.25">
      <c r="A479" t="s">
        <v>1681</v>
      </c>
      <c r="B479" t="s">
        <v>1682</v>
      </c>
    </row>
    <row r="480" spans="1:2" x14ac:dyDescent="0.25">
      <c r="A480" t="s">
        <v>1936</v>
      </c>
      <c r="B480" t="s">
        <v>1937</v>
      </c>
    </row>
    <row r="481" spans="1:2" x14ac:dyDescent="0.25">
      <c r="A481" t="s">
        <v>2931</v>
      </c>
      <c r="B481" t="s">
        <v>2932</v>
      </c>
    </row>
    <row r="482" spans="1:2" x14ac:dyDescent="0.25">
      <c r="A482" t="s">
        <v>2737</v>
      </c>
      <c r="B482" t="s">
        <v>2738</v>
      </c>
    </row>
    <row r="483" spans="1:2" x14ac:dyDescent="0.25">
      <c r="A483" t="s">
        <v>3708</v>
      </c>
      <c r="B483" t="s">
        <v>3709</v>
      </c>
    </row>
    <row r="484" spans="1:2" x14ac:dyDescent="0.25">
      <c r="A484" t="s">
        <v>2539</v>
      </c>
      <c r="B484" t="s">
        <v>2540</v>
      </c>
    </row>
    <row r="485" spans="1:2" x14ac:dyDescent="0.25">
      <c r="A485" t="s">
        <v>3525</v>
      </c>
      <c r="B485" t="s">
        <v>3526</v>
      </c>
    </row>
    <row r="486" spans="1:2" x14ac:dyDescent="0.25">
      <c r="A486" t="s">
        <v>3510</v>
      </c>
      <c r="B486" t="s">
        <v>3511</v>
      </c>
    </row>
    <row r="487" spans="1:2" x14ac:dyDescent="0.25">
      <c r="A487" t="s">
        <v>3191</v>
      </c>
      <c r="B487" t="s">
        <v>3192</v>
      </c>
    </row>
    <row r="488" spans="1:2" x14ac:dyDescent="0.25">
      <c r="A488" t="s">
        <v>1167</v>
      </c>
      <c r="B488" t="s">
        <v>1168</v>
      </c>
    </row>
    <row r="489" spans="1:2" x14ac:dyDescent="0.25">
      <c r="A489" t="s">
        <v>1154</v>
      </c>
      <c r="B489" t="s">
        <v>1155</v>
      </c>
    </row>
    <row r="490" spans="1:2" x14ac:dyDescent="0.25">
      <c r="A490" t="s">
        <v>2043</v>
      </c>
      <c r="B490" t="s">
        <v>2044</v>
      </c>
    </row>
    <row r="491" spans="1:2" x14ac:dyDescent="0.25">
      <c r="A491" t="s">
        <v>2646</v>
      </c>
      <c r="B491" t="s">
        <v>2647</v>
      </c>
    </row>
    <row r="492" spans="1:2" x14ac:dyDescent="0.25">
      <c r="A492" t="s">
        <v>2060</v>
      </c>
      <c r="B492" t="s">
        <v>2061</v>
      </c>
    </row>
    <row r="493" spans="1:2" x14ac:dyDescent="0.25">
      <c r="A493" t="s">
        <v>814</v>
      </c>
      <c r="B493" t="s">
        <v>815</v>
      </c>
    </row>
    <row r="494" spans="1:2" x14ac:dyDescent="0.25">
      <c r="A494" t="s">
        <v>1808</v>
      </c>
      <c r="B494" t="s">
        <v>1809</v>
      </c>
    </row>
    <row r="495" spans="1:2" x14ac:dyDescent="0.25">
      <c r="A495" t="s">
        <v>3188</v>
      </c>
      <c r="B495" t="s">
        <v>3189</v>
      </c>
    </row>
    <row r="496" spans="1:2" x14ac:dyDescent="0.25">
      <c r="A496" t="s">
        <v>2871</v>
      </c>
      <c r="B496" t="s">
        <v>2872</v>
      </c>
    </row>
    <row r="497" spans="1:2" x14ac:dyDescent="0.25">
      <c r="A497" t="s">
        <v>3194</v>
      </c>
      <c r="B497" t="s">
        <v>3195</v>
      </c>
    </row>
    <row r="498" spans="1:2" x14ac:dyDescent="0.25">
      <c r="A498" t="s">
        <v>1223</v>
      </c>
      <c r="B498" t="s">
        <v>1224</v>
      </c>
    </row>
    <row r="499" spans="1:2" x14ac:dyDescent="0.25">
      <c r="A499" t="s">
        <v>2661</v>
      </c>
      <c r="B499" t="s">
        <v>2662</v>
      </c>
    </row>
    <row r="500" spans="1:2" x14ac:dyDescent="0.25">
      <c r="A500" t="s">
        <v>2357</v>
      </c>
      <c r="B500" t="s">
        <v>2358</v>
      </c>
    </row>
    <row r="501" spans="1:2" x14ac:dyDescent="0.25">
      <c r="A501" t="s">
        <v>1803</v>
      </c>
      <c r="B501" t="s">
        <v>1804</v>
      </c>
    </row>
    <row r="502" spans="1:2" x14ac:dyDescent="0.25">
      <c r="A502" t="s">
        <v>1842</v>
      </c>
      <c r="B502" t="s">
        <v>1843</v>
      </c>
    </row>
    <row r="503" spans="1:2" x14ac:dyDescent="0.25">
      <c r="A503" t="s">
        <v>1570</v>
      </c>
      <c r="B503" t="s">
        <v>1571</v>
      </c>
    </row>
    <row r="504" spans="1:2" x14ac:dyDescent="0.25">
      <c r="A504" t="s">
        <v>1104</v>
      </c>
      <c r="B504" t="s">
        <v>1105</v>
      </c>
    </row>
    <row r="505" spans="1:2" x14ac:dyDescent="0.25">
      <c r="A505" t="s">
        <v>1426</v>
      </c>
      <c r="B505" t="s">
        <v>1427</v>
      </c>
    </row>
    <row r="506" spans="1:2" x14ac:dyDescent="0.25">
      <c r="A506" t="s">
        <v>3302</v>
      </c>
      <c r="B506" t="s">
        <v>3303</v>
      </c>
    </row>
    <row r="507" spans="1:2" x14ac:dyDescent="0.25">
      <c r="A507" t="s">
        <v>1734</v>
      </c>
      <c r="B507" t="s">
        <v>1735</v>
      </c>
    </row>
    <row r="508" spans="1:2" x14ac:dyDescent="0.25">
      <c r="A508" t="s">
        <v>2379</v>
      </c>
      <c r="B508" t="s">
        <v>2380</v>
      </c>
    </row>
    <row r="509" spans="1:2" x14ac:dyDescent="0.25">
      <c r="A509" t="s">
        <v>2300</v>
      </c>
      <c r="B509" t="s">
        <v>2301</v>
      </c>
    </row>
    <row r="510" spans="1:2" x14ac:dyDescent="0.25">
      <c r="A510" t="s">
        <v>2902</v>
      </c>
      <c r="B510" t="s">
        <v>2903</v>
      </c>
    </row>
    <row r="511" spans="1:2" x14ac:dyDescent="0.25">
      <c r="A511" t="s">
        <v>3486</v>
      </c>
      <c r="B511" t="s">
        <v>3487</v>
      </c>
    </row>
    <row r="512" spans="1:2" x14ac:dyDescent="0.25">
      <c r="A512" t="s">
        <v>2144</v>
      </c>
      <c r="B512" t="s">
        <v>2145</v>
      </c>
    </row>
    <row r="513" spans="1:2" x14ac:dyDescent="0.25">
      <c r="A513" t="s">
        <v>1699</v>
      </c>
      <c r="B513" t="s">
        <v>1700</v>
      </c>
    </row>
    <row r="514" spans="1:2" x14ac:dyDescent="0.25">
      <c r="A514" t="s">
        <v>862</v>
      </c>
      <c r="B514" t="s">
        <v>863</v>
      </c>
    </row>
    <row r="515" spans="1:2" x14ac:dyDescent="0.25">
      <c r="A515" t="s">
        <v>3197</v>
      </c>
      <c r="B515" t="s">
        <v>3198</v>
      </c>
    </row>
    <row r="516" spans="1:2" x14ac:dyDescent="0.25">
      <c r="A516" t="s">
        <v>900</v>
      </c>
      <c r="B516" t="s">
        <v>901</v>
      </c>
    </row>
    <row r="517" spans="1:2" x14ac:dyDescent="0.25">
      <c r="A517" t="s">
        <v>3467</v>
      </c>
      <c r="B517" t="s">
        <v>2402</v>
      </c>
    </row>
    <row r="518" spans="1:2" x14ac:dyDescent="0.25">
      <c r="A518" t="s">
        <v>2401</v>
      </c>
      <c r="B518" t="s">
        <v>2402</v>
      </c>
    </row>
    <row r="519" spans="1:2" x14ac:dyDescent="0.25">
      <c r="A519" t="s">
        <v>921</v>
      </c>
      <c r="B519" t="s">
        <v>922</v>
      </c>
    </row>
    <row r="520" spans="1:2" x14ac:dyDescent="0.25">
      <c r="A520" t="s">
        <v>2652</v>
      </c>
      <c r="B520" t="s">
        <v>2653</v>
      </c>
    </row>
    <row r="521" spans="1:2" x14ac:dyDescent="0.25">
      <c r="A521" t="s">
        <v>795</v>
      </c>
      <c r="B521" t="s">
        <v>796</v>
      </c>
    </row>
    <row r="522" spans="1:2" x14ac:dyDescent="0.25">
      <c r="A522" t="s">
        <v>1091</v>
      </c>
      <c r="B522" t="s">
        <v>1092</v>
      </c>
    </row>
    <row r="523" spans="1:2" x14ac:dyDescent="0.25">
      <c r="A523" t="s">
        <v>2964</v>
      </c>
      <c r="B523" t="s">
        <v>2965</v>
      </c>
    </row>
    <row r="524" spans="1:2" x14ac:dyDescent="0.25">
      <c r="A524" t="s">
        <v>2990</v>
      </c>
      <c r="B524" t="s">
        <v>2991</v>
      </c>
    </row>
    <row r="525" spans="1:2" x14ac:dyDescent="0.25">
      <c r="A525" t="s">
        <v>1429</v>
      </c>
      <c r="B525" t="s">
        <v>1430</v>
      </c>
    </row>
    <row r="526" spans="1:2" x14ac:dyDescent="0.25">
      <c r="A526" t="s">
        <v>2181</v>
      </c>
      <c r="B526" t="s">
        <v>2182</v>
      </c>
    </row>
    <row r="527" spans="1:2" x14ac:dyDescent="0.25">
      <c r="A527" t="s">
        <v>1693</v>
      </c>
      <c r="B527" t="s">
        <v>1694</v>
      </c>
    </row>
    <row r="528" spans="1:2" x14ac:dyDescent="0.25">
      <c r="A528" t="s">
        <v>1614</v>
      </c>
      <c r="B528" t="s">
        <v>1615</v>
      </c>
    </row>
    <row r="529" spans="1:2" x14ac:dyDescent="0.25">
      <c r="A529" t="s">
        <v>2210</v>
      </c>
      <c r="B529" t="s">
        <v>2211</v>
      </c>
    </row>
    <row r="530" spans="1:2" x14ac:dyDescent="0.25">
      <c r="A530" t="s">
        <v>1677</v>
      </c>
      <c r="B530" t="s">
        <v>1678</v>
      </c>
    </row>
    <row r="531" spans="1:2" x14ac:dyDescent="0.25">
      <c r="A531" t="s">
        <v>1764</v>
      </c>
      <c r="B531" t="s">
        <v>579</v>
      </c>
    </row>
    <row r="532" spans="1:2" x14ac:dyDescent="0.25">
      <c r="A532" t="s">
        <v>2835</v>
      </c>
      <c r="B532" t="s">
        <v>2836</v>
      </c>
    </row>
    <row r="533" spans="1:2" x14ac:dyDescent="0.25">
      <c r="A533" t="s">
        <v>1749</v>
      </c>
      <c r="B533" t="s">
        <v>1750</v>
      </c>
    </row>
    <row r="534" spans="1:2" x14ac:dyDescent="0.25">
      <c r="A534" t="s">
        <v>1097</v>
      </c>
      <c r="B534" t="s">
        <v>1098</v>
      </c>
    </row>
    <row r="535" spans="1:2" x14ac:dyDescent="0.25">
      <c r="A535" t="s">
        <v>2000</v>
      </c>
      <c r="B535" t="s">
        <v>2001</v>
      </c>
    </row>
    <row r="536" spans="1:2" x14ac:dyDescent="0.25">
      <c r="A536" t="s">
        <v>3039</v>
      </c>
      <c r="B536" t="s">
        <v>3040</v>
      </c>
    </row>
    <row r="537" spans="1:2" x14ac:dyDescent="0.25">
      <c r="A537" t="s">
        <v>3619</v>
      </c>
      <c r="B537" t="s">
        <v>3620</v>
      </c>
    </row>
    <row r="538" spans="1:2" x14ac:dyDescent="0.25">
      <c r="A538" t="s">
        <v>1949</v>
      </c>
      <c r="B538" t="s">
        <v>1950</v>
      </c>
    </row>
    <row r="539" spans="1:2" x14ac:dyDescent="0.25">
      <c r="A539" t="s">
        <v>1448</v>
      </c>
      <c r="B539" t="s">
        <v>1449</v>
      </c>
    </row>
    <row r="540" spans="1:2" x14ac:dyDescent="0.25">
      <c r="A540" t="s">
        <v>1839</v>
      </c>
      <c r="B540" t="s">
        <v>1840</v>
      </c>
    </row>
    <row r="541" spans="1:2" x14ac:dyDescent="0.25">
      <c r="A541" t="s">
        <v>2124</v>
      </c>
      <c r="B541" t="s">
        <v>2125</v>
      </c>
    </row>
    <row r="542" spans="1:2" x14ac:dyDescent="0.25">
      <c r="A542" t="s">
        <v>3293</v>
      </c>
      <c r="B542" t="s">
        <v>3294</v>
      </c>
    </row>
    <row r="543" spans="1:2" x14ac:dyDescent="0.25">
      <c r="A543" t="s">
        <v>1737</v>
      </c>
      <c r="B543" t="s">
        <v>1738</v>
      </c>
    </row>
    <row r="544" spans="1:2" x14ac:dyDescent="0.25">
      <c r="A544" t="s">
        <v>878</v>
      </c>
      <c r="B544" t="s">
        <v>879</v>
      </c>
    </row>
    <row r="545" spans="1:2" x14ac:dyDescent="0.25">
      <c r="A545" t="s">
        <v>3644</v>
      </c>
      <c r="B545" t="s">
        <v>3645</v>
      </c>
    </row>
    <row r="546" spans="1:2" x14ac:dyDescent="0.25">
      <c r="A546" t="s">
        <v>3309</v>
      </c>
      <c r="B546" t="s">
        <v>3310</v>
      </c>
    </row>
    <row r="547" spans="1:2" x14ac:dyDescent="0.25">
      <c r="A547" t="s">
        <v>1960</v>
      </c>
      <c r="B547" t="s">
        <v>1961</v>
      </c>
    </row>
    <row r="548" spans="1:2" x14ac:dyDescent="0.25">
      <c r="A548" t="s">
        <v>3251</v>
      </c>
      <c r="B548" t="s">
        <v>3252</v>
      </c>
    </row>
    <row r="549" spans="1:2" x14ac:dyDescent="0.25">
      <c r="A549" t="s">
        <v>2616</v>
      </c>
      <c r="B549" t="s">
        <v>2617</v>
      </c>
    </row>
    <row r="550" spans="1:2" x14ac:dyDescent="0.25">
      <c r="A550" t="s">
        <v>2276</v>
      </c>
      <c r="B550" t="s">
        <v>2277</v>
      </c>
    </row>
    <row r="551" spans="1:2" x14ac:dyDescent="0.25">
      <c r="A551" t="s">
        <v>3574</v>
      </c>
      <c r="B551" t="s">
        <v>3575</v>
      </c>
    </row>
    <row r="552" spans="1:2" x14ac:dyDescent="0.25">
      <c r="A552" t="s">
        <v>1355</v>
      </c>
      <c r="B552" t="s">
        <v>1356</v>
      </c>
    </row>
    <row r="553" spans="1:2" x14ac:dyDescent="0.25">
      <c r="A553" t="s">
        <v>1358</v>
      </c>
      <c r="B553" t="s">
        <v>1359</v>
      </c>
    </row>
    <row r="554" spans="1:2" x14ac:dyDescent="0.25">
      <c r="A554" t="s">
        <v>1870</v>
      </c>
      <c r="B554" t="s">
        <v>1871</v>
      </c>
    </row>
    <row r="555" spans="1:2" x14ac:dyDescent="0.25">
      <c r="A555" t="s">
        <v>2575</v>
      </c>
      <c r="B555" t="s">
        <v>2576</v>
      </c>
    </row>
    <row r="556" spans="1:2" x14ac:dyDescent="0.25">
      <c r="A556" t="s">
        <v>2967</v>
      </c>
      <c r="B556" t="s">
        <v>2968</v>
      </c>
    </row>
    <row r="557" spans="1:2" x14ac:dyDescent="0.25">
      <c r="A557" t="s">
        <v>2172</v>
      </c>
      <c r="B557" t="s">
        <v>2173</v>
      </c>
    </row>
    <row r="558" spans="1:2" x14ac:dyDescent="0.25">
      <c r="A558" t="s">
        <v>3258</v>
      </c>
      <c r="B558" t="s">
        <v>3259</v>
      </c>
    </row>
    <row r="559" spans="1:2" x14ac:dyDescent="0.25">
      <c r="A559" t="s">
        <v>2113</v>
      </c>
      <c r="B559" t="s">
        <v>2114</v>
      </c>
    </row>
    <row r="560" spans="1:2" x14ac:dyDescent="0.25">
      <c r="A560" t="s">
        <v>1892</v>
      </c>
      <c r="B560" t="s">
        <v>1893</v>
      </c>
    </row>
    <row r="561" spans="1:2" x14ac:dyDescent="0.25">
      <c r="A561" t="s">
        <v>1994</v>
      </c>
      <c r="B561" t="s">
        <v>1995</v>
      </c>
    </row>
    <row r="562" spans="1:2" x14ac:dyDescent="0.25">
      <c r="A562" t="s">
        <v>873</v>
      </c>
      <c r="B562" t="s">
        <v>874</v>
      </c>
    </row>
    <row r="563" spans="1:2" x14ac:dyDescent="0.25">
      <c r="A563" t="s">
        <v>2337</v>
      </c>
      <c r="B563" t="s">
        <v>2338</v>
      </c>
    </row>
    <row r="564" spans="1:2" x14ac:dyDescent="0.25">
      <c r="A564" t="s">
        <v>1085</v>
      </c>
      <c r="B564" t="s">
        <v>1086</v>
      </c>
    </row>
    <row r="565" spans="1:2" x14ac:dyDescent="0.25">
      <c r="A565" t="s">
        <v>1249</v>
      </c>
      <c r="B565" t="s">
        <v>1250</v>
      </c>
    </row>
    <row r="566" spans="1:2" x14ac:dyDescent="0.25">
      <c r="A566" t="s">
        <v>2913</v>
      </c>
      <c r="B566" t="s">
        <v>2914</v>
      </c>
    </row>
    <row r="567" spans="1:2" x14ac:dyDescent="0.25">
      <c r="A567" t="s">
        <v>3315</v>
      </c>
      <c r="B567" t="s">
        <v>3316</v>
      </c>
    </row>
    <row r="568" spans="1:2" x14ac:dyDescent="0.25">
      <c r="A568" t="s">
        <v>1886</v>
      </c>
      <c r="B568" t="s">
        <v>1887</v>
      </c>
    </row>
    <row r="569" spans="1:2" x14ac:dyDescent="0.25">
      <c r="A569" t="s">
        <v>3027</v>
      </c>
      <c r="B569" t="s">
        <v>3028</v>
      </c>
    </row>
    <row r="570" spans="1:2" x14ac:dyDescent="0.25">
      <c r="A570" t="s">
        <v>2774</v>
      </c>
      <c r="B570" t="s">
        <v>2775</v>
      </c>
    </row>
    <row r="571" spans="1:2" x14ac:dyDescent="0.25">
      <c r="A571" t="s">
        <v>938</v>
      </c>
      <c r="B571" t="s">
        <v>939</v>
      </c>
    </row>
    <row r="572" spans="1:2" x14ac:dyDescent="0.25">
      <c r="A572" t="s">
        <v>1319</v>
      </c>
      <c r="B572" t="s">
        <v>1320</v>
      </c>
    </row>
    <row r="573" spans="1:2" x14ac:dyDescent="0.25">
      <c r="A573" t="s">
        <v>3360</v>
      </c>
      <c r="B573" t="s">
        <v>3361</v>
      </c>
    </row>
    <row r="574" spans="1:2" x14ac:dyDescent="0.25">
      <c r="A574" t="s">
        <v>2658</v>
      </c>
      <c r="B574" t="s">
        <v>2659</v>
      </c>
    </row>
    <row r="575" spans="1:2" x14ac:dyDescent="0.25">
      <c r="A575" t="s">
        <v>2591</v>
      </c>
      <c r="B575" t="s">
        <v>2592</v>
      </c>
    </row>
    <row r="576" spans="1:2" x14ac:dyDescent="0.25">
      <c r="A576" t="s">
        <v>1720</v>
      </c>
      <c r="B576" t="s">
        <v>1721</v>
      </c>
    </row>
    <row r="577" spans="1:2" x14ac:dyDescent="0.25">
      <c r="A577" t="s">
        <v>1013</v>
      </c>
      <c r="B577" t="s">
        <v>1014</v>
      </c>
    </row>
    <row r="578" spans="1:2" x14ac:dyDescent="0.25">
      <c r="A578" t="s">
        <v>883</v>
      </c>
      <c r="B578" t="s">
        <v>884</v>
      </c>
    </row>
    <row r="579" spans="1:2" x14ac:dyDescent="0.25">
      <c r="A579" t="s">
        <v>1561</v>
      </c>
      <c r="B579" t="s">
        <v>1562</v>
      </c>
    </row>
    <row r="580" spans="1:2" x14ac:dyDescent="0.25">
      <c r="A580" t="s">
        <v>1955</v>
      </c>
      <c r="B580" t="s">
        <v>1956</v>
      </c>
    </row>
    <row r="581" spans="1:2" x14ac:dyDescent="0.25">
      <c r="A581" t="s">
        <v>2780</v>
      </c>
      <c r="B581" t="s">
        <v>2781</v>
      </c>
    </row>
    <row r="582" spans="1:2" x14ac:dyDescent="0.25">
      <c r="A582" t="s">
        <v>3305</v>
      </c>
      <c r="B582" t="s">
        <v>3306</v>
      </c>
    </row>
    <row r="583" spans="1:2" x14ac:dyDescent="0.25">
      <c r="A583" t="s">
        <v>2805</v>
      </c>
      <c r="B583" t="s">
        <v>2806</v>
      </c>
    </row>
    <row r="584" spans="1:2" x14ac:dyDescent="0.25">
      <c r="A584" t="s">
        <v>3392</v>
      </c>
      <c r="B584" t="s">
        <v>3393</v>
      </c>
    </row>
    <row r="585" spans="1:2" x14ac:dyDescent="0.25">
      <c r="A585" t="s">
        <v>1927</v>
      </c>
      <c r="B585" t="s">
        <v>1928</v>
      </c>
    </row>
    <row r="586" spans="1:2" x14ac:dyDescent="0.25">
      <c r="A586" t="s">
        <v>2899</v>
      </c>
      <c r="B586" t="s">
        <v>2900</v>
      </c>
    </row>
    <row r="587" spans="1:2" x14ac:dyDescent="0.25">
      <c r="A587" t="s">
        <v>1117</v>
      </c>
      <c r="B587" t="s">
        <v>1118</v>
      </c>
    </row>
    <row r="588" spans="1:2" x14ac:dyDescent="0.25">
      <c r="A588" t="s">
        <v>1379</v>
      </c>
      <c r="B588" t="s">
        <v>1380</v>
      </c>
    </row>
    <row r="589" spans="1:2" x14ac:dyDescent="0.25">
      <c r="A589" t="s">
        <v>2464</v>
      </c>
      <c r="B589" t="s">
        <v>2465</v>
      </c>
    </row>
    <row r="590" spans="1:2" x14ac:dyDescent="0.25">
      <c r="A590" t="s">
        <v>1342</v>
      </c>
      <c r="B590" t="s">
        <v>1343</v>
      </c>
    </row>
    <row r="591" spans="1:2" x14ac:dyDescent="0.25">
      <c r="A591" t="s">
        <v>969</v>
      </c>
      <c r="B591" t="s">
        <v>970</v>
      </c>
    </row>
    <row r="592" spans="1:2" x14ac:dyDescent="0.25">
      <c r="A592" t="s">
        <v>1150</v>
      </c>
      <c r="B592" t="s">
        <v>1151</v>
      </c>
    </row>
    <row r="593" spans="1:2" x14ac:dyDescent="0.25">
      <c r="A593" t="s">
        <v>1505</v>
      </c>
      <c r="B593" t="s">
        <v>1506</v>
      </c>
    </row>
    <row r="594" spans="1:2" x14ac:dyDescent="0.25">
      <c r="A594" t="s">
        <v>1037</v>
      </c>
      <c r="B594" t="s">
        <v>1038</v>
      </c>
    </row>
    <row r="595" spans="1:2" x14ac:dyDescent="0.25">
      <c r="A595" t="s">
        <v>1793</v>
      </c>
      <c r="B595" t="s">
        <v>1794</v>
      </c>
    </row>
    <row r="596" spans="1:2" x14ac:dyDescent="0.25">
      <c r="A596" t="s">
        <v>1766</v>
      </c>
      <c r="B596" t="s">
        <v>1767</v>
      </c>
    </row>
    <row r="597" spans="1:2" x14ac:dyDescent="0.25">
      <c r="A597" t="s">
        <v>2088</v>
      </c>
      <c r="B597" t="s">
        <v>2089</v>
      </c>
    </row>
    <row r="598" spans="1:2" x14ac:dyDescent="0.25">
      <c r="A598" t="s">
        <v>1645</v>
      </c>
      <c r="B598" t="s">
        <v>1646</v>
      </c>
    </row>
    <row r="599" spans="1:2" x14ac:dyDescent="0.25">
      <c r="A599" t="s">
        <v>1834</v>
      </c>
      <c r="B599" t="s">
        <v>1835</v>
      </c>
    </row>
    <row r="600" spans="1:2" x14ac:dyDescent="0.25">
      <c r="A600" t="s">
        <v>2140</v>
      </c>
      <c r="B600" t="s">
        <v>2141</v>
      </c>
    </row>
    <row r="601" spans="1:2" x14ac:dyDescent="0.25">
      <c r="A601" t="s">
        <v>850</v>
      </c>
      <c r="B601" t="s">
        <v>851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1299</v>
      </c>
      <c r="B603" t="s">
        <v>1300</v>
      </c>
    </row>
    <row r="604" spans="1:2" x14ac:dyDescent="0.25">
      <c r="A604" t="s">
        <v>2228</v>
      </c>
      <c r="B604" t="s">
        <v>2229</v>
      </c>
    </row>
    <row r="605" spans="1:2" x14ac:dyDescent="0.25">
      <c r="A605" t="s">
        <v>2862</v>
      </c>
      <c r="B605" t="s">
        <v>2863</v>
      </c>
    </row>
    <row r="606" spans="1:2" x14ac:dyDescent="0.25">
      <c r="A606" t="s">
        <v>3114</v>
      </c>
      <c r="B606" t="s">
        <v>3115</v>
      </c>
    </row>
    <row r="607" spans="1:2" x14ac:dyDescent="0.25">
      <c r="A607" t="s">
        <v>1182</v>
      </c>
      <c r="B607" t="s">
        <v>1183</v>
      </c>
    </row>
    <row r="608" spans="1:2" x14ac:dyDescent="0.25">
      <c r="A608" t="s">
        <v>3484</v>
      </c>
      <c r="B608" t="s">
        <v>277</v>
      </c>
    </row>
    <row r="609" spans="1:2" x14ac:dyDescent="0.25">
      <c r="A609" t="s">
        <v>2820</v>
      </c>
      <c r="B609" t="s">
        <v>2821</v>
      </c>
    </row>
    <row r="610" spans="1:2" x14ac:dyDescent="0.25">
      <c r="A610" t="s">
        <v>1397</v>
      </c>
      <c r="B610" t="s">
        <v>1398</v>
      </c>
    </row>
    <row r="611" spans="1:2" x14ac:dyDescent="0.25">
      <c r="A611" t="s">
        <v>2740</v>
      </c>
      <c r="B611" t="s">
        <v>2741</v>
      </c>
    </row>
    <row r="612" spans="1:2" x14ac:dyDescent="0.25">
      <c r="A612" t="s">
        <v>2434</v>
      </c>
      <c r="B612" t="s">
        <v>2435</v>
      </c>
    </row>
    <row r="613" spans="1:2" x14ac:dyDescent="0.25">
      <c r="A613" t="s">
        <v>1853</v>
      </c>
      <c r="B613" t="s">
        <v>1854</v>
      </c>
    </row>
    <row r="614" spans="1:2" x14ac:dyDescent="0.25">
      <c r="A614" t="s">
        <v>3176</v>
      </c>
      <c r="B614" t="s">
        <v>3177</v>
      </c>
    </row>
    <row r="615" spans="1:2" x14ac:dyDescent="0.25">
      <c r="A615" t="s">
        <v>1544</v>
      </c>
      <c r="B615" t="s">
        <v>1545</v>
      </c>
    </row>
    <row r="616" spans="1:2" x14ac:dyDescent="0.25">
      <c r="A616" t="s">
        <v>1043</v>
      </c>
      <c r="B616" t="s">
        <v>1044</v>
      </c>
    </row>
    <row r="617" spans="1:2" x14ac:dyDescent="0.25">
      <c r="A617" t="s">
        <v>2832</v>
      </c>
      <c r="B617" t="s">
        <v>2833</v>
      </c>
    </row>
    <row r="618" spans="1:2" x14ac:dyDescent="0.25">
      <c r="A618" t="s">
        <v>2613</v>
      </c>
      <c r="B618" t="s">
        <v>2614</v>
      </c>
    </row>
    <row r="619" spans="1:2" x14ac:dyDescent="0.25">
      <c r="A619" t="s">
        <v>854</v>
      </c>
      <c r="B619" t="s">
        <v>855</v>
      </c>
    </row>
    <row r="620" spans="1:2" x14ac:dyDescent="0.25">
      <c r="A620" t="s">
        <v>3748</v>
      </c>
      <c r="B620" t="s">
        <v>3749</v>
      </c>
    </row>
    <row r="621" spans="1:2" x14ac:dyDescent="0.25">
      <c r="A621" t="s">
        <v>2731</v>
      </c>
      <c r="B621" t="s">
        <v>2732</v>
      </c>
    </row>
    <row r="622" spans="1:2" x14ac:dyDescent="0.25">
      <c r="A622" t="s">
        <v>3075</v>
      </c>
      <c r="B622" t="s">
        <v>3076</v>
      </c>
    </row>
    <row r="623" spans="1:2" x14ac:dyDescent="0.25">
      <c r="A623" t="s">
        <v>2619</v>
      </c>
      <c r="B623" t="s">
        <v>2620</v>
      </c>
    </row>
    <row r="624" spans="1:2" x14ac:dyDescent="0.25">
      <c r="A624" t="s">
        <v>1139</v>
      </c>
      <c r="B624" t="s">
        <v>1140</v>
      </c>
    </row>
    <row r="625" spans="1:2" x14ac:dyDescent="0.25">
      <c r="A625" t="s">
        <v>3732</v>
      </c>
      <c r="B625" t="s">
        <v>3733</v>
      </c>
    </row>
    <row r="626" spans="1:2" x14ac:dyDescent="0.25">
      <c r="A626" t="s">
        <v>1908</v>
      </c>
      <c r="B626" t="s">
        <v>1909</v>
      </c>
    </row>
    <row r="627" spans="1:2" x14ac:dyDescent="0.25">
      <c r="A627" t="s">
        <v>1410</v>
      </c>
      <c r="B627" t="s">
        <v>1411</v>
      </c>
    </row>
    <row r="628" spans="1:2" x14ac:dyDescent="0.25">
      <c r="A628" t="s">
        <v>2728</v>
      </c>
      <c r="B628" t="s">
        <v>2729</v>
      </c>
    </row>
    <row r="629" spans="1:2" x14ac:dyDescent="0.25">
      <c r="A629" t="s">
        <v>3598</v>
      </c>
      <c r="B629" t="s">
        <v>3599</v>
      </c>
    </row>
    <row r="630" spans="1:2" x14ac:dyDescent="0.25">
      <c r="A630" t="s">
        <v>3407</v>
      </c>
      <c r="B630" t="s">
        <v>3408</v>
      </c>
    </row>
    <row r="631" spans="1:2" x14ac:dyDescent="0.25">
      <c r="A631" t="s">
        <v>653</v>
      </c>
      <c r="B631" t="s">
        <v>654</v>
      </c>
    </row>
    <row r="632" spans="1:2" x14ac:dyDescent="0.25">
      <c r="A632" t="s">
        <v>3504</v>
      </c>
      <c r="B632" t="s">
        <v>3505</v>
      </c>
    </row>
    <row r="633" spans="1:2" x14ac:dyDescent="0.25">
      <c r="A633" t="s">
        <v>2052</v>
      </c>
      <c r="B633" t="s">
        <v>2053</v>
      </c>
    </row>
    <row r="634" spans="1:2" x14ac:dyDescent="0.25">
      <c r="A634" t="s">
        <v>3227</v>
      </c>
      <c r="B634" t="s">
        <v>3228</v>
      </c>
    </row>
    <row r="635" spans="1:2" x14ac:dyDescent="0.25">
      <c r="A635" t="s">
        <v>1670</v>
      </c>
      <c r="B635" t="s">
        <v>1671</v>
      </c>
    </row>
    <row r="636" spans="1:2" x14ac:dyDescent="0.25">
      <c r="A636" t="s">
        <v>1008</v>
      </c>
      <c r="B636" t="s">
        <v>1009</v>
      </c>
    </row>
    <row r="637" spans="1:2" x14ac:dyDescent="0.25">
      <c r="A637" t="s">
        <v>2034</v>
      </c>
      <c r="B637" t="s">
        <v>2035</v>
      </c>
    </row>
    <row r="638" spans="1:2" x14ac:dyDescent="0.25">
      <c r="A638" t="s">
        <v>1593</v>
      </c>
      <c r="B638" t="s">
        <v>1594</v>
      </c>
    </row>
    <row r="639" spans="1:2" x14ac:dyDescent="0.25">
      <c r="A639" t="s">
        <v>3745</v>
      </c>
      <c r="B639" t="s">
        <v>3746</v>
      </c>
    </row>
    <row r="640" spans="1:2" x14ac:dyDescent="0.25">
      <c r="A640" t="s">
        <v>3277</v>
      </c>
      <c r="B640" t="s">
        <v>3278</v>
      </c>
    </row>
    <row r="641" spans="1:2" x14ac:dyDescent="0.25">
      <c r="A641" t="s">
        <v>2672</v>
      </c>
      <c r="B641" t="s">
        <v>2673</v>
      </c>
    </row>
    <row r="642" spans="1:2" x14ac:dyDescent="0.25">
      <c r="A642" t="s">
        <v>1262</v>
      </c>
      <c r="B642" t="s">
        <v>1263</v>
      </c>
    </row>
    <row r="643" spans="1:2" x14ac:dyDescent="0.25">
      <c r="A643" t="s">
        <v>1246</v>
      </c>
      <c r="B643" t="s">
        <v>1247</v>
      </c>
    </row>
    <row r="644" spans="1:2" x14ac:dyDescent="0.25">
      <c r="A644" t="s">
        <v>3327</v>
      </c>
      <c r="B644" t="s">
        <v>3328</v>
      </c>
    </row>
    <row r="645" spans="1:2" x14ac:dyDescent="0.25">
      <c r="A645" t="s">
        <v>2937</v>
      </c>
      <c r="B645" t="s">
        <v>2938</v>
      </c>
    </row>
    <row r="646" spans="1:2" x14ac:dyDescent="0.25">
      <c r="A646" t="s">
        <v>1640</v>
      </c>
      <c r="B646" t="s">
        <v>1641</v>
      </c>
    </row>
    <row r="647" spans="1:2" x14ac:dyDescent="0.25">
      <c r="A647" t="s">
        <v>2006</v>
      </c>
      <c r="B647" t="s">
        <v>2007</v>
      </c>
    </row>
    <row r="648" spans="1:2" x14ac:dyDescent="0.25">
      <c r="A648" t="s">
        <v>3242</v>
      </c>
      <c r="B648" t="s">
        <v>3243</v>
      </c>
    </row>
    <row r="649" spans="1:2" x14ac:dyDescent="0.25">
      <c r="A649" t="s">
        <v>1476</v>
      </c>
      <c r="B649" t="s">
        <v>1477</v>
      </c>
    </row>
    <row r="650" spans="1:2" x14ac:dyDescent="0.25">
      <c r="A650" t="s">
        <v>2303</v>
      </c>
      <c r="B650" t="s">
        <v>2304</v>
      </c>
    </row>
    <row r="651" spans="1:2" x14ac:dyDescent="0.25">
      <c r="A651" t="s">
        <v>1259</v>
      </c>
      <c r="B651" t="s">
        <v>1260</v>
      </c>
    </row>
    <row r="652" spans="1:2" x14ac:dyDescent="0.25">
      <c r="A652" t="s">
        <v>2316</v>
      </c>
      <c r="B652" t="s">
        <v>2317</v>
      </c>
    </row>
    <row r="653" spans="1:2" x14ac:dyDescent="0.25">
      <c r="A653" t="s">
        <v>1859</v>
      </c>
      <c r="B653" t="s">
        <v>1860</v>
      </c>
    </row>
    <row r="654" spans="1:2" x14ac:dyDescent="0.25">
      <c r="A654" t="s">
        <v>1685</v>
      </c>
      <c r="B654" t="s">
        <v>407</v>
      </c>
    </row>
    <row r="655" spans="1:2" x14ac:dyDescent="0.25">
      <c r="A655" t="s">
        <v>1586</v>
      </c>
      <c r="B655" t="s">
        <v>1587</v>
      </c>
    </row>
    <row r="656" spans="1:2" x14ac:dyDescent="0.25">
      <c r="A656" t="s">
        <v>1788</v>
      </c>
      <c r="B656" t="s">
        <v>1789</v>
      </c>
    </row>
    <row r="657" spans="1:2" x14ac:dyDescent="0.25">
      <c r="A657" t="s">
        <v>3534</v>
      </c>
      <c r="B657" t="s">
        <v>3535</v>
      </c>
    </row>
    <row r="658" spans="1:2" x14ac:dyDescent="0.25">
      <c r="A658" t="s">
        <v>1650</v>
      </c>
      <c r="B658" t="s">
        <v>1651</v>
      </c>
    </row>
    <row r="659" spans="1:2" x14ac:dyDescent="0.25">
      <c r="A659" t="s">
        <v>2808</v>
      </c>
      <c r="B659" t="s">
        <v>2809</v>
      </c>
    </row>
    <row r="660" spans="1:2" x14ac:dyDescent="0.25">
      <c r="A660" t="s">
        <v>2234</v>
      </c>
      <c r="B660" t="s">
        <v>2235</v>
      </c>
    </row>
    <row r="661" spans="1:2" x14ac:dyDescent="0.25">
      <c r="A661" t="s">
        <v>1088</v>
      </c>
      <c r="B661" t="s">
        <v>1089</v>
      </c>
    </row>
    <row r="662" spans="1:2" x14ac:dyDescent="0.25">
      <c r="A662" t="s">
        <v>2999</v>
      </c>
      <c r="B662" t="s">
        <v>3000</v>
      </c>
    </row>
    <row r="663" spans="1:2" x14ac:dyDescent="0.25">
      <c r="A663" t="s">
        <v>2764</v>
      </c>
      <c r="B663" t="s">
        <v>497</v>
      </c>
    </row>
    <row r="664" spans="1:2" x14ac:dyDescent="0.25">
      <c r="A664" t="s">
        <v>1969</v>
      </c>
      <c r="B664" t="s">
        <v>1970</v>
      </c>
    </row>
    <row r="665" spans="1:2" x14ac:dyDescent="0.25">
      <c r="A665" t="s">
        <v>1495</v>
      </c>
      <c r="B665" t="s">
        <v>1496</v>
      </c>
    </row>
    <row r="666" spans="1:2" x14ac:dyDescent="0.25">
      <c r="A666" t="s">
        <v>3401</v>
      </c>
      <c r="B666" t="s">
        <v>3402</v>
      </c>
    </row>
    <row r="667" spans="1:2" x14ac:dyDescent="0.25">
      <c r="A667" t="s">
        <v>2925</v>
      </c>
      <c r="B667" t="s">
        <v>2926</v>
      </c>
    </row>
    <row r="668" spans="1:2" x14ac:dyDescent="0.25">
      <c r="A668" t="s">
        <v>3089</v>
      </c>
      <c r="B668" t="s">
        <v>3090</v>
      </c>
    </row>
    <row r="669" spans="1:2" x14ac:dyDescent="0.25">
      <c r="A669" t="s">
        <v>1404</v>
      </c>
      <c r="B669" t="s">
        <v>1405</v>
      </c>
    </row>
    <row r="670" spans="1:2" x14ac:dyDescent="0.25">
      <c r="A670" t="s">
        <v>2322</v>
      </c>
      <c r="B670" t="s">
        <v>2323</v>
      </c>
    </row>
    <row r="671" spans="1:2" x14ac:dyDescent="0.25">
      <c r="A671" t="s">
        <v>2369</v>
      </c>
      <c r="B671" t="s">
        <v>2370</v>
      </c>
    </row>
    <row r="672" spans="1:2" x14ac:dyDescent="0.25">
      <c r="A672" t="s">
        <v>1170</v>
      </c>
      <c r="B672" t="s">
        <v>484</v>
      </c>
    </row>
    <row r="673" spans="1:2" x14ac:dyDescent="0.25">
      <c r="A673" t="s">
        <v>1353</v>
      </c>
      <c r="B673" t="s">
        <v>484</v>
      </c>
    </row>
    <row r="674" spans="1:2" x14ac:dyDescent="0.25">
      <c r="A674" t="s">
        <v>2548</v>
      </c>
      <c r="B674" t="s">
        <v>2549</v>
      </c>
    </row>
    <row r="675" spans="1:2" x14ac:dyDescent="0.25">
      <c r="A675" t="s">
        <v>1253</v>
      </c>
      <c r="B675" t="s">
        <v>1254</v>
      </c>
    </row>
    <row r="676" spans="1:2" x14ac:dyDescent="0.25">
      <c r="A676" t="s">
        <v>1265</v>
      </c>
      <c r="B676" t="s">
        <v>1266</v>
      </c>
    </row>
    <row r="677" spans="1:2" x14ac:dyDescent="0.25">
      <c r="A677" t="s">
        <v>2069</v>
      </c>
      <c r="B677" t="s">
        <v>2070</v>
      </c>
    </row>
    <row r="678" spans="1:2" x14ac:dyDescent="0.25">
      <c r="A678" t="s">
        <v>1423</v>
      </c>
      <c r="B678" t="s">
        <v>1424</v>
      </c>
    </row>
    <row r="679" spans="1:2" x14ac:dyDescent="0.25">
      <c r="A679" t="s">
        <v>1625</v>
      </c>
      <c r="B679" t="s">
        <v>1626</v>
      </c>
    </row>
    <row r="680" spans="1:2" x14ac:dyDescent="0.25">
      <c r="A680" t="s">
        <v>2360</v>
      </c>
      <c r="B680" t="s">
        <v>2361</v>
      </c>
    </row>
    <row r="681" spans="1:2" x14ac:dyDescent="0.25">
      <c r="A681" t="s">
        <v>2752</v>
      </c>
      <c r="B681" t="s">
        <v>2753</v>
      </c>
    </row>
    <row r="682" spans="1:2" x14ac:dyDescent="0.25">
      <c r="A682" t="s">
        <v>2694</v>
      </c>
      <c r="B682" t="s">
        <v>2695</v>
      </c>
    </row>
    <row r="683" spans="1:2" x14ac:dyDescent="0.25">
      <c r="A683" t="s">
        <v>1146</v>
      </c>
      <c r="B683" t="s">
        <v>1147</v>
      </c>
    </row>
    <row r="684" spans="1:2" x14ac:dyDescent="0.25">
      <c r="A684" t="s">
        <v>2498</v>
      </c>
      <c r="B684" t="s">
        <v>2499</v>
      </c>
    </row>
    <row r="685" spans="1:2" x14ac:dyDescent="0.25">
      <c r="A685" t="s">
        <v>3069</v>
      </c>
      <c r="B685" t="s">
        <v>3070</v>
      </c>
    </row>
    <row r="686" spans="1:2" x14ac:dyDescent="0.25">
      <c r="A686" t="s">
        <v>1775</v>
      </c>
      <c r="B686" t="s">
        <v>1776</v>
      </c>
    </row>
    <row r="687" spans="1:2" x14ac:dyDescent="0.25">
      <c r="A687" t="s">
        <v>3751</v>
      </c>
      <c r="B687" t="s">
        <v>3752</v>
      </c>
    </row>
    <row r="688" spans="1:2" x14ac:dyDescent="0.25">
      <c r="A688" t="s">
        <v>1628</v>
      </c>
      <c r="B688" t="s">
        <v>1629</v>
      </c>
    </row>
    <row r="689" spans="1:2" x14ac:dyDescent="0.25">
      <c r="A689" t="s">
        <v>3066</v>
      </c>
      <c r="B689" t="s">
        <v>3067</v>
      </c>
    </row>
    <row r="690" spans="1:2" x14ac:dyDescent="0.25">
      <c r="A690" t="s">
        <v>2783</v>
      </c>
      <c r="B690" t="s">
        <v>2784</v>
      </c>
    </row>
    <row r="691" spans="1:2" x14ac:dyDescent="0.25">
      <c r="A691" t="s">
        <v>1439</v>
      </c>
      <c r="B691" t="s">
        <v>1440</v>
      </c>
    </row>
    <row r="692" spans="1:2" x14ac:dyDescent="0.25">
      <c r="A692" t="s">
        <v>3647</v>
      </c>
      <c r="B692" t="s">
        <v>3648</v>
      </c>
    </row>
    <row r="693" spans="1:2" x14ac:dyDescent="0.25">
      <c r="A693" t="s">
        <v>1272</v>
      </c>
      <c r="B693" t="s">
        <v>1273</v>
      </c>
    </row>
    <row r="694" spans="1:2" x14ac:dyDescent="0.25">
      <c r="A694" t="s">
        <v>1511</v>
      </c>
      <c r="B694" t="s">
        <v>1512</v>
      </c>
    </row>
    <row r="695" spans="1:2" x14ac:dyDescent="0.25">
      <c r="A695" t="s">
        <v>1457</v>
      </c>
      <c r="B695" t="s">
        <v>1458</v>
      </c>
    </row>
    <row r="696" spans="1:2" x14ac:dyDescent="0.25">
      <c r="A696" t="s">
        <v>1758</v>
      </c>
      <c r="B696" t="s">
        <v>1759</v>
      </c>
    </row>
    <row r="697" spans="1:2" x14ac:dyDescent="0.25">
      <c r="A697" t="s">
        <v>3413</v>
      </c>
      <c r="B697" t="s">
        <v>3414</v>
      </c>
    </row>
    <row r="698" spans="1:2" x14ac:dyDescent="0.25">
      <c r="A698" t="s">
        <v>2979</v>
      </c>
      <c r="B698" t="s">
        <v>7</v>
      </c>
    </row>
    <row r="699" spans="1:2" x14ac:dyDescent="0.25">
      <c r="A699" t="s">
        <v>2297</v>
      </c>
      <c r="B699" t="s">
        <v>2298</v>
      </c>
    </row>
    <row r="700" spans="1:2" x14ac:dyDescent="0.25">
      <c r="A700" t="s">
        <v>1394</v>
      </c>
      <c r="B700" t="s">
        <v>1395</v>
      </c>
    </row>
    <row r="701" spans="1:2" x14ac:dyDescent="0.25">
      <c r="A701" t="s">
        <v>3230</v>
      </c>
      <c r="B701" t="s">
        <v>3231</v>
      </c>
    </row>
    <row r="702" spans="1:2" x14ac:dyDescent="0.25">
      <c r="A702" t="s">
        <v>3224</v>
      </c>
      <c r="B702" t="s">
        <v>3225</v>
      </c>
    </row>
    <row r="703" spans="1:2" x14ac:dyDescent="0.25">
      <c r="A703" t="s">
        <v>3137</v>
      </c>
      <c r="B703" t="s">
        <v>3138</v>
      </c>
    </row>
    <row r="704" spans="1:2" x14ac:dyDescent="0.25">
      <c r="A704" t="s">
        <v>2725</v>
      </c>
      <c r="B704" t="s">
        <v>2726</v>
      </c>
    </row>
    <row r="705" spans="1:2" x14ac:dyDescent="0.25">
      <c r="A705" t="s">
        <v>1230</v>
      </c>
      <c r="B705" t="s">
        <v>1231</v>
      </c>
    </row>
    <row r="706" spans="1:2" x14ac:dyDescent="0.25">
      <c r="A706" t="s">
        <v>3173</v>
      </c>
      <c r="B706" t="s">
        <v>3174</v>
      </c>
    </row>
    <row r="707" spans="1:2" x14ac:dyDescent="0.25">
      <c r="A707" t="s">
        <v>2743</v>
      </c>
      <c r="B707" t="s">
        <v>2744</v>
      </c>
    </row>
    <row r="708" spans="1:2" x14ac:dyDescent="0.25">
      <c r="A708" t="s">
        <v>3285</v>
      </c>
      <c r="B708" t="s">
        <v>3286</v>
      </c>
    </row>
    <row r="709" spans="1:2" x14ac:dyDescent="0.25">
      <c r="A709" t="s">
        <v>2245</v>
      </c>
      <c r="B709" t="s">
        <v>2246</v>
      </c>
    </row>
    <row r="710" spans="1:2" x14ac:dyDescent="0.25">
      <c r="A710" t="s">
        <v>2085</v>
      </c>
      <c r="B710" t="s">
        <v>2086</v>
      </c>
    </row>
    <row r="711" spans="1:2" x14ac:dyDescent="0.25">
      <c r="A711" t="s">
        <v>3179</v>
      </c>
      <c r="B711" t="s">
        <v>3180</v>
      </c>
    </row>
    <row r="712" spans="1:2" x14ac:dyDescent="0.25">
      <c r="A712" t="s">
        <v>3096</v>
      </c>
      <c r="B712" t="s">
        <v>3097</v>
      </c>
    </row>
    <row r="713" spans="1:2" x14ac:dyDescent="0.25">
      <c r="A713" t="s">
        <v>2175</v>
      </c>
      <c r="B713" t="s">
        <v>2176</v>
      </c>
    </row>
    <row r="714" spans="1:2" x14ac:dyDescent="0.25">
      <c r="A714" t="s">
        <v>1539</v>
      </c>
      <c r="B714" t="s">
        <v>1540</v>
      </c>
    </row>
    <row r="715" spans="1:2" x14ac:dyDescent="0.25">
      <c r="A715" t="s">
        <v>3481</v>
      </c>
      <c r="B715" t="s">
        <v>3482</v>
      </c>
    </row>
    <row r="716" spans="1:2" x14ac:dyDescent="0.25">
      <c r="A716" t="s">
        <v>3428</v>
      </c>
      <c r="B716" t="s">
        <v>3429</v>
      </c>
    </row>
    <row r="717" spans="1:2" x14ac:dyDescent="0.25">
      <c r="A717" t="s">
        <v>3140</v>
      </c>
      <c r="B717" t="s">
        <v>3141</v>
      </c>
    </row>
    <row r="718" spans="1:2" x14ac:dyDescent="0.25">
      <c r="A718" t="s">
        <v>2987</v>
      </c>
      <c r="B718" t="s">
        <v>2988</v>
      </c>
    </row>
    <row r="719" spans="1:2" x14ac:dyDescent="0.25">
      <c r="A719" t="s">
        <v>3013</v>
      </c>
      <c r="B719" t="s">
        <v>3014</v>
      </c>
    </row>
    <row r="720" spans="1:2" x14ac:dyDescent="0.25">
      <c r="A720" t="s">
        <v>3102</v>
      </c>
      <c r="B720" t="s">
        <v>3103</v>
      </c>
    </row>
    <row r="721" spans="1:2" x14ac:dyDescent="0.25">
      <c r="A721" t="s">
        <v>3079</v>
      </c>
      <c r="B721" t="s">
        <v>3080</v>
      </c>
    </row>
    <row r="722" spans="1:2" x14ac:dyDescent="0.25">
      <c r="A722" t="s">
        <v>2398</v>
      </c>
      <c r="B722" t="s">
        <v>2399</v>
      </c>
    </row>
    <row r="723" spans="1:2" x14ac:dyDescent="0.25">
      <c r="A723" t="s">
        <v>2439</v>
      </c>
      <c r="B723" t="s">
        <v>2440</v>
      </c>
    </row>
    <row r="724" spans="1:2" x14ac:dyDescent="0.25">
      <c r="A724" t="s">
        <v>2049</v>
      </c>
      <c r="B724" t="s">
        <v>2050</v>
      </c>
    </row>
    <row r="725" spans="1:2" x14ac:dyDescent="0.25">
      <c r="A725" t="s">
        <v>2452</v>
      </c>
      <c r="B725" t="s">
        <v>2453</v>
      </c>
    </row>
    <row r="726" spans="1:2" x14ac:dyDescent="0.25">
      <c r="A726" t="s">
        <v>1112</v>
      </c>
      <c r="B726" t="s">
        <v>1113</v>
      </c>
    </row>
    <row r="727" spans="1:2" x14ac:dyDescent="0.25">
      <c r="A727" t="s">
        <v>1056</v>
      </c>
      <c r="B727" t="s">
        <v>1057</v>
      </c>
    </row>
    <row r="728" spans="1:2" x14ac:dyDescent="0.25">
      <c r="A728" t="s">
        <v>1603</v>
      </c>
      <c r="B728" t="s">
        <v>1604</v>
      </c>
    </row>
    <row r="729" spans="1:2" x14ac:dyDescent="0.25">
      <c r="A729" t="s">
        <v>3422</v>
      </c>
      <c r="B729" t="s">
        <v>3423</v>
      </c>
    </row>
    <row r="730" spans="1:2" x14ac:dyDescent="0.25">
      <c r="A730" t="s">
        <v>3654</v>
      </c>
      <c r="B730" t="s">
        <v>3655</v>
      </c>
    </row>
    <row r="731" spans="1:2" x14ac:dyDescent="0.25">
      <c r="A731" t="s">
        <v>1714</v>
      </c>
      <c r="B731" t="s">
        <v>1715</v>
      </c>
    </row>
    <row r="732" spans="1:2" x14ac:dyDescent="0.25">
      <c r="A732" t="s">
        <v>1814</v>
      </c>
      <c r="B732" t="s">
        <v>545</v>
      </c>
    </row>
    <row r="733" spans="1:2" x14ac:dyDescent="0.25">
      <c r="A733" t="s">
        <v>3440</v>
      </c>
      <c r="B733" t="s">
        <v>3441</v>
      </c>
    </row>
    <row r="734" spans="1:2" x14ac:dyDescent="0.25">
      <c r="A734" t="s">
        <v>3772</v>
      </c>
      <c r="B734" t="s">
        <v>3773</v>
      </c>
    </row>
    <row r="735" spans="1:2" x14ac:dyDescent="0.25">
      <c r="A735" t="s">
        <v>1952</v>
      </c>
      <c r="B735" t="s">
        <v>1953</v>
      </c>
    </row>
    <row r="736" spans="1:2" x14ac:dyDescent="0.25">
      <c r="A736" t="s">
        <v>2098</v>
      </c>
      <c r="B736" t="s">
        <v>2099</v>
      </c>
    </row>
    <row r="737" spans="1:2" x14ac:dyDescent="0.25">
      <c r="A737" t="s">
        <v>3452</v>
      </c>
      <c r="B737" t="s">
        <v>3453</v>
      </c>
    </row>
    <row r="738" spans="1:2" x14ac:dyDescent="0.25">
      <c r="A738" t="s">
        <v>1940</v>
      </c>
      <c r="B738" t="s">
        <v>1941</v>
      </c>
    </row>
    <row r="739" spans="1:2" x14ac:dyDescent="0.25">
      <c r="A739" t="s">
        <v>2948</v>
      </c>
      <c r="B739" t="s">
        <v>2949</v>
      </c>
    </row>
    <row r="740" spans="1:2" x14ac:dyDescent="0.25">
      <c r="A740" t="s">
        <v>2766</v>
      </c>
      <c r="B740" t="s">
        <v>2767</v>
      </c>
    </row>
    <row r="741" spans="1:2" x14ac:dyDescent="0.25">
      <c r="A741" t="s">
        <v>3296</v>
      </c>
      <c r="B741" t="s">
        <v>3297</v>
      </c>
    </row>
    <row r="742" spans="1:2" x14ac:dyDescent="0.25">
      <c r="A742" t="s">
        <v>1233</v>
      </c>
      <c r="B742" t="s">
        <v>1234</v>
      </c>
    </row>
    <row r="743" spans="1:2" x14ac:dyDescent="0.25">
      <c r="A743" t="s">
        <v>3501</v>
      </c>
      <c r="B743" t="s">
        <v>3502</v>
      </c>
    </row>
    <row r="744" spans="1:2" x14ac:dyDescent="0.25">
      <c r="A744" t="s">
        <v>842</v>
      </c>
      <c r="B744" t="s">
        <v>843</v>
      </c>
    </row>
    <row r="745" spans="1:2" x14ac:dyDescent="0.25">
      <c r="A745" t="s">
        <v>2708</v>
      </c>
      <c r="B745" t="s">
        <v>2709</v>
      </c>
    </row>
    <row r="746" spans="1:2" x14ac:dyDescent="0.25">
      <c r="A746" t="s">
        <v>2482</v>
      </c>
      <c r="B746" t="s">
        <v>2483</v>
      </c>
    </row>
    <row r="747" spans="1:2" x14ac:dyDescent="0.25">
      <c r="A747" t="s">
        <v>977</v>
      </c>
      <c r="B747" t="s">
        <v>978</v>
      </c>
    </row>
    <row r="748" spans="1:2" x14ac:dyDescent="0.25">
      <c r="A748" t="s">
        <v>2101</v>
      </c>
      <c r="B748" t="s">
        <v>261</v>
      </c>
    </row>
    <row r="749" spans="1:2" x14ac:dyDescent="0.25">
      <c r="A749" t="s">
        <v>982</v>
      </c>
      <c r="B749" t="s">
        <v>983</v>
      </c>
    </row>
    <row r="750" spans="1:2" x14ac:dyDescent="0.25">
      <c r="A750" t="s">
        <v>3769</v>
      </c>
      <c r="B750" t="s">
        <v>3770</v>
      </c>
    </row>
    <row r="751" spans="1:2" x14ac:dyDescent="0.25">
      <c r="A751" t="s">
        <v>3735</v>
      </c>
      <c r="B751" t="s">
        <v>3736</v>
      </c>
    </row>
    <row r="752" spans="1:2" x14ac:dyDescent="0.25">
      <c r="A752" t="s">
        <v>1345</v>
      </c>
      <c r="B752" t="s">
        <v>1346</v>
      </c>
    </row>
    <row r="753" spans="1:2" x14ac:dyDescent="0.25">
      <c r="A753" t="s">
        <v>2354</v>
      </c>
      <c r="B753" t="s">
        <v>2355</v>
      </c>
    </row>
    <row r="754" spans="1:2" x14ac:dyDescent="0.25">
      <c r="A754" t="s">
        <v>2542</v>
      </c>
      <c r="B754" t="s">
        <v>2543</v>
      </c>
    </row>
    <row r="755" spans="1:2" x14ac:dyDescent="0.25">
      <c r="A755" t="s">
        <v>1676</v>
      </c>
      <c r="B755" t="s">
        <v>568</v>
      </c>
    </row>
    <row r="756" spans="1:2" x14ac:dyDescent="0.25">
      <c r="A756" t="s">
        <v>1725</v>
      </c>
      <c r="B756" t="s">
        <v>1726</v>
      </c>
    </row>
    <row r="757" spans="1:2" x14ac:dyDescent="0.25">
      <c r="A757" t="s">
        <v>1731</v>
      </c>
      <c r="B757" t="s">
        <v>1732</v>
      </c>
    </row>
    <row r="758" spans="1:2" x14ac:dyDescent="0.25">
      <c r="A758" t="s">
        <v>728</v>
      </c>
      <c r="B758" t="s">
        <v>729</v>
      </c>
    </row>
    <row r="759" spans="1:2" x14ac:dyDescent="0.25">
      <c r="A759" t="s">
        <v>1350</v>
      </c>
      <c r="B759" t="s">
        <v>1351</v>
      </c>
    </row>
    <row r="760" spans="1:2" x14ac:dyDescent="0.25">
      <c r="A760" t="s">
        <v>1890</v>
      </c>
      <c r="B760" t="s">
        <v>1025</v>
      </c>
    </row>
    <row r="761" spans="1:2" x14ac:dyDescent="0.25">
      <c r="A761" t="s">
        <v>1024</v>
      </c>
      <c r="B761" t="s">
        <v>1025</v>
      </c>
    </row>
    <row r="762" spans="1:2" x14ac:dyDescent="0.25">
      <c r="A762" t="s">
        <v>2294</v>
      </c>
      <c r="B762" t="s">
        <v>2295</v>
      </c>
    </row>
    <row r="763" spans="1:2" x14ac:dyDescent="0.25">
      <c r="A763" t="s">
        <v>1536</v>
      </c>
      <c r="B763" t="s">
        <v>1537</v>
      </c>
    </row>
    <row r="764" spans="1:2" x14ac:dyDescent="0.25">
      <c r="A764" t="s">
        <v>3372</v>
      </c>
      <c r="B764" t="s">
        <v>3373</v>
      </c>
    </row>
    <row r="765" spans="1:2" x14ac:dyDescent="0.25">
      <c r="A765" t="s">
        <v>2586</v>
      </c>
      <c r="B765" t="s">
        <v>2587</v>
      </c>
    </row>
    <row r="766" spans="1:2" x14ac:dyDescent="0.25">
      <c r="A766" t="s">
        <v>2859</v>
      </c>
      <c r="B766" t="s">
        <v>2860</v>
      </c>
    </row>
    <row r="767" spans="1:2" x14ac:dyDescent="0.25">
      <c r="A767" t="s">
        <v>2073</v>
      </c>
      <c r="B767" t="s">
        <v>2074</v>
      </c>
    </row>
    <row r="768" spans="1:2" x14ac:dyDescent="0.25">
      <c r="A768" t="s">
        <v>1769</v>
      </c>
      <c r="B768" t="s">
        <v>1770</v>
      </c>
    </row>
    <row r="769" spans="1:2" x14ac:dyDescent="0.25">
      <c r="A769" t="s">
        <v>2594</v>
      </c>
      <c r="B769" t="s">
        <v>2595</v>
      </c>
    </row>
    <row r="770" spans="1:2" x14ac:dyDescent="0.25">
      <c r="A770" t="s">
        <v>3604</v>
      </c>
      <c r="B770" t="s">
        <v>3605</v>
      </c>
    </row>
    <row r="771" spans="1:2" x14ac:dyDescent="0.25">
      <c r="A771" t="s">
        <v>1134</v>
      </c>
      <c r="B771" t="s">
        <v>1135</v>
      </c>
    </row>
    <row r="772" spans="1:2" x14ac:dyDescent="0.25">
      <c r="A772" t="s">
        <v>3270</v>
      </c>
      <c r="B772" t="s">
        <v>3271</v>
      </c>
    </row>
    <row r="773" spans="1:2" x14ac:dyDescent="0.25">
      <c r="A773" t="s">
        <v>3419</v>
      </c>
      <c r="B773" t="s">
        <v>3420</v>
      </c>
    </row>
    <row r="774" spans="1:2" x14ac:dyDescent="0.25">
      <c r="A774" t="s">
        <v>2600</v>
      </c>
      <c r="B774" t="s">
        <v>2601</v>
      </c>
    </row>
    <row r="775" spans="1:2" x14ac:dyDescent="0.25">
      <c r="A775" t="s">
        <v>1634</v>
      </c>
      <c r="B775" t="s">
        <v>1635</v>
      </c>
    </row>
    <row r="776" spans="1:2" x14ac:dyDescent="0.25">
      <c r="A776" t="s">
        <v>3121</v>
      </c>
      <c r="B776" t="s">
        <v>3122</v>
      </c>
    </row>
    <row r="777" spans="1:2" x14ac:dyDescent="0.25">
      <c r="A777" t="s">
        <v>954</v>
      </c>
      <c r="B777" t="s">
        <v>955</v>
      </c>
    </row>
    <row r="778" spans="1:2" x14ac:dyDescent="0.25">
      <c r="A778" t="s">
        <v>1902</v>
      </c>
      <c r="B778" t="s">
        <v>1903</v>
      </c>
    </row>
    <row r="779" spans="1:2" x14ac:dyDescent="0.25">
      <c r="A779" t="s">
        <v>1933</v>
      </c>
      <c r="B779" t="s">
        <v>1934</v>
      </c>
    </row>
    <row r="780" spans="1:2" x14ac:dyDescent="0.25">
      <c r="A780" t="s">
        <v>2507</v>
      </c>
      <c r="B780" t="s">
        <v>2508</v>
      </c>
    </row>
    <row r="781" spans="1:2" x14ac:dyDescent="0.25">
      <c r="A781" t="s">
        <v>751</v>
      </c>
      <c r="B781" t="s">
        <v>752</v>
      </c>
    </row>
    <row r="782" spans="1:2" x14ac:dyDescent="0.25">
      <c r="A782" t="s">
        <v>3459</v>
      </c>
      <c r="B782" t="s">
        <v>3460</v>
      </c>
    </row>
    <row r="783" spans="1:2" x14ac:dyDescent="0.25">
      <c r="A783" t="s">
        <v>3318</v>
      </c>
      <c r="B783" t="s">
        <v>3319</v>
      </c>
    </row>
    <row r="784" spans="1:2" x14ac:dyDescent="0.25">
      <c r="A784" t="s">
        <v>2279</v>
      </c>
      <c r="B784" t="s">
        <v>2280</v>
      </c>
    </row>
    <row r="785" spans="1:2" x14ac:dyDescent="0.25">
      <c r="A785" t="s">
        <v>910</v>
      </c>
      <c r="B785" t="s">
        <v>911</v>
      </c>
    </row>
    <row r="786" spans="1:2" x14ac:dyDescent="0.25">
      <c r="A786" t="s">
        <v>3030</v>
      </c>
      <c r="B786" t="s">
        <v>3031</v>
      </c>
    </row>
    <row r="787" spans="1:2" x14ac:dyDescent="0.25">
      <c r="A787" t="s">
        <v>1120</v>
      </c>
      <c r="B787" t="s">
        <v>1121</v>
      </c>
    </row>
    <row r="788" spans="1:2" x14ac:dyDescent="0.25">
      <c r="A788" t="s">
        <v>1728</v>
      </c>
      <c r="B788" t="s">
        <v>1729</v>
      </c>
    </row>
    <row r="789" spans="1:2" x14ac:dyDescent="0.25">
      <c r="A789" t="s">
        <v>2155</v>
      </c>
      <c r="B789" t="s">
        <v>2156</v>
      </c>
    </row>
    <row r="790" spans="1:2" x14ac:dyDescent="0.25">
      <c r="A790" t="s">
        <v>931</v>
      </c>
      <c r="B790" t="s">
        <v>932</v>
      </c>
    </row>
    <row r="791" spans="1:2" x14ac:dyDescent="0.25">
      <c r="A791" t="s">
        <v>1100</v>
      </c>
      <c r="B791" t="s">
        <v>1101</v>
      </c>
    </row>
    <row r="792" spans="1:2" x14ac:dyDescent="0.25">
      <c r="A792" t="s">
        <v>2786</v>
      </c>
      <c r="B792" t="s">
        <v>2787</v>
      </c>
    </row>
    <row r="793" spans="1:2" x14ac:dyDescent="0.25">
      <c r="A793" t="s">
        <v>3583</v>
      </c>
      <c r="B793" t="s">
        <v>3584</v>
      </c>
    </row>
    <row r="794" spans="1:2" x14ac:dyDescent="0.25">
      <c r="A794" t="s">
        <v>1526</v>
      </c>
      <c r="B794" t="s">
        <v>1527</v>
      </c>
    </row>
    <row r="795" spans="1:2" x14ac:dyDescent="0.25">
      <c r="A795" t="s">
        <v>1617</v>
      </c>
      <c r="B795" t="s">
        <v>1618</v>
      </c>
    </row>
    <row r="796" spans="1:2" x14ac:dyDescent="0.25">
      <c r="A796" t="s">
        <v>1772</v>
      </c>
      <c r="B796" t="s">
        <v>1773</v>
      </c>
    </row>
    <row r="797" spans="1:2" x14ac:dyDescent="0.25">
      <c r="A797" t="s">
        <v>2118</v>
      </c>
      <c r="B797" t="s">
        <v>2119</v>
      </c>
    </row>
    <row r="798" spans="1:2" x14ac:dyDescent="0.25">
      <c r="A798" t="s">
        <v>858</v>
      </c>
      <c r="B798" t="s">
        <v>859</v>
      </c>
    </row>
    <row r="799" spans="1:2" x14ac:dyDescent="0.25">
      <c r="A799" t="s">
        <v>3688</v>
      </c>
      <c r="B799" t="s">
        <v>3689</v>
      </c>
    </row>
    <row r="800" spans="1:2" x14ac:dyDescent="0.25">
      <c r="A800" t="s">
        <v>1811</v>
      </c>
      <c r="B800" t="s">
        <v>1812</v>
      </c>
    </row>
    <row r="801" spans="1:2" x14ac:dyDescent="0.25">
      <c r="A801" t="s">
        <v>2678</v>
      </c>
      <c r="B801" t="s">
        <v>2679</v>
      </c>
    </row>
    <row r="802" spans="1:2" x14ac:dyDescent="0.25">
      <c r="A802" t="s">
        <v>2479</v>
      </c>
      <c r="B802" t="s">
        <v>2480</v>
      </c>
    </row>
    <row r="803" spans="1:2" x14ac:dyDescent="0.25">
      <c r="A803" t="s">
        <v>1212</v>
      </c>
      <c r="B803" t="s">
        <v>1213</v>
      </c>
    </row>
    <row r="804" spans="1:2" x14ac:dyDescent="0.25">
      <c r="A804" t="s">
        <v>2418</v>
      </c>
      <c r="B804" t="s">
        <v>2419</v>
      </c>
    </row>
    <row r="805" spans="1:2" x14ac:dyDescent="0.25">
      <c r="A805" t="s">
        <v>3111</v>
      </c>
      <c r="B805" t="s">
        <v>3112</v>
      </c>
    </row>
    <row r="806" spans="1:2" x14ac:dyDescent="0.25">
      <c r="A806" t="s">
        <v>2190</v>
      </c>
      <c r="B806" t="s">
        <v>2191</v>
      </c>
    </row>
    <row r="807" spans="1:2" x14ac:dyDescent="0.25">
      <c r="A807" t="s">
        <v>3155</v>
      </c>
      <c r="B807" t="s">
        <v>3156</v>
      </c>
    </row>
    <row r="808" spans="1:2" x14ac:dyDescent="0.25">
      <c r="A808" t="s">
        <v>2395</v>
      </c>
      <c r="B808" t="s">
        <v>2396</v>
      </c>
    </row>
    <row r="809" spans="1:2" x14ac:dyDescent="0.25">
      <c r="A809" t="s">
        <v>2501</v>
      </c>
      <c r="B809" t="s">
        <v>2502</v>
      </c>
    </row>
    <row r="810" spans="1:2" x14ac:dyDescent="0.25">
      <c r="A810" t="s">
        <v>3478</v>
      </c>
      <c r="B810" t="s">
        <v>3479</v>
      </c>
    </row>
    <row r="811" spans="1:2" x14ac:dyDescent="0.25">
      <c r="A811" t="s">
        <v>2341</v>
      </c>
      <c r="B811" t="s">
        <v>2342</v>
      </c>
    </row>
    <row r="812" spans="1:2" x14ac:dyDescent="0.25">
      <c r="A812" t="s">
        <v>2960</v>
      </c>
      <c r="B812" t="s">
        <v>2961</v>
      </c>
    </row>
    <row r="813" spans="1:2" x14ac:dyDescent="0.25">
      <c r="A813" t="s">
        <v>2566</v>
      </c>
      <c r="B813" t="s">
        <v>2567</v>
      </c>
    </row>
    <row r="814" spans="1:2" x14ac:dyDescent="0.25">
      <c r="A814" t="s">
        <v>824</v>
      </c>
      <c r="B814" t="s">
        <v>825</v>
      </c>
    </row>
    <row r="815" spans="1:2" x14ac:dyDescent="0.25">
      <c r="A815" t="s">
        <v>2366</v>
      </c>
      <c r="B815" t="s">
        <v>2367</v>
      </c>
    </row>
    <row r="816" spans="1:2" x14ac:dyDescent="0.25">
      <c r="A816" t="s">
        <v>3711</v>
      </c>
      <c r="B816" t="s">
        <v>3712</v>
      </c>
    </row>
    <row r="817" spans="1:2" x14ac:dyDescent="0.25">
      <c r="A817" t="s">
        <v>2799</v>
      </c>
      <c r="B817" t="s">
        <v>2800</v>
      </c>
    </row>
    <row r="818" spans="1:2" x14ac:dyDescent="0.25">
      <c r="A818" t="s">
        <v>3742</v>
      </c>
      <c r="B818" t="s">
        <v>3743</v>
      </c>
    </row>
    <row r="819" spans="1:2" x14ac:dyDescent="0.25">
      <c r="A819" t="s">
        <v>1880</v>
      </c>
      <c r="B819" t="s">
        <v>1881</v>
      </c>
    </row>
    <row r="820" spans="1:2" x14ac:dyDescent="0.25">
      <c r="A820" t="s">
        <v>1470</v>
      </c>
      <c r="B820" t="s">
        <v>1471</v>
      </c>
    </row>
    <row r="821" spans="1:2" x14ac:dyDescent="0.25">
      <c r="A821" t="s">
        <v>2428</v>
      </c>
      <c r="B821" t="s">
        <v>2429</v>
      </c>
    </row>
    <row r="822" spans="1:2" x14ac:dyDescent="0.25">
      <c r="A822" t="s">
        <v>1157</v>
      </c>
      <c r="B822" t="s">
        <v>1158</v>
      </c>
    </row>
    <row r="823" spans="1:2" x14ac:dyDescent="0.25">
      <c r="A823" t="s">
        <v>1123</v>
      </c>
      <c r="B823" t="s">
        <v>1124</v>
      </c>
    </row>
    <row r="824" spans="1:2" x14ac:dyDescent="0.25">
      <c r="A824" t="s">
        <v>1415</v>
      </c>
      <c r="B824" t="s">
        <v>1416</v>
      </c>
    </row>
    <row r="825" spans="1:2" x14ac:dyDescent="0.25">
      <c r="A825" t="s">
        <v>3363</v>
      </c>
      <c r="B825" t="s">
        <v>3364</v>
      </c>
    </row>
    <row r="826" spans="1:2" x14ac:dyDescent="0.25">
      <c r="A826" t="s">
        <v>1196</v>
      </c>
      <c r="B826" t="s">
        <v>1197</v>
      </c>
    </row>
    <row r="827" spans="1:2" x14ac:dyDescent="0.25">
      <c r="A827" t="s">
        <v>2046</v>
      </c>
      <c r="B827" t="s">
        <v>2047</v>
      </c>
    </row>
    <row r="828" spans="1:2" x14ac:dyDescent="0.25">
      <c r="A828" t="s">
        <v>1081</v>
      </c>
      <c r="B828" t="s">
        <v>1082</v>
      </c>
    </row>
    <row r="829" spans="1:2" x14ac:dyDescent="0.25">
      <c r="A829" t="s">
        <v>2719</v>
      </c>
      <c r="B829" t="s">
        <v>2720</v>
      </c>
    </row>
    <row r="830" spans="1:2" x14ac:dyDescent="0.25">
      <c r="A830" t="s">
        <v>1701</v>
      </c>
      <c r="B830" t="s">
        <v>1702</v>
      </c>
    </row>
    <row r="831" spans="1:2" x14ac:dyDescent="0.25">
      <c r="A831" t="s">
        <v>3455</v>
      </c>
      <c r="B831" t="s">
        <v>3456</v>
      </c>
    </row>
    <row r="832" spans="1:2" x14ac:dyDescent="0.25">
      <c r="A832" t="s">
        <v>1704</v>
      </c>
      <c r="B832" t="s">
        <v>1705</v>
      </c>
    </row>
    <row r="833" spans="1:2" x14ac:dyDescent="0.25">
      <c r="A833" t="s">
        <v>2789</v>
      </c>
      <c r="B833" t="s">
        <v>2790</v>
      </c>
    </row>
    <row r="834" spans="1:2" x14ac:dyDescent="0.25">
      <c r="A834" t="s">
        <v>2847</v>
      </c>
      <c r="B834" t="s">
        <v>2848</v>
      </c>
    </row>
    <row r="835" spans="1:2" x14ac:dyDescent="0.25">
      <c r="A835" t="s">
        <v>3369</v>
      </c>
      <c r="B835" t="s">
        <v>3370</v>
      </c>
    </row>
    <row r="836" spans="1:2" x14ac:dyDescent="0.25">
      <c r="A836" t="s">
        <v>2392</v>
      </c>
      <c r="B836" t="s">
        <v>2393</v>
      </c>
    </row>
    <row r="837" spans="1:2" x14ac:dyDescent="0.25">
      <c r="A837" t="s">
        <v>2838</v>
      </c>
      <c r="B837" t="s">
        <v>2839</v>
      </c>
    </row>
    <row r="838" spans="1:2" x14ac:dyDescent="0.25">
      <c r="A838" t="s">
        <v>3105</v>
      </c>
      <c r="B838" t="s">
        <v>3106</v>
      </c>
    </row>
    <row r="839" spans="1:2" x14ac:dyDescent="0.25">
      <c r="A839" t="s">
        <v>2856</v>
      </c>
      <c r="B839" t="s">
        <v>2857</v>
      </c>
    </row>
    <row r="840" spans="1:2" x14ac:dyDescent="0.25">
      <c r="A840" t="s">
        <v>3086</v>
      </c>
      <c r="B840" t="s">
        <v>3087</v>
      </c>
    </row>
    <row r="841" spans="1:2" x14ac:dyDescent="0.25">
      <c r="A841" t="s">
        <v>2796</v>
      </c>
      <c r="B841" t="s">
        <v>2797</v>
      </c>
    </row>
    <row r="842" spans="1:2" x14ac:dyDescent="0.25">
      <c r="A842" t="s">
        <v>3239</v>
      </c>
      <c r="B842" t="s">
        <v>3240</v>
      </c>
    </row>
    <row r="843" spans="1:2" x14ac:dyDescent="0.25">
      <c r="A843" t="s">
        <v>2622</v>
      </c>
      <c r="B843" t="s">
        <v>2623</v>
      </c>
    </row>
    <row r="844" spans="1:2" x14ac:dyDescent="0.25">
      <c r="A844" t="s">
        <v>1029</v>
      </c>
      <c r="B844" t="s">
        <v>1030</v>
      </c>
    </row>
    <row r="845" spans="1:2" x14ac:dyDescent="0.25">
      <c r="A845" t="s">
        <v>2213</v>
      </c>
      <c r="B845" t="s">
        <v>2214</v>
      </c>
    </row>
    <row r="846" spans="1:2" x14ac:dyDescent="0.25">
      <c r="A846" t="s">
        <v>1034</v>
      </c>
      <c r="B846" t="s">
        <v>1035</v>
      </c>
    </row>
    <row r="847" spans="1:2" x14ac:dyDescent="0.25">
      <c r="A847" t="s">
        <v>3033</v>
      </c>
      <c r="B847" t="s">
        <v>3034</v>
      </c>
    </row>
    <row r="848" spans="1:2" x14ac:dyDescent="0.25">
      <c r="A848" t="s">
        <v>3016</v>
      </c>
      <c r="B848" t="s">
        <v>3017</v>
      </c>
    </row>
    <row r="849" spans="1:2" x14ac:dyDescent="0.25">
      <c r="A849" t="s">
        <v>904</v>
      </c>
      <c r="B849" t="s">
        <v>905</v>
      </c>
    </row>
    <row r="850" spans="1:2" x14ac:dyDescent="0.25">
      <c r="A850" t="s">
        <v>3633</v>
      </c>
      <c r="B850" t="s">
        <v>3634</v>
      </c>
    </row>
    <row r="851" spans="1:2" x14ac:dyDescent="0.25">
      <c r="A851" t="s">
        <v>3312</v>
      </c>
      <c r="B851" t="s">
        <v>3313</v>
      </c>
    </row>
    <row r="852" spans="1:2" x14ac:dyDescent="0.25">
      <c r="A852" t="s">
        <v>2530</v>
      </c>
      <c r="B852" t="s">
        <v>2531</v>
      </c>
    </row>
    <row r="853" spans="1:2" x14ac:dyDescent="0.25">
      <c r="A853" t="s">
        <v>2919</v>
      </c>
      <c r="B853" t="s">
        <v>2920</v>
      </c>
    </row>
    <row r="854" spans="1:2" x14ac:dyDescent="0.25">
      <c r="A854" t="s">
        <v>999</v>
      </c>
      <c r="B854" t="s">
        <v>1000</v>
      </c>
    </row>
    <row r="855" spans="1:2" x14ac:dyDescent="0.25">
      <c r="A855" t="s">
        <v>736</v>
      </c>
      <c r="B855" t="s">
        <v>737</v>
      </c>
    </row>
    <row r="856" spans="1:2" x14ac:dyDescent="0.25">
      <c r="A856" t="s">
        <v>3143</v>
      </c>
      <c r="B856" t="s">
        <v>3144</v>
      </c>
    </row>
    <row r="857" spans="1:2" x14ac:dyDescent="0.25">
      <c r="A857" t="s">
        <v>3152</v>
      </c>
      <c r="B857" t="s">
        <v>3153</v>
      </c>
    </row>
    <row r="858" spans="1:2" x14ac:dyDescent="0.25">
      <c r="A858" t="s">
        <v>1188</v>
      </c>
      <c r="B858" t="s">
        <v>1189</v>
      </c>
    </row>
    <row r="859" spans="1:2" x14ac:dyDescent="0.25">
      <c r="A859" t="s">
        <v>3213</v>
      </c>
      <c r="B859" t="s">
        <v>240</v>
      </c>
    </row>
    <row r="860" spans="1:2" x14ac:dyDescent="0.25">
      <c r="A860" t="s">
        <v>1131</v>
      </c>
      <c r="B860" t="s">
        <v>1132</v>
      </c>
    </row>
    <row r="861" spans="1:2" x14ac:dyDescent="0.25">
      <c r="A861" t="s">
        <v>941</v>
      </c>
      <c r="B861" t="s">
        <v>942</v>
      </c>
    </row>
    <row r="862" spans="1:2" x14ac:dyDescent="0.25">
      <c r="A862" t="s">
        <v>1331</v>
      </c>
      <c r="B862" t="s">
        <v>1332</v>
      </c>
    </row>
    <row r="863" spans="1:2" x14ac:dyDescent="0.25">
      <c r="A863" t="s">
        <v>2222</v>
      </c>
      <c r="B863" t="s">
        <v>2223</v>
      </c>
    </row>
    <row r="864" spans="1:2" x14ac:dyDescent="0.25">
      <c r="A864" t="s">
        <v>2504</v>
      </c>
      <c r="B864" t="s">
        <v>2505</v>
      </c>
    </row>
    <row r="865" spans="1:2" x14ac:dyDescent="0.25">
      <c r="A865" t="s">
        <v>832</v>
      </c>
      <c r="B865" t="s">
        <v>833</v>
      </c>
    </row>
    <row r="866" spans="1:2" x14ac:dyDescent="0.25">
      <c r="A866" t="s">
        <v>1696</v>
      </c>
      <c r="B866" t="s">
        <v>1697</v>
      </c>
    </row>
    <row r="867" spans="1:2" x14ac:dyDescent="0.25">
      <c r="A867" t="s">
        <v>1975</v>
      </c>
      <c r="B867" t="s">
        <v>1976</v>
      </c>
    </row>
    <row r="868" spans="1:2" x14ac:dyDescent="0.25">
      <c r="A868" t="s">
        <v>887</v>
      </c>
      <c r="B868" t="s">
        <v>888</v>
      </c>
    </row>
    <row r="869" spans="1:2" x14ac:dyDescent="0.25">
      <c r="A869" t="s">
        <v>3537</v>
      </c>
      <c r="B869" t="s">
        <v>3538</v>
      </c>
    </row>
    <row r="870" spans="1:2" x14ac:dyDescent="0.25">
      <c r="A870" t="s">
        <v>1745</v>
      </c>
      <c r="B870" t="s">
        <v>1746</v>
      </c>
    </row>
    <row r="871" spans="1:2" x14ac:dyDescent="0.25">
      <c r="A871" t="s">
        <v>1917</v>
      </c>
      <c r="B871" t="s">
        <v>1918</v>
      </c>
    </row>
    <row r="872" spans="1:2" x14ac:dyDescent="0.25">
      <c r="A872" t="s">
        <v>2262</v>
      </c>
      <c r="B872" t="s">
        <v>2263</v>
      </c>
    </row>
    <row r="873" spans="1:2" x14ac:dyDescent="0.25">
      <c r="A873" t="s">
        <v>2675</v>
      </c>
      <c r="B873" t="s">
        <v>2676</v>
      </c>
    </row>
    <row r="874" spans="1:2" x14ac:dyDescent="0.25">
      <c r="A874" t="s">
        <v>865</v>
      </c>
      <c r="B874" t="s">
        <v>866</v>
      </c>
    </row>
    <row r="875" spans="1:2" x14ac:dyDescent="0.25">
      <c r="A875" t="s">
        <v>2449</v>
      </c>
      <c r="B875" t="s">
        <v>2450</v>
      </c>
    </row>
    <row r="876" spans="1:2" x14ac:dyDescent="0.25">
      <c r="A876" t="s">
        <v>2649</v>
      </c>
      <c r="B876" t="s">
        <v>2650</v>
      </c>
    </row>
    <row r="877" spans="1:2" x14ac:dyDescent="0.25">
      <c r="A877" t="s">
        <v>1532</v>
      </c>
      <c r="B877" t="s">
        <v>1533</v>
      </c>
    </row>
    <row r="878" spans="1:2" x14ac:dyDescent="0.25">
      <c r="A878" t="s">
        <v>1314</v>
      </c>
      <c r="B878" t="s">
        <v>1315</v>
      </c>
    </row>
    <row r="879" spans="1:2" x14ac:dyDescent="0.25">
      <c r="A879" t="s">
        <v>1717</v>
      </c>
      <c r="B879" t="s">
        <v>1718</v>
      </c>
    </row>
    <row r="880" spans="1:2" x14ac:dyDescent="0.25">
      <c r="A880" t="s">
        <v>960</v>
      </c>
      <c r="B880" t="s">
        <v>961</v>
      </c>
    </row>
    <row r="881" spans="1:2" x14ac:dyDescent="0.25">
      <c r="A881" t="s">
        <v>3677</v>
      </c>
      <c r="B881" t="s">
        <v>3678</v>
      </c>
    </row>
    <row r="882" spans="1:2" x14ac:dyDescent="0.25">
      <c r="A882" t="s">
        <v>2761</v>
      </c>
      <c r="B882" t="s">
        <v>2762</v>
      </c>
    </row>
    <row r="883" spans="1:2" x14ac:dyDescent="0.25">
      <c r="A883" t="s">
        <v>950</v>
      </c>
      <c r="B883" t="s">
        <v>951</v>
      </c>
    </row>
    <row r="884" spans="1:2" x14ac:dyDescent="0.25">
      <c r="A884" t="s">
        <v>3351</v>
      </c>
      <c r="B884" t="s">
        <v>3352</v>
      </c>
    </row>
    <row r="885" spans="1:2" x14ac:dyDescent="0.25">
      <c r="A885" t="s">
        <v>2160</v>
      </c>
      <c r="B885" t="s">
        <v>2161</v>
      </c>
    </row>
    <row r="886" spans="1:2" x14ac:dyDescent="0.25">
      <c r="A886" t="s">
        <v>1053</v>
      </c>
      <c r="B886" t="s">
        <v>1054</v>
      </c>
    </row>
    <row r="887" spans="1:2" x14ac:dyDescent="0.25">
      <c r="A887" t="s">
        <v>2020</v>
      </c>
      <c r="B887" t="s">
        <v>259</v>
      </c>
    </row>
    <row r="888" spans="1:2" x14ac:dyDescent="0.25">
      <c r="A888" t="s">
        <v>1201</v>
      </c>
      <c r="B888" t="s">
        <v>1202</v>
      </c>
    </row>
    <row r="889" spans="1:2" x14ac:dyDescent="0.25">
      <c r="A889" t="s">
        <v>776</v>
      </c>
      <c r="B889" t="s">
        <v>777</v>
      </c>
    </row>
    <row r="890" spans="1:2" x14ac:dyDescent="0.25">
      <c r="A890" t="s">
        <v>1550</v>
      </c>
      <c r="B890" t="s">
        <v>1551</v>
      </c>
    </row>
    <row r="891" spans="1:2" x14ac:dyDescent="0.25">
      <c r="A891" t="s">
        <v>1631</v>
      </c>
      <c r="B891" t="s">
        <v>1632</v>
      </c>
    </row>
    <row r="892" spans="1:2" x14ac:dyDescent="0.25">
      <c r="A892" t="s">
        <v>1382</v>
      </c>
      <c r="B892" t="s">
        <v>1383</v>
      </c>
    </row>
    <row r="893" spans="1:2" x14ac:dyDescent="0.25">
      <c r="A893" t="s">
        <v>1740</v>
      </c>
      <c r="B893" t="s">
        <v>1741</v>
      </c>
    </row>
    <row r="894" spans="1:2" x14ac:dyDescent="0.25">
      <c r="A894" t="s">
        <v>3577</v>
      </c>
      <c r="B894" t="s">
        <v>3578</v>
      </c>
    </row>
    <row r="895" spans="1:2" x14ac:dyDescent="0.25">
      <c r="A895" t="s">
        <v>3200</v>
      </c>
      <c r="B895" t="s">
        <v>3201</v>
      </c>
    </row>
    <row r="896" spans="1:2" x14ac:dyDescent="0.25">
      <c r="A896" t="s">
        <v>2199</v>
      </c>
      <c r="B896" t="s">
        <v>2200</v>
      </c>
    </row>
    <row r="897" spans="1:2" x14ac:dyDescent="0.25">
      <c r="A897" t="s">
        <v>1850</v>
      </c>
      <c r="B897" t="s">
        <v>1851</v>
      </c>
    </row>
    <row r="898" spans="1:2" x14ac:dyDescent="0.25">
      <c r="A898" t="s">
        <v>3354</v>
      </c>
      <c r="B898" t="s">
        <v>3355</v>
      </c>
    </row>
    <row r="899" spans="1:2" x14ac:dyDescent="0.25">
      <c r="A899" t="s">
        <v>1856</v>
      </c>
      <c r="B899" t="s">
        <v>1857</v>
      </c>
    </row>
    <row r="900" spans="1:2" x14ac:dyDescent="0.25">
      <c r="A900" t="s">
        <v>2240</v>
      </c>
      <c r="B900" t="s">
        <v>2241</v>
      </c>
    </row>
    <row r="901" spans="1:2" x14ac:dyDescent="0.25">
      <c r="A901" t="s">
        <v>2984</v>
      </c>
      <c r="B901" t="s">
        <v>2985</v>
      </c>
    </row>
    <row r="902" spans="1:2" x14ac:dyDescent="0.25">
      <c r="A902" t="s">
        <v>3337</v>
      </c>
      <c r="B902" t="s">
        <v>3338</v>
      </c>
    </row>
    <row r="903" spans="1:2" x14ac:dyDescent="0.25">
      <c r="A903" t="s">
        <v>2572</v>
      </c>
      <c r="B903" t="s">
        <v>2573</v>
      </c>
    </row>
    <row r="904" spans="1:2" x14ac:dyDescent="0.25">
      <c r="A904" t="s">
        <v>2896</v>
      </c>
      <c r="B904" t="s">
        <v>2897</v>
      </c>
    </row>
    <row r="905" spans="1:2" x14ac:dyDescent="0.25">
      <c r="A905" t="s">
        <v>2583</v>
      </c>
      <c r="B905" t="s">
        <v>2584</v>
      </c>
    </row>
    <row r="906" spans="1:2" x14ac:dyDescent="0.25">
      <c r="A906" t="s">
        <v>2237</v>
      </c>
      <c r="B906" t="s">
        <v>2238</v>
      </c>
    </row>
    <row r="907" spans="1:2" x14ac:dyDescent="0.25">
      <c r="A907" t="s">
        <v>2853</v>
      </c>
      <c r="B907" t="s">
        <v>2854</v>
      </c>
    </row>
    <row r="908" spans="1:2" x14ac:dyDescent="0.25">
      <c r="A908" t="s">
        <v>3543</v>
      </c>
      <c r="B908" t="s">
        <v>3544</v>
      </c>
    </row>
    <row r="909" spans="1:2" x14ac:dyDescent="0.25">
      <c r="A909" t="s">
        <v>3093</v>
      </c>
      <c r="B909" t="s">
        <v>3094</v>
      </c>
    </row>
    <row r="910" spans="1:2" x14ac:dyDescent="0.25">
      <c r="A910" t="s">
        <v>3507</v>
      </c>
      <c r="B910" t="s">
        <v>3508</v>
      </c>
    </row>
    <row r="911" spans="1:2" x14ac:dyDescent="0.25">
      <c r="A911" t="s">
        <v>2521</v>
      </c>
      <c r="B911" t="s">
        <v>2522</v>
      </c>
    </row>
    <row r="912" spans="1:2" x14ac:dyDescent="0.25">
      <c r="A912" t="s">
        <v>759</v>
      </c>
      <c r="B912" t="s">
        <v>760</v>
      </c>
    </row>
    <row r="913" spans="1:2" x14ac:dyDescent="0.25">
      <c r="A913" t="s">
        <v>2771</v>
      </c>
      <c r="B913" t="s">
        <v>2772</v>
      </c>
    </row>
    <row r="914" spans="1:2" x14ac:dyDescent="0.25">
      <c r="A914" t="s">
        <v>837</v>
      </c>
      <c r="B914" t="s">
        <v>838</v>
      </c>
    </row>
    <row r="915" spans="1:2" x14ac:dyDescent="0.25">
      <c r="A915" t="s">
        <v>2628</v>
      </c>
      <c r="B915" t="s">
        <v>2629</v>
      </c>
    </row>
    <row r="916" spans="1:2" x14ac:dyDescent="0.25">
      <c r="A916" t="s">
        <v>1979</v>
      </c>
      <c r="B916" t="s">
        <v>1980</v>
      </c>
    </row>
    <row r="917" spans="1:2" x14ac:dyDescent="0.25">
      <c r="A917" t="s">
        <v>1048</v>
      </c>
      <c r="B917" t="s">
        <v>1049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75060-04C5-45A1-A69D-99B242DD251E}">
  <sheetPr codeName="Sheet30"/>
  <dimension ref="A1:F1009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.85546875" bestFit="1" customWidth="1"/>
    <col min="3" max="3" width="30" bestFit="1" customWidth="1"/>
    <col min="4" max="4" width="19.85546875" bestFit="1" customWidth="1"/>
    <col min="5" max="5" width="4.140625" bestFit="1" customWidth="1"/>
    <col min="6" max="6" width="9.5703125" bestFit="1" customWidth="1"/>
  </cols>
  <sheetData>
    <row r="1" spans="1:6" x14ac:dyDescent="0.25">
      <c r="A1" s="21" t="s">
        <v>205</v>
      </c>
      <c r="B1" s="21" t="s">
        <v>206</v>
      </c>
      <c r="C1" s="21" t="s">
        <v>209</v>
      </c>
      <c r="D1" s="21" t="s">
        <v>208</v>
      </c>
      <c r="E1" s="21" t="s">
        <v>210</v>
      </c>
      <c r="F1" s="21" t="s">
        <v>207</v>
      </c>
    </row>
    <row r="2" spans="1:6" x14ac:dyDescent="0.25">
      <c r="A2" t="s">
        <v>4047</v>
      </c>
      <c r="B2" t="s">
        <v>4048</v>
      </c>
      <c r="C2" t="s">
        <v>4049</v>
      </c>
      <c r="D2" t="s">
        <v>1848</v>
      </c>
      <c r="E2" t="s">
        <v>269</v>
      </c>
      <c r="F2" t="s">
        <v>1847</v>
      </c>
    </row>
    <row r="3" spans="1:6" x14ac:dyDescent="0.25">
      <c r="A3" t="s">
        <v>18043</v>
      </c>
      <c r="B3" t="s">
        <v>18044</v>
      </c>
      <c r="C3" t="s">
        <v>18045</v>
      </c>
      <c r="D3" t="s">
        <v>0</v>
      </c>
      <c r="E3" t="s">
        <v>271</v>
      </c>
      <c r="F3" t="s">
        <v>1148</v>
      </c>
    </row>
    <row r="4" spans="1:6" x14ac:dyDescent="0.25">
      <c r="A4" t="s">
        <v>18046</v>
      </c>
      <c r="B4" t="s">
        <v>18047</v>
      </c>
      <c r="C4" t="s">
        <v>12206</v>
      </c>
      <c r="D4" t="s">
        <v>3378</v>
      </c>
      <c r="E4" t="s">
        <v>271</v>
      </c>
      <c r="F4" t="s">
        <v>3377</v>
      </c>
    </row>
    <row r="5" spans="1:6" x14ac:dyDescent="0.25">
      <c r="A5" t="s">
        <v>18048</v>
      </c>
      <c r="B5" t="s">
        <v>18049</v>
      </c>
      <c r="C5" t="s">
        <v>18050</v>
      </c>
      <c r="D5" t="s">
        <v>408</v>
      </c>
      <c r="E5" t="s">
        <v>341</v>
      </c>
      <c r="F5" t="s">
        <v>322</v>
      </c>
    </row>
    <row r="6" spans="1:6" x14ac:dyDescent="0.25">
      <c r="A6" t="s">
        <v>18051</v>
      </c>
      <c r="B6" t="s">
        <v>18052</v>
      </c>
      <c r="C6" t="s">
        <v>18053</v>
      </c>
      <c r="D6" t="s">
        <v>1165</v>
      </c>
      <c r="E6" t="s">
        <v>271</v>
      </c>
      <c r="F6" t="s">
        <v>1164</v>
      </c>
    </row>
    <row r="7" spans="1:6" x14ac:dyDescent="0.25">
      <c r="A7" t="s">
        <v>18054</v>
      </c>
      <c r="B7" t="s">
        <v>18055</v>
      </c>
      <c r="C7" t="s">
        <v>18056</v>
      </c>
      <c r="D7" t="s">
        <v>0</v>
      </c>
      <c r="E7" t="s">
        <v>271</v>
      </c>
      <c r="F7" t="s">
        <v>688</v>
      </c>
    </row>
    <row r="8" spans="1:6" x14ac:dyDescent="0.25">
      <c r="A8" t="s">
        <v>18057</v>
      </c>
      <c r="B8" t="s">
        <v>18058</v>
      </c>
      <c r="C8" t="s">
        <v>18059</v>
      </c>
      <c r="D8" t="s">
        <v>1648</v>
      </c>
      <c r="E8" t="s">
        <v>271</v>
      </c>
      <c r="F8" t="s">
        <v>1647</v>
      </c>
    </row>
    <row r="9" spans="1:6" x14ac:dyDescent="0.25">
      <c r="A9" t="s">
        <v>18060</v>
      </c>
      <c r="B9" t="s">
        <v>18061</v>
      </c>
      <c r="C9" t="s">
        <v>18062</v>
      </c>
      <c r="D9" t="s">
        <v>18063</v>
      </c>
      <c r="E9" t="s">
        <v>271</v>
      </c>
      <c r="F9" t="s">
        <v>334</v>
      </c>
    </row>
    <row r="10" spans="1:6" x14ac:dyDescent="0.25">
      <c r="A10" t="s">
        <v>18064</v>
      </c>
      <c r="B10" t="s">
        <v>18065</v>
      </c>
      <c r="C10" t="s">
        <v>18066</v>
      </c>
      <c r="D10" t="s">
        <v>0</v>
      </c>
      <c r="E10" t="s">
        <v>271</v>
      </c>
      <c r="F10" t="s">
        <v>1321</v>
      </c>
    </row>
    <row r="11" spans="1:6" x14ac:dyDescent="0.25">
      <c r="A11" t="s">
        <v>18067</v>
      </c>
      <c r="B11" t="s">
        <v>18068</v>
      </c>
      <c r="C11" t="s">
        <v>18069</v>
      </c>
      <c r="D11" t="s">
        <v>378</v>
      </c>
      <c r="E11" t="s">
        <v>341</v>
      </c>
      <c r="F11" t="s">
        <v>389</v>
      </c>
    </row>
    <row r="12" spans="1:6" x14ac:dyDescent="0.25">
      <c r="A12" t="s">
        <v>18070</v>
      </c>
      <c r="B12" t="s">
        <v>18071</v>
      </c>
      <c r="C12" t="s">
        <v>18072</v>
      </c>
      <c r="D12" t="s">
        <v>556</v>
      </c>
      <c r="E12" t="s">
        <v>271</v>
      </c>
      <c r="F12" t="s">
        <v>1567</v>
      </c>
    </row>
    <row r="13" spans="1:6" x14ac:dyDescent="0.25">
      <c r="A13" t="s">
        <v>18073</v>
      </c>
      <c r="B13" t="s">
        <v>18074</v>
      </c>
      <c r="C13" t="s">
        <v>18075</v>
      </c>
      <c r="D13" t="s">
        <v>0</v>
      </c>
      <c r="E13" t="s">
        <v>271</v>
      </c>
      <c r="F13" t="s">
        <v>1277</v>
      </c>
    </row>
    <row r="14" spans="1:6" x14ac:dyDescent="0.25">
      <c r="A14" t="s">
        <v>18076</v>
      </c>
      <c r="B14" t="s">
        <v>18077</v>
      </c>
      <c r="C14" t="s">
        <v>18078</v>
      </c>
      <c r="D14" t="s">
        <v>617</v>
      </c>
      <c r="E14" t="s">
        <v>271</v>
      </c>
      <c r="F14" t="s">
        <v>438</v>
      </c>
    </row>
    <row r="15" spans="1:6" x14ac:dyDescent="0.25">
      <c r="A15" t="s">
        <v>18079</v>
      </c>
      <c r="B15" t="s">
        <v>7564</v>
      </c>
      <c r="C15" t="s">
        <v>18080</v>
      </c>
      <c r="D15" t="s">
        <v>1165</v>
      </c>
      <c r="E15" t="s">
        <v>271</v>
      </c>
      <c r="F15" t="s">
        <v>1164</v>
      </c>
    </row>
    <row r="16" spans="1:6" x14ac:dyDescent="0.25">
      <c r="A16" t="s">
        <v>18081</v>
      </c>
      <c r="B16" t="s">
        <v>18082</v>
      </c>
      <c r="C16" t="s">
        <v>18083</v>
      </c>
      <c r="D16" t="s">
        <v>278</v>
      </c>
      <c r="E16" t="s">
        <v>271</v>
      </c>
      <c r="F16" t="s">
        <v>512</v>
      </c>
    </row>
    <row r="17" spans="1:6" x14ac:dyDescent="0.25">
      <c r="A17" t="s">
        <v>18084</v>
      </c>
      <c r="B17" t="s">
        <v>18085</v>
      </c>
      <c r="C17" t="s">
        <v>18086</v>
      </c>
      <c r="D17" t="s">
        <v>0</v>
      </c>
      <c r="E17" t="s">
        <v>271</v>
      </c>
      <c r="F17" t="s">
        <v>726</v>
      </c>
    </row>
    <row r="18" spans="1:6" x14ac:dyDescent="0.25">
      <c r="A18" t="s">
        <v>18087</v>
      </c>
      <c r="B18" t="s">
        <v>18088</v>
      </c>
      <c r="C18" t="s">
        <v>18089</v>
      </c>
      <c r="D18" t="s">
        <v>0</v>
      </c>
      <c r="E18" t="s">
        <v>271</v>
      </c>
      <c r="F18" t="s">
        <v>1214</v>
      </c>
    </row>
    <row r="19" spans="1:6" x14ac:dyDescent="0.25">
      <c r="A19" t="s">
        <v>18090</v>
      </c>
      <c r="B19" t="s">
        <v>18091</v>
      </c>
      <c r="C19" t="s">
        <v>18092</v>
      </c>
      <c r="D19" t="s">
        <v>1806</v>
      </c>
      <c r="E19" t="s">
        <v>271</v>
      </c>
      <c r="F19" t="s">
        <v>1805</v>
      </c>
    </row>
    <row r="20" spans="1:6" x14ac:dyDescent="0.25">
      <c r="A20" t="s">
        <v>18093</v>
      </c>
      <c r="B20" t="s">
        <v>18094</v>
      </c>
      <c r="C20" t="s">
        <v>18095</v>
      </c>
      <c r="D20" t="s">
        <v>1542</v>
      </c>
      <c r="E20" t="s">
        <v>269</v>
      </c>
      <c r="F20" t="s">
        <v>4412</v>
      </c>
    </row>
    <row r="21" spans="1:6" x14ac:dyDescent="0.25">
      <c r="A21" t="s">
        <v>18096</v>
      </c>
      <c r="B21" t="s">
        <v>18097</v>
      </c>
      <c r="C21" t="s">
        <v>18098</v>
      </c>
      <c r="D21" t="s">
        <v>835</v>
      </c>
      <c r="E21" t="s">
        <v>269</v>
      </c>
      <c r="F21" t="s">
        <v>834</v>
      </c>
    </row>
    <row r="22" spans="1:6" x14ac:dyDescent="0.25">
      <c r="A22" t="s">
        <v>18099</v>
      </c>
      <c r="B22" t="s">
        <v>18100</v>
      </c>
      <c r="C22" t="s">
        <v>18101</v>
      </c>
      <c r="D22" t="s">
        <v>1915</v>
      </c>
      <c r="E22" t="s">
        <v>269</v>
      </c>
      <c r="F22" t="s">
        <v>1914</v>
      </c>
    </row>
    <row r="23" spans="1:6" x14ac:dyDescent="0.25">
      <c r="A23" t="s">
        <v>18102</v>
      </c>
      <c r="B23" t="s">
        <v>18103</v>
      </c>
      <c r="C23" t="s">
        <v>11595</v>
      </c>
      <c r="D23" t="s">
        <v>0</v>
      </c>
      <c r="E23" t="s">
        <v>271</v>
      </c>
      <c r="F23" t="s">
        <v>1679</v>
      </c>
    </row>
    <row r="24" spans="1:6" x14ac:dyDescent="0.25">
      <c r="A24" t="s">
        <v>4196</v>
      </c>
      <c r="B24" t="s">
        <v>4197</v>
      </c>
      <c r="C24" t="s">
        <v>4199</v>
      </c>
      <c r="D24" t="s">
        <v>871</v>
      </c>
      <c r="E24" t="s">
        <v>271</v>
      </c>
      <c r="F24" t="s">
        <v>870</v>
      </c>
    </row>
    <row r="25" spans="1:6" x14ac:dyDescent="0.25">
      <c r="A25" t="s">
        <v>4211</v>
      </c>
      <c r="B25" t="s">
        <v>4212</v>
      </c>
      <c r="C25" t="s">
        <v>4214</v>
      </c>
      <c r="D25" t="s">
        <v>510</v>
      </c>
      <c r="E25" t="s">
        <v>271</v>
      </c>
      <c r="F25" t="s">
        <v>437</v>
      </c>
    </row>
    <row r="26" spans="1:6" x14ac:dyDescent="0.25">
      <c r="A26" t="s">
        <v>18104</v>
      </c>
      <c r="B26" t="s">
        <v>18105</v>
      </c>
      <c r="C26" t="s">
        <v>18106</v>
      </c>
      <c r="D26" t="s">
        <v>295</v>
      </c>
      <c r="E26" t="s">
        <v>271</v>
      </c>
      <c r="F26" t="s">
        <v>4430</v>
      </c>
    </row>
    <row r="27" spans="1:6" x14ac:dyDescent="0.25">
      <c r="A27" t="s">
        <v>18107</v>
      </c>
      <c r="B27" t="s">
        <v>18108</v>
      </c>
      <c r="C27" t="s">
        <v>18109</v>
      </c>
      <c r="D27" t="s">
        <v>0</v>
      </c>
      <c r="E27" t="s">
        <v>271</v>
      </c>
      <c r="F27" t="s">
        <v>562</v>
      </c>
    </row>
    <row r="28" spans="1:6" x14ac:dyDescent="0.25">
      <c r="A28" t="s">
        <v>18110</v>
      </c>
      <c r="B28" t="s">
        <v>18111</v>
      </c>
      <c r="C28" t="s">
        <v>18112</v>
      </c>
      <c r="D28" t="s">
        <v>3343</v>
      </c>
      <c r="E28" t="s">
        <v>271</v>
      </c>
      <c r="F28" t="s">
        <v>3342</v>
      </c>
    </row>
    <row r="29" spans="1:6" x14ac:dyDescent="0.25">
      <c r="A29" t="s">
        <v>4312</v>
      </c>
      <c r="B29" t="s">
        <v>4313</v>
      </c>
      <c r="C29" t="s">
        <v>4315</v>
      </c>
      <c r="D29" t="s">
        <v>0</v>
      </c>
      <c r="E29" t="s">
        <v>271</v>
      </c>
      <c r="F29" t="s">
        <v>319</v>
      </c>
    </row>
    <row r="30" spans="1:6" x14ac:dyDescent="0.25">
      <c r="A30" t="s">
        <v>18113</v>
      </c>
      <c r="B30" t="s">
        <v>18114</v>
      </c>
      <c r="C30" t="s">
        <v>18115</v>
      </c>
      <c r="D30" t="s">
        <v>0</v>
      </c>
      <c r="E30" t="s">
        <v>271</v>
      </c>
      <c r="F30" t="s">
        <v>709</v>
      </c>
    </row>
    <row r="31" spans="1:6" x14ac:dyDescent="0.25">
      <c r="A31" t="s">
        <v>18116</v>
      </c>
      <c r="B31" t="s">
        <v>18117</v>
      </c>
      <c r="C31" t="s">
        <v>18118</v>
      </c>
      <c r="D31" t="s">
        <v>2471</v>
      </c>
      <c r="E31" t="s">
        <v>271</v>
      </c>
      <c r="F31" t="s">
        <v>2470</v>
      </c>
    </row>
    <row r="32" spans="1:6" x14ac:dyDescent="0.25">
      <c r="A32" t="s">
        <v>4320</v>
      </c>
      <c r="B32" t="s">
        <v>4321</v>
      </c>
      <c r="C32" t="s">
        <v>4322</v>
      </c>
      <c r="D32" t="s">
        <v>0</v>
      </c>
      <c r="E32" t="s">
        <v>271</v>
      </c>
      <c r="F32" t="s">
        <v>1011</v>
      </c>
    </row>
    <row r="33" spans="1:6" x14ac:dyDescent="0.25">
      <c r="A33" t="s">
        <v>18119</v>
      </c>
      <c r="B33" t="s">
        <v>18120</v>
      </c>
      <c r="C33" t="s">
        <v>18121</v>
      </c>
      <c r="D33" t="s">
        <v>232</v>
      </c>
      <c r="E33" t="s">
        <v>271</v>
      </c>
      <c r="F33" t="s">
        <v>329</v>
      </c>
    </row>
    <row r="34" spans="1:6" x14ac:dyDescent="0.25">
      <c r="A34" t="s">
        <v>18122</v>
      </c>
      <c r="B34" t="s">
        <v>18123</v>
      </c>
      <c r="C34" t="s">
        <v>18124</v>
      </c>
      <c r="D34" t="s">
        <v>361</v>
      </c>
      <c r="E34" t="s">
        <v>271</v>
      </c>
      <c r="F34" t="s">
        <v>1563</v>
      </c>
    </row>
    <row r="35" spans="1:6" x14ac:dyDescent="0.25">
      <c r="A35" t="s">
        <v>18125</v>
      </c>
      <c r="B35" t="s">
        <v>18126</v>
      </c>
      <c r="C35" t="s">
        <v>18127</v>
      </c>
      <c r="D35" t="s">
        <v>361</v>
      </c>
      <c r="E35" t="s">
        <v>271</v>
      </c>
      <c r="F35" t="s">
        <v>4420</v>
      </c>
    </row>
    <row r="36" spans="1:6" x14ac:dyDescent="0.25">
      <c r="A36" t="s">
        <v>18128</v>
      </c>
      <c r="B36" t="s">
        <v>18129</v>
      </c>
      <c r="C36" t="s">
        <v>1514</v>
      </c>
      <c r="D36" t="s">
        <v>616</v>
      </c>
      <c r="E36" t="s">
        <v>271</v>
      </c>
      <c r="F36" t="s">
        <v>333</v>
      </c>
    </row>
    <row r="37" spans="1:6" x14ac:dyDescent="0.25">
      <c r="A37" t="s">
        <v>18130</v>
      </c>
      <c r="B37" t="s">
        <v>18131</v>
      </c>
      <c r="C37" t="s">
        <v>1514</v>
      </c>
      <c r="D37" t="s">
        <v>616</v>
      </c>
      <c r="E37" t="s">
        <v>271</v>
      </c>
      <c r="F37" t="s">
        <v>333</v>
      </c>
    </row>
    <row r="38" spans="1:6" x14ac:dyDescent="0.25">
      <c r="A38" t="s">
        <v>18132</v>
      </c>
      <c r="B38" t="s">
        <v>18133</v>
      </c>
      <c r="C38" t="s">
        <v>18134</v>
      </c>
      <c r="D38" t="s">
        <v>822</v>
      </c>
      <c r="E38" t="s">
        <v>269</v>
      </c>
      <c r="F38" t="s">
        <v>821</v>
      </c>
    </row>
    <row r="39" spans="1:6" x14ac:dyDescent="0.25">
      <c r="A39" t="s">
        <v>18135</v>
      </c>
      <c r="B39" t="s">
        <v>18136</v>
      </c>
      <c r="C39" t="s">
        <v>18137</v>
      </c>
      <c r="D39" t="s">
        <v>0</v>
      </c>
      <c r="E39" t="s">
        <v>271</v>
      </c>
      <c r="F39" t="s">
        <v>1141</v>
      </c>
    </row>
    <row r="40" spans="1:6" x14ac:dyDescent="0.25">
      <c r="A40" t="s">
        <v>18138</v>
      </c>
      <c r="B40" t="s">
        <v>18139</v>
      </c>
      <c r="C40" t="s">
        <v>18140</v>
      </c>
      <c r="D40" t="s">
        <v>1165</v>
      </c>
      <c r="E40" t="s">
        <v>271</v>
      </c>
      <c r="F40" t="s">
        <v>6306</v>
      </c>
    </row>
    <row r="41" spans="1:6" x14ac:dyDescent="0.25">
      <c r="A41" t="s">
        <v>18141</v>
      </c>
      <c r="B41" t="s">
        <v>18142</v>
      </c>
      <c r="C41" t="s">
        <v>18143</v>
      </c>
      <c r="D41" t="s">
        <v>0</v>
      </c>
      <c r="E41" t="s">
        <v>271</v>
      </c>
      <c r="F41" t="s">
        <v>1148</v>
      </c>
    </row>
    <row r="42" spans="1:6" x14ac:dyDescent="0.25">
      <c r="A42" t="s">
        <v>18144</v>
      </c>
      <c r="B42" t="s">
        <v>18145</v>
      </c>
      <c r="C42" t="s">
        <v>18146</v>
      </c>
      <c r="D42" t="s">
        <v>1925</v>
      </c>
      <c r="E42" t="s">
        <v>271</v>
      </c>
      <c r="F42" t="s">
        <v>1924</v>
      </c>
    </row>
    <row r="43" spans="1:6" x14ac:dyDescent="0.25">
      <c r="A43" t="s">
        <v>18147</v>
      </c>
      <c r="B43" t="s">
        <v>18148</v>
      </c>
      <c r="C43" t="s">
        <v>18149</v>
      </c>
      <c r="D43" t="s">
        <v>282</v>
      </c>
      <c r="E43" t="s">
        <v>271</v>
      </c>
      <c r="F43" t="s">
        <v>1191</v>
      </c>
    </row>
    <row r="44" spans="1:6" x14ac:dyDescent="0.25">
      <c r="A44" t="s">
        <v>18150</v>
      </c>
      <c r="B44" t="s">
        <v>18151</v>
      </c>
      <c r="C44" t="s">
        <v>18152</v>
      </c>
      <c r="D44" t="s">
        <v>450</v>
      </c>
      <c r="E44" t="s">
        <v>271</v>
      </c>
      <c r="F44" t="s">
        <v>326</v>
      </c>
    </row>
    <row r="45" spans="1:6" x14ac:dyDescent="0.25">
      <c r="A45" t="s">
        <v>18153</v>
      </c>
      <c r="B45" t="s">
        <v>18154</v>
      </c>
      <c r="C45" t="s">
        <v>18155</v>
      </c>
      <c r="D45" t="s">
        <v>1059</v>
      </c>
      <c r="E45" t="s">
        <v>271</v>
      </c>
      <c r="F45" t="s">
        <v>1058</v>
      </c>
    </row>
    <row r="46" spans="1:6" x14ac:dyDescent="0.25">
      <c r="A46" t="s">
        <v>4280</v>
      </c>
      <c r="B46" t="s">
        <v>4281</v>
      </c>
      <c r="C46" t="s">
        <v>4282</v>
      </c>
      <c r="D46" t="s">
        <v>1874</v>
      </c>
      <c r="E46" t="s">
        <v>271</v>
      </c>
      <c r="F46" t="s">
        <v>1873</v>
      </c>
    </row>
    <row r="47" spans="1:6" x14ac:dyDescent="0.25">
      <c r="A47" t="s">
        <v>18156</v>
      </c>
      <c r="B47" t="s">
        <v>18157</v>
      </c>
      <c r="C47" t="s">
        <v>18158</v>
      </c>
      <c r="D47" t="s">
        <v>1348</v>
      </c>
      <c r="E47" t="s">
        <v>271</v>
      </c>
      <c r="F47" t="s">
        <v>1347</v>
      </c>
    </row>
    <row r="48" spans="1:6" x14ac:dyDescent="0.25">
      <c r="A48" t="s">
        <v>18159</v>
      </c>
      <c r="B48" t="s">
        <v>18160</v>
      </c>
      <c r="C48" t="s">
        <v>4307</v>
      </c>
      <c r="D48" t="s">
        <v>0</v>
      </c>
      <c r="E48" t="s">
        <v>271</v>
      </c>
      <c r="F48" t="s">
        <v>436</v>
      </c>
    </row>
    <row r="49" spans="1:6" x14ac:dyDescent="0.25">
      <c r="A49" t="s">
        <v>3944</v>
      </c>
      <c r="B49" t="s">
        <v>3945</v>
      </c>
      <c r="C49" t="s">
        <v>3946</v>
      </c>
      <c r="D49" t="s">
        <v>258</v>
      </c>
      <c r="E49" t="s">
        <v>271</v>
      </c>
      <c r="F49" t="s">
        <v>524</v>
      </c>
    </row>
    <row r="50" spans="1:6" x14ac:dyDescent="0.25">
      <c r="A50" t="s">
        <v>3777</v>
      </c>
      <c r="B50" t="s">
        <v>3778</v>
      </c>
      <c r="C50" t="s">
        <v>3781</v>
      </c>
      <c r="D50" t="s">
        <v>258</v>
      </c>
      <c r="E50" t="s">
        <v>271</v>
      </c>
      <c r="F50" t="s">
        <v>524</v>
      </c>
    </row>
    <row r="51" spans="1:6" x14ac:dyDescent="0.25">
      <c r="A51" t="s">
        <v>3801</v>
      </c>
      <c r="B51" t="s">
        <v>3802</v>
      </c>
      <c r="C51" t="s">
        <v>3804</v>
      </c>
      <c r="D51" t="s">
        <v>2578</v>
      </c>
      <c r="E51" t="s">
        <v>271</v>
      </c>
      <c r="F51" t="s">
        <v>2577</v>
      </c>
    </row>
    <row r="52" spans="1:6" x14ac:dyDescent="0.25">
      <c r="A52" t="s">
        <v>18161</v>
      </c>
      <c r="B52" t="s">
        <v>18162</v>
      </c>
      <c r="C52" t="s">
        <v>18163</v>
      </c>
      <c r="D52" t="s">
        <v>0</v>
      </c>
      <c r="E52" t="s">
        <v>271</v>
      </c>
      <c r="F52" t="s">
        <v>531</v>
      </c>
    </row>
    <row r="53" spans="1:6" x14ac:dyDescent="0.25">
      <c r="A53" t="s">
        <v>18164</v>
      </c>
      <c r="B53" t="s">
        <v>18165</v>
      </c>
      <c r="C53" t="s">
        <v>18166</v>
      </c>
      <c r="D53" t="s">
        <v>461</v>
      </c>
      <c r="E53" t="s">
        <v>271</v>
      </c>
      <c r="F53" t="s">
        <v>336</v>
      </c>
    </row>
    <row r="54" spans="1:6" x14ac:dyDescent="0.25">
      <c r="A54" t="s">
        <v>18167</v>
      </c>
      <c r="B54" t="s">
        <v>18168</v>
      </c>
      <c r="C54" t="s">
        <v>18169</v>
      </c>
      <c r="D54" t="s">
        <v>510</v>
      </c>
      <c r="E54" t="s">
        <v>271</v>
      </c>
      <c r="F54" t="s">
        <v>437</v>
      </c>
    </row>
    <row r="55" spans="1:6" x14ac:dyDescent="0.25">
      <c r="A55" t="s">
        <v>18170</v>
      </c>
      <c r="B55" t="s">
        <v>18171</v>
      </c>
      <c r="C55" t="s">
        <v>13545</v>
      </c>
      <c r="D55" t="s">
        <v>0</v>
      </c>
      <c r="E55" t="s">
        <v>271</v>
      </c>
      <c r="F55" t="s">
        <v>432</v>
      </c>
    </row>
    <row r="56" spans="1:6" x14ac:dyDescent="0.25">
      <c r="A56" t="s">
        <v>18172</v>
      </c>
      <c r="B56" t="s">
        <v>18173</v>
      </c>
      <c r="C56" t="s">
        <v>18174</v>
      </c>
      <c r="D56" t="s">
        <v>0</v>
      </c>
      <c r="E56" t="s">
        <v>271</v>
      </c>
      <c r="F56" t="s">
        <v>323</v>
      </c>
    </row>
    <row r="57" spans="1:6" x14ac:dyDescent="0.25">
      <c r="A57" t="s">
        <v>18175</v>
      </c>
      <c r="B57" t="s">
        <v>18176</v>
      </c>
      <c r="C57" t="s">
        <v>18177</v>
      </c>
      <c r="D57" t="s">
        <v>1110</v>
      </c>
      <c r="E57" t="s">
        <v>271</v>
      </c>
      <c r="F57" t="s">
        <v>1567</v>
      </c>
    </row>
    <row r="58" spans="1:6" x14ac:dyDescent="0.25">
      <c r="A58" t="s">
        <v>18178</v>
      </c>
      <c r="B58" t="s">
        <v>18179</v>
      </c>
      <c r="C58" t="s">
        <v>18180</v>
      </c>
      <c r="D58" t="s">
        <v>0</v>
      </c>
      <c r="E58" t="s">
        <v>271</v>
      </c>
      <c r="F58" t="s">
        <v>1225</v>
      </c>
    </row>
    <row r="59" spans="1:6" x14ac:dyDescent="0.25">
      <c r="A59" t="s">
        <v>18181</v>
      </c>
      <c r="B59" t="s">
        <v>18182</v>
      </c>
      <c r="C59" t="s">
        <v>18183</v>
      </c>
      <c r="D59" t="s">
        <v>0</v>
      </c>
      <c r="E59" t="s">
        <v>271</v>
      </c>
      <c r="F59" t="s">
        <v>688</v>
      </c>
    </row>
    <row r="60" spans="1:6" x14ac:dyDescent="0.25">
      <c r="A60" t="s">
        <v>18184</v>
      </c>
      <c r="B60" t="s">
        <v>520</v>
      </c>
      <c r="C60" t="s">
        <v>18185</v>
      </c>
      <c r="D60" t="s">
        <v>1137</v>
      </c>
      <c r="E60" t="s">
        <v>269</v>
      </c>
      <c r="F60" t="s">
        <v>1136</v>
      </c>
    </row>
    <row r="61" spans="1:6" x14ac:dyDescent="0.25">
      <c r="A61" t="s">
        <v>18186</v>
      </c>
      <c r="B61" t="s">
        <v>18187</v>
      </c>
      <c r="C61" t="s">
        <v>18188</v>
      </c>
      <c r="D61" t="s">
        <v>453</v>
      </c>
      <c r="E61" t="s">
        <v>271</v>
      </c>
      <c r="F61" t="s">
        <v>2285</v>
      </c>
    </row>
    <row r="62" spans="1:6" x14ac:dyDescent="0.25">
      <c r="A62" t="s">
        <v>18189</v>
      </c>
      <c r="B62" t="s">
        <v>18190</v>
      </c>
      <c r="C62" t="s">
        <v>18191</v>
      </c>
      <c r="D62" t="s">
        <v>718</v>
      </c>
      <c r="E62" t="s">
        <v>271</v>
      </c>
      <c r="F62" t="s">
        <v>333</v>
      </c>
    </row>
    <row r="63" spans="1:6" x14ac:dyDescent="0.25">
      <c r="A63" t="s">
        <v>4189</v>
      </c>
      <c r="B63" t="s">
        <v>4190</v>
      </c>
      <c r="C63" t="s">
        <v>4192</v>
      </c>
      <c r="D63" t="s">
        <v>0</v>
      </c>
      <c r="E63" t="s">
        <v>271</v>
      </c>
      <c r="F63" t="s">
        <v>355</v>
      </c>
    </row>
    <row r="64" spans="1:6" x14ac:dyDescent="0.25">
      <c r="A64" t="s">
        <v>18192</v>
      </c>
      <c r="B64" t="s">
        <v>18193</v>
      </c>
      <c r="C64" t="s">
        <v>18194</v>
      </c>
      <c r="D64" t="s">
        <v>2009</v>
      </c>
      <c r="E64" t="s">
        <v>271</v>
      </c>
      <c r="F64" t="s">
        <v>2008</v>
      </c>
    </row>
    <row r="65" spans="1:6" x14ac:dyDescent="0.25">
      <c r="A65" t="s">
        <v>18195</v>
      </c>
      <c r="B65" t="s">
        <v>18196</v>
      </c>
      <c r="C65" t="s">
        <v>18197</v>
      </c>
      <c r="D65" t="s">
        <v>0</v>
      </c>
      <c r="E65" t="s">
        <v>271</v>
      </c>
      <c r="F65" t="s">
        <v>562</v>
      </c>
    </row>
    <row r="66" spans="1:6" x14ac:dyDescent="0.25">
      <c r="A66" t="s">
        <v>18198</v>
      </c>
      <c r="B66" t="s">
        <v>18199</v>
      </c>
      <c r="C66" t="s">
        <v>18200</v>
      </c>
      <c r="D66" t="s">
        <v>1920</v>
      </c>
      <c r="E66" t="s">
        <v>271</v>
      </c>
      <c r="F66" t="s">
        <v>1919</v>
      </c>
    </row>
    <row r="67" spans="1:6" x14ac:dyDescent="0.25">
      <c r="A67" t="s">
        <v>18201</v>
      </c>
      <c r="B67" t="s">
        <v>18202</v>
      </c>
      <c r="C67" t="s">
        <v>18203</v>
      </c>
      <c r="D67" t="s">
        <v>572</v>
      </c>
      <c r="E67" t="s">
        <v>271</v>
      </c>
      <c r="F67" t="s">
        <v>335</v>
      </c>
    </row>
    <row r="68" spans="1:6" x14ac:dyDescent="0.25">
      <c r="A68" t="s">
        <v>4069</v>
      </c>
      <c r="B68" t="s">
        <v>4070</v>
      </c>
      <c r="C68" t="s">
        <v>4072</v>
      </c>
      <c r="D68" t="s">
        <v>0</v>
      </c>
      <c r="E68" t="s">
        <v>271</v>
      </c>
      <c r="F68" t="s">
        <v>785</v>
      </c>
    </row>
    <row r="69" spans="1:6" x14ac:dyDescent="0.25">
      <c r="A69" t="s">
        <v>18204</v>
      </c>
      <c r="B69" t="s">
        <v>18205</v>
      </c>
      <c r="C69" t="s">
        <v>18206</v>
      </c>
      <c r="D69" t="s">
        <v>1165</v>
      </c>
      <c r="E69" t="s">
        <v>271</v>
      </c>
      <c r="F69" t="s">
        <v>1164</v>
      </c>
    </row>
    <row r="70" spans="1:6" x14ac:dyDescent="0.25">
      <c r="A70" t="s">
        <v>4223</v>
      </c>
      <c r="B70" t="s">
        <v>4224</v>
      </c>
      <c r="C70" t="s">
        <v>4226</v>
      </c>
      <c r="D70" t="s">
        <v>461</v>
      </c>
      <c r="E70" t="s">
        <v>271</v>
      </c>
      <c r="F70" t="s">
        <v>336</v>
      </c>
    </row>
    <row r="71" spans="1:6" x14ac:dyDescent="0.25">
      <c r="A71" t="s">
        <v>18207</v>
      </c>
      <c r="B71" t="s">
        <v>18208</v>
      </c>
      <c r="C71" t="s">
        <v>18209</v>
      </c>
      <c r="D71" t="s">
        <v>0</v>
      </c>
      <c r="E71" t="s">
        <v>271</v>
      </c>
      <c r="F71" t="s">
        <v>1321</v>
      </c>
    </row>
    <row r="72" spans="1:6" x14ac:dyDescent="0.25">
      <c r="A72" t="s">
        <v>3921</v>
      </c>
      <c r="B72" t="s">
        <v>3922</v>
      </c>
      <c r="C72" t="s">
        <v>3923</v>
      </c>
      <c r="D72" t="s">
        <v>0</v>
      </c>
      <c r="E72" t="s">
        <v>271</v>
      </c>
      <c r="F72" t="s">
        <v>562</v>
      </c>
    </row>
    <row r="73" spans="1:6" x14ac:dyDescent="0.25">
      <c r="A73" t="s">
        <v>18210</v>
      </c>
      <c r="B73" t="s">
        <v>18211</v>
      </c>
      <c r="C73" t="s">
        <v>18212</v>
      </c>
      <c r="D73" t="s">
        <v>530</v>
      </c>
      <c r="E73" t="s">
        <v>271</v>
      </c>
      <c r="F73" t="s">
        <v>368</v>
      </c>
    </row>
    <row r="74" spans="1:6" x14ac:dyDescent="0.25">
      <c r="A74" t="s">
        <v>18213</v>
      </c>
      <c r="B74" t="s">
        <v>18214</v>
      </c>
      <c r="C74" t="s">
        <v>18215</v>
      </c>
      <c r="D74" t="s">
        <v>450</v>
      </c>
      <c r="E74" t="s">
        <v>271</v>
      </c>
      <c r="F74" t="s">
        <v>326</v>
      </c>
    </row>
    <row r="75" spans="1:6" x14ac:dyDescent="0.25">
      <c r="A75" t="s">
        <v>4167</v>
      </c>
      <c r="B75" t="s">
        <v>4168</v>
      </c>
      <c r="C75" t="s">
        <v>4170</v>
      </c>
      <c r="D75" t="s">
        <v>586</v>
      </c>
      <c r="E75" t="s">
        <v>271</v>
      </c>
      <c r="F75" t="s">
        <v>662</v>
      </c>
    </row>
    <row r="76" spans="1:6" x14ac:dyDescent="0.25">
      <c r="A76" t="s">
        <v>18216</v>
      </c>
      <c r="B76" t="s">
        <v>18217</v>
      </c>
      <c r="C76" t="s">
        <v>18218</v>
      </c>
      <c r="D76" t="s">
        <v>498</v>
      </c>
      <c r="E76" t="s">
        <v>271</v>
      </c>
      <c r="F76" t="s">
        <v>926</v>
      </c>
    </row>
    <row r="77" spans="1:6" x14ac:dyDescent="0.25">
      <c r="A77" t="s">
        <v>18219</v>
      </c>
      <c r="B77" t="s">
        <v>18220</v>
      </c>
      <c r="C77" t="s">
        <v>18221</v>
      </c>
      <c r="D77" t="s">
        <v>453</v>
      </c>
      <c r="E77" t="s">
        <v>271</v>
      </c>
      <c r="F77" t="s">
        <v>454</v>
      </c>
    </row>
    <row r="78" spans="1:6" x14ac:dyDescent="0.25">
      <c r="A78" t="s">
        <v>18222</v>
      </c>
      <c r="B78" t="s">
        <v>18223</v>
      </c>
      <c r="C78" t="s">
        <v>18224</v>
      </c>
      <c r="D78" t="s">
        <v>6689</v>
      </c>
      <c r="E78" t="s">
        <v>269</v>
      </c>
      <c r="F78" t="s">
        <v>6690</v>
      </c>
    </row>
    <row r="79" spans="1:6" x14ac:dyDescent="0.25">
      <c r="A79" t="s">
        <v>18225</v>
      </c>
      <c r="B79" t="s">
        <v>18226</v>
      </c>
      <c r="C79" t="s">
        <v>18227</v>
      </c>
      <c r="D79" t="s">
        <v>466</v>
      </c>
      <c r="E79" t="s">
        <v>271</v>
      </c>
      <c r="F79" t="s">
        <v>434</v>
      </c>
    </row>
    <row r="80" spans="1:6" x14ac:dyDescent="0.25">
      <c r="A80" t="s">
        <v>18228</v>
      </c>
      <c r="B80" t="s">
        <v>18229</v>
      </c>
      <c r="C80" t="s">
        <v>18230</v>
      </c>
      <c r="D80" t="s">
        <v>250</v>
      </c>
      <c r="E80" t="s">
        <v>269</v>
      </c>
      <c r="F80" t="s">
        <v>3995</v>
      </c>
    </row>
    <row r="81" spans="1:6" x14ac:dyDescent="0.25">
      <c r="A81" t="s">
        <v>18231</v>
      </c>
      <c r="B81" t="s">
        <v>18232</v>
      </c>
      <c r="C81" t="s">
        <v>18233</v>
      </c>
      <c r="D81" t="s">
        <v>10171</v>
      </c>
      <c r="E81" t="s">
        <v>271</v>
      </c>
      <c r="F81" t="s">
        <v>2470</v>
      </c>
    </row>
    <row r="82" spans="1:6" x14ac:dyDescent="0.25">
      <c r="A82" t="s">
        <v>18234</v>
      </c>
      <c r="B82" t="s">
        <v>18235</v>
      </c>
      <c r="C82" t="s">
        <v>18236</v>
      </c>
      <c r="D82" t="s">
        <v>510</v>
      </c>
      <c r="E82" t="s">
        <v>271</v>
      </c>
      <c r="F82" t="s">
        <v>437</v>
      </c>
    </row>
    <row r="83" spans="1:6" x14ac:dyDescent="0.25">
      <c r="A83" t="s">
        <v>18237</v>
      </c>
      <c r="B83" t="s">
        <v>18238</v>
      </c>
      <c r="C83" t="s">
        <v>18239</v>
      </c>
      <c r="D83" t="s">
        <v>0</v>
      </c>
      <c r="E83" t="s">
        <v>271</v>
      </c>
      <c r="F83" t="s">
        <v>356</v>
      </c>
    </row>
    <row r="84" spans="1:6" x14ac:dyDescent="0.25">
      <c r="A84" t="s">
        <v>18240</v>
      </c>
      <c r="B84" t="s">
        <v>18241</v>
      </c>
      <c r="C84" t="s">
        <v>18242</v>
      </c>
      <c r="D84" t="s">
        <v>0</v>
      </c>
      <c r="E84" t="s">
        <v>271</v>
      </c>
      <c r="F84" t="s">
        <v>1214</v>
      </c>
    </row>
    <row r="85" spans="1:6" x14ac:dyDescent="0.25">
      <c r="A85" t="s">
        <v>18243</v>
      </c>
      <c r="B85" t="s">
        <v>18244</v>
      </c>
      <c r="C85" t="s">
        <v>18245</v>
      </c>
      <c r="D85" t="s">
        <v>1079</v>
      </c>
      <c r="E85" t="s">
        <v>271</v>
      </c>
      <c r="F85" t="s">
        <v>3880</v>
      </c>
    </row>
    <row r="86" spans="1:6" x14ac:dyDescent="0.25">
      <c r="A86" t="s">
        <v>18246</v>
      </c>
      <c r="B86" t="s">
        <v>18247</v>
      </c>
      <c r="C86" t="s">
        <v>18248</v>
      </c>
      <c r="D86" t="s">
        <v>1925</v>
      </c>
      <c r="E86" t="s">
        <v>271</v>
      </c>
      <c r="F86" t="s">
        <v>1924</v>
      </c>
    </row>
    <row r="87" spans="1:6" x14ac:dyDescent="0.25">
      <c r="A87" t="s">
        <v>18249</v>
      </c>
      <c r="B87" t="s">
        <v>18250</v>
      </c>
      <c r="C87" t="s">
        <v>18251</v>
      </c>
      <c r="D87" t="s">
        <v>361</v>
      </c>
      <c r="E87" t="s">
        <v>271</v>
      </c>
      <c r="F87" t="s">
        <v>582</v>
      </c>
    </row>
    <row r="88" spans="1:6" x14ac:dyDescent="0.25">
      <c r="A88" t="s">
        <v>18252</v>
      </c>
      <c r="B88" t="s">
        <v>18253</v>
      </c>
      <c r="C88" t="s">
        <v>18254</v>
      </c>
      <c r="D88" t="s">
        <v>1485</v>
      </c>
      <c r="E88" t="s">
        <v>271</v>
      </c>
      <c r="F88" t="s">
        <v>1519</v>
      </c>
    </row>
    <row r="89" spans="1:6" x14ac:dyDescent="0.25">
      <c r="A89" t="s">
        <v>4002</v>
      </c>
      <c r="B89" t="s">
        <v>4003</v>
      </c>
      <c r="C89" t="s">
        <v>4004</v>
      </c>
      <c r="D89" t="s">
        <v>1609</v>
      </c>
      <c r="E89" t="s">
        <v>271</v>
      </c>
      <c r="F89" t="s">
        <v>2636</v>
      </c>
    </row>
    <row r="90" spans="1:6" x14ac:dyDescent="0.25">
      <c r="A90" t="s">
        <v>4064</v>
      </c>
      <c r="B90" t="s">
        <v>4065</v>
      </c>
      <c r="C90" t="s">
        <v>4067</v>
      </c>
      <c r="D90" t="s">
        <v>4066</v>
      </c>
      <c r="E90" t="s">
        <v>271</v>
      </c>
      <c r="F90" t="s">
        <v>2470</v>
      </c>
    </row>
    <row r="91" spans="1:6" x14ac:dyDescent="0.25">
      <c r="A91" t="s">
        <v>18255</v>
      </c>
      <c r="B91" t="s">
        <v>18256</v>
      </c>
      <c r="C91" t="s">
        <v>18257</v>
      </c>
      <c r="D91" t="s">
        <v>718</v>
      </c>
      <c r="E91" t="s">
        <v>271</v>
      </c>
      <c r="F91" t="s">
        <v>333</v>
      </c>
    </row>
    <row r="92" spans="1:6" x14ac:dyDescent="0.25">
      <c r="A92" t="s">
        <v>4365</v>
      </c>
      <c r="B92" t="s">
        <v>4366</v>
      </c>
      <c r="C92" t="s">
        <v>4368</v>
      </c>
      <c r="D92" t="s">
        <v>472</v>
      </c>
      <c r="E92" t="s">
        <v>271</v>
      </c>
      <c r="F92" t="s">
        <v>318</v>
      </c>
    </row>
    <row r="93" spans="1:6" x14ac:dyDescent="0.25">
      <c r="A93" t="s">
        <v>18258</v>
      </c>
      <c r="B93" t="s">
        <v>18259</v>
      </c>
      <c r="C93" t="s">
        <v>18260</v>
      </c>
      <c r="D93" t="s">
        <v>361</v>
      </c>
      <c r="E93" t="s">
        <v>271</v>
      </c>
      <c r="F93" t="s">
        <v>1563</v>
      </c>
    </row>
    <row r="94" spans="1:6" x14ac:dyDescent="0.25">
      <c r="A94" t="s">
        <v>18261</v>
      </c>
      <c r="B94" t="s">
        <v>18262</v>
      </c>
      <c r="C94" t="s">
        <v>18263</v>
      </c>
      <c r="D94" t="s">
        <v>444</v>
      </c>
      <c r="E94" t="s">
        <v>271</v>
      </c>
      <c r="F94" t="s">
        <v>1270</v>
      </c>
    </row>
    <row r="95" spans="1:6" x14ac:dyDescent="0.25">
      <c r="A95" t="s">
        <v>18264</v>
      </c>
      <c r="B95" t="s">
        <v>18265</v>
      </c>
      <c r="C95" t="s">
        <v>18266</v>
      </c>
      <c r="D95" t="s">
        <v>1542</v>
      </c>
      <c r="E95" t="s">
        <v>269</v>
      </c>
      <c r="F95" t="s">
        <v>1541</v>
      </c>
    </row>
    <row r="96" spans="1:6" x14ac:dyDescent="0.25">
      <c r="A96" t="s">
        <v>18267</v>
      </c>
      <c r="B96" t="s">
        <v>18268</v>
      </c>
      <c r="C96" t="s">
        <v>18269</v>
      </c>
      <c r="D96" t="s">
        <v>510</v>
      </c>
      <c r="E96" t="s">
        <v>271</v>
      </c>
      <c r="F96" t="s">
        <v>511</v>
      </c>
    </row>
    <row r="97" spans="1:6" x14ac:dyDescent="0.25">
      <c r="A97" t="s">
        <v>18270</v>
      </c>
      <c r="B97" t="s">
        <v>8916</v>
      </c>
      <c r="C97" t="s">
        <v>8917</v>
      </c>
      <c r="D97" t="s">
        <v>312</v>
      </c>
      <c r="E97" t="s">
        <v>271</v>
      </c>
      <c r="F97" t="s">
        <v>311</v>
      </c>
    </row>
    <row r="98" spans="1:6" x14ac:dyDescent="0.25">
      <c r="A98" t="s">
        <v>18271</v>
      </c>
      <c r="B98" t="s">
        <v>18272</v>
      </c>
      <c r="C98" t="s">
        <v>18273</v>
      </c>
      <c r="D98" t="s">
        <v>498</v>
      </c>
      <c r="E98" t="s">
        <v>271</v>
      </c>
      <c r="F98" t="s">
        <v>926</v>
      </c>
    </row>
    <row r="99" spans="1:6" x14ac:dyDescent="0.25">
      <c r="A99" t="s">
        <v>18274</v>
      </c>
      <c r="B99" t="s">
        <v>18275</v>
      </c>
      <c r="C99" t="s">
        <v>18155</v>
      </c>
      <c r="D99" t="s">
        <v>1059</v>
      </c>
      <c r="E99" t="s">
        <v>271</v>
      </c>
      <c r="F99" t="s">
        <v>1058</v>
      </c>
    </row>
    <row r="100" spans="1:6" x14ac:dyDescent="0.25">
      <c r="A100" t="s">
        <v>18276</v>
      </c>
      <c r="B100" t="s">
        <v>18277</v>
      </c>
      <c r="C100" t="s">
        <v>18278</v>
      </c>
      <c r="D100" t="s">
        <v>6001</v>
      </c>
      <c r="E100" t="s">
        <v>271</v>
      </c>
      <c r="F100" t="s">
        <v>4429</v>
      </c>
    </row>
    <row r="101" spans="1:6" x14ac:dyDescent="0.25">
      <c r="A101" t="s">
        <v>18279</v>
      </c>
      <c r="B101" t="s">
        <v>18280</v>
      </c>
      <c r="C101" t="s">
        <v>18281</v>
      </c>
      <c r="D101" t="s">
        <v>616</v>
      </c>
      <c r="E101" t="s">
        <v>271</v>
      </c>
      <c r="F101" t="s">
        <v>333</v>
      </c>
    </row>
    <row r="102" spans="1:6" x14ac:dyDescent="0.25">
      <c r="A102" t="s">
        <v>18282</v>
      </c>
      <c r="B102" t="s">
        <v>18283</v>
      </c>
      <c r="C102" t="s">
        <v>18284</v>
      </c>
      <c r="D102" t="s">
        <v>586</v>
      </c>
      <c r="E102" t="s">
        <v>271</v>
      </c>
      <c r="F102" t="s">
        <v>334</v>
      </c>
    </row>
    <row r="103" spans="1:6" x14ac:dyDescent="0.25">
      <c r="A103" t="s">
        <v>18285</v>
      </c>
      <c r="B103" t="s">
        <v>18286</v>
      </c>
      <c r="C103" t="s">
        <v>18209</v>
      </c>
      <c r="D103" t="s">
        <v>0</v>
      </c>
      <c r="E103" t="s">
        <v>271</v>
      </c>
      <c r="F103" t="s">
        <v>1321</v>
      </c>
    </row>
    <row r="104" spans="1:6" x14ac:dyDescent="0.25">
      <c r="A104" t="s">
        <v>3875</v>
      </c>
      <c r="B104" t="s">
        <v>3876</v>
      </c>
      <c r="C104" t="s">
        <v>2170</v>
      </c>
      <c r="D104" t="s">
        <v>282</v>
      </c>
      <c r="E104" t="s">
        <v>271</v>
      </c>
      <c r="F104" t="s">
        <v>1191</v>
      </c>
    </row>
    <row r="105" spans="1:6" x14ac:dyDescent="0.25">
      <c r="A105" t="s">
        <v>18287</v>
      </c>
      <c r="B105" t="s">
        <v>18288</v>
      </c>
      <c r="C105" t="s">
        <v>1514</v>
      </c>
      <c r="D105" t="s">
        <v>616</v>
      </c>
      <c r="E105" t="s">
        <v>271</v>
      </c>
      <c r="F105" t="s">
        <v>333</v>
      </c>
    </row>
    <row r="106" spans="1:6" x14ac:dyDescent="0.25">
      <c r="A106" t="s">
        <v>18289</v>
      </c>
      <c r="B106" t="s">
        <v>18290</v>
      </c>
      <c r="C106" t="s">
        <v>18291</v>
      </c>
      <c r="D106" t="s">
        <v>1915</v>
      </c>
      <c r="E106" t="s">
        <v>269</v>
      </c>
      <c r="F106" t="s">
        <v>1914</v>
      </c>
    </row>
    <row r="107" spans="1:6" x14ac:dyDescent="0.25">
      <c r="A107" t="s">
        <v>18292</v>
      </c>
      <c r="B107" t="s">
        <v>18293</v>
      </c>
      <c r="C107" t="s">
        <v>571</v>
      </c>
      <c r="D107" t="s">
        <v>213</v>
      </c>
      <c r="E107" t="s">
        <v>341</v>
      </c>
      <c r="F107" t="s">
        <v>380</v>
      </c>
    </row>
    <row r="108" spans="1:6" x14ac:dyDescent="0.25">
      <c r="A108" t="s">
        <v>18294</v>
      </c>
      <c r="B108" t="s">
        <v>18295</v>
      </c>
      <c r="C108" t="s">
        <v>18296</v>
      </c>
      <c r="D108" t="s">
        <v>616</v>
      </c>
      <c r="E108" t="s">
        <v>271</v>
      </c>
      <c r="F108" t="s">
        <v>333</v>
      </c>
    </row>
    <row r="109" spans="1:6" x14ac:dyDescent="0.25">
      <c r="A109" t="s">
        <v>4117</v>
      </c>
      <c r="B109" t="s">
        <v>4118</v>
      </c>
      <c r="C109" t="s">
        <v>2170</v>
      </c>
      <c r="D109" t="s">
        <v>282</v>
      </c>
      <c r="E109" t="s">
        <v>271</v>
      </c>
      <c r="F109" t="s">
        <v>1191</v>
      </c>
    </row>
    <row r="110" spans="1:6" x14ac:dyDescent="0.25">
      <c r="A110" t="s">
        <v>18297</v>
      </c>
      <c r="B110" t="s">
        <v>18298</v>
      </c>
      <c r="C110" t="s">
        <v>18299</v>
      </c>
      <c r="D110" t="s">
        <v>2265</v>
      </c>
      <c r="E110" t="s">
        <v>271</v>
      </c>
      <c r="F110" t="s">
        <v>2264</v>
      </c>
    </row>
    <row r="111" spans="1:6" x14ac:dyDescent="0.25">
      <c r="A111" t="s">
        <v>18300</v>
      </c>
      <c r="B111" t="s">
        <v>18301</v>
      </c>
      <c r="C111" t="s">
        <v>18302</v>
      </c>
      <c r="D111" t="s">
        <v>510</v>
      </c>
      <c r="E111" t="s">
        <v>271</v>
      </c>
      <c r="F111" t="s">
        <v>852</v>
      </c>
    </row>
    <row r="112" spans="1:6" x14ac:dyDescent="0.25">
      <c r="A112" t="s">
        <v>18303</v>
      </c>
      <c r="B112" t="s">
        <v>18304</v>
      </c>
      <c r="C112" t="s">
        <v>18305</v>
      </c>
      <c r="D112" t="s">
        <v>1542</v>
      </c>
      <c r="E112" t="s">
        <v>269</v>
      </c>
      <c r="F112" t="s">
        <v>1541</v>
      </c>
    </row>
    <row r="113" spans="1:6" x14ac:dyDescent="0.25">
      <c r="A113" t="s">
        <v>18306</v>
      </c>
      <c r="B113" t="s">
        <v>18307</v>
      </c>
      <c r="C113" t="s">
        <v>18308</v>
      </c>
      <c r="D113" t="s">
        <v>245</v>
      </c>
      <c r="E113" t="s">
        <v>271</v>
      </c>
      <c r="F113" t="s">
        <v>413</v>
      </c>
    </row>
    <row r="114" spans="1:6" x14ac:dyDescent="0.25">
      <c r="A114" t="s">
        <v>18309</v>
      </c>
      <c r="B114" t="s">
        <v>18310</v>
      </c>
      <c r="C114" t="s">
        <v>3936</v>
      </c>
      <c r="D114" t="s">
        <v>0</v>
      </c>
      <c r="E114" t="s">
        <v>271</v>
      </c>
      <c r="F114" t="s">
        <v>1214</v>
      </c>
    </row>
    <row r="115" spans="1:6" x14ac:dyDescent="0.25">
      <c r="A115" t="s">
        <v>18311</v>
      </c>
      <c r="B115" t="s">
        <v>18312</v>
      </c>
      <c r="C115" t="s">
        <v>18313</v>
      </c>
      <c r="D115" t="s">
        <v>0</v>
      </c>
      <c r="E115" t="s">
        <v>271</v>
      </c>
      <c r="F115" t="s">
        <v>323</v>
      </c>
    </row>
    <row r="116" spans="1:6" x14ac:dyDescent="0.25">
      <c r="A116" t="s">
        <v>3819</v>
      </c>
      <c r="B116" t="s">
        <v>3820</v>
      </c>
      <c r="C116" t="s">
        <v>3821</v>
      </c>
      <c r="D116" t="s">
        <v>258</v>
      </c>
      <c r="E116" t="s">
        <v>271</v>
      </c>
      <c r="F116" t="s">
        <v>524</v>
      </c>
    </row>
    <row r="117" spans="1:6" x14ac:dyDescent="0.25">
      <c r="A117" t="s">
        <v>4143</v>
      </c>
      <c r="B117" t="s">
        <v>4144</v>
      </c>
      <c r="C117" t="s">
        <v>4145</v>
      </c>
      <c r="D117" t="s">
        <v>1361</v>
      </c>
      <c r="E117" t="s">
        <v>271</v>
      </c>
      <c r="F117" t="s">
        <v>1829</v>
      </c>
    </row>
    <row r="118" spans="1:6" x14ac:dyDescent="0.25">
      <c r="A118" t="s">
        <v>4155</v>
      </c>
      <c r="B118" t="s">
        <v>4156</v>
      </c>
      <c r="C118" t="s">
        <v>4157</v>
      </c>
      <c r="D118" t="s">
        <v>519</v>
      </c>
      <c r="E118" t="s">
        <v>271</v>
      </c>
      <c r="F118" t="s">
        <v>324</v>
      </c>
    </row>
    <row r="119" spans="1:6" x14ac:dyDescent="0.25">
      <c r="A119" t="s">
        <v>3834</v>
      </c>
      <c r="B119" t="s">
        <v>3835</v>
      </c>
      <c r="C119" t="s">
        <v>3836</v>
      </c>
      <c r="D119" t="s">
        <v>822</v>
      </c>
      <c r="E119" t="s">
        <v>269</v>
      </c>
      <c r="F119" t="s">
        <v>821</v>
      </c>
    </row>
    <row r="120" spans="1:6" x14ac:dyDescent="0.25">
      <c r="A120" t="s">
        <v>18314</v>
      </c>
      <c r="B120" t="s">
        <v>18315</v>
      </c>
      <c r="C120" t="s">
        <v>18316</v>
      </c>
      <c r="D120" t="s">
        <v>361</v>
      </c>
      <c r="E120" t="s">
        <v>271</v>
      </c>
      <c r="F120" t="s">
        <v>1563</v>
      </c>
    </row>
    <row r="121" spans="1:6" x14ac:dyDescent="0.25">
      <c r="A121" t="s">
        <v>4051</v>
      </c>
      <c r="B121" t="s">
        <v>4052</v>
      </c>
      <c r="C121" t="s">
        <v>4055</v>
      </c>
      <c r="D121" t="s">
        <v>2488</v>
      </c>
      <c r="E121" t="s">
        <v>269</v>
      </c>
      <c r="F121" t="s">
        <v>4054</v>
      </c>
    </row>
    <row r="122" spans="1:6" x14ac:dyDescent="0.25">
      <c r="A122" t="s">
        <v>18317</v>
      </c>
      <c r="B122" t="s">
        <v>18318</v>
      </c>
      <c r="C122" t="s">
        <v>18319</v>
      </c>
      <c r="D122" t="s">
        <v>986</v>
      </c>
      <c r="E122" t="s">
        <v>271</v>
      </c>
      <c r="F122" t="s">
        <v>985</v>
      </c>
    </row>
    <row r="123" spans="1:6" x14ac:dyDescent="0.25">
      <c r="A123" t="s">
        <v>18320</v>
      </c>
      <c r="B123" t="s">
        <v>4980</v>
      </c>
      <c r="C123" t="s">
        <v>18321</v>
      </c>
      <c r="D123" t="s">
        <v>986</v>
      </c>
      <c r="E123" t="s">
        <v>271</v>
      </c>
      <c r="F123" t="s">
        <v>985</v>
      </c>
    </row>
    <row r="124" spans="1:6" x14ac:dyDescent="0.25">
      <c r="A124" t="s">
        <v>18322</v>
      </c>
      <c r="B124" t="s">
        <v>18323</v>
      </c>
      <c r="C124" t="s">
        <v>18324</v>
      </c>
      <c r="D124" t="s">
        <v>2116</v>
      </c>
      <c r="E124" t="s">
        <v>271</v>
      </c>
      <c r="F124" t="s">
        <v>2115</v>
      </c>
    </row>
    <row r="125" spans="1:6" x14ac:dyDescent="0.25">
      <c r="A125" t="s">
        <v>18325</v>
      </c>
      <c r="B125" t="s">
        <v>18326</v>
      </c>
      <c r="C125" t="s">
        <v>18327</v>
      </c>
      <c r="D125" t="s">
        <v>0</v>
      </c>
      <c r="E125" t="s">
        <v>271</v>
      </c>
      <c r="F125" t="s">
        <v>355</v>
      </c>
    </row>
    <row r="126" spans="1:6" x14ac:dyDescent="0.25">
      <c r="A126" t="s">
        <v>18328</v>
      </c>
      <c r="B126" t="s">
        <v>18329</v>
      </c>
      <c r="C126" t="s">
        <v>18330</v>
      </c>
      <c r="D126" t="s">
        <v>510</v>
      </c>
      <c r="E126" t="s">
        <v>271</v>
      </c>
      <c r="F126" t="s">
        <v>437</v>
      </c>
    </row>
    <row r="127" spans="1:6" x14ac:dyDescent="0.25">
      <c r="A127" t="s">
        <v>18331</v>
      </c>
      <c r="B127" t="s">
        <v>18332</v>
      </c>
      <c r="C127" t="s">
        <v>18333</v>
      </c>
      <c r="D127" t="s">
        <v>5355</v>
      </c>
      <c r="E127" t="s">
        <v>271</v>
      </c>
      <c r="F127" t="s">
        <v>4398</v>
      </c>
    </row>
    <row r="128" spans="1:6" x14ac:dyDescent="0.25">
      <c r="A128" t="s">
        <v>18334</v>
      </c>
      <c r="B128" t="s">
        <v>18335</v>
      </c>
      <c r="C128" t="s">
        <v>18336</v>
      </c>
      <c r="D128" t="s">
        <v>0</v>
      </c>
      <c r="E128" t="s">
        <v>271</v>
      </c>
      <c r="F128" t="s">
        <v>4391</v>
      </c>
    </row>
    <row r="129" spans="1:6" x14ac:dyDescent="0.25">
      <c r="A129" t="s">
        <v>18337</v>
      </c>
      <c r="B129" t="s">
        <v>18338</v>
      </c>
      <c r="C129" t="s">
        <v>18339</v>
      </c>
      <c r="D129" t="s">
        <v>402</v>
      </c>
      <c r="E129" t="s">
        <v>271</v>
      </c>
      <c r="F129" t="s">
        <v>401</v>
      </c>
    </row>
    <row r="130" spans="1:6" x14ac:dyDescent="0.25">
      <c r="A130" t="s">
        <v>4244</v>
      </c>
      <c r="B130" t="s">
        <v>4245</v>
      </c>
      <c r="C130" t="s">
        <v>4246</v>
      </c>
      <c r="D130" t="s">
        <v>822</v>
      </c>
      <c r="E130" t="s">
        <v>269</v>
      </c>
      <c r="F130" t="s">
        <v>821</v>
      </c>
    </row>
    <row r="131" spans="1:6" x14ac:dyDescent="0.25">
      <c r="A131" t="s">
        <v>18340</v>
      </c>
      <c r="B131" t="s">
        <v>18341</v>
      </c>
      <c r="C131" t="s">
        <v>18342</v>
      </c>
      <c r="D131" t="s">
        <v>1638</v>
      </c>
      <c r="E131" t="s">
        <v>271</v>
      </c>
      <c r="F131" t="s">
        <v>1637</v>
      </c>
    </row>
    <row r="132" spans="1:6" x14ac:dyDescent="0.25">
      <c r="A132" t="s">
        <v>18343</v>
      </c>
      <c r="B132" t="s">
        <v>18344</v>
      </c>
      <c r="C132" t="s">
        <v>18345</v>
      </c>
      <c r="D132" t="s">
        <v>0</v>
      </c>
      <c r="E132" t="s">
        <v>271</v>
      </c>
      <c r="F132" t="s">
        <v>731</v>
      </c>
    </row>
    <row r="133" spans="1:6" x14ac:dyDescent="0.25">
      <c r="A133" t="s">
        <v>18346</v>
      </c>
      <c r="B133" t="s">
        <v>18347</v>
      </c>
      <c r="C133" t="s">
        <v>18348</v>
      </c>
      <c r="D133" t="s">
        <v>2024</v>
      </c>
      <c r="E133" t="s">
        <v>271</v>
      </c>
      <c r="F133" t="s">
        <v>428</v>
      </c>
    </row>
    <row r="134" spans="1:6" x14ac:dyDescent="0.25">
      <c r="A134" t="s">
        <v>18349</v>
      </c>
      <c r="B134" t="s">
        <v>18350</v>
      </c>
      <c r="C134" t="s">
        <v>18351</v>
      </c>
      <c r="D134" t="s">
        <v>1665</v>
      </c>
      <c r="E134" t="s">
        <v>271</v>
      </c>
      <c r="F134" t="s">
        <v>1664</v>
      </c>
    </row>
    <row r="135" spans="1:6" x14ac:dyDescent="0.25">
      <c r="A135" t="s">
        <v>18352</v>
      </c>
      <c r="B135" t="s">
        <v>18353</v>
      </c>
      <c r="C135" t="s">
        <v>18354</v>
      </c>
      <c r="D135" t="s">
        <v>718</v>
      </c>
      <c r="E135" t="s">
        <v>271</v>
      </c>
      <c r="F135" t="s">
        <v>333</v>
      </c>
    </row>
    <row r="136" spans="1:6" x14ac:dyDescent="0.25">
      <c r="A136" t="s">
        <v>18355</v>
      </c>
      <c r="B136" t="s">
        <v>18356</v>
      </c>
      <c r="C136" t="s">
        <v>18357</v>
      </c>
      <c r="D136" t="s">
        <v>314</v>
      </c>
      <c r="E136" t="s">
        <v>271</v>
      </c>
      <c r="F136" t="s">
        <v>3081</v>
      </c>
    </row>
    <row r="137" spans="1:6" x14ac:dyDescent="0.25">
      <c r="A137" t="s">
        <v>4184</v>
      </c>
      <c r="B137" t="s">
        <v>4185</v>
      </c>
      <c r="C137" t="s">
        <v>4187</v>
      </c>
      <c r="D137" t="s">
        <v>1165</v>
      </c>
      <c r="E137" t="s">
        <v>271</v>
      </c>
      <c r="F137" t="s">
        <v>1164</v>
      </c>
    </row>
    <row r="138" spans="1:6" x14ac:dyDescent="0.25">
      <c r="A138" t="s">
        <v>18358</v>
      </c>
      <c r="B138" t="s">
        <v>18359</v>
      </c>
      <c r="C138" t="s">
        <v>18360</v>
      </c>
      <c r="D138" t="s">
        <v>967</v>
      </c>
      <c r="E138" t="s">
        <v>271</v>
      </c>
      <c r="F138" t="s">
        <v>966</v>
      </c>
    </row>
    <row r="139" spans="1:6" x14ac:dyDescent="0.25">
      <c r="A139" t="s">
        <v>18361</v>
      </c>
      <c r="B139" t="s">
        <v>18362</v>
      </c>
      <c r="C139" t="s">
        <v>18363</v>
      </c>
      <c r="D139" t="s">
        <v>0</v>
      </c>
      <c r="E139" t="s">
        <v>271</v>
      </c>
      <c r="F139" t="s">
        <v>531</v>
      </c>
    </row>
    <row r="140" spans="1:6" x14ac:dyDescent="0.25">
      <c r="A140" t="s">
        <v>18364</v>
      </c>
      <c r="B140" t="s">
        <v>18365</v>
      </c>
      <c r="C140" t="s">
        <v>18366</v>
      </c>
      <c r="D140" t="s">
        <v>0</v>
      </c>
      <c r="E140" t="s">
        <v>271</v>
      </c>
      <c r="F140" t="s">
        <v>4387</v>
      </c>
    </row>
    <row r="141" spans="1:6" x14ac:dyDescent="0.25">
      <c r="A141" t="s">
        <v>18367</v>
      </c>
      <c r="B141" t="s">
        <v>18368</v>
      </c>
      <c r="C141" t="s">
        <v>18369</v>
      </c>
      <c r="D141" t="s">
        <v>11927</v>
      </c>
      <c r="E141" t="s">
        <v>271</v>
      </c>
      <c r="F141" t="s">
        <v>11928</v>
      </c>
    </row>
    <row r="142" spans="1:6" x14ac:dyDescent="0.25">
      <c r="A142" t="s">
        <v>18370</v>
      </c>
      <c r="B142" t="s">
        <v>18371</v>
      </c>
      <c r="C142" t="s">
        <v>18372</v>
      </c>
      <c r="D142" t="s">
        <v>9299</v>
      </c>
      <c r="E142" t="s">
        <v>269</v>
      </c>
      <c r="F142" t="s">
        <v>10907</v>
      </c>
    </row>
    <row r="143" spans="1:6" x14ac:dyDescent="0.25">
      <c r="A143" t="s">
        <v>4256</v>
      </c>
      <c r="B143" t="s">
        <v>4257</v>
      </c>
      <c r="C143" t="s">
        <v>4258</v>
      </c>
      <c r="D143" t="s">
        <v>453</v>
      </c>
      <c r="E143" t="s">
        <v>271</v>
      </c>
      <c r="F143" t="s">
        <v>2285</v>
      </c>
    </row>
    <row r="144" spans="1:6" x14ac:dyDescent="0.25">
      <c r="A144" t="s">
        <v>18373</v>
      </c>
      <c r="B144" t="s">
        <v>18223</v>
      </c>
      <c r="C144" t="s">
        <v>18224</v>
      </c>
      <c r="D144" t="s">
        <v>6689</v>
      </c>
      <c r="E144" t="s">
        <v>269</v>
      </c>
      <c r="F144" t="s">
        <v>6690</v>
      </c>
    </row>
    <row r="145" spans="1:6" x14ac:dyDescent="0.25">
      <c r="A145" t="s">
        <v>18374</v>
      </c>
      <c r="B145" t="s">
        <v>18375</v>
      </c>
      <c r="C145" t="s">
        <v>18376</v>
      </c>
      <c r="D145" t="s">
        <v>1559</v>
      </c>
      <c r="E145" t="s">
        <v>271</v>
      </c>
      <c r="F145" t="s">
        <v>1558</v>
      </c>
    </row>
    <row r="146" spans="1:6" x14ac:dyDescent="0.25">
      <c r="A146" t="s">
        <v>18377</v>
      </c>
      <c r="B146" t="s">
        <v>18378</v>
      </c>
      <c r="C146" t="s">
        <v>18379</v>
      </c>
      <c r="D146" t="s">
        <v>314</v>
      </c>
      <c r="E146" t="s">
        <v>271</v>
      </c>
      <c r="F146" t="s">
        <v>370</v>
      </c>
    </row>
    <row r="147" spans="1:6" x14ac:dyDescent="0.25">
      <c r="A147" t="s">
        <v>18380</v>
      </c>
      <c r="B147" t="s">
        <v>18381</v>
      </c>
      <c r="C147" t="s">
        <v>18382</v>
      </c>
      <c r="D147" t="s">
        <v>503</v>
      </c>
      <c r="E147" t="s">
        <v>271</v>
      </c>
      <c r="F147" t="s">
        <v>504</v>
      </c>
    </row>
    <row r="148" spans="1:6" x14ac:dyDescent="0.25">
      <c r="A148" t="s">
        <v>18383</v>
      </c>
      <c r="B148" t="s">
        <v>18384</v>
      </c>
      <c r="C148" t="s">
        <v>270</v>
      </c>
      <c r="D148" t="s">
        <v>793</v>
      </c>
      <c r="E148" t="s">
        <v>271</v>
      </c>
      <c r="F148" t="s">
        <v>792</v>
      </c>
    </row>
    <row r="149" spans="1:6" x14ac:dyDescent="0.25">
      <c r="A149" t="s">
        <v>18385</v>
      </c>
      <c r="B149" t="s">
        <v>18386</v>
      </c>
      <c r="C149" t="s">
        <v>18387</v>
      </c>
      <c r="D149" t="s">
        <v>455</v>
      </c>
      <c r="E149" t="s">
        <v>341</v>
      </c>
      <c r="F149" t="s">
        <v>422</v>
      </c>
    </row>
    <row r="150" spans="1:6" x14ac:dyDescent="0.25">
      <c r="A150" t="s">
        <v>18388</v>
      </c>
      <c r="B150" t="s">
        <v>18389</v>
      </c>
      <c r="C150" t="s">
        <v>18390</v>
      </c>
      <c r="D150" t="s">
        <v>0</v>
      </c>
      <c r="E150" t="s">
        <v>271</v>
      </c>
      <c r="F150" t="s">
        <v>3672</v>
      </c>
    </row>
    <row r="151" spans="1:6" x14ac:dyDescent="0.25">
      <c r="A151" t="s">
        <v>18391</v>
      </c>
      <c r="B151" t="s">
        <v>18392</v>
      </c>
      <c r="C151" t="s">
        <v>1514</v>
      </c>
      <c r="D151" t="s">
        <v>616</v>
      </c>
      <c r="E151" t="s">
        <v>271</v>
      </c>
      <c r="F151" t="s">
        <v>333</v>
      </c>
    </row>
    <row r="152" spans="1:6" x14ac:dyDescent="0.25">
      <c r="A152" t="s">
        <v>18393</v>
      </c>
      <c r="B152" t="s">
        <v>18394</v>
      </c>
      <c r="C152" t="s">
        <v>18395</v>
      </c>
      <c r="D152" t="s">
        <v>474</v>
      </c>
      <c r="E152" t="s">
        <v>271</v>
      </c>
      <c r="F152" t="s">
        <v>475</v>
      </c>
    </row>
    <row r="153" spans="1:6" x14ac:dyDescent="0.25">
      <c r="A153" t="s">
        <v>3913</v>
      </c>
      <c r="B153" t="s">
        <v>3914</v>
      </c>
      <c r="C153" t="s">
        <v>3915</v>
      </c>
      <c r="D153" t="s">
        <v>986</v>
      </c>
      <c r="E153" t="s">
        <v>271</v>
      </c>
      <c r="F153" t="s">
        <v>985</v>
      </c>
    </row>
    <row r="154" spans="1:6" x14ac:dyDescent="0.25">
      <c r="A154" t="s">
        <v>18396</v>
      </c>
      <c r="B154" t="s">
        <v>18397</v>
      </c>
      <c r="C154" t="s">
        <v>18257</v>
      </c>
      <c r="D154" t="s">
        <v>718</v>
      </c>
      <c r="E154" t="s">
        <v>271</v>
      </c>
      <c r="F154" t="s">
        <v>333</v>
      </c>
    </row>
    <row r="155" spans="1:6" x14ac:dyDescent="0.25">
      <c r="A155" t="s">
        <v>18398</v>
      </c>
      <c r="B155" t="s">
        <v>18399</v>
      </c>
      <c r="C155" t="s">
        <v>18400</v>
      </c>
      <c r="D155" t="s">
        <v>871</v>
      </c>
      <c r="E155" t="s">
        <v>271</v>
      </c>
      <c r="F155" t="s">
        <v>870</v>
      </c>
    </row>
    <row r="156" spans="1:6" x14ac:dyDescent="0.25">
      <c r="A156" t="s">
        <v>18401</v>
      </c>
      <c r="B156" t="s">
        <v>18402</v>
      </c>
      <c r="C156" t="s">
        <v>18403</v>
      </c>
      <c r="D156" t="s">
        <v>1165</v>
      </c>
      <c r="E156" t="s">
        <v>271</v>
      </c>
      <c r="F156" t="s">
        <v>1402</v>
      </c>
    </row>
    <row r="157" spans="1:6" x14ac:dyDescent="0.25">
      <c r="A157" t="s">
        <v>18404</v>
      </c>
      <c r="B157" t="s">
        <v>18405</v>
      </c>
      <c r="C157" t="s">
        <v>18406</v>
      </c>
      <c r="D157" t="s">
        <v>0</v>
      </c>
      <c r="E157" t="s">
        <v>271</v>
      </c>
      <c r="F157" t="s">
        <v>1214</v>
      </c>
    </row>
    <row r="158" spans="1:6" x14ac:dyDescent="0.25">
      <c r="A158" t="s">
        <v>18407</v>
      </c>
      <c r="B158" t="s">
        <v>18408</v>
      </c>
      <c r="C158" t="s">
        <v>18409</v>
      </c>
      <c r="D158" t="s">
        <v>18410</v>
      </c>
      <c r="E158" t="s">
        <v>271</v>
      </c>
      <c r="F158" t="s">
        <v>18411</v>
      </c>
    </row>
    <row r="159" spans="1:6" x14ac:dyDescent="0.25">
      <c r="A159" t="s">
        <v>18412</v>
      </c>
      <c r="B159" t="s">
        <v>18413</v>
      </c>
      <c r="C159" t="s">
        <v>18414</v>
      </c>
      <c r="D159" t="s">
        <v>1186</v>
      </c>
      <c r="E159" t="s">
        <v>271</v>
      </c>
      <c r="F159" t="s">
        <v>1185</v>
      </c>
    </row>
    <row r="160" spans="1:6" x14ac:dyDescent="0.25">
      <c r="A160" t="s">
        <v>18415</v>
      </c>
      <c r="B160" t="s">
        <v>18416</v>
      </c>
      <c r="C160" t="s">
        <v>18417</v>
      </c>
      <c r="D160" t="s">
        <v>845</v>
      </c>
      <c r="E160" t="s">
        <v>271</v>
      </c>
      <c r="F160" t="s">
        <v>844</v>
      </c>
    </row>
    <row r="161" spans="1:6" x14ac:dyDescent="0.25">
      <c r="A161" t="s">
        <v>18418</v>
      </c>
      <c r="B161" t="s">
        <v>18419</v>
      </c>
      <c r="C161" t="s">
        <v>18420</v>
      </c>
      <c r="D161" t="s">
        <v>1079</v>
      </c>
      <c r="E161" t="s">
        <v>271</v>
      </c>
      <c r="F161" t="s">
        <v>1078</v>
      </c>
    </row>
    <row r="162" spans="1:6" x14ac:dyDescent="0.25">
      <c r="A162" t="s">
        <v>18421</v>
      </c>
      <c r="B162" t="s">
        <v>18422</v>
      </c>
      <c r="C162" t="s">
        <v>4290</v>
      </c>
      <c r="D162" t="s">
        <v>1455</v>
      </c>
      <c r="E162" t="s">
        <v>271</v>
      </c>
      <c r="F162" t="s">
        <v>1454</v>
      </c>
    </row>
    <row r="163" spans="1:6" x14ac:dyDescent="0.25">
      <c r="A163" t="s">
        <v>18423</v>
      </c>
      <c r="B163" t="s">
        <v>18424</v>
      </c>
      <c r="C163" t="s">
        <v>18425</v>
      </c>
      <c r="D163" t="s">
        <v>2471</v>
      </c>
      <c r="E163" t="s">
        <v>271</v>
      </c>
      <c r="F163" t="s">
        <v>2470</v>
      </c>
    </row>
    <row r="164" spans="1:6" x14ac:dyDescent="0.25">
      <c r="A164" t="s">
        <v>4147</v>
      </c>
      <c r="B164" t="s">
        <v>4148</v>
      </c>
      <c r="C164" t="s">
        <v>4149</v>
      </c>
      <c r="D164" t="s">
        <v>1303</v>
      </c>
      <c r="E164" t="s">
        <v>269</v>
      </c>
      <c r="F164" t="s">
        <v>1302</v>
      </c>
    </row>
    <row r="165" spans="1:6" x14ac:dyDescent="0.25">
      <c r="A165" t="s">
        <v>18426</v>
      </c>
      <c r="B165" t="s">
        <v>18427</v>
      </c>
      <c r="C165" t="s">
        <v>18428</v>
      </c>
      <c r="D165" t="s">
        <v>0</v>
      </c>
      <c r="E165" t="s">
        <v>271</v>
      </c>
      <c r="F165" t="s">
        <v>323</v>
      </c>
    </row>
    <row r="166" spans="1:6" x14ac:dyDescent="0.25">
      <c r="A166" t="s">
        <v>18429</v>
      </c>
      <c r="B166" t="s">
        <v>18430</v>
      </c>
      <c r="C166" t="s">
        <v>18431</v>
      </c>
      <c r="D166" t="s">
        <v>1165</v>
      </c>
      <c r="E166" t="s">
        <v>271</v>
      </c>
      <c r="F166" t="s">
        <v>1402</v>
      </c>
    </row>
    <row r="167" spans="1:6" x14ac:dyDescent="0.25">
      <c r="A167" t="s">
        <v>18432</v>
      </c>
      <c r="B167" t="s">
        <v>18433</v>
      </c>
      <c r="C167" t="s">
        <v>18434</v>
      </c>
      <c r="D167" t="s">
        <v>450</v>
      </c>
      <c r="E167" t="s">
        <v>271</v>
      </c>
      <c r="F167" t="s">
        <v>326</v>
      </c>
    </row>
    <row r="168" spans="1:6" x14ac:dyDescent="0.25">
      <c r="A168" t="s">
        <v>18435</v>
      </c>
      <c r="B168" t="s">
        <v>18436</v>
      </c>
      <c r="C168" t="s">
        <v>18437</v>
      </c>
      <c r="D168" t="s">
        <v>340</v>
      </c>
      <c r="E168" t="s">
        <v>271</v>
      </c>
      <c r="F168" t="s">
        <v>317</v>
      </c>
    </row>
    <row r="169" spans="1:6" x14ac:dyDescent="0.25">
      <c r="A169" t="s">
        <v>18438</v>
      </c>
      <c r="B169" t="s">
        <v>18439</v>
      </c>
      <c r="C169" t="s">
        <v>18440</v>
      </c>
      <c r="D169" t="s">
        <v>586</v>
      </c>
      <c r="E169" t="s">
        <v>271</v>
      </c>
      <c r="F169" t="s">
        <v>662</v>
      </c>
    </row>
    <row r="170" spans="1:6" x14ac:dyDescent="0.25">
      <c r="A170" t="s">
        <v>18441</v>
      </c>
      <c r="B170" t="s">
        <v>18442</v>
      </c>
      <c r="C170" t="s">
        <v>18443</v>
      </c>
      <c r="D170" t="s">
        <v>2067</v>
      </c>
      <c r="E170" t="s">
        <v>271</v>
      </c>
      <c r="F170" t="s">
        <v>2066</v>
      </c>
    </row>
    <row r="171" spans="1:6" x14ac:dyDescent="0.25">
      <c r="A171" t="s">
        <v>18444</v>
      </c>
      <c r="B171" t="s">
        <v>18445</v>
      </c>
      <c r="C171" t="s">
        <v>18446</v>
      </c>
      <c r="D171" t="s">
        <v>822</v>
      </c>
      <c r="E171" t="s">
        <v>269</v>
      </c>
      <c r="F171" t="s">
        <v>821</v>
      </c>
    </row>
    <row r="172" spans="1:6" x14ac:dyDescent="0.25">
      <c r="A172" t="s">
        <v>18447</v>
      </c>
      <c r="B172" t="s">
        <v>17820</v>
      </c>
      <c r="C172" t="s">
        <v>17821</v>
      </c>
      <c r="D172" t="s">
        <v>314</v>
      </c>
      <c r="E172" t="s">
        <v>271</v>
      </c>
      <c r="F172" t="s">
        <v>352</v>
      </c>
    </row>
    <row r="173" spans="1:6" x14ac:dyDescent="0.25">
      <c r="A173" t="s">
        <v>18448</v>
      </c>
      <c r="B173" t="s">
        <v>18449</v>
      </c>
      <c r="C173" t="s">
        <v>18450</v>
      </c>
      <c r="D173" t="s">
        <v>237</v>
      </c>
      <c r="E173" t="s">
        <v>271</v>
      </c>
      <c r="F173" t="s">
        <v>427</v>
      </c>
    </row>
    <row r="174" spans="1:6" x14ac:dyDescent="0.25">
      <c r="A174" t="s">
        <v>18451</v>
      </c>
      <c r="B174" t="s">
        <v>18452</v>
      </c>
      <c r="C174" t="s">
        <v>3851</v>
      </c>
      <c r="D174" t="s">
        <v>1186</v>
      </c>
      <c r="E174" t="s">
        <v>271</v>
      </c>
      <c r="F174" t="s">
        <v>1185</v>
      </c>
    </row>
    <row r="175" spans="1:6" x14ac:dyDescent="0.25">
      <c r="A175" t="s">
        <v>18453</v>
      </c>
      <c r="B175" t="s">
        <v>18454</v>
      </c>
      <c r="C175" t="s">
        <v>18455</v>
      </c>
      <c r="D175" t="s">
        <v>1079</v>
      </c>
      <c r="E175" t="s">
        <v>271</v>
      </c>
      <c r="F175" t="s">
        <v>3880</v>
      </c>
    </row>
    <row r="176" spans="1:6" x14ac:dyDescent="0.25">
      <c r="A176" t="s">
        <v>18456</v>
      </c>
      <c r="B176" t="s">
        <v>18457</v>
      </c>
      <c r="C176" t="s">
        <v>18458</v>
      </c>
      <c r="D176" t="s">
        <v>0</v>
      </c>
      <c r="E176" t="s">
        <v>271</v>
      </c>
      <c r="F176" t="s">
        <v>323</v>
      </c>
    </row>
    <row r="177" spans="1:6" x14ac:dyDescent="0.25">
      <c r="A177" t="s">
        <v>18459</v>
      </c>
      <c r="B177" t="s">
        <v>18460</v>
      </c>
      <c r="C177" t="s">
        <v>18461</v>
      </c>
      <c r="D177" t="s">
        <v>578</v>
      </c>
      <c r="E177" t="s">
        <v>271</v>
      </c>
      <c r="F177" t="s">
        <v>321</v>
      </c>
    </row>
    <row r="178" spans="1:6" x14ac:dyDescent="0.25">
      <c r="A178" t="s">
        <v>18462</v>
      </c>
      <c r="B178" t="s">
        <v>18463</v>
      </c>
      <c r="C178" t="s">
        <v>18464</v>
      </c>
      <c r="D178" t="s">
        <v>1665</v>
      </c>
      <c r="E178" t="s">
        <v>271</v>
      </c>
      <c r="F178" t="s">
        <v>1664</v>
      </c>
    </row>
    <row r="179" spans="1:6" x14ac:dyDescent="0.25">
      <c r="A179" t="s">
        <v>18465</v>
      </c>
      <c r="B179" t="s">
        <v>18466</v>
      </c>
      <c r="C179" t="s">
        <v>18467</v>
      </c>
      <c r="D179" t="s">
        <v>461</v>
      </c>
      <c r="E179" t="s">
        <v>271</v>
      </c>
      <c r="F179" t="s">
        <v>336</v>
      </c>
    </row>
    <row r="180" spans="1:6" x14ac:dyDescent="0.25">
      <c r="A180" t="s">
        <v>18468</v>
      </c>
      <c r="B180" t="s">
        <v>5769</v>
      </c>
      <c r="C180" t="s">
        <v>18469</v>
      </c>
      <c r="D180" t="s">
        <v>651</v>
      </c>
      <c r="E180" t="s">
        <v>271</v>
      </c>
      <c r="F180" t="s">
        <v>650</v>
      </c>
    </row>
    <row r="181" spans="1:6" x14ac:dyDescent="0.25">
      <c r="A181" t="s">
        <v>18470</v>
      </c>
      <c r="B181" t="s">
        <v>18471</v>
      </c>
      <c r="C181" t="s">
        <v>18472</v>
      </c>
      <c r="D181" t="s">
        <v>0</v>
      </c>
      <c r="E181" t="s">
        <v>271</v>
      </c>
      <c r="F181" t="s">
        <v>1277</v>
      </c>
    </row>
    <row r="182" spans="1:6" x14ac:dyDescent="0.25">
      <c r="A182" t="s">
        <v>18473</v>
      </c>
      <c r="B182" t="s">
        <v>18474</v>
      </c>
      <c r="C182" t="s">
        <v>18475</v>
      </c>
      <c r="D182" t="s">
        <v>0</v>
      </c>
      <c r="E182" t="s">
        <v>271</v>
      </c>
      <c r="F182" t="s">
        <v>325</v>
      </c>
    </row>
    <row r="183" spans="1:6" x14ac:dyDescent="0.25">
      <c r="A183" t="s">
        <v>18476</v>
      </c>
      <c r="B183" t="s">
        <v>18477</v>
      </c>
      <c r="C183" t="s">
        <v>18478</v>
      </c>
      <c r="D183" t="s">
        <v>845</v>
      </c>
      <c r="E183" t="s">
        <v>271</v>
      </c>
      <c r="F183" t="s">
        <v>844</v>
      </c>
    </row>
    <row r="184" spans="1:6" x14ac:dyDescent="0.25">
      <c r="A184" t="s">
        <v>18479</v>
      </c>
      <c r="B184" t="s">
        <v>18480</v>
      </c>
      <c r="C184" t="s">
        <v>18481</v>
      </c>
      <c r="D184" t="s">
        <v>1862</v>
      </c>
      <c r="E184" t="s">
        <v>271</v>
      </c>
      <c r="F184" t="s">
        <v>1861</v>
      </c>
    </row>
    <row r="185" spans="1:6" x14ac:dyDescent="0.25">
      <c r="A185" t="s">
        <v>18482</v>
      </c>
      <c r="B185" t="s">
        <v>18483</v>
      </c>
      <c r="C185" t="s">
        <v>18484</v>
      </c>
      <c r="D185" t="s">
        <v>0</v>
      </c>
      <c r="E185" t="s">
        <v>271</v>
      </c>
      <c r="F185" t="s">
        <v>688</v>
      </c>
    </row>
    <row r="186" spans="1:6" x14ac:dyDescent="0.25">
      <c r="A186" t="s">
        <v>3965</v>
      </c>
      <c r="B186" t="s">
        <v>3966</v>
      </c>
      <c r="C186" t="s">
        <v>3967</v>
      </c>
      <c r="D186" t="s">
        <v>2166</v>
      </c>
      <c r="E186" t="s">
        <v>271</v>
      </c>
      <c r="F186" t="s">
        <v>2165</v>
      </c>
    </row>
    <row r="187" spans="1:6" x14ac:dyDescent="0.25">
      <c r="A187" t="s">
        <v>18485</v>
      </c>
      <c r="B187" t="s">
        <v>18486</v>
      </c>
      <c r="C187" t="s">
        <v>18487</v>
      </c>
      <c r="D187" t="s">
        <v>1079</v>
      </c>
      <c r="E187" t="s">
        <v>271</v>
      </c>
      <c r="F187" t="s">
        <v>1747</v>
      </c>
    </row>
    <row r="188" spans="1:6" x14ac:dyDescent="0.25">
      <c r="A188" t="s">
        <v>18488</v>
      </c>
      <c r="B188" t="s">
        <v>18489</v>
      </c>
      <c r="C188" t="s">
        <v>18490</v>
      </c>
      <c r="D188" t="s">
        <v>718</v>
      </c>
      <c r="E188" t="s">
        <v>271</v>
      </c>
      <c r="F188" t="s">
        <v>333</v>
      </c>
    </row>
    <row r="189" spans="1:6" x14ac:dyDescent="0.25">
      <c r="A189" t="s">
        <v>4316</v>
      </c>
      <c r="B189" t="s">
        <v>4317</v>
      </c>
      <c r="C189" t="s">
        <v>4318</v>
      </c>
      <c r="D189" t="s">
        <v>1292</v>
      </c>
      <c r="E189" t="s">
        <v>271</v>
      </c>
      <c r="F189" t="s">
        <v>1291</v>
      </c>
    </row>
    <row r="190" spans="1:6" x14ac:dyDescent="0.25">
      <c r="A190" t="s">
        <v>18491</v>
      </c>
      <c r="B190" t="s">
        <v>18492</v>
      </c>
      <c r="C190" t="s">
        <v>18493</v>
      </c>
      <c r="D190" t="s">
        <v>1455</v>
      </c>
      <c r="E190" t="s">
        <v>271</v>
      </c>
      <c r="F190" t="s">
        <v>1454</v>
      </c>
    </row>
    <row r="191" spans="1:6" x14ac:dyDescent="0.25">
      <c r="A191" t="s">
        <v>4015</v>
      </c>
      <c r="B191" t="s">
        <v>4016</v>
      </c>
      <c r="C191" t="s">
        <v>4020</v>
      </c>
      <c r="D191" t="s">
        <v>4019</v>
      </c>
      <c r="E191" t="s">
        <v>271</v>
      </c>
      <c r="F191" t="s">
        <v>4018</v>
      </c>
    </row>
    <row r="192" spans="1:6" x14ac:dyDescent="0.25">
      <c r="A192" t="s">
        <v>18494</v>
      </c>
      <c r="B192" t="s">
        <v>18495</v>
      </c>
      <c r="C192" t="s">
        <v>18496</v>
      </c>
      <c r="D192" t="s">
        <v>3378</v>
      </c>
      <c r="E192" t="s">
        <v>271</v>
      </c>
      <c r="F192" t="s">
        <v>3377</v>
      </c>
    </row>
    <row r="193" spans="1:6" x14ac:dyDescent="0.25">
      <c r="A193" t="s">
        <v>18497</v>
      </c>
      <c r="B193" t="s">
        <v>18498</v>
      </c>
      <c r="C193" t="s">
        <v>18209</v>
      </c>
      <c r="D193" t="s">
        <v>0</v>
      </c>
      <c r="E193" t="s">
        <v>271</v>
      </c>
      <c r="F193" t="s">
        <v>1321</v>
      </c>
    </row>
    <row r="194" spans="1:6" x14ac:dyDescent="0.25">
      <c r="A194" t="s">
        <v>18499</v>
      </c>
      <c r="B194" t="s">
        <v>18500</v>
      </c>
      <c r="C194" t="s">
        <v>18501</v>
      </c>
      <c r="D194" t="s">
        <v>2714</v>
      </c>
      <c r="E194" t="s">
        <v>271</v>
      </c>
      <c r="F194" t="s">
        <v>2713</v>
      </c>
    </row>
    <row r="195" spans="1:6" x14ac:dyDescent="0.25">
      <c r="A195" t="s">
        <v>4172</v>
      </c>
      <c r="B195" t="s">
        <v>4173</v>
      </c>
      <c r="C195" t="s">
        <v>4174</v>
      </c>
      <c r="D195" t="s">
        <v>510</v>
      </c>
      <c r="E195" t="s">
        <v>271</v>
      </c>
      <c r="F195" t="s">
        <v>437</v>
      </c>
    </row>
    <row r="196" spans="1:6" x14ac:dyDescent="0.25">
      <c r="A196" t="s">
        <v>18502</v>
      </c>
      <c r="B196" t="s">
        <v>18503</v>
      </c>
      <c r="C196" t="s">
        <v>18504</v>
      </c>
      <c r="D196" t="s">
        <v>314</v>
      </c>
      <c r="E196" t="s">
        <v>271</v>
      </c>
      <c r="F196" t="s">
        <v>3081</v>
      </c>
    </row>
    <row r="197" spans="1:6" x14ac:dyDescent="0.25">
      <c r="A197" t="s">
        <v>18505</v>
      </c>
      <c r="B197" t="s">
        <v>18506</v>
      </c>
      <c r="C197" t="s">
        <v>18507</v>
      </c>
      <c r="D197" t="s">
        <v>0</v>
      </c>
      <c r="E197" t="s">
        <v>271</v>
      </c>
      <c r="F197" t="s">
        <v>3740</v>
      </c>
    </row>
    <row r="198" spans="1:6" x14ac:dyDescent="0.25">
      <c r="A198" t="s">
        <v>18508</v>
      </c>
      <c r="B198" t="s">
        <v>18509</v>
      </c>
      <c r="C198" t="s">
        <v>18510</v>
      </c>
      <c r="D198" t="s">
        <v>0</v>
      </c>
      <c r="E198" t="s">
        <v>271</v>
      </c>
      <c r="F198" t="s">
        <v>575</v>
      </c>
    </row>
    <row r="199" spans="1:6" x14ac:dyDescent="0.25">
      <c r="A199" t="s">
        <v>18511</v>
      </c>
      <c r="B199" t="s">
        <v>18512</v>
      </c>
      <c r="C199" t="s">
        <v>9921</v>
      </c>
      <c r="D199" t="s">
        <v>258</v>
      </c>
      <c r="E199" t="s">
        <v>271</v>
      </c>
      <c r="F199" t="s">
        <v>524</v>
      </c>
    </row>
    <row r="200" spans="1:6" x14ac:dyDescent="0.25">
      <c r="A200" t="s">
        <v>18513</v>
      </c>
      <c r="B200" t="s">
        <v>18514</v>
      </c>
      <c r="C200" t="s">
        <v>6222</v>
      </c>
      <c r="D200" t="s">
        <v>272</v>
      </c>
      <c r="E200" t="s">
        <v>269</v>
      </c>
      <c r="F200" t="s">
        <v>907</v>
      </c>
    </row>
    <row r="201" spans="1:6" x14ac:dyDescent="0.25">
      <c r="A201" t="s">
        <v>18515</v>
      </c>
      <c r="B201" t="s">
        <v>18516</v>
      </c>
      <c r="C201" t="s">
        <v>12196</v>
      </c>
      <c r="D201" t="s">
        <v>793</v>
      </c>
      <c r="E201" t="s">
        <v>271</v>
      </c>
      <c r="F201" t="s">
        <v>792</v>
      </c>
    </row>
    <row r="202" spans="1:6" x14ac:dyDescent="0.25">
      <c r="A202" t="s">
        <v>18517</v>
      </c>
      <c r="B202" t="s">
        <v>18518</v>
      </c>
      <c r="C202" t="s">
        <v>4059</v>
      </c>
      <c r="D202" t="s">
        <v>282</v>
      </c>
      <c r="E202" t="s">
        <v>271</v>
      </c>
      <c r="F202" t="s">
        <v>1191</v>
      </c>
    </row>
    <row r="203" spans="1:6" x14ac:dyDescent="0.25">
      <c r="A203" t="s">
        <v>4284</v>
      </c>
      <c r="B203" t="s">
        <v>4285</v>
      </c>
      <c r="C203" t="s">
        <v>4286</v>
      </c>
      <c r="D203" t="s">
        <v>1977</v>
      </c>
      <c r="E203" t="s">
        <v>271</v>
      </c>
      <c r="F203" t="s">
        <v>428</v>
      </c>
    </row>
    <row r="204" spans="1:6" x14ac:dyDescent="0.25">
      <c r="A204" t="s">
        <v>4027</v>
      </c>
      <c r="B204" t="s">
        <v>4028</v>
      </c>
      <c r="C204" t="s">
        <v>4029</v>
      </c>
      <c r="D204" t="s">
        <v>822</v>
      </c>
      <c r="E204" t="s">
        <v>269</v>
      </c>
      <c r="F204" t="s">
        <v>821</v>
      </c>
    </row>
    <row r="205" spans="1:6" x14ac:dyDescent="0.25">
      <c r="A205" t="s">
        <v>18519</v>
      </c>
      <c r="B205" t="s">
        <v>18520</v>
      </c>
      <c r="C205" t="s">
        <v>18521</v>
      </c>
      <c r="D205" t="s">
        <v>361</v>
      </c>
      <c r="E205" t="s">
        <v>271</v>
      </c>
      <c r="F205" t="s">
        <v>1563</v>
      </c>
    </row>
    <row r="206" spans="1:6" x14ac:dyDescent="0.25">
      <c r="A206" t="s">
        <v>18522</v>
      </c>
      <c r="B206" t="s">
        <v>18523</v>
      </c>
      <c r="C206" t="s">
        <v>18524</v>
      </c>
      <c r="D206" t="s">
        <v>7255</v>
      </c>
      <c r="E206" t="s">
        <v>269</v>
      </c>
      <c r="F206" t="s">
        <v>4404</v>
      </c>
    </row>
    <row r="207" spans="1:6" x14ac:dyDescent="0.25">
      <c r="A207" t="s">
        <v>18525</v>
      </c>
      <c r="B207" t="s">
        <v>18526</v>
      </c>
      <c r="C207" t="s">
        <v>18527</v>
      </c>
      <c r="D207" t="s">
        <v>1421</v>
      </c>
      <c r="E207" t="s">
        <v>271</v>
      </c>
      <c r="F207" t="s">
        <v>1420</v>
      </c>
    </row>
    <row r="208" spans="1:6" x14ac:dyDescent="0.25">
      <c r="A208" t="s">
        <v>3929</v>
      </c>
      <c r="B208" t="s">
        <v>3930</v>
      </c>
      <c r="C208" t="s">
        <v>3931</v>
      </c>
      <c r="D208" t="s">
        <v>556</v>
      </c>
      <c r="E208" t="s">
        <v>271</v>
      </c>
      <c r="F208" t="s">
        <v>1567</v>
      </c>
    </row>
    <row r="209" spans="1:6" x14ac:dyDescent="0.25">
      <c r="A209" t="s">
        <v>18528</v>
      </c>
      <c r="B209" t="s">
        <v>18529</v>
      </c>
      <c r="C209" t="s">
        <v>18530</v>
      </c>
      <c r="D209" t="s">
        <v>0</v>
      </c>
      <c r="E209" t="s">
        <v>271</v>
      </c>
      <c r="F209" t="s">
        <v>1115</v>
      </c>
    </row>
    <row r="210" spans="1:6" x14ac:dyDescent="0.25">
      <c r="A210" t="s">
        <v>18531</v>
      </c>
      <c r="B210" t="s">
        <v>18532</v>
      </c>
      <c r="C210" t="s">
        <v>18209</v>
      </c>
      <c r="D210" t="s">
        <v>0</v>
      </c>
      <c r="E210" t="s">
        <v>271</v>
      </c>
      <c r="F210" t="s">
        <v>1321</v>
      </c>
    </row>
    <row r="211" spans="1:6" x14ac:dyDescent="0.25">
      <c r="A211" t="s">
        <v>18533</v>
      </c>
      <c r="B211" t="s">
        <v>18534</v>
      </c>
      <c r="C211" t="s">
        <v>18535</v>
      </c>
      <c r="D211" t="s">
        <v>384</v>
      </c>
      <c r="E211" t="s">
        <v>341</v>
      </c>
      <c r="F211" t="s">
        <v>420</v>
      </c>
    </row>
    <row r="212" spans="1:6" x14ac:dyDescent="0.25">
      <c r="A212" t="s">
        <v>18536</v>
      </c>
      <c r="B212" t="s">
        <v>18537</v>
      </c>
      <c r="C212" t="s">
        <v>9131</v>
      </c>
      <c r="D212" t="s">
        <v>845</v>
      </c>
      <c r="E212" t="s">
        <v>271</v>
      </c>
      <c r="F212" t="s">
        <v>844</v>
      </c>
    </row>
    <row r="213" spans="1:6" x14ac:dyDescent="0.25">
      <c r="A213" t="s">
        <v>18538</v>
      </c>
      <c r="B213" t="s">
        <v>18539</v>
      </c>
      <c r="C213" t="s">
        <v>18540</v>
      </c>
      <c r="D213" t="s">
        <v>461</v>
      </c>
      <c r="E213" t="s">
        <v>271</v>
      </c>
      <c r="F213" t="s">
        <v>336</v>
      </c>
    </row>
    <row r="214" spans="1:6" x14ac:dyDescent="0.25">
      <c r="A214" t="s">
        <v>18541</v>
      </c>
      <c r="B214" t="s">
        <v>18542</v>
      </c>
      <c r="C214" t="s">
        <v>18543</v>
      </c>
      <c r="D214" t="s">
        <v>0</v>
      </c>
      <c r="E214" t="s">
        <v>271</v>
      </c>
      <c r="F214" t="s">
        <v>1141</v>
      </c>
    </row>
    <row r="215" spans="1:6" x14ac:dyDescent="0.25">
      <c r="A215" t="s">
        <v>18544</v>
      </c>
      <c r="B215" t="s">
        <v>18545</v>
      </c>
      <c r="C215" t="s">
        <v>18546</v>
      </c>
      <c r="D215" t="s">
        <v>519</v>
      </c>
      <c r="E215" t="s">
        <v>271</v>
      </c>
      <c r="F215" t="s">
        <v>324</v>
      </c>
    </row>
    <row r="216" spans="1:6" x14ac:dyDescent="0.25">
      <c r="A216" t="s">
        <v>18547</v>
      </c>
      <c r="B216" t="s">
        <v>18548</v>
      </c>
      <c r="C216" t="s">
        <v>18549</v>
      </c>
      <c r="D216" t="s">
        <v>0</v>
      </c>
      <c r="E216" t="s">
        <v>271</v>
      </c>
      <c r="F216" t="s">
        <v>709</v>
      </c>
    </row>
    <row r="217" spans="1:6" x14ac:dyDescent="0.25">
      <c r="A217" t="s">
        <v>18550</v>
      </c>
      <c r="B217" t="s">
        <v>18551</v>
      </c>
      <c r="C217" t="s">
        <v>18552</v>
      </c>
      <c r="D217" t="s">
        <v>1165</v>
      </c>
      <c r="E217" t="s">
        <v>271</v>
      </c>
      <c r="F217" t="s">
        <v>1402</v>
      </c>
    </row>
    <row r="218" spans="1:6" x14ac:dyDescent="0.25">
      <c r="A218" t="s">
        <v>18553</v>
      </c>
      <c r="B218" t="s">
        <v>18554</v>
      </c>
      <c r="C218" t="s">
        <v>18174</v>
      </c>
      <c r="D218" t="s">
        <v>0</v>
      </c>
      <c r="E218" t="s">
        <v>271</v>
      </c>
      <c r="F218" t="s">
        <v>323</v>
      </c>
    </row>
    <row r="219" spans="1:6" x14ac:dyDescent="0.25">
      <c r="A219" t="s">
        <v>4011</v>
      </c>
      <c r="B219" t="s">
        <v>4012</v>
      </c>
      <c r="C219" t="s">
        <v>4013</v>
      </c>
      <c r="D219" t="s">
        <v>1925</v>
      </c>
      <c r="E219" t="s">
        <v>271</v>
      </c>
      <c r="F219" t="s">
        <v>1924</v>
      </c>
    </row>
    <row r="220" spans="1:6" x14ac:dyDescent="0.25">
      <c r="A220" t="s">
        <v>18555</v>
      </c>
      <c r="B220" t="s">
        <v>18223</v>
      </c>
      <c r="C220" t="s">
        <v>18224</v>
      </c>
      <c r="D220" t="s">
        <v>6689</v>
      </c>
      <c r="E220" t="s">
        <v>269</v>
      </c>
      <c r="F220" t="s">
        <v>6690</v>
      </c>
    </row>
    <row r="221" spans="1:6" x14ac:dyDescent="0.25">
      <c r="A221" t="s">
        <v>18556</v>
      </c>
      <c r="B221" t="s">
        <v>18557</v>
      </c>
      <c r="C221" t="s">
        <v>18558</v>
      </c>
      <c r="D221" t="s">
        <v>314</v>
      </c>
      <c r="E221" t="s">
        <v>271</v>
      </c>
      <c r="F221" t="s">
        <v>3572</v>
      </c>
    </row>
    <row r="222" spans="1:6" x14ac:dyDescent="0.25">
      <c r="A222" t="s">
        <v>18559</v>
      </c>
      <c r="B222" t="s">
        <v>18560</v>
      </c>
      <c r="C222" t="s">
        <v>18561</v>
      </c>
      <c r="D222" t="s">
        <v>1806</v>
      </c>
      <c r="E222" t="s">
        <v>271</v>
      </c>
      <c r="F222" t="s">
        <v>1805</v>
      </c>
    </row>
    <row r="223" spans="1:6" x14ac:dyDescent="0.25">
      <c r="A223" t="s">
        <v>18562</v>
      </c>
      <c r="B223" t="s">
        <v>18563</v>
      </c>
      <c r="C223" t="s">
        <v>18564</v>
      </c>
      <c r="D223" t="s">
        <v>547</v>
      </c>
      <c r="E223" t="s">
        <v>271</v>
      </c>
      <c r="F223" t="s">
        <v>428</v>
      </c>
    </row>
    <row r="224" spans="1:6" x14ac:dyDescent="0.25">
      <c r="A224" t="s">
        <v>18565</v>
      </c>
      <c r="B224" t="s">
        <v>18566</v>
      </c>
      <c r="C224" t="s">
        <v>18567</v>
      </c>
      <c r="D224" t="s">
        <v>314</v>
      </c>
      <c r="E224" t="s">
        <v>271</v>
      </c>
      <c r="F224" t="s">
        <v>370</v>
      </c>
    </row>
    <row r="225" spans="1:6" x14ac:dyDescent="0.25">
      <c r="A225" t="s">
        <v>18568</v>
      </c>
      <c r="B225" t="s">
        <v>18569</v>
      </c>
      <c r="C225" t="s">
        <v>18570</v>
      </c>
      <c r="D225" t="s">
        <v>378</v>
      </c>
      <c r="E225" t="s">
        <v>341</v>
      </c>
      <c r="F225" t="s">
        <v>393</v>
      </c>
    </row>
    <row r="226" spans="1:6" x14ac:dyDescent="0.25">
      <c r="A226" t="s">
        <v>18571</v>
      </c>
      <c r="B226" t="s">
        <v>18572</v>
      </c>
      <c r="C226" t="s">
        <v>18573</v>
      </c>
      <c r="D226" t="s">
        <v>510</v>
      </c>
      <c r="E226" t="s">
        <v>271</v>
      </c>
      <c r="F226" t="s">
        <v>1829</v>
      </c>
    </row>
    <row r="227" spans="1:6" x14ac:dyDescent="0.25">
      <c r="A227" t="s">
        <v>18574</v>
      </c>
      <c r="B227" t="s">
        <v>18575</v>
      </c>
      <c r="C227" t="s">
        <v>18576</v>
      </c>
      <c r="D227" t="s">
        <v>1643</v>
      </c>
      <c r="E227" t="s">
        <v>271</v>
      </c>
      <c r="F227" t="s">
        <v>1642</v>
      </c>
    </row>
    <row r="228" spans="1:6" x14ac:dyDescent="0.25">
      <c r="A228" t="s">
        <v>18577</v>
      </c>
      <c r="B228" t="s">
        <v>18578</v>
      </c>
      <c r="C228" t="s">
        <v>18579</v>
      </c>
      <c r="D228" t="s">
        <v>1743</v>
      </c>
      <c r="E228" t="s">
        <v>269</v>
      </c>
      <c r="F228" t="s">
        <v>1742</v>
      </c>
    </row>
    <row r="229" spans="1:6" x14ac:dyDescent="0.25">
      <c r="A229" t="s">
        <v>18580</v>
      </c>
      <c r="B229" t="s">
        <v>18581</v>
      </c>
      <c r="C229" t="s">
        <v>18582</v>
      </c>
      <c r="D229" t="s">
        <v>1303</v>
      </c>
      <c r="E229" t="s">
        <v>269</v>
      </c>
      <c r="F229" t="s">
        <v>1302</v>
      </c>
    </row>
    <row r="230" spans="1:6" x14ac:dyDescent="0.25">
      <c r="A230" t="s">
        <v>18583</v>
      </c>
      <c r="B230" t="s">
        <v>18223</v>
      </c>
      <c r="C230" t="s">
        <v>18584</v>
      </c>
      <c r="D230" t="s">
        <v>6689</v>
      </c>
      <c r="E230" t="s">
        <v>269</v>
      </c>
      <c r="F230" t="s">
        <v>6690</v>
      </c>
    </row>
    <row r="231" spans="1:6" x14ac:dyDescent="0.25">
      <c r="A231" t="s">
        <v>18585</v>
      </c>
      <c r="B231" t="s">
        <v>18586</v>
      </c>
      <c r="C231" t="s">
        <v>9921</v>
      </c>
      <c r="D231" t="s">
        <v>258</v>
      </c>
      <c r="E231" t="s">
        <v>271</v>
      </c>
      <c r="F231" t="s">
        <v>524</v>
      </c>
    </row>
    <row r="232" spans="1:6" x14ac:dyDescent="0.25">
      <c r="A232" t="s">
        <v>18587</v>
      </c>
      <c r="B232" t="s">
        <v>18588</v>
      </c>
      <c r="C232" t="s">
        <v>18589</v>
      </c>
      <c r="D232" t="s">
        <v>0</v>
      </c>
      <c r="E232" t="s">
        <v>271</v>
      </c>
      <c r="F232" t="s">
        <v>436</v>
      </c>
    </row>
    <row r="233" spans="1:6" x14ac:dyDescent="0.25">
      <c r="A233" t="s">
        <v>3788</v>
      </c>
      <c r="B233" t="s">
        <v>3789</v>
      </c>
      <c r="C233" t="s">
        <v>3791</v>
      </c>
      <c r="D233" t="s">
        <v>598</v>
      </c>
      <c r="E233" t="s">
        <v>271</v>
      </c>
      <c r="F233" t="s">
        <v>599</v>
      </c>
    </row>
    <row r="234" spans="1:6" x14ac:dyDescent="0.25">
      <c r="A234" t="s">
        <v>18590</v>
      </c>
      <c r="B234" t="s">
        <v>18591</v>
      </c>
      <c r="C234" t="s">
        <v>18592</v>
      </c>
      <c r="D234" t="s">
        <v>668</v>
      </c>
      <c r="E234" t="s">
        <v>271</v>
      </c>
      <c r="F234" t="s">
        <v>667</v>
      </c>
    </row>
    <row r="235" spans="1:6" x14ac:dyDescent="0.25">
      <c r="A235" t="s">
        <v>4252</v>
      </c>
      <c r="B235" t="s">
        <v>4253</v>
      </c>
      <c r="C235" t="s">
        <v>4254</v>
      </c>
      <c r="D235" t="s">
        <v>972</v>
      </c>
      <c r="E235" t="s">
        <v>269</v>
      </c>
      <c r="F235" t="s">
        <v>971</v>
      </c>
    </row>
    <row r="236" spans="1:6" x14ac:dyDescent="0.25">
      <c r="A236" t="s">
        <v>18593</v>
      </c>
      <c r="B236" t="s">
        <v>18594</v>
      </c>
      <c r="C236" t="s">
        <v>18595</v>
      </c>
      <c r="D236" t="s">
        <v>572</v>
      </c>
      <c r="E236" t="s">
        <v>271</v>
      </c>
      <c r="F236" t="s">
        <v>335</v>
      </c>
    </row>
    <row r="237" spans="1:6" x14ac:dyDescent="0.25">
      <c r="A237" t="s">
        <v>18596</v>
      </c>
      <c r="B237" t="s">
        <v>18597</v>
      </c>
      <c r="C237" t="s">
        <v>18598</v>
      </c>
      <c r="D237" t="s">
        <v>0</v>
      </c>
      <c r="E237" t="s">
        <v>271</v>
      </c>
      <c r="F237" t="s">
        <v>323</v>
      </c>
    </row>
    <row r="238" spans="1:6" x14ac:dyDescent="0.25">
      <c r="A238" t="s">
        <v>18599</v>
      </c>
      <c r="B238" t="s">
        <v>18600</v>
      </c>
      <c r="C238" t="s">
        <v>18601</v>
      </c>
      <c r="D238" t="s">
        <v>3831</v>
      </c>
      <c r="E238" t="s">
        <v>271</v>
      </c>
      <c r="F238" t="s">
        <v>3830</v>
      </c>
    </row>
    <row r="239" spans="1:6" x14ac:dyDescent="0.25">
      <c r="A239" t="s">
        <v>18602</v>
      </c>
      <c r="B239" t="s">
        <v>18603</v>
      </c>
      <c r="C239" t="s">
        <v>18604</v>
      </c>
      <c r="D239" t="s">
        <v>2714</v>
      </c>
      <c r="E239" t="s">
        <v>271</v>
      </c>
      <c r="F239" t="s">
        <v>2713</v>
      </c>
    </row>
    <row r="240" spans="1:6" x14ac:dyDescent="0.25">
      <c r="A240" t="s">
        <v>18605</v>
      </c>
      <c r="B240" t="s">
        <v>18606</v>
      </c>
      <c r="C240" t="s">
        <v>18607</v>
      </c>
      <c r="D240" t="s">
        <v>0</v>
      </c>
      <c r="E240" t="s">
        <v>271</v>
      </c>
      <c r="F240" t="s">
        <v>688</v>
      </c>
    </row>
    <row r="241" spans="1:6" x14ac:dyDescent="0.25">
      <c r="A241" t="s">
        <v>18608</v>
      </c>
      <c r="B241" t="s">
        <v>18609</v>
      </c>
      <c r="C241" t="s">
        <v>18610</v>
      </c>
      <c r="D241" t="s">
        <v>1683</v>
      </c>
      <c r="E241" t="s">
        <v>271</v>
      </c>
      <c r="F241" t="s">
        <v>996</v>
      </c>
    </row>
    <row r="242" spans="1:6" x14ac:dyDescent="0.25">
      <c r="A242" t="s">
        <v>18611</v>
      </c>
      <c r="B242" t="s">
        <v>18612</v>
      </c>
      <c r="C242" t="s">
        <v>11879</v>
      </c>
      <c r="D242" t="s">
        <v>556</v>
      </c>
      <c r="E242" t="s">
        <v>271</v>
      </c>
      <c r="F242" t="s">
        <v>1567</v>
      </c>
    </row>
    <row r="243" spans="1:6" x14ac:dyDescent="0.25">
      <c r="A243" t="s">
        <v>18613</v>
      </c>
      <c r="B243" t="s">
        <v>18614</v>
      </c>
      <c r="C243" t="s">
        <v>18615</v>
      </c>
      <c r="D243" t="s">
        <v>4840</v>
      </c>
      <c r="E243" t="s">
        <v>271</v>
      </c>
      <c r="F243" t="s">
        <v>593</v>
      </c>
    </row>
    <row r="244" spans="1:6" x14ac:dyDescent="0.25">
      <c r="A244" t="s">
        <v>18616</v>
      </c>
      <c r="B244" t="s">
        <v>18617</v>
      </c>
      <c r="C244" t="s">
        <v>18618</v>
      </c>
      <c r="D244" t="s">
        <v>556</v>
      </c>
      <c r="E244" t="s">
        <v>271</v>
      </c>
      <c r="F244" t="s">
        <v>1567</v>
      </c>
    </row>
    <row r="245" spans="1:6" x14ac:dyDescent="0.25">
      <c r="A245" t="s">
        <v>18619</v>
      </c>
      <c r="B245" t="s">
        <v>18620</v>
      </c>
      <c r="C245" t="s">
        <v>18621</v>
      </c>
      <c r="D245" t="s">
        <v>239</v>
      </c>
      <c r="E245" t="s">
        <v>271</v>
      </c>
      <c r="F245" t="s">
        <v>544</v>
      </c>
    </row>
    <row r="246" spans="1:6" x14ac:dyDescent="0.25">
      <c r="A246" t="s">
        <v>3883</v>
      </c>
      <c r="B246" t="s">
        <v>3884</v>
      </c>
      <c r="C246" t="s">
        <v>3886</v>
      </c>
      <c r="D246" t="s">
        <v>1862</v>
      </c>
      <c r="E246" t="s">
        <v>271</v>
      </c>
      <c r="F246" t="s">
        <v>1861</v>
      </c>
    </row>
    <row r="247" spans="1:6" x14ac:dyDescent="0.25">
      <c r="A247" t="s">
        <v>18622</v>
      </c>
      <c r="B247" t="s">
        <v>18623</v>
      </c>
      <c r="C247" t="s">
        <v>18624</v>
      </c>
      <c r="D247" t="s">
        <v>1079</v>
      </c>
      <c r="E247" t="s">
        <v>271</v>
      </c>
      <c r="F247" t="s">
        <v>1176</v>
      </c>
    </row>
    <row r="248" spans="1:6" x14ac:dyDescent="0.25">
      <c r="A248" t="s">
        <v>4219</v>
      </c>
      <c r="B248" t="s">
        <v>4220</v>
      </c>
      <c r="C248" t="s">
        <v>4221</v>
      </c>
      <c r="D248" t="s">
        <v>1210</v>
      </c>
      <c r="E248" t="s">
        <v>271</v>
      </c>
      <c r="F248" t="s">
        <v>1209</v>
      </c>
    </row>
    <row r="249" spans="1:6" x14ac:dyDescent="0.25">
      <c r="A249" t="s">
        <v>18625</v>
      </c>
      <c r="B249" t="s">
        <v>18626</v>
      </c>
      <c r="C249" t="s">
        <v>18627</v>
      </c>
      <c r="D249" t="s">
        <v>540</v>
      </c>
      <c r="E249" t="s">
        <v>271</v>
      </c>
      <c r="F249" t="s">
        <v>339</v>
      </c>
    </row>
    <row r="250" spans="1:6" x14ac:dyDescent="0.25">
      <c r="A250" t="s">
        <v>18628</v>
      </c>
      <c r="B250" t="s">
        <v>18629</v>
      </c>
      <c r="C250" t="s">
        <v>18630</v>
      </c>
      <c r="D250" t="s">
        <v>2714</v>
      </c>
      <c r="E250" t="s">
        <v>271</v>
      </c>
      <c r="F250" t="s">
        <v>2713</v>
      </c>
    </row>
    <row r="251" spans="1:6" x14ac:dyDescent="0.25">
      <c r="A251" t="s">
        <v>3948</v>
      </c>
      <c r="B251" t="s">
        <v>3949</v>
      </c>
      <c r="C251" t="s">
        <v>3950</v>
      </c>
      <c r="D251" t="s">
        <v>357</v>
      </c>
      <c r="E251" t="s">
        <v>271</v>
      </c>
      <c r="F251" t="s">
        <v>358</v>
      </c>
    </row>
    <row r="252" spans="1:6" x14ac:dyDescent="0.25">
      <c r="A252" t="s">
        <v>18631</v>
      </c>
      <c r="B252" t="s">
        <v>18632</v>
      </c>
      <c r="C252" t="s">
        <v>18281</v>
      </c>
      <c r="D252" t="s">
        <v>616</v>
      </c>
      <c r="E252" t="s">
        <v>271</v>
      </c>
      <c r="F252" t="s">
        <v>333</v>
      </c>
    </row>
    <row r="253" spans="1:6" x14ac:dyDescent="0.25">
      <c r="A253" t="s">
        <v>3992</v>
      </c>
      <c r="B253" t="s">
        <v>3993</v>
      </c>
      <c r="C253" t="s">
        <v>3996</v>
      </c>
      <c r="D253" t="s">
        <v>250</v>
      </c>
      <c r="E253" t="s">
        <v>269</v>
      </c>
      <c r="F253" t="s">
        <v>3995</v>
      </c>
    </row>
    <row r="254" spans="1:6" x14ac:dyDescent="0.25">
      <c r="A254" t="s">
        <v>18633</v>
      </c>
      <c r="B254" t="s">
        <v>18634</v>
      </c>
      <c r="C254" t="s">
        <v>18635</v>
      </c>
      <c r="D254" t="s">
        <v>1743</v>
      </c>
      <c r="E254" t="s">
        <v>269</v>
      </c>
      <c r="F254" t="s">
        <v>1742</v>
      </c>
    </row>
    <row r="255" spans="1:6" x14ac:dyDescent="0.25">
      <c r="A255" t="s">
        <v>18636</v>
      </c>
      <c r="B255" t="s">
        <v>18637</v>
      </c>
      <c r="C255" t="s">
        <v>18638</v>
      </c>
      <c r="D255" t="s">
        <v>533</v>
      </c>
      <c r="E255" t="s">
        <v>271</v>
      </c>
      <c r="F255" t="s">
        <v>330</v>
      </c>
    </row>
    <row r="256" spans="1:6" x14ac:dyDescent="0.25">
      <c r="A256" t="s">
        <v>18639</v>
      </c>
      <c r="B256" t="s">
        <v>18640</v>
      </c>
      <c r="C256" t="s">
        <v>18641</v>
      </c>
      <c r="D256" t="s">
        <v>482</v>
      </c>
      <c r="E256" t="s">
        <v>271</v>
      </c>
      <c r="F256" t="s">
        <v>483</v>
      </c>
    </row>
    <row r="257" spans="1:6" x14ac:dyDescent="0.25">
      <c r="A257" t="s">
        <v>18642</v>
      </c>
      <c r="B257" t="s">
        <v>18061</v>
      </c>
      <c r="C257" t="s">
        <v>18643</v>
      </c>
      <c r="D257" t="s">
        <v>18063</v>
      </c>
      <c r="E257" t="s">
        <v>271</v>
      </c>
      <c r="F257" t="s">
        <v>334</v>
      </c>
    </row>
    <row r="258" spans="1:6" x14ac:dyDescent="0.25">
      <c r="A258" t="s">
        <v>18644</v>
      </c>
      <c r="B258" t="s">
        <v>18645</v>
      </c>
      <c r="C258" t="s">
        <v>18646</v>
      </c>
      <c r="D258" t="s">
        <v>2692</v>
      </c>
      <c r="E258" t="s">
        <v>269</v>
      </c>
      <c r="F258" t="s">
        <v>2691</v>
      </c>
    </row>
    <row r="259" spans="1:6" x14ac:dyDescent="0.25">
      <c r="A259" t="s">
        <v>18647</v>
      </c>
      <c r="B259" t="s">
        <v>18648</v>
      </c>
      <c r="C259" t="s">
        <v>18649</v>
      </c>
      <c r="D259" t="s">
        <v>450</v>
      </c>
      <c r="E259" t="s">
        <v>271</v>
      </c>
      <c r="F259" t="s">
        <v>326</v>
      </c>
    </row>
    <row r="260" spans="1:6" x14ac:dyDescent="0.25">
      <c r="A260" t="s">
        <v>18650</v>
      </c>
      <c r="B260" t="s">
        <v>18651</v>
      </c>
      <c r="C260" t="s">
        <v>18652</v>
      </c>
      <c r="D260" t="s">
        <v>817</v>
      </c>
      <c r="E260" t="s">
        <v>271</v>
      </c>
      <c r="F260" t="s">
        <v>816</v>
      </c>
    </row>
    <row r="261" spans="1:6" x14ac:dyDescent="0.25">
      <c r="A261" t="s">
        <v>3895</v>
      </c>
      <c r="B261" t="s">
        <v>3896</v>
      </c>
      <c r="C261" t="s">
        <v>3898</v>
      </c>
      <c r="D261" t="s">
        <v>510</v>
      </c>
      <c r="E261" t="s">
        <v>271</v>
      </c>
      <c r="F261" t="s">
        <v>437</v>
      </c>
    </row>
    <row r="262" spans="1:6" x14ac:dyDescent="0.25">
      <c r="A262" t="s">
        <v>18653</v>
      </c>
      <c r="B262" t="s">
        <v>18654</v>
      </c>
      <c r="C262" t="s">
        <v>18655</v>
      </c>
      <c r="D262" t="s">
        <v>0</v>
      </c>
      <c r="E262" t="s">
        <v>271</v>
      </c>
      <c r="F262" t="s">
        <v>356</v>
      </c>
    </row>
    <row r="263" spans="1:6" x14ac:dyDescent="0.25">
      <c r="A263" t="s">
        <v>18656</v>
      </c>
      <c r="B263" t="s">
        <v>18657</v>
      </c>
      <c r="C263" t="s">
        <v>18658</v>
      </c>
      <c r="D263" t="s">
        <v>916</v>
      </c>
      <c r="E263" t="s">
        <v>271</v>
      </c>
      <c r="F263" t="s">
        <v>915</v>
      </c>
    </row>
    <row r="264" spans="1:6" x14ac:dyDescent="0.25">
      <c r="A264" t="s">
        <v>18659</v>
      </c>
      <c r="B264" t="s">
        <v>18660</v>
      </c>
      <c r="C264" t="s">
        <v>18661</v>
      </c>
      <c r="D264" t="s">
        <v>0</v>
      </c>
      <c r="E264" t="s">
        <v>271</v>
      </c>
      <c r="F264" t="s">
        <v>1141</v>
      </c>
    </row>
    <row r="265" spans="1:6" x14ac:dyDescent="0.25">
      <c r="A265" t="s">
        <v>18662</v>
      </c>
      <c r="B265" t="s">
        <v>18663</v>
      </c>
      <c r="C265" t="s">
        <v>18664</v>
      </c>
      <c r="D265" t="s">
        <v>1059</v>
      </c>
      <c r="E265" t="s">
        <v>271</v>
      </c>
      <c r="F265" t="s">
        <v>1058</v>
      </c>
    </row>
    <row r="266" spans="1:6" x14ac:dyDescent="0.25">
      <c r="A266" t="s">
        <v>4324</v>
      </c>
      <c r="B266" t="s">
        <v>224</v>
      </c>
      <c r="C266" t="s">
        <v>4165</v>
      </c>
      <c r="D266" t="s">
        <v>986</v>
      </c>
      <c r="E266" t="s">
        <v>271</v>
      </c>
      <c r="F266" t="s">
        <v>985</v>
      </c>
    </row>
    <row r="267" spans="1:6" x14ac:dyDescent="0.25">
      <c r="A267" t="s">
        <v>18665</v>
      </c>
      <c r="B267" t="s">
        <v>18666</v>
      </c>
      <c r="C267" t="s">
        <v>18667</v>
      </c>
      <c r="D267" t="s">
        <v>972</v>
      </c>
      <c r="E267" t="s">
        <v>269</v>
      </c>
      <c r="F267" t="s">
        <v>971</v>
      </c>
    </row>
    <row r="268" spans="1:6" x14ac:dyDescent="0.25">
      <c r="A268" t="s">
        <v>18668</v>
      </c>
      <c r="B268" t="s">
        <v>18669</v>
      </c>
      <c r="C268" t="s">
        <v>18670</v>
      </c>
      <c r="D268" t="s">
        <v>440</v>
      </c>
      <c r="E268" t="s">
        <v>271</v>
      </c>
      <c r="F268" t="s">
        <v>441</v>
      </c>
    </row>
    <row r="269" spans="1:6" x14ac:dyDescent="0.25">
      <c r="A269" t="s">
        <v>18671</v>
      </c>
      <c r="B269" t="s">
        <v>18672</v>
      </c>
      <c r="C269" t="s">
        <v>18673</v>
      </c>
      <c r="D269" t="s">
        <v>0</v>
      </c>
      <c r="E269" t="s">
        <v>271</v>
      </c>
      <c r="F269" t="s">
        <v>323</v>
      </c>
    </row>
    <row r="270" spans="1:6" x14ac:dyDescent="0.25">
      <c r="A270" t="s">
        <v>18674</v>
      </c>
      <c r="B270" t="s">
        <v>18675</v>
      </c>
      <c r="C270" t="s">
        <v>18676</v>
      </c>
      <c r="D270" t="s">
        <v>498</v>
      </c>
      <c r="E270" t="s">
        <v>271</v>
      </c>
      <c r="F270" t="s">
        <v>926</v>
      </c>
    </row>
    <row r="271" spans="1:6" x14ac:dyDescent="0.25">
      <c r="A271" t="s">
        <v>18677</v>
      </c>
      <c r="B271" t="s">
        <v>18678</v>
      </c>
      <c r="C271" t="s">
        <v>18679</v>
      </c>
      <c r="D271" t="s">
        <v>18680</v>
      </c>
      <c r="E271" t="s">
        <v>271</v>
      </c>
      <c r="F271" t="s">
        <v>1878</v>
      </c>
    </row>
    <row r="272" spans="1:6" x14ac:dyDescent="0.25">
      <c r="A272" t="s">
        <v>18681</v>
      </c>
      <c r="B272" t="s">
        <v>18682</v>
      </c>
      <c r="C272" t="s">
        <v>18683</v>
      </c>
      <c r="D272" t="s">
        <v>18684</v>
      </c>
      <c r="E272" t="s">
        <v>271</v>
      </c>
      <c r="F272" t="s">
        <v>18685</v>
      </c>
    </row>
    <row r="273" spans="1:6" x14ac:dyDescent="0.25">
      <c r="A273" t="s">
        <v>18686</v>
      </c>
      <c r="B273" t="s">
        <v>18687</v>
      </c>
      <c r="C273" t="s">
        <v>18688</v>
      </c>
      <c r="D273" t="s">
        <v>586</v>
      </c>
      <c r="E273" t="s">
        <v>271</v>
      </c>
      <c r="F273" t="s">
        <v>334</v>
      </c>
    </row>
    <row r="274" spans="1:6" x14ac:dyDescent="0.25">
      <c r="A274" t="s">
        <v>18689</v>
      </c>
      <c r="B274" t="s">
        <v>18537</v>
      </c>
      <c r="C274" t="s">
        <v>18690</v>
      </c>
      <c r="D274" t="s">
        <v>845</v>
      </c>
      <c r="E274" t="s">
        <v>271</v>
      </c>
      <c r="F274" t="s">
        <v>844</v>
      </c>
    </row>
    <row r="275" spans="1:6" x14ac:dyDescent="0.25">
      <c r="A275" t="s">
        <v>18691</v>
      </c>
      <c r="B275" t="s">
        <v>18692</v>
      </c>
      <c r="C275" t="s">
        <v>18693</v>
      </c>
      <c r="D275" t="s">
        <v>492</v>
      </c>
      <c r="E275" t="s">
        <v>271</v>
      </c>
      <c r="F275" t="s">
        <v>493</v>
      </c>
    </row>
    <row r="276" spans="1:6" x14ac:dyDescent="0.25">
      <c r="A276" t="s">
        <v>18694</v>
      </c>
      <c r="B276" t="s">
        <v>18695</v>
      </c>
      <c r="C276" t="s">
        <v>18696</v>
      </c>
      <c r="D276" t="s">
        <v>510</v>
      </c>
      <c r="E276" t="s">
        <v>271</v>
      </c>
      <c r="F276" t="s">
        <v>511</v>
      </c>
    </row>
    <row r="277" spans="1:6" x14ac:dyDescent="0.25">
      <c r="A277" t="s">
        <v>18697</v>
      </c>
      <c r="B277" t="s">
        <v>18698</v>
      </c>
      <c r="C277" t="s">
        <v>18699</v>
      </c>
      <c r="D277" t="s">
        <v>2769</v>
      </c>
      <c r="E277" t="s">
        <v>271</v>
      </c>
      <c r="F277" t="s">
        <v>3635</v>
      </c>
    </row>
    <row r="278" spans="1:6" x14ac:dyDescent="0.25">
      <c r="A278" t="s">
        <v>4194</v>
      </c>
      <c r="B278" t="s">
        <v>4195</v>
      </c>
      <c r="C278" t="s">
        <v>4059</v>
      </c>
      <c r="D278" t="s">
        <v>282</v>
      </c>
      <c r="E278" t="s">
        <v>271</v>
      </c>
      <c r="F278" t="s">
        <v>1191</v>
      </c>
    </row>
    <row r="279" spans="1:6" x14ac:dyDescent="0.25">
      <c r="A279" t="s">
        <v>18700</v>
      </c>
      <c r="B279" t="s">
        <v>18701</v>
      </c>
      <c r="C279" t="s">
        <v>18702</v>
      </c>
      <c r="D279" t="s">
        <v>556</v>
      </c>
      <c r="E279" t="s">
        <v>271</v>
      </c>
      <c r="F279" t="s">
        <v>1567</v>
      </c>
    </row>
    <row r="280" spans="1:6" x14ac:dyDescent="0.25">
      <c r="A280" t="s">
        <v>18703</v>
      </c>
      <c r="B280" t="s">
        <v>18704</v>
      </c>
      <c r="C280" t="s">
        <v>18705</v>
      </c>
      <c r="D280" t="s">
        <v>0</v>
      </c>
      <c r="E280" t="s">
        <v>271</v>
      </c>
      <c r="F280" t="s">
        <v>319</v>
      </c>
    </row>
    <row r="281" spans="1:6" x14ac:dyDescent="0.25">
      <c r="A281" t="s">
        <v>18706</v>
      </c>
      <c r="B281" t="s">
        <v>18707</v>
      </c>
      <c r="C281" t="s">
        <v>18305</v>
      </c>
      <c r="D281" t="s">
        <v>1542</v>
      </c>
      <c r="E281" t="s">
        <v>269</v>
      </c>
      <c r="F281" t="s">
        <v>1541</v>
      </c>
    </row>
    <row r="282" spans="1:6" x14ac:dyDescent="0.25">
      <c r="A282" t="s">
        <v>4113</v>
      </c>
      <c r="B282" t="s">
        <v>4114</v>
      </c>
      <c r="C282" t="s">
        <v>4115</v>
      </c>
      <c r="D282" t="s">
        <v>1915</v>
      </c>
      <c r="E282" t="s">
        <v>269</v>
      </c>
      <c r="F282" t="s">
        <v>1914</v>
      </c>
    </row>
    <row r="283" spans="1:6" x14ac:dyDescent="0.25">
      <c r="A283" t="s">
        <v>18708</v>
      </c>
      <c r="B283" t="s">
        <v>18709</v>
      </c>
      <c r="C283" t="s">
        <v>18710</v>
      </c>
      <c r="D283" t="s">
        <v>566</v>
      </c>
      <c r="E283" t="s">
        <v>271</v>
      </c>
      <c r="F283" t="s">
        <v>567</v>
      </c>
    </row>
    <row r="284" spans="1:6" x14ac:dyDescent="0.25">
      <c r="A284" t="s">
        <v>18711</v>
      </c>
      <c r="B284" t="s">
        <v>18712</v>
      </c>
      <c r="C284" t="s">
        <v>18713</v>
      </c>
      <c r="D284" t="s">
        <v>450</v>
      </c>
      <c r="E284" t="s">
        <v>271</v>
      </c>
      <c r="F284" t="s">
        <v>326</v>
      </c>
    </row>
    <row r="285" spans="1:6" x14ac:dyDescent="0.25">
      <c r="A285" t="s">
        <v>18714</v>
      </c>
      <c r="B285" t="s">
        <v>18715</v>
      </c>
      <c r="C285" t="s">
        <v>18716</v>
      </c>
      <c r="D285" t="s">
        <v>1665</v>
      </c>
      <c r="E285" t="s">
        <v>271</v>
      </c>
      <c r="F285" t="s">
        <v>1664</v>
      </c>
    </row>
    <row r="286" spans="1:6" x14ac:dyDescent="0.25">
      <c r="A286" t="s">
        <v>18717</v>
      </c>
      <c r="B286" t="s">
        <v>18718</v>
      </c>
      <c r="C286" t="s">
        <v>18719</v>
      </c>
      <c r="D286" t="s">
        <v>1079</v>
      </c>
      <c r="E286" t="s">
        <v>271</v>
      </c>
      <c r="F286" t="s">
        <v>3880</v>
      </c>
    </row>
    <row r="287" spans="1:6" x14ac:dyDescent="0.25">
      <c r="A287" t="s">
        <v>18720</v>
      </c>
      <c r="B287" t="s">
        <v>18721</v>
      </c>
      <c r="C287" t="s">
        <v>18722</v>
      </c>
      <c r="D287" t="s">
        <v>312</v>
      </c>
      <c r="E287" t="s">
        <v>271</v>
      </c>
      <c r="F287" t="s">
        <v>311</v>
      </c>
    </row>
    <row r="288" spans="1:6" x14ac:dyDescent="0.25">
      <c r="A288" t="s">
        <v>18723</v>
      </c>
      <c r="B288" t="s">
        <v>18724</v>
      </c>
      <c r="C288" t="s">
        <v>18725</v>
      </c>
      <c r="D288" t="s">
        <v>1317</v>
      </c>
      <c r="E288" t="s">
        <v>271</v>
      </c>
      <c r="F288" t="s">
        <v>1316</v>
      </c>
    </row>
    <row r="289" spans="1:6" x14ac:dyDescent="0.25">
      <c r="A289" t="s">
        <v>18726</v>
      </c>
      <c r="B289" t="s">
        <v>18727</v>
      </c>
      <c r="C289" t="s">
        <v>18728</v>
      </c>
      <c r="D289" t="s">
        <v>1059</v>
      </c>
      <c r="E289" t="s">
        <v>271</v>
      </c>
      <c r="F289" t="s">
        <v>1058</v>
      </c>
    </row>
    <row r="290" spans="1:6" x14ac:dyDescent="0.25">
      <c r="A290" t="s">
        <v>18729</v>
      </c>
      <c r="B290" t="s">
        <v>18730</v>
      </c>
      <c r="C290" t="s">
        <v>18731</v>
      </c>
      <c r="D290" t="s">
        <v>1210</v>
      </c>
      <c r="E290" t="s">
        <v>271</v>
      </c>
      <c r="F290" t="s">
        <v>1209</v>
      </c>
    </row>
    <row r="291" spans="1:6" x14ac:dyDescent="0.25">
      <c r="A291" t="s">
        <v>18732</v>
      </c>
      <c r="B291" t="s">
        <v>18733</v>
      </c>
      <c r="C291" t="s">
        <v>18734</v>
      </c>
      <c r="D291" t="s">
        <v>3022</v>
      </c>
      <c r="E291" t="s">
        <v>271</v>
      </c>
      <c r="F291" t="s">
        <v>3021</v>
      </c>
    </row>
    <row r="292" spans="1:6" x14ac:dyDescent="0.25">
      <c r="A292" t="s">
        <v>18735</v>
      </c>
      <c r="B292" t="s">
        <v>18736</v>
      </c>
      <c r="C292" t="s">
        <v>18425</v>
      </c>
      <c r="D292" t="s">
        <v>2471</v>
      </c>
      <c r="E292" t="s">
        <v>271</v>
      </c>
      <c r="F292" t="s">
        <v>2470</v>
      </c>
    </row>
    <row r="293" spans="1:6" x14ac:dyDescent="0.25">
      <c r="A293" t="s">
        <v>18737</v>
      </c>
      <c r="B293" t="s">
        <v>18223</v>
      </c>
      <c r="C293" t="s">
        <v>18584</v>
      </c>
      <c r="D293" t="s">
        <v>6689</v>
      </c>
      <c r="E293" t="s">
        <v>269</v>
      </c>
      <c r="F293" t="s">
        <v>6690</v>
      </c>
    </row>
    <row r="294" spans="1:6" x14ac:dyDescent="0.25">
      <c r="A294" t="s">
        <v>18738</v>
      </c>
      <c r="B294" t="s">
        <v>18739</v>
      </c>
      <c r="C294" t="s">
        <v>18740</v>
      </c>
      <c r="D294" t="s">
        <v>237</v>
      </c>
      <c r="E294" t="s">
        <v>271</v>
      </c>
      <c r="F294" t="s">
        <v>427</v>
      </c>
    </row>
    <row r="295" spans="1:6" x14ac:dyDescent="0.25">
      <c r="A295" t="s">
        <v>18741</v>
      </c>
      <c r="B295" t="s">
        <v>18742</v>
      </c>
      <c r="C295" t="s">
        <v>18743</v>
      </c>
      <c r="D295" t="s">
        <v>1915</v>
      </c>
      <c r="E295" t="s">
        <v>269</v>
      </c>
      <c r="F295" t="s">
        <v>1914</v>
      </c>
    </row>
    <row r="296" spans="1:6" x14ac:dyDescent="0.25">
      <c r="A296" t="s">
        <v>18744</v>
      </c>
      <c r="B296" t="s">
        <v>18745</v>
      </c>
      <c r="C296" t="s">
        <v>18746</v>
      </c>
      <c r="D296" t="s">
        <v>1303</v>
      </c>
      <c r="E296" t="s">
        <v>269</v>
      </c>
      <c r="F296" t="s">
        <v>1302</v>
      </c>
    </row>
    <row r="297" spans="1:6" x14ac:dyDescent="0.25">
      <c r="A297" t="s">
        <v>18747</v>
      </c>
      <c r="B297" t="s">
        <v>18748</v>
      </c>
      <c r="C297" t="s">
        <v>18749</v>
      </c>
      <c r="D297" t="s">
        <v>0</v>
      </c>
      <c r="E297" t="s">
        <v>271</v>
      </c>
      <c r="F297" t="s">
        <v>1214</v>
      </c>
    </row>
    <row r="298" spans="1:6" x14ac:dyDescent="0.25">
      <c r="A298" t="s">
        <v>3838</v>
      </c>
      <c r="B298" t="s">
        <v>3839</v>
      </c>
      <c r="C298" t="s">
        <v>3840</v>
      </c>
      <c r="D298" t="s">
        <v>272</v>
      </c>
      <c r="E298" t="s">
        <v>269</v>
      </c>
      <c r="F298" t="s">
        <v>907</v>
      </c>
    </row>
    <row r="299" spans="1:6" x14ac:dyDescent="0.25">
      <c r="A299" t="s">
        <v>18750</v>
      </c>
      <c r="B299" t="s">
        <v>18751</v>
      </c>
      <c r="C299" t="s">
        <v>18752</v>
      </c>
      <c r="D299" t="s">
        <v>668</v>
      </c>
      <c r="E299" t="s">
        <v>271</v>
      </c>
      <c r="F299" t="s">
        <v>667</v>
      </c>
    </row>
    <row r="300" spans="1:6" x14ac:dyDescent="0.25">
      <c r="A300" t="s">
        <v>18753</v>
      </c>
      <c r="B300" t="s">
        <v>18754</v>
      </c>
      <c r="C300" t="s">
        <v>606</v>
      </c>
      <c r="D300" t="s">
        <v>540</v>
      </c>
      <c r="E300" t="s">
        <v>271</v>
      </c>
      <c r="F300" t="s">
        <v>339</v>
      </c>
    </row>
    <row r="301" spans="1:6" x14ac:dyDescent="0.25">
      <c r="A301" t="s">
        <v>18755</v>
      </c>
      <c r="B301" t="s">
        <v>18756</v>
      </c>
      <c r="C301" t="s">
        <v>18757</v>
      </c>
      <c r="D301" t="s">
        <v>237</v>
      </c>
      <c r="E301" t="s">
        <v>271</v>
      </c>
      <c r="F301" t="s">
        <v>427</v>
      </c>
    </row>
    <row r="302" spans="1:6" x14ac:dyDescent="0.25">
      <c r="A302" t="s">
        <v>18758</v>
      </c>
      <c r="B302" t="s">
        <v>18759</v>
      </c>
      <c r="C302" t="s">
        <v>18428</v>
      </c>
      <c r="D302" t="s">
        <v>0</v>
      </c>
      <c r="E302" t="s">
        <v>271</v>
      </c>
      <c r="F302" t="s">
        <v>323</v>
      </c>
    </row>
    <row r="303" spans="1:6" x14ac:dyDescent="0.25">
      <c r="A303" t="s">
        <v>18760</v>
      </c>
      <c r="B303" t="s">
        <v>18761</v>
      </c>
      <c r="C303" t="s">
        <v>18762</v>
      </c>
      <c r="D303" t="s">
        <v>1485</v>
      </c>
      <c r="E303" t="s">
        <v>271</v>
      </c>
      <c r="F303" t="s">
        <v>1519</v>
      </c>
    </row>
    <row r="304" spans="1:6" x14ac:dyDescent="0.25">
      <c r="A304" t="s">
        <v>18763</v>
      </c>
      <c r="B304" t="s">
        <v>18764</v>
      </c>
      <c r="C304" t="s">
        <v>18765</v>
      </c>
      <c r="D304" t="s">
        <v>0</v>
      </c>
      <c r="E304" t="s">
        <v>271</v>
      </c>
      <c r="F304" t="s">
        <v>355</v>
      </c>
    </row>
    <row r="305" spans="1:6" x14ac:dyDescent="0.25">
      <c r="A305" t="s">
        <v>18766</v>
      </c>
      <c r="B305" t="s">
        <v>18767</v>
      </c>
      <c r="C305" t="s">
        <v>8270</v>
      </c>
      <c r="D305" t="s">
        <v>2093</v>
      </c>
      <c r="E305" t="s">
        <v>271</v>
      </c>
      <c r="F305" t="s">
        <v>1058</v>
      </c>
    </row>
    <row r="306" spans="1:6" x14ac:dyDescent="0.25">
      <c r="A306" t="s">
        <v>3853</v>
      </c>
      <c r="B306" t="s">
        <v>3854</v>
      </c>
      <c r="C306" t="s">
        <v>3855</v>
      </c>
      <c r="D306" t="s">
        <v>503</v>
      </c>
      <c r="E306" t="s">
        <v>271</v>
      </c>
      <c r="F306" t="s">
        <v>504</v>
      </c>
    </row>
    <row r="307" spans="1:6" x14ac:dyDescent="0.25">
      <c r="A307" t="s">
        <v>18768</v>
      </c>
      <c r="B307" t="s">
        <v>18769</v>
      </c>
      <c r="C307" t="s">
        <v>18770</v>
      </c>
      <c r="D307" t="s">
        <v>357</v>
      </c>
      <c r="E307" t="s">
        <v>271</v>
      </c>
      <c r="F307" t="s">
        <v>452</v>
      </c>
    </row>
    <row r="308" spans="1:6" x14ac:dyDescent="0.25">
      <c r="A308" t="s">
        <v>18771</v>
      </c>
      <c r="B308" t="s">
        <v>18772</v>
      </c>
      <c r="C308" t="s">
        <v>18773</v>
      </c>
      <c r="D308" t="s">
        <v>1925</v>
      </c>
      <c r="E308" t="s">
        <v>271</v>
      </c>
      <c r="F308" t="s">
        <v>1924</v>
      </c>
    </row>
    <row r="309" spans="1:6" x14ac:dyDescent="0.25">
      <c r="A309" t="s">
        <v>18774</v>
      </c>
      <c r="B309" t="s">
        <v>18775</v>
      </c>
      <c r="C309" t="s">
        <v>18776</v>
      </c>
      <c r="D309" t="s">
        <v>586</v>
      </c>
      <c r="E309" t="s">
        <v>271</v>
      </c>
      <c r="F309" t="s">
        <v>334</v>
      </c>
    </row>
    <row r="310" spans="1:6" x14ac:dyDescent="0.25">
      <c r="A310" t="s">
        <v>4228</v>
      </c>
      <c r="B310" t="s">
        <v>4229</v>
      </c>
      <c r="C310" t="s">
        <v>4230</v>
      </c>
      <c r="D310" t="s">
        <v>1973</v>
      </c>
      <c r="E310" t="s">
        <v>271</v>
      </c>
      <c r="F310" t="s">
        <v>1972</v>
      </c>
    </row>
    <row r="311" spans="1:6" x14ac:dyDescent="0.25">
      <c r="A311" t="s">
        <v>18777</v>
      </c>
      <c r="B311" t="s">
        <v>18778</v>
      </c>
      <c r="C311" t="s">
        <v>18779</v>
      </c>
      <c r="D311" t="s">
        <v>272</v>
      </c>
      <c r="E311" t="s">
        <v>269</v>
      </c>
      <c r="F311" t="s">
        <v>907</v>
      </c>
    </row>
    <row r="312" spans="1:6" x14ac:dyDescent="0.25">
      <c r="A312" t="s">
        <v>18780</v>
      </c>
      <c r="B312" t="s">
        <v>18781</v>
      </c>
      <c r="C312" t="s">
        <v>18782</v>
      </c>
      <c r="D312" t="s">
        <v>793</v>
      </c>
      <c r="E312" t="s">
        <v>271</v>
      </c>
      <c r="F312" t="s">
        <v>792</v>
      </c>
    </row>
    <row r="313" spans="1:6" x14ac:dyDescent="0.25">
      <c r="A313" t="s">
        <v>18783</v>
      </c>
      <c r="B313" t="s">
        <v>18784</v>
      </c>
      <c r="C313" t="s">
        <v>18785</v>
      </c>
      <c r="D313" t="s">
        <v>4066</v>
      </c>
      <c r="E313" t="s">
        <v>271</v>
      </c>
      <c r="F313" t="s">
        <v>2470</v>
      </c>
    </row>
    <row r="314" spans="1:6" x14ac:dyDescent="0.25">
      <c r="A314" t="s">
        <v>18786</v>
      </c>
      <c r="B314" t="s">
        <v>18787</v>
      </c>
      <c r="C314" t="s">
        <v>18788</v>
      </c>
      <c r="D314" t="s">
        <v>616</v>
      </c>
      <c r="E314" t="s">
        <v>271</v>
      </c>
      <c r="F314" t="s">
        <v>333</v>
      </c>
    </row>
    <row r="315" spans="1:6" x14ac:dyDescent="0.25">
      <c r="A315" t="s">
        <v>4260</v>
      </c>
      <c r="B315" t="s">
        <v>4261</v>
      </c>
      <c r="C315" t="s">
        <v>4263</v>
      </c>
      <c r="D315" t="s">
        <v>0</v>
      </c>
      <c r="E315" t="s">
        <v>271</v>
      </c>
      <c r="F315" t="s">
        <v>1180</v>
      </c>
    </row>
    <row r="316" spans="1:6" x14ac:dyDescent="0.25">
      <c r="A316" t="s">
        <v>18789</v>
      </c>
      <c r="B316" t="s">
        <v>18790</v>
      </c>
      <c r="C316" t="s">
        <v>18791</v>
      </c>
      <c r="D316" t="s">
        <v>0</v>
      </c>
      <c r="E316" t="s">
        <v>271</v>
      </c>
      <c r="F316" t="s">
        <v>436</v>
      </c>
    </row>
    <row r="317" spans="1:6" x14ac:dyDescent="0.25">
      <c r="A317" t="s">
        <v>18792</v>
      </c>
      <c r="B317" t="s">
        <v>18793</v>
      </c>
      <c r="C317" t="s">
        <v>18794</v>
      </c>
      <c r="D317" t="s">
        <v>1186</v>
      </c>
      <c r="E317" t="s">
        <v>271</v>
      </c>
      <c r="F317" t="s">
        <v>1185</v>
      </c>
    </row>
    <row r="318" spans="1:6" x14ac:dyDescent="0.25">
      <c r="A318" t="s">
        <v>18795</v>
      </c>
      <c r="B318" t="s">
        <v>18796</v>
      </c>
      <c r="C318" t="s">
        <v>18797</v>
      </c>
      <c r="D318" t="s">
        <v>0</v>
      </c>
      <c r="E318" t="s">
        <v>271</v>
      </c>
      <c r="F318" t="s">
        <v>1152</v>
      </c>
    </row>
    <row r="319" spans="1:6" x14ac:dyDescent="0.25">
      <c r="A319" t="s">
        <v>18798</v>
      </c>
      <c r="B319" t="s">
        <v>18799</v>
      </c>
      <c r="C319" t="s">
        <v>18655</v>
      </c>
      <c r="D319" t="s">
        <v>0</v>
      </c>
      <c r="E319" t="s">
        <v>271</v>
      </c>
      <c r="F319" t="s">
        <v>356</v>
      </c>
    </row>
    <row r="320" spans="1:6" x14ac:dyDescent="0.25">
      <c r="A320" t="s">
        <v>18800</v>
      </c>
      <c r="B320" t="s">
        <v>18801</v>
      </c>
      <c r="C320" t="s">
        <v>18802</v>
      </c>
      <c r="D320" t="s">
        <v>2714</v>
      </c>
      <c r="E320" t="s">
        <v>271</v>
      </c>
      <c r="F320" t="s">
        <v>2713</v>
      </c>
    </row>
    <row r="321" spans="1:6" x14ac:dyDescent="0.25">
      <c r="A321" t="s">
        <v>18803</v>
      </c>
      <c r="B321" t="s">
        <v>18804</v>
      </c>
      <c r="C321" t="s">
        <v>18805</v>
      </c>
      <c r="D321" t="s">
        <v>0</v>
      </c>
      <c r="E321" t="s">
        <v>271</v>
      </c>
      <c r="F321" t="s">
        <v>436</v>
      </c>
    </row>
    <row r="322" spans="1:6" x14ac:dyDescent="0.25">
      <c r="A322" t="s">
        <v>18806</v>
      </c>
      <c r="B322" t="s">
        <v>18807</v>
      </c>
      <c r="C322" t="s">
        <v>18808</v>
      </c>
      <c r="D322" t="s">
        <v>2637</v>
      </c>
      <c r="E322" t="s">
        <v>271</v>
      </c>
      <c r="F322" t="s">
        <v>2636</v>
      </c>
    </row>
    <row r="323" spans="1:6" x14ac:dyDescent="0.25">
      <c r="A323" t="s">
        <v>18809</v>
      </c>
      <c r="B323" t="s">
        <v>18810</v>
      </c>
      <c r="C323" t="s">
        <v>18811</v>
      </c>
      <c r="D323" t="s">
        <v>972</v>
      </c>
      <c r="E323" t="s">
        <v>269</v>
      </c>
      <c r="F323" t="s">
        <v>971</v>
      </c>
    </row>
    <row r="324" spans="1:6" x14ac:dyDescent="0.25">
      <c r="A324" t="s">
        <v>18812</v>
      </c>
      <c r="B324" t="s">
        <v>18813</v>
      </c>
      <c r="C324" t="s">
        <v>18814</v>
      </c>
      <c r="D324" t="s">
        <v>0</v>
      </c>
      <c r="E324" t="s">
        <v>271</v>
      </c>
      <c r="F324" t="s">
        <v>1148</v>
      </c>
    </row>
    <row r="325" spans="1:6" x14ac:dyDescent="0.25">
      <c r="A325" t="s">
        <v>18815</v>
      </c>
      <c r="B325" t="s">
        <v>18816</v>
      </c>
      <c r="C325" t="s">
        <v>18817</v>
      </c>
      <c r="D325" t="s">
        <v>4066</v>
      </c>
      <c r="E325" t="s">
        <v>271</v>
      </c>
      <c r="F325" t="s">
        <v>2470</v>
      </c>
    </row>
    <row r="326" spans="1:6" x14ac:dyDescent="0.25">
      <c r="A326" t="s">
        <v>18818</v>
      </c>
      <c r="B326" t="s">
        <v>18819</v>
      </c>
      <c r="C326" t="s">
        <v>18820</v>
      </c>
      <c r="D326" t="s">
        <v>830</v>
      </c>
      <c r="E326" t="s">
        <v>271</v>
      </c>
      <c r="F326" t="s">
        <v>829</v>
      </c>
    </row>
    <row r="327" spans="1:6" x14ac:dyDescent="0.25">
      <c r="A327" t="s">
        <v>18821</v>
      </c>
      <c r="B327" t="s">
        <v>18822</v>
      </c>
      <c r="C327" t="s">
        <v>18823</v>
      </c>
      <c r="D327" t="s">
        <v>18824</v>
      </c>
      <c r="E327" t="s">
        <v>271</v>
      </c>
      <c r="F327" t="s">
        <v>18825</v>
      </c>
    </row>
    <row r="328" spans="1:6" x14ac:dyDescent="0.25">
      <c r="A328" t="s">
        <v>18826</v>
      </c>
      <c r="B328" t="s">
        <v>18827</v>
      </c>
      <c r="C328" t="s">
        <v>18828</v>
      </c>
      <c r="D328" t="s">
        <v>1303</v>
      </c>
      <c r="E328" t="s">
        <v>269</v>
      </c>
      <c r="F328" t="s">
        <v>1302</v>
      </c>
    </row>
    <row r="329" spans="1:6" x14ac:dyDescent="0.25">
      <c r="A329" t="s">
        <v>18829</v>
      </c>
      <c r="B329" t="s">
        <v>18830</v>
      </c>
      <c r="C329" t="s">
        <v>18831</v>
      </c>
      <c r="D329" t="s">
        <v>1862</v>
      </c>
      <c r="E329" t="s">
        <v>271</v>
      </c>
      <c r="F329" t="s">
        <v>1861</v>
      </c>
    </row>
    <row r="330" spans="1:6" x14ac:dyDescent="0.25">
      <c r="A330" t="s">
        <v>3865</v>
      </c>
      <c r="B330" t="s">
        <v>3866</v>
      </c>
      <c r="C330" t="s">
        <v>3868</v>
      </c>
      <c r="D330" t="s">
        <v>0</v>
      </c>
      <c r="E330" t="s">
        <v>271</v>
      </c>
      <c r="F330" t="s">
        <v>881</v>
      </c>
    </row>
    <row r="331" spans="1:6" x14ac:dyDescent="0.25">
      <c r="A331" t="s">
        <v>18832</v>
      </c>
      <c r="B331" t="s">
        <v>18833</v>
      </c>
      <c r="C331" t="s">
        <v>18834</v>
      </c>
      <c r="D331" t="s">
        <v>0</v>
      </c>
      <c r="E331" t="s">
        <v>271</v>
      </c>
      <c r="F331" t="s">
        <v>731</v>
      </c>
    </row>
    <row r="332" spans="1:6" x14ac:dyDescent="0.25">
      <c r="A332" t="s">
        <v>18835</v>
      </c>
      <c r="B332" t="s">
        <v>18836</v>
      </c>
      <c r="C332" t="s">
        <v>18837</v>
      </c>
      <c r="D332" t="s">
        <v>492</v>
      </c>
      <c r="E332" t="s">
        <v>271</v>
      </c>
      <c r="F332" t="s">
        <v>493</v>
      </c>
    </row>
    <row r="333" spans="1:6" x14ac:dyDescent="0.25">
      <c r="A333" t="s">
        <v>18838</v>
      </c>
      <c r="B333" t="s">
        <v>18839</v>
      </c>
      <c r="C333" t="s">
        <v>18840</v>
      </c>
      <c r="D333" t="s">
        <v>0</v>
      </c>
      <c r="E333" t="s">
        <v>271</v>
      </c>
      <c r="F333" t="s">
        <v>658</v>
      </c>
    </row>
    <row r="334" spans="1:6" x14ac:dyDescent="0.25">
      <c r="A334" t="s">
        <v>18841</v>
      </c>
      <c r="B334" t="s">
        <v>18842</v>
      </c>
      <c r="C334" t="s">
        <v>18843</v>
      </c>
      <c r="D334" t="s">
        <v>377</v>
      </c>
      <c r="E334" t="s">
        <v>269</v>
      </c>
      <c r="F334" t="s">
        <v>1786</v>
      </c>
    </row>
    <row r="335" spans="1:6" x14ac:dyDescent="0.25">
      <c r="A335" t="s">
        <v>18844</v>
      </c>
      <c r="B335" t="s">
        <v>18845</v>
      </c>
      <c r="C335" t="s">
        <v>18425</v>
      </c>
      <c r="D335" t="s">
        <v>2471</v>
      </c>
      <c r="E335" t="s">
        <v>271</v>
      </c>
      <c r="F335" t="s">
        <v>2470</v>
      </c>
    </row>
    <row r="336" spans="1:6" x14ac:dyDescent="0.25">
      <c r="A336" t="s">
        <v>18846</v>
      </c>
      <c r="B336" t="s">
        <v>18847</v>
      </c>
      <c r="C336" t="s">
        <v>18848</v>
      </c>
      <c r="D336" t="s">
        <v>246</v>
      </c>
      <c r="E336" t="s">
        <v>271</v>
      </c>
      <c r="F336" t="s">
        <v>426</v>
      </c>
    </row>
    <row r="337" spans="1:6" x14ac:dyDescent="0.25">
      <c r="A337" t="s">
        <v>18849</v>
      </c>
      <c r="B337" t="s">
        <v>18850</v>
      </c>
      <c r="C337" t="s">
        <v>18851</v>
      </c>
      <c r="D337" t="s">
        <v>0</v>
      </c>
      <c r="E337" t="s">
        <v>271</v>
      </c>
      <c r="F337" t="s">
        <v>1214</v>
      </c>
    </row>
    <row r="338" spans="1:6" x14ac:dyDescent="0.25">
      <c r="A338" t="s">
        <v>18852</v>
      </c>
      <c r="B338" t="s">
        <v>5762</v>
      </c>
      <c r="C338" t="s">
        <v>18853</v>
      </c>
      <c r="D338" t="s">
        <v>0</v>
      </c>
      <c r="E338" t="s">
        <v>271</v>
      </c>
      <c r="F338" t="s">
        <v>1152</v>
      </c>
    </row>
    <row r="339" spans="1:6" x14ac:dyDescent="0.25">
      <c r="A339" t="s">
        <v>18854</v>
      </c>
      <c r="B339" t="s">
        <v>14290</v>
      </c>
      <c r="C339" t="s">
        <v>18855</v>
      </c>
      <c r="D339" t="s">
        <v>1683</v>
      </c>
      <c r="E339" t="s">
        <v>271</v>
      </c>
      <c r="F339" t="s">
        <v>996</v>
      </c>
    </row>
    <row r="340" spans="1:6" x14ac:dyDescent="0.25">
      <c r="A340" t="s">
        <v>18856</v>
      </c>
      <c r="B340" t="s">
        <v>18857</v>
      </c>
      <c r="C340" t="s">
        <v>18858</v>
      </c>
      <c r="D340" t="s">
        <v>1019</v>
      </c>
      <c r="E340" t="s">
        <v>271</v>
      </c>
      <c r="F340" t="s">
        <v>1018</v>
      </c>
    </row>
    <row r="341" spans="1:6" x14ac:dyDescent="0.25">
      <c r="A341" t="s">
        <v>18859</v>
      </c>
      <c r="B341" t="s">
        <v>18860</v>
      </c>
      <c r="C341" t="s">
        <v>18861</v>
      </c>
      <c r="D341" t="s">
        <v>1648</v>
      </c>
      <c r="E341" t="s">
        <v>271</v>
      </c>
      <c r="F341" t="s">
        <v>1647</v>
      </c>
    </row>
    <row r="342" spans="1:6" x14ac:dyDescent="0.25">
      <c r="A342" t="s">
        <v>18862</v>
      </c>
      <c r="B342" t="s">
        <v>18863</v>
      </c>
      <c r="C342" t="s">
        <v>18864</v>
      </c>
      <c r="D342" t="s">
        <v>0</v>
      </c>
      <c r="E342" t="s">
        <v>271</v>
      </c>
      <c r="F342" t="s">
        <v>575</v>
      </c>
    </row>
    <row r="343" spans="1:6" x14ac:dyDescent="0.25">
      <c r="A343" t="s">
        <v>18865</v>
      </c>
      <c r="B343" t="s">
        <v>18866</v>
      </c>
      <c r="C343" t="s">
        <v>18867</v>
      </c>
      <c r="D343" t="s">
        <v>540</v>
      </c>
      <c r="E343" t="s">
        <v>271</v>
      </c>
      <c r="F343" t="s">
        <v>339</v>
      </c>
    </row>
    <row r="344" spans="1:6" x14ac:dyDescent="0.25">
      <c r="A344" t="s">
        <v>18868</v>
      </c>
      <c r="B344" t="s">
        <v>18869</v>
      </c>
      <c r="C344" t="s">
        <v>18870</v>
      </c>
      <c r="D344" t="s">
        <v>314</v>
      </c>
      <c r="E344" t="s">
        <v>271</v>
      </c>
      <c r="F344" t="s">
        <v>352</v>
      </c>
    </row>
    <row r="345" spans="1:6" x14ac:dyDescent="0.25">
      <c r="A345" t="s">
        <v>18871</v>
      </c>
      <c r="B345" t="s">
        <v>18872</v>
      </c>
      <c r="C345" t="s">
        <v>18873</v>
      </c>
      <c r="D345" t="s">
        <v>0</v>
      </c>
      <c r="E345" t="s">
        <v>271</v>
      </c>
      <c r="F345" t="s">
        <v>688</v>
      </c>
    </row>
    <row r="346" spans="1:6" x14ac:dyDescent="0.25">
      <c r="A346" t="s">
        <v>18874</v>
      </c>
      <c r="B346" t="s">
        <v>18875</v>
      </c>
      <c r="C346" t="s">
        <v>18876</v>
      </c>
      <c r="D346" t="s">
        <v>2692</v>
      </c>
      <c r="E346" t="s">
        <v>269</v>
      </c>
      <c r="F346" t="s">
        <v>2691</v>
      </c>
    </row>
    <row r="347" spans="1:6" x14ac:dyDescent="0.25">
      <c r="A347" t="s">
        <v>18877</v>
      </c>
      <c r="B347" t="s">
        <v>18878</v>
      </c>
      <c r="C347" t="s">
        <v>18879</v>
      </c>
      <c r="D347" t="s">
        <v>0</v>
      </c>
      <c r="E347" t="s">
        <v>271</v>
      </c>
      <c r="F347" t="s">
        <v>3941</v>
      </c>
    </row>
    <row r="348" spans="1:6" x14ac:dyDescent="0.25">
      <c r="A348" t="s">
        <v>18880</v>
      </c>
      <c r="B348" t="s">
        <v>18881</v>
      </c>
      <c r="C348" t="s">
        <v>18882</v>
      </c>
      <c r="D348" t="s">
        <v>506</v>
      </c>
      <c r="E348" t="s">
        <v>271</v>
      </c>
      <c r="F348" t="s">
        <v>507</v>
      </c>
    </row>
    <row r="349" spans="1:6" x14ac:dyDescent="0.25">
      <c r="A349" t="s">
        <v>18883</v>
      </c>
      <c r="B349" t="s">
        <v>18884</v>
      </c>
      <c r="C349" t="s">
        <v>18885</v>
      </c>
      <c r="D349" t="s">
        <v>718</v>
      </c>
      <c r="E349" t="s">
        <v>271</v>
      </c>
      <c r="F349" t="s">
        <v>333</v>
      </c>
    </row>
    <row r="350" spans="1:6" x14ac:dyDescent="0.25">
      <c r="A350" t="s">
        <v>18886</v>
      </c>
      <c r="B350" t="s">
        <v>18887</v>
      </c>
      <c r="C350" t="s">
        <v>18888</v>
      </c>
      <c r="D350" t="s">
        <v>835</v>
      </c>
      <c r="E350" t="s">
        <v>269</v>
      </c>
      <c r="F350" t="s">
        <v>834</v>
      </c>
    </row>
    <row r="351" spans="1:6" x14ac:dyDescent="0.25">
      <c r="A351" t="s">
        <v>4159</v>
      </c>
      <c r="B351" t="s">
        <v>257</v>
      </c>
      <c r="C351" t="s">
        <v>4160</v>
      </c>
      <c r="D351" t="s">
        <v>675</v>
      </c>
      <c r="E351" t="s">
        <v>271</v>
      </c>
      <c r="F351" t="s">
        <v>674</v>
      </c>
    </row>
    <row r="352" spans="1:6" x14ac:dyDescent="0.25">
      <c r="A352" t="s">
        <v>18889</v>
      </c>
      <c r="B352" t="s">
        <v>18890</v>
      </c>
      <c r="C352" t="s">
        <v>18891</v>
      </c>
      <c r="D352" t="s">
        <v>0</v>
      </c>
      <c r="E352" t="s">
        <v>271</v>
      </c>
      <c r="F352" t="s">
        <v>1321</v>
      </c>
    </row>
    <row r="353" spans="1:6" x14ac:dyDescent="0.25">
      <c r="A353" t="s">
        <v>18892</v>
      </c>
      <c r="B353" t="s">
        <v>18893</v>
      </c>
      <c r="C353" t="s">
        <v>18894</v>
      </c>
      <c r="D353" t="s">
        <v>450</v>
      </c>
      <c r="E353" t="s">
        <v>271</v>
      </c>
      <c r="F353" t="s">
        <v>326</v>
      </c>
    </row>
    <row r="354" spans="1:6" x14ac:dyDescent="0.25">
      <c r="A354" t="s">
        <v>18895</v>
      </c>
      <c r="B354" t="s">
        <v>18896</v>
      </c>
      <c r="C354" t="s">
        <v>18897</v>
      </c>
      <c r="D354" t="s">
        <v>0</v>
      </c>
      <c r="E354" t="s">
        <v>271</v>
      </c>
      <c r="F354" t="s">
        <v>3941</v>
      </c>
    </row>
    <row r="355" spans="1:6" x14ac:dyDescent="0.25">
      <c r="A355" t="s">
        <v>18898</v>
      </c>
      <c r="B355" t="s">
        <v>18223</v>
      </c>
      <c r="C355" t="s">
        <v>18224</v>
      </c>
      <c r="D355" t="s">
        <v>6689</v>
      </c>
      <c r="E355" t="s">
        <v>269</v>
      </c>
      <c r="F355" t="s">
        <v>6690</v>
      </c>
    </row>
    <row r="356" spans="1:6" x14ac:dyDescent="0.25">
      <c r="A356" t="s">
        <v>4151</v>
      </c>
      <c r="B356" t="s">
        <v>4152</v>
      </c>
      <c r="C356" t="s">
        <v>4153</v>
      </c>
      <c r="D356" t="s">
        <v>0</v>
      </c>
      <c r="E356" t="s">
        <v>271</v>
      </c>
      <c r="F356" t="s">
        <v>436</v>
      </c>
    </row>
    <row r="357" spans="1:6" x14ac:dyDescent="0.25">
      <c r="A357" t="s">
        <v>3797</v>
      </c>
      <c r="B357" t="s">
        <v>3798</v>
      </c>
      <c r="C357" t="s">
        <v>3799</v>
      </c>
      <c r="D357" t="s">
        <v>0</v>
      </c>
      <c r="E357" t="s">
        <v>271</v>
      </c>
      <c r="F357" t="s">
        <v>726</v>
      </c>
    </row>
    <row r="358" spans="1:6" x14ac:dyDescent="0.25">
      <c r="A358" t="s">
        <v>18899</v>
      </c>
      <c r="B358" t="s">
        <v>18900</v>
      </c>
      <c r="C358" t="s">
        <v>18354</v>
      </c>
      <c r="D358" t="s">
        <v>718</v>
      </c>
      <c r="E358" t="s">
        <v>271</v>
      </c>
      <c r="F358" t="s">
        <v>333</v>
      </c>
    </row>
    <row r="359" spans="1:6" x14ac:dyDescent="0.25">
      <c r="A359" t="s">
        <v>18901</v>
      </c>
      <c r="B359" t="s">
        <v>18902</v>
      </c>
      <c r="C359" t="s">
        <v>18903</v>
      </c>
      <c r="D359" t="s">
        <v>830</v>
      </c>
      <c r="E359" t="s">
        <v>271</v>
      </c>
      <c r="F359" t="s">
        <v>829</v>
      </c>
    </row>
    <row r="360" spans="1:6" x14ac:dyDescent="0.25">
      <c r="A360" t="s">
        <v>18904</v>
      </c>
      <c r="B360" t="s">
        <v>18905</v>
      </c>
      <c r="C360" t="s">
        <v>3791</v>
      </c>
      <c r="D360" t="s">
        <v>598</v>
      </c>
      <c r="E360" t="s">
        <v>271</v>
      </c>
      <c r="F360" t="s">
        <v>599</v>
      </c>
    </row>
    <row r="361" spans="1:6" x14ac:dyDescent="0.25">
      <c r="A361" t="s">
        <v>18906</v>
      </c>
      <c r="B361" t="s">
        <v>18907</v>
      </c>
      <c r="C361" t="s">
        <v>18908</v>
      </c>
      <c r="D361" t="s">
        <v>314</v>
      </c>
      <c r="E361" t="s">
        <v>271</v>
      </c>
      <c r="F361" t="s">
        <v>370</v>
      </c>
    </row>
    <row r="362" spans="1:6" x14ac:dyDescent="0.25">
      <c r="A362" t="s">
        <v>18909</v>
      </c>
      <c r="B362" t="s">
        <v>18910</v>
      </c>
      <c r="C362" t="s">
        <v>18911</v>
      </c>
      <c r="D362" t="s">
        <v>378</v>
      </c>
      <c r="E362" t="s">
        <v>341</v>
      </c>
      <c r="F362" t="s">
        <v>397</v>
      </c>
    </row>
    <row r="363" spans="1:6" x14ac:dyDescent="0.25">
      <c r="A363" t="s">
        <v>18912</v>
      </c>
      <c r="B363" t="s">
        <v>18913</v>
      </c>
      <c r="C363" t="s">
        <v>18914</v>
      </c>
      <c r="D363" t="s">
        <v>793</v>
      </c>
      <c r="E363" t="s">
        <v>271</v>
      </c>
      <c r="F363" t="s">
        <v>792</v>
      </c>
    </row>
    <row r="364" spans="1:6" x14ac:dyDescent="0.25">
      <c r="A364" t="s">
        <v>18915</v>
      </c>
      <c r="B364" t="s">
        <v>9920</v>
      </c>
      <c r="C364" t="s">
        <v>9921</v>
      </c>
      <c r="D364" t="s">
        <v>258</v>
      </c>
      <c r="E364" t="s">
        <v>271</v>
      </c>
      <c r="F364" t="s">
        <v>524</v>
      </c>
    </row>
    <row r="365" spans="1:6" x14ac:dyDescent="0.25">
      <c r="A365" t="s">
        <v>18916</v>
      </c>
      <c r="B365" t="s">
        <v>18917</v>
      </c>
      <c r="C365" t="s">
        <v>18918</v>
      </c>
      <c r="D365" t="s">
        <v>5591</v>
      </c>
      <c r="E365" t="s">
        <v>269</v>
      </c>
      <c r="F365" t="s">
        <v>1742</v>
      </c>
    </row>
    <row r="366" spans="1:6" x14ac:dyDescent="0.25">
      <c r="A366" t="s">
        <v>18919</v>
      </c>
      <c r="B366" t="s">
        <v>18920</v>
      </c>
      <c r="C366" t="s">
        <v>18921</v>
      </c>
      <c r="D366" t="s">
        <v>357</v>
      </c>
      <c r="E366" t="s">
        <v>271</v>
      </c>
      <c r="F366" t="s">
        <v>358</v>
      </c>
    </row>
    <row r="367" spans="1:6" x14ac:dyDescent="0.25">
      <c r="A367" t="s">
        <v>18922</v>
      </c>
      <c r="B367" t="s">
        <v>18923</v>
      </c>
      <c r="C367" t="s">
        <v>18924</v>
      </c>
      <c r="D367" t="s">
        <v>0</v>
      </c>
      <c r="E367" t="s">
        <v>271</v>
      </c>
      <c r="F367" t="s">
        <v>1141</v>
      </c>
    </row>
    <row r="368" spans="1:6" x14ac:dyDescent="0.25">
      <c r="A368" t="s">
        <v>18925</v>
      </c>
      <c r="B368" t="s">
        <v>18926</v>
      </c>
      <c r="C368" t="s">
        <v>18927</v>
      </c>
      <c r="D368" t="s">
        <v>18928</v>
      </c>
      <c r="E368" t="s">
        <v>229</v>
      </c>
      <c r="F368" t="s">
        <v>18929</v>
      </c>
    </row>
    <row r="369" spans="1:6" x14ac:dyDescent="0.25">
      <c r="A369" t="s">
        <v>18930</v>
      </c>
      <c r="B369" t="s">
        <v>18931</v>
      </c>
      <c r="C369" t="s">
        <v>18788</v>
      </c>
      <c r="D369" t="s">
        <v>616</v>
      </c>
      <c r="E369" t="s">
        <v>271</v>
      </c>
      <c r="F369" t="s">
        <v>333</v>
      </c>
    </row>
    <row r="370" spans="1:6" x14ac:dyDescent="0.25">
      <c r="A370" t="s">
        <v>18932</v>
      </c>
      <c r="B370" t="s">
        <v>18933</v>
      </c>
      <c r="C370" t="s">
        <v>18934</v>
      </c>
      <c r="D370" t="s">
        <v>4969</v>
      </c>
      <c r="E370" t="s">
        <v>271</v>
      </c>
      <c r="F370" t="s">
        <v>480</v>
      </c>
    </row>
    <row r="371" spans="1:6" x14ac:dyDescent="0.25">
      <c r="A371" t="s">
        <v>18935</v>
      </c>
      <c r="B371" t="s">
        <v>18936</v>
      </c>
      <c r="C371" t="s">
        <v>18937</v>
      </c>
      <c r="D371" t="s">
        <v>986</v>
      </c>
      <c r="E371" t="s">
        <v>271</v>
      </c>
      <c r="F371" t="s">
        <v>985</v>
      </c>
    </row>
    <row r="372" spans="1:6" x14ac:dyDescent="0.25">
      <c r="A372" t="s">
        <v>18938</v>
      </c>
      <c r="B372" t="s">
        <v>18939</v>
      </c>
      <c r="C372" t="s">
        <v>18940</v>
      </c>
      <c r="D372" t="s">
        <v>461</v>
      </c>
      <c r="E372" t="s">
        <v>271</v>
      </c>
      <c r="F372" t="s">
        <v>336</v>
      </c>
    </row>
    <row r="373" spans="1:6" x14ac:dyDescent="0.25">
      <c r="A373" t="s">
        <v>18941</v>
      </c>
      <c r="B373" t="s">
        <v>18942</v>
      </c>
      <c r="C373" t="s">
        <v>18943</v>
      </c>
      <c r="D373" t="s">
        <v>0</v>
      </c>
      <c r="E373" t="s">
        <v>271</v>
      </c>
      <c r="F373" t="s">
        <v>323</v>
      </c>
    </row>
    <row r="374" spans="1:6" x14ac:dyDescent="0.25">
      <c r="A374" t="s">
        <v>18944</v>
      </c>
      <c r="B374" t="s">
        <v>18945</v>
      </c>
      <c r="C374" t="s">
        <v>18946</v>
      </c>
      <c r="D374" t="s">
        <v>0</v>
      </c>
      <c r="E374" t="s">
        <v>271</v>
      </c>
      <c r="F374" t="s">
        <v>356</v>
      </c>
    </row>
    <row r="375" spans="1:6" x14ac:dyDescent="0.25">
      <c r="A375" t="s">
        <v>18947</v>
      </c>
      <c r="B375" t="s">
        <v>18948</v>
      </c>
      <c r="C375" t="s">
        <v>18949</v>
      </c>
      <c r="D375" t="s">
        <v>2714</v>
      </c>
      <c r="E375" t="s">
        <v>271</v>
      </c>
      <c r="F375" t="s">
        <v>2713</v>
      </c>
    </row>
    <row r="376" spans="1:6" x14ac:dyDescent="0.25">
      <c r="A376" t="s">
        <v>18950</v>
      </c>
      <c r="B376" t="s">
        <v>18951</v>
      </c>
      <c r="C376" t="s">
        <v>18952</v>
      </c>
      <c r="D376" t="s">
        <v>361</v>
      </c>
      <c r="E376" t="s">
        <v>271</v>
      </c>
      <c r="F376" t="s">
        <v>1563</v>
      </c>
    </row>
    <row r="377" spans="1:6" x14ac:dyDescent="0.25">
      <c r="A377" t="s">
        <v>18953</v>
      </c>
      <c r="B377" t="s">
        <v>18954</v>
      </c>
      <c r="C377" t="s">
        <v>18955</v>
      </c>
      <c r="D377" t="s">
        <v>0</v>
      </c>
      <c r="E377" t="s">
        <v>271</v>
      </c>
      <c r="F377" t="s">
        <v>1225</v>
      </c>
    </row>
    <row r="378" spans="1:6" x14ac:dyDescent="0.25">
      <c r="A378" t="s">
        <v>18956</v>
      </c>
      <c r="B378" t="s">
        <v>257</v>
      </c>
      <c r="C378" t="s">
        <v>18573</v>
      </c>
      <c r="D378" t="s">
        <v>510</v>
      </c>
      <c r="E378" t="s">
        <v>271</v>
      </c>
      <c r="F378" t="s">
        <v>1829</v>
      </c>
    </row>
    <row r="379" spans="1:6" x14ac:dyDescent="0.25">
      <c r="A379" t="s">
        <v>18957</v>
      </c>
      <c r="B379" t="s">
        <v>18958</v>
      </c>
      <c r="C379" t="s">
        <v>18959</v>
      </c>
      <c r="D379" t="s">
        <v>1303</v>
      </c>
      <c r="E379" t="s">
        <v>269</v>
      </c>
      <c r="F379" t="s">
        <v>1302</v>
      </c>
    </row>
    <row r="380" spans="1:6" x14ac:dyDescent="0.25">
      <c r="A380" t="s">
        <v>18960</v>
      </c>
      <c r="B380" t="s">
        <v>18961</v>
      </c>
      <c r="C380" t="s">
        <v>18962</v>
      </c>
      <c r="D380" t="s">
        <v>510</v>
      </c>
      <c r="E380" t="s">
        <v>271</v>
      </c>
      <c r="F380" t="s">
        <v>852</v>
      </c>
    </row>
    <row r="381" spans="1:6" x14ac:dyDescent="0.25">
      <c r="A381" t="s">
        <v>18963</v>
      </c>
      <c r="B381" t="s">
        <v>18065</v>
      </c>
      <c r="C381" t="s">
        <v>18964</v>
      </c>
      <c r="D381" t="s">
        <v>0</v>
      </c>
      <c r="E381" t="s">
        <v>271</v>
      </c>
      <c r="F381" t="s">
        <v>562</v>
      </c>
    </row>
    <row r="382" spans="1:6" x14ac:dyDescent="0.25">
      <c r="A382" t="s">
        <v>4162</v>
      </c>
      <c r="B382" t="s">
        <v>4163</v>
      </c>
      <c r="C382" t="s">
        <v>4165</v>
      </c>
      <c r="D382" t="s">
        <v>986</v>
      </c>
      <c r="E382" t="s">
        <v>271</v>
      </c>
      <c r="F382" t="s">
        <v>985</v>
      </c>
    </row>
    <row r="383" spans="1:6" x14ac:dyDescent="0.25">
      <c r="A383" t="s">
        <v>18965</v>
      </c>
      <c r="B383" t="s">
        <v>18966</v>
      </c>
      <c r="C383" t="s">
        <v>18967</v>
      </c>
      <c r="D383" t="s">
        <v>15565</v>
      </c>
      <c r="E383" t="s">
        <v>271</v>
      </c>
      <c r="F383" t="s">
        <v>4405</v>
      </c>
    </row>
    <row r="384" spans="1:6" x14ac:dyDescent="0.25">
      <c r="A384" t="s">
        <v>18968</v>
      </c>
      <c r="B384" t="s">
        <v>18969</v>
      </c>
      <c r="C384" t="s">
        <v>18970</v>
      </c>
      <c r="D384" t="s">
        <v>1665</v>
      </c>
      <c r="E384" t="s">
        <v>271</v>
      </c>
      <c r="F384" t="s">
        <v>1664</v>
      </c>
    </row>
    <row r="385" spans="1:6" x14ac:dyDescent="0.25">
      <c r="A385" t="s">
        <v>18971</v>
      </c>
      <c r="B385" t="s">
        <v>18972</v>
      </c>
      <c r="C385" t="s">
        <v>18973</v>
      </c>
      <c r="D385" t="s">
        <v>972</v>
      </c>
      <c r="E385" t="s">
        <v>269</v>
      </c>
      <c r="F385" t="s">
        <v>971</v>
      </c>
    </row>
    <row r="386" spans="1:6" x14ac:dyDescent="0.25">
      <c r="A386" t="s">
        <v>3827</v>
      </c>
      <c r="B386" t="s">
        <v>3828</v>
      </c>
      <c r="C386" t="s">
        <v>3832</v>
      </c>
      <c r="D386" t="s">
        <v>3831</v>
      </c>
      <c r="E386" t="s">
        <v>271</v>
      </c>
      <c r="F386" t="s">
        <v>3830</v>
      </c>
    </row>
    <row r="387" spans="1:6" x14ac:dyDescent="0.25">
      <c r="A387" t="s">
        <v>18974</v>
      </c>
      <c r="B387" t="s">
        <v>18975</v>
      </c>
      <c r="C387" t="s">
        <v>18976</v>
      </c>
      <c r="D387" t="s">
        <v>0</v>
      </c>
      <c r="E387" t="s">
        <v>271</v>
      </c>
      <c r="F387" t="s">
        <v>731</v>
      </c>
    </row>
    <row r="388" spans="1:6" x14ac:dyDescent="0.25">
      <c r="A388" t="s">
        <v>18977</v>
      </c>
      <c r="B388" t="s">
        <v>18978</v>
      </c>
      <c r="C388" t="s">
        <v>18979</v>
      </c>
      <c r="D388" t="s">
        <v>472</v>
      </c>
      <c r="E388" t="s">
        <v>271</v>
      </c>
      <c r="F388" t="s">
        <v>318</v>
      </c>
    </row>
    <row r="389" spans="1:6" x14ac:dyDescent="0.25">
      <c r="A389" t="s">
        <v>18980</v>
      </c>
      <c r="B389" t="s">
        <v>18981</v>
      </c>
      <c r="C389" t="s">
        <v>18982</v>
      </c>
      <c r="D389" t="s">
        <v>0</v>
      </c>
      <c r="E389" t="s">
        <v>271</v>
      </c>
      <c r="F389" t="s">
        <v>1534</v>
      </c>
    </row>
    <row r="390" spans="1:6" x14ac:dyDescent="0.25">
      <c r="A390" t="s">
        <v>18983</v>
      </c>
      <c r="B390" t="s">
        <v>18984</v>
      </c>
      <c r="C390" t="s">
        <v>18985</v>
      </c>
      <c r="D390" t="s">
        <v>498</v>
      </c>
      <c r="E390" t="s">
        <v>271</v>
      </c>
      <c r="F390" t="s">
        <v>926</v>
      </c>
    </row>
    <row r="391" spans="1:6" x14ac:dyDescent="0.25">
      <c r="A391" t="s">
        <v>18986</v>
      </c>
      <c r="B391" t="s">
        <v>18987</v>
      </c>
      <c r="C391" t="s">
        <v>18988</v>
      </c>
      <c r="D391" t="s">
        <v>0</v>
      </c>
      <c r="E391" t="s">
        <v>271</v>
      </c>
      <c r="F391" t="s">
        <v>688</v>
      </c>
    </row>
    <row r="392" spans="1:6" x14ac:dyDescent="0.25">
      <c r="A392" t="s">
        <v>18989</v>
      </c>
      <c r="B392" t="s">
        <v>18990</v>
      </c>
      <c r="C392" t="s">
        <v>18991</v>
      </c>
      <c r="D392" t="s">
        <v>556</v>
      </c>
      <c r="E392" t="s">
        <v>271</v>
      </c>
      <c r="F392" t="s">
        <v>1567</v>
      </c>
    </row>
    <row r="393" spans="1:6" x14ac:dyDescent="0.25">
      <c r="A393" t="s">
        <v>18992</v>
      </c>
      <c r="B393" t="s">
        <v>18993</v>
      </c>
      <c r="C393" t="s">
        <v>5706</v>
      </c>
      <c r="D393" t="s">
        <v>492</v>
      </c>
      <c r="E393" t="s">
        <v>271</v>
      </c>
      <c r="F393" t="s">
        <v>1221</v>
      </c>
    </row>
    <row r="394" spans="1:6" x14ac:dyDescent="0.25">
      <c r="A394" t="s">
        <v>18994</v>
      </c>
      <c r="B394" t="s">
        <v>18995</v>
      </c>
      <c r="C394" t="s">
        <v>18996</v>
      </c>
      <c r="D394" t="s">
        <v>18997</v>
      </c>
      <c r="E394" t="s">
        <v>271</v>
      </c>
      <c r="F394" t="s">
        <v>2907</v>
      </c>
    </row>
    <row r="395" spans="1:6" x14ac:dyDescent="0.25">
      <c r="A395" t="s">
        <v>18998</v>
      </c>
      <c r="B395" t="s">
        <v>18999</v>
      </c>
      <c r="C395" t="s">
        <v>19000</v>
      </c>
      <c r="D395" t="s">
        <v>0</v>
      </c>
      <c r="E395" t="s">
        <v>271</v>
      </c>
      <c r="F395" t="s">
        <v>1141</v>
      </c>
    </row>
    <row r="396" spans="1:6" x14ac:dyDescent="0.25">
      <c r="A396" t="s">
        <v>19001</v>
      </c>
      <c r="B396" t="s">
        <v>19002</v>
      </c>
      <c r="C396" t="s">
        <v>18242</v>
      </c>
      <c r="D396" t="s">
        <v>0</v>
      </c>
      <c r="E396" t="s">
        <v>271</v>
      </c>
      <c r="F396" t="s">
        <v>1214</v>
      </c>
    </row>
    <row r="397" spans="1:6" x14ac:dyDescent="0.25">
      <c r="A397" t="s">
        <v>19003</v>
      </c>
      <c r="B397" t="s">
        <v>19004</v>
      </c>
      <c r="C397" t="s">
        <v>19005</v>
      </c>
      <c r="D397" t="s">
        <v>3457</v>
      </c>
      <c r="E397" t="s">
        <v>271</v>
      </c>
      <c r="F397" t="s">
        <v>1432</v>
      </c>
    </row>
    <row r="398" spans="1:6" x14ac:dyDescent="0.25">
      <c r="A398" t="s">
        <v>19006</v>
      </c>
      <c r="B398" t="s">
        <v>257</v>
      </c>
      <c r="C398" t="s">
        <v>19007</v>
      </c>
      <c r="D398" t="s">
        <v>490</v>
      </c>
      <c r="E398" t="s">
        <v>271</v>
      </c>
      <c r="F398" t="s">
        <v>491</v>
      </c>
    </row>
    <row r="399" spans="1:6" x14ac:dyDescent="0.25">
      <c r="A399" t="s">
        <v>19008</v>
      </c>
      <c r="B399" t="s">
        <v>19009</v>
      </c>
      <c r="C399" t="s">
        <v>19010</v>
      </c>
      <c r="D399" t="s">
        <v>0</v>
      </c>
      <c r="E399" t="s">
        <v>271</v>
      </c>
      <c r="F399" t="s">
        <v>3941</v>
      </c>
    </row>
    <row r="400" spans="1:6" x14ac:dyDescent="0.25">
      <c r="A400" t="s">
        <v>3933</v>
      </c>
      <c r="B400" t="s">
        <v>3934</v>
      </c>
      <c r="C400" t="s">
        <v>3936</v>
      </c>
      <c r="D400" t="s">
        <v>0</v>
      </c>
      <c r="E400" t="s">
        <v>271</v>
      </c>
      <c r="F400" t="s">
        <v>1214</v>
      </c>
    </row>
    <row r="401" spans="1:6" x14ac:dyDescent="0.25">
      <c r="A401" t="s">
        <v>19011</v>
      </c>
      <c r="B401" t="s">
        <v>19012</v>
      </c>
      <c r="C401" t="s">
        <v>19013</v>
      </c>
      <c r="D401" t="s">
        <v>0</v>
      </c>
      <c r="E401" t="s">
        <v>271</v>
      </c>
      <c r="F401" t="s">
        <v>323</v>
      </c>
    </row>
    <row r="402" spans="1:6" x14ac:dyDescent="0.25">
      <c r="A402" t="s">
        <v>19014</v>
      </c>
      <c r="B402" t="s">
        <v>19015</v>
      </c>
      <c r="C402" t="s">
        <v>9921</v>
      </c>
      <c r="D402" t="s">
        <v>258</v>
      </c>
      <c r="E402" t="s">
        <v>271</v>
      </c>
      <c r="F402" t="s">
        <v>524</v>
      </c>
    </row>
    <row r="403" spans="1:6" x14ac:dyDescent="0.25">
      <c r="A403" t="s">
        <v>19016</v>
      </c>
      <c r="B403" t="s">
        <v>19017</v>
      </c>
      <c r="C403" t="s">
        <v>19018</v>
      </c>
      <c r="D403" t="s">
        <v>288</v>
      </c>
      <c r="E403" t="s">
        <v>271</v>
      </c>
      <c r="F403" t="s">
        <v>315</v>
      </c>
    </row>
    <row r="404" spans="1:6" x14ac:dyDescent="0.25">
      <c r="A404" t="s">
        <v>19019</v>
      </c>
      <c r="B404" t="s">
        <v>19020</v>
      </c>
      <c r="C404" t="s">
        <v>19021</v>
      </c>
      <c r="D404" t="s">
        <v>373</v>
      </c>
      <c r="E404" t="s">
        <v>271</v>
      </c>
      <c r="F404" t="s">
        <v>1523</v>
      </c>
    </row>
    <row r="405" spans="1:6" x14ac:dyDescent="0.25">
      <c r="A405" t="s">
        <v>19022</v>
      </c>
      <c r="B405" t="s">
        <v>19023</v>
      </c>
      <c r="C405" t="s">
        <v>19024</v>
      </c>
      <c r="D405" t="s">
        <v>1455</v>
      </c>
      <c r="E405" t="s">
        <v>271</v>
      </c>
      <c r="F405" t="s">
        <v>1454</v>
      </c>
    </row>
    <row r="406" spans="1:6" x14ac:dyDescent="0.25">
      <c r="A406" t="s">
        <v>19025</v>
      </c>
      <c r="B406" t="s">
        <v>19026</v>
      </c>
      <c r="C406" t="s">
        <v>18428</v>
      </c>
      <c r="D406" t="s">
        <v>0</v>
      </c>
      <c r="E406" t="s">
        <v>271</v>
      </c>
      <c r="F406" t="s">
        <v>323</v>
      </c>
    </row>
    <row r="407" spans="1:6" x14ac:dyDescent="0.25">
      <c r="A407" t="s">
        <v>19027</v>
      </c>
      <c r="B407" t="s">
        <v>19028</v>
      </c>
      <c r="C407" t="s">
        <v>19029</v>
      </c>
      <c r="D407" t="s">
        <v>357</v>
      </c>
      <c r="E407" t="s">
        <v>271</v>
      </c>
      <c r="F407" t="s">
        <v>452</v>
      </c>
    </row>
    <row r="408" spans="1:6" x14ac:dyDescent="0.25">
      <c r="A408" t="s">
        <v>19030</v>
      </c>
      <c r="B408" t="s">
        <v>19031</v>
      </c>
      <c r="C408" t="s">
        <v>3847</v>
      </c>
      <c r="D408" t="s">
        <v>3846</v>
      </c>
      <c r="E408" t="s">
        <v>271</v>
      </c>
      <c r="F408" t="s">
        <v>3845</v>
      </c>
    </row>
    <row r="409" spans="1:6" x14ac:dyDescent="0.25">
      <c r="A409" t="s">
        <v>19032</v>
      </c>
      <c r="B409" t="s">
        <v>19033</v>
      </c>
      <c r="C409" t="s">
        <v>19034</v>
      </c>
      <c r="D409" t="s">
        <v>519</v>
      </c>
      <c r="E409" t="s">
        <v>271</v>
      </c>
      <c r="F409" t="s">
        <v>1878</v>
      </c>
    </row>
    <row r="410" spans="1:6" x14ac:dyDescent="0.25">
      <c r="A410" t="s">
        <v>19035</v>
      </c>
      <c r="B410" t="s">
        <v>19036</v>
      </c>
      <c r="C410" t="s">
        <v>19037</v>
      </c>
      <c r="D410" t="s">
        <v>314</v>
      </c>
      <c r="E410" t="s">
        <v>271</v>
      </c>
      <c r="F410" t="s">
        <v>352</v>
      </c>
    </row>
    <row r="411" spans="1:6" x14ac:dyDescent="0.25">
      <c r="A411" t="s">
        <v>19038</v>
      </c>
      <c r="B411" t="s">
        <v>19039</v>
      </c>
      <c r="C411" t="s">
        <v>19040</v>
      </c>
      <c r="D411" t="s">
        <v>5598</v>
      </c>
      <c r="E411" t="s">
        <v>271</v>
      </c>
      <c r="F411" t="s">
        <v>4427</v>
      </c>
    </row>
    <row r="412" spans="1:6" x14ac:dyDescent="0.25">
      <c r="A412" t="s">
        <v>19041</v>
      </c>
      <c r="B412" t="s">
        <v>19042</v>
      </c>
      <c r="C412" t="s">
        <v>19043</v>
      </c>
      <c r="D412" t="s">
        <v>1292</v>
      </c>
      <c r="E412" t="s">
        <v>271</v>
      </c>
      <c r="F412" t="s">
        <v>1291</v>
      </c>
    </row>
    <row r="413" spans="1:6" x14ac:dyDescent="0.25">
      <c r="A413" t="s">
        <v>19044</v>
      </c>
      <c r="B413" t="s">
        <v>19045</v>
      </c>
      <c r="C413" t="s">
        <v>19046</v>
      </c>
      <c r="D413" t="s">
        <v>357</v>
      </c>
      <c r="E413" t="s">
        <v>271</v>
      </c>
      <c r="F413" t="s">
        <v>358</v>
      </c>
    </row>
    <row r="414" spans="1:6" x14ac:dyDescent="0.25">
      <c r="A414" t="s">
        <v>19047</v>
      </c>
      <c r="B414" t="s">
        <v>19048</v>
      </c>
      <c r="C414" t="s">
        <v>19049</v>
      </c>
      <c r="D414" t="s">
        <v>288</v>
      </c>
      <c r="E414" t="s">
        <v>271</v>
      </c>
      <c r="F414" t="s">
        <v>300</v>
      </c>
    </row>
    <row r="415" spans="1:6" x14ac:dyDescent="0.25">
      <c r="A415" t="s">
        <v>19050</v>
      </c>
      <c r="B415" t="s">
        <v>19051</v>
      </c>
      <c r="C415" t="s">
        <v>19052</v>
      </c>
      <c r="D415" t="s">
        <v>506</v>
      </c>
      <c r="E415" t="s">
        <v>271</v>
      </c>
      <c r="F415" t="s">
        <v>507</v>
      </c>
    </row>
    <row r="416" spans="1:6" x14ac:dyDescent="0.25">
      <c r="A416" t="s">
        <v>19053</v>
      </c>
      <c r="B416" t="s">
        <v>19054</v>
      </c>
      <c r="C416" t="s">
        <v>18242</v>
      </c>
      <c r="D416" t="s">
        <v>0</v>
      </c>
      <c r="E416" t="s">
        <v>271</v>
      </c>
      <c r="F416" t="s">
        <v>1214</v>
      </c>
    </row>
    <row r="417" spans="1:6" x14ac:dyDescent="0.25">
      <c r="A417" t="s">
        <v>19055</v>
      </c>
      <c r="B417" t="s">
        <v>19056</v>
      </c>
      <c r="C417" t="s">
        <v>19057</v>
      </c>
      <c r="D417" t="s">
        <v>1743</v>
      </c>
      <c r="E417" t="s">
        <v>269</v>
      </c>
      <c r="F417" t="s">
        <v>1742</v>
      </c>
    </row>
    <row r="418" spans="1:6" x14ac:dyDescent="0.25">
      <c r="A418" t="s">
        <v>19058</v>
      </c>
      <c r="B418" t="s">
        <v>19059</v>
      </c>
      <c r="C418" t="s">
        <v>1514</v>
      </c>
      <c r="D418" t="s">
        <v>616</v>
      </c>
      <c r="E418" t="s">
        <v>271</v>
      </c>
      <c r="F418" t="s">
        <v>333</v>
      </c>
    </row>
    <row r="419" spans="1:6" x14ac:dyDescent="0.25">
      <c r="A419" t="s">
        <v>19060</v>
      </c>
      <c r="B419" t="s">
        <v>19061</v>
      </c>
      <c r="C419" t="s">
        <v>19062</v>
      </c>
      <c r="D419" t="s">
        <v>340</v>
      </c>
      <c r="E419" t="s">
        <v>271</v>
      </c>
      <c r="F419" t="s">
        <v>317</v>
      </c>
    </row>
    <row r="420" spans="1:6" x14ac:dyDescent="0.25">
      <c r="A420" t="s">
        <v>19063</v>
      </c>
      <c r="B420" t="s">
        <v>18907</v>
      </c>
      <c r="C420" t="s">
        <v>19064</v>
      </c>
      <c r="D420" t="s">
        <v>675</v>
      </c>
      <c r="E420" t="s">
        <v>271</v>
      </c>
      <c r="F420" t="s">
        <v>674</v>
      </c>
    </row>
    <row r="421" spans="1:6" x14ac:dyDescent="0.25">
      <c r="A421" t="s">
        <v>4353</v>
      </c>
      <c r="B421" t="s">
        <v>4354</v>
      </c>
      <c r="C421" t="s">
        <v>4355</v>
      </c>
      <c r="D421" t="s">
        <v>461</v>
      </c>
      <c r="E421" t="s">
        <v>271</v>
      </c>
      <c r="F421" t="s">
        <v>336</v>
      </c>
    </row>
    <row r="422" spans="1:6" x14ac:dyDescent="0.25">
      <c r="A422" t="s">
        <v>19065</v>
      </c>
      <c r="B422" t="s">
        <v>19066</v>
      </c>
      <c r="C422" t="s">
        <v>19067</v>
      </c>
      <c r="D422" t="s">
        <v>0</v>
      </c>
      <c r="E422" t="s">
        <v>271</v>
      </c>
      <c r="F422" t="s">
        <v>325</v>
      </c>
    </row>
    <row r="423" spans="1:6" x14ac:dyDescent="0.25">
      <c r="A423" t="s">
        <v>19068</v>
      </c>
      <c r="B423" t="s">
        <v>19069</v>
      </c>
      <c r="C423" t="s">
        <v>9131</v>
      </c>
      <c r="D423" t="s">
        <v>845</v>
      </c>
      <c r="E423" t="s">
        <v>271</v>
      </c>
      <c r="F423" t="s">
        <v>844</v>
      </c>
    </row>
    <row r="424" spans="1:6" x14ac:dyDescent="0.25">
      <c r="A424" t="s">
        <v>19070</v>
      </c>
      <c r="B424" t="s">
        <v>19071</v>
      </c>
      <c r="C424" t="s">
        <v>19072</v>
      </c>
      <c r="D424" t="s">
        <v>830</v>
      </c>
      <c r="E424" t="s">
        <v>271</v>
      </c>
      <c r="F424" t="s">
        <v>829</v>
      </c>
    </row>
    <row r="425" spans="1:6" x14ac:dyDescent="0.25">
      <c r="A425" t="s">
        <v>19073</v>
      </c>
      <c r="B425" t="s">
        <v>19074</v>
      </c>
      <c r="C425" t="s">
        <v>19075</v>
      </c>
      <c r="D425" t="s">
        <v>0</v>
      </c>
      <c r="E425" t="s">
        <v>271</v>
      </c>
      <c r="F425" t="s">
        <v>323</v>
      </c>
    </row>
    <row r="426" spans="1:6" x14ac:dyDescent="0.25">
      <c r="A426" t="s">
        <v>19076</v>
      </c>
      <c r="B426" t="s">
        <v>19077</v>
      </c>
      <c r="C426" t="s">
        <v>19078</v>
      </c>
      <c r="D426" t="s">
        <v>0</v>
      </c>
      <c r="E426" t="s">
        <v>271</v>
      </c>
      <c r="F426" t="s">
        <v>1534</v>
      </c>
    </row>
    <row r="427" spans="1:6" x14ac:dyDescent="0.25">
      <c r="A427" t="s">
        <v>19079</v>
      </c>
      <c r="B427" t="s">
        <v>19080</v>
      </c>
      <c r="C427" t="s">
        <v>19081</v>
      </c>
      <c r="D427" t="s">
        <v>0</v>
      </c>
      <c r="E427" t="s">
        <v>271</v>
      </c>
      <c r="F427" t="s">
        <v>323</v>
      </c>
    </row>
    <row r="428" spans="1:6" x14ac:dyDescent="0.25">
      <c r="A428" t="s">
        <v>19082</v>
      </c>
      <c r="B428" t="s">
        <v>19083</v>
      </c>
      <c r="C428" t="s">
        <v>19084</v>
      </c>
      <c r="D428" t="s">
        <v>540</v>
      </c>
      <c r="E428" t="s">
        <v>271</v>
      </c>
      <c r="F428" t="s">
        <v>339</v>
      </c>
    </row>
    <row r="429" spans="1:6" x14ac:dyDescent="0.25">
      <c r="A429" t="s">
        <v>19085</v>
      </c>
      <c r="B429" t="s">
        <v>19086</v>
      </c>
      <c r="C429" t="s">
        <v>15534</v>
      </c>
      <c r="D429" t="s">
        <v>0</v>
      </c>
      <c r="E429" t="s">
        <v>271</v>
      </c>
      <c r="F429" t="s">
        <v>1214</v>
      </c>
    </row>
    <row r="430" spans="1:6" x14ac:dyDescent="0.25">
      <c r="A430" t="s">
        <v>19087</v>
      </c>
      <c r="B430" t="s">
        <v>19088</v>
      </c>
      <c r="C430" t="s">
        <v>19089</v>
      </c>
      <c r="D430" t="s">
        <v>1542</v>
      </c>
      <c r="E430" t="s">
        <v>269</v>
      </c>
      <c r="F430" t="s">
        <v>4412</v>
      </c>
    </row>
    <row r="431" spans="1:6" x14ac:dyDescent="0.25">
      <c r="A431" t="s">
        <v>19090</v>
      </c>
      <c r="B431" t="s">
        <v>19091</v>
      </c>
      <c r="C431" t="s">
        <v>18873</v>
      </c>
      <c r="D431" t="s">
        <v>0</v>
      </c>
      <c r="E431" t="s">
        <v>271</v>
      </c>
      <c r="F431" t="s">
        <v>688</v>
      </c>
    </row>
    <row r="432" spans="1:6" x14ac:dyDescent="0.25">
      <c r="A432" t="s">
        <v>19092</v>
      </c>
      <c r="B432" t="s">
        <v>19093</v>
      </c>
      <c r="C432" t="s">
        <v>18354</v>
      </c>
      <c r="D432" t="s">
        <v>718</v>
      </c>
      <c r="E432" t="s">
        <v>271</v>
      </c>
      <c r="F432" t="s">
        <v>333</v>
      </c>
    </row>
    <row r="433" spans="1:6" x14ac:dyDescent="0.25">
      <c r="A433" t="s">
        <v>19094</v>
      </c>
      <c r="B433" t="s">
        <v>19095</v>
      </c>
      <c r="C433" t="s">
        <v>19096</v>
      </c>
      <c r="D433" t="s">
        <v>0</v>
      </c>
      <c r="E433" t="s">
        <v>271</v>
      </c>
      <c r="F433" t="s">
        <v>3941</v>
      </c>
    </row>
    <row r="434" spans="1:6" x14ac:dyDescent="0.25">
      <c r="A434" t="s">
        <v>19097</v>
      </c>
      <c r="B434" t="s">
        <v>19098</v>
      </c>
      <c r="C434" t="s">
        <v>19099</v>
      </c>
      <c r="D434" t="s">
        <v>0</v>
      </c>
      <c r="E434" t="s">
        <v>271</v>
      </c>
      <c r="F434" t="s">
        <v>531</v>
      </c>
    </row>
    <row r="435" spans="1:6" x14ac:dyDescent="0.25">
      <c r="A435" t="s">
        <v>19100</v>
      </c>
      <c r="B435" t="s">
        <v>19101</v>
      </c>
      <c r="C435" t="s">
        <v>19102</v>
      </c>
      <c r="D435" t="s">
        <v>0</v>
      </c>
      <c r="E435" t="s">
        <v>271</v>
      </c>
      <c r="F435" t="s">
        <v>325</v>
      </c>
    </row>
    <row r="436" spans="1:6" x14ac:dyDescent="0.25">
      <c r="A436" t="s">
        <v>19103</v>
      </c>
      <c r="B436" t="s">
        <v>19104</v>
      </c>
      <c r="C436" t="s">
        <v>19105</v>
      </c>
      <c r="D436" t="s">
        <v>402</v>
      </c>
      <c r="E436" t="s">
        <v>271</v>
      </c>
      <c r="F436" t="s">
        <v>401</v>
      </c>
    </row>
    <row r="437" spans="1:6" x14ac:dyDescent="0.25">
      <c r="A437" t="s">
        <v>3981</v>
      </c>
      <c r="B437" t="s">
        <v>3982</v>
      </c>
      <c r="C437" t="s">
        <v>3983</v>
      </c>
      <c r="D437" t="s">
        <v>446</v>
      </c>
      <c r="E437" t="s">
        <v>271</v>
      </c>
      <c r="F437" t="s">
        <v>447</v>
      </c>
    </row>
    <row r="438" spans="1:6" x14ac:dyDescent="0.25">
      <c r="A438" t="s">
        <v>19106</v>
      </c>
      <c r="B438" t="s">
        <v>19107</v>
      </c>
      <c r="C438" t="s">
        <v>19108</v>
      </c>
      <c r="D438" t="s">
        <v>0</v>
      </c>
      <c r="E438" t="s">
        <v>271</v>
      </c>
      <c r="F438" t="s">
        <v>1679</v>
      </c>
    </row>
    <row r="439" spans="1:6" x14ac:dyDescent="0.25">
      <c r="A439" t="s">
        <v>19109</v>
      </c>
      <c r="B439" t="s">
        <v>19110</v>
      </c>
      <c r="C439" t="s">
        <v>19111</v>
      </c>
      <c r="D439" t="s">
        <v>2488</v>
      </c>
      <c r="E439" t="s">
        <v>269</v>
      </c>
      <c r="F439" t="s">
        <v>4054</v>
      </c>
    </row>
    <row r="440" spans="1:6" x14ac:dyDescent="0.25">
      <c r="A440" t="s">
        <v>19112</v>
      </c>
      <c r="B440" t="s">
        <v>19113</v>
      </c>
      <c r="C440" t="s">
        <v>19114</v>
      </c>
      <c r="D440" t="s">
        <v>2488</v>
      </c>
      <c r="E440" t="s">
        <v>269</v>
      </c>
      <c r="F440" t="s">
        <v>3091</v>
      </c>
    </row>
    <row r="441" spans="1:6" x14ac:dyDescent="0.25">
      <c r="A441" t="s">
        <v>19115</v>
      </c>
      <c r="B441" t="s">
        <v>19116</v>
      </c>
      <c r="C441" t="s">
        <v>19117</v>
      </c>
      <c r="D441" t="s">
        <v>0</v>
      </c>
      <c r="E441" t="s">
        <v>271</v>
      </c>
      <c r="F441" t="s">
        <v>1115</v>
      </c>
    </row>
    <row r="442" spans="1:6" x14ac:dyDescent="0.25">
      <c r="A442" t="s">
        <v>19118</v>
      </c>
      <c r="B442" t="s">
        <v>19119</v>
      </c>
      <c r="C442" t="s">
        <v>18072</v>
      </c>
      <c r="D442" t="s">
        <v>556</v>
      </c>
      <c r="E442" t="s">
        <v>271</v>
      </c>
      <c r="F442" t="s">
        <v>1567</v>
      </c>
    </row>
    <row r="443" spans="1:6" x14ac:dyDescent="0.25">
      <c r="A443" t="s">
        <v>4206</v>
      </c>
      <c r="B443" t="s">
        <v>4207</v>
      </c>
      <c r="C443" t="s">
        <v>4209</v>
      </c>
      <c r="D443" t="s">
        <v>340</v>
      </c>
      <c r="E443" t="s">
        <v>271</v>
      </c>
      <c r="F443" t="s">
        <v>317</v>
      </c>
    </row>
    <row r="444" spans="1:6" x14ac:dyDescent="0.25">
      <c r="A444" t="s">
        <v>19120</v>
      </c>
      <c r="B444" t="s">
        <v>19121</v>
      </c>
      <c r="C444" t="s">
        <v>19122</v>
      </c>
      <c r="D444" t="s">
        <v>610</v>
      </c>
      <c r="E444" t="s">
        <v>271</v>
      </c>
      <c r="F444" t="s">
        <v>611</v>
      </c>
    </row>
    <row r="445" spans="1:6" x14ac:dyDescent="0.25">
      <c r="A445" t="s">
        <v>19123</v>
      </c>
      <c r="B445" t="s">
        <v>19124</v>
      </c>
      <c r="C445" t="s">
        <v>19125</v>
      </c>
      <c r="D445" t="s">
        <v>586</v>
      </c>
      <c r="E445" t="s">
        <v>271</v>
      </c>
      <c r="F445" t="s">
        <v>334</v>
      </c>
    </row>
    <row r="446" spans="1:6" x14ac:dyDescent="0.25">
      <c r="A446" t="s">
        <v>19126</v>
      </c>
      <c r="B446" t="s">
        <v>19127</v>
      </c>
      <c r="C446" t="s">
        <v>19128</v>
      </c>
      <c r="D446" t="s">
        <v>0</v>
      </c>
      <c r="E446" t="s">
        <v>271</v>
      </c>
      <c r="F446" t="s">
        <v>355</v>
      </c>
    </row>
    <row r="447" spans="1:6" x14ac:dyDescent="0.25">
      <c r="A447" t="s">
        <v>19129</v>
      </c>
      <c r="B447" t="s">
        <v>18223</v>
      </c>
      <c r="C447" t="s">
        <v>18584</v>
      </c>
      <c r="D447" t="s">
        <v>6689</v>
      </c>
      <c r="E447" t="s">
        <v>269</v>
      </c>
      <c r="F447" t="s">
        <v>6690</v>
      </c>
    </row>
    <row r="448" spans="1:6" x14ac:dyDescent="0.25">
      <c r="A448" t="s">
        <v>19130</v>
      </c>
      <c r="B448" t="s">
        <v>19131</v>
      </c>
      <c r="C448" t="s">
        <v>19132</v>
      </c>
      <c r="D448" t="s">
        <v>1337</v>
      </c>
      <c r="E448" t="s">
        <v>271</v>
      </c>
      <c r="F448" t="s">
        <v>1336</v>
      </c>
    </row>
    <row r="449" spans="1:6" x14ac:dyDescent="0.25">
      <c r="A449" t="s">
        <v>19133</v>
      </c>
      <c r="B449" t="s">
        <v>19134</v>
      </c>
      <c r="C449" t="s">
        <v>19135</v>
      </c>
      <c r="D449" t="s">
        <v>0</v>
      </c>
      <c r="E449" t="s">
        <v>271</v>
      </c>
      <c r="F449" t="s">
        <v>709</v>
      </c>
    </row>
    <row r="450" spans="1:6" x14ac:dyDescent="0.25">
      <c r="A450" t="s">
        <v>19136</v>
      </c>
      <c r="B450" t="s">
        <v>19137</v>
      </c>
      <c r="C450" t="s">
        <v>18501</v>
      </c>
      <c r="D450" t="s">
        <v>2714</v>
      </c>
      <c r="E450" t="s">
        <v>271</v>
      </c>
      <c r="F450" t="s">
        <v>2713</v>
      </c>
    </row>
    <row r="451" spans="1:6" x14ac:dyDescent="0.25">
      <c r="A451" t="s">
        <v>4135</v>
      </c>
      <c r="B451" t="s">
        <v>4136</v>
      </c>
      <c r="C451" t="s">
        <v>4137</v>
      </c>
      <c r="D451" t="s">
        <v>0</v>
      </c>
      <c r="E451" t="s">
        <v>271</v>
      </c>
      <c r="F451" t="s">
        <v>731</v>
      </c>
    </row>
    <row r="452" spans="1:6" x14ac:dyDescent="0.25">
      <c r="A452" t="s">
        <v>19138</v>
      </c>
      <c r="B452" t="s">
        <v>19139</v>
      </c>
      <c r="C452" t="s">
        <v>19140</v>
      </c>
      <c r="D452" t="s">
        <v>450</v>
      </c>
      <c r="E452" t="s">
        <v>271</v>
      </c>
      <c r="F452" t="s">
        <v>326</v>
      </c>
    </row>
    <row r="453" spans="1:6" x14ac:dyDescent="0.25">
      <c r="A453" t="s">
        <v>19141</v>
      </c>
      <c r="B453" t="s">
        <v>19142</v>
      </c>
      <c r="C453" t="s">
        <v>19143</v>
      </c>
      <c r="D453" t="s">
        <v>19144</v>
      </c>
      <c r="E453" t="s">
        <v>457</v>
      </c>
      <c r="F453" t="s">
        <v>19145</v>
      </c>
    </row>
    <row r="454" spans="1:6" x14ac:dyDescent="0.25">
      <c r="A454" t="s">
        <v>19146</v>
      </c>
      <c r="B454" t="s">
        <v>19147</v>
      </c>
      <c r="C454" t="s">
        <v>19148</v>
      </c>
      <c r="D454" t="s">
        <v>488</v>
      </c>
      <c r="E454" t="s">
        <v>271</v>
      </c>
      <c r="F454" t="s">
        <v>2447</v>
      </c>
    </row>
    <row r="455" spans="1:6" x14ac:dyDescent="0.25">
      <c r="A455" t="s">
        <v>19149</v>
      </c>
      <c r="B455" t="s">
        <v>19150</v>
      </c>
      <c r="C455" t="s">
        <v>19151</v>
      </c>
      <c r="D455" t="s">
        <v>1837</v>
      </c>
      <c r="E455" t="s">
        <v>271</v>
      </c>
      <c r="F455" t="s">
        <v>1836</v>
      </c>
    </row>
    <row r="456" spans="1:6" x14ac:dyDescent="0.25">
      <c r="A456" t="s">
        <v>19152</v>
      </c>
      <c r="B456" t="s">
        <v>19153</v>
      </c>
      <c r="C456" t="s">
        <v>19154</v>
      </c>
      <c r="D456" t="s">
        <v>345</v>
      </c>
      <c r="E456" t="s">
        <v>269</v>
      </c>
      <c r="F456" t="s">
        <v>684</v>
      </c>
    </row>
    <row r="457" spans="1:6" x14ac:dyDescent="0.25">
      <c r="A457" t="s">
        <v>3917</v>
      </c>
      <c r="B457" t="s">
        <v>3918</v>
      </c>
      <c r="C457" t="s">
        <v>3919</v>
      </c>
      <c r="D457" t="s">
        <v>0</v>
      </c>
      <c r="E457" t="s">
        <v>271</v>
      </c>
      <c r="F457" t="s">
        <v>731</v>
      </c>
    </row>
    <row r="458" spans="1:6" x14ac:dyDescent="0.25">
      <c r="A458" t="s">
        <v>19155</v>
      </c>
      <c r="B458" t="s">
        <v>19156</v>
      </c>
      <c r="C458" t="s">
        <v>19157</v>
      </c>
      <c r="D458" t="s">
        <v>1110</v>
      </c>
      <c r="E458" t="s">
        <v>271</v>
      </c>
      <c r="F458" t="s">
        <v>1109</v>
      </c>
    </row>
    <row r="459" spans="1:6" x14ac:dyDescent="0.25">
      <c r="A459" t="s">
        <v>19158</v>
      </c>
      <c r="B459" t="s">
        <v>9996</v>
      </c>
      <c r="C459" t="s">
        <v>19159</v>
      </c>
      <c r="D459" t="s">
        <v>450</v>
      </c>
      <c r="E459" t="s">
        <v>271</v>
      </c>
      <c r="F459" t="s">
        <v>2794</v>
      </c>
    </row>
    <row r="460" spans="1:6" x14ac:dyDescent="0.25">
      <c r="A460" t="s">
        <v>19160</v>
      </c>
      <c r="B460" t="s">
        <v>19161</v>
      </c>
      <c r="C460" t="s">
        <v>19162</v>
      </c>
      <c r="D460" t="s">
        <v>0</v>
      </c>
      <c r="E460" t="s">
        <v>271</v>
      </c>
      <c r="F460" t="s">
        <v>431</v>
      </c>
    </row>
    <row r="461" spans="1:6" x14ac:dyDescent="0.25">
      <c r="A461" t="s">
        <v>4248</v>
      </c>
      <c r="B461" t="s">
        <v>4249</v>
      </c>
      <c r="C461" t="s">
        <v>4250</v>
      </c>
      <c r="D461" t="s">
        <v>1915</v>
      </c>
      <c r="E461" t="s">
        <v>269</v>
      </c>
      <c r="F461" t="s">
        <v>1914</v>
      </c>
    </row>
    <row r="462" spans="1:6" x14ac:dyDescent="0.25">
      <c r="A462" t="s">
        <v>19163</v>
      </c>
      <c r="B462" t="s">
        <v>19164</v>
      </c>
      <c r="C462" t="s">
        <v>19165</v>
      </c>
      <c r="D462" t="s">
        <v>1165</v>
      </c>
      <c r="E462" t="s">
        <v>271</v>
      </c>
      <c r="F462" t="s">
        <v>1402</v>
      </c>
    </row>
    <row r="463" spans="1:6" x14ac:dyDescent="0.25">
      <c r="A463" t="s">
        <v>4357</v>
      </c>
      <c r="B463" t="s">
        <v>4358</v>
      </c>
      <c r="C463" t="s">
        <v>4359</v>
      </c>
      <c r="D463" t="s">
        <v>1601</v>
      </c>
      <c r="E463" t="s">
        <v>269</v>
      </c>
      <c r="F463" t="s">
        <v>1600</v>
      </c>
    </row>
    <row r="464" spans="1:6" x14ac:dyDescent="0.25">
      <c r="A464" t="s">
        <v>19166</v>
      </c>
      <c r="B464" t="s">
        <v>19167</v>
      </c>
      <c r="C464" t="s">
        <v>19168</v>
      </c>
      <c r="D464" t="s">
        <v>972</v>
      </c>
      <c r="E464" t="s">
        <v>269</v>
      </c>
      <c r="F464" t="s">
        <v>971</v>
      </c>
    </row>
    <row r="465" spans="1:6" x14ac:dyDescent="0.25">
      <c r="A465" t="s">
        <v>4102</v>
      </c>
      <c r="B465" t="s">
        <v>4103</v>
      </c>
      <c r="C465" t="s">
        <v>4107</v>
      </c>
      <c r="D465" t="s">
        <v>4106</v>
      </c>
      <c r="E465" t="s">
        <v>269</v>
      </c>
      <c r="F465" t="s">
        <v>4105</v>
      </c>
    </row>
    <row r="466" spans="1:6" x14ac:dyDescent="0.25">
      <c r="A466" t="s">
        <v>19169</v>
      </c>
      <c r="B466" t="s">
        <v>19170</v>
      </c>
      <c r="C466" t="s">
        <v>13584</v>
      </c>
      <c r="D466" t="s">
        <v>2714</v>
      </c>
      <c r="E466" t="s">
        <v>271</v>
      </c>
      <c r="F466" t="s">
        <v>2713</v>
      </c>
    </row>
    <row r="467" spans="1:6" x14ac:dyDescent="0.25">
      <c r="A467" t="s">
        <v>4304</v>
      </c>
      <c r="B467" t="s">
        <v>4305</v>
      </c>
      <c r="C467" t="s">
        <v>4307</v>
      </c>
      <c r="D467" t="s">
        <v>0</v>
      </c>
      <c r="E467" t="s">
        <v>271</v>
      </c>
      <c r="F467" t="s">
        <v>436</v>
      </c>
    </row>
    <row r="468" spans="1:6" x14ac:dyDescent="0.25">
      <c r="A468" t="s">
        <v>19171</v>
      </c>
      <c r="B468" t="s">
        <v>19172</v>
      </c>
      <c r="C468" t="s">
        <v>19173</v>
      </c>
      <c r="D468" t="s">
        <v>0</v>
      </c>
      <c r="E468" t="s">
        <v>271</v>
      </c>
      <c r="F468" t="s">
        <v>726</v>
      </c>
    </row>
    <row r="469" spans="1:6" x14ac:dyDescent="0.25">
      <c r="A469" t="s">
        <v>4236</v>
      </c>
      <c r="B469" t="s">
        <v>4237</v>
      </c>
      <c r="C469" t="s">
        <v>4238</v>
      </c>
      <c r="D469" t="s">
        <v>1548</v>
      </c>
      <c r="E469" t="s">
        <v>271</v>
      </c>
      <c r="F469" t="s">
        <v>1547</v>
      </c>
    </row>
    <row r="470" spans="1:6" x14ac:dyDescent="0.25">
      <c r="A470" t="s">
        <v>4022</v>
      </c>
      <c r="B470" t="s">
        <v>4023</v>
      </c>
      <c r="C470" t="s">
        <v>4025</v>
      </c>
      <c r="D470" t="s">
        <v>446</v>
      </c>
      <c r="E470" t="s">
        <v>271</v>
      </c>
      <c r="F470" t="s">
        <v>447</v>
      </c>
    </row>
    <row r="471" spans="1:6" x14ac:dyDescent="0.25">
      <c r="A471" t="s">
        <v>4086</v>
      </c>
      <c r="B471" t="s">
        <v>4087</v>
      </c>
      <c r="C471" t="s">
        <v>4090</v>
      </c>
      <c r="D471" t="s">
        <v>4089</v>
      </c>
      <c r="E471" t="s">
        <v>271</v>
      </c>
      <c r="F471" t="s">
        <v>480</v>
      </c>
    </row>
    <row r="472" spans="1:6" x14ac:dyDescent="0.25">
      <c r="A472" t="s">
        <v>19174</v>
      </c>
      <c r="B472" t="s">
        <v>19175</v>
      </c>
      <c r="C472" t="s">
        <v>19176</v>
      </c>
      <c r="D472" t="s">
        <v>314</v>
      </c>
      <c r="E472" t="s">
        <v>271</v>
      </c>
      <c r="F472" t="s">
        <v>352</v>
      </c>
    </row>
    <row r="473" spans="1:6" x14ac:dyDescent="0.25">
      <c r="A473" t="s">
        <v>19177</v>
      </c>
      <c r="B473" t="s">
        <v>19178</v>
      </c>
      <c r="C473" t="s">
        <v>18101</v>
      </c>
      <c r="D473" t="s">
        <v>1915</v>
      </c>
      <c r="E473" t="s">
        <v>269</v>
      </c>
      <c r="F473" t="s">
        <v>1914</v>
      </c>
    </row>
    <row r="474" spans="1:6" x14ac:dyDescent="0.25">
      <c r="A474" t="s">
        <v>19179</v>
      </c>
      <c r="B474" t="s">
        <v>19180</v>
      </c>
      <c r="C474" t="s">
        <v>19181</v>
      </c>
      <c r="D474" t="s">
        <v>506</v>
      </c>
      <c r="E474" t="s">
        <v>271</v>
      </c>
      <c r="F474" t="s">
        <v>507</v>
      </c>
    </row>
    <row r="475" spans="1:6" x14ac:dyDescent="0.25">
      <c r="A475" t="s">
        <v>19182</v>
      </c>
      <c r="B475" t="s">
        <v>19183</v>
      </c>
      <c r="C475" t="s">
        <v>19184</v>
      </c>
      <c r="D475" t="s">
        <v>972</v>
      </c>
      <c r="E475" t="s">
        <v>269</v>
      </c>
      <c r="F475" t="s">
        <v>971</v>
      </c>
    </row>
    <row r="476" spans="1:6" x14ac:dyDescent="0.25">
      <c r="A476" t="s">
        <v>19185</v>
      </c>
      <c r="B476" t="s">
        <v>19186</v>
      </c>
      <c r="C476" t="s">
        <v>19187</v>
      </c>
      <c r="D476" t="s">
        <v>239</v>
      </c>
      <c r="E476" t="s">
        <v>271</v>
      </c>
      <c r="F476" t="s">
        <v>544</v>
      </c>
    </row>
    <row r="477" spans="1:6" x14ac:dyDescent="0.25">
      <c r="A477" t="s">
        <v>19188</v>
      </c>
      <c r="B477" t="s">
        <v>19189</v>
      </c>
      <c r="C477" t="s">
        <v>19190</v>
      </c>
      <c r="D477" t="s">
        <v>1303</v>
      </c>
      <c r="E477" t="s">
        <v>269</v>
      </c>
      <c r="F477" t="s">
        <v>1302</v>
      </c>
    </row>
    <row r="478" spans="1:6" x14ac:dyDescent="0.25">
      <c r="A478" t="s">
        <v>19191</v>
      </c>
      <c r="B478" t="s">
        <v>18168</v>
      </c>
      <c r="C478" t="s">
        <v>19192</v>
      </c>
      <c r="D478" t="s">
        <v>986</v>
      </c>
      <c r="E478" t="s">
        <v>271</v>
      </c>
      <c r="F478" t="s">
        <v>3275</v>
      </c>
    </row>
    <row r="479" spans="1:6" x14ac:dyDescent="0.25">
      <c r="A479" t="s">
        <v>19193</v>
      </c>
      <c r="B479" t="s">
        <v>19194</v>
      </c>
      <c r="C479" t="s">
        <v>19195</v>
      </c>
      <c r="D479" t="s">
        <v>2578</v>
      </c>
      <c r="E479" t="s">
        <v>271</v>
      </c>
      <c r="F479" t="s">
        <v>2577</v>
      </c>
    </row>
    <row r="480" spans="1:6" x14ac:dyDescent="0.25">
      <c r="A480" t="s">
        <v>19196</v>
      </c>
      <c r="B480" t="s">
        <v>19197</v>
      </c>
      <c r="C480" t="s">
        <v>19198</v>
      </c>
      <c r="D480" t="s">
        <v>972</v>
      </c>
      <c r="E480" t="s">
        <v>269</v>
      </c>
      <c r="F480" t="s">
        <v>971</v>
      </c>
    </row>
    <row r="481" spans="1:6" x14ac:dyDescent="0.25">
      <c r="A481" t="s">
        <v>19199</v>
      </c>
      <c r="B481" t="s">
        <v>19200</v>
      </c>
      <c r="C481" t="s">
        <v>19201</v>
      </c>
      <c r="D481" t="s">
        <v>0</v>
      </c>
      <c r="E481" t="s">
        <v>271</v>
      </c>
      <c r="F481" t="s">
        <v>325</v>
      </c>
    </row>
    <row r="482" spans="1:6" x14ac:dyDescent="0.25">
      <c r="A482" t="s">
        <v>19202</v>
      </c>
      <c r="B482" t="s">
        <v>19203</v>
      </c>
      <c r="C482" t="s">
        <v>19204</v>
      </c>
      <c r="D482" t="s">
        <v>314</v>
      </c>
      <c r="E482" t="s">
        <v>271</v>
      </c>
      <c r="F482" t="s">
        <v>3081</v>
      </c>
    </row>
    <row r="483" spans="1:6" x14ac:dyDescent="0.25">
      <c r="A483" t="s">
        <v>19205</v>
      </c>
      <c r="B483" t="s">
        <v>18223</v>
      </c>
      <c r="C483" t="s">
        <v>18584</v>
      </c>
      <c r="D483" t="s">
        <v>6689</v>
      </c>
      <c r="E483" t="s">
        <v>269</v>
      </c>
      <c r="F483" t="s">
        <v>6690</v>
      </c>
    </row>
    <row r="484" spans="1:6" x14ac:dyDescent="0.25">
      <c r="A484" t="s">
        <v>3909</v>
      </c>
      <c r="B484" t="s">
        <v>3910</v>
      </c>
      <c r="C484" t="s">
        <v>3912</v>
      </c>
      <c r="D484" t="s">
        <v>0</v>
      </c>
      <c r="E484" t="s">
        <v>271</v>
      </c>
      <c r="F484" t="s">
        <v>355</v>
      </c>
    </row>
    <row r="485" spans="1:6" x14ac:dyDescent="0.25">
      <c r="A485" t="s">
        <v>19206</v>
      </c>
      <c r="B485" t="s">
        <v>19207</v>
      </c>
      <c r="C485" t="s">
        <v>19208</v>
      </c>
      <c r="D485" t="s">
        <v>3343</v>
      </c>
      <c r="E485" t="s">
        <v>271</v>
      </c>
      <c r="F485" t="s">
        <v>3342</v>
      </c>
    </row>
    <row r="486" spans="1:6" x14ac:dyDescent="0.25">
      <c r="A486" t="s">
        <v>19209</v>
      </c>
      <c r="B486" t="s">
        <v>19210</v>
      </c>
      <c r="C486" t="s">
        <v>18242</v>
      </c>
      <c r="D486" t="s">
        <v>0</v>
      </c>
      <c r="E486" t="s">
        <v>271</v>
      </c>
      <c r="F486" t="s">
        <v>1214</v>
      </c>
    </row>
    <row r="487" spans="1:6" x14ac:dyDescent="0.25">
      <c r="A487" t="s">
        <v>19211</v>
      </c>
      <c r="B487" t="s">
        <v>19212</v>
      </c>
      <c r="C487" t="s">
        <v>19213</v>
      </c>
      <c r="D487" t="s">
        <v>586</v>
      </c>
      <c r="E487" t="s">
        <v>271</v>
      </c>
      <c r="F487" t="s">
        <v>334</v>
      </c>
    </row>
    <row r="488" spans="1:6" x14ac:dyDescent="0.25">
      <c r="A488" t="s">
        <v>19214</v>
      </c>
      <c r="B488" t="s">
        <v>18442</v>
      </c>
      <c r="C488" t="s">
        <v>19215</v>
      </c>
      <c r="D488" t="s">
        <v>2067</v>
      </c>
      <c r="E488" t="s">
        <v>271</v>
      </c>
      <c r="F488" t="s">
        <v>2066</v>
      </c>
    </row>
    <row r="489" spans="1:6" x14ac:dyDescent="0.25">
      <c r="A489" t="s">
        <v>19216</v>
      </c>
      <c r="B489" t="s">
        <v>19217</v>
      </c>
      <c r="C489" t="s">
        <v>4174</v>
      </c>
      <c r="D489" t="s">
        <v>510</v>
      </c>
      <c r="E489" t="s">
        <v>271</v>
      </c>
      <c r="F489" t="s">
        <v>437</v>
      </c>
    </row>
    <row r="490" spans="1:6" x14ac:dyDescent="0.25">
      <c r="A490" t="s">
        <v>3998</v>
      </c>
      <c r="B490" t="s">
        <v>3999</v>
      </c>
      <c r="C490" t="s">
        <v>4000</v>
      </c>
      <c r="D490" t="s">
        <v>1638</v>
      </c>
      <c r="E490" t="s">
        <v>271</v>
      </c>
      <c r="F490" t="s">
        <v>1637</v>
      </c>
    </row>
    <row r="491" spans="1:6" x14ac:dyDescent="0.25">
      <c r="A491" t="s">
        <v>19218</v>
      </c>
      <c r="B491" t="s">
        <v>19219</v>
      </c>
      <c r="C491" t="s">
        <v>592</v>
      </c>
      <c r="D491" t="s">
        <v>453</v>
      </c>
      <c r="E491" t="s">
        <v>271</v>
      </c>
      <c r="F491" t="s">
        <v>2285</v>
      </c>
    </row>
    <row r="492" spans="1:6" x14ac:dyDescent="0.25">
      <c r="A492" t="s">
        <v>19220</v>
      </c>
      <c r="B492" t="s">
        <v>19221</v>
      </c>
      <c r="C492" t="s">
        <v>19222</v>
      </c>
      <c r="D492" t="s">
        <v>1723</v>
      </c>
      <c r="E492" t="s">
        <v>271</v>
      </c>
      <c r="F492" t="s">
        <v>1722</v>
      </c>
    </row>
    <row r="493" spans="1:6" x14ac:dyDescent="0.25">
      <c r="A493" t="s">
        <v>19223</v>
      </c>
      <c r="B493" t="s">
        <v>19224</v>
      </c>
      <c r="C493" t="s">
        <v>12589</v>
      </c>
      <c r="D493" t="s">
        <v>0</v>
      </c>
      <c r="E493" t="s">
        <v>271</v>
      </c>
      <c r="F493" t="s">
        <v>881</v>
      </c>
    </row>
    <row r="494" spans="1:6" x14ac:dyDescent="0.25">
      <c r="A494" t="s">
        <v>19225</v>
      </c>
      <c r="B494" t="s">
        <v>19226</v>
      </c>
      <c r="C494" t="s">
        <v>19227</v>
      </c>
      <c r="D494" t="s">
        <v>510</v>
      </c>
      <c r="E494" t="s">
        <v>271</v>
      </c>
      <c r="F494" t="s">
        <v>852</v>
      </c>
    </row>
    <row r="495" spans="1:6" x14ac:dyDescent="0.25">
      <c r="A495" t="s">
        <v>19228</v>
      </c>
      <c r="B495" t="s">
        <v>19229</v>
      </c>
      <c r="C495" t="s">
        <v>19230</v>
      </c>
      <c r="D495" t="s">
        <v>0</v>
      </c>
      <c r="E495" t="s">
        <v>271</v>
      </c>
      <c r="F495" t="s">
        <v>431</v>
      </c>
    </row>
    <row r="496" spans="1:6" x14ac:dyDescent="0.25">
      <c r="A496" t="s">
        <v>19231</v>
      </c>
      <c r="B496" t="s">
        <v>19232</v>
      </c>
      <c r="C496" t="s">
        <v>19233</v>
      </c>
      <c r="D496" t="s">
        <v>272</v>
      </c>
      <c r="E496" t="s">
        <v>269</v>
      </c>
      <c r="F496" t="s">
        <v>907</v>
      </c>
    </row>
    <row r="497" spans="1:6" x14ac:dyDescent="0.25">
      <c r="A497" t="s">
        <v>19234</v>
      </c>
      <c r="B497" t="s">
        <v>19235</v>
      </c>
      <c r="C497" t="s">
        <v>19236</v>
      </c>
      <c r="D497" t="s">
        <v>314</v>
      </c>
      <c r="E497" t="s">
        <v>271</v>
      </c>
      <c r="F497" t="s">
        <v>370</v>
      </c>
    </row>
    <row r="498" spans="1:6" x14ac:dyDescent="0.25">
      <c r="A498" t="s">
        <v>19237</v>
      </c>
      <c r="B498" t="s">
        <v>19238</v>
      </c>
      <c r="C498" t="s">
        <v>19239</v>
      </c>
      <c r="D498" t="s">
        <v>3208</v>
      </c>
      <c r="E498" t="s">
        <v>271</v>
      </c>
      <c r="F498" t="s">
        <v>3207</v>
      </c>
    </row>
    <row r="499" spans="1:6" x14ac:dyDescent="0.25">
      <c r="A499" t="s">
        <v>19240</v>
      </c>
      <c r="B499" t="s">
        <v>19241</v>
      </c>
      <c r="C499" t="s">
        <v>19242</v>
      </c>
      <c r="D499" t="s">
        <v>357</v>
      </c>
      <c r="E499" t="s">
        <v>271</v>
      </c>
      <c r="F499" t="s">
        <v>452</v>
      </c>
    </row>
    <row r="500" spans="1:6" x14ac:dyDescent="0.25">
      <c r="A500" t="s">
        <v>19243</v>
      </c>
      <c r="B500" t="s">
        <v>19244</v>
      </c>
      <c r="C500" t="s">
        <v>19245</v>
      </c>
      <c r="D500" t="s">
        <v>0</v>
      </c>
      <c r="E500" t="s">
        <v>271</v>
      </c>
      <c r="F500" t="s">
        <v>1152</v>
      </c>
    </row>
    <row r="501" spans="1:6" x14ac:dyDescent="0.25">
      <c r="A501" t="s">
        <v>19246</v>
      </c>
      <c r="B501" t="s">
        <v>19247</v>
      </c>
      <c r="C501" t="s">
        <v>19248</v>
      </c>
      <c r="D501" t="s">
        <v>506</v>
      </c>
      <c r="E501" t="s">
        <v>271</v>
      </c>
      <c r="F501" t="s">
        <v>507</v>
      </c>
    </row>
    <row r="502" spans="1:6" x14ac:dyDescent="0.25">
      <c r="A502" t="s">
        <v>19249</v>
      </c>
      <c r="B502" t="s">
        <v>19250</v>
      </c>
      <c r="C502" t="s">
        <v>19251</v>
      </c>
      <c r="D502" t="s">
        <v>492</v>
      </c>
      <c r="E502" t="s">
        <v>271</v>
      </c>
      <c r="F502" t="s">
        <v>1221</v>
      </c>
    </row>
    <row r="503" spans="1:6" x14ac:dyDescent="0.25">
      <c r="A503" t="s">
        <v>19252</v>
      </c>
      <c r="B503" t="s">
        <v>19253</v>
      </c>
      <c r="C503" t="s">
        <v>14091</v>
      </c>
      <c r="D503" t="s">
        <v>1186</v>
      </c>
      <c r="E503" t="s">
        <v>271</v>
      </c>
      <c r="F503" t="s">
        <v>1185</v>
      </c>
    </row>
    <row r="504" spans="1:6" x14ac:dyDescent="0.25">
      <c r="A504" t="s">
        <v>19254</v>
      </c>
      <c r="B504" t="s">
        <v>19255</v>
      </c>
      <c r="C504" t="s">
        <v>19256</v>
      </c>
      <c r="D504" t="s">
        <v>461</v>
      </c>
      <c r="E504" t="s">
        <v>271</v>
      </c>
      <c r="F504" t="s">
        <v>336</v>
      </c>
    </row>
    <row r="505" spans="1:6" x14ac:dyDescent="0.25">
      <c r="A505" t="s">
        <v>3977</v>
      </c>
      <c r="B505" t="s">
        <v>3978</v>
      </c>
      <c r="C505" t="s">
        <v>3979</v>
      </c>
      <c r="D505" t="s">
        <v>817</v>
      </c>
      <c r="E505" t="s">
        <v>271</v>
      </c>
      <c r="F505" t="s">
        <v>816</v>
      </c>
    </row>
    <row r="506" spans="1:6" x14ac:dyDescent="0.25">
      <c r="A506" t="s">
        <v>19257</v>
      </c>
      <c r="B506" t="s">
        <v>19258</v>
      </c>
      <c r="C506" t="s">
        <v>19259</v>
      </c>
      <c r="D506" t="s">
        <v>0</v>
      </c>
      <c r="E506" t="s">
        <v>271</v>
      </c>
      <c r="F506" t="s">
        <v>325</v>
      </c>
    </row>
    <row r="507" spans="1:6" x14ac:dyDescent="0.25">
      <c r="A507" t="s">
        <v>19260</v>
      </c>
      <c r="B507" t="s">
        <v>19261</v>
      </c>
      <c r="C507" t="s">
        <v>19262</v>
      </c>
      <c r="D507" t="s">
        <v>916</v>
      </c>
      <c r="E507" t="s">
        <v>271</v>
      </c>
      <c r="F507" t="s">
        <v>915</v>
      </c>
    </row>
    <row r="508" spans="1:6" x14ac:dyDescent="0.25">
      <c r="A508" t="s">
        <v>3888</v>
      </c>
      <c r="B508" t="s">
        <v>3889</v>
      </c>
      <c r="C508" t="s">
        <v>3890</v>
      </c>
      <c r="D508" t="s">
        <v>1370</v>
      </c>
      <c r="E508" t="s">
        <v>271</v>
      </c>
      <c r="F508" t="s">
        <v>1369</v>
      </c>
    </row>
    <row r="509" spans="1:6" x14ac:dyDescent="0.25">
      <c r="A509" t="s">
        <v>19263</v>
      </c>
      <c r="B509" t="s">
        <v>19264</v>
      </c>
      <c r="C509" t="s">
        <v>19265</v>
      </c>
      <c r="D509" t="s">
        <v>0</v>
      </c>
      <c r="E509" t="s">
        <v>271</v>
      </c>
      <c r="F509" t="s">
        <v>319</v>
      </c>
    </row>
    <row r="510" spans="1:6" x14ac:dyDescent="0.25">
      <c r="A510" t="s">
        <v>19266</v>
      </c>
      <c r="B510" t="s">
        <v>19267</v>
      </c>
      <c r="C510" t="s">
        <v>9921</v>
      </c>
      <c r="D510" t="s">
        <v>258</v>
      </c>
      <c r="E510" t="s">
        <v>271</v>
      </c>
      <c r="F510" t="s">
        <v>524</v>
      </c>
    </row>
    <row r="511" spans="1:6" x14ac:dyDescent="0.25">
      <c r="A511" t="s">
        <v>19268</v>
      </c>
      <c r="B511" t="s">
        <v>19269</v>
      </c>
      <c r="C511" t="s">
        <v>19270</v>
      </c>
      <c r="D511" t="s">
        <v>0</v>
      </c>
      <c r="E511" t="s">
        <v>271</v>
      </c>
      <c r="F511" t="s">
        <v>4402</v>
      </c>
    </row>
    <row r="512" spans="1:6" x14ac:dyDescent="0.25">
      <c r="A512" t="s">
        <v>19271</v>
      </c>
      <c r="B512" t="s">
        <v>19272</v>
      </c>
      <c r="C512" t="s">
        <v>19273</v>
      </c>
      <c r="D512" t="s">
        <v>363</v>
      </c>
      <c r="E512" t="s">
        <v>271</v>
      </c>
      <c r="F512" t="s">
        <v>364</v>
      </c>
    </row>
    <row r="513" spans="1:6" x14ac:dyDescent="0.25">
      <c r="A513" t="s">
        <v>4006</v>
      </c>
      <c r="B513" t="s">
        <v>4007</v>
      </c>
      <c r="C513" t="s">
        <v>4009</v>
      </c>
      <c r="D513" t="s">
        <v>0</v>
      </c>
      <c r="E513" t="s">
        <v>271</v>
      </c>
      <c r="F513" t="s">
        <v>688</v>
      </c>
    </row>
    <row r="514" spans="1:6" x14ac:dyDescent="0.25">
      <c r="A514" t="s">
        <v>19274</v>
      </c>
      <c r="B514" t="s">
        <v>19275</v>
      </c>
      <c r="C514" t="s">
        <v>19276</v>
      </c>
      <c r="D514" t="s">
        <v>455</v>
      </c>
      <c r="E514" t="s">
        <v>341</v>
      </c>
      <c r="F514" t="s">
        <v>422</v>
      </c>
    </row>
    <row r="515" spans="1:6" x14ac:dyDescent="0.25">
      <c r="A515" t="s">
        <v>19277</v>
      </c>
      <c r="B515" t="s">
        <v>19278</v>
      </c>
      <c r="C515" t="s">
        <v>18873</v>
      </c>
      <c r="D515" t="s">
        <v>0</v>
      </c>
      <c r="E515" t="s">
        <v>271</v>
      </c>
      <c r="F515" t="s">
        <v>688</v>
      </c>
    </row>
    <row r="516" spans="1:6" x14ac:dyDescent="0.25">
      <c r="A516" t="s">
        <v>19279</v>
      </c>
      <c r="B516" t="s">
        <v>19280</v>
      </c>
      <c r="C516" t="s">
        <v>19281</v>
      </c>
      <c r="D516" t="s">
        <v>1079</v>
      </c>
      <c r="E516" t="s">
        <v>271</v>
      </c>
      <c r="F516" t="s">
        <v>1176</v>
      </c>
    </row>
    <row r="517" spans="1:6" x14ac:dyDescent="0.25">
      <c r="A517" t="s">
        <v>4361</v>
      </c>
      <c r="B517" t="s">
        <v>4362</v>
      </c>
      <c r="C517" t="s">
        <v>4363</v>
      </c>
      <c r="D517" t="s">
        <v>572</v>
      </c>
      <c r="E517" t="s">
        <v>271</v>
      </c>
      <c r="F517" t="s">
        <v>335</v>
      </c>
    </row>
    <row r="518" spans="1:6" x14ac:dyDescent="0.25">
      <c r="A518" t="s">
        <v>19282</v>
      </c>
      <c r="B518" t="s">
        <v>19283</v>
      </c>
      <c r="C518" t="s">
        <v>19284</v>
      </c>
      <c r="D518" t="s">
        <v>835</v>
      </c>
      <c r="E518" t="s">
        <v>269</v>
      </c>
      <c r="F518" t="s">
        <v>834</v>
      </c>
    </row>
    <row r="519" spans="1:6" x14ac:dyDescent="0.25">
      <c r="A519" t="s">
        <v>19285</v>
      </c>
      <c r="B519" t="s">
        <v>10249</v>
      </c>
      <c r="C519" t="s">
        <v>19286</v>
      </c>
      <c r="D519" t="s">
        <v>1542</v>
      </c>
      <c r="E519" t="s">
        <v>269</v>
      </c>
      <c r="F519" t="s">
        <v>1541</v>
      </c>
    </row>
    <row r="520" spans="1:6" x14ac:dyDescent="0.25">
      <c r="A520" t="s">
        <v>19287</v>
      </c>
      <c r="B520" t="s">
        <v>601</v>
      </c>
      <c r="C520" t="s">
        <v>19288</v>
      </c>
      <c r="D520" t="s">
        <v>1723</v>
      </c>
      <c r="E520" t="s">
        <v>271</v>
      </c>
      <c r="F520" t="s">
        <v>2066</v>
      </c>
    </row>
    <row r="521" spans="1:6" x14ac:dyDescent="0.25">
      <c r="A521" t="s">
        <v>19289</v>
      </c>
      <c r="B521" t="s">
        <v>19290</v>
      </c>
      <c r="C521" t="s">
        <v>18183</v>
      </c>
      <c r="D521" t="s">
        <v>0</v>
      </c>
      <c r="E521" t="s">
        <v>271</v>
      </c>
      <c r="F521" t="s">
        <v>688</v>
      </c>
    </row>
    <row r="522" spans="1:6" x14ac:dyDescent="0.25">
      <c r="A522" t="s">
        <v>3985</v>
      </c>
      <c r="B522" t="s">
        <v>3986</v>
      </c>
      <c r="C522" t="s">
        <v>3990</v>
      </c>
      <c r="D522" t="s">
        <v>3989</v>
      </c>
      <c r="E522" t="s">
        <v>271</v>
      </c>
      <c r="F522" t="s">
        <v>3988</v>
      </c>
    </row>
    <row r="523" spans="1:6" x14ac:dyDescent="0.25">
      <c r="A523" t="s">
        <v>19291</v>
      </c>
      <c r="B523" t="s">
        <v>19292</v>
      </c>
      <c r="C523" t="s">
        <v>19293</v>
      </c>
      <c r="D523" t="s">
        <v>742</v>
      </c>
      <c r="E523" t="s">
        <v>271</v>
      </c>
      <c r="F523" t="s">
        <v>741</v>
      </c>
    </row>
    <row r="524" spans="1:6" x14ac:dyDescent="0.25">
      <c r="A524" t="s">
        <v>19294</v>
      </c>
      <c r="B524" t="s">
        <v>19295</v>
      </c>
      <c r="C524" t="s">
        <v>19296</v>
      </c>
      <c r="D524" t="s">
        <v>0</v>
      </c>
      <c r="E524" t="s">
        <v>271</v>
      </c>
      <c r="F524" t="s">
        <v>688</v>
      </c>
    </row>
    <row r="525" spans="1:6" x14ac:dyDescent="0.25">
      <c r="A525" t="s">
        <v>19297</v>
      </c>
      <c r="B525" t="s">
        <v>19298</v>
      </c>
      <c r="C525" t="s">
        <v>3936</v>
      </c>
      <c r="D525" t="s">
        <v>0</v>
      </c>
      <c r="E525" t="s">
        <v>271</v>
      </c>
      <c r="F525" t="s">
        <v>1214</v>
      </c>
    </row>
    <row r="526" spans="1:6" x14ac:dyDescent="0.25">
      <c r="A526" t="s">
        <v>19299</v>
      </c>
      <c r="B526" t="s">
        <v>19300</v>
      </c>
      <c r="C526" t="s">
        <v>18851</v>
      </c>
      <c r="D526" t="s">
        <v>0</v>
      </c>
      <c r="E526" t="s">
        <v>271</v>
      </c>
      <c r="F526" t="s">
        <v>1214</v>
      </c>
    </row>
    <row r="527" spans="1:6" x14ac:dyDescent="0.25">
      <c r="A527" t="s">
        <v>4098</v>
      </c>
      <c r="B527" t="s">
        <v>4099</v>
      </c>
      <c r="C527" t="s">
        <v>4100</v>
      </c>
      <c r="D527" t="s">
        <v>0</v>
      </c>
      <c r="E527" t="s">
        <v>271</v>
      </c>
      <c r="F527" t="s">
        <v>436</v>
      </c>
    </row>
    <row r="528" spans="1:6" x14ac:dyDescent="0.25">
      <c r="A528" t="s">
        <v>19301</v>
      </c>
      <c r="B528" t="s">
        <v>19302</v>
      </c>
      <c r="C528" t="s">
        <v>19303</v>
      </c>
      <c r="D528" t="s">
        <v>0</v>
      </c>
      <c r="E528" t="s">
        <v>271</v>
      </c>
      <c r="F528" t="s">
        <v>1115</v>
      </c>
    </row>
    <row r="529" spans="1:6" x14ac:dyDescent="0.25">
      <c r="A529" t="s">
        <v>19304</v>
      </c>
      <c r="B529" t="s">
        <v>19305</v>
      </c>
      <c r="C529" t="s">
        <v>19306</v>
      </c>
      <c r="D529" t="s">
        <v>2093</v>
      </c>
      <c r="E529" t="s">
        <v>271</v>
      </c>
      <c r="F529" t="s">
        <v>1058</v>
      </c>
    </row>
    <row r="530" spans="1:6" x14ac:dyDescent="0.25">
      <c r="A530" t="s">
        <v>19307</v>
      </c>
      <c r="B530" t="s">
        <v>19308</v>
      </c>
      <c r="C530" t="s">
        <v>3936</v>
      </c>
      <c r="D530" t="s">
        <v>0</v>
      </c>
      <c r="E530" t="s">
        <v>271</v>
      </c>
      <c r="F530" t="s">
        <v>1214</v>
      </c>
    </row>
    <row r="531" spans="1:6" x14ac:dyDescent="0.25">
      <c r="A531" t="s">
        <v>19309</v>
      </c>
      <c r="B531" t="s">
        <v>19310</v>
      </c>
      <c r="C531" t="s">
        <v>19311</v>
      </c>
      <c r="D531" t="s">
        <v>214</v>
      </c>
      <c r="E531" t="s">
        <v>271</v>
      </c>
      <c r="F531" t="s">
        <v>324</v>
      </c>
    </row>
    <row r="532" spans="1:6" x14ac:dyDescent="0.25">
      <c r="A532" t="s">
        <v>19312</v>
      </c>
      <c r="B532" t="s">
        <v>19313</v>
      </c>
      <c r="C532" t="s">
        <v>19314</v>
      </c>
      <c r="D532" t="s">
        <v>510</v>
      </c>
      <c r="E532" t="s">
        <v>271</v>
      </c>
      <c r="F532" t="s">
        <v>1829</v>
      </c>
    </row>
    <row r="533" spans="1:6" x14ac:dyDescent="0.25">
      <c r="A533" t="s">
        <v>19315</v>
      </c>
      <c r="B533" t="s">
        <v>19316</v>
      </c>
      <c r="C533" t="s">
        <v>19317</v>
      </c>
      <c r="D533" t="s">
        <v>0</v>
      </c>
      <c r="E533" t="s">
        <v>271</v>
      </c>
      <c r="F533" t="s">
        <v>688</v>
      </c>
    </row>
    <row r="534" spans="1:6" x14ac:dyDescent="0.25">
      <c r="A534" t="s">
        <v>19318</v>
      </c>
      <c r="B534" t="s">
        <v>19319</v>
      </c>
      <c r="C534" t="s">
        <v>19320</v>
      </c>
      <c r="D534" t="s">
        <v>490</v>
      </c>
      <c r="E534" t="s">
        <v>271</v>
      </c>
      <c r="F534" t="s">
        <v>491</v>
      </c>
    </row>
    <row r="535" spans="1:6" x14ac:dyDescent="0.25">
      <c r="A535" t="s">
        <v>19321</v>
      </c>
      <c r="B535" t="s">
        <v>19322</v>
      </c>
      <c r="C535" t="s">
        <v>19323</v>
      </c>
      <c r="D535" t="s">
        <v>0</v>
      </c>
      <c r="E535" t="s">
        <v>271</v>
      </c>
      <c r="F535" t="s">
        <v>2641</v>
      </c>
    </row>
    <row r="536" spans="1:6" x14ac:dyDescent="0.25">
      <c r="A536" t="s">
        <v>19324</v>
      </c>
      <c r="B536" t="s">
        <v>19325</v>
      </c>
      <c r="C536" t="s">
        <v>19326</v>
      </c>
      <c r="D536" t="s">
        <v>0</v>
      </c>
      <c r="E536" t="s">
        <v>271</v>
      </c>
      <c r="F536" t="s">
        <v>325</v>
      </c>
    </row>
    <row r="537" spans="1:6" x14ac:dyDescent="0.25">
      <c r="A537" t="s">
        <v>19327</v>
      </c>
      <c r="B537" t="s">
        <v>19328</v>
      </c>
      <c r="C537" t="s">
        <v>19329</v>
      </c>
      <c r="D537" t="s">
        <v>1485</v>
      </c>
      <c r="E537" t="s">
        <v>271</v>
      </c>
      <c r="F537" t="s">
        <v>1519</v>
      </c>
    </row>
    <row r="538" spans="1:6" x14ac:dyDescent="0.25">
      <c r="A538" t="s">
        <v>19330</v>
      </c>
      <c r="B538" t="s">
        <v>19331</v>
      </c>
      <c r="C538" t="s">
        <v>19332</v>
      </c>
      <c r="D538" t="s">
        <v>3680</v>
      </c>
      <c r="E538" t="s">
        <v>271</v>
      </c>
      <c r="F538" t="s">
        <v>3679</v>
      </c>
    </row>
    <row r="539" spans="1:6" x14ac:dyDescent="0.25">
      <c r="A539" t="s">
        <v>19333</v>
      </c>
      <c r="B539" t="s">
        <v>19334</v>
      </c>
      <c r="C539" t="s">
        <v>19335</v>
      </c>
      <c r="D539" t="s">
        <v>540</v>
      </c>
      <c r="E539" t="s">
        <v>271</v>
      </c>
      <c r="F539" t="s">
        <v>339</v>
      </c>
    </row>
    <row r="540" spans="1:6" x14ac:dyDescent="0.25">
      <c r="A540" t="s">
        <v>19336</v>
      </c>
      <c r="B540" t="s">
        <v>19337</v>
      </c>
      <c r="C540" t="s">
        <v>19338</v>
      </c>
      <c r="D540" t="s">
        <v>287</v>
      </c>
      <c r="E540" t="s">
        <v>271</v>
      </c>
      <c r="F540" t="s">
        <v>4403</v>
      </c>
    </row>
    <row r="541" spans="1:6" x14ac:dyDescent="0.25">
      <c r="A541" t="s">
        <v>19339</v>
      </c>
      <c r="B541" t="s">
        <v>19340</v>
      </c>
      <c r="C541" t="s">
        <v>19341</v>
      </c>
      <c r="D541" t="s">
        <v>2692</v>
      </c>
      <c r="E541" t="s">
        <v>269</v>
      </c>
      <c r="F541" t="s">
        <v>2691</v>
      </c>
    </row>
    <row r="542" spans="1:6" x14ac:dyDescent="0.25">
      <c r="A542" t="s">
        <v>19342</v>
      </c>
      <c r="B542" t="s">
        <v>19343</v>
      </c>
      <c r="C542" t="s">
        <v>19344</v>
      </c>
      <c r="D542" t="s">
        <v>289</v>
      </c>
      <c r="E542" t="s">
        <v>271</v>
      </c>
      <c r="F542" t="s">
        <v>10787</v>
      </c>
    </row>
    <row r="543" spans="1:6" x14ac:dyDescent="0.25">
      <c r="A543" t="s">
        <v>19345</v>
      </c>
      <c r="B543" t="s">
        <v>19346</v>
      </c>
      <c r="C543" t="s">
        <v>19347</v>
      </c>
      <c r="D543" t="s">
        <v>4486</v>
      </c>
      <c r="E543" t="s">
        <v>271</v>
      </c>
      <c r="F543" t="s">
        <v>4417</v>
      </c>
    </row>
    <row r="544" spans="1:6" x14ac:dyDescent="0.25">
      <c r="A544" t="s">
        <v>19348</v>
      </c>
      <c r="B544" t="s">
        <v>19349</v>
      </c>
      <c r="C544" t="s">
        <v>19350</v>
      </c>
      <c r="D544" t="s">
        <v>572</v>
      </c>
      <c r="E544" t="s">
        <v>271</v>
      </c>
      <c r="F544" t="s">
        <v>335</v>
      </c>
    </row>
    <row r="545" spans="1:6" x14ac:dyDescent="0.25">
      <c r="A545" t="s">
        <v>19351</v>
      </c>
      <c r="B545" t="s">
        <v>19352</v>
      </c>
      <c r="C545" t="s">
        <v>19353</v>
      </c>
      <c r="D545" t="s">
        <v>1199</v>
      </c>
      <c r="E545" t="s">
        <v>271</v>
      </c>
      <c r="F545" t="s">
        <v>1198</v>
      </c>
    </row>
    <row r="546" spans="1:6" x14ac:dyDescent="0.25">
      <c r="A546" t="s">
        <v>19354</v>
      </c>
      <c r="B546" t="s">
        <v>19355</v>
      </c>
      <c r="C546" t="s">
        <v>19356</v>
      </c>
      <c r="D546" t="s">
        <v>0</v>
      </c>
      <c r="E546" t="s">
        <v>271</v>
      </c>
      <c r="F546" t="s">
        <v>436</v>
      </c>
    </row>
    <row r="547" spans="1:6" x14ac:dyDescent="0.25">
      <c r="A547" t="s">
        <v>19357</v>
      </c>
      <c r="B547" t="s">
        <v>19358</v>
      </c>
      <c r="C547" t="s">
        <v>3768</v>
      </c>
      <c r="D547" t="s">
        <v>3767</v>
      </c>
      <c r="E547" t="s">
        <v>269</v>
      </c>
      <c r="F547" t="s">
        <v>3766</v>
      </c>
    </row>
    <row r="548" spans="1:6" x14ac:dyDescent="0.25">
      <c r="A548" t="s">
        <v>19359</v>
      </c>
      <c r="B548" t="s">
        <v>19360</v>
      </c>
      <c r="C548" t="s">
        <v>19361</v>
      </c>
      <c r="D548" t="s">
        <v>1413</v>
      </c>
      <c r="E548" t="s">
        <v>271</v>
      </c>
      <c r="F548" t="s">
        <v>1412</v>
      </c>
    </row>
    <row r="549" spans="1:6" x14ac:dyDescent="0.25">
      <c r="A549" t="s">
        <v>4139</v>
      </c>
      <c r="B549" t="s">
        <v>4140</v>
      </c>
      <c r="C549" t="s">
        <v>4141</v>
      </c>
      <c r="D549" t="s">
        <v>547</v>
      </c>
      <c r="E549" t="s">
        <v>271</v>
      </c>
      <c r="F549" t="s">
        <v>428</v>
      </c>
    </row>
    <row r="550" spans="1:6" x14ac:dyDescent="0.25">
      <c r="A550" t="s">
        <v>19362</v>
      </c>
      <c r="B550" t="s">
        <v>19363</v>
      </c>
      <c r="C550" t="s">
        <v>19364</v>
      </c>
      <c r="D550" t="s">
        <v>566</v>
      </c>
      <c r="E550" t="s">
        <v>271</v>
      </c>
      <c r="F550" t="s">
        <v>567</v>
      </c>
    </row>
    <row r="551" spans="1:6" x14ac:dyDescent="0.25">
      <c r="A551" t="s">
        <v>19365</v>
      </c>
      <c r="B551" t="s">
        <v>19366</v>
      </c>
      <c r="C551" t="s">
        <v>18242</v>
      </c>
      <c r="D551" t="s">
        <v>0</v>
      </c>
      <c r="E551" t="s">
        <v>271</v>
      </c>
      <c r="F551" t="s">
        <v>1214</v>
      </c>
    </row>
    <row r="552" spans="1:6" x14ac:dyDescent="0.25">
      <c r="A552" t="s">
        <v>3783</v>
      </c>
      <c r="B552" t="s">
        <v>3784</v>
      </c>
      <c r="C552" t="s">
        <v>3786</v>
      </c>
      <c r="D552" t="s">
        <v>0</v>
      </c>
      <c r="E552" t="s">
        <v>271</v>
      </c>
      <c r="F552" t="s">
        <v>432</v>
      </c>
    </row>
    <row r="553" spans="1:6" x14ac:dyDescent="0.25">
      <c r="A553" t="s">
        <v>19367</v>
      </c>
      <c r="B553" t="s">
        <v>19368</v>
      </c>
      <c r="C553" t="s">
        <v>19369</v>
      </c>
      <c r="D553" t="s">
        <v>314</v>
      </c>
      <c r="E553" t="s">
        <v>271</v>
      </c>
      <c r="F553" t="s">
        <v>370</v>
      </c>
    </row>
    <row r="554" spans="1:6" x14ac:dyDescent="0.25">
      <c r="A554" t="s">
        <v>4035</v>
      </c>
      <c r="B554" t="s">
        <v>4036</v>
      </c>
      <c r="C554" t="s">
        <v>4037</v>
      </c>
      <c r="D554" t="s">
        <v>0</v>
      </c>
      <c r="E554" t="s">
        <v>271</v>
      </c>
      <c r="F554" t="s">
        <v>688</v>
      </c>
    </row>
    <row r="555" spans="1:6" x14ac:dyDescent="0.25">
      <c r="A555" t="s">
        <v>19370</v>
      </c>
      <c r="B555" t="s">
        <v>19371</v>
      </c>
      <c r="C555" t="s">
        <v>19372</v>
      </c>
      <c r="D555" t="s">
        <v>1079</v>
      </c>
      <c r="E555" t="s">
        <v>271</v>
      </c>
      <c r="F555" t="s">
        <v>1176</v>
      </c>
    </row>
    <row r="556" spans="1:6" x14ac:dyDescent="0.25">
      <c r="A556" t="s">
        <v>19373</v>
      </c>
      <c r="B556" t="s">
        <v>19374</v>
      </c>
      <c r="C556" t="s">
        <v>19375</v>
      </c>
      <c r="D556" t="s">
        <v>314</v>
      </c>
      <c r="E556" t="s">
        <v>271</v>
      </c>
      <c r="F556" t="s">
        <v>370</v>
      </c>
    </row>
    <row r="557" spans="1:6" x14ac:dyDescent="0.25">
      <c r="A557" t="s">
        <v>19376</v>
      </c>
      <c r="B557" t="s">
        <v>19377</v>
      </c>
      <c r="C557" t="s">
        <v>19378</v>
      </c>
      <c r="D557" t="s">
        <v>0</v>
      </c>
      <c r="E557" t="s">
        <v>271</v>
      </c>
      <c r="F557" t="s">
        <v>1321</v>
      </c>
    </row>
    <row r="558" spans="1:6" x14ac:dyDescent="0.25">
      <c r="A558" t="s">
        <v>19379</v>
      </c>
      <c r="B558" t="s">
        <v>19380</v>
      </c>
      <c r="C558" t="s">
        <v>19381</v>
      </c>
      <c r="D558" t="s">
        <v>845</v>
      </c>
      <c r="E558" t="s">
        <v>271</v>
      </c>
      <c r="F558" t="s">
        <v>844</v>
      </c>
    </row>
    <row r="559" spans="1:6" x14ac:dyDescent="0.25">
      <c r="A559" t="s">
        <v>3793</v>
      </c>
      <c r="B559" t="s">
        <v>3794</v>
      </c>
      <c r="C559" t="s">
        <v>3795</v>
      </c>
      <c r="D559" t="s">
        <v>572</v>
      </c>
      <c r="E559" t="s">
        <v>271</v>
      </c>
      <c r="F559" t="s">
        <v>335</v>
      </c>
    </row>
    <row r="560" spans="1:6" x14ac:dyDescent="0.25">
      <c r="A560" t="s">
        <v>19382</v>
      </c>
      <c r="B560" t="s">
        <v>19383</v>
      </c>
      <c r="C560" t="s">
        <v>1514</v>
      </c>
      <c r="D560" t="s">
        <v>616</v>
      </c>
      <c r="E560" t="s">
        <v>271</v>
      </c>
      <c r="F560" t="s">
        <v>333</v>
      </c>
    </row>
    <row r="561" spans="1:6" x14ac:dyDescent="0.25">
      <c r="A561" t="s">
        <v>19384</v>
      </c>
      <c r="B561" t="s">
        <v>19385</v>
      </c>
      <c r="C561" t="s">
        <v>19386</v>
      </c>
      <c r="D561" t="s">
        <v>19387</v>
      </c>
      <c r="E561" t="s">
        <v>271</v>
      </c>
      <c r="F561" t="s">
        <v>844</v>
      </c>
    </row>
    <row r="562" spans="1:6" x14ac:dyDescent="0.25">
      <c r="A562" t="s">
        <v>19388</v>
      </c>
      <c r="B562" t="s">
        <v>19389</v>
      </c>
      <c r="C562" t="s">
        <v>19390</v>
      </c>
      <c r="D562" t="s">
        <v>466</v>
      </c>
      <c r="E562" t="s">
        <v>271</v>
      </c>
      <c r="F562" t="s">
        <v>434</v>
      </c>
    </row>
    <row r="563" spans="1:6" x14ac:dyDescent="0.25">
      <c r="A563" t="s">
        <v>19391</v>
      </c>
      <c r="B563" t="s">
        <v>19392</v>
      </c>
      <c r="C563" t="s">
        <v>19393</v>
      </c>
      <c r="D563" t="s">
        <v>699</v>
      </c>
      <c r="E563" t="s">
        <v>269</v>
      </c>
      <c r="F563" t="s">
        <v>698</v>
      </c>
    </row>
    <row r="564" spans="1:6" x14ac:dyDescent="0.25">
      <c r="A564" t="s">
        <v>19394</v>
      </c>
      <c r="B564" t="s">
        <v>19395</v>
      </c>
      <c r="C564" t="s">
        <v>19396</v>
      </c>
      <c r="D564" t="s">
        <v>0</v>
      </c>
      <c r="E564" t="s">
        <v>271</v>
      </c>
      <c r="F564" t="s">
        <v>323</v>
      </c>
    </row>
    <row r="565" spans="1:6" x14ac:dyDescent="0.25">
      <c r="A565" t="s">
        <v>19397</v>
      </c>
      <c r="B565" t="s">
        <v>19398</v>
      </c>
      <c r="C565" t="s">
        <v>9921</v>
      </c>
      <c r="D565" t="s">
        <v>258</v>
      </c>
      <c r="E565" t="s">
        <v>271</v>
      </c>
      <c r="F565" t="s">
        <v>524</v>
      </c>
    </row>
    <row r="566" spans="1:6" x14ac:dyDescent="0.25">
      <c r="A566" t="s">
        <v>19399</v>
      </c>
      <c r="B566" t="s">
        <v>19400</v>
      </c>
      <c r="C566" t="s">
        <v>19401</v>
      </c>
      <c r="D566" t="s">
        <v>1326</v>
      </c>
      <c r="E566" t="s">
        <v>271</v>
      </c>
      <c r="F566" t="s">
        <v>1325</v>
      </c>
    </row>
    <row r="567" spans="1:6" x14ac:dyDescent="0.25">
      <c r="A567" t="s">
        <v>3857</v>
      </c>
      <c r="B567" t="s">
        <v>3858</v>
      </c>
      <c r="C567" t="s">
        <v>3859</v>
      </c>
      <c r="D567" t="s">
        <v>466</v>
      </c>
      <c r="E567" t="s">
        <v>271</v>
      </c>
      <c r="F567" t="s">
        <v>434</v>
      </c>
    </row>
    <row r="568" spans="1:6" x14ac:dyDescent="0.25">
      <c r="A568" t="s">
        <v>19402</v>
      </c>
      <c r="B568" t="s">
        <v>19403</v>
      </c>
      <c r="C568" t="s">
        <v>19404</v>
      </c>
      <c r="D568" t="s">
        <v>2692</v>
      </c>
      <c r="E568" t="s">
        <v>269</v>
      </c>
      <c r="F568" t="s">
        <v>2691</v>
      </c>
    </row>
    <row r="569" spans="1:6" x14ac:dyDescent="0.25">
      <c r="A569" t="s">
        <v>3960</v>
      </c>
      <c r="B569" t="s">
        <v>3961</v>
      </c>
      <c r="C569" t="s">
        <v>3963</v>
      </c>
      <c r="D569" t="s">
        <v>0</v>
      </c>
      <c r="E569" t="s">
        <v>271</v>
      </c>
      <c r="F569" t="s">
        <v>575</v>
      </c>
    </row>
    <row r="570" spans="1:6" x14ac:dyDescent="0.25">
      <c r="A570" t="s">
        <v>19405</v>
      </c>
      <c r="B570" t="s">
        <v>19406</v>
      </c>
      <c r="C570" t="s">
        <v>19407</v>
      </c>
      <c r="D570" t="s">
        <v>1915</v>
      </c>
      <c r="E570" t="s">
        <v>269</v>
      </c>
      <c r="F570" t="s">
        <v>1914</v>
      </c>
    </row>
    <row r="571" spans="1:6" x14ac:dyDescent="0.25">
      <c r="A571" t="s">
        <v>19408</v>
      </c>
      <c r="B571" t="s">
        <v>19409</v>
      </c>
      <c r="C571" t="s">
        <v>19288</v>
      </c>
      <c r="D571" t="s">
        <v>1723</v>
      </c>
      <c r="E571" t="s">
        <v>271</v>
      </c>
      <c r="F571" t="s">
        <v>1722</v>
      </c>
    </row>
    <row r="572" spans="1:6" x14ac:dyDescent="0.25">
      <c r="A572" t="s">
        <v>19410</v>
      </c>
      <c r="B572" t="s">
        <v>19411</v>
      </c>
      <c r="C572" t="s">
        <v>19412</v>
      </c>
      <c r="D572" t="s">
        <v>3022</v>
      </c>
      <c r="E572" t="s">
        <v>271</v>
      </c>
      <c r="F572" t="s">
        <v>3021</v>
      </c>
    </row>
    <row r="573" spans="1:6" x14ac:dyDescent="0.25">
      <c r="A573" t="s">
        <v>3823</v>
      </c>
      <c r="B573" t="s">
        <v>3824</v>
      </c>
      <c r="C573" t="s">
        <v>3825</v>
      </c>
      <c r="D573" t="s">
        <v>510</v>
      </c>
      <c r="E573" t="s">
        <v>271</v>
      </c>
      <c r="F573" t="s">
        <v>437</v>
      </c>
    </row>
    <row r="574" spans="1:6" x14ac:dyDescent="0.25">
      <c r="A574" t="s">
        <v>19413</v>
      </c>
      <c r="B574" t="s">
        <v>19414</v>
      </c>
      <c r="C574" t="s">
        <v>19415</v>
      </c>
      <c r="D574" t="s">
        <v>1723</v>
      </c>
      <c r="E574" t="s">
        <v>271</v>
      </c>
      <c r="F574" t="s">
        <v>2066</v>
      </c>
    </row>
    <row r="575" spans="1:6" x14ac:dyDescent="0.25">
      <c r="A575" t="s">
        <v>4333</v>
      </c>
      <c r="B575" t="s">
        <v>4334</v>
      </c>
      <c r="C575" t="s">
        <v>4335</v>
      </c>
      <c r="D575" t="s">
        <v>556</v>
      </c>
      <c r="E575" t="s">
        <v>271</v>
      </c>
      <c r="F575" t="s">
        <v>1567</v>
      </c>
    </row>
    <row r="576" spans="1:6" x14ac:dyDescent="0.25">
      <c r="A576" t="s">
        <v>3814</v>
      </c>
      <c r="B576" t="s">
        <v>3815</v>
      </c>
      <c r="C576" t="s">
        <v>3817</v>
      </c>
      <c r="D576" t="s">
        <v>241</v>
      </c>
      <c r="E576" t="s">
        <v>271</v>
      </c>
      <c r="F576" t="s">
        <v>548</v>
      </c>
    </row>
    <row r="577" spans="1:6" x14ac:dyDescent="0.25">
      <c r="A577" t="s">
        <v>4232</v>
      </c>
      <c r="B577" t="s">
        <v>4233</v>
      </c>
      <c r="C577" t="s">
        <v>4234</v>
      </c>
      <c r="D577" t="s">
        <v>1683</v>
      </c>
      <c r="E577" t="s">
        <v>271</v>
      </c>
      <c r="F577" t="s">
        <v>996</v>
      </c>
    </row>
    <row r="578" spans="1:6" x14ac:dyDescent="0.25">
      <c r="A578" t="s">
        <v>19416</v>
      </c>
      <c r="B578" t="s">
        <v>19417</v>
      </c>
      <c r="C578" t="s">
        <v>19418</v>
      </c>
      <c r="D578" t="s">
        <v>466</v>
      </c>
      <c r="E578" t="s">
        <v>271</v>
      </c>
      <c r="F578" t="s">
        <v>434</v>
      </c>
    </row>
    <row r="579" spans="1:6" x14ac:dyDescent="0.25">
      <c r="A579" t="s">
        <v>19419</v>
      </c>
      <c r="B579" t="s">
        <v>19420</v>
      </c>
      <c r="C579" t="s">
        <v>19421</v>
      </c>
      <c r="D579" t="s">
        <v>1665</v>
      </c>
      <c r="E579" t="s">
        <v>271</v>
      </c>
      <c r="F579" t="s">
        <v>1664</v>
      </c>
    </row>
    <row r="580" spans="1:6" x14ac:dyDescent="0.25">
      <c r="A580" t="s">
        <v>19422</v>
      </c>
      <c r="B580" t="s">
        <v>19423</v>
      </c>
      <c r="C580" t="s">
        <v>1514</v>
      </c>
      <c r="D580" t="s">
        <v>616</v>
      </c>
      <c r="E580" t="s">
        <v>271</v>
      </c>
      <c r="F580" t="s">
        <v>333</v>
      </c>
    </row>
    <row r="581" spans="1:6" x14ac:dyDescent="0.25">
      <c r="A581" t="s">
        <v>19424</v>
      </c>
      <c r="B581" t="s">
        <v>19425</v>
      </c>
      <c r="C581" t="s">
        <v>19426</v>
      </c>
      <c r="D581" t="s">
        <v>1361</v>
      </c>
      <c r="E581" t="s">
        <v>271</v>
      </c>
      <c r="F581" t="s">
        <v>2260</v>
      </c>
    </row>
    <row r="582" spans="1:6" x14ac:dyDescent="0.25">
      <c r="A582" t="s">
        <v>19427</v>
      </c>
      <c r="B582" t="s">
        <v>19428</v>
      </c>
      <c r="C582" t="s">
        <v>19429</v>
      </c>
      <c r="D582" t="s">
        <v>986</v>
      </c>
      <c r="E582" t="s">
        <v>271</v>
      </c>
      <c r="F582" t="s">
        <v>3275</v>
      </c>
    </row>
    <row r="583" spans="1:6" x14ac:dyDescent="0.25">
      <c r="A583" t="s">
        <v>19430</v>
      </c>
      <c r="B583" t="s">
        <v>19431</v>
      </c>
      <c r="C583" t="s">
        <v>19432</v>
      </c>
      <c r="D583" t="s">
        <v>0</v>
      </c>
      <c r="E583" t="s">
        <v>271</v>
      </c>
      <c r="F583" t="s">
        <v>4295</v>
      </c>
    </row>
    <row r="584" spans="1:6" x14ac:dyDescent="0.25">
      <c r="A584" t="s">
        <v>3900</v>
      </c>
      <c r="B584" t="s">
        <v>3901</v>
      </c>
      <c r="C584" t="s">
        <v>3903</v>
      </c>
      <c r="D584" t="s">
        <v>0</v>
      </c>
      <c r="E584" t="s">
        <v>271</v>
      </c>
      <c r="F584" t="s">
        <v>1225</v>
      </c>
    </row>
    <row r="585" spans="1:6" x14ac:dyDescent="0.25">
      <c r="A585" t="s">
        <v>19433</v>
      </c>
      <c r="B585" t="s">
        <v>19434</v>
      </c>
      <c r="C585" t="s">
        <v>19435</v>
      </c>
      <c r="D585" t="s">
        <v>1925</v>
      </c>
      <c r="E585" t="s">
        <v>271</v>
      </c>
      <c r="F585" t="s">
        <v>1924</v>
      </c>
    </row>
    <row r="586" spans="1:6" x14ac:dyDescent="0.25">
      <c r="A586" t="s">
        <v>3952</v>
      </c>
      <c r="B586" t="s">
        <v>3953</v>
      </c>
      <c r="C586" t="s">
        <v>3954</v>
      </c>
      <c r="D586" t="s">
        <v>312</v>
      </c>
      <c r="E586" t="s">
        <v>271</v>
      </c>
      <c r="F586" t="s">
        <v>311</v>
      </c>
    </row>
    <row r="587" spans="1:6" x14ac:dyDescent="0.25">
      <c r="A587" t="s">
        <v>4201</v>
      </c>
      <c r="B587" t="s">
        <v>4202</v>
      </c>
      <c r="C587" t="s">
        <v>4204</v>
      </c>
      <c r="D587" t="s">
        <v>0</v>
      </c>
      <c r="E587" t="s">
        <v>271</v>
      </c>
      <c r="F587" t="s">
        <v>688</v>
      </c>
    </row>
    <row r="588" spans="1:6" x14ac:dyDescent="0.25">
      <c r="A588" t="s">
        <v>19436</v>
      </c>
      <c r="B588" t="s">
        <v>18223</v>
      </c>
      <c r="C588" t="s">
        <v>18584</v>
      </c>
      <c r="D588" t="s">
        <v>6689</v>
      </c>
      <c r="E588" t="s">
        <v>269</v>
      </c>
      <c r="F588" t="s">
        <v>6690</v>
      </c>
    </row>
    <row r="589" spans="1:6" x14ac:dyDescent="0.25">
      <c r="A589" t="s">
        <v>19437</v>
      </c>
      <c r="B589" t="s">
        <v>19438</v>
      </c>
      <c r="C589" t="s">
        <v>19439</v>
      </c>
      <c r="D589" t="s">
        <v>490</v>
      </c>
      <c r="E589" t="s">
        <v>271</v>
      </c>
      <c r="F589" t="s">
        <v>491</v>
      </c>
    </row>
    <row r="590" spans="1:6" x14ac:dyDescent="0.25">
      <c r="A590" t="s">
        <v>4288</v>
      </c>
      <c r="B590" t="s">
        <v>4289</v>
      </c>
      <c r="C590" t="s">
        <v>4290</v>
      </c>
      <c r="D590" t="s">
        <v>1455</v>
      </c>
      <c r="E590" t="s">
        <v>271</v>
      </c>
      <c r="F590" t="s">
        <v>1454</v>
      </c>
    </row>
    <row r="591" spans="1:6" x14ac:dyDescent="0.25">
      <c r="A591" t="s">
        <v>19440</v>
      </c>
      <c r="B591" t="s">
        <v>19441</v>
      </c>
      <c r="C591" t="s">
        <v>19442</v>
      </c>
      <c r="D591" t="s">
        <v>347</v>
      </c>
      <c r="E591" t="s">
        <v>271</v>
      </c>
      <c r="F591" t="s">
        <v>327</v>
      </c>
    </row>
    <row r="592" spans="1:6" x14ac:dyDescent="0.25">
      <c r="A592" t="s">
        <v>19443</v>
      </c>
      <c r="B592" t="s">
        <v>19444</v>
      </c>
      <c r="C592" t="s">
        <v>19445</v>
      </c>
      <c r="D592" t="s">
        <v>345</v>
      </c>
      <c r="E592" t="s">
        <v>269</v>
      </c>
      <c r="F592" t="s">
        <v>684</v>
      </c>
    </row>
    <row r="593" spans="1:6" x14ac:dyDescent="0.25">
      <c r="A593" t="s">
        <v>19446</v>
      </c>
      <c r="B593" t="s">
        <v>19447</v>
      </c>
      <c r="C593" t="s">
        <v>19448</v>
      </c>
      <c r="D593" t="s">
        <v>1019</v>
      </c>
      <c r="E593" t="s">
        <v>271</v>
      </c>
      <c r="F593" t="s">
        <v>1018</v>
      </c>
    </row>
    <row r="594" spans="1:6" x14ac:dyDescent="0.25">
      <c r="A594" t="s">
        <v>19449</v>
      </c>
      <c r="B594" t="s">
        <v>19450</v>
      </c>
      <c r="C594" t="s">
        <v>19451</v>
      </c>
      <c r="D594" t="s">
        <v>19452</v>
      </c>
      <c r="E594" t="s">
        <v>19453</v>
      </c>
      <c r="F594" t="s">
        <v>19454</v>
      </c>
    </row>
    <row r="595" spans="1:6" x14ac:dyDescent="0.25">
      <c r="A595" t="s">
        <v>19455</v>
      </c>
      <c r="B595" t="s">
        <v>19456</v>
      </c>
      <c r="C595" t="s">
        <v>19457</v>
      </c>
      <c r="D595" t="s">
        <v>453</v>
      </c>
      <c r="E595" t="s">
        <v>271</v>
      </c>
      <c r="F595" t="s">
        <v>454</v>
      </c>
    </row>
    <row r="596" spans="1:6" x14ac:dyDescent="0.25">
      <c r="A596" t="s">
        <v>19458</v>
      </c>
      <c r="B596" t="s">
        <v>19459</v>
      </c>
      <c r="C596" t="s">
        <v>19460</v>
      </c>
      <c r="D596" t="s">
        <v>461</v>
      </c>
      <c r="E596" t="s">
        <v>271</v>
      </c>
      <c r="F596" t="s">
        <v>336</v>
      </c>
    </row>
    <row r="597" spans="1:6" x14ac:dyDescent="0.25">
      <c r="A597" t="s">
        <v>3892</v>
      </c>
      <c r="B597" t="s">
        <v>3893</v>
      </c>
      <c r="C597" t="s">
        <v>2103</v>
      </c>
      <c r="D597" t="s">
        <v>0</v>
      </c>
      <c r="E597" t="s">
        <v>271</v>
      </c>
      <c r="F597" t="s">
        <v>355</v>
      </c>
    </row>
    <row r="598" spans="1:6" x14ac:dyDescent="0.25">
      <c r="A598" t="s">
        <v>19461</v>
      </c>
      <c r="B598" t="s">
        <v>19462</v>
      </c>
      <c r="C598" t="s">
        <v>19463</v>
      </c>
      <c r="D598" t="s">
        <v>718</v>
      </c>
      <c r="E598" t="s">
        <v>271</v>
      </c>
      <c r="F598" t="s">
        <v>333</v>
      </c>
    </row>
    <row r="599" spans="1:6" x14ac:dyDescent="0.25">
      <c r="A599" t="s">
        <v>19464</v>
      </c>
      <c r="B599" t="s">
        <v>19465</v>
      </c>
      <c r="C599" t="s">
        <v>19466</v>
      </c>
      <c r="D599" t="s">
        <v>0</v>
      </c>
      <c r="E599" t="s">
        <v>271</v>
      </c>
      <c r="F599" t="s">
        <v>319</v>
      </c>
    </row>
    <row r="600" spans="1:6" x14ac:dyDescent="0.25">
      <c r="A600" t="s">
        <v>19467</v>
      </c>
      <c r="B600" t="s">
        <v>19468</v>
      </c>
      <c r="C600" t="s">
        <v>9921</v>
      </c>
      <c r="D600" t="s">
        <v>258</v>
      </c>
      <c r="E600" t="s">
        <v>271</v>
      </c>
      <c r="F600" t="s">
        <v>524</v>
      </c>
    </row>
    <row r="601" spans="1:6" x14ac:dyDescent="0.25">
      <c r="A601" t="s">
        <v>19469</v>
      </c>
      <c r="B601" t="s">
        <v>19470</v>
      </c>
      <c r="C601" t="s">
        <v>283</v>
      </c>
      <c r="D601" t="s">
        <v>289</v>
      </c>
      <c r="E601" t="s">
        <v>271</v>
      </c>
      <c r="F601" t="s">
        <v>4435</v>
      </c>
    </row>
    <row r="602" spans="1:6" x14ac:dyDescent="0.25">
      <c r="A602" t="s">
        <v>19471</v>
      </c>
      <c r="B602" t="s">
        <v>19472</v>
      </c>
      <c r="C602" t="s">
        <v>19473</v>
      </c>
      <c r="D602" t="s">
        <v>3680</v>
      </c>
      <c r="E602" t="s">
        <v>271</v>
      </c>
      <c r="F602" t="s">
        <v>3679</v>
      </c>
    </row>
    <row r="603" spans="1:6" x14ac:dyDescent="0.25">
      <c r="A603" t="s">
        <v>19474</v>
      </c>
      <c r="B603" t="s">
        <v>19475</v>
      </c>
      <c r="C603" t="s">
        <v>19476</v>
      </c>
      <c r="D603" t="s">
        <v>1110</v>
      </c>
      <c r="E603" t="s">
        <v>271</v>
      </c>
      <c r="F603" t="s">
        <v>1109</v>
      </c>
    </row>
    <row r="604" spans="1:6" x14ac:dyDescent="0.25">
      <c r="A604" t="s">
        <v>19477</v>
      </c>
      <c r="B604" t="s">
        <v>19478</v>
      </c>
      <c r="C604" t="s">
        <v>19479</v>
      </c>
      <c r="D604" t="s">
        <v>1110</v>
      </c>
      <c r="E604" t="s">
        <v>271</v>
      </c>
      <c r="F604" t="s">
        <v>1109</v>
      </c>
    </row>
    <row r="605" spans="1:6" x14ac:dyDescent="0.25">
      <c r="A605" t="s">
        <v>19480</v>
      </c>
      <c r="B605" t="s">
        <v>19481</v>
      </c>
      <c r="C605" t="s">
        <v>1514</v>
      </c>
      <c r="D605" t="s">
        <v>616</v>
      </c>
      <c r="E605" t="s">
        <v>271</v>
      </c>
      <c r="F605" t="s">
        <v>333</v>
      </c>
    </row>
    <row r="606" spans="1:6" x14ac:dyDescent="0.25">
      <c r="A606" t="s">
        <v>19482</v>
      </c>
      <c r="B606" t="s">
        <v>19483</v>
      </c>
      <c r="C606" t="s">
        <v>19484</v>
      </c>
      <c r="D606" t="s">
        <v>0</v>
      </c>
      <c r="E606" t="s">
        <v>271</v>
      </c>
      <c r="F606" t="s">
        <v>4391</v>
      </c>
    </row>
    <row r="607" spans="1:6" x14ac:dyDescent="0.25">
      <c r="A607" t="s">
        <v>3849</v>
      </c>
      <c r="B607" t="s">
        <v>3850</v>
      </c>
      <c r="C607" t="s">
        <v>3851</v>
      </c>
      <c r="D607" t="s">
        <v>1186</v>
      </c>
      <c r="E607" t="s">
        <v>271</v>
      </c>
      <c r="F607" t="s">
        <v>1185</v>
      </c>
    </row>
    <row r="608" spans="1:6" x14ac:dyDescent="0.25">
      <c r="A608" t="s">
        <v>19485</v>
      </c>
      <c r="B608" t="s">
        <v>19486</v>
      </c>
      <c r="C608" t="s">
        <v>19487</v>
      </c>
      <c r="D608" t="s">
        <v>1137</v>
      </c>
      <c r="E608" t="s">
        <v>269</v>
      </c>
      <c r="F608" t="s">
        <v>1136</v>
      </c>
    </row>
    <row r="609" spans="1:6" x14ac:dyDescent="0.25">
      <c r="A609" t="s">
        <v>19488</v>
      </c>
      <c r="B609" t="s">
        <v>19489</v>
      </c>
      <c r="C609" t="s">
        <v>18861</v>
      </c>
      <c r="D609" t="s">
        <v>1648</v>
      </c>
      <c r="E609" t="s">
        <v>271</v>
      </c>
      <c r="F609" t="s">
        <v>1647</v>
      </c>
    </row>
    <row r="610" spans="1:6" x14ac:dyDescent="0.25">
      <c r="A610" t="s">
        <v>19490</v>
      </c>
      <c r="B610" t="s">
        <v>19491</v>
      </c>
      <c r="C610" t="s">
        <v>19492</v>
      </c>
      <c r="D610" t="s">
        <v>1361</v>
      </c>
      <c r="E610" t="s">
        <v>271</v>
      </c>
      <c r="F610" t="s">
        <v>1829</v>
      </c>
    </row>
    <row r="611" spans="1:6" x14ac:dyDescent="0.25">
      <c r="A611" t="s">
        <v>19493</v>
      </c>
      <c r="B611" t="s">
        <v>19494</v>
      </c>
      <c r="C611" t="s">
        <v>19495</v>
      </c>
      <c r="D611" t="s">
        <v>0</v>
      </c>
      <c r="E611" t="s">
        <v>271</v>
      </c>
      <c r="F611" t="s">
        <v>355</v>
      </c>
    </row>
    <row r="612" spans="1:6" x14ac:dyDescent="0.25">
      <c r="A612" t="s">
        <v>19496</v>
      </c>
      <c r="B612" t="s">
        <v>19497</v>
      </c>
      <c r="C612" t="s">
        <v>1514</v>
      </c>
      <c r="D612" t="s">
        <v>616</v>
      </c>
      <c r="E612" t="s">
        <v>271</v>
      </c>
      <c r="F612" t="s">
        <v>333</v>
      </c>
    </row>
    <row r="613" spans="1:6" x14ac:dyDescent="0.25">
      <c r="A613" t="s">
        <v>19498</v>
      </c>
      <c r="B613" t="s">
        <v>19499</v>
      </c>
      <c r="C613" t="s">
        <v>19500</v>
      </c>
      <c r="D613" t="s">
        <v>1079</v>
      </c>
      <c r="E613" t="s">
        <v>271</v>
      </c>
      <c r="F613" t="s">
        <v>3880</v>
      </c>
    </row>
    <row r="614" spans="1:6" x14ac:dyDescent="0.25">
      <c r="A614" t="s">
        <v>19501</v>
      </c>
      <c r="B614" t="s">
        <v>19502</v>
      </c>
      <c r="C614" t="s">
        <v>18354</v>
      </c>
      <c r="D614" t="s">
        <v>718</v>
      </c>
      <c r="E614" t="s">
        <v>271</v>
      </c>
      <c r="F614" t="s">
        <v>333</v>
      </c>
    </row>
    <row r="615" spans="1:6" x14ac:dyDescent="0.25">
      <c r="A615" t="s">
        <v>19503</v>
      </c>
      <c r="B615" t="s">
        <v>19504</v>
      </c>
      <c r="C615" t="s">
        <v>19505</v>
      </c>
      <c r="D615" t="s">
        <v>19506</v>
      </c>
      <c r="E615" t="s">
        <v>212</v>
      </c>
      <c r="F615" t="s">
        <v>19507</v>
      </c>
    </row>
    <row r="616" spans="1:6" x14ac:dyDescent="0.25">
      <c r="A616" t="s">
        <v>19508</v>
      </c>
      <c r="B616" t="s">
        <v>19509</v>
      </c>
      <c r="C616" t="s">
        <v>19510</v>
      </c>
      <c r="D616" t="s">
        <v>2471</v>
      </c>
      <c r="E616" t="s">
        <v>271</v>
      </c>
      <c r="F616" t="s">
        <v>2470</v>
      </c>
    </row>
    <row r="617" spans="1:6" x14ac:dyDescent="0.25">
      <c r="A617" t="s">
        <v>19511</v>
      </c>
      <c r="B617" t="s">
        <v>19512</v>
      </c>
      <c r="C617" t="s">
        <v>19513</v>
      </c>
      <c r="D617" t="s">
        <v>1485</v>
      </c>
      <c r="E617" t="s">
        <v>271</v>
      </c>
      <c r="F617" t="s">
        <v>1519</v>
      </c>
    </row>
    <row r="618" spans="1:6" x14ac:dyDescent="0.25">
      <c r="A618" t="s">
        <v>19514</v>
      </c>
      <c r="B618" t="s">
        <v>19515</v>
      </c>
      <c r="C618" t="s">
        <v>19516</v>
      </c>
      <c r="D618" t="s">
        <v>0</v>
      </c>
      <c r="E618" t="s">
        <v>271</v>
      </c>
      <c r="F618" t="s">
        <v>323</v>
      </c>
    </row>
    <row r="619" spans="1:6" x14ac:dyDescent="0.25">
      <c r="A619" t="s">
        <v>19517</v>
      </c>
      <c r="B619" t="s">
        <v>19518</v>
      </c>
      <c r="C619" t="s">
        <v>19519</v>
      </c>
      <c r="D619" t="s">
        <v>314</v>
      </c>
      <c r="E619" t="s">
        <v>271</v>
      </c>
      <c r="F619" t="s">
        <v>19520</v>
      </c>
    </row>
    <row r="620" spans="1:6" x14ac:dyDescent="0.25">
      <c r="A620" t="s">
        <v>19521</v>
      </c>
      <c r="B620" t="s">
        <v>19522</v>
      </c>
      <c r="C620" t="s">
        <v>17458</v>
      </c>
      <c r="D620" t="s">
        <v>239</v>
      </c>
      <c r="E620" t="s">
        <v>271</v>
      </c>
      <c r="F620" t="s">
        <v>544</v>
      </c>
    </row>
    <row r="621" spans="1:6" x14ac:dyDescent="0.25">
      <c r="A621" t="s">
        <v>19523</v>
      </c>
      <c r="B621" t="s">
        <v>19524</v>
      </c>
      <c r="C621" t="s">
        <v>3821</v>
      </c>
      <c r="D621" t="s">
        <v>258</v>
      </c>
      <c r="E621" t="s">
        <v>271</v>
      </c>
      <c r="F621" t="s">
        <v>524</v>
      </c>
    </row>
    <row r="622" spans="1:6" x14ac:dyDescent="0.25">
      <c r="A622" t="s">
        <v>19525</v>
      </c>
      <c r="B622" t="s">
        <v>19526</v>
      </c>
      <c r="C622" t="s">
        <v>13557</v>
      </c>
      <c r="D622" t="s">
        <v>1559</v>
      </c>
      <c r="E622" t="s">
        <v>271</v>
      </c>
      <c r="F622" t="s">
        <v>1558</v>
      </c>
    </row>
    <row r="623" spans="1:6" x14ac:dyDescent="0.25">
      <c r="A623" t="s">
        <v>19527</v>
      </c>
      <c r="B623" t="s">
        <v>19528</v>
      </c>
      <c r="C623" t="s">
        <v>19529</v>
      </c>
      <c r="D623" t="s">
        <v>450</v>
      </c>
      <c r="E623" t="s">
        <v>271</v>
      </c>
      <c r="F623" t="s">
        <v>2794</v>
      </c>
    </row>
    <row r="624" spans="1:6" x14ac:dyDescent="0.25">
      <c r="A624" t="s">
        <v>19530</v>
      </c>
      <c r="B624" t="s">
        <v>19531</v>
      </c>
      <c r="C624" t="s">
        <v>19532</v>
      </c>
      <c r="D624" t="s">
        <v>845</v>
      </c>
      <c r="E624" t="s">
        <v>271</v>
      </c>
      <c r="F624" t="s">
        <v>844</v>
      </c>
    </row>
    <row r="625" spans="1:6" x14ac:dyDescent="0.25">
      <c r="A625" t="s">
        <v>19533</v>
      </c>
      <c r="B625" t="s">
        <v>19534</v>
      </c>
      <c r="C625" t="s">
        <v>19535</v>
      </c>
      <c r="D625" t="s">
        <v>1648</v>
      </c>
      <c r="E625" t="s">
        <v>271</v>
      </c>
      <c r="F625" t="s">
        <v>1316</v>
      </c>
    </row>
    <row r="626" spans="1:6" x14ac:dyDescent="0.25">
      <c r="A626" t="s">
        <v>19536</v>
      </c>
      <c r="B626" t="s">
        <v>19537</v>
      </c>
      <c r="C626" t="s">
        <v>14019</v>
      </c>
      <c r="D626" t="s">
        <v>461</v>
      </c>
      <c r="E626" t="s">
        <v>271</v>
      </c>
      <c r="F626" t="s">
        <v>336</v>
      </c>
    </row>
    <row r="627" spans="1:6" x14ac:dyDescent="0.25">
      <c r="A627" t="s">
        <v>4031</v>
      </c>
      <c r="B627" t="s">
        <v>4032</v>
      </c>
      <c r="C627" t="s">
        <v>4033</v>
      </c>
      <c r="D627" t="s">
        <v>718</v>
      </c>
      <c r="E627" t="s">
        <v>271</v>
      </c>
      <c r="F627" t="s">
        <v>333</v>
      </c>
    </row>
    <row r="628" spans="1:6" x14ac:dyDescent="0.25">
      <c r="A628" t="s">
        <v>19538</v>
      </c>
      <c r="B628" t="s">
        <v>19539</v>
      </c>
      <c r="C628" t="s">
        <v>19540</v>
      </c>
      <c r="D628" t="s">
        <v>0</v>
      </c>
      <c r="E628" t="s">
        <v>271</v>
      </c>
      <c r="F628" t="s">
        <v>1141</v>
      </c>
    </row>
    <row r="629" spans="1:6" x14ac:dyDescent="0.25">
      <c r="A629" t="s">
        <v>19541</v>
      </c>
      <c r="B629" t="s">
        <v>18495</v>
      </c>
      <c r="C629" t="s">
        <v>19542</v>
      </c>
      <c r="D629" t="s">
        <v>3378</v>
      </c>
      <c r="E629" t="s">
        <v>271</v>
      </c>
      <c r="F629" t="s">
        <v>3377</v>
      </c>
    </row>
    <row r="630" spans="1:6" x14ac:dyDescent="0.25">
      <c r="A630" t="s">
        <v>19543</v>
      </c>
      <c r="B630" t="s">
        <v>18223</v>
      </c>
      <c r="C630" t="s">
        <v>18584</v>
      </c>
      <c r="D630" t="s">
        <v>6689</v>
      </c>
      <c r="E630" t="s">
        <v>269</v>
      </c>
      <c r="F630" t="s">
        <v>6690</v>
      </c>
    </row>
    <row r="631" spans="1:6" x14ac:dyDescent="0.25">
      <c r="A631" t="s">
        <v>19544</v>
      </c>
      <c r="B631" t="s">
        <v>19545</v>
      </c>
      <c r="C631" t="s">
        <v>19546</v>
      </c>
      <c r="D631" t="s">
        <v>363</v>
      </c>
      <c r="E631" t="s">
        <v>271</v>
      </c>
      <c r="F631" t="s">
        <v>4410</v>
      </c>
    </row>
    <row r="632" spans="1:6" x14ac:dyDescent="0.25">
      <c r="A632" t="s">
        <v>19547</v>
      </c>
      <c r="B632" t="s">
        <v>18272</v>
      </c>
      <c r="C632" t="s">
        <v>18194</v>
      </c>
      <c r="D632" t="s">
        <v>2009</v>
      </c>
      <c r="E632" t="s">
        <v>271</v>
      </c>
      <c r="F632" t="s">
        <v>2008</v>
      </c>
    </row>
    <row r="633" spans="1:6" x14ac:dyDescent="0.25">
      <c r="A633" t="s">
        <v>19548</v>
      </c>
      <c r="B633" t="s">
        <v>19549</v>
      </c>
      <c r="C633" t="s">
        <v>19550</v>
      </c>
      <c r="D633" t="s">
        <v>2471</v>
      </c>
      <c r="E633" t="s">
        <v>271</v>
      </c>
      <c r="F633" t="s">
        <v>2470</v>
      </c>
    </row>
    <row r="634" spans="1:6" x14ac:dyDescent="0.25">
      <c r="A634" t="s">
        <v>3905</v>
      </c>
      <c r="B634" t="s">
        <v>3906</v>
      </c>
      <c r="C634" t="s">
        <v>3907</v>
      </c>
      <c r="D634" t="s">
        <v>488</v>
      </c>
      <c r="E634" t="s">
        <v>271</v>
      </c>
      <c r="F634" t="s">
        <v>489</v>
      </c>
    </row>
    <row r="635" spans="1:6" x14ac:dyDescent="0.25">
      <c r="A635" t="s">
        <v>19551</v>
      </c>
      <c r="B635" t="s">
        <v>19552</v>
      </c>
      <c r="C635" t="s">
        <v>19553</v>
      </c>
      <c r="D635" t="s">
        <v>342</v>
      </c>
      <c r="E635" t="s">
        <v>265</v>
      </c>
      <c r="F635" t="s">
        <v>344</v>
      </c>
    </row>
    <row r="636" spans="1:6" x14ac:dyDescent="0.25">
      <c r="A636" t="s">
        <v>19554</v>
      </c>
      <c r="B636" t="s">
        <v>19555</v>
      </c>
      <c r="C636" t="s">
        <v>19556</v>
      </c>
      <c r="D636" t="s">
        <v>1337</v>
      </c>
      <c r="E636" t="s">
        <v>271</v>
      </c>
      <c r="F636" t="s">
        <v>1336</v>
      </c>
    </row>
    <row r="637" spans="1:6" x14ac:dyDescent="0.25">
      <c r="A637" t="s">
        <v>4082</v>
      </c>
      <c r="B637" t="s">
        <v>257</v>
      </c>
      <c r="C637" t="s">
        <v>4084</v>
      </c>
      <c r="D637" t="s">
        <v>1973</v>
      </c>
      <c r="E637" t="s">
        <v>271</v>
      </c>
      <c r="F637" t="s">
        <v>1972</v>
      </c>
    </row>
    <row r="638" spans="1:6" x14ac:dyDescent="0.25">
      <c r="A638" t="s">
        <v>19557</v>
      </c>
      <c r="B638" t="s">
        <v>19558</v>
      </c>
      <c r="C638" t="s">
        <v>19559</v>
      </c>
      <c r="D638" t="s">
        <v>0</v>
      </c>
      <c r="E638" t="s">
        <v>271</v>
      </c>
      <c r="F638" t="s">
        <v>323</v>
      </c>
    </row>
    <row r="639" spans="1:6" x14ac:dyDescent="0.25">
      <c r="A639" t="s">
        <v>19560</v>
      </c>
      <c r="B639" t="s">
        <v>19561</v>
      </c>
      <c r="C639" t="s">
        <v>19562</v>
      </c>
      <c r="D639" t="s">
        <v>340</v>
      </c>
      <c r="E639" t="s">
        <v>271</v>
      </c>
      <c r="F639" t="s">
        <v>317</v>
      </c>
    </row>
    <row r="640" spans="1:6" x14ac:dyDescent="0.25">
      <c r="A640" t="s">
        <v>19563</v>
      </c>
      <c r="B640" t="s">
        <v>19564</v>
      </c>
      <c r="C640" t="s">
        <v>1514</v>
      </c>
      <c r="D640" t="s">
        <v>616</v>
      </c>
      <c r="E640" t="s">
        <v>271</v>
      </c>
      <c r="F640" t="s">
        <v>333</v>
      </c>
    </row>
    <row r="641" spans="1:6" x14ac:dyDescent="0.25">
      <c r="A641" t="s">
        <v>19565</v>
      </c>
      <c r="B641" t="s">
        <v>19566</v>
      </c>
      <c r="C641" t="s">
        <v>19567</v>
      </c>
      <c r="D641" t="s">
        <v>986</v>
      </c>
      <c r="E641" t="s">
        <v>271</v>
      </c>
      <c r="F641" t="s">
        <v>985</v>
      </c>
    </row>
    <row r="642" spans="1:6" x14ac:dyDescent="0.25">
      <c r="A642" t="s">
        <v>4298</v>
      </c>
      <c r="B642" t="s">
        <v>4299</v>
      </c>
      <c r="C642" t="s">
        <v>4301</v>
      </c>
      <c r="D642" t="s">
        <v>510</v>
      </c>
      <c r="E642" t="s">
        <v>271</v>
      </c>
      <c r="F642" t="s">
        <v>511</v>
      </c>
    </row>
    <row r="643" spans="1:6" x14ac:dyDescent="0.25">
      <c r="A643" t="s">
        <v>19568</v>
      </c>
      <c r="B643" t="s">
        <v>19569</v>
      </c>
      <c r="C643" t="s">
        <v>19570</v>
      </c>
      <c r="D643" t="s">
        <v>0</v>
      </c>
      <c r="E643" t="s">
        <v>271</v>
      </c>
      <c r="F643" t="s">
        <v>1591</v>
      </c>
    </row>
    <row r="644" spans="1:6" x14ac:dyDescent="0.25">
      <c r="A644" t="s">
        <v>19571</v>
      </c>
      <c r="B644" t="s">
        <v>19572</v>
      </c>
      <c r="C644" t="s">
        <v>19573</v>
      </c>
      <c r="D644" t="s">
        <v>444</v>
      </c>
      <c r="E644" t="s">
        <v>271</v>
      </c>
      <c r="F644" t="s">
        <v>1270</v>
      </c>
    </row>
    <row r="645" spans="1:6" x14ac:dyDescent="0.25">
      <c r="A645" t="s">
        <v>19574</v>
      </c>
      <c r="B645" t="s">
        <v>19575</v>
      </c>
      <c r="C645" t="s">
        <v>19576</v>
      </c>
      <c r="D645" t="s">
        <v>239</v>
      </c>
      <c r="E645" t="s">
        <v>271</v>
      </c>
      <c r="F645" t="s">
        <v>544</v>
      </c>
    </row>
    <row r="646" spans="1:6" x14ac:dyDescent="0.25">
      <c r="A646" t="s">
        <v>19577</v>
      </c>
      <c r="B646" t="s">
        <v>19578</v>
      </c>
      <c r="C646" t="s">
        <v>19579</v>
      </c>
      <c r="D646" t="s">
        <v>258</v>
      </c>
      <c r="E646" t="s">
        <v>271</v>
      </c>
      <c r="F646" t="s">
        <v>524</v>
      </c>
    </row>
    <row r="647" spans="1:6" x14ac:dyDescent="0.25">
      <c r="A647" t="s">
        <v>3877</v>
      </c>
      <c r="B647" t="s">
        <v>3878</v>
      </c>
      <c r="C647" t="s">
        <v>3881</v>
      </c>
      <c r="D647" t="s">
        <v>1079</v>
      </c>
      <c r="E647" t="s">
        <v>271</v>
      </c>
      <c r="F647" t="s">
        <v>3880</v>
      </c>
    </row>
    <row r="648" spans="1:6" x14ac:dyDescent="0.25">
      <c r="A648" t="s">
        <v>19580</v>
      </c>
      <c r="B648" t="s">
        <v>4494</v>
      </c>
      <c r="C648" t="s">
        <v>19581</v>
      </c>
      <c r="D648" t="s">
        <v>453</v>
      </c>
      <c r="E648" t="s">
        <v>271</v>
      </c>
      <c r="F648" t="s">
        <v>2285</v>
      </c>
    </row>
    <row r="649" spans="1:6" x14ac:dyDescent="0.25">
      <c r="A649" t="s">
        <v>19582</v>
      </c>
      <c r="B649" t="s">
        <v>19583</v>
      </c>
      <c r="C649" t="s">
        <v>19584</v>
      </c>
      <c r="D649" t="s">
        <v>8015</v>
      </c>
      <c r="E649" t="s">
        <v>271</v>
      </c>
      <c r="F649" t="s">
        <v>4380</v>
      </c>
    </row>
    <row r="650" spans="1:6" x14ac:dyDescent="0.25">
      <c r="A650" t="s">
        <v>19585</v>
      </c>
      <c r="B650" t="s">
        <v>19586</v>
      </c>
      <c r="C650" t="s">
        <v>19587</v>
      </c>
      <c r="D650" t="s">
        <v>1361</v>
      </c>
      <c r="E650" t="s">
        <v>271</v>
      </c>
      <c r="F650" t="s">
        <v>1360</v>
      </c>
    </row>
    <row r="651" spans="1:6" x14ac:dyDescent="0.25">
      <c r="A651" t="s">
        <v>19588</v>
      </c>
      <c r="B651" t="s">
        <v>19589</v>
      </c>
      <c r="C651" t="s">
        <v>19590</v>
      </c>
      <c r="D651" t="s">
        <v>510</v>
      </c>
      <c r="E651" t="s">
        <v>271</v>
      </c>
      <c r="F651" t="s">
        <v>437</v>
      </c>
    </row>
    <row r="652" spans="1:6" x14ac:dyDescent="0.25">
      <c r="A652" t="s">
        <v>4349</v>
      </c>
      <c r="B652" t="s">
        <v>4350</v>
      </c>
      <c r="C652" t="s">
        <v>4351</v>
      </c>
      <c r="D652" t="s">
        <v>1601</v>
      </c>
      <c r="E652" t="s">
        <v>269</v>
      </c>
      <c r="F652" t="s">
        <v>2243</v>
      </c>
    </row>
    <row r="653" spans="1:6" x14ac:dyDescent="0.25">
      <c r="A653" t="s">
        <v>19591</v>
      </c>
      <c r="B653" t="s">
        <v>19592</v>
      </c>
      <c r="C653" t="s">
        <v>18174</v>
      </c>
      <c r="D653" t="s">
        <v>0</v>
      </c>
      <c r="E653" t="s">
        <v>271</v>
      </c>
      <c r="F653" t="s">
        <v>323</v>
      </c>
    </row>
    <row r="654" spans="1:6" x14ac:dyDescent="0.25">
      <c r="A654" t="s">
        <v>19593</v>
      </c>
      <c r="B654" t="s">
        <v>19594</v>
      </c>
      <c r="C654" t="s">
        <v>19595</v>
      </c>
      <c r="D654" t="s">
        <v>0</v>
      </c>
      <c r="E654" t="s">
        <v>271</v>
      </c>
      <c r="F654" t="s">
        <v>1591</v>
      </c>
    </row>
    <row r="655" spans="1:6" x14ac:dyDescent="0.25">
      <c r="A655" t="s">
        <v>19596</v>
      </c>
      <c r="B655" t="s">
        <v>19597</v>
      </c>
      <c r="C655" t="s">
        <v>19598</v>
      </c>
      <c r="D655" t="s">
        <v>1542</v>
      </c>
      <c r="E655" t="s">
        <v>269</v>
      </c>
      <c r="F655" t="s">
        <v>4412</v>
      </c>
    </row>
    <row r="656" spans="1:6" x14ac:dyDescent="0.25">
      <c r="A656" t="s">
        <v>19599</v>
      </c>
      <c r="B656" t="s">
        <v>19600</v>
      </c>
      <c r="C656" t="s">
        <v>19601</v>
      </c>
      <c r="D656" t="s">
        <v>466</v>
      </c>
      <c r="E656" t="s">
        <v>271</v>
      </c>
      <c r="F656" t="s">
        <v>434</v>
      </c>
    </row>
    <row r="657" spans="1:6" x14ac:dyDescent="0.25">
      <c r="A657" t="s">
        <v>19602</v>
      </c>
      <c r="B657" t="s">
        <v>19603</v>
      </c>
      <c r="C657" t="s">
        <v>19604</v>
      </c>
      <c r="D657" t="s">
        <v>1199</v>
      </c>
      <c r="E657" t="s">
        <v>271</v>
      </c>
      <c r="F657" t="s">
        <v>1198</v>
      </c>
    </row>
    <row r="658" spans="1:6" x14ac:dyDescent="0.25">
      <c r="A658" t="s">
        <v>19605</v>
      </c>
      <c r="B658" t="s">
        <v>19606</v>
      </c>
      <c r="C658" t="s">
        <v>19607</v>
      </c>
      <c r="D658" t="s">
        <v>1806</v>
      </c>
      <c r="E658" t="s">
        <v>271</v>
      </c>
      <c r="F658" t="s">
        <v>1805</v>
      </c>
    </row>
    <row r="659" spans="1:6" x14ac:dyDescent="0.25">
      <c r="A659" t="s">
        <v>4057</v>
      </c>
      <c r="B659" t="s">
        <v>4058</v>
      </c>
      <c r="C659" t="s">
        <v>4059</v>
      </c>
      <c r="D659" t="s">
        <v>282</v>
      </c>
      <c r="E659" t="s">
        <v>271</v>
      </c>
      <c r="F659" t="s">
        <v>1191</v>
      </c>
    </row>
    <row r="660" spans="1:6" x14ac:dyDescent="0.25">
      <c r="A660" t="s">
        <v>19608</v>
      </c>
      <c r="B660" t="s">
        <v>19609</v>
      </c>
      <c r="C660" t="s">
        <v>9921</v>
      </c>
      <c r="D660" t="s">
        <v>258</v>
      </c>
      <c r="E660" t="s">
        <v>271</v>
      </c>
      <c r="F660" t="s">
        <v>524</v>
      </c>
    </row>
    <row r="661" spans="1:6" x14ac:dyDescent="0.25">
      <c r="A661" t="s">
        <v>19610</v>
      </c>
      <c r="B661" t="s">
        <v>19611</v>
      </c>
      <c r="C661" t="s">
        <v>19612</v>
      </c>
      <c r="D661" t="s">
        <v>0</v>
      </c>
      <c r="E661" t="s">
        <v>271</v>
      </c>
      <c r="F661" t="s">
        <v>731</v>
      </c>
    </row>
    <row r="662" spans="1:6" x14ac:dyDescent="0.25">
      <c r="A662" t="s">
        <v>4123</v>
      </c>
      <c r="B662" t="s">
        <v>4124</v>
      </c>
      <c r="C662" t="s">
        <v>4125</v>
      </c>
      <c r="D662" t="s">
        <v>503</v>
      </c>
      <c r="E662" t="s">
        <v>271</v>
      </c>
      <c r="F662" t="s">
        <v>504</v>
      </c>
    </row>
    <row r="663" spans="1:6" x14ac:dyDescent="0.25">
      <c r="A663" t="s">
        <v>19613</v>
      </c>
      <c r="B663" t="s">
        <v>19614</v>
      </c>
      <c r="C663" t="s">
        <v>1514</v>
      </c>
      <c r="D663" t="s">
        <v>616</v>
      </c>
      <c r="E663" t="s">
        <v>271</v>
      </c>
      <c r="F663" t="s">
        <v>333</v>
      </c>
    </row>
    <row r="664" spans="1:6" x14ac:dyDescent="0.25">
      <c r="A664" t="s">
        <v>19615</v>
      </c>
      <c r="B664" t="s">
        <v>19616</v>
      </c>
      <c r="C664" t="s">
        <v>18209</v>
      </c>
      <c r="D664" t="s">
        <v>0</v>
      </c>
      <c r="E664" t="s">
        <v>271</v>
      </c>
      <c r="F664" t="s">
        <v>1321</v>
      </c>
    </row>
    <row r="665" spans="1:6" x14ac:dyDescent="0.25">
      <c r="A665" t="s">
        <v>19617</v>
      </c>
      <c r="B665" t="s">
        <v>19618</v>
      </c>
      <c r="C665" t="s">
        <v>19619</v>
      </c>
      <c r="D665" t="s">
        <v>0</v>
      </c>
      <c r="E665" t="s">
        <v>271</v>
      </c>
      <c r="F665" t="s">
        <v>436</v>
      </c>
    </row>
    <row r="666" spans="1:6" x14ac:dyDescent="0.25">
      <c r="A666" t="s">
        <v>19620</v>
      </c>
      <c r="B666" t="s">
        <v>19621</v>
      </c>
      <c r="C666" t="s">
        <v>1514</v>
      </c>
      <c r="D666" t="s">
        <v>616</v>
      </c>
      <c r="E666" t="s">
        <v>271</v>
      </c>
      <c r="F666" t="s">
        <v>333</v>
      </c>
    </row>
    <row r="667" spans="1:6" x14ac:dyDescent="0.25">
      <c r="A667" t="s">
        <v>19622</v>
      </c>
      <c r="B667" t="s">
        <v>19623</v>
      </c>
      <c r="C667" t="s">
        <v>19624</v>
      </c>
      <c r="D667" t="s">
        <v>0</v>
      </c>
      <c r="E667" t="s">
        <v>271</v>
      </c>
      <c r="F667" t="s">
        <v>1321</v>
      </c>
    </row>
    <row r="668" spans="1:6" x14ac:dyDescent="0.25">
      <c r="A668" t="s">
        <v>19625</v>
      </c>
      <c r="B668" t="s">
        <v>19626</v>
      </c>
      <c r="C668" t="s">
        <v>18242</v>
      </c>
      <c r="D668" t="s">
        <v>0</v>
      </c>
      <c r="E668" t="s">
        <v>271</v>
      </c>
      <c r="F668" t="s">
        <v>1214</v>
      </c>
    </row>
    <row r="669" spans="1:6" x14ac:dyDescent="0.25">
      <c r="A669" t="s">
        <v>19627</v>
      </c>
      <c r="B669" t="s">
        <v>19628</v>
      </c>
      <c r="C669" t="s">
        <v>19629</v>
      </c>
      <c r="D669" t="s">
        <v>340</v>
      </c>
      <c r="E669" t="s">
        <v>271</v>
      </c>
      <c r="F669" t="s">
        <v>317</v>
      </c>
    </row>
    <row r="670" spans="1:6" x14ac:dyDescent="0.25">
      <c r="A670" t="s">
        <v>19630</v>
      </c>
      <c r="B670" t="s">
        <v>19631</v>
      </c>
      <c r="C670" t="s">
        <v>19632</v>
      </c>
      <c r="D670" t="s">
        <v>598</v>
      </c>
      <c r="E670" t="s">
        <v>271</v>
      </c>
      <c r="F670" t="s">
        <v>599</v>
      </c>
    </row>
    <row r="671" spans="1:6" x14ac:dyDescent="0.25">
      <c r="A671" t="s">
        <v>19633</v>
      </c>
      <c r="B671" t="s">
        <v>19634</v>
      </c>
      <c r="C671" t="s">
        <v>19635</v>
      </c>
      <c r="D671" t="s">
        <v>473</v>
      </c>
      <c r="E671" t="s">
        <v>271</v>
      </c>
      <c r="F671" t="s">
        <v>433</v>
      </c>
    </row>
    <row r="672" spans="1:6" x14ac:dyDescent="0.25">
      <c r="A672" t="s">
        <v>19636</v>
      </c>
      <c r="B672" t="s">
        <v>4494</v>
      </c>
      <c r="C672" t="s">
        <v>19637</v>
      </c>
      <c r="D672" t="s">
        <v>288</v>
      </c>
      <c r="E672" t="s">
        <v>271</v>
      </c>
      <c r="F672" t="s">
        <v>300</v>
      </c>
    </row>
    <row r="673" spans="1:6" x14ac:dyDescent="0.25">
      <c r="A673" t="s">
        <v>19638</v>
      </c>
      <c r="B673" t="s">
        <v>19639</v>
      </c>
      <c r="C673" t="s">
        <v>18242</v>
      </c>
      <c r="D673" t="s">
        <v>0</v>
      </c>
      <c r="E673" t="s">
        <v>271</v>
      </c>
      <c r="F673" t="s">
        <v>1214</v>
      </c>
    </row>
    <row r="674" spans="1:6" x14ac:dyDescent="0.25">
      <c r="A674" t="s">
        <v>19640</v>
      </c>
      <c r="B674" t="s">
        <v>19641</v>
      </c>
      <c r="C674" t="s">
        <v>5427</v>
      </c>
      <c r="D674" t="s">
        <v>488</v>
      </c>
      <c r="E674" t="s">
        <v>271</v>
      </c>
      <c r="F674" t="s">
        <v>489</v>
      </c>
    </row>
    <row r="675" spans="1:6" x14ac:dyDescent="0.25">
      <c r="A675" t="s">
        <v>19642</v>
      </c>
      <c r="B675" t="s">
        <v>19643</v>
      </c>
      <c r="C675" t="s">
        <v>19140</v>
      </c>
      <c r="D675" t="s">
        <v>450</v>
      </c>
      <c r="E675" t="s">
        <v>271</v>
      </c>
      <c r="F675" t="s">
        <v>326</v>
      </c>
    </row>
    <row r="676" spans="1:6" x14ac:dyDescent="0.25">
      <c r="A676" t="s">
        <v>4132</v>
      </c>
      <c r="B676" t="s">
        <v>4133</v>
      </c>
      <c r="C676" t="s">
        <v>4134</v>
      </c>
      <c r="D676" t="s">
        <v>0</v>
      </c>
      <c r="E676" t="s">
        <v>271</v>
      </c>
      <c r="F676" t="s">
        <v>355</v>
      </c>
    </row>
    <row r="677" spans="1:6" x14ac:dyDescent="0.25">
      <c r="A677" t="s">
        <v>3956</v>
      </c>
      <c r="B677" t="s">
        <v>3957</v>
      </c>
      <c r="C677" t="s">
        <v>3958</v>
      </c>
      <c r="D677" t="s">
        <v>500</v>
      </c>
      <c r="E677" t="s">
        <v>271</v>
      </c>
      <c r="F677" t="s">
        <v>501</v>
      </c>
    </row>
    <row r="678" spans="1:6" x14ac:dyDescent="0.25">
      <c r="A678" t="s">
        <v>4337</v>
      </c>
      <c r="B678" t="s">
        <v>4338</v>
      </c>
      <c r="C678" t="s">
        <v>4340</v>
      </c>
      <c r="D678" t="s">
        <v>822</v>
      </c>
      <c r="E678" t="s">
        <v>269</v>
      </c>
      <c r="F678" t="s">
        <v>821</v>
      </c>
    </row>
    <row r="679" spans="1:6" x14ac:dyDescent="0.25">
      <c r="A679" t="s">
        <v>19644</v>
      </c>
      <c r="B679" t="s">
        <v>19645</v>
      </c>
      <c r="C679" t="s">
        <v>19646</v>
      </c>
      <c r="D679" t="s">
        <v>0</v>
      </c>
      <c r="E679" t="s">
        <v>271</v>
      </c>
      <c r="F679" t="s">
        <v>436</v>
      </c>
    </row>
    <row r="680" spans="1:6" x14ac:dyDescent="0.25">
      <c r="A680" t="s">
        <v>19647</v>
      </c>
      <c r="B680" t="s">
        <v>19648</v>
      </c>
      <c r="C680" t="s">
        <v>19649</v>
      </c>
      <c r="D680" t="s">
        <v>416</v>
      </c>
      <c r="E680" t="s">
        <v>271</v>
      </c>
      <c r="F680" t="s">
        <v>439</v>
      </c>
    </row>
    <row r="681" spans="1:6" x14ac:dyDescent="0.25">
      <c r="A681" t="s">
        <v>19650</v>
      </c>
      <c r="B681" t="s">
        <v>19651</v>
      </c>
      <c r="C681" t="s">
        <v>19652</v>
      </c>
      <c r="D681" t="s">
        <v>556</v>
      </c>
      <c r="E681" t="s">
        <v>271</v>
      </c>
      <c r="F681" t="s">
        <v>1567</v>
      </c>
    </row>
    <row r="682" spans="1:6" x14ac:dyDescent="0.25">
      <c r="A682" t="s">
        <v>19653</v>
      </c>
      <c r="B682" t="s">
        <v>19654</v>
      </c>
      <c r="C682" t="s">
        <v>19655</v>
      </c>
      <c r="D682" t="s">
        <v>289</v>
      </c>
      <c r="E682" t="s">
        <v>271</v>
      </c>
      <c r="F682" t="s">
        <v>5812</v>
      </c>
    </row>
    <row r="683" spans="1:6" x14ac:dyDescent="0.25">
      <c r="A683" t="s">
        <v>19656</v>
      </c>
      <c r="B683" t="s">
        <v>19657</v>
      </c>
      <c r="C683" t="s">
        <v>19658</v>
      </c>
      <c r="D683" t="s">
        <v>2667</v>
      </c>
      <c r="E683" t="s">
        <v>271</v>
      </c>
      <c r="F683" t="s">
        <v>2666</v>
      </c>
    </row>
    <row r="684" spans="1:6" x14ac:dyDescent="0.25">
      <c r="A684" t="s">
        <v>19659</v>
      </c>
      <c r="B684" t="s">
        <v>19660</v>
      </c>
      <c r="C684" t="s">
        <v>19661</v>
      </c>
      <c r="D684" t="s">
        <v>0</v>
      </c>
      <c r="E684" t="s">
        <v>271</v>
      </c>
      <c r="F684" t="s">
        <v>688</v>
      </c>
    </row>
    <row r="685" spans="1:6" x14ac:dyDescent="0.25">
      <c r="A685" t="s">
        <v>19662</v>
      </c>
      <c r="B685" t="s">
        <v>19663</v>
      </c>
      <c r="C685" t="s">
        <v>19664</v>
      </c>
      <c r="D685" t="s">
        <v>0</v>
      </c>
      <c r="E685" t="s">
        <v>271</v>
      </c>
      <c r="F685" t="s">
        <v>325</v>
      </c>
    </row>
    <row r="686" spans="1:6" x14ac:dyDescent="0.25">
      <c r="A686" t="s">
        <v>19665</v>
      </c>
      <c r="B686" t="s">
        <v>19666</v>
      </c>
      <c r="C686" t="s">
        <v>19667</v>
      </c>
      <c r="D686" t="s">
        <v>0</v>
      </c>
      <c r="E686" t="s">
        <v>271</v>
      </c>
      <c r="F686" t="s">
        <v>323</v>
      </c>
    </row>
    <row r="687" spans="1:6" x14ac:dyDescent="0.25">
      <c r="A687" t="s">
        <v>19668</v>
      </c>
      <c r="B687" t="s">
        <v>19669</v>
      </c>
      <c r="C687" t="s">
        <v>19670</v>
      </c>
      <c r="D687" t="s">
        <v>340</v>
      </c>
      <c r="E687" t="s">
        <v>271</v>
      </c>
      <c r="F687" t="s">
        <v>317</v>
      </c>
    </row>
    <row r="688" spans="1:6" x14ac:dyDescent="0.25">
      <c r="A688" t="s">
        <v>19671</v>
      </c>
      <c r="B688" t="s">
        <v>19672</v>
      </c>
      <c r="C688" t="s">
        <v>19673</v>
      </c>
      <c r="D688" t="s">
        <v>967</v>
      </c>
      <c r="E688" t="s">
        <v>271</v>
      </c>
      <c r="F688" t="s">
        <v>966</v>
      </c>
    </row>
    <row r="689" spans="1:6" x14ac:dyDescent="0.25">
      <c r="A689" t="s">
        <v>4060</v>
      </c>
      <c r="B689" t="s">
        <v>4061</v>
      </c>
      <c r="C689" t="s">
        <v>4062</v>
      </c>
      <c r="D689" t="s">
        <v>0</v>
      </c>
      <c r="E689" t="s">
        <v>271</v>
      </c>
      <c r="F689" t="s">
        <v>1115</v>
      </c>
    </row>
    <row r="690" spans="1:6" x14ac:dyDescent="0.25">
      <c r="A690" t="s">
        <v>19674</v>
      </c>
      <c r="B690" t="s">
        <v>19675</v>
      </c>
      <c r="C690" t="s">
        <v>19676</v>
      </c>
      <c r="D690" t="s">
        <v>0</v>
      </c>
      <c r="E690" t="s">
        <v>271</v>
      </c>
      <c r="F690" t="s">
        <v>562</v>
      </c>
    </row>
    <row r="691" spans="1:6" x14ac:dyDescent="0.25">
      <c r="A691" t="s">
        <v>19677</v>
      </c>
      <c r="B691" t="s">
        <v>19678</v>
      </c>
      <c r="C691" t="s">
        <v>19679</v>
      </c>
      <c r="D691" t="s">
        <v>6094</v>
      </c>
      <c r="E691" t="s">
        <v>271</v>
      </c>
      <c r="F691" t="s">
        <v>4413</v>
      </c>
    </row>
    <row r="692" spans="1:6" x14ac:dyDescent="0.25">
      <c r="A692" t="s">
        <v>19680</v>
      </c>
      <c r="B692" t="s">
        <v>19681</v>
      </c>
      <c r="C692" t="s">
        <v>19682</v>
      </c>
      <c r="D692" t="s">
        <v>616</v>
      </c>
      <c r="E692" t="s">
        <v>271</v>
      </c>
      <c r="F692" t="s">
        <v>333</v>
      </c>
    </row>
    <row r="693" spans="1:6" x14ac:dyDescent="0.25">
      <c r="A693" t="s">
        <v>19683</v>
      </c>
      <c r="B693" t="s">
        <v>19684</v>
      </c>
      <c r="C693" t="s">
        <v>17048</v>
      </c>
      <c r="D693" t="s">
        <v>1925</v>
      </c>
      <c r="E693" t="s">
        <v>271</v>
      </c>
      <c r="F693" t="s">
        <v>1924</v>
      </c>
    </row>
    <row r="694" spans="1:6" x14ac:dyDescent="0.25">
      <c r="A694" t="s">
        <v>19685</v>
      </c>
      <c r="B694" t="s">
        <v>19586</v>
      </c>
      <c r="C694" t="s">
        <v>19686</v>
      </c>
      <c r="D694" t="s">
        <v>3831</v>
      </c>
      <c r="E694" t="s">
        <v>271</v>
      </c>
      <c r="F694" t="s">
        <v>3830</v>
      </c>
    </row>
    <row r="695" spans="1:6" x14ac:dyDescent="0.25">
      <c r="A695" t="s">
        <v>19687</v>
      </c>
      <c r="B695" t="s">
        <v>19688</v>
      </c>
      <c r="C695" t="s">
        <v>4059</v>
      </c>
      <c r="D695" t="s">
        <v>282</v>
      </c>
      <c r="E695" t="s">
        <v>271</v>
      </c>
      <c r="F695" t="s">
        <v>1191</v>
      </c>
    </row>
    <row r="696" spans="1:6" x14ac:dyDescent="0.25">
      <c r="A696" t="s">
        <v>19689</v>
      </c>
      <c r="B696" t="s">
        <v>19690</v>
      </c>
      <c r="C696" t="s">
        <v>19691</v>
      </c>
      <c r="D696" t="s">
        <v>0</v>
      </c>
      <c r="E696" t="s">
        <v>271</v>
      </c>
      <c r="F696" t="s">
        <v>323</v>
      </c>
    </row>
    <row r="697" spans="1:6" x14ac:dyDescent="0.25">
      <c r="A697" t="s">
        <v>19692</v>
      </c>
      <c r="B697" t="s">
        <v>19693</v>
      </c>
      <c r="C697" t="s">
        <v>19694</v>
      </c>
      <c r="D697" t="s">
        <v>416</v>
      </c>
      <c r="E697" t="s">
        <v>271</v>
      </c>
      <c r="F697" t="s">
        <v>439</v>
      </c>
    </row>
    <row r="698" spans="1:6" x14ac:dyDescent="0.25">
      <c r="A698" t="s">
        <v>19695</v>
      </c>
      <c r="B698" t="s">
        <v>19696</v>
      </c>
      <c r="C698" t="s">
        <v>19697</v>
      </c>
      <c r="D698" t="s">
        <v>2714</v>
      </c>
      <c r="E698" t="s">
        <v>271</v>
      </c>
      <c r="F698" t="s">
        <v>2713</v>
      </c>
    </row>
    <row r="699" spans="1:6" x14ac:dyDescent="0.25">
      <c r="A699" t="s">
        <v>19698</v>
      </c>
      <c r="B699" t="s">
        <v>19699</v>
      </c>
      <c r="C699" t="s">
        <v>19700</v>
      </c>
      <c r="D699" t="s">
        <v>0</v>
      </c>
      <c r="E699" t="s">
        <v>271</v>
      </c>
      <c r="F699" t="s">
        <v>1148</v>
      </c>
    </row>
    <row r="700" spans="1:6" x14ac:dyDescent="0.25">
      <c r="A700" t="s">
        <v>19701</v>
      </c>
      <c r="B700" t="s">
        <v>19702</v>
      </c>
      <c r="C700" t="s">
        <v>18464</v>
      </c>
      <c r="D700" t="s">
        <v>1665</v>
      </c>
      <c r="E700" t="s">
        <v>271</v>
      </c>
      <c r="F700" t="s">
        <v>1664</v>
      </c>
    </row>
    <row r="701" spans="1:6" x14ac:dyDescent="0.25">
      <c r="A701" t="s">
        <v>19703</v>
      </c>
      <c r="B701" t="s">
        <v>19704</v>
      </c>
      <c r="C701" t="s">
        <v>19705</v>
      </c>
      <c r="D701" t="s">
        <v>1915</v>
      </c>
      <c r="E701" t="s">
        <v>269</v>
      </c>
      <c r="F701" t="s">
        <v>1914</v>
      </c>
    </row>
    <row r="702" spans="1:6" x14ac:dyDescent="0.25">
      <c r="A702" t="s">
        <v>19706</v>
      </c>
      <c r="B702" t="s">
        <v>19707</v>
      </c>
      <c r="C702" t="s">
        <v>19708</v>
      </c>
      <c r="D702" t="s">
        <v>3343</v>
      </c>
      <c r="E702" t="s">
        <v>271</v>
      </c>
      <c r="F702" t="s">
        <v>3342</v>
      </c>
    </row>
    <row r="703" spans="1:6" x14ac:dyDescent="0.25">
      <c r="A703" t="s">
        <v>19709</v>
      </c>
      <c r="B703" t="s">
        <v>19710</v>
      </c>
      <c r="C703" t="s">
        <v>19711</v>
      </c>
      <c r="D703" t="s">
        <v>19712</v>
      </c>
      <c r="E703" t="s">
        <v>271</v>
      </c>
      <c r="F703" t="s">
        <v>19713</v>
      </c>
    </row>
    <row r="704" spans="1:6" x14ac:dyDescent="0.25">
      <c r="A704" t="s">
        <v>19714</v>
      </c>
      <c r="B704" t="s">
        <v>19715</v>
      </c>
      <c r="C704" t="s">
        <v>19716</v>
      </c>
      <c r="D704" t="s">
        <v>5454</v>
      </c>
      <c r="E704" t="s">
        <v>271</v>
      </c>
      <c r="F704" t="s">
        <v>4425</v>
      </c>
    </row>
    <row r="705" spans="1:6" x14ac:dyDescent="0.25">
      <c r="A705" t="s">
        <v>19717</v>
      </c>
      <c r="B705" t="s">
        <v>19718</v>
      </c>
      <c r="C705" t="s">
        <v>19719</v>
      </c>
      <c r="D705" t="s">
        <v>0</v>
      </c>
      <c r="E705" t="s">
        <v>271</v>
      </c>
      <c r="F705" t="s">
        <v>2641</v>
      </c>
    </row>
    <row r="706" spans="1:6" x14ac:dyDescent="0.25">
      <c r="A706" t="s">
        <v>19720</v>
      </c>
      <c r="B706" t="s">
        <v>19721</v>
      </c>
      <c r="C706" t="s">
        <v>19722</v>
      </c>
      <c r="D706" t="s">
        <v>363</v>
      </c>
      <c r="E706" t="s">
        <v>271</v>
      </c>
      <c r="F706" t="s">
        <v>4410</v>
      </c>
    </row>
    <row r="707" spans="1:6" x14ac:dyDescent="0.25">
      <c r="A707" t="s">
        <v>19723</v>
      </c>
      <c r="B707" t="s">
        <v>19724</v>
      </c>
      <c r="C707" t="s">
        <v>19725</v>
      </c>
      <c r="D707" t="s">
        <v>1977</v>
      </c>
      <c r="E707" t="s">
        <v>271</v>
      </c>
      <c r="F707" t="s">
        <v>428</v>
      </c>
    </row>
    <row r="708" spans="1:6" x14ac:dyDescent="0.25">
      <c r="A708" t="s">
        <v>19726</v>
      </c>
      <c r="B708" t="s">
        <v>19727</v>
      </c>
      <c r="C708" t="s">
        <v>19728</v>
      </c>
      <c r="D708" t="s">
        <v>0</v>
      </c>
      <c r="E708" t="s">
        <v>271</v>
      </c>
      <c r="F708" t="s">
        <v>726</v>
      </c>
    </row>
    <row r="709" spans="1:6" x14ac:dyDescent="0.25">
      <c r="A709" t="s">
        <v>4292</v>
      </c>
      <c r="B709" t="s">
        <v>4293</v>
      </c>
      <c r="C709" t="s">
        <v>4296</v>
      </c>
      <c r="D709" t="s">
        <v>0</v>
      </c>
      <c r="E709" t="s">
        <v>271</v>
      </c>
      <c r="F709" t="s">
        <v>4295</v>
      </c>
    </row>
    <row r="710" spans="1:6" x14ac:dyDescent="0.25">
      <c r="A710" t="s">
        <v>19729</v>
      </c>
      <c r="B710" t="s">
        <v>19730</v>
      </c>
      <c r="C710" t="s">
        <v>19731</v>
      </c>
      <c r="D710" t="s">
        <v>0</v>
      </c>
      <c r="E710" t="s">
        <v>271</v>
      </c>
      <c r="F710" t="s">
        <v>1115</v>
      </c>
    </row>
    <row r="711" spans="1:6" x14ac:dyDescent="0.25">
      <c r="A711" t="s">
        <v>19732</v>
      </c>
      <c r="B711" t="s">
        <v>19733</v>
      </c>
      <c r="C711" t="s">
        <v>7311</v>
      </c>
      <c r="D711" t="s">
        <v>0</v>
      </c>
      <c r="E711" t="s">
        <v>271</v>
      </c>
      <c r="F711" t="s">
        <v>709</v>
      </c>
    </row>
    <row r="712" spans="1:6" x14ac:dyDescent="0.25">
      <c r="A712" t="s">
        <v>4127</v>
      </c>
      <c r="B712" t="s">
        <v>4128</v>
      </c>
      <c r="C712" t="s">
        <v>4130</v>
      </c>
      <c r="D712" t="s">
        <v>2058</v>
      </c>
      <c r="E712" t="s">
        <v>271</v>
      </c>
      <c r="F712" t="s">
        <v>2057</v>
      </c>
    </row>
    <row r="713" spans="1:6" x14ac:dyDescent="0.25">
      <c r="A713" t="s">
        <v>3810</v>
      </c>
      <c r="B713" t="s">
        <v>3811</v>
      </c>
      <c r="C713" t="s">
        <v>3812</v>
      </c>
      <c r="D713" t="s">
        <v>0</v>
      </c>
      <c r="E713" t="s">
        <v>271</v>
      </c>
      <c r="F713" t="s">
        <v>319</v>
      </c>
    </row>
    <row r="714" spans="1:6" x14ac:dyDescent="0.25">
      <c r="A714" t="s">
        <v>19734</v>
      </c>
      <c r="B714" t="s">
        <v>19735</v>
      </c>
      <c r="C714" t="s">
        <v>19736</v>
      </c>
      <c r="D714" t="s">
        <v>0</v>
      </c>
      <c r="E714" t="s">
        <v>271</v>
      </c>
      <c r="F714" t="s">
        <v>688</v>
      </c>
    </row>
    <row r="715" spans="1:6" x14ac:dyDescent="0.25">
      <c r="A715" t="s">
        <v>19737</v>
      </c>
      <c r="B715" t="s">
        <v>19738</v>
      </c>
      <c r="C715" t="s">
        <v>19739</v>
      </c>
      <c r="D715" t="s">
        <v>18684</v>
      </c>
      <c r="E715" t="s">
        <v>271</v>
      </c>
      <c r="F715" t="s">
        <v>18685</v>
      </c>
    </row>
    <row r="716" spans="1:6" x14ac:dyDescent="0.25">
      <c r="A716" t="s">
        <v>19740</v>
      </c>
      <c r="B716" t="s">
        <v>19741</v>
      </c>
      <c r="C716" t="s">
        <v>19742</v>
      </c>
      <c r="D716" t="s">
        <v>19144</v>
      </c>
      <c r="E716" t="s">
        <v>457</v>
      </c>
      <c r="F716" t="s">
        <v>19145</v>
      </c>
    </row>
    <row r="717" spans="1:6" x14ac:dyDescent="0.25">
      <c r="A717" t="s">
        <v>19743</v>
      </c>
      <c r="B717" t="s">
        <v>19744</v>
      </c>
      <c r="C717" t="s">
        <v>19745</v>
      </c>
      <c r="D717" t="s">
        <v>0</v>
      </c>
      <c r="E717" t="s">
        <v>271</v>
      </c>
      <c r="F717" t="s">
        <v>319</v>
      </c>
    </row>
    <row r="718" spans="1:6" x14ac:dyDescent="0.25">
      <c r="A718" t="s">
        <v>19746</v>
      </c>
      <c r="B718" t="s">
        <v>19747</v>
      </c>
      <c r="C718" t="s">
        <v>19748</v>
      </c>
      <c r="D718" t="s">
        <v>972</v>
      </c>
      <c r="E718" t="s">
        <v>269</v>
      </c>
      <c r="F718" t="s">
        <v>971</v>
      </c>
    </row>
    <row r="719" spans="1:6" x14ac:dyDescent="0.25">
      <c r="A719" t="s">
        <v>4179</v>
      </c>
      <c r="B719" t="s">
        <v>4180</v>
      </c>
      <c r="C719" t="s">
        <v>4182</v>
      </c>
      <c r="D719" t="s">
        <v>1490</v>
      </c>
      <c r="E719" t="s">
        <v>271</v>
      </c>
      <c r="F719" t="s">
        <v>816</v>
      </c>
    </row>
    <row r="720" spans="1:6" x14ac:dyDescent="0.25">
      <c r="A720" t="s">
        <v>19749</v>
      </c>
      <c r="B720" t="s">
        <v>19750</v>
      </c>
      <c r="C720" t="s">
        <v>19751</v>
      </c>
      <c r="D720" t="s">
        <v>0</v>
      </c>
      <c r="E720" t="s">
        <v>271</v>
      </c>
      <c r="F720" t="s">
        <v>1321</v>
      </c>
    </row>
    <row r="721" spans="1:6" x14ac:dyDescent="0.25">
      <c r="A721" t="s">
        <v>19752</v>
      </c>
      <c r="B721" t="s">
        <v>19753</v>
      </c>
      <c r="C721" t="s">
        <v>19754</v>
      </c>
      <c r="D721" t="s">
        <v>1485</v>
      </c>
      <c r="E721" t="s">
        <v>271</v>
      </c>
      <c r="F721" t="s">
        <v>1519</v>
      </c>
    </row>
    <row r="722" spans="1:6" x14ac:dyDescent="0.25">
      <c r="A722" t="s">
        <v>19755</v>
      </c>
      <c r="B722" t="s">
        <v>18907</v>
      </c>
      <c r="C722" t="s">
        <v>19756</v>
      </c>
      <c r="D722" t="s">
        <v>314</v>
      </c>
      <c r="E722" t="s">
        <v>271</v>
      </c>
      <c r="F722" t="s">
        <v>370</v>
      </c>
    </row>
    <row r="723" spans="1:6" x14ac:dyDescent="0.25">
      <c r="A723" t="s">
        <v>19757</v>
      </c>
      <c r="B723" t="s">
        <v>19758</v>
      </c>
      <c r="C723" t="s">
        <v>19759</v>
      </c>
      <c r="D723" t="s">
        <v>510</v>
      </c>
      <c r="E723" t="s">
        <v>271</v>
      </c>
      <c r="F723" t="s">
        <v>437</v>
      </c>
    </row>
    <row r="724" spans="1:6" x14ac:dyDescent="0.25">
      <c r="A724" t="s">
        <v>19760</v>
      </c>
      <c r="B724" t="s">
        <v>19761</v>
      </c>
      <c r="C724" t="s">
        <v>18080</v>
      </c>
      <c r="D724" t="s">
        <v>1165</v>
      </c>
      <c r="E724" t="s">
        <v>271</v>
      </c>
      <c r="F724" t="s">
        <v>1164</v>
      </c>
    </row>
    <row r="725" spans="1:6" x14ac:dyDescent="0.25">
      <c r="A725" t="s">
        <v>19762</v>
      </c>
      <c r="B725" t="s">
        <v>19763</v>
      </c>
      <c r="C725" t="s">
        <v>19764</v>
      </c>
      <c r="D725" t="s">
        <v>1165</v>
      </c>
      <c r="E725" t="s">
        <v>271</v>
      </c>
      <c r="F725" t="s">
        <v>6306</v>
      </c>
    </row>
    <row r="726" spans="1:6" x14ac:dyDescent="0.25">
      <c r="A726" t="s">
        <v>4240</v>
      </c>
      <c r="B726" t="s">
        <v>4241</v>
      </c>
      <c r="C726" t="s">
        <v>4242</v>
      </c>
      <c r="D726" t="s">
        <v>0</v>
      </c>
      <c r="E726" t="s">
        <v>271</v>
      </c>
      <c r="F726" t="s">
        <v>881</v>
      </c>
    </row>
    <row r="727" spans="1:6" x14ac:dyDescent="0.25">
      <c r="A727" t="s">
        <v>19765</v>
      </c>
      <c r="B727" t="s">
        <v>19766</v>
      </c>
      <c r="C727" t="s">
        <v>19767</v>
      </c>
      <c r="D727" t="s">
        <v>1455</v>
      </c>
      <c r="E727" t="s">
        <v>271</v>
      </c>
      <c r="F727" t="s">
        <v>1454</v>
      </c>
    </row>
    <row r="728" spans="1:6" x14ac:dyDescent="0.25">
      <c r="A728" t="s">
        <v>3969</v>
      </c>
      <c r="B728" t="s">
        <v>3970</v>
      </c>
      <c r="C728" t="s">
        <v>3971</v>
      </c>
      <c r="D728" t="s">
        <v>1485</v>
      </c>
      <c r="E728" t="s">
        <v>271</v>
      </c>
      <c r="F728" t="s">
        <v>1519</v>
      </c>
    </row>
    <row r="729" spans="1:6" x14ac:dyDescent="0.25">
      <c r="A729" t="s">
        <v>19768</v>
      </c>
      <c r="B729" t="s">
        <v>19769</v>
      </c>
      <c r="C729" t="s">
        <v>19770</v>
      </c>
      <c r="D729" t="s">
        <v>0</v>
      </c>
      <c r="E729" t="s">
        <v>271</v>
      </c>
      <c r="F729" t="s">
        <v>355</v>
      </c>
    </row>
    <row r="730" spans="1:6" x14ac:dyDescent="0.25">
      <c r="A730" t="s">
        <v>19771</v>
      </c>
      <c r="B730" t="s">
        <v>19772</v>
      </c>
      <c r="C730" t="s">
        <v>19773</v>
      </c>
      <c r="D730" t="s">
        <v>8015</v>
      </c>
      <c r="E730" t="s">
        <v>271</v>
      </c>
      <c r="F730" t="s">
        <v>4380</v>
      </c>
    </row>
    <row r="731" spans="1:6" x14ac:dyDescent="0.25">
      <c r="A731" t="s">
        <v>19774</v>
      </c>
      <c r="B731" t="s">
        <v>19775</v>
      </c>
      <c r="C731" t="s">
        <v>19776</v>
      </c>
      <c r="D731" t="s">
        <v>817</v>
      </c>
      <c r="E731" t="s">
        <v>271</v>
      </c>
      <c r="F731" t="s">
        <v>816</v>
      </c>
    </row>
    <row r="732" spans="1:6" x14ac:dyDescent="0.25">
      <c r="A732" t="s">
        <v>19777</v>
      </c>
      <c r="B732" t="s">
        <v>19778</v>
      </c>
      <c r="C732" t="s">
        <v>19779</v>
      </c>
      <c r="D732" t="s">
        <v>0</v>
      </c>
      <c r="E732" t="s">
        <v>271</v>
      </c>
      <c r="F732" t="s">
        <v>325</v>
      </c>
    </row>
    <row r="733" spans="1:6" x14ac:dyDescent="0.25">
      <c r="A733" t="s">
        <v>19780</v>
      </c>
      <c r="B733" t="s">
        <v>19781</v>
      </c>
      <c r="C733" t="s">
        <v>19782</v>
      </c>
      <c r="D733" t="s">
        <v>288</v>
      </c>
      <c r="E733" t="s">
        <v>271</v>
      </c>
      <c r="F733" t="s">
        <v>315</v>
      </c>
    </row>
    <row r="734" spans="1:6" x14ac:dyDescent="0.25">
      <c r="A734" t="s">
        <v>19783</v>
      </c>
      <c r="B734" t="s">
        <v>19784</v>
      </c>
      <c r="C734" t="s">
        <v>19785</v>
      </c>
      <c r="D734" t="s">
        <v>1019</v>
      </c>
      <c r="E734" t="s">
        <v>271</v>
      </c>
      <c r="F734" t="s">
        <v>1018</v>
      </c>
    </row>
    <row r="735" spans="1:6" x14ac:dyDescent="0.25">
      <c r="A735" t="s">
        <v>19786</v>
      </c>
      <c r="B735" t="s">
        <v>19787</v>
      </c>
      <c r="C735" t="s">
        <v>19788</v>
      </c>
      <c r="D735" t="s">
        <v>35</v>
      </c>
      <c r="E735" t="s">
        <v>231</v>
      </c>
      <c r="F735" t="s">
        <v>19789</v>
      </c>
    </row>
    <row r="736" spans="1:6" x14ac:dyDescent="0.25">
      <c r="A736" t="s">
        <v>19790</v>
      </c>
      <c r="B736" t="s">
        <v>19791</v>
      </c>
      <c r="C736" t="s">
        <v>19792</v>
      </c>
      <c r="D736" t="s">
        <v>1126</v>
      </c>
      <c r="E736" t="s">
        <v>271</v>
      </c>
      <c r="F736" t="s">
        <v>1125</v>
      </c>
    </row>
    <row r="737" spans="1:6" x14ac:dyDescent="0.25">
      <c r="A737" t="s">
        <v>19793</v>
      </c>
      <c r="B737" t="s">
        <v>19794</v>
      </c>
      <c r="C737" t="s">
        <v>19795</v>
      </c>
      <c r="D737" t="s">
        <v>916</v>
      </c>
      <c r="E737" t="s">
        <v>271</v>
      </c>
      <c r="F737" t="s">
        <v>915</v>
      </c>
    </row>
    <row r="738" spans="1:6" x14ac:dyDescent="0.25">
      <c r="A738" t="s">
        <v>19796</v>
      </c>
      <c r="B738" t="s">
        <v>19797</v>
      </c>
      <c r="C738" t="s">
        <v>1514</v>
      </c>
      <c r="D738" t="s">
        <v>616</v>
      </c>
      <c r="E738" t="s">
        <v>271</v>
      </c>
      <c r="F738" t="s">
        <v>333</v>
      </c>
    </row>
    <row r="739" spans="1:6" x14ac:dyDescent="0.25">
      <c r="A739" t="s">
        <v>19798</v>
      </c>
      <c r="B739" t="s">
        <v>19799</v>
      </c>
      <c r="C739" t="s">
        <v>19800</v>
      </c>
      <c r="D739" t="s">
        <v>272</v>
      </c>
      <c r="E739" t="s">
        <v>269</v>
      </c>
      <c r="F739" t="s">
        <v>907</v>
      </c>
    </row>
    <row r="740" spans="1:6" x14ac:dyDescent="0.25">
      <c r="A740" t="s">
        <v>19801</v>
      </c>
      <c r="B740" t="s">
        <v>19802</v>
      </c>
      <c r="C740" t="s">
        <v>19803</v>
      </c>
      <c r="D740" t="s">
        <v>0</v>
      </c>
      <c r="E740" t="s">
        <v>271</v>
      </c>
      <c r="F740" t="s">
        <v>881</v>
      </c>
    </row>
    <row r="741" spans="1:6" x14ac:dyDescent="0.25">
      <c r="A741" t="s">
        <v>19804</v>
      </c>
      <c r="B741" t="s">
        <v>19805</v>
      </c>
      <c r="C741" t="s">
        <v>18372</v>
      </c>
      <c r="D741" t="s">
        <v>9299</v>
      </c>
      <c r="E741" t="s">
        <v>269</v>
      </c>
      <c r="F741" t="s">
        <v>10907</v>
      </c>
    </row>
    <row r="742" spans="1:6" x14ac:dyDescent="0.25">
      <c r="A742" t="s">
        <v>19806</v>
      </c>
      <c r="B742" t="s">
        <v>19807</v>
      </c>
      <c r="C742" t="s">
        <v>19808</v>
      </c>
      <c r="D742" t="s">
        <v>1303</v>
      </c>
      <c r="E742" t="s">
        <v>269</v>
      </c>
      <c r="F742" t="s">
        <v>1302</v>
      </c>
    </row>
    <row r="743" spans="1:6" x14ac:dyDescent="0.25">
      <c r="A743" t="s">
        <v>19809</v>
      </c>
      <c r="B743" t="s">
        <v>19810</v>
      </c>
      <c r="C743" t="s">
        <v>19811</v>
      </c>
      <c r="D743" t="s">
        <v>1027</v>
      </c>
      <c r="E743" t="s">
        <v>271</v>
      </c>
      <c r="F743" t="s">
        <v>1026</v>
      </c>
    </row>
    <row r="744" spans="1:6" x14ac:dyDescent="0.25">
      <c r="A744" t="s">
        <v>19812</v>
      </c>
      <c r="B744" t="s">
        <v>19813</v>
      </c>
      <c r="C744" t="s">
        <v>19814</v>
      </c>
      <c r="D744" t="s">
        <v>298</v>
      </c>
      <c r="E744" t="s">
        <v>271</v>
      </c>
      <c r="F744" t="s">
        <v>297</v>
      </c>
    </row>
    <row r="745" spans="1:6" x14ac:dyDescent="0.25">
      <c r="A745" t="s">
        <v>19815</v>
      </c>
      <c r="B745" t="s">
        <v>19816</v>
      </c>
      <c r="C745" t="s">
        <v>19817</v>
      </c>
      <c r="D745" t="s">
        <v>1601</v>
      </c>
      <c r="E745" t="s">
        <v>269</v>
      </c>
      <c r="F745" t="s">
        <v>3126</v>
      </c>
    </row>
    <row r="746" spans="1:6" x14ac:dyDescent="0.25">
      <c r="A746" t="s">
        <v>19818</v>
      </c>
      <c r="B746" t="s">
        <v>19819</v>
      </c>
      <c r="C746" t="s">
        <v>19820</v>
      </c>
      <c r="D746" t="s">
        <v>492</v>
      </c>
      <c r="E746" t="s">
        <v>271</v>
      </c>
      <c r="F746" t="s">
        <v>493</v>
      </c>
    </row>
    <row r="747" spans="1:6" x14ac:dyDescent="0.25">
      <c r="A747" t="s">
        <v>19821</v>
      </c>
      <c r="B747" t="s">
        <v>19822</v>
      </c>
      <c r="C747" t="s">
        <v>19823</v>
      </c>
      <c r="D747" t="s">
        <v>0</v>
      </c>
      <c r="E747" t="s">
        <v>271</v>
      </c>
      <c r="F747" t="s">
        <v>323</v>
      </c>
    </row>
    <row r="748" spans="1:6" x14ac:dyDescent="0.25">
      <c r="A748" t="s">
        <v>19824</v>
      </c>
      <c r="B748" t="s">
        <v>19825</v>
      </c>
      <c r="C748" t="s">
        <v>19826</v>
      </c>
      <c r="D748" t="s">
        <v>3457</v>
      </c>
      <c r="E748" t="s">
        <v>271</v>
      </c>
      <c r="F748" t="s">
        <v>1432</v>
      </c>
    </row>
    <row r="749" spans="1:6" x14ac:dyDescent="0.25">
      <c r="A749" t="s">
        <v>19827</v>
      </c>
      <c r="B749" t="s">
        <v>19828</v>
      </c>
      <c r="C749" t="s">
        <v>19829</v>
      </c>
      <c r="D749" t="s">
        <v>1485</v>
      </c>
      <c r="E749" t="s">
        <v>271</v>
      </c>
      <c r="F749" t="s">
        <v>1519</v>
      </c>
    </row>
    <row r="750" spans="1:6" x14ac:dyDescent="0.25">
      <c r="A750" t="s">
        <v>19830</v>
      </c>
      <c r="B750" t="s">
        <v>19831</v>
      </c>
      <c r="C750" t="s">
        <v>19190</v>
      </c>
      <c r="D750" t="s">
        <v>1303</v>
      </c>
      <c r="E750" t="s">
        <v>269</v>
      </c>
      <c r="F750" t="s">
        <v>1302</v>
      </c>
    </row>
    <row r="751" spans="1:6" x14ac:dyDescent="0.25">
      <c r="A751" t="s">
        <v>19832</v>
      </c>
      <c r="B751" t="s">
        <v>19833</v>
      </c>
      <c r="C751" t="s">
        <v>19834</v>
      </c>
      <c r="D751" t="s">
        <v>0</v>
      </c>
      <c r="E751" t="s">
        <v>271</v>
      </c>
      <c r="F751" t="s">
        <v>688</v>
      </c>
    </row>
    <row r="752" spans="1:6" x14ac:dyDescent="0.25">
      <c r="A752" t="s">
        <v>19835</v>
      </c>
      <c r="B752" t="s">
        <v>19836</v>
      </c>
      <c r="C752" t="s">
        <v>19837</v>
      </c>
      <c r="D752" t="s">
        <v>6689</v>
      </c>
      <c r="E752" t="s">
        <v>269</v>
      </c>
      <c r="F752" t="s">
        <v>6690</v>
      </c>
    </row>
    <row r="753" spans="1:6" x14ac:dyDescent="0.25">
      <c r="A753" t="s">
        <v>19838</v>
      </c>
      <c r="B753" t="s">
        <v>19839</v>
      </c>
      <c r="C753" t="s">
        <v>9921</v>
      </c>
      <c r="D753" t="s">
        <v>258</v>
      </c>
      <c r="E753" t="s">
        <v>271</v>
      </c>
      <c r="F753" t="s">
        <v>524</v>
      </c>
    </row>
    <row r="754" spans="1:6" x14ac:dyDescent="0.25">
      <c r="A754" t="s">
        <v>19840</v>
      </c>
      <c r="B754" t="s">
        <v>19841</v>
      </c>
      <c r="C754" t="s">
        <v>19842</v>
      </c>
      <c r="D754" t="s">
        <v>0</v>
      </c>
      <c r="E754" t="s">
        <v>271</v>
      </c>
      <c r="F754" t="s">
        <v>1141</v>
      </c>
    </row>
    <row r="755" spans="1:6" x14ac:dyDescent="0.25">
      <c r="A755" t="s">
        <v>19843</v>
      </c>
      <c r="B755" t="s">
        <v>19844</v>
      </c>
      <c r="C755" t="s">
        <v>19845</v>
      </c>
      <c r="D755" t="s">
        <v>0</v>
      </c>
      <c r="E755" t="s">
        <v>271</v>
      </c>
      <c r="F755" t="s">
        <v>436</v>
      </c>
    </row>
    <row r="756" spans="1:6" x14ac:dyDescent="0.25">
      <c r="A756" t="s">
        <v>19846</v>
      </c>
      <c r="B756" t="s">
        <v>19847</v>
      </c>
      <c r="C756" t="s">
        <v>12885</v>
      </c>
      <c r="D756" t="s">
        <v>314</v>
      </c>
      <c r="E756" t="s">
        <v>271</v>
      </c>
      <c r="F756" t="s">
        <v>352</v>
      </c>
    </row>
    <row r="757" spans="1:6" x14ac:dyDescent="0.25">
      <c r="A757" t="s">
        <v>19848</v>
      </c>
      <c r="B757" t="s">
        <v>19849</v>
      </c>
      <c r="C757" t="s">
        <v>19850</v>
      </c>
      <c r="D757" t="s">
        <v>379</v>
      </c>
      <c r="E757" t="s">
        <v>341</v>
      </c>
      <c r="F757" t="s">
        <v>381</v>
      </c>
    </row>
    <row r="758" spans="1:6" x14ac:dyDescent="0.25">
      <c r="A758" t="s">
        <v>19851</v>
      </c>
      <c r="B758" t="s">
        <v>19852</v>
      </c>
      <c r="C758" t="s">
        <v>19853</v>
      </c>
      <c r="D758" t="s">
        <v>399</v>
      </c>
      <c r="E758" t="s">
        <v>341</v>
      </c>
      <c r="F758" t="s">
        <v>398</v>
      </c>
    </row>
    <row r="759" spans="1:6" x14ac:dyDescent="0.25">
      <c r="A759" t="s">
        <v>19854</v>
      </c>
      <c r="B759" t="s">
        <v>19855</v>
      </c>
      <c r="C759" t="s">
        <v>19856</v>
      </c>
      <c r="D759" t="s">
        <v>1361</v>
      </c>
      <c r="E759" t="s">
        <v>271</v>
      </c>
      <c r="F759" t="s">
        <v>1360</v>
      </c>
    </row>
    <row r="760" spans="1:6" x14ac:dyDescent="0.25">
      <c r="A760" t="s">
        <v>19857</v>
      </c>
      <c r="B760" t="s">
        <v>19858</v>
      </c>
      <c r="C760" t="s">
        <v>19859</v>
      </c>
      <c r="D760" t="s">
        <v>361</v>
      </c>
      <c r="E760" t="s">
        <v>271</v>
      </c>
      <c r="F760" t="s">
        <v>1563</v>
      </c>
    </row>
    <row r="761" spans="1:6" x14ac:dyDescent="0.25">
      <c r="A761" t="s">
        <v>19860</v>
      </c>
      <c r="B761" t="s">
        <v>19861</v>
      </c>
      <c r="C761" t="s">
        <v>19862</v>
      </c>
      <c r="D761" t="s">
        <v>453</v>
      </c>
      <c r="E761" t="s">
        <v>271</v>
      </c>
      <c r="F761" t="s">
        <v>2285</v>
      </c>
    </row>
    <row r="762" spans="1:6" x14ac:dyDescent="0.25">
      <c r="A762" t="s">
        <v>19863</v>
      </c>
      <c r="B762" t="s">
        <v>19864</v>
      </c>
      <c r="C762" t="s">
        <v>19865</v>
      </c>
      <c r="D762" t="s">
        <v>288</v>
      </c>
      <c r="E762" t="s">
        <v>271</v>
      </c>
      <c r="F762" t="s">
        <v>300</v>
      </c>
    </row>
    <row r="763" spans="1:6" x14ac:dyDescent="0.25">
      <c r="A763" t="s">
        <v>19866</v>
      </c>
      <c r="B763" t="s">
        <v>19867</v>
      </c>
      <c r="C763" t="s">
        <v>19868</v>
      </c>
      <c r="D763" t="s">
        <v>967</v>
      </c>
      <c r="E763" t="s">
        <v>271</v>
      </c>
      <c r="F763" t="s">
        <v>966</v>
      </c>
    </row>
    <row r="764" spans="1:6" x14ac:dyDescent="0.25">
      <c r="A764" t="s">
        <v>19869</v>
      </c>
      <c r="B764" t="s">
        <v>19528</v>
      </c>
      <c r="C764" t="s">
        <v>19870</v>
      </c>
      <c r="D764" t="s">
        <v>1303</v>
      </c>
      <c r="E764" t="s">
        <v>269</v>
      </c>
      <c r="F764" t="s">
        <v>1302</v>
      </c>
    </row>
    <row r="765" spans="1:6" x14ac:dyDescent="0.25">
      <c r="A765" t="s">
        <v>19871</v>
      </c>
      <c r="B765" t="s">
        <v>19872</v>
      </c>
      <c r="C765" t="s">
        <v>19873</v>
      </c>
      <c r="D765" t="s">
        <v>272</v>
      </c>
      <c r="E765" t="s">
        <v>269</v>
      </c>
      <c r="F765" t="s">
        <v>907</v>
      </c>
    </row>
    <row r="766" spans="1:6" x14ac:dyDescent="0.25">
      <c r="A766" t="s">
        <v>19874</v>
      </c>
      <c r="B766" t="s">
        <v>19875</v>
      </c>
      <c r="C766" t="s">
        <v>19445</v>
      </c>
      <c r="D766" t="s">
        <v>345</v>
      </c>
      <c r="E766" t="s">
        <v>269</v>
      </c>
      <c r="F766" t="s">
        <v>684</v>
      </c>
    </row>
    <row r="767" spans="1:6" x14ac:dyDescent="0.25">
      <c r="A767" t="s">
        <v>19876</v>
      </c>
      <c r="B767" t="s">
        <v>19877</v>
      </c>
      <c r="C767" t="s">
        <v>18354</v>
      </c>
      <c r="D767" t="s">
        <v>718</v>
      </c>
      <c r="E767" t="s">
        <v>271</v>
      </c>
      <c r="F767" t="s">
        <v>333</v>
      </c>
    </row>
    <row r="768" spans="1:6" x14ac:dyDescent="0.25">
      <c r="A768" t="s">
        <v>19878</v>
      </c>
      <c r="B768" t="s">
        <v>19879</v>
      </c>
      <c r="C768" t="s">
        <v>19880</v>
      </c>
      <c r="D768" t="s">
        <v>2166</v>
      </c>
      <c r="E768" t="s">
        <v>271</v>
      </c>
      <c r="F768" t="s">
        <v>2165</v>
      </c>
    </row>
    <row r="769" spans="1:6" x14ac:dyDescent="0.25">
      <c r="A769" t="s">
        <v>19881</v>
      </c>
      <c r="B769" t="s">
        <v>19882</v>
      </c>
      <c r="C769" t="s">
        <v>18425</v>
      </c>
      <c r="D769" t="s">
        <v>2471</v>
      </c>
      <c r="E769" t="s">
        <v>271</v>
      </c>
      <c r="F769" t="s">
        <v>2470</v>
      </c>
    </row>
    <row r="770" spans="1:6" x14ac:dyDescent="0.25">
      <c r="A770" t="s">
        <v>19883</v>
      </c>
      <c r="B770" t="s">
        <v>19884</v>
      </c>
      <c r="C770" t="s">
        <v>12273</v>
      </c>
      <c r="D770" t="s">
        <v>980</v>
      </c>
      <c r="E770" t="s">
        <v>271</v>
      </c>
      <c r="F770" t="s">
        <v>979</v>
      </c>
    </row>
    <row r="771" spans="1:6" x14ac:dyDescent="0.25">
      <c r="A771" t="s">
        <v>19885</v>
      </c>
      <c r="B771" t="s">
        <v>19886</v>
      </c>
      <c r="C771" t="s">
        <v>19887</v>
      </c>
      <c r="D771" t="s">
        <v>2589</v>
      </c>
      <c r="E771" t="s">
        <v>271</v>
      </c>
      <c r="F771" t="s">
        <v>2588</v>
      </c>
    </row>
    <row r="772" spans="1:6" x14ac:dyDescent="0.25">
      <c r="A772" t="s">
        <v>4119</v>
      </c>
      <c r="B772" t="s">
        <v>4120</v>
      </c>
      <c r="C772" t="s">
        <v>4121</v>
      </c>
      <c r="D772" t="s">
        <v>440</v>
      </c>
      <c r="E772" t="s">
        <v>271</v>
      </c>
      <c r="F772" t="s">
        <v>441</v>
      </c>
    </row>
    <row r="773" spans="1:6" x14ac:dyDescent="0.25">
      <c r="A773" t="s">
        <v>19888</v>
      </c>
      <c r="B773" t="s">
        <v>19889</v>
      </c>
      <c r="C773" t="s">
        <v>19890</v>
      </c>
      <c r="D773" t="s">
        <v>510</v>
      </c>
      <c r="E773" t="s">
        <v>271</v>
      </c>
      <c r="F773" t="s">
        <v>437</v>
      </c>
    </row>
    <row r="774" spans="1:6" x14ac:dyDescent="0.25">
      <c r="A774" t="s">
        <v>19891</v>
      </c>
      <c r="B774" t="s">
        <v>19892</v>
      </c>
      <c r="C774" t="s">
        <v>19893</v>
      </c>
      <c r="D774" t="s">
        <v>0</v>
      </c>
      <c r="E774" t="s">
        <v>271</v>
      </c>
      <c r="F774" t="s">
        <v>1534</v>
      </c>
    </row>
    <row r="775" spans="1:6" x14ac:dyDescent="0.25">
      <c r="A775" t="s">
        <v>19894</v>
      </c>
      <c r="B775" t="s">
        <v>19895</v>
      </c>
      <c r="C775" t="s">
        <v>3903</v>
      </c>
      <c r="D775" t="s">
        <v>0</v>
      </c>
      <c r="E775" t="s">
        <v>271</v>
      </c>
      <c r="F775" t="s">
        <v>1225</v>
      </c>
    </row>
    <row r="776" spans="1:6" x14ac:dyDescent="0.25">
      <c r="A776" t="s">
        <v>19896</v>
      </c>
      <c r="B776" t="s">
        <v>19897</v>
      </c>
      <c r="C776" t="s">
        <v>4591</v>
      </c>
      <c r="D776" t="s">
        <v>967</v>
      </c>
      <c r="E776" t="s">
        <v>271</v>
      </c>
      <c r="F776" t="s">
        <v>966</v>
      </c>
    </row>
    <row r="777" spans="1:6" x14ac:dyDescent="0.25">
      <c r="A777" t="s">
        <v>19898</v>
      </c>
      <c r="B777" t="s">
        <v>19899</v>
      </c>
      <c r="C777" t="s">
        <v>19900</v>
      </c>
      <c r="D777" t="s">
        <v>0</v>
      </c>
      <c r="E777" t="s">
        <v>271</v>
      </c>
      <c r="F777" t="s">
        <v>323</v>
      </c>
    </row>
    <row r="778" spans="1:6" x14ac:dyDescent="0.25">
      <c r="A778" t="s">
        <v>19901</v>
      </c>
      <c r="B778" t="s">
        <v>19902</v>
      </c>
      <c r="C778" t="s">
        <v>19903</v>
      </c>
      <c r="D778" t="s">
        <v>378</v>
      </c>
      <c r="E778" t="s">
        <v>341</v>
      </c>
      <c r="F778" t="s">
        <v>393</v>
      </c>
    </row>
    <row r="779" spans="1:6" x14ac:dyDescent="0.25">
      <c r="A779" t="s">
        <v>19904</v>
      </c>
      <c r="B779" t="s">
        <v>19905</v>
      </c>
      <c r="C779" t="s">
        <v>19906</v>
      </c>
      <c r="D779" t="s">
        <v>361</v>
      </c>
      <c r="E779" t="s">
        <v>271</v>
      </c>
      <c r="F779" t="s">
        <v>4420</v>
      </c>
    </row>
    <row r="780" spans="1:6" x14ac:dyDescent="0.25">
      <c r="A780" t="s">
        <v>19907</v>
      </c>
      <c r="B780" t="s">
        <v>19908</v>
      </c>
      <c r="C780" t="s">
        <v>19909</v>
      </c>
      <c r="D780" t="s">
        <v>1286</v>
      </c>
      <c r="E780" t="s">
        <v>269</v>
      </c>
      <c r="F780" t="s">
        <v>1285</v>
      </c>
    </row>
    <row r="781" spans="1:6" x14ac:dyDescent="0.25">
      <c r="A781" t="s">
        <v>19910</v>
      </c>
      <c r="B781" t="s">
        <v>19911</v>
      </c>
      <c r="C781" t="s">
        <v>19912</v>
      </c>
      <c r="D781" t="s">
        <v>1433</v>
      </c>
      <c r="E781" t="s">
        <v>271</v>
      </c>
      <c r="F781" t="s">
        <v>1316</v>
      </c>
    </row>
    <row r="782" spans="1:6" x14ac:dyDescent="0.25">
      <c r="A782" t="s">
        <v>19913</v>
      </c>
      <c r="B782" t="s">
        <v>19512</v>
      </c>
      <c r="C782" t="s">
        <v>19513</v>
      </c>
      <c r="D782" t="s">
        <v>1485</v>
      </c>
      <c r="E782" t="s">
        <v>271</v>
      </c>
      <c r="F782" t="s">
        <v>1519</v>
      </c>
    </row>
    <row r="783" spans="1:6" x14ac:dyDescent="0.25">
      <c r="A783" t="s">
        <v>19914</v>
      </c>
      <c r="B783" t="s">
        <v>19915</v>
      </c>
      <c r="C783" t="s">
        <v>19916</v>
      </c>
      <c r="D783" t="s">
        <v>980</v>
      </c>
      <c r="E783" t="s">
        <v>271</v>
      </c>
      <c r="F783" t="s">
        <v>979</v>
      </c>
    </row>
    <row r="784" spans="1:6" x14ac:dyDescent="0.25">
      <c r="A784" t="s">
        <v>19917</v>
      </c>
      <c r="B784" t="s">
        <v>19918</v>
      </c>
      <c r="C784" t="s">
        <v>19919</v>
      </c>
      <c r="D784" t="s">
        <v>1920</v>
      </c>
      <c r="E784" t="s">
        <v>271</v>
      </c>
      <c r="F784" t="s">
        <v>1919</v>
      </c>
    </row>
    <row r="785" spans="1:6" x14ac:dyDescent="0.25">
      <c r="A785" t="s">
        <v>19920</v>
      </c>
      <c r="B785" t="s">
        <v>19921</v>
      </c>
      <c r="C785" t="s">
        <v>3936</v>
      </c>
      <c r="D785" t="s">
        <v>0</v>
      </c>
      <c r="E785" t="s">
        <v>271</v>
      </c>
      <c r="F785" t="s">
        <v>1214</v>
      </c>
    </row>
    <row r="786" spans="1:6" x14ac:dyDescent="0.25">
      <c r="A786" t="s">
        <v>19922</v>
      </c>
      <c r="B786" t="s">
        <v>19923</v>
      </c>
      <c r="C786" t="s">
        <v>19924</v>
      </c>
      <c r="D786" t="s">
        <v>9720</v>
      </c>
      <c r="E786" t="s">
        <v>271</v>
      </c>
      <c r="F786" t="s">
        <v>1567</v>
      </c>
    </row>
    <row r="787" spans="1:6" x14ac:dyDescent="0.25">
      <c r="A787" t="s">
        <v>19925</v>
      </c>
      <c r="B787" t="s">
        <v>19926</v>
      </c>
      <c r="C787" t="s">
        <v>19927</v>
      </c>
      <c r="D787" t="s">
        <v>0</v>
      </c>
      <c r="E787" t="s">
        <v>271</v>
      </c>
      <c r="F787" t="s">
        <v>323</v>
      </c>
    </row>
    <row r="788" spans="1:6" x14ac:dyDescent="0.25">
      <c r="A788" t="s">
        <v>19928</v>
      </c>
      <c r="B788" t="s">
        <v>19929</v>
      </c>
      <c r="C788" t="s">
        <v>19930</v>
      </c>
      <c r="D788" t="s">
        <v>793</v>
      </c>
      <c r="E788" t="s">
        <v>271</v>
      </c>
      <c r="F788" t="s">
        <v>792</v>
      </c>
    </row>
    <row r="789" spans="1:6" x14ac:dyDescent="0.25">
      <c r="A789" t="s">
        <v>4270</v>
      </c>
      <c r="B789" t="s">
        <v>4271</v>
      </c>
      <c r="C789" t="s">
        <v>4273</v>
      </c>
      <c r="D789" t="s">
        <v>314</v>
      </c>
      <c r="E789" t="s">
        <v>271</v>
      </c>
      <c r="F789" t="s">
        <v>352</v>
      </c>
    </row>
    <row r="790" spans="1:6" x14ac:dyDescent="0.25">
      <c r="A790" t="s">
        <v>19931</v>
      </c>
      <c r="B790" t="s">
        <v>18223</v>
      </c>
      <c r="C790" t="s">
        <v>18224</v>
      </c>
      <c r="D790" t="s">
        <v>6689</v>
      </c>
      <c r="E790" t="s">
        <v>269</v>
      </c>
      <c r="F790" t="s">
        <v>6690</v>
      </c>
    </row>
    <row r="791" spans="1:6" x14ac:dyDescent="0.25">
      <c r="A791" t="s">
        <v>19932</v>
      </c>
      <c r="B791" t="s">
        <v>19933</v>
      </c>
      <c r="C791" t="s">
        <v>19934</v>
      </c>
      <c r="D791" t="s">
        <v>822</v>
      </c>
      <c r="E791" t="s">
        <v>269</v>
      </c>
      <c r="F791" t="s">
        <v>821</v>
      </c>
    </row>
    <row r="792" spans="1:6" x14ac:dyDescent="0.25">
      <c r="A792" t="s">
        <v>4326</v>
      </c>
      <c r="B792" t="s">
        <v>4327</v>
      </c>
      <c r="C792" t="s">
        <v>4328</v>
      </c>
      <c r="D792" t="s">
        <v>361</v>
      </c>
      <c r="E792" t="s">
        <v>271</v>
      </c>
      <c r="F792" t="s">
        <v>582</v>
      </c>
    </row>
    <row r="793" spans="1:6" x14ac:dyDescent="0.25">
      <c r="A793" t="s">
        <v>19935</v>
      </c>
      <c r="B793" t="s">
        <v>19164</v>
      </c>
      <c r="C793" t="s">
        <v>19936</v>
      </c>
      <c r="D793" t="s">
        <v>1165</v>
      </c>
      <c r="E793" t="s">
        <v>271</v>
      </c>
      <c r="F793" t="s">
        <v>1402</v>
      </c>
    </row>
    <row r="794" spans="1:6" x14ac:dyDescent="0.25">
      <c r="A794" t="s">
        <v>19937</v>
      </c>
      <c r="B794" t="s">
        <v>19938</v>
      </c>
      <c r="C794" t="s">
        <v>19939</v>
      </c>
      <c r="D794" t="s">
        <v>3831</v>
      </c>
      <c r="E794" t="s">
        <v>271</v>
      </c>
      <c r="F794" t="s">
        <v>3830</v>
      </c>
    </row>
    <row r="795" spans="1:6" x14ac:dyDescent="0.25">
      <c r="A795" t="s">
        <v>19940</v>
      </c>
      <c r="B795" t="s">
        <v>19941</v>
      </c>
      <c r="C795" t="s">
        <v>19942</v>
      </c>
      <c r="D795" t="s">
        <v>6862</v>
      </c>
      <c r="E795" t="s">
        <v>271</v>
      </c>
      <c r="F795" t="s">
        <v>4386</v>
      </c>
    </row>
    <row r="796" spans="1:6" x14ac:dyDescent="0.25">
      <c r="A796" t="s">
        <v>19943</v>
      </c>
      <c r="B796" t="s">
        <v>19944</v>
      </c>
      <c r="C796" t="s">
        <v>19945</v>
      </c>
      <c r="D796" t="s">
        <v>219</v>
      </c>
      <c r="E796" t="s">
        <v>19946</v>
      </c>
      <c r="F796" t="s">
        <v>19947</v>
      </c>
    </row>
    <row r="797" spans="1:6" x14ac:dyDescent="0.25">
      <c r="A797" t="s">
        <v>19948</v>
      </c>
      <c r="B797" t="s">
        <v>19949</v>
      </c>
      <c r="C797" t="s">
        <v>19950</v>
      </c>
      <c r="D797" t="s">
        <v>6862</v>
      </c>
      <c r="E797" t="s">
        <v>271</v>
      </c>
      <c r="F797" t="s">
        <v>4386</v>
      </c>
    </row>
    <row r="798" spans="1:6" x14ac:dyDescent="0.25">
      <c r="A798" t="s">
        <v>19951</v>
      </c>
      <c r="B798" t="s">
        <v>19952</v>
      </c>
      <c r="C798" t="s">
        <v>1514</v>
      </c>
      <c r="D798" t="s">
        <v>616</v>
      </c>
      <c r="E798" t="s">
        <v>271</v>
      </c>
      <c r="F798" t="s">
        <v>333</v>
      </c>
    </row>
    <row r="799" spans="1:6" x14ac:dyDescent="0.25">
      <c r="A799" t="s">
        <v>19953</v>
      </c>
      <c r="B799" t="s">
        <v>19954</v>
      </c>
      <c r="C799" t="s">
        <v>19955</v>
      </c>
      <c r="D799" t="s">
        <v>1723</v>
      </c>
      <c r="E799" t="s">
        <v>271</v>
      </c>
      <c r="F799" t="s">
        <v>1722</v>
      </c>
    </row>
    <row r="800" spans="1:6" x14ac:dyDescent="0.25">
      <c r="A800" t="s">
        <v>19956</v>
      </c>
      <c r="B800" t="s">
        <v>19957</v>
      </c>
      <c r="C800" t="s">
        <v>19958</v>
      </c>
      <c r="D800" t="s">
        <v>967</v>
      </c>
      <c r="E800" t="s">
        <v>271</v>
      </c>
      <c r="F800" t="s">
        <v>966</v>
      </c>
    </row>
    <row r="801" spans="1:6" x14ac:dyDescent="0.25">
      <c r="A801" t="s">
        <v>19959</v>
      </c>
      <c r="B801" t="s">
        <v>19960</v>
      </c>
      <c r="C801" t="s">
        <v>19961</v>
      </c>
      <c r="D801" t="s">
        <v>416</v>
      </c>
      <c r="E801" t="s">
        <v>271</v>
      </c>
      <c r="F801" t="s">
        <v>439</v>
      </c>
    </row>
    <row r="802" spans="1:6" x14ac:dyDescent="0.25">
      <c r="A802" t="s">
        <v>19962</v>
      </c>
      <c r="B802" t="s">
        <v>19963</v>
      </c>
      <c r="C802" t="s">
        <v>19964</v>
      </c>
      <c r="D802" t="s">
        <v>295</v>
      </c>
      <c r="E802" t="s">
        <v>271</v>
      </c>
      <c r="F802" t="s">
        <v>294</v>
      </c>
    </row>
    <row r="803" spans="1:6" x14ac:dyDescent="0.25">
      <c r="A803" t="s">
        <v>19965</v>
      </c>
      <c r="B803" t="s">
        <v>19966</v>
      </c>
      <c r="C803" t="s">
        <v>19967</v>
      </c>
      <c r="D803" t="s">
        <v>314</v>
      </c>
      <c r="E803" t="s">
        <v>271</v>
      </c>
      <c r="F803" t="s">
        <v>352</v>
      </c>
    </row>
    <row r="804" spans="1:6" x14ac:dyDescent="0.25">
      <c r="A804" t="s">
        <v>19968</v>
      </c>
      <c r="B804" t="s">
        <v>19969</v>
      </c>
      <c r="C804" t="s">
        <v>19970</v>
      </c>
      <c r="D804" t="s">
        <v>1126</v>
      </c>
      <c r="E804" t="s">
        <v>271</v>
      </c>
      <c r="F804" t="s">
        <v>1125</v>
      </c>
    </row>
    <row r="805" spans="1:6" x14ac:dyDescent="0.25">
      <c r="A805" t="s">
        <v>19971</v>
      </c>
      <c r="B805" t="s">
        <v>19972</v>
      </c>
      <c r="C805" t="s">
        <v>19973</v>
      </c>
      <c r="D805" t="s">
        <v>0</v>
      </c>
      <c r="E805" t="s">
        <v>271</v>
      </c>
      <c r="F805" t="s">
        <v>1591</v>
      </c>
    </row>
    <row r="806" spans="1:6" x14ac:dyDescent="0.25">
      <c r="A806" t="s">
        <v>19974</v>
      </c>
      <c r="B806" t="s">
        <v>19975</v>
      </c>
      <c r="C806" t="s">
        <v>19976</v>
      </c>
      <c r="D806" t="s">
        <v>236</v>
      </c>
      <c r="E806" t="s">
        <v>271</v>
      </c>
      <c r="F806" t="s">
        <v>306</v>
      </c>
    </row>
    <row r="807" spans="1:6" x14ac:dyDescent="0.25">
      <c r="A807" t="s">
        <v>19977</v>
      </c>
      <c r="B807" t="s">
        <v>19978</v>
      </c>
      <c r="C807" t="s">
        <v>19979</v>
      </c>
      <c r="D807" t="s">
        <v>586</v>
      </c>
      <c r="E807" t="s">
        <v>271</v>
      </c>
      <c r="F807" t="s">
        <v>662</v>
      </c>
    </row>
    <row r="808" spans="1:6" x14ac:dyDescent="0.25">
      <c r="A808" t="s">
        <v>19980</v>
      </c>
      <c r="B808" t="s">
        <v>4099</v>
      </c>
      <c r="C808" t="s">
        <v>19981</v>
      </c>
      <c r="D808" t="s">
        <v>0</v>
      </c>
      <c r="E808" t="s">
        <v>271</v>
      </c>
      <c r="F808" t="s">
        <v>436</v>
      </c>
    </row>
    <row r="809" spans="1:6" x14ac:dyDescent="0.25">
      <c r="A809" t="s">
        <v>19982</v>
      </c>
      <c r="B809" t="s">
        <v>19983</v>
      </c>
      <c r="C809" t="s">
        <v>19984</v>
      </c>
      <c r="D809" t="s">
        <v>1743</v>
      </c>
      <c r="E809" t="s">
        <v>269</v>
      </c>
      <c r="F809" t="s">
        <v>1742</v>
      </c>
    </row>
    <row r="810" spans="1:6" x14ac:dyDescent="0.25">
      <c r="A810" t="s">
        <v>4092</v>
      </c>
      <c r="B810" t="s">
        <v>4093</v>
      </c>
      <c r="C810" t="s">
        <v>4095</v>
      </c>
      <c r="D810" t="s">
        <v>314</v>
      </c>
      <c r="E810" t="s">
        <v>271</v>
      </c>
      <c r="F810" t="s">
        <v>370</v>
      </c>
    </row>
    <row r="811" spans="1:6" x14ac:dyDescent="0.25">
      <c r="A811" t="s">
        <v>19985</v>
      </c>
      <c r="B811" t="s">
        <v>257</v>
      </c>
      <c r="C811" t="s">
        <v>19986</v>
      </c>
      <c r="D811" t="s">
        <v>668</v>
      </c>
      <c r="E811" t="s">
        <v>271</v>
      </c>
      <c r="F811" t="s">
        <v>667</v>
      </c>
    </row>
    <row r="812" spans="1:6" x14ac:dyDescent="0.25">
      <c r="A812" t="s">
        <v>19987</v>
      </c>
      <c r="B812" t="s">
        <v>19988</v>
      </c>
      <c r="C812" t="s">
        <v>19989</v>
      </c>
      <c r="D812" t="s">
        <v>1623</v>
      </c>
      <c r="E812" t="s">
        <v>271</v>
      </c>
      <c r="F812" t="s">
        <v>1622</v>
      </c>
    </row>
    <row r="813" spans="1:6" x14ac:dyDescent="0.25">
      <c r="A813" t="s">
        <v>19990</v>
      </c>
      <c r="B813" t="s">
        <v>19991</v>
      </c>
      <c r="C813" t="s">
        <v>19992</v>
      </c>
      <c r="D813" t="s">
        <v>0</v>
      </c>
      <c r="E813" t="s">
        <v>271</v>
      </c>
      <c r="F813" t="s">
        <v>319</v>
      </c>
    </row>
    <row r="814" spans="1:6" x14ac:dyDescent="0.25">
      <c r="A814" t="s">
        <v>19993</v>
      </c>
      <c r="B814" t="s">
        <v>19994</v>
      </c>
      <c r="C814" t="s">
        <v>19995</v>
      </c>
      <c r="D814" t="s">
        <v>450</v>
      </c>
      <c r="E814" t="s">
        <v>271</v>
      </c>
      <c r="F814" t="s">
        <v>2794</v>
      </c>
    </row>
    <row r="815" spans="1:6" x14ac:dyDescent="0.25">
      <c r="A815" t="s">
        <v>19996</v>
      </c>
      <c r="B815" t="s">
        <v>19997</v>
      </c>
      <c r="C815" t="s">
        <v>19998</v>
      </c>
      <c r="D815" t="s">
        <v>1421</v>
      </c>
      <c r="E815" t="s">
        <v>271</v>
      </c>
      <c r="F815" t="s">
        <v>1420</v>
      </c>
    </row>
    <row r="816" spans="1:6" x14ac:dyDescent="0.25">
      <c r="A816" t="s">
        <v>19999</v>
      </c>
      <c r="B816" t="s">
        <v>20000</v>
      </c>
      <c r="C816" t="s">
        <v>20001</v>
      </c>
      <c r="D816" t="s">
        <v>0</v>
      </c>
      <c r="E816" t="s">
        <v>271</v>
      </c>
      <c r="F816" t="s">
        <v>355</v>
      </c>
    </row>
    <row r="817" spans="1:6" x14ac:dyDescent="0.25">
      <c r="A817" t="s">
        <v>4342</v>
      </c>
      <c r="B817" t="s">
        <v>4343</v>
      </c>
      <c r="C817" t="s">
        <v>4345</v>
      </c>
      <c r="D817" t="s">
        <v>0</v>
      </c>
      <c r="E817" t="s">
        <v>271</v>
      </c>
      <c r="F817" t="s">
        <v>355</v>
      </c>
    </row>
    <row r="818" spans="1:6" x14ac:dyDescent="0.25">
      <c r="A818" t="s">
        <v>20002</v>
      </c>
      <c r="B818" t="s">
        <v>20003</v>
      </c>
      <c r="C818" t="s">
        <v>20004</v>
      </c>
      <c r="D818" t="s">
        <v>3457</v>
      </c>
      <c r="E818" t="s">
        <v>271</v>
      </c>
      <c r="F818" t="s">
        <v>1432</v>
      </c>
    </row>
    <row r="819" spans="1:6" x14ac:dyDescent="0.25">
      <c r="A819" t="s">
        <v>20005</v>
      </c>
      <c r="B819" t="s">
        <v>14486</v>
      </c>
      <c r="C819" t="s">
        <v>20006</v>
      </c>
      <c r="D819" t="s">
        <v>1648</v>
      </c>
      <c r="E819" t="s">
        <v>271</v>
      </c>
      <c r="F819" t="s">
        <v>1647</v>
      </c>
    </row>
    <row r="820" spans="1:6" x14ac:dyDescent="0.25">
      <c r="A820" t="s">
        <v>20007</v>
      </c>
      <c r="B820" t="s">
        <v>20008</v>
      </c>
      <c r="C820" t="s">
        <v>20009</v>
      </c>
      <c r="D820" t="s">
        <v>1648</v>
      </c>
      <c r="E820" t="s">
        <v>271</v>
      </c>
      <c r="F820" t="s">
        <v>1316</v>
      </c>
    </row>
    <row r="821" spans="1:6" x14ac:dyDescent="0.25">
      <c r="A821" t="s">
        <v>20010</v>
      </c>
      <c r="B821" t="s">
        <v>20011</v>
      </c>
      <c r="C821" t="s">
        <v>20012</v>
      </c>
      <c r="D821" t="s">
        <v>0</v>
      </c>
      <c r="E821" t="s">
        <v>271</v>
      </c>
      <c r="F821" t="s">
        <v>436</v>
      </c>
    </row>
    <row r="822" spans="1:6" x14ac:dyDescent="0.25">
      <c r="A822" t="s">
        <v>20013</v>
      </c>
      <c r="B822" t="s">
        <v>20014</v>
      </c>
      <c r="C822" t="s">
        <v>20015</v>
      </c>
      <c r="D822" t="s">
        <v>1915</v>
      </c>
      <c r="E822" t="s">
        <v>269</v>
      </c>
      <c r="F822" t="s">
        <v>1914</v>
      </c>
    </row>
    <row r="823" spans="1:6" x14ac:dyDescent="0.25">
      <c r="A823" t="s">
        <v>3806</v>
      </c>
      <c r="B823" t="s">
        <v>3807</v>
      </c>
      <c r="C823" t="s">
        <v>3808</v>
      </c>
      <c r="D823" t="s">
        <v>1665</v>
      </c>
      <c r="E823" t="s">
        <v>271</v>
      </c>
      <c r="F823" t="s">
        <v>1664</v>
      </c>
    </row>
    <row r="824" spans="1:6" x14ac:dyDescent="0.25">
      <c r="A824" t="s">
        <v>20016</v>
      </c>
      <c r="B824" t="s">
        <v>20017</v>
      </c>
      <c r="C824" t="s">
        <v>20018</v>
      </c>
      <c r="D824" t="s">
        <v>498</v>
      </c>
      <c r="E824" t="s">
        <v>271</v>
      </c>
      <c r="F824" t="s">
        <v>926</v>
      </c>
    </row>
    <row r="825" spans="1:6" x14ac:dyDescent="0.25">
      <c r="A825" t="s">
        <v>20019</v>
      </c>
      <c r="B825" t="s">
        <v>20020</v>
      </c>
      <c r="C825" t="s">
        <v>18861</v>
      </c>
      <c r="D825" t="s">
        <v>1648</v>
      </c>
      <c r="E825" t="s">
        <v>271</v>
      </c>
      <c r="F825" t="s">
        <v>1316</v>
      </c>
    </row>
    <row r="826" spans="1:6" x14ac:dyDescent="0.25">
      <c r="A826" t="s">
        <v>20021</v>
      </c>
      <c r="B826" t="s">
        <v>20022</v>
      </c>
      <c r="C826" t="s">
        <v>18618</v>
      </c>
      <c r="D826" t="s">
        <v>556</v>
      </c>
      <c r="E826" t="s">
        <v>271</v>
      </c>
      <c r="F826" t="s">
        <v>1567</v>
      </c>
    </row>
    <row r="827" spans="1:6" x14ac:dyDescent="0.25">
      <c r="A827" t="s">
        <v>20023</v>
      </c>
      <c r="B827" t="s">
        <v>20024</v>
      </c>
      <c r="C827" t="s">
        <v>20025</v>
      </c>
      <c r="D827" t="s">
        <v>1683</v>
      </c>
      <c r="E827" t="s">
        <v>271</v>
      </c>
      <c r="F827" t="s">
        <v>996</v>
      </c>
    </row>
    <row r="828" spans="1:6" x14ac:dyDescent="0.25">
      <c r="A828" t="s">
        <v>20026</v>
      </c>
      <c r="B828" t="s">
        <v>20027</v>
      </c>
      <c r="C828" t="s">
        <v>20028</v>
      </c>
      <c r="D828" t="s">
        <v>1032</v>
      </c>
      <c r="E828" t="s">
        <v>271</v>
      </c>
      <c r="F828" t="s">
        <v>1031</v>
      </c>
    </row>
    <row r="829" spans="1:6" x14ac:dyDescent="0.25">
      <c r="A829" t="s">
        <v>20029</v>
      </c>
      <c r="B829" t="s">
        <v>20030</v>
      </c>
      <c r="C829" t="s">
        <v>20031</v>
      </c>
      <c r="D829" t="s">
        <v>718</v>
      </c>
      <c r="E829" t="s">
        <v>271</v>
      </c>
      <c r="F829" t="s">
        <v>333</v>
      </c>
    </row>
    <row r="830" spans="1:6" x14ac:dyDescent="0.25">
      <c r="A830" t="s">
        <v>20032</v>
      </c>
      <c r="B830" t="s">
        <v>20033</v>
      </c>
      <c r="C830" t="s">
        <v>18428</v>
      </c>
      <c r="D830" t="s">
        <v>0</v>
      </c>
      <c r="E830" t="s">
        <v>271</v>
      </c>
      <c r="F830" t="s">
        <v>323</v>
      </c>
    </row>
    <row r="831" spans="1:6" x14ac:dyDescent="0.25">
      <c r="A831" t="s">
        <v>20034</v>
      </c>
      <c r="B831" t="s">
        <v>20035</v>
      </c>
      <c r="C831" t="s">
        <v>20036</v>
      </c>
      <c r="D831" t="s">
        <v>1915</v>
      </c>
      <c r="E831" t="s">
        <v>269</v>
      </c>
      <c r="F831" t="s">
        <v>1914</v>
      </c>
    </row>
    <row r="832" spans="1:6" x14ac:dyDescent="0.25">
      <c r="A832" t="s">
        <v>20037</v>
      </c>
      <c r="B832" t="s">
        <v>20038</v>
      </c>
      <c r="C832" t="s">
        <v>20039</v>
      </c>
      <c r="D832" t="s">
        <v>845</v>
      </c>
      <c r="E832" t="s">
        <v>271</v>
      </c>
      <c r="F832" t="s">
        <v>844</v>
      </c>
    </row>
    <row r="833" spans="1:6" x14ac:dyDescent="0.25">
      <c r="A833" t="s">
        <v>20040</v>
      </c>
      <c r="B833" t="s">
        <v>20041</v>
      </c>
      <c r="C833" t="s">
        <v>20042</v>
      </c>
      <c r="D833" t="s">
        <v>1895</v>
      </c>
      <c r="E833" t="s">
        <v>271</v>
      </c>
      <c r="F833" t="s">
        <v>1894</v>
      </c>
    </row>
    <row r="834" spans="1:6" x14ac:dyDescent="0.25">
      <c r="A834" t="s">
        <v>20043</v>
      </c>
      <c r="B834" t="s">
        <v>20044</v>
      </c>
      <c r="C834" t="s">
        <v>20045</v>
      </c>
      <c r="D834" t="s">
        <v>222</v>
      </c>
      <c r="E834" t="s">
        <v>271</v>
      </c>
      <c r="F834" t="s">
        <v>4414</v>
      </c>
    </row>
    <row r="835" spans="1:6" x14ac:dyDescent="0.25">
      <c r="A835" t="s">
        <v>20046</v>
      </c>
      <c r="B835" t="s">
        <v>20047</v>
      </c>
      <c r="C835" t="s">
        <v>20048</v>
      </c>
      <c r="D835" t="s">
        <v>239</v>
      </c>
      <c r="E835" t="s">
        <v>271</v>
      </c>
      <c r="F835" t="s">
        <v>544</v>
      </c>
    </row>
    <row r="836" spans="1:6" x14ac:dyDescent="0.25">
      <c r="A836" t="s">
        <v>20049</v>
      </c>
      <c r="B836" t="s">
        <v>20050</v>
      </c>
      <c r="C836" t="s">
        <v>20051</v>
      </c>
      <c r="D836" t="s">
        <v>23</v>
      </c>
      <c r="E836" t="s">
        <v>20052</v>
      </c>
      <c r="F836" t="s">
        <v>20053</v>
      </c>
    </row>
    <row r="837" spans="1:6" x14ac:dyDescent="0.25">
      <c r="A837" t="s">
        <v>20054</v>
      </c>
      <c r="B837" t="s">
        <v>20055</v>
      </c>
      <c r="C837" t="s">
        <v>20056</v>
      </c>
      <c r="D837" t="s">
        <v>2488</v>
      </c>
      <c r="E837" t="s">
        <v>269</v>
      </c>
      <c r="F837" t="s">
        <v>3091</v>
      </c>
    </row>
    <row r="838" spans="1:6" x14ac:dyDescent="0.25">
      <c r="A838" t="s">
        <v>20057</v>
      </c>
      <c r="B838" t="s">
        <v>20058</v>
      </c>
      <c r="C838" t="s">
        <v>20059</v>
      </c>
      <c r="D838" t="s">
        <v>0</v>
      </c>
      <c r="E838" t="s">
        <v>271</v>
      </c>
      <c r="F838" t="s">
        <v>1148</v>
      </c>
    </row>
    <row r="839" spans="1:6" x14ac:dyDescent="0.25">
      <c r="A839" t="s">
        <v>20060</v>
      </c>
      <c r="B839" t="s">
        <v>20061</v>
      </c>
      <c r="C839" t="s">
        <v>18140</v>
      </c>
      <c r="D839" t="s">
        <v>1165</v>
      </c>
      <c r="E839" t="s">
        <v>271</v>
      </c>
      <c r="F839" t="s">
        <v>6306</v>
      </c>
    </row>
    <row r="840" spans="1:6" x14ac:dyDescent="0.25">
      <c r="A840" t="s">
        <v>20062</v>
      </c>
      <c r="B840" t="s">
        <v>20063</v>
      </c>
      <c r="C840" t="s">
        <v>18143</v>
      </c>
      <c r="D840" t="s">
        <v>0</v>
      </c>
      <c r="E840" t="s">
        <v>271</v>
      </c>
      <c r="F840" t="s">
        <v>1148</v>
      </c>
    </row>
    <row r="841" spans="1:6" x14ac:dyDescent="0.25">
      <c r="A841" t="s">
        <v>4346</v>
      </c>
      <c r="B841" t="s">
        <v>257</v>
      </c>
      <c r="C841" t="s">
        <v>4347</v>
      </c>
      <c r="D841" t="s">
        <v>503</v>
      </c>
      <c r="E841" t="s">
        <v>271</v>
      </c>
      <c r="F841" t="s">
        <v>504</v>
      </c>
    </row>
    <row r="842" spans="1:6" x14ac:dyDescent="0.25">
      <c r="A842" t="s">
        <v>20064</v>
      </c>
      <c r="B842" t="s">
        <v>20065</v>
      </c>
      <c r="C842" t="s">
        <v>20066</v>
      </c>
      <c r="D842" t="s">
        <v>556</v>
      </c>
      <c r="E842" t="s">
        <v>271</v>
      </c>
      <c r="F842" t="s">
        <v>1567</v>
      </c>
    </row>
    <row r="843" spans="1:6" x14ac:dyDescent="0.25">
      <c r="A843" t="s">
        <v>20067</v>
      </c>
      <c r="B843" t="s">
        <v>20068</v>
      </c>
      <c r="C843" t="s">
        <v>20069</v>
      </c>
      <c r="D843" t="s">
        <v>2940</v>
      </c>
      <c r="E843" t="s">
        <v>271</v>
      </c>
      <c r="F843" t="s">
        <v>2939</v>
      </c>
    </row>
    <row r="844" spans="1:6" x14ac:dyDescent="0.25">
      <c r="A844" t="s">
        <v>20070</v>
      </c>
      <c r="B844" t="s">
        <v>20071</v>
      </c>
      <c r="C844" t="s">
        <v>20072</v>
      </c>
      <c r="D844" t="s">
        <v>668</v>
      </c>
      <c r="E844" t="s">
        <v>271</v>
      </c>
      <c r="F844" t="s">
        <v>667</v>
      </c>
    </row>
    <row r="845" spans="1:6" x14ac:dyDescent="0.25">
      <c r="A845" t="s">
        <v>20073</v>
      </c>
      <c r="B845" t="s">
        <v>20074</v>
      </c>
      <c r="C845" t="s">
        <v>20075</v>
      </c>
      <c r="D845" t="s">
        <v>258</v>
      </c>
      <c r="E845" t="s">
        <v>271</v>
      </c>
      <c r="F845" t="s">
        <v>524</v>
      </c>
    </row>
    <row r="846" spans="1:6" x14ac:dyDescent="0.25">
      <c r="A846" t="s">
        <v>20076</v>
      </c>
      <c r="B846" t="s">
        <v>20077</v>
      </c>
      <c r="C846" t="s">
        <v>20078</v>
      </c>
      <c r="D846" t="s">
        <v>0</v>
      </c>
      <c r="E846" t="s">
        <v>271</v>
      </c>
      <c r="F846" t="s">
        <v>325</v>
      </c>
    </row>
    <row r="847" spans="1:6" x14ac:dyDescent="0.25">
      <c r="A847" t="s">
        <v>20079</v>
      </c>
      <c r="B847" t="s">
        <v>20080</v>
      </c>
      <c r="C847" t="s">
        <v>20081</v>
      </c>
      <c r="D847" t="s">
        <v>793</v>
      </c>
      <c r="E847" t="s">
        <v>271</v>
      </c>
      <c r="F847" t="s">
        <v>860</v>
      </c>
    </row>
    <row r="848" spans="1:6" x14ac:dyDescent="0.25">
      <c r="A848" t="s">
        <v>20082</v>
      </c>
      <c r="B848" t="s">
        <v>4350</v>
      </c>
      <c r="C848" t="s">
        <v>20083</v>
      </c>
      <c r="D848" t="s">
        <v>1079</v>
      </c>
      <c r="E848" t="s">
        <v>271</v>
      </c>
      <c r="F848" t="s">
        <v>1078</v>
      </c>
    </row>
    <row r="849" spans="1:6" x14ac:dyDescent="0.25">
      <c r="A849" t="s">
        <v>20084</v>
      </c>
      <c r="B849" t="s">
        <v>20085</v>
      </c>
      <c r="C849" t="s">
        <v>20086</v>
      </c>
      <c r="D849" t="s">
        <v>453</v>
      </c>
      <c r="E849" t="s">
        <v>271</v>
      </c>
      <c r="F849" t="s">
        <v>454</v>
      </c>
    </row>
    <row r="850" spans="1:6" x14ac:dyDescent="0.25">
      <c r="A850" t="s">
        <v>20087</v>
      </c>
      <c r="B850" t="s">
        <v>20088</v>
      </c>
      <c r="C850" t="s">
        <v>13575</v>
      </c>
      <c r="D850" t="s">
        <v>3767</v>
      </c>
      <c r="E850" t="s">
        <v>269</v>
      </c>
      <c r="F850" t="s">
        <v>3766</v>
      </c>
    </row>
    <row r="851" spans="1:6" x14ac:dyDescent="0.25">
      <c r="A851" t="s">
        <v>20089</v>
      </c>
      <c r="B851" t="s">
        <v>20090</v>
      </c>
      <c r="C851" t="s">
        <v>20091</v>
      </c>
      <c r="D851" t="s">
        <v>510</v>
      </c>
      <c r="E851" t="s">
        <v>271</v>
      </c>
      <c r="F851" t="s">
        <v>437</v>
      </c>
    </row>
    <row r="852" spans="1:6" x14ac:dyDescent="0.25">
      <c r="A852" t="s">
        <v>20092</v>
      </c>
      <c r="B852" t="s">
        <v>20093</v>
      </c>
      <c r="C852" t="s">
        <v>20094</v>
      </c>
      <c r="D852" t="s">
        <v>314</v>
      </c>
      <c r="E852" t="s">
        <v>271</v>
      </c>
      <c r="F852" t="s">
        <v>370</v>
      </c>
    </row>
    <row r="853" spans="1:6" x14ac:dyDescent="0.25">
      <c r="A853" t="s">
        <v>20095</v>
      </c>
      <c r="B853" t="s">
        <v>20096</v>
      </c>
      <c r="C853" t="s">
        <v>20097</v>
      </c>
      <c r="D853" t="s">
        <v>0</v>
      </c>
      <c r="E853" t="s">
        <v>271</v>
      </c>
      <c r="F853" t="s">
        <v>2641</v>
      </c>
    </row>
    <row r="854" spans="1:6" x14ac:dyDescent="0.25">
      <c r="A854" t="s">
        <v>20098</v>
      </c>
      <c r="B854" t="s">
        <v>20099</v>
      </c>
      <c r="C854" t="s">
        <v>20100</v>
      </c>
      <c r="D854" t="s">
        <v>980</v>
      </c>
      <c r="E854" t="s">
        <v>271</v>
      </c>
      <c r="F854" t="s">
        <v>979</v>
      </c>
    </row>
    <row r="855" spans="1:6" x14ac:dyDescent="0.25">
      <c r="A855" t="s">
        <v>20101</v>
      </c>
      <c r="B855" t="s">
        <v>20102</v>
      </c>
      <c r="C855" t="s">
        <v>1042</v>
      </c>
      <c r="D855" t="s">
        <v>0</v>
      </c>
      <c r="E855" t="s">
        <v>271</v>
      </c>
      <c r="F855" t="s">
        <v>323</v>
      </c>
    </row>
    <row r="856" spans="1:6" x14ac:dyDescent="0.25">
      <c r="A856" t="s">
        <v>20103</v>
      </c>
      <c r="B856" t="s">
        <v>20104</v>
      </c>
      <c r="C856" t="s">
        <v>20105</v>
      </c>
      <c r="D856" t="s">
        <v>0</v>
      </c>
      <c r="E856" t="s">
        <v>271</v>
      </c>
      <c r="F856" t="s">
        <v>4387</v>
      </c>
    </row>
    <row r="857" spans="1:6" x14ac:dyDescent="0.25">
      <c r="A857" t="s">
        <v>20106</v>
      </c>
      <c r="B857" t="s">
        <v>20107</v>
      </c>
      <c r="C857" t="s">
        <v>20108</v>
      </c>
      <c r="D857" t="s">
        <v>6094</v>
      </c>
      <c r="E857" t="s">
        <v>271</v>
      </c>
      <c r="F857" t="s">
        <v>4413</v>
      </c>
    </row>
    <row r="858" spans="1:6" x14ac:dyDescent="0.25">
      <c r="A858" t="s">
        <v>20109</v>
      </c>
      <c r="B858" t="s">
        <v>20110</v>
      </c>
      <c r="C858" t="s">
        <v>20111</v>
      </c>
      <c r="D858" t="s">
        <v>556</v>
      </c>
      <c r="E858" t="s">
        <v>271</v>
      </c>
      <c r="F858" t="s">
        <v>1567</v>
      </c>
    </row>
    <row r="859" spans="1:6" x14ac:dyDescent="0.25">
      <c r="A859" t="s">
        <v>3842</v>
      </c>
      <c r="B859" t="s">
        <v>3843</v>
      </c>
      <c r="C859" t="s">
        <v>3847</v>
      </c>
      <c r="D859" t="s">
        <v>3846</v>
      </c>
      <c r="E859" t="s">
        <v>271</v>
      </c>
      <c r="F859" t="s">
        <v>3845</v>
      </c>
    </row>
    <row r="860" spans="1:6" x14ac:dyDescent="0.25">
      <c r="A860" t="s">
        <v>20112</v>
      </c>
      <c r="B860" t="s">
        <v>20113</v>
      </c>
      <c r="C860" t="s">
        <v>20114</v>
      </c>
      <c r="D860" t="s">
        <v>0</v>
      </c>
      <c r="E860" t="s">
        <v>271</v>
      </c>
      <c r="F860" t="s">
        <v>1534</v>
      </c>
    </row>
    <row r="861" spans="1:6" x14ac:dyDescent="0.25">
      <c r="A861" t="s">
        <v>20115</v>
      </c>
      <c r="B861" t="s">
        <v>20116</v>
      </c>
      <c r="C861" t="s">
        <v>20117</v>
      </c>
      <c r="D861" t="s">
        <v>1925</v>
      </c>
      <c r="E861" t="s">
        <v>271</v>
      </c>
      <c r="F861" t="s">
        <v>1924</v>
      </c>
    </row>
    <row r="862" spans="1:6" x14ac:dyDescent="0.25">
      <c r="A862" t="s">
        <v>20118</v>
      </c>
      <c r="B862" t="s">
        <v>20119</v>
      </c>
      <c r="C862" t="s">
        <v>20120</v>
      </c>
      <c r="D862" t="s">
        <v>0</v>
      </c>
      <c r="E862" t="s">
        <v>271</v>
      </c>
      <c r="F862" t="s">
        <v>1679</v>
      </c>
    </row>
    <row r="863" spans="1:6" x14ac:dyDescent="0.25">
      <c r="A863" t="s">
        <v>20121</v>
      </c>
      <c r="B863" t="s">
        <v>20122</v>
      </c>
      <c r="C863" t="s">
        <v>20123</v>
      </c>
      <c r="D863" t="s">
        <v>0</v>
      </c>
      <c r="E863" t="s">
        <v>271</v>
      </c>
      <c r="F863" t="s">
        <v>688</v>
      </c>
    </row>
    <row r="864" spans="1:6" x14ac:dyDescent="0.25">
      <c r="A864" t="s">
        <v>20124</v>
      </c>
      <c r="B864" t="s">
        <v>20125</v>
      </c>
      <c r="C864" t="s">
        <v>20126</v>
      </c>
      <c r="D864" t="s">
        <v>11267</v>
      </c>
      <c r="E864" t="s">
        <v>269</v>
      </c>
      <c r="F864" t="s">
        <v>11268</v>
      </c>
    </row>
    <row r="865" spans="1:6" x14ac:dyDescent="0.25">
      <c r="A865" t="s">
        <v>20127</v>
      </c>
      <c r="B865" t="s">
        <v>3918</v>
      </c>
      <c r="C865" t="s">
        <v>20128</v>
      </c>
      <c r="D865" t="s">
        <v>0</v>
      </c>
      <c r="E865" t="s">
        <v>271</v>
      </c>
      <c r="F865" t="s">
        <v>356</v>
      </c>
    </row>
    <row r="866" spans="1:6" x14ac:dyDescent="0.25">
      <c r="A866" t="s">
        <v>3925</v>
      </c>
      <c r="B866" t="s">
        <v>3926</v>
      </c>
      <c r="C866" t="s">
        <v>3927</v>
      </c>
      <c r="D866" t="s">
        <v>453</v>
      </c>
      <c r="E866" t="s">
        <v>271</v>
      </c>
      <c r="F866" t="s">
        <v>2285</v>
      </c>
    </row>
    <row r="867" spans="1:6" x14ac:dyDescent="0.25">
      <c r="A867" t="s">
        <v>20129</v>
      </c>
      <c r="B867" t="s">
        <v>20130</v>
      </c>
      <c r="C867" t="s">
        <v>20131</v>
      </c>
      <c r="D867" t="s">
        <v>0</v>
      </c>
      <c r="E867" t="s">
        <v>271</v>
      </c>
      <c r="F867" t="s">
        <v>356</v>
      </c>
    </row>
    <row r="868" spans="1:6" x14ac:dyDescent="0.25">
      <c r="A868" t="s">
        <v>20132</v>
      </c>
      <c r="B868" t="s">
        <v>20133</v>
      </c>
      <c r="C868" t="s">
        <v>20134</v>
      </c>
      <c r="D868" t="s">
        <v>2493</v>
      </c>
      <c r="E868" t="s">
        <v>271</v>
      </c>
      <c r="F868" t="s">
        <v>2492</v>
      </c>
    </row>
    <row r="869" spans="1:6" x14ac:dyDescent="0.25">
      <c r="A869" t="s">
        <v>20135</v>
      </c>
      <c r="B869" t="s">
        <v>20136</v>
      </c>
      <c r="C869" t="s">
        <v>20137</v>
      </c>
      <c r="D869" t="s">
        <v>239</v>
      </c>
      <c r="E869" t="s">
        <v>271</v>
      </c>
      <c r="F869" t="s">
        <v>544</v>
      </c>
    </row>
    <row r="870" spans="1:6" x14ac:dyDescent="0.25">
      <c r="A870" t="s">
        <v>20138</v>
      </c>
      <c r="B870" t="s">
        <v>20139</v>
      </c>
      <c r="C870" t="s">
        <v>20140</v>
      </c>
      <c r="D870" t="s">
        <v>347</v>
      </c>
      <c r="E870" t="s">
        <v>271</v>
      </c>
      <c r="F870" t="s">
        <v>327</v>
      </c>
    </row>
    <row r="871" spans="1:6" x14ac:dyDescent="0.25">
      <c r="A871" t="s">
        <v>20141</v>
      </c>
      <c r="B871" t="s">
        <v>20142</v>
      </c>
      <c r="C871" t="s">
        <v>20143</v>
      </c>
      <c r="D871" t="s">
        <v>2493</v>
      </c>
      <c r="E871" t="s">
        <v>271</v>
      </c>
      <c r="F871" t="s">
        <v>2492</v>
      </c>
    </row>
    <row r="872" spans="1:6" x14ac:dyDescent="0.25">
      <c r="A872" t="s">
        <v>20144</v>
      </c>
      <c r="B872" t="s">
        <v>20145</v>
      </c>
      <c r="C872" t="s">
        <v>20146</v>
      </c>
      <c r="D872" t="s">
        <v>2009</v>
      </c>
      <c r="E872" t="s">
        <v>271</v>
      </c>
      <c r="F872" t="s">
        <v>2008</v>
      </c>
    </row>
    <row r="873" spans="1:6" x14ac:dyDescent="0.25">
      <c r="A873" t="s">
        <v>20147</v>
      </c>
      <c r="B873" t="s">
        <v>20148</v>
      </c>
      <c r="C873" t="s">
        <v>18521</v>
      </c>
      <c r="D873" t="s">
        <v>361</v>
      </c>
      <c r="E873" t="s">
        <v>271</v>
      </c>
      <c r="F873" t="s">
        <v>1563</v>
      </c>
    </row>
    <row r="874" spans="1:6" x14ac:dyDescent="0.25">
      <c r="A874" t="s">
        <v>3973</v>
      </c>
      <c r="B874" t="s">
        <v>3974</v>
      </c>
      <c r="C874" t="s">
        <v>3975</v>
      </c>
      <c r="D874" t="s">
        <v>0</v>
      </c>
      <c r="E874" t="s">
        <v>271</v>
      </c>
      <c r="F874" t="s">
        <v>881</v>
      </c>
    </row>
    <row r="875" spans="1:6" x14ac:dyDescent="0.25">
      <c r="A875" t="s">
        <v>20149</v>
      </c>
      <c r="B875" t="s">
        <v>20150</v>
      </c>
      <c r="C875" t="s">
        <v>20151</v>
      </c>
      <c r="D875" t="s">
        <v>500</v>
      </c>
      <c r="E875" t="s">
        <v>271</v>
      </c>
      <c r="F875" t="s">
        <v>501</v>
      </c>
    </row>
    <row r="876" spans="1:6" x14ac:dyDescent="0.25">
      <c r="A876" t="s">
        <v>20152</v>
      </c>
      <c r="B876" t="s">
        <v>20153</v>
      </c>
      <c r="C876" t="s">
        <v>20154</v>
      </c>
      <c r="D876" t="s">
        <v>295</v>
      </c>
      <c r="E876" t="s">
        <v>271</v>
      </c>
      <c r="F876" t="s">
        <v>15132</v>
      </c>
    </row>
    <row r="877" spans="1:6" x14ac:dyDescent="0.25">
      <c r="A877" t="s">
        <v>20155</v>
      </c>
      <c r="B877" t="s">
        <v>20156</v>
      </c>
      <c r="C877" t="s">
        <v>18851</v>
      </c>
      <c r="D877" t="s">
        <v>0</v>
      </c>
      <c r="E877" t="s">
        <v>271</v>
      </c>
      <c r="F877" t="s">
        <v>1214</v>
      </c>
    </row>
    <row r="878" spans="1:6" x14ac:dyDescent="0.25">
      <c r="A878" t="s">
        <v>20157</v>
      </c>
      <c r="B878" t="s">
        <v>20158</v>
      </c>
      <c r="C878" t="s">
        <v>16832</v>
      </c>
      <c r="D878" t="s">
        <v>453</v>
      </c>
      <c r="E878" t="s">
        <v>271</v>
      </c>
      <c r="F878" t="s">
        <v>2285</v>
      </c>
    </row>
    <row r="879" spans="1:6" x14ac:dyDescent="0.25">
      <c r="A879" t="s">
        <v>20159</v>
      </c>
      <c r="B879" t="s">
        <v>20160</v>
      </c>
      <c r="C879" t="s">
        <v>18458</v>
      </c>
      <c r="D879" t="s">
        <v>0</v>
      </c>
      <c r="E879" t="s">
        <v>271</v>
      </c>
      <c r="F879" t="s">
        <v>323</v>
      </c>
    </row>
    <row r="880" spans="1:6" x14ac:dyDescent="0.25">
      <c r="A880" t="s">
        <v>20161</v>
      </c>
      <c r="B880" t="s">
        <v>20162</v>
      </c>
      <c r="C880" t="s">
        <v>20163</v>
      </c>
      <c r="D880" t="s">
        <v>0</v>
      </c>
      <c r="E880" t="s">
        <v>271</v>
      </c>
      <c r="F880" t="s">
        <v>562</v>
      </c>
    </row>
    <row r="881" spans="1:6" x14ac:dyDescent="0.25">
      <c r="A881" t="s">
        <v>20164</v>
      </c>
      <c r="B881" t="s">
        <v>20165</v>
      </c>
      <c r="C881" t="s">
        <v>20166</v>
      </c>
      <c r="D881" t="s">
        <v>4470</v>
      </c>
      <c r="E881" t="s">
        <v>271</v>
      </c>
      <c r="F881" t="s">
        <v>4426</v>
      </c>
    </row>
    <row r="882" spans="1:6" x14ac:dyDescent="0.25">
      <c r="A882" t="s">
        <v>20167</v>
      </c>
      <c r="B882" t="s">
        <v>20168</v>
      </c>
      <c r="C882" t="s">
        <v>20169</v>
      </c>
      <c r="D882" t="s">
        <v>239</v>
      </c>
      <c r="E882" t="s">
        <v>271</v>
      </c>
      <c r="F882" t="s">
        <v>544</v>
      </c>
    </row>
    <row r="883" spans="1:6" x14ac:dyDescent="0.25">
      <c r="A883" t="s">
        <v>20170</v>
      </c>
      <c r="B883" t="s">
        <v>20171</v>
      </c>
      <c r="C883" t="s">
        <v>20172</v>
      </c>
      <c r="D883" t="s">
        <v>361</v>
      </c>
      <c r="E883" t="s">
        <v>271</v>
      </c>
      <c r="F883" t="s">
        <v>1563</v>
      </c>
    </row>
    <row r="884" spans="1:6" x14ac:dyDescent="0.25">
      <c r="A884" t="s">
        <v>20173</v>
      </c>
      <c r="B884" t="s">
        <v>20174</v>
      </c>
      <c r="C884" t="s">
        <v>20175</v>
      </c>
      <c r="D884" t="s">
        <v>1297</v>
      </c>
      <c r="E884" t="s">
        <v>271</v>
      </c>
      <c r="F884" t="s">
        <v>996</v>
      </c>
    </row>
    <row r="885" spans="1:6" x14ac:dyDescent="0.25">
      <c r="A885" t="s">
        <v>20176</v>
      </c>
      <c r="B885" t="s">
        <v>3798</v>
      </c>
      <c r="C885" t="s">
        <v>20177</v>
      </c>
      <c r="D885" t="s">
        <v>0</v>
      </c>
      <c r="E885" t="s">
        <v>271</v>
      </c>
      <c r="F885" t="s">
        <v>726</v>
      </c>
    </row>
    <row r="886" spans="1:6" x14ac:dyDescent="0.25">
      <c r="A886" t="s">
        <v>20178</v>
      </c>
      <c r="B886" t="s">
        <v>18489</v>
      </c>
      <c r="C886" t="s">
        <v>20179</v>
      </c>
      <c r="D886" t="s">
        <v>377</v>
      </c>
      <c r="E886" t="s">
        <v>269</v>
      </c>
      <c r="F886" t="s">
        <v>1786</v>
      </c>
    </row>
    <row r="887" spans="1:6" x14ac:dyDescent="0.25">
      <c r="A887" t="s">
        <v>20180</v>
      </c>
      <c r="B887" t="s">
        <v>20181</v>
      </c>
      <c r="C887" t="s">
        <v>20182</v>
      </c>
      <c r="D887" t="s">
        <v>2493</v>
      </c>
      <c r="E887" t="s">
        <v>271</v>
      </c>
      <c r="F887" t="s">
        <v>2492</v>
      </c>
    </row>
    <row r="888" spans="1:6" x14ac:dyDescent="0.25">
      <c r="A888" t="s">
        <v>20183</v>
      </c>
      <c r="B888" t="s">
        <v>20184</v>
      </c>
      <c r="C888" t="s">
        <v>20185</v>
      </c>
      <c r="D888" t="s">
        <v>0</v>
      </c>
      <c r="E888" t="s">
        <v>271</v>
      </c>
      <c r="F888" t="s">
        <v>431</v>
      </c>
    </row>
    <row r="889" spans="1:6" x14ac:dyDescent="0.25">
      <c r="A889" t="s">
        <v>20186</v>
      </c>
      <c r="B889" t="s">
        <v>20187</v>
      </c>
      <c r="C889" t="s">
        <v>18143</v>
      </c>
      <c r="D889" t="s">
        <v>0</v>
      </c>
      <c r="E889" t="s">
        <v>271</v>
      </c>
      <c r="F889" t="s">
        <v>1148</v>
      </c>
    </row>
    <row r="890" spans="1:6" x14ac:dyDescent="0.25">
      <c r="A890" t="s">
        <v>20188</v>
      </c>
      <c r="B890" t="s">
        <v>20189</v>
      </c>
      <c r="C890" t="s">
        <v>20190</v>
      </c>
      <c r="D890" t="s">
        <v>530</v>
      </c>
      <c r="E890" t="s">
        <v>271</v>
      </c>
      <c r="F890" t="s">
        <v>368</v>
      </c>
    </row>
    <row r="891" spans="1:6" x14ac:dyDescent="0.25">
      <c r="A891" t="s">
        <v>20191</v>
      </c>
      <c r="B891" t="s">
        <v>20192</v>
      </c>
      <c r="C891" t="s">
        <v>11514</v>
      </c>
      <c r="D891" t="s">
        <v>1638</v>
      </c>
      <c r="E891" t="s">
        <v>271</v>
      </c>
      <c r="F891" t="s">
        <v>1637</v>
      </c>
    </row>
    <row r="892" spans="1:6" x14ac:dyDescent="0.25">
      <c r="A892" t="s">
        <v>20193</v>
      </c>
      <c r="B892" t="s">
        <v>20194</v>
      </c>
      <c r="C892" t="s">
        <v>20195</v>
      </c>
      <c r="D892" t="s">
        <v>239</v>
      </c>
      <c r="E892" t="s">
        <v>271</v>
      </c>
      <c r="F892" t="s">
        <v>544</v>
      </c>
    </row>
    <row r="893" spans="1:6" x14ac:dyDescent="0.25">
      <c r="A893" t="s">
        <v>20196</v>
      </c>
      <c r="B893" t="s">
        <v>20197</v>
      </c>
      <c r="C893" t="s">
        <v>20198</v>
      </c>
      <c r="D893" t="s">
        <v>0</v>
      </c>
      <c r="E893" t="s">
        <v>271</v>
      </c>
      <c r="F893" t="s">
        <v>1534</v>
      </c>
    </row>
    <row r="894" spans="1:6" x14ac:dyDescent="0.25">
      <c r="A894" t="s">
        <v>4308</v>
      </c>
      <c r="B894" t="s">
        <v>4309</v>
      </c>
      <c r="C894" t="s">
        <v>4310</v>
      </c>
      <c r="D894" t="s">
        <v>1186</v>
      </c>
      <c r="E894" t="s">
        <v>271</v>
      </c>
      <c r="F894" t="s">
        <v>1185</v>
      </c>
    </row>
    <row r="895" spans="1:6" x14ac:dyDescent="0.25">
      <c r="A895" t="s">
        <v>4177</v>
      </c>
      <c r="B895" t="s">
        <v>4178</v>
      </c>
      <c r="C895" t="s">
        <v>4059</v>
      </c>
      <c r="D895" t="s">
        <v>282</v>
      </c>
      <c r="E895" t="s">
        <v>271</v>
      </c>
      <c r="F895" t="s">
        <v>1191</v>
      </c>
    </row>
    <row r="896" spans="1:6" x14ac:dyDescent="0.25">
      <c r="A896" t="s">
        <v>20199</v>
      </c>
      <c r="B896" t="s">
        <v>20200</v>
      </c>
      <c r="C896" t="s">
        <v>20201</v>
      </c>
      <c r="D896" t="s">
        <v>1027</v>
      </c>
      <c r="E896" t="s">
        <v>271</v>
      </c>
      <c r="F896" t="s">
        <v>1026</v>
      </c>
    </row>
    <row r="897" spans="1:6" x14ac:dyDescent="0.25">
      <c r="A897" t="s">
        <v>4039</v>
      </c>
      <c r="B897" t="s">
        <v>4040</v>
      </c>
      <c r="C897" t="s">
        <v>4041</v>
      </c>
      <c r="D897" t="s">
        <v>239</v>
      </c>
      <c r="E897" t="s">
        <v>271</v>
      </c>
      <c r="F897" t="s">
        <v>544</v>
      </c>
    </row>
    <row r="898" spans="1:6" x14ac:dyDescent="0.25">
      <c r="A898" t="s">
        <v>20202</v>
      </c>
      <c r="B898" t="s">
        <v>20203</v>
      </c>
      <c r="C898" t="s">
        <v>19890</v>
      </c>
      <c r="D898" t="s">
        <v>510</v>
      </c>
      <c r="E898" t="s">
        <v>271</v>
      </c>
      <c r="F898" t="s">
        <v>437</v>
      </c>
    </row>
    <row r="899" spans="1:6" x14ac:dyDescent="0.25">
      <c r="A899" t="s">
        <v>20204</v>
      </c>
      <c r="B899" t="s">
        <v>4350</v>
      </c>
      <c r="C899" t="s">
        <v>18949</v>
      </c>
      <c r="D899" t="s">
        <v>2714</v>
      </c>
      <c r="E899" t="s">
        <v>271</v>
      </c>
      <c r="F899" t="s">
        <v>2713</v>
      </c>
    </row>
    <row r="900" spans="1:6" x14ac:dyDescent="0.25">
      <c r="A900" t="s">
        <v>20205</v>
      </c>
      <c r="B900" t="s">
        <v>20206</v>
      </c>
      <c r="C900" t="s">
        <v>20207</v>
      </c>
      <c r="D900" t="s">
        <v>289</v>
      </c>
      <c r="E900" t="s">
        <v>271</v>
      </c>
      <c r="F900" t="s">
        <v>4435</v>
      </c>
    </row>
    <row r="901" spans="1:6" x14ac:dyDescent="0.25">
      <c r="A901" t="s">
        <v>20208</v>
      </c>
      <c r="B901" t="s">
        <v>20209</v>
      </c>
      <c r="C901" t="s">
        <v>20210</v>
      </c>
      <c r="D901" t="s">
        <v>0</v>
      </c>
      <c r="E901" t="s">
        <v>271</v>
      </c>
      <c r="F901" t="s">
        <v>323</v>
      </c>
    </row>
    <row r="902" spans="1:6" x14ac:dyDescent="0.25">
      <c r="A902" t="s">
        <v>3870</v>
      </c>
      <c r="B902" t="s">
        <v>3871</v>
      </c>
      <c r="C902" t="s">
        <v>3873</v>
      </c>
      <c r="D902" t="s">
        <v>0</v>
      </c>
      <c r="E902" t="s">
        <v>271</v>
      </c>
      <c r="F902" t="s">
        <v>355</v>
      </c>
    </row>
    <row r="903" spans="1:6" x14ac:dyDescent="0.25">
      <c r="A903" t="s">
        <v>20211</v>
      </c>
      <c r="B903" t="s">
        <v>20212</v>
      </c>
      <c r="C903" t="s">
        <v>20213</v>
      </c>
      <c r="D903" t="s">
        <v>616</v>
      </c>
      <c r="E903" t="s">
        <v>271</v>
      </c>
      <c r="F903" t="s">
        <v>1102</v>
      </c>
    </row>
    <row r="904" spans="1:6" x14ac:dyDescent="0.25">
      <c r="A904" t="s">
        <v>4330</v>
      </c>
      <c r="B904" t="s">
        <v>4331</v>
      </c>
      <c r="C904" t="s">
        <v>4332</v>
      </c>
      <c r="D904" t="s">
        <v>616</v>
      </c>
      <c r="E904" t="s">
        <v>271</v>
      </c>
      <c r="F904" t="s">
        <v>333</v>
      </c>
    </row>
    <row r="905" spans="1:6" x14ac:dyDescent="0.25">
      <c r="A905" t="s">
        <v>20214</v>
      </c>
      <c r="B905" t="s">
        <v>14595</v>
      </c>
      <c r="C905" t="s">
        <v>20215</v>
      </c>
      <c r="D905" t="s">
        <v>0</v>
      </c>
      <c r="E905" t="s">
        <v>271</v>
      </c>
      <c r="F905" t="s">
        <v>436</v>
      </c>
    </row>
    <row r="906" spans="1:6" x14ac:dyDescent="0.25">
      <c r="A906" t="s">
        <v>20216</v>
      </c>
      <c r="B906" t="s">
        <v>20217</v>
      </c>
      <c r="C906" t="s">
        <v>20218</v>
      </c>
      <c r="D906" t="s">
        <v>20219</v>
      </c>
      <c r="E906" t="s">
        <v>271</v>
      </c>
      <c r="F906" t="s">
        <v>996</v>
      </c>
    </row>
    <row r="907" spans="1:6" x14ac:dyDescent="0.25">
      <c r="A907" t="s">
        <v>20220</v>
      </c>
      <c r="B907" t="s">
        <v>20221</v>
      </c>
      <c r="C907" t="s">
        <v>20222</v>
      </c>
      <c r="D907" t="s">
        <v>466</v>
      </c>
      <c r="E907" t="s">
        <v>271</v>
      </c>
      <c r="F907" t="s">
        <v>434</v>
      </c>
    </row>
    <row r="908" spans="1:6" x14ac:dyDescent="0.25">
      <c r="A908" t="s">
        <v>20223</v>
      </c>
      <c r="B908" t="s">
        <v>20224</v>
      </c>
      <c r="C908" t="s">
        <v>20225</v>
      </c>
      <c r="D908" t="s">
        <v>0</v>
      </c>
      <c r="E908" t="s">
        <v>271</v>
      </c>
      <c r="F908" t="s">
        <v>325</v>
      </c>
    </row>
    <row r="909" spans="1:6" x14ac:dyDescent="0.25">
      <c r="A909" t="s">
        <v>20226</v>
      </c>
      <c r="B909" t="s">
        <v>20227</v>
      </c>
      <c r="C909" t="s">
        <v>20228</v>
      </c>
      <c r="D909" t="s">
        <v>0</v>
      </c>
      <c r="E909" t="s">
        <v>271</v>
      </c>
      <c r="F909" t="s">
        <v>688</v>
      </c>
    </row>
    <row r="910" spans="1:6" x14ac:dyDescent="0.25">
      <c r="A910" t="s">
        <v>20229</v>
      </c>
      <c r="B910" t="s">
        <v>20230</v>
      </c>
      <c r="C910" t="s">
        <v>20231</v>
      </c>
      <c r="D910" t="s">
        <v>239</v>
      </c>
      <c r="E910" t="s">
        <v>271</v>
      </c>
      <c r="F910" t="s">
        <v>544</v>
      </c>
    </row>
    <row r="911" spans="1:6" x14ac:dyDescent="0.25">
      <c r="A911" t="s">
        <v>20232</v>
      </c>
      <c r="B911" t="s">
        <v>18350</v>
      </c>
      <c r="C911" t="s">
        <v>12560</v>
      </c>
      <c r="D911" t="s">
        <v>4019</v>
      </c>
      <c r="E911" t="s">
        <v>271</v>
      </c>
      <c r="F911" t="s">
        <v>4018</v>
      </c>
    </row>
    <row r="912" spans="1:6" x14ac:dyDescent="0.25">
      <c r="A912" t="s">
        <v>20233</v>
      </c>
      <c r="B912" t="s">
        <v>20234</v>
      </c>
      <c r="C912" t="s">
        <v>20235</v>
      </c>
      <c r="D912" t="s">
        <v>1433</v>
      </c>
      <c r="E912" t="s">
        <v>271</v>
      </c>
      <c r="F912" t="s">
        <v>1432</v>
      </c>
    </row>
    <row r="913" spans="1:6" x14ac:dyDescent="0.25">
      <c r="A913" t="s">
        <v>20236</v>
      </c>
      <c r="B913" t="s">
        <v>20237</v>
      </c>
      <c r="C913" t="s">
        <v>20238</v>
      </c>
      <c r="D913" t="s">
        <v>1559</v>
      </c>
      <c r="E913" t="s">
        <v>271</v>
      </c>
      <c r="F913" t="s">
        <v>1558</v>
      </c>
    </row>
    <row r="914" spans="1:6" x14ac:dyDescent="0.25">
      <c r="A914" t="s">
        <v>20239</v>
      </c>
      <c r="B914" t="s">
        <v>20240</v>
      </c>
      <c r="C914" t="s">
        <v>5210</v>
      </c>
      <c r="D914" t="s">
        <v>540</v>
      </c>
      <c r="E914" t="s">
        <v>271</v>
      </c>
      <c r="F914" t="s">
        <v>339</v>
      </c>
    </row>
    <row r="915" spans="1:6" x14ac:dyDescent="0.25">
      <c r="A915" t="s">
        <v>20241</v>
      </c>
      <c r="B915" t="s">
        <v>20242</v>
      </c>
      <c r="C915" t="s">
        <v>20243</v>
      </c>
      <c r="D915" t="s">
        <v>0</v>
      </c>
      <c r="E915" t="s">
        <v>271</v>
      </c>
      <c r="F915" t="s">
        <v>1011</v>
      </c>
    </row>
    <row r="916" spans="1:6" x14ac:dyDescent="0.25">
      <c r="A916" t="s">
        <v>20244</v>
      </c>
      <c r="B916" t="s">
        <v>20245</v>
      </c>
      <c r="C916" t="s">
        <v>20246</v>
      </c>
      <c r="D916" t="s">
        <v>1665</v>
      </c>
      <c r="E916" t="s">
        <v>271</v>
      </c>
      <c r="F916" t="s">
        <v>1664</v>
      </c>
    </row>
    <row r="917" spans="1:6" x14ac:dyDescent="0.25">
      <c r="A917" t="s">
        <v>20247</v>
      </c>
      <c r="B917" t="s">
        <v>20248</v>
      </c>
      <c r="C917" t="s">
        <v>20215</v>
      </c>
      <c r="D917" t="s">
        <v>0</v>
      </c>
      <c r="E917" t="s">
        <v>271</v>
      </c>
      <c r="F917" t="s">
        <v>658</v>
      </c>
    </row>
    <row r="918" spans="1:6" x14ac:dyDescent="0.25">
      <c r="A918" t="s">
        <v>20249</v>
      </c>
      <c r="B918" t="s">
        <v>20250</v>
      </c>
      <c r="C918" t="s">
        <v>20251</v>
      </c>
      <c r="D918" t="s">
        <v>1601</v>
      </c>
      <c r="E918" t="s">
        <v>269</v>
      </c>
      <c r="F918" t="s">
        <v>3126</v>
      </c>
    </row>
    <row r="919" spans="1:6" x14ac:dyDescent="0.25">
      <c r="A919" t="s">
        <v>20252</v>
      </c>
      <c r="B919" t="s">
        <v>257</v>
      </c>
      <c r="C919" t="s">
        <v>20253</v>
      </c>
      <c r="D919" t="s">
        <v>3831</v>
      </c>
      <c r="E919" t="s">
        <v>271</v>
      </c>
      <c r="F919" t="s">
        <v>3830</v>
      </c>
    </row>
    <row r="920" spans="1:6" x14ac:dyDescent="0.25">
      <c r="A920" t="s">
        <v>20254</v>
      </c>
      <c r="B920" t="s">
        <v>20255</v>
      </c>
      <c r="C920" t="s">
        <v>19415</v>
      </c>
      <c r="D920" t="s">
        <v>1723</v>
      </c>
      <c r="E920" t="s">
        <v>271</v>
      </c>
      <c r="F920" t="s">
        <v>1722</v>
      </c>
    </row>
    <row r="921" spans="1:6" x14ac:dyDescent="0.25">
      <c r="A921" t="s">
        <v>20256</v>
      </c>
      <c r="B921" t="s">
        <v>20257</v>
      </c>
      <c r="C921" t="s">
        <v>20258</v>
      </c>
      <c r="D921" t="s">
        <v>6081</v>
      </c>
      <c r="E921" t="s">
        <v>271</v>
      </c>
      <c r="F921" t="s">
        <v>401</v>
      </c>
    </row>
    <row r="922" spans="1:6" x14ac:dyDescent="0.25">
      <c r="A922" t="s">
        <v>20259</v>
      </c>
      <c r="B922" t="s">
        <v>20260</v>
      </c>
      <c r="C922" t="s">
        <v>20261</v>
      </c>
      <c r="D922" t="s">
        <v>566</v>
      </c>
      <c r="E922" t="s">
        <v>271</v>
      </c>
      <c r="F922" t="s">
        <v>567</v>
      </c>
    </row>
    <row r="923" spans="1:6" x14ac:dyDescent="0.25">
      <c r="A923" t="s">
        <v>20262</v>
      </c>
      <c r="B923" t="s">
        <v>20263</v>
      </c>
      <c r="C923" t="s">
        <v>20264</v>
      </c>
      <c r="D923" t="s">
        <v>469</v>
      </c>
      <c r="E923" t="s">
        <v>271</v>
      </c>
      <c r="F923" t="s">
        <v>470</v>
      </c>
    </row>
    <row r="924" spans="1:6" x14ac:dyDescent="0.25">
      <c r="A924" t="s">
        <v>20265</v>
      </c>
      <c r="B924" t="s">
        <v>20266</v>
      </c>
      <c r="C924" t="s">
        <v>20267</v>
      </c>
      <c r="D924" t="s">
        <v>2714</v>
      </c>
      <c r="E924" t="s">
        <v>271</v>
      </c>
      <c r="F924" t="s">
        <v>2713</v>
      </c>
    </row>
    <row r="925" spans="1:6" x14ac:dyDescent="0.25">
      <c r="A925" t="s">
        <v>20268</v>
      </c>
      <c r="B925" t="s">
        <v>19707</v>
      </c>
      <c r="C925" t="s">
        <v>20269</v>
      </c>
      <c r="D925" t="s">
        <v>3343</v>
      </c>
      <c r="E925" t="s">
        <v>271</v>
      </c>
      <c r="F925" t="s">
        <v>3342</v>
      </c>
    </row>
    <row r="926" spans="1:6" x14ac:dyDescent="0.25">
      <c r="A926" t="s">
        <v>20270</v>
      </c>
      <c r="B926" t="s">
        <v>20271</v>
      </c>
      <c r="C926" t="s">
        <v>20272</v>
      </c>
      <c r="D926" t="s">
        <v>980</v>
      </c>
      <c r="E926" t="s">
        <v>271</v>
      </c>
      <c r="F926" t="s">
        <v>979</v>
      </c>
    </row>
    <row r="927" spans="1:6" x14ac:dyDescent="0.25">
      <c r="A927" t="s">
        <v>20273</v>
      </c>
      <c r="B927" t="s">
        <v>20274</v>
      </c>
      <c r="C927" t="s">
        <v>20275</v>
      </c>
      <c r="D927" t="s">
        <v>1361</v>
      </c>
      <c r="E927" t="s">
        <v>271</v>
      </c>
      <c r="F927" t="s">
        <v>1829</v>
      </c>
    </row>
    <row r="928" spans="1:6" x14ac:dyDescent="0.25">
      <c r="A928" t="s">
        <v>20276</v>
      </c>
      <c r="B928" t="s">
        <v>20277</v>
      </c>
      <c r="C928" t="s">
        <v>18143</v>
      </c>
      <c r="D928" t="s">
        <v>0</v>
      </c>
      <c r="E928" t="s">
        <v>271</v>
      </c>
      <c r="F928" t="s">
        <v>1148</v>
      </c>
    </row>
    <row r="929" spans="1:6" x14ac:dyDescent="0.25">
      <c r="A929" t="s">
        <v>20278</v>
      </c>
      <c r="B929" t="s">
        <v>20279</v>
      </c>
      <c r="C929" t="s">
        <v>20280</v>
      </c>
      <c r="D929" t="s">
        <v>62</v>
      </c>
      <c r="E929" t="s">
        <v>20281</v>
      </c>
      <c r="F929" t="s">
        <v>20282</v>
      </c>
    </row>
    <row r="930" spans="1:6" x14ac:dyDescent="0.25">
      <c r="A930" t="s">
        <v>20283</v>
      </c>
      <c r="B930" t="s">
        <v>20284</v>
      </c>
      <c r="C930" t="s">
        <v>20285</v>
      </c>
      <c r="D930" t="s">
        <v>450</v>
      </c>
      <c r="E930" t="s">
        <v>271</v>
      </c>
      <c r="F930" t="s">
        <v>326</v>
      </c>
    </row>
    <row r="931" spans="1:6" x14ac:dyDescent="0.25">
      <c r="A931" t="s">
        <v>20286</v>
      </c>
      <c r="B931" t="s">
        <v>20287</v>
      </c>
      <c r="C931" t="s">
        <v>20288</v>
      </c>
      <c r="D931" t="s">
        <v>1895</v>
      </c>
      <c r="E931" t="s">
        <v>271</v>
      </c>
      <c r="F931" t="s">
        <v>1894</v>
      </c>
    </row>
    <row r="932" spans="1:6" x14ac:dyDescent="0.25">
      <c r="A932" t="s">
        <v>20289</v>
      </c>
      <c r="B932" t="s">
        <v>20290</v>
      </c>
      <c r="C932" t="s">
        <v>20291</v>
      </c>
      <c r="D932" t="s">
        <v>1348</v>
      </c>
      <c r="E932" t="s">
        <v>271</v>
      </c>
      <c r="F932" t="s">
        <v>2057</v>
      </c>
    </row>
    <row r="933" spans="1:6" x14ac:dyDescent="0.25">
      <c r="A933" t="s">
        <v>20292</v>
      </c>
      <c r="B933" t="s">
        <v>20293</v>
      </c>
      <c r="C933" t="s">
        <v>20294</v>
      </c>
      <c r="D933" t="s">
        <v>506</v>
      </c>
      <c r="E933" t="s">
        <v>271</v>
      </c>
      <c r="F933" t="s">
        <v>507</v>
      </c>
    </row>
    <row r="934" spans="1:6" x14ac:dyDescent="0.25">
      <c r="A934" t="s">
        <v>20295</v>
      </c>
      <c r="B934" t="s">
        <v>20296</v>
      </c>
      <c r="C934" t="s">
        <v>20297</v>
      </c>
      <c r="D934" t="s">
        <v>1433</v>
      </c>
      <c r="E934" t="s">
        <v>271</v>
      </c>
      <c r="F934" t="s">
        <v>1432</v>
      </c>
    </row>
    <row r="935" spans="1:6" x14ac:dyDescent="0.25">
      <c r="A935" t="s">
        <v>20298</v>
      </c>
      <c r="B935" t="s">
        <v>20299</v>
      </c>
      <c r="C935" t="s">
        <v>20300</v>
      </c>
      <c r="D935" t="s">
        <v>234</v>
      </c>
      <c r="E935" t="s">
        <v>271</v>
      </c>
      <c r="F935" t="s">
        <v>875</v>
      </c>
    </row>
    <row r="936" spans="1:6" x14ac:dyDescent="0.25">
      <c r="A936" t="s">
        <v>3861</v>
      </c>
      <c r="B936" t="s">
        <v>3862</v>
      </c>
      <c r="C936" t="s">
        <v>3863</v>
      </c>
      <c r="D936" t="s">
        <v>2067</v>
      </c>
      <c r="E936" t="s">
        <v>271</v>
      </c>
      <c r="F936" t="s">
        <v>2066</v>
      </c>
    </row>
    <row r="937" spans="1:6" x14ac:dyDescent="0.25">
      <c r="A937" t="s">
        <v>20301</v>
      </c>
      <c r="B937" t="s">
        <v>20302</v>
      </c>
      <c r="C937" t="s">
        <v>20303</v>
      </c>
      <c r="D937" t="s">
        <v>1303</v>
      </c>
      <c r="E937" t="s">
        <v>269</v>
      </c>
      <c r="F937" t="s">
        <v>1302</v>
      </c>
    </row>
    <row r="938" spans="1:6" x14ac:dyDescent="0.25">
      <c r="A938" t="s">
        <v>20304</v>
      </c>
      <c r="B938" t="s">
        <v>20305</v>
      </c>
      <c r="C938" t="s">
        <v>18788</v>
      </c>
      <c r="D938" t="s">
        <v>616</v>
      </c>
      <c r="E938" t="s">
        <v>271</v>
      </c>
      <c r="F938" t="s">
        <v>333</v>
      </c>
    </row>
    <row r="939" spans="1:6" x14ac:dyDescent="0.25">
      <c r="A939" t="s">
        <v>20306</v>
      </c>
      <c r="B939" t="s">
        <v>20307</v>
      </c>
      <c r="C939" t="s">
        <v>20308</v>
      </c>
      <c r="D939" t="s">
        <v>0</v>
      </c>
      <c r="E939" t="s">
        <v>271</v>
      </c>
      <c r="F939" t="s">
        <v>355</v>
      </c>
    </row>
    <row r="940" spans="1:6" x14ac:dyDescent="0.25">
      <c r="A940" t="s">
        <v>20309</v>
      </c>
      <c r="B940" t="s">
        <v>20310</v>
      </c>
      <c r="C940" t="s">
        <v>20311</v>
      </c>
      <c r="D940" t="s">
        <v>440</v>
      </c>
      <c r="E940" t="s">
        <v>271</v>
      </c>
      <c r="F940" t="s">
        <v>441</v>
      </c>
    </row>
    <row r="941" spans="1:6" x14ac:dyDescent="0.25">
      <c r="A941" t="s">
        <v>20312</v>
      </c>
      <c r="B941" t="s">
        <v>20313</v>
      </c>
      <c r="C941" t="s">
        <v>20314</v>
      </c>
      <c r="D941" t="s">
        <v>18684</v>
      </c>
      <c r="E941" t="s">
        <v>271</v>
      </c>
      <c r="F941" t="s">
        <v>18685</v>
      </c>
    </row>
    <row r="942" spans="1:6" x14ac:dyDescent="0.25">
      <c r="A942" t="s">
        <v>4275</v>
      </c>
      <c r="B942" t="s">
        <v>4276</v>
      </c>
      <c r="C942" t="s">
        <v>4278</v>
      </c>
      <c r="D942" t="s">
        <v>0</v>
      </c>
      <c r="E942" t="s">
        <v>271</v>
      </c>
      <c r="F942" t="s">
        <v>562</v>
      </c>
    </row>
    <row r="943" spans="1:6" x14ac:dyDescent="0.25">
      <c r="A943" t="s">
        <v>20315</v>
      </c>
      <c r="B943" t="s">
        <v>20316</v>
      </c>
      <c r="C943" t="s">
        <v>20317</v>
      </c>
      <c r="D943" t="s">
        <v>1079</v>
      </c>
      <c r="E943" t="s">
        <v>271</v>
      </c>
      <c r="F943" t="s">
        <v>3880</v>
      </c>
    </row>
    <row r="944" spans="1:6" x14ac:dyDescent="0.25">
      <c r="A944" t="s">
        <v>20318</v>
      </c>
      <c r="B944" t="s">
        <v>20319</v>
      </c>
      <c r="C944" t="s">
        <v>20320</v>
      </c>
      <c r="D944" t="s">
        <v>0</v>
      </c>
      <c r="E944" t="s">
        <v>271</v>
      </c>
      <c r="F944" t="s">
        <v>1321</v>
      </c>
    </row>
    <row r="945" spans="1:6" x14ac:dyDescent="0.25">
      <c r="A945" t="s">
        <v>20321</v>
      </c>
      <c r="B945" t="s">
        <v>20322</v>
      </c>
      <c r="C945" t="s">
        <v>20323</v>
      </c>
      <c r="D945" t="s">
        <v>20324</v>
      </c>
      <c r="E945" t="s">
        <v>269</v>
      </c>
      <c r="F945" t="s">
        <v>20325</v>
      </c>
    </row>
    <row r="946" spans="1:6" x14ac:dyDescent="0.25">
      <c r="A946" t="s">
        <v>20326</v>
      </c>
      <c r="B946" t="s">
        <v>20327</v>
      </c>
      <c r="C946" t="s">
        <v>4029</v>
      </c>
      <c r="D946" t="s">
        <v>822</v>
      </c>
      <c r="E946" t="s">
        <v>269</v>
      </c>
      <c r="F946" t="s">
        <v>821</v>
      </c>
    </row>
    <row r="947" spans="1:6" x14ac:dyDescent="0.25">
      <c r="A947" t="s">
        <v>20328</v>
      </c>
      <c r="B947" t="s">
        <v>20329</v>
      </c>
      <c r="C947" t="s">
        <v>20330</v>
      </c>
      <c r="D947" t="s">
        <v>0</v>
      </c>
      <c r="E947" t="s">
        <v>271</v>
      </c>
      <c r="F947" t="s">
        <v>895</v>
      </c>
    </row>
    <row r="948" spans="1:6" x14ac:dyDescent="0.25">
      <c r="A948" t="s">
        <v>3938</v>
      </c>
      <c r="B948" t="s">
        <v>3939</v>
      </c>
      <c r="C948" t="s">
        <v>3942</v>
      </c>
      <c r="D948" t="s">
        <v>0</v>
      </c>
      <c r="E948" t="s">
        <v>271</v>
      </c>
      <c r="F948" t="s">
        <v>3941</v>
      </c>
    </row>
    <row r="949" spans="1:6" x14ac:dyDescent="0.25">
      <c r="A949" t="s">
        <v>20331</v>
      </c>
      <c r="B949" t="s">
        <v>20332</v>
      </c>
      <c r="C949" t="s">
        <v>20333</v>
      </c>
      <c r="D949" t="s">
        <v>0</v>
      </c>
      <c r="E949" t="s">
        <v>271</v>
      </c>
      <c r="F949" t="s">
        <v>731</v>
      </c>
    </row>
    <row r="950" spans="1:6" x14ac:dyDescent="0.25">
      <c r="A950" t="s">
        <v>20334</v>
      </c>
      <c r="B950" t="s">
        <v>20335</v>
      </c>
      <c r="C950" t="s">
        <v>20336</v>
      </c>
      <c r="D950" t="s">
        <v>8015</v>
      </c>
      <c r="E950" t="s">
        <v>271</v>
      </c>
      <c r="F950" t="s">
        <v>4380</v>
      </c>
    </row>
    <row r="951" spans="1:6" x14ac:dyDescent="0.25">
      <c r="A951" t="s">
        <v>20337</v>
      </c>
      <c r="B951" t="s">
        <v>20338</v>
      </c>
      <c r="C951" t="s">
        <v>4209</v>
      </c>
      <c r="D951" t="s">
        <v>340</v>
      </c>
      <c r="E951" t="s">
        <v>271</v>
      </c>
      <c r="F951" t="s">
        <v>317</v>
      </c>
    </row>
    <row r="952" spans="1:6" x14ac:dyDescent="0.25">
      <c r="A952" t="s">
        <v>20339</v>
      </c>
      <c r="B952" t="s">
        <v>20340</v>
      </c>
      <c r="C952" t="s">
        <v>20341</v>
      </c>
      <c r="D952" t="s">
        <v>490</v>
      </c>
      <c r="E952" t="s">
        <v>271</v>
      </c>
      <c r="F952" t="s">
        <v>491</v>
      </c>
    </row>
    <row r="953" spans="1:6" x14ac:dyDescent="0.25">
      <c r="A953" t="s">
        <v>20342</v>
      </c>
      <c r="B953" t="s">
        <v>20343</v>
      </c>
      <c r="C953" t="s">
        <v>20344</v>
      </c>
      <c r="D953" t="s">
        <v>718</v>
      </c>
      <c r="E953" t="s">
        <v>271</v>
      </c>
      <c r="F953" t="s">
        <v>333</v>
      </c>
    </row>
    <row r="954" spans="1:6" x14ac:dyDescent="0.25">
      <c r="A954" t="s">
        <v>4216</v>
      </c>
      <c r="B954" t="s">
        <v>4217</v>
      </c>
      <c r="C954" t="s">
        <v>1639</v>
      </c>
      <c r="D954" t="s">
        <v>1638</v>
      </c>
      <c r="E954" t="s">
        <v>271</v>
      </c>
      <c r="F954" t="s">
        <v>1637</v>
      </c>
    </row>
    <row r="955" spans="1:6" x14ac:dyDescent="0.25">
      <c r="A955" t="s">
        <v>20345</v>
      </c>
      <c r="B955" t="s">
        <v>20346</v>
      </c>
      <c r="C955" t="s">
        <v>20347</v>
      </c>
      <c r="D955" t="s">
        <v>490</v>
      </c>
      <c r="E955" t="s">
        <v>271</v>
      </c>
      <c r="F955" t="s">
        <v>491</v>
      </c>
    </row>
    <row r="956" spans="1:6" x14ac:dyDescent="0.25">
      <c r="A956" t="s">
        <v>20348</v>
      </c>
      <c r="B956" t="s">
        <v>20349</v>
      </c>
      <c r="C956" t="s">
        <v>20350</v>
      </c>
      <c r="D956" t="s">
        <v>5641</v>
      </c>
      <c r="E956" t="s">
        <v>271</v>
      </c>
      <c r="F956" t="s">
        <v>1567</v>
      </c>
    </row>
    <row r="957" spans="1:6" x14ac:dyDescent="0.25">
      <c r="A957" t="s">
        <v>20351</v>
      </c>
      <c r="B957" t="s">
        <v>20352</v>
      </c>
      <c r="C957" t="s">
        <v>20353</v>
      </c>
      <c r="D957" t="s">
        <v>616</v>
      </c>
      <c r="E957" t="s">
        <v>271</v>
      </c>
      <c r="F957" t="s">
        <v>333</v>
      </c>
    </row>
    <row r="958" spans="1:6" x14ac:dyDescent="0.25">
      <c r="A958" t="s">
        <v>20354</v>
      </c>
      <c r="B958" t="s">
        <v>20355</v>
      </c>
      <c r="C958" t="s">
        <v>20356</v>
      </c>
      <c r="D958" t="s">
        <v>1126</v>
      </c>
      <c r="E958" t="s">
        <v>271</v>
      </c>
      <c r="F958" t="s">
        <v>1125</v>
      </c>
    </row>
    <row r="959" spans="1:6" x14ac:dyDescent="0.25">
      <c r="A959" t="s">
        <v>20357</v>
      </c>
      <c r="B959" t="s">
        <v>20358</v>
      </c>
      <c r="C959" t="s">
        <v>18788</v>
      </c>
      <c r="D959" t="s">
        <v>616</v>
      </c>
      <c r="E959" t="s">
        <v>271</v>
      </c>
      <c r="F959" t="s">
        <v>333</v>
      </c>
    </row>
    <row r="960" spans="1:6" x14ac:dyDescent="0.25">
      <c r="A960" t="s">
        <v>20359</v>
      </c>
      <c r="B960" t="s">
        <v>20360</v>
      </c>
      <c r="C960" t="s">
        <v>263</v>
      </c>
      <c r="D960" t="s">
        <v>793</v>
      </c>
      <c r="E960" t="s">
        <v>271</v>
      </c>
      <c r="F960" t="s">
        <v>792</v>
      </c>
    </row>
    <row r="961" spans="1:6" x14ac:dyDescent="0.25">
      <c r="A961" t="s">
        <v>20361</v>
      </c>
      <c r="B961" t="s">
        <v>18560</v>
      </c>
      <c r="C961" t="s">
        <v>20362</v>
      </c>
      <c r="D961" t="s">
        <v>1806</v>
      </c>
      <c r="E961" t="s">
        <v>271</v>
      </c>
      <c r="F961" t="s">
        <v>1805</v>
      </c>
    </row>
    <row r="962" spans="1:6" x14ac:dyDescent="0.25">
      <c r="A962" t="s">
        <v>20363</v>
      </c>
      <c r="B962" t="s">
        <v>20364</v>
      </c>
      <c r="C962" t="s">
        <v>20365</v>
      </c>
      <c r="D962" t="s">
        <v>357</v>
      </c>
      <c r="E962" t="s">
        <v>271</v>
      </c>
      <c r="F962" t="s">
        <v>358</v>
      </c>
    </row>
    <row r="963" spans="1:6" x14ac:dyDescent="0.25">
      <c r="A963" t="s">
        <v>20366</v>
      </c>
      <c r="B963" t="s">
        <v>20367</v>
      </c>
      <c r="C963" t="s">
        <v>20368</v>
      </c>
      <c r="D963" t="s">
        <v>0</v>
      </c>
      <c r="E963" t="s">
        <v>271</v>
      </c>
      <c r="F963" t="s">
        <v>355</v>
      </c>
    </row>
    <row r="964" spans="1:6" x14ac:dyDescent="0.25">
      <c r="A964" t="s">
        <v>20369</v>
      </c>
      <c r="B964" t="s">
        <v>20370</v>
      </c>
      <c r="C964" t="s">
        <v>20371</v>
      </c>
      <c r="D964" t="s">
        <v>510</v>
      </c>
      <c r="E964" t="s">
        <v>271</v>
      </c>
      <c r="F964" t="s">
        <v>437</v>
      </c>
    </row>
    <row r="965" spans="1:6" x14ac:dyDescent="0.25">
      <c r="A965" t="s">
        <v>20372</v>
      </c>
      <c r="B965" t="s">
        <v>20373</v>
      </c>
      <c r="C965" t="s">
        <v>3903</v>
      </c>
      <c r="D965" t="s">
        <v>0</v>
      </c>
      <c r="E965" t="s">
        <v>271</v>
      </c>
      <c r="F965" t="s">
        <v>1225</v>
      </c>
    </row>
    <row r="966" spans="1:6" x14ac:dyDescent="0.25">
      <c r="A966" t="s">
        <v>4078</v>
      </c>
      <c r="B966" t="s">
        <v>4079</v>
      </c>
      <c r="C966" t="s">
        <v>4080</v>
      </c>
      <c r="D966" t="s">
        <v>519</v>
      </c>
      <c r="E966" t="s">
        <v>271</v>
      </c>
      <c r="F966" t="s">
        <v>324</v>
      </c>
    </row>
    <row r="967" spans="1:6" x14ac:dyDescent="0.25">
      <c r="A967" t="s">
        <v>4043</v>
      </c>
      <c r="B967" t="s">
        <v>4044</v>
      </c>
      <c r="C967" t="s">
        <v>4045</v>
      </c>
      <c r="D967" t="s">
        <v>1433</v>
      </c>
      <c r="E967" t="s">
        <v>271</v>
      </c>
      <c r="F967" t="s">
        <v>1432</v>
      </c>
    </row>
    <row r="968" spans="1:6" x14ac:dyDescent="0.25">
      <c r="A968" t="s">
        <v>20374</v>
      </c>
      <c r="B968" t="s">
        <v>348</v>
      </c>
      <c r="C968" t="s">
        <v>20375</v>
      </c>
      <c r="D968" t="s">
        <v>1915</v>
      </c>
      <c r="E968" t="s">
        <v>269</v>
      </c>
      <c r="F968" t="s">
        <v>1914</v>
      </c>
    </row>
    <row r="969" spans="1:6" x14ac:dyDescent="0.25">
      <c r="A969" t="s">
        <v>20376</v>
      </c>
      <c r="B969" t="s">
        <v>20377</v>
      </c>
      <c r="C969" t="s">
        <v>20378</v>
      </c>
      <c r="D969" t="s">
        <v>0</v>
      </c>
      <c r="E969" t="s">
        <v>271</v>
      </c>
      <c r="F969" t="s">
        <v>1115</v>
      </c>
    </row>
    <row r="970" spans="1:6" x14ac:dyDescent="0.25">
      <c r="A970" t="s">
        <v>4370</v>
      </c>
      <c r="B970" t="s">
        <v>4371</v>
      </c>
      <c r="C970" t="s">
        <v>4373</v>
      </c>
      <c r="D970" t="s">
        <v>0</v>
      </c>
      <c r="E970" t="s">
        <v>271</v>
      </c>
      <c r="F970" t="s">
        <v>355</v>
      </c>
    </row>
    <row r="971" spans="1:6" x14ac:dyDescent="0.25">
      <c r="A971" t="s">
        <v>4109</v>
      </c>
      <c r="B971" t="s">
        <v>4110</v>
      </c>
      <c r="C971" t="s">
        <v>4111</v>
      </c>
      <c r="D971" t="s">
        <v>972</v>
      </c>
      <c r="E971" t="s">
        <v>269</v>
      </c>
      <c r="F971" t="s">
        <v>971</v>
      </c>
    </row>
    <row r="972" spans="1:6" x14ac:dyDescent="0.25">
      <c r="A972" t="s">
        <v>20379</v>
      </c>
      <c r="B972" t="s">
        <v>20380</v>
      </c>
      <c r="C972" t="s">
        <v>3092</v>
      </c>
      <c r="D972" t="s">
        <v>2488</v>
      </c>
      <c r="E972" t="s">
        <v>269</v>
      </c>
      <c r="F972" t="s">
        <v>3091</v>
      </c>
    </row>
    <row r="973" spans="1:6" x14ac:dyDescent="0.25">
      <c r="A973" t="s">
        <v>20381</v>
      </c>
      <c r="B973" t="s">
        <v>18223</v>
      </c>
      <c r="C973" t="s">
        <v>18224</v>
      </c>
      <c r="D973" t="s">
        <v>6689</v>
      </c>
      <c r="E973" t="s">
        <v>269</v>
      </c>
      <c r="F973" t="s">
        <v>6690</v>
      </c>
    </row>
    <row r="974" spans="1:6" x14ac:dyDescent="0.25">
      <c r="A974" t="s">
        <v>20382</v>
      </c>
      <c r="B974" t="s">
        <v>20383</v>
      </c>
      <c r="C974" t="s">
        <v>20384</v>
      </c>
      <c r="D974" t="s">
        <v>289</v>
      </c>
      <c r="E974" t="s">
        <v>271</v>
      </c>
      <c r="F974" t="s">
        <v>10787</v>
      </c>
    </row>
    <row r="975" spans="1:6" x14ac:dyDescent="0.25">
      <c r="A975" t="s">
        <v>20385</v>
      </c>
      <c r="B975" t="s">
        <v>20386</v>
      </c>
      <c r="C975" t="s">
        <v>20387</v>
      </c>
      <c r="D975" t="s">
        <v>312</v>
      </c>
      <c r="E975" t="s">
        <v>271</v>
      </c>
      <c r="F975" t="s">
        <v>311</v>
      </c>
    </row>
    <row r="976" spans="1:6" x14ac:dyDescent="0.25">
      <c r="A976" t="s">
        <v>20388</v>
      </c>
      <c r="B976" t="s">
        <v>20389</v>
      </c>
      <c r="C976" t="s">
        <v>20390</v>
      </c>
      <c r="D976" t="s">
        <v>1186</v>
      </c>
      <c r="E976" t="s">
        <v>271</v>
      </c>
      <c r="F976" t="s">
        <v>1185</v>
      </c>
    </row>
    <row r="977" spans="1:6" x14ac:dyDescent="0.25">
      <c r="A977" t="s">
        <v>20391</v>
      </c>
      <c r="B977" t="s">
        <v>20392</v>
      </c>
      <c r="C977" t="s">
        <v>20393</v>
      </c>
      <c r="D977" t="s">
        <v>6094</v>
      </c>
      <c r="E977" t="s">
        <v>271</v>
      </c>
      <c r="F977" t="s">
        <v>4413</v>
      </c>
    </row>
    <row r="978" spans="1:6" x14ac:dyDescent="0.25">
      <c r="A978" t="s">
        <v>20394</v>
      </c>
      <c r="B978" t="s">
        <v>20395</v>
      </c>
      <c r="C978" t="s">
        <v>20396</v>
      </c>
      <c r="D978" t="s">
        <v>0</v>
      </c>
      <c r="E978" t="s">
        <v>271</v>
      </c>
      <c r="F978" t="s">
        <v>1321</v>
      </c>
    </row>
    <row r="979" spans="1:6" x14ac:dyDescent="0.25">
      <c r="A979" t="s">
        <v>20397</v>
      </c>
      <c r="B979" t="s">
        <v>20398</v>
      </c>
      <c r="C979" t="s">
        <v>20399</v>
      </c>
      <c r="D979" t="s">
        <v>1137</v>
      </c>
      <c r="E979" t="s">
        <v>269</v>
      </c>
      <c r="F979" t="s">
        <v>1136</v>
      </c>
    </row>
    <row r="980" spans="1:6" x14ac:dyDescent="0.25">
      <c r="A980" t="s">
        <v>20400</v>
      </c>
      <c r="B980" t="s">
        <v>20401</v>
      </c>
      <c r="C980" t="s">
        <v>20402</v>
      </c>
      <c r="D980" t="s">
        <v>466</v>
      </c>
      <c r="E980" t="s">
        <v>271</v>
      </c>
      <c r="F980" t="s">
        <v>434</v>
      </c>
    </row>
    <row r="981" spans="1:6" x14ac:dyDescent="0.25">
      <c r="A981" t="s">
        <v>20403</v>
      </c>
      <c r="B981" t="s">
        <v>20404</v>
      </c>
      <c r="C981" t="s">
        <v>20405</v>
      </c>
      <c r="D981" t="s">
        <v>1648</v>
      </c>
      <c r="E981" t="s">
        <v>271</v>
      </c>
      <c r="F981" t="s">
        <v>1647</v>
      </c>
    </row>
    <row r="982" spans="1:6" x14ac:dyDescent="0.25">
      <c r="A982" t="s">
        <v>20406</v>
      </c>
      <c r="B982" t="s">
        <v>20407</v>
      </c>
      <c r="C982" t="s">
        <v>20408</v>
      </c>
      <c r="D982" t="s">
        <v>578</v>
      </c>
      <c r="E982" t="s">
        <v>271</v>
      </c>
      <c r="F982" t="s">
        <v>321</v>
      </c>
    </row>
    <row r="983" spans="1:6" x14ac:dyDescent="0.25">
      <c r="A983" t="s">
        <v>20409</v>
      </c>
      <c r="B983" t="s">
        <v>20410</v>
      </c>
      <c r="C983" t="s">
        <v>20411</v>
      </c>
      <c r="D983" t="s">
        <v>314</v>
      </c>
      <c r="E983" t="s">
        <v>271</v>
      </c>
      <c r="F983" t="s">
        <v>352</v>
      </c>
    </row>
    <row r="984" spans="1:6" x14ac:dyDescent="0.25">
      <c r="A984" t="s">
        <v>20412</v>
      </c>
      <c r="B984" t="s">
        <v>20413</v>
      </c>
      <c r="C984" t="s">
        <v>20414</v>
      </c>
      <c r="D984" t="s">
        <v>718</v>
      </c>
      <c r="E984" t="s">
        <v>271</v>
      </c>
      <c r="F984" t="s">
        <v>333</v>
      </c>
    </row>
    <row r="985" spans="1:6" x14ac:dyDescent="0.25">
      <c r="A985" t="s">
        <v>20415</v>
      </c>
      <c r="B985" t="s">
        <v>20416</v>
      </c>
      <c r="C985" t="s">
        <v>20417</v>
      </c>
      <c r="D985" t="s">
        <v>1303</v>
      </c>
      <c r="E985" t="s">
        <v>269</v>
      </c>
      <c r="F985" t="s">
        <v>1302</v>
      </c>
    </row>
    <row r="986" spans="1:6" x14ac:dyDescent="0.25">
      <c r="A986" t="s">
        <v>20418</v>
      </c>
      <c r="B986" t="s">
        <v>20419</v>
      </c>
      <c r="C986" t="s">
        <v>20420</v>
      </c>
      <c r="D986" t="s">
        <v>0</v>
      </c>
      <c r="E986" t="s">
        <v>271</v>
      </c>
      <c r="F986" t="s">
        <v>355</v>
      </c>
    </row>
    <row r="987" spans="1:6" x14ac:dyDescent="0.25">
      <c r="A987" t="s">
        <v>20421</v>
      </c>
      <c r="B987" t="s">
        <v>20422</v>
      </c>
      <c r="C987" t="s">
        <v>20423</v>
      </c>
      <c r="D987" t="s">
        <v>586</v>
      </c>
      <c r="E987" t="s">
        <v>271</v>
      </c>
      <c r="F987" t="s">
        <v>334</v>
      </c>
    </row>
    <row r="988" spans="1:6" x14ac:dyDescent="0.25">
      <c r="A988" t="s">
        <v>20424</v>
      </c>
      <c r="B988" t="s">
        <v>20425</v>
      </c>
      <c r="C988" t="s">
        <v>20426</v>
      </c>
      <c r="D988" t="s">
        <v>314</v>
      </c>
      <c r="E988" t="s">
        <v>271</v>
      </c>
      <c r="F988" t="s">
        <v>370</v>
      </c>
    </row>
    <row r="989" spans="1:6" x14ac:dyDescent="0.25">
      <c r="A989" t="s">
        <v>20427</v>
      </c>
      <c r="B989" t="s">
        <v>20428</v>
      </c>
      <c r="C989" t="s">
        <v>20429</v>
      </c>
      <c r="D989" t="s">
        <v>2166</v>
      </c>
      <c r="E989" t="s">
        <v>271</v>
      </c>
      <c r="F989" t="s">
        <v>2165</v>
      </c>
    </row>
    <row r="990" spans="1:6" x14ac:dyDescent="0.25">
      <c r="A990" t="s">
        <v>20430</v>
      </c>
      <c r="B990" t="s">
        <v>20431</v>
      </c>
      <c r="C990" t="s">
        <v>20432</v>
      </c>
      <c r="D990" t="s">
        <v>0</v>
      </c>
      <c r="E990" t="s">
        <v>271</v>
      </c>
      <c r="F990" t="s">
        <v>1321</v>
      </c>
    </row>
    <row r="991" spans="1:6" x14ac:dyDescent="0.25">
      <c r="A991" t="s">
        <v>4265</v>
      </c>
      <c r="B991" t="s">
        <v>4266</v>
      </c>
      <c r="C991" t="s">
        <v>4268</v>
      </c>
      <c r="D991" t="s">
        <v>450</v>
      </c>
      <c r="E991" t="s">
        <v>271</v>
      </c>
      <c r="F991" t="s">
        <v>326</v>
      </c>
    </row>
    <row r="992" spans="1:6" x14ac:dyDescent="0.25">
      <c r="A992" t="s">
        <v>20433</v>
      </c>
      <c r="B992" t="s">
        <v>20434</v>
      </c>
      <c r="C992" t="s">
        <v>20435</v>
      </c>
      <c r="D992" t="s">
        <v>20436</v>
      </c>
      <c r="E992" t="s">
        <v>271</v>
      </c>
      <c r="F992" t="s">
        <v>4415</v>
      </c>
    </row>
    <row r="993" spans="1:6" x14ac:dyDescent="0.25">
      <c r="A993" t="s">
        <v>20437</v>
      </c>
      <c r="B993" t="s">
        <v>20071</v>
      </c>
      <c r="C993" t="s">
        <v>20072</v>
      </c>
      <c r="D993" t="s">
        <v>668</v>
      </c>
      <c r="E993" t="s">
        <v>271</v>
      </c>
      <c r="F993" t="s">
        <v>667</v>
      </c>
    </row>
    <row r="994" spans="1:6" x14ac:dyDescent="0.25">
      <c r="A994" t="s">
        <v>20438</v>
      </c>
      <c r="B994" t="s">
        <v>20439</v>
      </c>
      <c r="C994" t="s">
        <v>20440</v>
      </c>
      <c r="D994" t="s">
        <v>1915</v>
      </c>
      <c r="E994" t="s">
        <v>269</v>
      </c>
      <c r="F994" t="s">
        <v>1914</v>
      </c>
    </row>
    <row r="995" spans="1:6" x14ac:dyDescent="0.25">
      <c r="A995" t="s">
        <v>4074</v>
      </c>
      <c r="B995" t="s">
        <v>4075</v>
      </c>
      <c r="C995" t="s">
        <v>4076</v>
      </c>
      <c r="D995" t="s">
        <v>1286</v>
      </c>
      <c r="E995" t="s">
        <v>269</v>
      </c>
      <c r="F995" t="s">
        <v>1285</v>
      </c>
    </row>
    <row r="996" spans="1:6" x14ac:dyDescent="0.25">
      <c r="A996" t="s">
        <v>20441</v>
      </c>
      <c r="B996" t="s">
        <v>18272</v>
      </c>
      <c r="C996" t="s">
        <v>692</v>
      </c>
      <c r="D996" t="s">
        <v>347</v>
      </c>
      <c r="E996" t="s">
        <v>271</v>
      </c>
      <c r="F996" t="s">
        <v>327</v>
      </c>
    </row>
    <row r="997" spans="1:6" x14ac:dyDescent="0.25">
      <c r="A997" t="s">
        <v>20442</v>
      </c>
      <c r="B997" t="s">
        <v>20443</v>
      </c>
      <c r="C997" t="s">
        <v>20444</v>
      </c>
      <c r="D997" t="s">
        <v>0</v>
      </c>
      <c r="E997" t="s">
        <v>271</v>
      </c>
      <c r="F997" t="s">
        <v>1534</v>
      </c>
    </row>
    <row r="998" spans="1:6" x14ac:dyDescent="0.25">
      <c r="A998" t="s">
        <v>20445</v>
      </c>
      <c r="B998" t="s">
        <v>20446</v>
      </c>
      <c r="C998" t="s">
        <v>20447</v>
      </c>
      <c r="D998" t="s">
        <v>0</v>
      </c>
      <c r="E998" t="s">
        <v>271</v>
      </c>
      <c r="F998" t="s">
        <v>323</v>
      </c>
    </row>
    <row r="999" spans="1:6" x14ac:dyDescent="0.25">
      <c r="A999" t="s">
        <v>20448</v>
      </c>
      <c r="B999" t="s">
        <v>20449</v>
      </c>
      <c r="C999" t="s">
        <v>20450</v>
      </c>
      <c r="D999" t="s">
        <v>510</v>
      </c>
      <c r="E999" t="s">
        <v>271</v>
      </c>
      <c r="F999" t="s">
        <v>437</v>
      </c>
    </row>
    <row r="1000" spans="1:6" x14ac:dyDescent="0.25">
      <c r="A1000" t="s">
        <v>20451</v>
      </c>
      <c r="B1000" t="s">
        <v>20452</v>
      </c>
      <c r="C1000" t="s">
        <v>20453</v>
      </c>
      <c r="D1000" t="s">
        <v>845</v>
      </c>
      <c r="E1000" t="s">
        <v>271</v>
      </c>
      <c r="F1000" t="s">
        <v>844</v>
      </c>
    </row>
    <row r="1001" spans="1:6" x14ac:dyDescent="0.25">
      <c r="A1001" t="s">
        <v>20454</v>
      </c>
      <c r="B1001" t="s">
        <v>20455</v>
      </c>
      <c r="C1001" t="s">
        <v>20456</v>
      </c>
      <c r="D1001" t="s">
        <v>314</v>
      </c>
      <c r="E1001" t="s">
        <v>271</v>
      </c>
      <c r="F1001" t="s">
        <v>370</v>
      </c>
    </row>
    <row r="1002" spans="1:6" x14ac:dyDescent="0.25">
      <c r="A1002" t="s">
        <v>20457</v>
      </c>
      <c r="B1002" t="s">
        <v>20458</v>
      </c>
      <c r="C1002" t="s">
        <v>19140</v>
      </c>
      <c r="D1002" t="s">
        <v>450</v>
      </c>
      <c r="E1002" t="s">
        <v>271</v>
      </c>
      <c r="F1002" t="s">
        <v>326</v>
      </c>
    </row>
    <row r="1003" spans="1:6" x14ac:dyDescent="0.25">
      <c r="A1003" t="s">
        <v>20459</v>
      </c>
      <c r="B1003" t="s">
        <v>20460</v>
      </c>
      <c r="C1003" t="s">
        <v>20461</v>
      </c>
      <c r="D1003" t="s">
        <v>1638</v>
      </c>
      <c r="E1003" t="s">
        <v>271</v>
      </c>
      <c r="F1003" t="s">
        <v>1637</v>
      </c>
    </row>
    <row r="1004" spans="1:6" x14ac:dyDescent="0.25">
      <c r="A1004" t="s">
        <v>20462</v>
      </c>
      <c r="B1004" t="s">
        <v>20463</v>
      </c>
      <c r="C1004" t="s">
        <v>19764</v>
      </c>
      <c r="D1004" t="s">
        <v>1165</v>
      </c>
      <c r="E1004" t="s">
        <v>271</v>
      </c>
      <c r="F1004" t="s">
        <v>6306</v>
      </c>
    </row>
    <row r="1005" spans="1:6" x14ac:dyDescent="0.25">
      <c r="A1005" t="s">
        <v>20464</v>
      </c>
      <c r="B1005" t="s">
        <v>20465</v>
      </c>
      <c r="C1005" t="s">
        <v>20466</v>
      </c>
      <c r="D1005" t="s">
        <v>0</v>
      </c>
      <c r="E1005" t="s">
        <v>271</v>
      </c>
      <c r="F1005" t="s">
        <v>323</v>
      </c>
    </row>
    <row r="1006" spans="1:6" x14ac:dyDescent="0.25">
      <c r="A1006" t="s">
        <v>20467</v>
      </c>
      <c r="B1006" t="s">
        <v>20468</v>
      </c>
      <c r="C1006" t="s">
        <v>20469</v>
      </c>
      <c r="D1006" t="s">
        <v>0</v>
      </c>
      <c r="E1006" t="s">
        <v>271</v>
      </c>
      <c r="F1006" t="s">
        <v>575</v>
      </c>
    </row>
    <row r="1007" spans="1:6" x14ac:dyDescent="0.25">
      <c r="A1007" t="s">
        <v>20470</v>
      </c>
      <c r="B1007" t="s">
        <v>20471</v>
      </c>
      <c r="C1007" t="s">
        <v>20472</v>
      </c>
      <c r="D1007" t="s">
        <v>510</v>
      </c>
      <c r="E1007" t="s">
        <v>271</v>
      </c>
      <c r="F1007" t="s">
        <v>437</v>
      </c>
    </row>
    <row r="1008" spans="1:6" x14ac:dyDescent="0.25">
      <c r="A1008" t="s">
        <v>20473</v>
      </c>
      <c r="B1008" t="s">
        <v>20474</v>
      </c>
      <c r="C1008" t="s">
        <v>20475</v>
      </c>
      <c r="D1008" t="s">
        <v>1032</v>
      </c>
      <c r="E1008" t="s">
        <v>271</v>
      </c>
      <c r="F1008" t="s">
        <v>1031</v>
      </c>
    </row>
    <row r="1009" spans="1:6" x14ac:dyDescent="0.25">
      <c r="A1009" t="s">
        <v>20476</v>
      </c>
      <c r="B1009" t="s">
        <v>20477</v>
      </c>
      <c r="C1009" t="s">
        <v>20478</v>
      </c>
      <c r="D1009" t="s">
        <v>20479</v>
      </c>
      <c r="E1009" t="s">
        <v>20480</v>
      </c>
      <c r="F1009" t="s">
        <v>20481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35AB5-59DD-45FE-AEC7-0C873A63F71D}">
  <sheetPr codeName="Sheet29"/>
  <dimension ref="A1:F5594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.5703125" bestFit="1" customWidth="1"/>
    <col min="3" max="3" width="29.85546875" bestFit="1" customWidth="1"/>
    <col min="4" max="4" width="19.5703125" bestFit="1" customWidth="1"/>
    <col min="5" max="5" width="4.140625" bestFit="1" customWidth="1"/>
    <col min="6" max="6" width="9.5703125" bestFit="1" customWidth="1"/>
  </cols>
  <sheetData>
    <row r="1" spans="1:6" x14ac:dyDescent="0.25">
      <c r="A1" s="21" t="s">
        <v>205</v>
      </c>
      <c r="B1" s="21" t="s">
        <v>206</v>
      </c>
      <c r="C1" s="21" t="s">
        <v>209</v>
      </c>
      <c r="D1" s="21" t="s">
        <v>208</v>
      </c>
      <c r="E1" s="21" t="s">
        <v>210</v>
      </c>
      <c r="F1" s="21" t="s">
        <v>207</v>
      </c>
    </row>
    <row r="2" spans="1:6" x14ac:dyDescent="0.25">
      <c r="A2" t="s">
        <v>4441</v>
      </c>
      <c r="B2" t="s">
        <v>4442</v>
      </c>
      <c r="C2" t="s">
        <v>4443</v>
      </c>
      <c r="D2" t="s">
        <v>793</v>
      </c>
      <c r="E2" t="s">
        <v>271</v>
      </c>
      <c r="F2" t="s">
        <v>792</v>
      </c>
    </row>
    <row r="3" spans="1:6" x14ac:dyDescent="0.25">
      <c r="A3" t="s">
        <v>4444</v>
      </c>
      <c r="B3" t="s">
        <v>4445</v>
      </c>
      <c r="C3" t="s">
        <v>4446</v>
      </c>
      <c r="D3" t="s">
        <v>2311</v>
      </c>
      <c r="E3" t="s">
        <v>271</v>
      </c>
      <c r="F3" t="s">
        <v>424</v>
      </c>
    </row>
    <row r="4" spans="1:6" x14ac:dyDescent="0.25">
      <c r="A4" t="s">
        <v>4447</v>
      </c>
      <c r="B4" t="s">
        <v>4448</v>
      </c>
      <c r="C4" t="s">
        <v>4449</v>
      </c>
      <c r="D4" t="s">
        <v>0</v>
      </c>
      <c r="E4" t="s">
        <v>271</v>
      </c>
      <c r="F4" t="s">
        <v>575</v>
      </c>
    </row>
    <row r="5" spans="1:6" x14ac:dyDescent="0.25">
      <c r="A5" t="s">
        <v>4450</v>
      </c>
      <c r="B5" t="s">
        <v>4451</v>
      </c>
      <c r="C5" t="s">
        <v>565</v>
      </c>
      <c r="D5" t="s">
        <v>566</v>
      </c>
      <c r="E5" t="s">
        <v>271</v>
      </c>
      <c r="F5" t="s">
        <v>567</v>
      </c>
    </row>
    <row r="6" spans="1:6" x14ac:dyDescent="0.25">
      <c r="A6" t="s">
        <v>4452</v>
      </c>
      <c r="B6" t="s">
        <v>4453</v>
      </c>
      <c r="C6" t="s">
        <v>4454</v>
      </c>
      <c r="D6" t="s">
        <v>451</v>
      </c>
      <c r="E6" t="s">
        <v>271</v>
      </c>
      <c r="F6" t="s">
        <v>433</v>
      </c>
    </row>
    <row r="7" spans="1:6" x14ac:dyDescent="0.25">
      <c r="A7" t="s">
        <v>4455</v>
      </c>
      <c r="B7" t="s">
        <v>4456</v>
      </c>
      <c r="C7" t="s">
        <v>4457</v>
      </c>
      <c r="D7" t="s">
        <v>2058</v>
      </c>
      <c r="E7" t="s">
        <v>271</v>
      </c>
      <c r="F7" t="s">
        <v>2057</v>
      </c>
    </row>
    <row r="8" spans="1:6" x14ac:dyDescent="0.25">
      <c r="A8" t="s">
        <v>4458</v>
      </c>
      <c r="B8" t="s">
        <v>4459</v>
      </c>
      <c r="C8" t="s">
        <v>4460</v>
      </c>
      <c r="D8" t="s">
        <v>0</v>
      </c>
      <c r="E8" t="s">
        <v>271</v>
      </c>
      <c r="F8" t="s">
        <v>881</v>
      </c>
    </row>
    <row r="9" spans="1:6" x14ac:dyDescent="0.25">
      <c r="A9" t="s">
        <v>4461</v>
      </c>
      <c r="B9" t="s">
        <v>4462</v>
      </c>
      <c r="C9" t="s">
        <v>4463</v>
      </c>
      <c r="D9" t="s">
        <v>0</v>
      </c>
      <c r="E9" t="s">
        <v>271</v>
      </c>
      <c r="F9" t="s">
        <v>432</v>
      </c>
    </row>
    <row r="10" spans="1:6" x14ac:dyDescent="0.25">
      <c r="A10" t="s">
        <v>4464</v>
      </c>
      <c r="B10" t="s">
        <v>4465</v>
      </c>
      <c r="C10" t="s">
        <v>4466</v>
      </c>
      <c r="D10" t="s">
        <v>0</v>
      </c>
      <c r="E10" t="s">
        <v>271</v>
      </c>
      <c r="F10" t="s">
        <v>4295</v>
      </c>
    </row>
    <row r="11" spans="1:6" x14ac:dyDescent="0.25">
      <c r="A11" t="s">
        <v>4467</v>
      </c>
      <c r="B11" t="s">
        <v>4468</v>
      </c>
      <c r="C11" t="s">
        <v>4469</v>
      </c>
      <c r="D11" t="s">
        <v>4470</v>
      </c>
      <c r="E11" t="s">
        <v>271</v>
      </c>
      <c r="F11" t="s">
        <v>4426</v>
      </c>
    </row>
    <row r="12" spans="1:6" x14ac:dyDescent="0.25">
      <c r="A12" t="s">
        <v>4471</v>
      </c>
      <c r="B12" t="s">
        <v>4472</v>
      </c>
      <c r="C12" t="s">
        <v>4473</v>
      </c>
      <c r="D12" t="s">
        <v>0</v>
      </c>
      <c r="E12" t="s">
        <v>271</v>
      </c>
      <c r="F12" t="s">
        <v>709</v>
      </c>
    </row>
    <row r="13" spans="1:6" x14ac:dyDescent="0.25">
      <c r="A13" t="s">
        <v>4474</v>
      </c>
      <c r="B13" t="s">
        <v>4475</v>
      </c>
      <c r="C13" t="s">
        <v>4476</v>
      </c>
      <c r="D13" t="s">
        <v>540</v>
      </c>
      <c r="E13" t="s">
        <v>271</v>
      </c>
      <c r="F13" t="s">
        <v>339</v>
      </c>
    </row>
    <row r="14" spans="1:6" x14ac:dyDescent="0.25">
      <c r="A14" t="s">
        <v>4477</v>
      </c>
      <c r="B14" t="s">
        <v>4478</v>
      </c>
      <c r="C14" t="s">
        <v>4479</v>
      </c>
      <c r="D14" t="s">
        <v>3767</v>
      </c>
      <c r="E14" t="s">
        <v>269</v>
      </c>
      <c r="F14" t="s">
        <v>3766</v>
      </c>
    </row>
    <row r="15" spans="1:6" x14ac:dyDescent="0.25">
      <c r="A15" t="s">
        <v>4480</v>
      </c>
      <c r="B15" t="s">
        <v>4481</v>
      </c>
      <c r="C15" t="s">
        <v>4482</v>
      </c>
      <c r="D15" t="s">
        <v>500</v>
      </c>
      <c r="E15" t="s">
        <v>271</v>
      </c>
      <c r="F15" t="s">
        <v>501</v>
      </c>
    </row>
    <row r="16" spans="1:6" x14ac:dyDescent="0.25">
      <c r="A16" t="s">
        <v>4483</v>
      </c>
      <c r="B16" t="s">
        <v>4484</v>
      </c>
      <c r="C16" t="s">
        <v>4485</v>
      </c>
      <c r="D16" t="s">
        <v>4486</v>
      </c>
      <c r="E16" t="s">
        <v>271</v>
      </c>
      <c r="F16" t="s">
        <v>4380</v>
      </c>
    </row>
    <row r="17" spans="1:6" x14ac:dyDescent="0.25">
      <c r="A17" t="s">
        <v>4487</v>
      </c>
      <c r="B17" t="s">
        <v>4488</v>
      </c>
      <c r="C17" t="s">
        <v>4489</v>
      </c>
      <c r="D17" t="s">
        <v>578</v>
      </c>
      <c r="E17" t="s">
        <v>271</v>
      </c>
      <c r="F17" t="s">
        <v>321</v>
      </c>
    </row>
    <row r="18" spans="1:6" x14ac:dyDescent="0.25">
      <c r="A18" t="s">
        <v>4490</v>
      </c>
      <c r="B18" t="s">
        <v>4491</v>
      </c>
      <c r="C18" t="s">
        <v>4492</v>
      </c>
      <c r="D18" t="s">
        <v>1837</v>
      </c>
      <c r="E18" t="s">
        <v>271</v>
      </c>
      <c r="F18" t="s">
        <v>1836</v>
      </c>
    </row>
    <row r="19" spans="1:6" x14ac:dyDescent="0.25">
      <c r="A19" t="s">
        <v>3079</v>
      </c>
      <c r="B19" t="s">
        <v>3080</v>
      </c>
      <c r="C19" t="s">
        <v>3082</v>
      </c>
      <c r="D19" t="s">
        <v>314</v>
      </c>
      <c r="E19" t="s">
        <v>271</v>
      </c>
      <c r="F19" t="s">
        <v>3081</v>
      </c>
    </row>
    <row r="20" spans="1:6" x14ac:dyDescent="0.25">
      <c r="A20" t="s">
        <v>4493</v>
      </c>
      <c r="B20" t="s">
        <v>4494</v>
      </c>
      <c r="C20" t="s">
        <v>4495</v>
      </c>
      <c r="D20" t="s">
        <v>260</v>
      </c>
      <c r="E20" t="s">
        <v>265</v>
      </c>
      <c r="F20" t="s">
        <v>4496</v>
      </c>
    </row>
    <row r="21" spans="1:6" x14ac:dyDescent="0.25">
      <c r="A21" t="s">
        <v>3758</v>
      </c>
      <c r="B21" t="s">
        <v>3759</v>
      </c>
      <c r="C21" t="s">
        <v>3760</v>
      </c>
      <c r="D21" t="s">
        <v>0</v>
      </c>
      <c r="E21" t="s">
        <v>271</v>
      </c>
      <c r="F21" t="s">
        <v>2138</v>
      </c>
    </row>
    <row r="22" spans="1:6" x14ac:dyDescent="0.25">
      <c r="A22" t="s">
        <v>4497</v>
      </c>
      <c r="B22" t="s">
        <v>4498</v>
      </c>
      <c r="C22" t="s">
        <v>4499</v>
      </c>
      <c r="D22" t="s">
        <v>0</v>
      </c>
      <c r="E22" t="s">
        <v>271</v>
      </c>
      <c r="F22" t="s">
        <v>881</v>
      </c>
    </row>
    <row r="23" spans="1:6" x14ac:dyDescent="0.25">
      <c r="A23" t="s">
        <v>4500</v>
      </c>
      <c r="B23" t="s">
        <v>4501</v>
      </c>
      <c r="C23" t="s">
        <v>4502</v>
      </c>
      <c r="D23" t="s">
        <v>1370</v>
      </c>
      <c r="E23" t="s">
        <v>271</v>
      </c>
      <c r="F23" t="s">
        <v>1369</v>
      </c>
    </row>
    <row r="24" spans="1:6" x14ac:dyDescent="0.25">
      <c r="A24" t="s">
        <v>4503</v>
      </c>
      <c r="B24" t="s">
        <v>4504</v>
      </c>
      <c r="C24" t="s">
        <v>2275</v>
      </c>
      <c r="D24" t="s">
        <v>0</v>
      </c>
      <c r="E24" t="s">
        <v>271</v>
      </c>
      <c r="F24" t="s">
        <v>731</v>
      </c>
    </row>
    <row r="25" spans="1:6" x14ac:dyDescent="0.25">
      <c r="A25" t="s">
        <v>3574</v>
      </c>
      <c r="B25" t="s">
        <v>3575</v>
      </c>
      <c r="C25" t="s">
        <v>3576</v>
      </c>
      <c r="D25" t="s">
        <v>0</v>
      </c>
      <c r="E25" t="s">
        <v>271</v>
      </c>
      <c r="F25" t="s">
        <v>531</v>
      </c>
    </row>
    <row r="26" spans="1:6" x14ac:dyDescent="0.25">
      <c r="A26" t="s">
        <v>4505</v>
      </c>
      <c r="B26" t="s">
        <v>4506</v>
      </c>
      <c r="C26" t="s">
        <v>4507</v>
      </c>
      <c r="D26" t="s">
        <v>0</v>
      </c>
      <c r="E26" t="s">
        <v>271</v>
      </c>
      <c r="F26" t="s">
        <v>1321</v>
      </c>
    </row>
    <row r="27" spans="1:6" x14ac:dyDescent="0.25">
      <c r="A27" t="s">
        <v>3004</v>
      </c>
      <c r="B27" t="s">
        <v>3005</v>
      </c>
      <c r="C27" t="s">
        <v>3006</v>
      </c>
      <c r="D27" t="s">
        <v>1286</v>
      </c>
      <c r="E27" t="s">
        <v>269</v>
      </c>
      <c r="F27" t="s">
        <v>1285</v>
      </c>
    </row>
    <row r="28" spans="1:6" x14ac:dyDescent="0.25">
      <c r="A28" t="s">
        <v>4508</v>
      </c>
      <c r="B28" t="s">
        <v>371</v>
      </c>
      <c r="C28" t="s">
        <v>4509</v>
      </c>
      <c r="D28" t="s">
        <v>1915</v>
      </c>
      <c r="E28" t="s">
        <v>269</v>
      </c>
      <c r="F28" t="s">
        <v>1914</v>
      </c>
    </row>
    <row r="29" spans="1:6" x14ac:dyDescent="0.25">
      <c r="A29" t="s">
        <v>4510</v>
      </c>
      <c r="B29" t="s">
        <v>4511</v>
      </c>
      <c r="C29" t="s">
        <v>4512</v>
      </c>
      <c r="D29" t="s">
        <v>616</v>
      </c>
      <c r="E29" t="s">
        <v>271</v>
      </c>
      <c r="F29" t="s">
        <v>333</v>
      </c>
    </row>
    <row r="30" spans="1:6" x14ac:dyDescent="0.25">
      <c r="A30" t="s">
        <v>4513</v>
      </c>
      <c r="B30" t="s">
        <v>4514</v>
      </c>
      <c r="C30" t="s">
        <v>4515</v>
      </c>
      <c r="D30" t="s">
        <v>651</v>
      </c>
      <c r="E30" t="s">
        <v>271</v>
      </c>
      <c r="F30" t="s">
        <v>650</v>
      </c>
    </row>
    <row r="31" spans="1:6" x14ac:dyDescent="0.25">
      <c r="A31" t="s">
        <v>2689</v>
      </c>
      <c r="B31" t="s">
        <v>2690</v>
      </c>
      <c r="C31" t="s">
        <v>2693</v>
      </c>
      <c r="D31" t="s">
        <v>2692</v>
      </c>
      <c r="E31" t="s">
        <v>269</v>
      </c>
      <c r="F31" t="s">
        <v>2691</v>
      </c>
    </row>
    <row r="32" spans="1:6" x14ac:dyDescent="0.25">
      <c r="A32" t="s">
        <v>1040</v>
      </c>
      <c r="B32" t="s">
        <v>1041</v>
      </c>
      <c r="C32" t="s">
        <v>1042</v>
      </c>
      <c r="D32" t="s">
        <v>0</v>
      </c>
      <c r="E32" t="s">
        <v>271</v>
      </c>
      <c r="F32" t="s">
        <v>323</v>
      </c>
    </row>
    <row r="33" spans="1:6" x14ac:dyDescent="0.25">
      <c r="A33" t="s">
        <v>2130</v>
      </c>
      <c r="B33" t="s">
        <v>2131</v>
      </c>
      <c r="C33" t="s">
        <v>2132</v>
      </c>
      <c r="D33" t="s">
        <v>0</v>
      </c>
      <c r="E33" t="s">
        <v>271</v>
      </c>
      <c r="F33" t="s">
        <v>355</v>
      </c>
    </row>
    <row r="34" spans="1:6" x14ac:dyDescent="0.25">
      <c r="A34" t="s">
        <v>4516</v>
      </c>
      <c r="B34" t="s">
        <v>4517</v>
      </c>
      <c r="C34" t="s">
        <v>4518</v>
      </c>
      <c r="D34" t="s">
        <v>237</v>
      </c>
      <c r="E34" t="s">
        <v>271</v>
      </c>
      <c r="F34" t="s">
        <v>427</v>
      </c>
    </row>
    <row r="35" spans="1:6" x14ac:dyDescent="0.25">
      <c r="A35" t="s">
        <v>4519</v>
      </c>
      <c r="B35" t="s">
        <v>4520</v>
      </c>
      <c r="C35" t="s">
        <v>4521</v>
      </c>
      <c r="D35" t="s">
        <v>1413</v>
      </c>
      <c r="E35" t="s">
        <v>271</v>
      </c>
      <c r="F35" t="s">
        <v>1412</v>
      </c>
    </row>
    <row r="36" spans="1:6" x14ac:dyDescent="0.25">
      <c r="A36" t="s">
        <v>4522</v>
      </c>
      <c r="B36" t="s">
        <v>4523</v>
      </c>
      <c r="C36" t="s">
        <v>4524</v>
      </c>
      <c r="D36" t="s">
        <v>402</v>
      </c>
      <c r="E36" t="s">
        <v>271</v>
      </c>
      <c r="F36" t="s">
        <v>401</v>
      </c>
    </row>
    <row r="37" spans="1:6" x14ac:dyDescent="0.25">
      <c r="A37" t="s">
        <v>4525</v>
      </c>
      <c r="B37" t="s">
        <v>4526</v>
      </c>
      <c r="C37" t="s">
        <v>4527</v>
      </c>
      <c r="D37" t="s">
        <v>1370</v>
      </c>
      <c r="E37" t="s">
        <v>271</v>
      </c>
      <c r="F37" t="s">
        <v>1369</v>
      </c>
    </row>
    <row r="38" spans="1:6" x14ac:dyDescent="0.25">
      <c r="A38" t="s">
        <v>4528</v>
      </c>
      <c r="B38" t="s">
        <v>4529</v>
      </c>
      <c r="C38" t="s">
        <v>4530</v>
      </c>
      <c r="D38" t="s">
        <v>0</v>
      </c>
      <c r="E38" t="s">
        <v>271</v>
      </c>
      <c r="F38" t="s">
        <v>4381</v>
      </c>
    </row>
    <row r="39" spans="1:6" x14ac:dyDescent="0.25">
      <c r="A39" t="s">
        <v>4531</v>
      </c>
      <c r="B39" t="s">
        <v>4532</v>
      </c>
      <c r="C39" t="s">
        <v>4533</v>
      </c>
      <c r="D39" t="s">
        <v>0</v>
      </c>
      <c r="E39" t="s">
        <v>271</v>
      </c>
      <c r="F39" t="s">
        <v>2349</v>
      </c>
    </row>
    <row r="40" spans="1:6" x14ac:dyDescent="0.25">
      <c r="A40" t="s">
        <v>4534</v>
      </c>
      <c r="B40" t="s">
        <v>4535</v>
      </c>
      <c r="C40" t="s">
        <v>4536</v>
      </c>
      <c r="D40" t="s">
        <v>0</v>
      </c>
      <c r="E40" t="s">
        <v>271</v>
      </c>
      <c r="F40" t="s">
        <v>1141</v>
      </c>
    </row>
    <row r="41" spans="1:6" x14ac:dyDescent="0.25">
      <c r="A41" t="s">
        <v>3296</v>
      </c>
      <c r="B41" t="s">
        <v>3297</v>
      </c>
      <c r="C41" t="s">
        <v>3298</v>
      </c>
      <c r="D41" t="s">
        <v>1204</v>
      </c>
      <c r="E41" t="s">
        <v>271</v>
      </c>
      <c r="F41" t="s">
        <v>1203</v>
      </c>
    </row>
    <row r="42" spans="1:6" x14ac:dyDescent="0.25">
      <c r="A42" t="s">
        <v>4537</v>
      </c>
      <c r="B42" t="s">
        <v>4538</v>
      </c>
      <c r="C42" t="s">
        <v>4539</v>
      </c>
      <c r="D42" t="s">
        <v>0</v>
      </c>
      <c r="E42" t="s">
        <v>271</v>
      </c>
      <c r="F42" t="s">
        <v>1141</v>
      </c>
    </row>
    <row r="43" spans="1:6" x14ac:dyDescent="0.25">
      <c r="A43" t="s">
        <v>4540</v>
      </c>
      <c r="B43" t="s">
        <v>1671</v>
      </c>
      <c r="C43" t="s">
        <v>4541</v>
      </c>
      <c r="D43" t="s">
        <v>237</v>
      </c>
      <c r="E43" t="s">
        <v>271</v>
      </c>
      <c r="F43" t="s">
        <v>427</v>
      </c>
    </row>
    <row r="44" spans="1:6" x14ac:dyDescent="0.25">
      <c r="A44" t="s">
        <v>4542</v>
      </c>
      <c r="B44" t="s">
        <v>4543</v>
      </c>
      <c r="C44" t="s">
        <v>4544</v>
      </c>
      <c r="D44" t="s">
        <v>0</v>
      </c>
      <c r="E44" t="s">
        <v>271</v>
      </c>
      <c r="F44" t="s">
        <v>323</v>
      </c>
    </row>
    <row r="45" spans="1:6" x14ac:dyDescent="0.25">
      <c r="A45" t="s">
        <v>4545</v>
      </c>
      <c r="B45" t="s">
        <v>4546</v>
      </c>
      <c r="C45" t="s">
        <v>4547</v>
      </c>
      <c r="D45" t="s">
        <v>357</v>
      </c>
      <c r="E45" t="s">
        <v>271</v>
      </c>
      <c r="F45" t="s">
        <v>358</v>
      </c>
    </row>
    <row r="46" spans="1:6" x14ac:dyDescent="0.25">
      <c r="A46" t="s">
        <v>4548</v>
      </c>
      <c r="B46" t="s">
        <v>4549</v>
      </c>
      <c r="C46" t="s">
        <v>4550</v>
      </c>
      <c r="D46" t="s">
        <v>1601</v>
      </c>
      <c r="E46" t="s">
        <v>269</v>
      </c>
      <c r="F46" t="s">
        <v>3126</v>
      </c>
    </row>
    <row r="47" spans="1:6" x14ac:dyDescent="0.25">
      <c r="A47" t="s">
        <v>4551</v>
      </c>
      <c r="B47" t="s">
        <v>4552</v>
      </c>
      <c r="C47" t="s">
        <v>4553</v>
      </c>
      <c r="D47" t="s">
        <v>1165</v>
      </c>
      <c r="E47" t="s">
        <v>271</v>
      </c>
      <c r="F47" t="s">
        <v>1164</v>
      </c>
    </row>
    <row r="48" spans="1:6" x14ac:dyDescent="0.25">
      <c r="A48" t="s">
        <v>4554</v>
      </c>
      <c r="B48" t="s">
        <v>4555</v>
      </c>
      <c r="C48" t="s">
        <v>4556</v>
      </c>
      <c r="D48" t="s">
        <v>272</v>
      </c>
      <c r="E48" t="s">
        <v>269</v>
      </c>
      <c r="F48" t="s">
        <v>907</v>
      </c>
    </row>
    <row r="49" spans="1:6" x14ac:dyDescent="0.25">
      <c r="A49" t="s">
        <v>4557</v>
      </c>
      <c r="B49" t="s">
        <v>4558</v>
      </c>
      <c r="C49" t="s">
        <v>4559</v>
      </c>
      <c r="D49" t="s">
        <v>453</v>
      </c>
      <c r="E49" t="s">
        <v>271</v>
      </c>
      <c r="F49" t="s">
        <v>2285</v>
      </c>
    </row>
    <row r="50" spans="1:6" x14ac:dyDescent="0.25">
      <c r="A50" t="s">
        <v>4560</v>
      </c>
      <c r="B50" t="s">
        <v>4561</v>
      </c>
      <c r="C50" t="s">
        <v>4562</v>
      </c>
      <c r="D50" t="s">
        <v>232</v>
      </c>
      <c r="E50" t="s">
        <v>271</v>
      </c>
      <c r="F50" t="s">
        <v>329</v>
      </c>
    </row>
    <row r="51" spans="1:6" x14ac:dyDescent="0.25">
      <c r="A51" t="s">
        <v>4563</v>
      </c>
      <c r="B51" t="s">
        <v>4564</v>
      </c>
      <c r="C51" t="s">
        <v>4565</v>
      </c>
      <c r="D51" t="s">
        <v>500</v>
      </c>
      <c r="E51" t="s">
        <v>271</v>
      </c>
      <c r="F51" t="s">
        <v>501</v>
      </c>
    </row>
    <row r="52" spans="1:6" x14ac:dyDescent="0.25">
      <c r="A52" t="s">
        <v>1734</v>
      </c>
      <c r="B52" t="s">
        <v>1735</v>
      </c>
      <c r="C52" t="s">
        <v>1736</v>
      </c>
      <c r="D52" t="s">
        <v>237</v>
      </c>
      <c r="E52" t="s">
        <v>271</v>
      </c>
      <c r="F52" t="s">
        <v>427</v>
      </c>
    </row>
    <row r="53" spans="1:6" x14ac:dyDescent="0.25">
      <c r="A53" t="s">
        <v>4566</v>
      </c>
      <c r="B53" t="s">
        <v>4567</v>
      </c>
      <c r="C53" t="s">
        <v>4568</v>
      </c>
      <c r="D53" t="s">
        <v>0</v>
      </c>
      <c r="E53" t="s">
        <v>271</v>
      </c>
      <c r="F53" t="s">
        <v>319</v>
      </c>
    </row>
    <row r="54" spans="1:6" x14ac:dyDescent="0.25">
      <c r="A54" t="s">
        <v>4569</v>
      </c>
      <c r="B54" t="s">
        <v>4570</v>
      </c>
      <c r="C54" t="s">
        <v>4571</v>
      </c>
      <c r="D54" t="s">
        <v>0</v>
      </c>
      <c r="E54" t="s">
        <v>271</v>
      </c>
      <c r="F54" t="s">
        <v>1115</v>
      </c>
    </row>
    <row r="55" spans="1:6" x14ac:dyDescent="0.25">
      <c r="A55" t="s">
        <v>1793</v>
      </c>
      <c r="B55" t="s">
        <v>1794</v>
      </c>
      <c r="C55" t="s">
        <v>1795</v>
      </c>
      <c r="D55" t="s">
        <v>0</v>
      </c>
      <c r="E55" t="s">
        <v>271</v>
      </c>
      <c r="F55" t="s">
        <v>325</v>
      </c>
    </row>
    <row r="56" spans="1:6" x14ac:dyDescent="0.25">
      <c r="A56" t="s">
        <v>2482</v>
      </c>
      <c r="B56" t="s">
        <v>2483</v>
      </c>
      <c r="C56" t="s">
        <v>2484</v>
      </c>
      <c r="D56" t="s">
        <v>222</v>
      </c>
      <c r="E56" t="s">
        <v>271</v>
      </c>
      <c r="F56" t="s">
        <v>313</v>
      </c>
    </row>
    <row r="57" spans="1:6" x14ac:dyDescent="0.25">
      <c r="A57" t="s">
        <v>4572</v>
      </c>
      <c r="B57" t="s">
        <v>4573</v>
      </c>
      <c r="C57" t="s">
        <v>4574</v>
      </c>
      <c r="D57" t="s">
        <v>0</v>
      </c>
      <c r="E57" t="s">
        <v>271</v>
      </c>
      <c r="F57" t="s">
        <v>1141</v>
      </c>
    </row>
    <row r="58" spans="1:6" x14ac:dyDescent="0.25">
      <c r="A58" t="s">
        <v>4575</v>
      </c>
      <c r="B58" t="s">
        <v>4576</v>
      </c>
      <c r="C58" t="s">
        <v>4577</v>
      </c>
      <c r="D58" t="s">
        <v>363</v>
      </c>
      <c r="E58" t="s">
        <v>271</v>
      </c>
      <c r="F58" t="s">
        <v>364</v>
      </c>
    </row>
    <row r="59" spans="1:6" x14ac:dyDescent="0.25">
      <c r="A59" t="s">
        <v>4578</v>
      </c>
      <c r="B59" t="s">
        <v>4579</v>
      </c>
      <c r="C59" t="s">
        <v>4580</v>
      </c>
      <c r="D59" t="s">
        <v>4581</v>
      </c>
      <c r="E59" t="s">
        <v>271</v>
      </c>
      <c r="F59" t="s">
        <v>4582</v>
      </c>
    </row>
    <row r="60" spans="1:6" x14ac:dyDescent="0.25">
      <c r="A60" t="s">
        <v>4583</v>
      </c>
      <c r="B60" t="s">
        <v>4584</v>
      </c>
      <c r="C60" t="s">
        <v>4585</v>
      </c>
      <c r="D60" t="s">
        <v>742</v>
      </c>
      <c r="E60" t="s">
        <v>271</v>
      </c>
      <c r="F60" t="s">
        <v>741</v>
      </c>
    </row>
    <row r="61" spans="1:6" x14ac:dyDescent="0.25">
      <c r="A61" t="s">
        <v>4586</v>
      </c>
      <c r="B61" t="s">
        <v>4587</v>
      </c>
      <c r="C61" t="s">
        <v>4588</v>
      </c>
      <c r="D61" t="s">
        <v>0</v>
      </c>
      <c r="E61" t="s">
        <v>271</v>
      </c>
      <c r="F61" t="s">
        <v>731</v>
      </c>
    </row>
    <row r="62" spans="1:6" x14ac:dyDescent="0.25">
      <c r="A62" t="s">
        <v>4589</v>
      </c>
      <c r="B62" t="s">
        <v>4590</v>
      </c>
      <c r="C62" t="s">
        <v>4591</v>
      </c>
      <c r="D62" t="s">
        <v>967</v>
      </c>
      <c r="E62" t="s">
        <v>271</v>
      </c>
      <c r="F62" t="s">
        <v>966</v>
      </c>
    </row>
    <row r="63" spans="1:6" x14ac:dyDescent="0.25">
      <c r="A63" t="s">
        <v>4592</v>
      </c>
      <c r="B63" t="s">
        <v>4593</v>
      </c>
      <c r="C63" t="s">
        <v>4594</v>
      </c>
      <c r="D63" t="s">
        <v>0</v>
      </c>
      <c r="E63" t="s">
        <v>271</v>
      </c>
      <c r="F63" t="s">
        <v>575</v>
      </c>
    </row>
    <row r="64" spans="1:6" x14ac:dyDescent="0.25">
      <c r="A64" t="s">
        <v>2017</v>
      </c>
      <c r="B64" t="s">
        <v>2018</v>
      </c>
      <c r="C64" t="s">
        <v>2019</v>
      </c>
      <c r="D64" t="s">
        <v>0</v>
      </c>
      <c r="E64" t="s">
        <v>271</v>
      </c>
      <c r="F64" t="s">
        <v>436</v>
      </c>
    </row>
    <row r="65" spans="1:6" x14ac:dyDescent="0.25">
      <c r="A65" t="s">
        <v>4595</v>
      </c>
      <c r="B65" t="s">
        <v>4596</v>
      </c>
      <c r="C65" t="s">
        <v>4597</v>
      </c>
      <c r="D65" t="s">
        <v>453</v>
      </c>
      <c r="E65" t="s">
        <v>271</v>
      </c>
      <c r="F65" t="s">
        <v>454</v>
      </c>
    </row>
    <row r="66" spans="1:6" x14ac:dyDescent="0.25">
      <c r="A66" t="s">
        <v>4598</v>
      </c>
      <c r="B66" t="s">
        <v>4599</v>
      </c>
      <c r="C66" t="s">
        <v>4600</v>
      </c>
      <c r="D66" t="s">
        <v>2205</v>
      </c>
      <c r="E66" t="s">
        <v>269</v>
      </c>
      <c r="F66" t="s">
        <v>2204</v>
      </c>
    </row>
    <row r="67" spans="1:6" x14ac:dyDescent="0.25">
      <c r="A67" t="s">
        <v>4601</v>
      </c>
      <c r="B67" t="s">
        <v>4602</v>
      </c>
      <c r="C67" t="s">
        <v>4603</v>
      </c>
      <c r="D67" t="s">
        <v>340</v>
      </c>
      <c r="E67" t="s">
        <v>271</v>
      </c>
      <c r="F67" t="s">
        <v>317</v>
      </c>
    </row>
    <row r="68" spans="1:6" x14ac:dyDescent="0.25">
      <c r="A68" t="s">
        <v>4604</v>
      </c>
      <c r="B68" t="s">
        <v>4605</v>
      </c>
      <c r="C68" t="s">
        <v>4606</v>
      </c>
      <c r="D68" t="s">
        <v>2697</v>
      </c>
      <c r="E68" t="s">
        <v>271</v>
      </c>
      <c r="F68" t="s">
        <v>2696</v>
      </c>
    </row>
    <row r="69" spans="1:6" x14ac:dyDescent="0.25">
      <c r="A69" t="s">
        <v>4607</v>
      </c>
      <c r="B69" t="s">
        <v>4608</v>
      </c>
      <c r="C69" t="s">
        <v>4609</v>
      </c>
      <c r="D69" t="s">
        <v>402</v>
      </c>
      <c r="E69" t="s">
        <v>271</v>
      </c>
      <c r="F69" t="s">
        <v>401</v>
      </c>
    </row>
    <row r="70" spans="1:6" x14ac:dyDescent="0.25">
      <c r="A70" t="s">
        <v>4610</v>
      </c>
      <c r="B70" t="s">
        <v>4611</v>
      </c>
      <c r="C70" t="s">
        <v>4612</v>
      </c>
      <c r="D70" t="s">
        <v>1915</v>
      </c>
      <c r="E70" t="s">
        <v>269</v>
      </c>
      <c r="F70" t="s">
        <v>1914</v>
      </c>
    </row>
    <row r="71" spans="1:6" x14ac:dyDescent="0.25">
      <c r="A71" t="s">
        <v>4613</v>
      </c>
      <c r="B71" t="s">
        <v>4614</v>
      </c>
      <c r="C71" t="s">
        <v>521</v>
      </c>
      <c r="D71" t="s">
        <v>408</v>
      </c>
      <c r="E71" t="s">
        <v>341</v>
      </c>
      <c r="F71" t="s">
        <v>322</v>
      </c>
    </row>
    <row r="72" spans="1:6" x14ac:dyDescent="0.25">
      <c r="A72" t="s">
        <v>4615</v>
      </c>
      <c r="B72" t="s">
        <v>4616</v>
      </c>
      <c r="C72" t="s">
        <v>4617</v>
      </c>
      <c r="D72" t="s">
        <v>817</v>
      </c>
      <c r="E72" t="s">
        <v>271</v>
      </c>
      <c r="F72" t="s">
        <v>816</v>
      </c>
    </row>
    <row r="73" spans="1:6" x14ac:dyDescent="0.25">
      <c r="A73" t="s">
        <v>4618</v>
      </c>
      <c r="B73" t="s">
        <v>4619</v>
      </c>
      <c r="C73" t="s">
        <v>4620</v>
      </c>
      <c r="D73" t="s">
        <v>0</v>
      </c>
      <c r="E73" t="s">
        <v>271</v>
      </c>
      <c r="F73" t="s">
        <v>1148</v>
      </c>
    </row>
    <row r="74" spans="1:6" x14ac:dyDescent="0.25">
      <c r="A74" t="s">
        <v>4621</v>
      </c>
      <c r="B74" t="s">
        <v>4622</v>
      </c>
      <c r="C74" t="s">
        <v>4623</v>
      </c>
      <c r="D74" t="s">
        <v>0</v>
      </c>
      <c r="E74" t="s">
        <v>271</v>
      </c>
      <c r="F74" t="s">
        <v>436</v>
      </c>
    </row>
    <row r="75" spans="1:6" x14ac:dyDescent="0.25">
      <c r="A75" t="s">
        <v>4624</v>
      </c>
      <c r="B75" t="s">
        <v>4625</v>
      </c>
      <c r="C75" t="s">
        <v>4626</v>
      </c>
      <c r="D75" t="s">
        <v>0</v>
      </c>
      <c r="E75" t="s">
        <v>271</v>
      </c>
      <c r="F75" t="s">
        <v>355</v>
      </c>
    </row>
    <row r="76" spans="1:6" x14ac:dyDescent="0.25">
      <c r="A76" t="s">
        <v>4627</v>
      </c>
      <c r="B76" t="s">
        <v>4628</v>
      </c>
      <c r="C76" t="s">
        <v>4629</v>
      </c>
      <c r="D76" t="s">
        <v>0</v>
      </c>
      <c r="E76" t="s">
        <v>271</v>
      </c>
      <c r="F76" t="s">
        <v>575</v>
      </c>
    </row>
    <row r="77" spans="1:6" x14ac:dyDescent="0.25">
      <c r="A77" t="s">
        <v>4630</v>
      </c>
      <c r="B77" t="s">
        <v>4631</v>
      </c>
      <c r="C77" t="s">
        <v>4632</v>
      </c>
      <c r="D77" t="s">
        <v>440</v>
      </c>
      <c r="E77" t="s">
        <v>271</v>
      </c>
      <c r="F77" t="s">
        <v>441</v>
      </c>
    </row>
    <row r="78" spans="1:6" x14ac:dyDescent="0.25">
      <c r="A78" t="s">
        <v>4633</v>
      </c>
      <c r="B78" t="s">
        <v>4634</v>
      </c>
      <c r="C78" t="s">
        <v>4635</v>
      </c>
      <c r="D78" t="s">
        <v>4636</v>
      </c>
      <c r="E78" t="s">
        <v>271</v>
      </c>
      <c r="F78" t="s">
        <v>4423</v>
      </c>
    </row>
    <row r="79" spans="1:6" x14ac:dyDescent="0.25">
      <c r="A79" t="s">
        <v>4637</v>
      </c>
      <c r="B79" t="s">
        <v>4638</v>
      </c>
      <c r="C79" t="s">
        <v>4639</v>
      </c>
      <c r="D79" t="s">
        <v>2146</v>
      </c>
      <c r="E79" t="s">
        <v>271</v>
      </c>
      <c r="F79" t="s">
        <v>844</v>
      </c>
    </row>
    <row r="80" spans="1:6" x14ac:dyDescent="0.25">
      <c r="A80" t="s">
        <v>2539</v>
      </c>
      <c r="B80" t="s">
        <v>2540</v>
      </c>
      <c r="C80" t="s">
        <v>2541</v>
      </c>
      <c r="D80" t="s">
        <v>822</v>
      </c>
      <c r="E80" t="s">
        <v>269</v>
      </c>
      <c r="F80" t="s">
        <v>821</v>
      </c>
    </row>
    <row r="81" spans="1:6" x14ac:dyDescent="0.25">
      <c r="A81" t="s">
        <v>4640</v>
      </c>
      <c r="B81" t="s">
        <v>4641</v>
      </c>
      <c r="C81" t="s">
        <v>4642</v>
      </c>
      <c r="D81" t="s">
        <v>1791</v>
      </c>
      <c r="E81" t="s">
        <v>271</v>
      </c>
      <c r="F81" t="s">
        <v>1790</v>
      </c>
    </row>
    <row r="82" spans="1:6" x14ac:dyDescent="0.25">
      <c r="A82" t="s">
        <v>4643</v>
      </c>
      <c r="B82" t="s">
        <v>4644</v>
      </c>
      <c r="C82" t="s">
        <v>4645</v>
      </c>
      <c r="D82" t="s">
        <v>540</v>
      </c>
      <c r="E82" t="s">
        <v>271</v>
      </c>
      <c r="F82" t="s">
        <v>339</v>
      </c>
    </row>
    <row r="83" spans="1:6" x14ac:dyDescent="0.25">
      <c r="A83" t="s">
        <v>4646</v>
      </c>
      <c r="B83" t="s">
        <v>4647</v>
      </c>
      <c r="C83" t="s">
        <v>4648</v>
      </c>
      <c r="D83" t="s">
        <v>4649</v>
      </c>
      <c r="E83" t="s">
        <v>271</v>
      </c>
      <c r="F83" t="s">
        <v>4436</v>
      </c>
    </row>
    <row r="84" spans="1:6" x14ac:dyDescent="0.25">
      <c r="A84" t="s">
        <v>4650</v>
      </c>
      <c r="B84" t="s">
        <v>4651</v>
      </c>
      <c r="C84" t="s">
        <v>4652</v>
      </c>
      <c r="D84" t="s">
        <v>2024</v>
      </c>
      <c r="E84" t="s">
        <v>271</v>
      </c>
      <c r="F84" t="s">
        <v>428</v>
      </c>
    </row>
    <row r="85" spans="1:6" x14ac:dyDescent="0.25">
      <c r="A85" t="s">
        <v>4653</v>
      </c>
      <c r="B85" t="s">
        <v>4654</v>
      </c>
      <c r="C85" t="s">
        <v>4655</v>
      </c>
      <c r="D85" t="s">
        <v>0</v>
      </c>
      <c r="E85" t="s">
        <v>271</v>
      </c>
      <c r="F85" t="s">
        <v>319</v>
      </c>
    </row>
    <row r="86" spans="1:6" x14ac:dyDescent="0.25">
      <c r="A86" t="s">
        <v>4656</v>
      </c>
      <c r="B86" t="s">
        <v>4657</v>
      </c>
      <c r="C86" t="s">
        <v>4658</v>
      </c>
      <c r="D86" t="s">
        <v>0</v>
      </c>
      <c r="E86" t="s">
        <v>271</v>
      </c>
      <c r="F86" t="s">
        <v>356</v>
      </c>
    </row>
    <row r="87" spans="1:6" x14ac:dyDescent="0.25">
      <c r="A87" t="s">
        <v>4659</v>
      </c>
      <c r="B87" t="s">
        <v>4660</v>
      </c>
      <c r="C87" t="s">
        <v>4661</v>
      </c>
      <c r="D87" t="s">
        <v>0</v>
      </c>
      <c r="E87" t="s">
        <v>271</v>
      </c>
      <c r="F87" t="s">
        <v>319</v>
      </c>
    </row>
    <row r="88" spans="1:6" x14ac:dyDescent="0.25">
      <c r="A88" t="s">
        <v>4662</v>
      </c>
      <c r="B88" t="s">
        <v>4663</v>
      </c>
      <c r="C88" t="s">
        <v>4664</v>
      </c>
      <c r="D88" t="s">
        <v>239</v>
      </c>
      <c r="E88" t="s">
        <v>271</v>
      </c>
      <c r="F88" t="s">
        <v>544</v>
      </c>
    </row>
    <row r="89" spans="1:6" x14ac:dyDescent="0.25">
      <c r="A89" t="s">
        <v>2445</v>
      </c>
      <c r="B89" t="s">
        <v>2446</v>
      </c>
      <c r="C89" t="s">
        <v>2448</v>
      </c>
      <c r="D89" t="s">
        <v>0</v>
      </c>
      <c r="E89" t="s">
        <v>271</v>
      </c>
      <c r="F89" t="s">
        <v>2447</v>
      </c>
    </row>
    <row r="90" spans="1:6" x14ac:dyDescent="0.25">
      <c r="A90" t="s">
        <v>2434</v>
      </c>
      <c r="B90" t="s">
        <v>2435</v>
      </c>
      <c r="C90" t="s">
        <v>2436</v>
      </c>
      <c r="D90" t="s">
        <v>1559</v>
      </c>
      <c r="E90" t="s">
        <v>271</v>
      </c>
      <c r="F90" t="s">
        <v>1558</v>
      </c>
    </row>
    <row r="91" spans="1:6" x14ac:dyDescent="0.25">
      <c r="A91" t="s">
        <v>4665</v>
      </c>
      <c r="B91" t="s">
        <v>4666</v>
      </c>
      <c r="C91" t="s">
        <v>4667</v>
      </c>
      <c r="D91" t="s">
        <v>2024</v>
      </c>
      <c r="E91" t="s">
        <v>271</v>
      </c>
      <c r="F91" t="s">
        <v>428</v>
      </c>
    </row>
    <row r="92" spans="1:6" x14ac:dyDescent="0.25">
      <c r="A92" t="s">
        <v>4668</v>
      </c>
      <c r="B92" t="s">
        <v>4669</v>
      </c>
      <c r="C92" t="s">
        <v>4670</v>
      </c>
      <c r="D92" t="s">
        <v>0</v>
      </c>
      <c r="E92" t="s">
        <v>271</v>
      </c>
      <c r="F92" t="s">
        <v>4437</v>
      </c>
    </row>
    <row r="93" spans="1:6" x14ac:dyDescent="0.25">
      <c r="A93" t="s">
        <v>2303</v>
      </c>
      <c r="B93" t="s">
        <v>2304</v>
      </c>
      <c r="C93" t="s">
        <v>2305</v>
      </c>
      <c r="D93" t="s">
        <v>498</v>
      </c>
      <c r="E93" t="s">
        <v>271</v>
      </c>
      <c r="F93" t="s">
        <v>926</v>
      </c>
    </row>
    <row r="94" spans="1:6" x14ac:dyDescent="0.25">
      <c r="A94" t="s">
        <v>4671</v>
      </c>
      <c r="B94" t="s">
        <v>4672</v>
      </c>
      <c r="C94" t="s">
        <v>4673</v>
      </c>
      <c r="D94" t="s">
        <v>0</v>
      </c>
      <c r="E94" t="s">
        <v>271</v>
      </c>
      <c r="F94" t="s">
        <v>785</v>
      </c>
    </row>
    <row r="95" spans="1:6" x14ac:dyDescent="0.25">
      <c r="A95" t="s">
        <v>4674</v>
      </c>
      <c r="B95" t="s">
        <v>4675</v>
      </c>
      <c r="C95" t="s">
        <v>4676</v>
      </c>
      <c r="D95" t="s">
        <v>0</v>
      </c>
      <c r="E95" t="s">
        <v>271</v>
      </c>
      <c r="F95" t="s">
        <v>1225</v>
      </c>
    </row>
    <row r="96" spans="1:6" x14ac:dyDescent="0.25">
      <c r="A96" t="s">
        <v>4677</v>
      </c>
      <c r="B96" t="s">
        <v>4678</v>
      </c>
      <c r="C96" t="s">
        <v>4679</v>
      </c>
      <c r="D96" t="s">
        <v>239</v>
      </c>
      <c r="E96" t="s">
        <v>271</v>
      </c>
      <c r="F96" t="s">
        <v>544</v>
      </c>
    </row>
    <row r="97" spans="1:6" x14ac:dyDescent="0.25">
      <c r="A97" t="s">
        <v>1308</v>
      </c>
      <c r="B97" t="s">
        <v>1309</v>
      </c>
      <c r="C97" t="s">
        <v>1310</v>
      </c>
      <c r="D97" t="s">
        <v>0</v>
      </c>
      <c r="E97" t="s">
        <v>271</v>
      </c>
      <c r="F97" t="s">
        <v>785</v>
      </c>
    </row>
    <row r="98" spans="1:6" x14ac:dyDescent="0.25">
      <c r="A98" t="s">
        <v>4680</v>
      </c>
      <c r="B98" t="s">
        <v>4681</v>
      </c>
      <c r="C98" t="s">
        <v>4682</v>
      </c>
      <c r="D98" t="s">
        <v>793</v>
      </c>
      <c r="E98" t="s">
        <v>271</v>
      </c>
      <c r="F98" t="s">
        <v>860</v>
      </c>
    </row>
    <row r="99" spans="1:6" x14ac:dyDescent="0.25">
      <c r="A99" t="s">
        <v>4683</v>
      </c>
      <c r="B99" t="s">
        <v>4684</v>
      </c>
      <c r="C99" t="s">
        <v>4685</v>
      </c>
      <c r="D99" t="s">
        <v>4470</v>
      </c>
      <c r="E99" t="s">
        <v>271</v>
      </c>
      <c r="F99" t="s">
        <v>4426</v>
      </c>
    </row>
    <row r="100" spans="1:6" x14ac:dyDescent="0.25">
      <c r="A100" t="s">
        <v>4686</v>
      </c>
      <c r="B100" t="s">
        <v>4687</v>
      </c>
      <c r="C100" t="s">
        <v>4688</v>
      </c>
      <c r="D100" t="s">
        <v>0</v>
      </c>
      <c r="E100" t="s">
        <v>271</v>
      </c>
      <c r="F100" t="s">
        <v>1011</v>
      </c>
    </row>
    <row r="101" spans="1:6" x14ac:dyDescent="0.25">
      <c r="A101" t="s">
        <v>4689</v>
      </c>
      <c r="B101" t="s">
        <v>4690</v>
      </c>
      <c r="C101" t="s">
        <v>4691</v>
      </c>
      <c r="D101" t="s">
        <v>1806</v>
      </c>
      <c r="E101" t="s">
        <v>271</v>
      </c>
      <c r="F101" t="s">
        <v>1805</v>
      </c>
    </row>
    <row r="102" spans="1:6" x14ac:dyDescent="0.25">
      <c r="A102" t="s">
        <v>686</v>
      </c>
      <c r="B102" t="s">
        <v>687</v>
      </c>
      <c r="C102" t="s">
        <v>689</v>
      </c>
      <c r="D102" t="s">
        <v>0</v>
      </c>
      <c r="E102" t="s">
        <v>271</v>
      </c>
      <c r="F102" t="s">
        <v>688</v>
      </c>
    </row>
    <row r="103" spans="1:6" x14ac:dyDescent="0.25">
      <c r="A103" t="s">
        <v>664</v>
      </c>
      <c r="B103" t="s">
        <v>665</v>
      </c>
      <c r="C103" t="s">
        <v>669</v>
      </c>
      <c r="D103" t="s">
        <v>668</v>
      </c>
      <c r="E103" t="s">
        <v>271</v>
      </c>
      <c r="F103" t="s">
        <v>667</v>
      </c>
    </row>
    <row r="104" spans="1:6" x14ac:dyDescent="0.25">
      <c r="A104" t="s">
        <v>4692</v>
      </c>
      <c r="B104" t="s">
        <v>4693</v>
      </c>
      <c r="C104" t="s">
        <v>4694</v>
      </c>
      <c r="D104" t="s">
        <v>986</v>
      </c>
      <c r="E104" t="s">
        <v>271</v>
      </c>
      <c r="F104" t="s">
        <v>985</v>
      </c>
    </row>
    <row r="105" spans="1:6" x14ac:dyDescent="0.25">
      <c r="A105" t="s">
        <v>4695</v>
      </c>
      <c r="B105" t="s">
        <v>4696</v>
      </c>
      <c r="C105" t="s">
        <v>4697</v>
      </c>
      <c r="D105" t="s">
        <v>222</v>
      </c>
      <c r="E105" t="s">
        <v>271</v>
      </c>
      <c r="F105" t="s">
        <v>4414</v>
      </c>
    </row>
    <row r="106" spans="1:6" x14ac:dyDescent="0.25">
      <c r="A106" t="s">
        <v>4698</v>
      </c>
      <c r="B106" t="s">
        <v>4699</v>
      </c>
      <c r="C106" t="s">
        <v>4700</v>
      </c>
      <c r="D106" t="s">
        <v>363</v>
      </c>
      <c r="E106" t="s">
        <v>271</v>
      </c>
      <c r="F106" t="s">
        <v>364</v>
      </c>
    </row>
    <row r="107" spans="1:6" x14ac:dyDescent="0.25">
      <c r="A107" t="s">
        <v>4701</v>
      </c>
      <c r="B107" t="s">
        <v>4702</v>
      </c>
      <c r="C107" t="s">
        <v>4703</v>
      </c>
      <c r="D107" t="s">
        <v>2488</v>
      </c>
      <c r="E107" t="s">
        <v>269</v>
      </c>
      <c r="F107" t="s">
        <v>4397</v>
      </c>
    </row>
    <row r="108" spans="1:6" x14ac:dyDescent="0.25">
      <c r="A108" t="s">
        <v>4704</v>
      </c>
      <c r="B108" t="s">
        <v>4705</v>
      </c>
      <c r="C108" t="s">
        <v>4706</v>
      </c>
      <c r="D108" t="s">
        <v>1297</v>
      </c>
      <c r="E108" t="s">
        <v>271</v>
      </c>
      <c r="F108" t="s">
        <v>996</v>
      </c>
    </row>
    <row r="109" spans="1:6" x14ac:dyDescent="0.25">
      <c r="A109" t="s">
        <v>4707</v>
      </c>
      <c r="B109" t="s">
        <v>4708</v>
      </c>
      <c r="C109" t="s">
        <v>4709</v>
      </c>
      <c r="D109" t="s">
        <v>1165</v>
      </c>
      <c r="E109" t="s">
        <v>271</v>
      </c>
      <c r="F109" t="s">
        <v>1402</v>
      </c>
    </row>
    <row r="110" spans="1:6" x14ac:dyDescent="0.25">
      <c r="A110" t="s">
        <v>4710</v>
      </c>
      <c r="B110" t="s">
        <v>4711</v>
      </c>
      <c r="C110" t="s">
        <v>4712</v>
      </c>
      <c r="D110" t="s">
        <v>2093</v>
      </c>
      <c r="E110" t="s">
        <v>271</v>
      </c>
      <c r="F110" t="s">
        <v>1058</v>
      </c>
    </row>
    <row r="111" spans="1:6" x14ac:dyDescent="0.25">
      <c r="A111" t="s">
        <v>4713</v>
      </c>
      <c r="B111" t="s">
        <v>4714</v>
      </c>
      <c r="C111" t="s">
        <v>4715</v>
      </c>
      <c r="D111" t="s">
        <v>482</v>
      </c>
      <c r="E111" t="s">
        <v>271</v>
      </c>
      <c r="F111" t="s">
        <v>483</v>
      </c>
    </row>
    <row r="112" spans="1:6" x14ac:dyDescent="0.25">
      <c r="A112" t="s">
        <v>3019</v>
      </c>
      <c r="B112" t="s">
        <v>3020</v>
      </c>
      <c r="C112" t="s">
        <v>3023</v>
      </c>
      <c r="D112" t="s">
        <v>3022</v>
      </c>
      <c r="E112" t="s">
        <v>271</v>
      </c>
      <c r="F112" t="s">
        <v>3021</v>
      </c>
    </row>
    <row r="113" spans="1:6" x14ac:dyDescent="0.25">
      <c r="A113" t="s">
        <v>2728</v>
      </c>
      <c r="B113" t="s">
        <v>2729</v>
      </c>
      <c r="C113" t="s">
        <v>2730</v>
      </c>
      <c r="D113" t="s">
        <v>1542</v>
      </c>
      <c r="E113" t="s">
        <v>269</v>
      </c>
      <c r="F113" t="s">
        <v>1541</v>
      </c>
    </row>
    <row r="114" spans="1:6" x14ac:dyDescent="0.25">
      <c r="A114" t="s">
        <v>4716</v>
      </c>
      <c r="B114" t="s">
        <v>4717</v>
      </c>
      <c r="C114" t="s">
        <v>534</v>
      </c>
      <c r="D114" t="s">
        <v>0</v>
      </c>
      <c r="E114" t="s">
        <v>271</v>
      </c>
      <c r="F114" t="s">
        <v>332</v>
      </c>
    </row>
    <row r="115" spans="1:6" x14ac:dyDescent="0.25">
      <c r="A115" t="s">
        <v>701</v>
      </c>
      <c r="B115" t="s">
        <v>702</v>
      </c>
      <c r="C115" t="s">
        <v>705</v>
      </c>
      <c r="D115" t="s">
        <v>0</v>
      </c>
      <c r="E115" t="s">
        <v>271</v>
      </c>
      <c r="F115" t="s">
        <v>704</v>
      </c>
    </row>
    <row r="116" spans="1:6" x14ac:dyDescent="0.25">
      <c r="A116" t="s">
        <v>4718</v>
      </c>
      <c r="B116" t="s">
        <v>4719</v>
      </c>
      <c r="C116" t="s">
        <v>559</v>
      </c>
      <c r="D116" t="s">
        <v>519</v>
      </c>
      <c r="E116" t="s">
        <v>271</v>
      </c>
      <c r="F116" t="s">
        <v>324</v>
      </c>
    </row>
    <row r="117" spans="1:6" x14ac:dyDescent="0.25">
      <c r="A117" t="s">
        <v>4720</v>
      </c>
      <c r="B117" t="s">
        <v>4721</v>
      </c>
      <c r="C117" t="s">
        <v>4722</v>
      </c>
      <c r="D117" t="s">
        <v>0</v>
      </c>
      <c r="E117" t="s">
        <v>271</v>
      </c>
      <c r="F117" t="s">
        <v>356</v>
      </c>
    </row>
    <row r="118" spans="1:6" x14ac:dyDescent="0.25">
      <c r="A118" t="s">
        <v>4723</v>
      </c>
      <c r="B118" t="s">
        <v>4724</v>
      </c>
      <c r="C118" t="s">
        <v>4725</v>
      </c>
      <c r="D118" t="s">
        <v>0</v>
      </c>
      <c r="E118" t="s">
        <v>271</v>
      </c>
      <c r="F118" t="s">
        <v>1148</v>
      </c>
    </row>
    <row r="119" spans="1:6" x14ac:dyDescent="0.25">
      <c r="A119" t="s">
        <v>4726</v>
      </c>
      <c r="B119" t="s">
        <v>4727</v>
      </c>
      <c r="C119" t="s">
        <v>4728</v>
      </c>
      <c r="D119" t="s">
        <v>2681</v>
      </c>
      <c r="E119" t="s">
        <v>271</v>
      </c>
      <c r="F119" t="s">
        <v>2680</v>
      </c>
    </row>
    <row r="120" spans="1:6" x14ac:dyDescent="0.25">
      <c r="A120" t="s">
        <v>4729</v>
      </c>
      <c r="B120" t="s">
        <v>4730</v>
      </c>
      <c r="C120" t="s">
        <v>4731</v>
      </c>
      <c r="D120" t="s">
        <v>0</v>
      </c>
      <c r="E120" t="s">
        <v>271</v>
      </c>
      <c r="F120" t="s">
        <v>431</v>
      </c>
    </row>
    <row r="121" spans="1:6" x14ac:dyDescent="0.25">
      <c r="A121" t="s">
        <v>2133</v>
      </c>
      <c r="B121" t="s">
        <v>2134</v>
      </c>
      <c r="C121" t="s">
        <v>2135</v>
      </c>
      <c r="D121" t="s">
        <v>578</v>
      </c>
      <c r="E121" t="s">
        <v>271</v>
      </c>
      <c r="F121" t="s">
        <v>321</v>
      </c>
    </row>
    <row r="122" spans="1:6" x14ac:dyDescent="0.25">
      <c r="A122" t="s">
        <v>4732</v>
      </c>
      <c r="B122" t="s">
        <v>4733</v>
      </c>
      <c r="C122" t="s">
        <v>4734</v>
      </c>
      <c r="D122" t="s">
        <v>314</v>
      </c>
      <c r="E122" t="s">
        <v>271</v>
      </c>
      <c r="F122" t="s">
        <v>370</v>
      </c>
    </row>
    <row r="123" spans="1:6" x14ac:dyDescent="0.25">
      <c r="A123" t="s">
        <v>4735</v>
      </c>
      <c r="B123" t="s">
        <v>4736</v>
      </c>
      <c r="C123" t="s">
        <v>4737</v>
      </c>
      <c r="D123" t="s">
        <v>1337</v>
      </c>
      <c r="E123" t="s">
        <v>271</v>
      </c>
      <c r="F123" t="s">
        <v>1336</v>
      </c>
    </row>
    <row r="124" spans="1:6" x14ac:dyDescent="0.25">
      <c r="A124" t="s">
        <v>4738</v>
      </c>
      <c r="B124" t="s">
        <v>4739</v>
      </c>
      <c r="C124" t="s">
        <v>4740</v>
      </c>
      <c r="D124" t="s">
        <v>0</v>
      </c>
      <c r="E124" t="s">
        <v>271</v>
      </c>
      <c r="F124" t="s">
        <v>356</v>
      </c>
    </row>
    <row r="125" spans="1:6" x14ac:dyDescent="0.25">
      <c r="A125" t="s">
        <v>4741</v>
      </c>
      <c r="B125" t="s">
        <v>4742</v>
      </c>
      <c r="C125" t="s">
        <v>4743</v>
      </c>
      <c r="D125" t="s">
        <v>0</v>
      </c>
      <c r="E125" t="s">
        <v>271</v>
      </c>
      <c r="F125" t="s">
        <v>2641</v>
      </c>
    </row>
    <row r="126" spans="1:6" x14ac:dyDescent="0.25">
      <c r="A126" t="s">
        <v>2823</v>
      </c>
      <c r="B126" t="s">
        <v>2824</v>
      </c>
      <c r="C126" t="s">
        <v>2825</v>
      </c>
      <c r="D126" t="s">
        <v>472</v>
      </c>
      <c r="E126" t="s">
        <v>271</v>
      </c>
      <c r="F126" t="s">
        <v>318</v>
      </c>
    </row>
    <row r="127" spans="1:6" x14ac:dyDescent="0.25">
      <c r="A127" t="s">
        <v>947</v>
      </c>
      <c r="B127" t="s">
        <v>948</v>
      </c>
      <c r="C127" t="s">
        <v>949</v>
      </c>
      <c r="D127" t="s">
        <v>0</v>
      </c>
      <c r="E127" t="s">
        <v>271</v>
      </c>
      <c r="F127" t="s">
        <v>436</v>
      </c>
    </row>
    <row r="128" spans="1:6" x14ac:dyDescent="0.25">
      <c r="A128" t="s">
        <v>780</v>
      </c>
      <c r="B128" t="s">
        <v>781</v>
      </c>
      <c r="C128" t="s">
        <v>782</v>
      </c>
      <c r="D128" t="s">
        <v>0</v>
      </c>
      <c r="E128" t="s">
        <v>271</v>
      </c>
      <c r="F128" t="s">
        <v>325</v>
      </c>
    </row>
    <row r="129" spans="1:6" x14ac:dyDescent="0.25">
      <c r="A129" t="s">
        <v>4744</v>
      </c>
      <c r="B129" t="s">
        <v>4745</v>
      </c>
      <c r="C129" t="s">
        <v>4746</v>
      </c>
      <c r="D129" t="s">
        <v>0</v>
      </c>
      <c r="E129" t="s">
        <v>271</v>
      </c>
      <c r="F129" t="s">
        <v>2349</v>
      </c>
    </row>
    <row r="130" spans="1:6" x14ac:dyDescent="0.25">
      <c r="A130" t="s">
        <v>4747</v>
      </c>
      <c r="B130" t="s">
        <v>4748</v>
      </c>
      <c r="C130" t="s">
        <v>4749</v>
      </c>
      <c r="D130" t="s">
        <v>1199</v>
      </c>
      <c r="E130" t="s">
        <v>271</v>
      </c>
      <c r="F130" t="s">
        <v>1198</v>
      </c>
    </row>
    <row r="131" spans="1:6" x14ac:dyDescent="0.25">
      <c r="A131" t="s">
        <v>4750</v>
      </c>
      <c r="B131" t="s">
        <v>4751</v>
      </c>
      <c r="C131" t="s">
        <v>4752</v>
      </c>
      <c r="D131" t="s">
        <v>2681</v>
      </c>
      <c r="E131" t="s">
        <v>271</v>
      </c>
      <c r="F131" t="s">
        <v>2680</v>
      </c>
    </row>
    <row r="132" spans="1:6" x14ac:dyDescent="0.25">
      <c r="A132" t="s">
        <v>4753</v>
      </c>
      <c r="B132" t="s">
        <v>4754</v>
      </c>
      <c r="C132" t="s">
        <v>4755</v>
      </c>
      <c r="D132" t="s">
        <v>0</v>
      </c>
      <c r="E132" t="s">
        <v>271</v>
      </c>
      <c r="F132" t="s">
        <v>323</v>
      </c>
    </row>
    <row r="133" spans="1:6" x14ac:dyDescent="0.25">
      <c r="A133" t="s">
        <v>4756</v>
      </c>
      <c r="B133" t="s">
        <v>4757</v>
      </c>
      <c r="C133" t="s">
        <v>4758</v>
      </c>
      <c r="D133" t="s">
        <v>503</v>
      </c>
      <c r="E133" t="s">
        <v>271</v>
      </c>
      <c r="F133" t="s">
        <v>504</v>
      </c>
    </row>
    <row r="134" spans="1:6" x14ac:dyDescent="0.25">
      <c r="A134" t="s">
        <v>4759</v>
      </c>
      <c r="B134" t="s">
        <v>4760</v>
      </c>
      <c r="C134" t="s">
        <v>4761</v>
      </c>
      <c r="D134" t="s">
        <v>0</v>
      </c>
      <c r="E134" t="s">
        <v>271</v>
      </c>
      <c r="F134" t="s">
        <v>3672</v>
      </c>
    </row>
    <row r="135" spans="1:6" x14ac:dyDescent="0.25">
      <c r="A135" t="s">
        <v>4762</v>
      </c>
      <c r="B135" t="s">
        <v>4763</v>
      </c>
      <c r="C135" t="s">
        <v>4764</v>
      </c>
      <c r="D135" t="s">
        <v>506</v>
      </c>
      <c r="E135" t="s">
        <v>271</v>
      </c>
      <c r="F135" t="s">
        <v>507</v>
      </c>
    </row>
    <row r="136" spans="1:6" x14ac:dyDescent="0.25">
      <c r="A136" t="s">
        <v>4765</v>
      </c>
      <c r="B136" t="s">
        <v>4766</v>
      </c>
      <c r="C136" t="s">
        <v>4767</v>
      </c>
      <c r="D136" t="s">
        <v>1848</v>
      </c>
      <c r="E136" t="s">
        <v>269</v>
      </c>
      <c r="F136" t="s">
        <v>1847</v>
      </c>
    </row>
    <row r="137" spans="1:6" x14ac:dyDescent="0.25">
      <c r="A137" t="s">
        <v>3213</v>
      </c>
      <c r="B137" t="s">
        <v>240</v>
      </c>
      <c r="C137" t="s">
        <v>3214</v>
      </c>
      <c r="D137" t="s">
        <v>519</v>
      </c>
      <c r="E137" t="s">
        <v>271</v>
      </c>
      <c r="F137" t="s">
        <v>324</v>
      </c>
    </row>
    <row r="138" spans="1:6" x14ac:dyDescent="0.25">
      <c r="A138" t="s">
        <v>4768</v>
      </c>
      <c r="B138" t="s">
        <v>4769</v>
      </c>
      <c r="C138" t="s">
        <v>4770</v>
      </c>
      <c r="D138" t="s">
        <v>1925</v>
      </c>
      <c r="E138" t="s">
        <v>271</v>
      </c>
      <c r="F138" t="s">
        <v>1924</v>
      </c>
    </row>
    <row r="139" spans="1:6" x14ac:dyDescent="0.25">
      <c r="A139" t="s">
        <v>4771</v>
      </c>
      <c r="B139" t="s">
        <v>4772</v>
      </c>
      <c r="C139" t="s">
        <v>4773</v>
      </c>
      <c r="D139" t="s">
        <v>2265</v>
      </c>
      <c r="E139" t="s">
        <v>271</v>
      </c>
      <c r="F139" t="s">
        <v>2264</v>
      </c>
    </row>
    <row r="140" spans="1:6" x14ac:dyDescent="0.25">
      <c r="A140" t="s">
        <v>4774</v>
      </c>
      <c r="B140" t="s">
        <v>4775</v>
      </c>
      <c r="C140" t="s">
        <v>4776</v>
      </c>
      <c r="D140" t="s">
        <v>1019</v>
      </c>
      <c r="E140" t="s">
        <v>271</v>
      </c>
      <c r="F140" t="s">
        <v>1018</v>
      </c>
    </row>
    <row r="141" spans="1:6" x14ac:dyDescent="0.25">
      <c r="A141" t="s">
        <v>4777</v>
      </c>
      <c r="B141" t="s">
        <v>4778</v>
      </c>
      <c r="C141" t="s">
        <v>4779</v>
      </c>
      <c r="D141" t="s">
        <v>1165</v>
      </c>
      <c r="E141" t="s">
        <v>271</v>
      </c>
      <c r="F141" t="s">
        <v>1164</v>
      </c>
    </row>
    <row r="142" spans="1:6" x14ac:dyDescent="0.25">
      <c r="A142" t="s">
        <v>4780</v>
      </c>
      <c r="B142" t="s">
        <v>4781</v>
      </c>
      <c r="C142" t="s">
        <v>4782</v>
      </c>
      <c r="D142" t="s">
        <v>2009</v>
      </c>
      <c r="E142" t="s">
        <v>271</v>
      </c>
      <c r="F142" t="s">
        <v>2008</v>
      </c>
    </row>
    <row r="143" spans="1:6" x14ac:dyDescent="0.25">
      <c r="A143" t="s">
        <v>4783</v>
      </c>
      <c r="B143" t="s">
        <v>4784</v>
      </c>
      <c r="C143" t="s">
        <v>4785</v>
      </c>
      <c r="D143" t="s">
        <v>835</v>
      </c>
      <c r="E143" t="s">
        <v>269</v>
      </c>
      <c r="F143" t="s">
        <v>834</v>
      </c>
    </row>
    <row r="144" spans="1:6" x14ac:dyDescent="0.25">
      <c r="A144" t="s">
        <v>4786</v>
      </c>
      <c r="B144" t="s">
        <v>4787</v>
      </c>
      <c r="C144" t="s">
        <v>4788</v>
      </c>
      <c r="D144" t="s">
        <v>556</v>
      </c>
      <c r="E144" t="s">
        <v>271</v>
      </c>
      <c r="F144" t="s">
        <v>1567</v>
      </c>
    </row>
    <row r="145" spans="1:6" x14ac:dyDescent="0.25">
      <c r="A145" t="s">
        <v>1448</v>
      </c>
      <c r="B145" t="s">
        <v>1449</v>
      </c>
      <c r="C145" t="s">
        <v>1450</v>
      </c>
      <c r="D145" t="s">
        <v>742</v>
      </c>
      <c r="E145" t="s">
        <v>271</v>
      </c>
      <c r="F145" t="s">
        <v>741</v>
      </c>
    </row>
    <row r="146" spans="1:6" x14ac:dyDescent="0.25">
      <c r="A146" t="s">
        <v>4789</v>
      </c>
      <c r="B146" t="s">
        <v>4790</v>
      </c>
      <c r="C146" t="s">
        <v>4791</v>
      </c>
      <c r="D146" t="s">
        <v>0</v>
      </c>
      <c r="E146" t="s">
        <v>271</v>
      </c>
      <c r="F146" t="s">
        <v>881</v>
      </c>
    </row>
    <row r="147" spans="1:6" x14ac:dyDescent="0.25">
      <c r="A147" t="s">
        <v>4792</v>
      </c>
      <c r="B147" t="s">
        <v>4793</v>
      </c>
      <c r="C147" t="s">
        <v>4794</v>
      </c>
      <c r="D147" t="s">
        <v>510</v>
      </c>
      <c r="E147" t="s">
        <v>271</v>
      </c>
      <c r="F147" t="s">
        <v>437</v>
      </c>
    </row>
    <row r="148" spans="1:6" x14ac:dyDescent="0.25">
      <c r="A148" t="s">
        <v>4795</v>
      </c>
      <c r="B148" t="s">
        <v>4796</v>
      </c>
      <c r="C148" t="s">
        <v>4797</v>
      </c>
      <c r="D148" t="s">
        <v>498</v>
      </c>
      <c r="E148" t="s">
        <v>271</v>
      </c>
      <c r="F148" t="s">
        <v>499</v>
      </c>
    </row>
    <row r="149" spans="1:6" x14ac:dyDescent="0.25">
      <c r="A149" t="s">
        <v>4798</v>
      </c>
      <c r="B149" t="s">
        <v>4799</v>
      </c>
      <c r="C149" t="s">
        <v>4800</v>
      </c>
      <c r="D149" t="s">
        <v>1601</v>
      </c>
      <c r="E149" t="s">
        <v>269</v>
      </c>
      <c r="F149" t="s">
        <v>4424</v>
      </c>
    </row>
    <row r="150" spans="1:6" x14ac:dyDescent="0.25">
      <c r="A150" t="s">
        <v>4801</v>
      </c>
      <c r="B150" t="s">
        <v>4802</v>
      </c>
      <c r="C150" t="s">
        <v>4803</v>
      </c>
      <c r="D150" t="s">
        <v>0</v>
      </c>
      <c r="E150" t="s">
        <v>271</v>
      </c>
      <c r="F150" t="s">
        <v>562</v>
      </c>
    </row>
    <row r="151" spans="1:6" x14ac:dyDescent="0.25">
      <c r="A151" t="s">
        <v>3552</v>
      </c>
      <c r="B151" t="s">
        <v>3553</v>
      </c>
      <c r="C151" t="s">
        <v>3554</v>
      </c>
      <c r="D151" t="s">
        <v>0</v>
      </c>
      <c r="E151" t="s">
        <v>271</v>
      </c>
      <c r="F151" t="s">
        <v>1437</v>
      </c>
    </row>
    <row r="152" spans="1:6" x14ac:dyDescent="0.25">
      <c r="A152" t="s">
        <v>3498</v>
      </c>
      <c r="B152" t="s">
        <v>3499</v>
      </c>
      <c r="C152" t="s">
        <v>3500</v>
      </c>
      <c r="D152" t="s">
        <v>2714</v>
      </c>
      <c r="E152" t="s">
        <v>271</v>
      </c>
      <c r="F152" t="s">
        <v>2713</v>
      </c>
    </row>
    <row r="153" spans="1:6" x14ac:dyDescent="0.25">
      <c r="A153" t="s">
        <v>3729</v>
      </c>
      <c r="B153" t="s">
        <v>3730</v>
      </c>
      <c r="C153" t="s">
        <v>3731</v>
      </c>
      <c r="D153" t="s">
        <v>0</v>
      </c>
      <c r="E153" t="s">
        <v>271</v>
      </c>
      <c r="F153" t="s">
        <v>575</v>
      </c>
    </row>
    <row r="154" spans="1:6" x14ac:dyDescent="0.25">
      <c r="A154" t="s">
        <v>4804</v>
      </c>
      <c r="B154" t="s">
        <v>570</v>
      </c>
      <c r="C154" t="s">
        <v>4805</v>
      </c>
      <c r="D154" t="s">
        <v>384</v>
      </c>
      <c r="E154" t="s">
        <v>341</v>
      </c>
      <c r="F154" t="s">
        <v>390</v>
      </c>
    </row>
    <row r="155" spans="1:6" x14ac:dyDescent="0.25">
      <c r="A155" t="s">
        <v>4806</v>
      </c>
      <c r="B155" t="s">
        <v>4807</v>
      </c>
      <c r="C155" t="s">
        <v>4808</v>
      </c>
      <c r="D155" t="s">
        <v>916</v>
      </c>
      <c r="E155" t="s">
        <v>271</v>
      </c>
      <c r="F155" t="s">
        <v>915</v>
      </c>
    </row>
    <row r="156" spans="1:6" x14ac:dyDescent="0.25">
      <c r="A156" t="s">
        <v>3682</v>
      </c>
      <c r="B156" t="s">
        <v>3683</v>
      </c>
      <c r="C156" t="s">
        <v>3684</v>
      </c>
      <c r="D156" t="s">
        <v>2493</v>
      </c>
      <c r="E156" t="s">
        <v>271</v>
      </c>
      <c r="F156" t="s">
        <v>2492</v>
      </c>
    </row>
    <row r="157" spans="1:6" x14ac:dyDescent="0.25">
      <c r="A157" t="s">
        <v>4809</v>
      </c>
      <c r="B157" t="s">
        <v>4810</v>
      </c>
      <c r="C157" t="s">
        <v>4811</v>
      </c>
      <c r="D157" t="s">
        <v>0</v>
      </c>
      <c r="E157" t="s">
        <v>271</v>
      </c>
      <c r="F157" t="s">
        <v>323</v>
      </c>
    </row>
    <row r="158" spans="1:6" x14ac:dyDescent="0.25">
      <c r="A158" t="s">
        <v>4812</v>
      </c>
      <c r="B158" t="s">
        <v>4813</v>
      </c>
      <c r="C158" t="s">
        <v>4814</v>
      </c>
      <c r="D158" t="s">
        <v>4815</v>
      </c>
      <c r="E158" t="s">
        <v>271</v>
      </c>
      <c r="F158" t="s">
        <v>2713</v>
      </c>
    </row>
    <row r="159" spans="1:6" x14ac:dyDescent="0.25">
      <c r="A159" t="s">
        <v>4816</v>
      </c>
      <c r="B159" t="s">
        <v>4817</v>
      </c>
      <c r="C159" t="s">
        <v>4818</v>
      </c>
      <c r="D159" t="s">
        <v>363</v>
      </c>
      <c r="E159" t="s">
        <v>271</v>
      </c>
      <c r="F159" t="s">
        <v>364</v>
      </c>
    </row>
    <row r="160" spans="1:6" x14ac:dyDescent="0.25">
      <c r="A160" t="s">
        <v>4819</v>
      </c>
      <c r="B160" t="s">
        <v>4820</v>
      </c>
      <c r="C160" t="s">
        <v>4821</v>
      </c>
      <c r="D160" t="s">
        <v>1059</v>
      </c>
      <c r="E160" t="s">
        <v>271</v>
      </c>
      <c r="F160" t="s">
        <v>1058</v>
      </c>
    </row>
    <row r="161" spans="1:6" x14ac:dyDescent="0.25">
      <c r="A161" t="s">
        <v>4822</v>
      </c>
      <c r="B161" t="s">
        <v>4823</v>
      </c>
      <c r="C161" t="s">
        <v>4824</v>
      </c>
      <c r="D161" t="s">
        <v>402</v>
      </c>
      <c r="E161" t="s">
        <v>271</v>
      </c>
      <c r="F161" t="s">
        <v>401</v>
      </c>
    </row>
    <row r="162" spans="1:6" x14ac:dyDescent="0.25">
      <c r="A162" t="s">
        <v>4825</v>
      </c>
      <c r="B162" t="s">
        <v>4826</v>
      </c>
      <c r="C162" t="s">
        <v>4827</v>
      </c>
      <c r="D162" t="s">
        <v>699</v>
      </c>
      <c r="E162" t="s">
        <v>269</v>
      </c>
      <c r="F162" t="s">
        <v>698</v>
      </c>
    </row>
    <row r="163" spans="1:6" x14ac:dyDescent="0.25">
      <c r="A163" t="s">
        <v>4828</v>
      </c>
      <c r="B163" t="s">
        <v>4829</v>
      </c>
      <c r="C163" t="s">
        <v>4830</v>
      </c>
      <c r="D163" t="s">
        <v>1683</v>
      </c>
      <c r="E163" t="s">
        <v>271</v>
      </c>
      <c r="F163" t="s">
        <v>996</v>
      </c>
    </row>
    <row r="164" spans="1:6" x14ac:dyDescent="0.25">
      <c r="A164" t="s">
        <v>4831</v>
      </c>
      <c r="B164" t="s">
        <v>4832</v>
      </c>
      <c r="C164" t="s">
        <v>4833</v>
      </c>
      <c r="D164" t="s">
        <v>1126</v>
      </c>
      <c r="E164" t="s">
        <v>271</v>
      </c>
      <c r="F164" t="s">
        <v>1125</v>
      </c>
    </row>
    <row r="165" spans="1:6" x14ac:dyDescent="0.25">
      <c r="A165" t="s">
        <v>4834</v>
      </c>
      <c r="B165" t="s">
        <v>4835</v>
      </c>
      <c r="C165" t="s">
        <v>4836</v>
      </c>
      <c r="D165" t="s">
        <v>0</v>
      </c>
      <c r="E165" t="s">
        <v>271</v>
      </c>
      <c r="F165" t="s">
        <v>1148</v>
      </c>
    </row>
    <row r="166" spans="1:6" x14ac:dyDescent="0.25">
      <c r="A166" t="s">
        <v>4837</v>
      </c>
      <c r="B166" t="s">
        <v>4838</v>
      </c>
      <c r="C166" t="s">
        <v>4839</v>
      </c>
      <c r="D166" t="s">
        <v>4840</v>
      </c>
      <c r="E166" t="s">
        <v>271</v>
      </c>
      <c r="F166" t="s">
        <v>593</v>
      </c>
    </row>
    <row r="167" spans="1:6" x14ac:dyDescent="0.25">
      <c r="A167" t="s">
        <v>900</v>
      </c>
      <c r="B167" t="s">
        <v>901</v>
      </c>
      <c r="C167" t="s">
        <v>903</v>
      </c>
      <c r="D167" t="s">
        <v>0</v>
      </c>
      <c r="E167" t="s">
        <v>271</v>
      </c>
      <c r="F167" t="s">
        <v>562</v>
      </c>
    </row>
    <row r="168" spans="1:6" x14ac:dyDescent="0.25">
      <c r="A168" t="s">
        <v>3254</v>
      </c>
      <c r="B168" t="s">
        <v>3255</v>
      </c>
      <c r="C168" t="s">
        <v>3257</v>
      </c>
      <c r="D168" t="s">
        <v>0</v>
      </c>
      <c r="E168" t="s">
        <v>271</v>
      </c>
      <c r="F168" t="s">
        <v>3256</v>
      </c>
    </row>
    <row r="169" spans="1:6" x14ac:dyDescent="0.25">
      <c r="A169" t="s">
        <v>4841</v>
      </c>
      <c r="B169" t="s">
        <v>4842</v>
      </c>
      <c r="C169" t="s">
        <v>4843</v>
      </c>
      <c r="D169" t="s">
        <v>0</v>
      </c>
      <c r="E169" t="s">
        <v>271</v>
      </c>
      <c r="F169" t="s">
        <v>325</v>
      </c>
    </row>
    <row r="170" spans="1:6" x14ac:dyDescent="0.25">
      <c r="A170" t="s">
        <v>4844</v>
      </c>
      <c r="B170" t="s">
        <v>4845</v>
      </c>
      <c r="C170" t="s">
        <v>4846</v>
      </c>
      <c r="D170" t="s">
        <v>0</v>
      </c>
      <c r="E170" t="s">
        <v>271</v>
      </c>
      <c r="F170" t="s">
        <v>325</v>
      </c>
    </row>
    <row r="171" spans="1:6" x14ac:dyDescent="0.25">
      <c r="A171" t="s">
        <v>3422</v>
      </c>
      <c r="B171" t="s">
        <v>3423</v>
      </c>
      <c r="C171" t="s">
        <v>3424</v>
      </c>
      <c r="D171" t="s">
        <v>1297</v>
      </c>
      <c r="E171" t="s">
        <v>271</v>
      </c>
      <c r="F171" t="s">
        <v>996</v>
      </c>
    </row>
    <row r="172" spans="1:6" x14ac:dyDescent="0.25">
      <c r="A172" t="s">
        <v>824</v>
      </c>
      <c r="B172" t="s">
        <v>825</v>
      </c>
      <c r="C172" t="s">
        <v>826</v>
      </c>
      <c r="D172" t="s">
        <v>0</v>
      </c>
      <c r="E172" t="s">
        <v>271</v>
      </c>
      <c r="F172" t="s">
        <v>436</v>
      </c>
    </row>
    <row r="173" spans="1:6" x14ac:dyDescent="0.25">
      <c r="A173" t="s">
        <v>2095</v>
      </c>
      <c r="B173" t="s">
        <v>2096</v>
      </c>
      <c r="C173" t="s">
        <v>2097</v>
      </c>
      <c r="D173" t="s">
        <v>668</v>
      </c>
      <c r="E173" t="s">
        <v>271</v>
      </c>
      <c r="F173" t="s">
        <v>667</v>
      </c>
    </row>
    <row r="174" spans="1:6" x14ac:dyDescent="0.25">
      <c r="A174" t="s">
        <v>1853</v>
      </c>
      <c r="B174" t="s">
        <v>1854</v>
      </c>
      <c r="C174" t="s">
        <v>1855</v>
      </c>
      <c r="D174" t="s">
        <v>586</v>
      </c>
      <c r="E174" t="s">
        <v>271</v>
      </c>
      <c r="F174" t="s">
        <v>662</v>
      </c>
    </row>
    <row r="175" spans="1:6" x14ac:dyDescent="0.25">
      <c r="A175" t="s">
        <v>4847</v>
      </c>
      <c r="B175" t="s">
        <v>4848</v>
      </c>
      <c r="C175" t="s">
        <v>4849</v>
      </c>
      <c r="D175" t="s">
        <v>363</v>
      </c>
      <c r="E175" t="s">
        <v>271</v>
      </c>
      <c r="F175" t="s">
        <v>4410</v>
      </c>
    </row>
    <row r="176" spans="1:6" x14ac:dyDescent="0.25">
      <c r="A176" t="s">
        <v>904</v>
      </c>
      <c r="B176" t="s">
        <v>905</v>
      </c>
      <c r="C176" t="s">
        <v>908</v>
      </c>
      <c r="D176" t="s">
        <v>272</v>
      </c>
      <c r="E176" t="s">
        <v>269</v>
      </c>
      <c r="F176" t="s">
        <v>907</v>
      </c>
    </row>
    <row r="177" spans="1:6" x14ac:dyDescent="0.25">
      <c r="A177" t="s">
        <v>4850</v>
      </c>
      <c r="B177" t="s">
        <v>4851</v>
      </c>
      <c r="C177" t="s">
        <v>4852</v>
      </c>
      <c r="D177" t="s">
        <v>1915</v>
      </c>
      <c r="E177" t="s">
        <v>269</v>
      </c>
      <c r="F177" t="s">
        <v>1914</v>
      </c>
    </row>
    <row r="178" spans="1:6" x14ac:dyDescent="0.25">
      <c r="A178" t="s">
        <v>4853</v>
      </c>
      <c r="B178" t="s">
        <v>4854</v>
      </c>
      <c r="C178" t="s">
        <v>4855</v>
      </c>
      <c r="D178" t="s">
        <v>1915</v>
      </c>
      <c r="E178" t="s">
        <v>269</v>
      </c>
      <c r="F178" t="s">
        <v>1914</v>
      </c>
    </row>
    <row r="179" spans="1:6" x14ac:dyDescent="0.25">
      <c r="A179" t="s">
        <v>4856</v>
      </c>
      <c r="B179" t="s">
        <v>4857</v>
      </c>
      <c r="C179" t="s">
        <v>4858</v>
      </c>
      <c r="D179" t="s">
        <v>0</v>
      </c>
      <c r="E179" t="s">
        <v>271</v>
      </c>
      <c r="F179" t="s">
        <v>1534</v>
      </c>
    </row>
    <row r="180" spans="1:6" x14ac:dyDescent="0.25">
      <c r="A180" t="s">
        <v>3245</v>
      </c>
      <c r="B180" t="s">
        <v>3246</v>
      </c>
      <c r="C180" t="s">
        <v>3247</v>
      </c>
      <c r="D180" t="s">
        <v>0</v>
      </c>
      <c r="E180" t="s">
        <v>271</v>
      </c>
      <c r="F180" t="s">
        <v>356</v>
      </c>
    </row>
    <row r="181" spans="1:6" x14ac:dyDescent="0.25">
      <c r="A181" t="s">
        <v>4859</v>
      </c>
      <c r="B181" t="s">
        <v>4860</v>
      </c>
      <c r="C181" t="s">
        <v>4861</v>
      </c>
      <c r="D181" t="s">
        <v>0</v>
      </c>
      <c r="E181" t="s">
        <v>271</v>
      </c>
      <c r="F181" t="s">
        <v>1321</v>
      </c>
    </row>
    <row r="182" spans="1:6" x14ac:dyDescent="0.25">
      <c r="A182" t="s">
        <v>4862</v>
      </c>
      <c r="B182" t="s">
        <v>4863</v>
      </c>
      <c r="C182" t="s">
        <v>4864</v>
      </c>
      <c r="D182" t="s">
        <v>473</v>
      </c>
      <c r="E182" t="s">
        <v>271</v>
      </c>
      <c r="F182" t="s">
        <v>433</v>
      </c>
    </row>
    <row r="183" spans="1:6" x14ac:dyDescent="0.25">
      <c r="A183" t="s">
        <v>4865</v>
      </c>
      <c r="B183" t="s">
        <v>4866</v>
      </c>
      <c r="C183" t="s">
        <v>4867</v>
      </c>
      <c r="D183" t="s">
        <v>0</v>
      </c>
      <c r="E183" t="s">
        <v>271</v>
      </c>
      <c r="F183" t="s">
        <v>4382</v>
      </c>
    </row>
    <row r="184" spans="1:6" x14ac:dyDescent="0.25">
      <c r="A184" t="s">
        <v>4868</v>
      </c>
      <c r="B184" t="s">
        <v>4869</v>
      </c>
      <c r="C184" t="s">
        <v>4870</v>
      </c>
      <c r="D184" t="s">
        <v>3022</v>
      </c>
      <c r="E184" t="s">
        <v>271</v>
      </c>
      <c r="F184" t="s">
        <v>3021</v>
      </c>
    </row>
    <row r="185" spans="1:6" x14ac:dyDescent="0.25">
      <c r="A185" t="s">
        <v>4871</v>
      </c>
      <c r="B185" t="s">
        <v>4872</v>
      </c>
      <c r="C185" t="s">
        <v>4873</v>
      </c>
      <c r="D185" t="s">
        <v>0</v>
      </c>
      <c r="E185" t="s">
        <v>271</v>
      </c>
      <c r="F185" t="s">
        <v>4382</v>
      </c>
    </row>
    <row r="186" spans="1:6" x14ac:dyDescent="0.25">
      <c r="A186" t="s">
        <v>4874</v>
      </c>
      <c r="B186" t="s">
        <v>4875</v>
      </c>
      <c r="C186" t="s">
        <v>4876</v>
      </c>
      <c r="D186" t="s">
        <v>0</v>
      </c>
      <c r="E186" t="s">
        <v>271</v>
      </c>
      <c r="F186" t="s">
        <v>4421</v>
      </c>
    </row>
    <row r="187" spans="1:6" x14ac:dyDescent="0.25">
      <c r="A187" t="s">
        <v>4877</v>
      </c>
      <c r="B187" t="s">
        <v>4878</v>
      </c>
      <c r="C187" t="s">
        <v>4879</v>
      </c>
      <c r="D187" t="s">
        <v>0</v>
      </c>
      <c r="E187" t="s">
        <v>271</v>
      </c>
      <c r="F187" t="s">
        <v>809</v>
      </c>
    </row>
    <row r="188" spans="1:6" x14ac:dyDescent="0.25">
      <c r="A188" t="s">
        <v>4880</v>
      </c>
      <c r="B188" t="s">
        <v>4881</v>
      </c>
      <c r="C188" t="s">
        <v>4882</v>
      </c>
      <c r="D188" t="s">
        <v>4470</v>
      </c>
      <c r="E188" t="s">
        <v>271</v>
      </c>
      <c r="F188" t="s">
        <v>4426</v>
      </c>
    </row>
    <row r="189" spans="1:6" x14ac:dyDescent="0.25">
      <c r="A189" t="s">
        <v>4883</v>
      </c>
      <c r="B189" t="s">
        <v>4884</v>
      </c>
      <c r="C189" t="s">
        <v>4885</v>
      </c>
      <c r="D189" t="s">
        <v>0</v>
      </c>
      <c r="E189" t="s">
        <v>271</v>
      </c>
      <c r="F189" t="s">
        <v>325</v>
      </c>
    </row>
    <row r="190" spans="1:6" x14ac:dyDescent="0.25">
      <c r="A190" t="s">
        <v>4886</v>
      </c>
      <c r="B190" t="s">
        <v>4887</v>
      </c>
      <c r="C190" t="s">
        <v>4888</v>
      </c>
      <c r="D190" t="s">
        <v>2578</v>
      </c>
      <c r="E190" t="s">
        <v>271</v>
      </c>
      <c r="F190" t="s">
        <v>2577</v>
      </c>
    </row>
    <row r="191" spans="1:6" x14ac:dyDescent="0.25">
      <c r="A191" t="s">
        <v>4889</v>
      </c>
      <c r="B191" t="s">
        <v>4890</v>
      </c>
      <c r="C191" t="s">
        <v>4891</v>
      </c>
      <c r="D191" t="s">
        <v>461</v>
      </c>
      <c r="E191" t="s">
        <v>271</v>
      </c>
      <c r="F191" t="s">
        <v>336</v>
      </c>
    </row>
    <row r="192" spans="1:6" x14ac:dyDescent="0.25">
      <c r="A192" t="s">
        <v>4892</v>
      </c>
      <c r="B192" t="s">
        <v>4893</v>
      </c>
      <c r="C192" t="s">
        <v>4894</v>
      </c>
      <c r="D192" t="s">
        <v>0</v>
      </c>
      <c r="E192" t="s">
        <v>271</v>
      </c>
      <c r="F192" t="s">
        <v>562</v>
      </c>
    </row>
    <row r="193" spans="1:6" x14ac:dyDescent="0.25">
      <c r="A193" t="s">
        <v>4895</v>
      </c>
      <c r="B193" t="s">
        <v>4896</v>
      </c>
      <c r="C193" t="s">
        <v>4897</v>
      </c>
      <c r="D193" t="s">
        <v>1079</v>
      </c>
      <c r="E193" t="s">
        <v>271</v>
      </c>
      <c r="F193" t="s">
        <v>1078</v>
      </c>
    </row>
    <row r="194" spans="1:6" x14ac:dyDescent="0.25">
      <c r="A194" t="s">
        <v>4898</v>
      </c>
      <c r="B194" t="s">
        <v>4899</v>
      </c>
      <c r="C194" t="s">
        <v>4900</v>
      </c>
      <c r="D194" t="s">
        <v>1165</v>
      </c>
      <c r="E194" t="s">
        <v>271</v>
      </c>
      <c r="F194" t="s">
        <v>1164</v>
      </c>
    </row>
    <row r="195" spans="1:6" x14ac:dyDescent="0.25">
      <c r="A195" t="s">
        <v>4901</v>
      </c>
      <c r="B195" t="s">
        <v>4902</v>
      </c>
      <c r="C195" t="s">
        <v>4903</v>
      </c>
      <c r="D195" t="s">
        <v>0</v>
      </c>
      <c r="E195" t="s">
        <v>271</v>
      </c>
      <c r="F195" t="s">
        <v>562</v>
      </c>
    </row>
    <row r="196" spans="1:6" x14ac:dyDescent="0.25">
      <c r="A196" t="s">
        <v>1834</v>
      </c>
      <c r="B196" t="s">
        <v>1835</v>
      </c>
      <c r="C196" t="s">
        <v>1838</v>
      </c>
      <c r="D196" t="s">
        <v>1837</v>
      </c>
      <c r="E196" t="s">
        <v>271</v>
      </c>
      <c r="F196" t="s">
        <v>1836</v>
      </c>
    </row>
    <row r="197" spans="1:6" x14ac:dyDescent="0.25">
      <c r="A197" t="s">
        <v>4904</v>
      </c>
      <c r="B197" t="s">
        <v>4905</v>
      </c>
      <c r="C197" t="s">
        <v>4906</v>
      </c>
      <c r="D197" t="s">
        <v>1938</v>
      </c>
      <c r="E197" t="s">
        <v>269</v>
      </c>
      <c r="F197" t="s">
        <v>1136</v>
      </c>
    </row>
    <row r="198" spans="1:6" x14ac:dyDescent="0.25">
      <c r="A198" t="s">
        <v>4907</v>
      </c>
      <c r="B198" t="s">
        <v>4908</v>
      </c>
      <c r="C198" t="s">
        <v>4909</v>
      </c>
      <c r="D198" t="s">
        <v>0</v>
      </c>
      <c r="E198" t="s">
        <v>271</v>
      </c>
      <c r="F198" t="s">
        <v>881</v>
      </c>
    </row>
    <row r="199" spans="1:6" x14ac:dyDescent="0.25">
      <c r="A199" t="s">
        <v>2022</v>
      </c>
      <c r="B199" t="s">
        <v>2023</v>
      </c>
      <c r="C199" t="s">
        <v>2025</v>
      </c>
      <c r="D199" t="s">
        <v>2024</v>
      </c>
      <c r="E199" t="s">
        <v>271</v>
      </c>
      <c r="F199" t="s">
        <v>428</v>
      </c>
    </row>
    <row r="200" spans="1:6" x14ac:dyDescent="0.25">
      <c r="A200" t="s">
        <v>4910</v>
      </c>
      <c r="B200" t="s">
        <v>4911</v>
      </c>
      <c r="C200" t="s">
        <v>4912</v>
      </c>
      <c r="D200" t="s">
        <v>2024</v>
      </c>
      <c r="E200" t="s">
        <v>271</v>
      </c>
      <c r="F200" t="s">
        <v>428</v>
      </c>
    </row>
    <row r="201" spans="1:6" x14ac:dyDescent="0.25">
      <c r="A201" t="s">
        <v>4913</v>
      </c>
      <c r="B201" t="s">
        <v>4914</v>
      </c>
      <c r="C201" t="s">
        <v>4915</v>
      </c>
      <c r="D201" t="s">
        <v>0</v>
      </c>
      <c r="E201" t="s">
        <v>271</v>
      </c>
      <c r="F201" t="s">
        <v>323</v>
      </c>
    </row>
    <row r="202" spans="1:6" x14ac:dyDescent="0.25">
      <c r="A202" t="s">
        <v>4916</v>
      </c>
      <c r="B202" t="s">
        <v>4917</v>
      </c>
      <c r="C202" t="s">
        <v>4918</v>
      </c>
      <c r="D202" t="s">
        <v>0</v>
      </c>
      <c r="E202" t="s">
        <v>271</v>
      </c>
      <c r="F202" t="s">
        <v>1321</v>
      </c>
    </row>
    <row r="203" spans="1:6" x14ac:dyDescent="0.25">
      <c r="A203" t="s">
        <v>974</v>
      </c>
      <c r="B203" t="s">
        <v>975</v>
      </c>
      <c r="C203" t="s">
        <v>976</v>
      </c>
      <c r="D203" t="s">
        <v>0</v>
      </c>
      <c r="E203" t="s">
        <v>271</v>
      </c>
      <c r="F203" t="s">
        <v>881</v>
      </c>
    </row>
    <row r="204" spans="1:6" x14ac:dyDescent="0.25">
      <c r="A204" t="s">
        <v>4919</v>
      </c>
      <c r="B204" t="s">
        <v>4920</v>
      </c>
      <c r="C204" t="s">
        <v>4921</v>
      </c>
      <c r="D204" t="s">
        <v>446</v>
      </c>
      <c r="E204" t="s">
        <v>271</v>
      </c>
      <c r="F204" t="s">
        <v>447</v>
      </c>
    </row>
    <row r="205" spans="1:6" x14ac:dyDescent="0.25">
      <c r="A205" t="s">
        <v>4922</v>
      </c>
      <c r="B205" t="s">
        <v>4923</v>
      </c>
      <c r="C205" t="s">
        <v>4924</v>
      </c>
      <c r="D205" t="s">
        <v>616</v>
      </c>
      <c r="E205" t="s">
        <v>271</v>
      </c>
      <c r="F205" t="s">
        <v>1102</v>
      </c>
    </row>
    <row r="206" spans="1:6" x14ac:dyDescent="0.25">
      <c r="A206" t="s">
        <v>4925</v>
      </c>
      <c r="B206" t="s">
        <v>4926</v>
      </c>
      <c r="C206" t="s">
        <v>4927</v>
      </c>
      <c r="D206" t="s">
        <v>474</v>
      </c>
      <c r="E206" t="s">
        <v>271</v>
      </c>
      <c r="F206" t="s">
        <v>475</v>
      </c>
    </row>
    <row r="207" spans="1:6" x14ac:dyDescent="0.25">
      <c r="A207" t="s">
        <v>4928</v>
      </c>
      <c r="B207" t="s">
        <v>372</v>
      </c>
      <c r="C207" t="s">
        <v>4929</v>
      </c>
      <c r="D207" t="s">
        <v>1683</v>
      </c>
      <c r="E207" t="s">
        <v>271</v>
      </c>
      <c r="F207" t="s">
        <v>996</v>
      </c>
    </row>
    <row r="208" spans="1:6" x14ac:dyDescent="0.25">
      <c r="A208" t="s">
        <v>4930</v>
      </c>
      <c r="B208" t="s">
        <v>4931</v>
      </c>
      <c r="C208" t="s">
        <v>4932</v>
      </c>
      <c r="D208" t="s">
        <v>1542</v>
      </c>
      <c r="E208" t="s">
        <v>269</v>
      </c>
      <c r="F208" t="s">
        <v>1541</v>
      </c>
    </row>
    <row r="209" spans="1:6" x14ac:dyDescent="0.25">
      <c r="A209" t="s">
        <v>4933</v>
      </c>
      <c r="B209" t="s">
        <v>4934</v>
      </c>
      <c r="C209" t="s">
        <v>4935</v>
      </c>
      <c r="D209" t="s">
        <v>0</v>
      </c>
      <c r="E209" t="s">
        <v>271</v>
      </c>
      <c r="F209" t="s">
        <v>575</v>
      </c>
    </row>
    <row r="210" spans="1:6" x14ac:dyDescent="0.25">
      <c r="A210" t="s">
        <v>4936</v>
      </c>
      <c r="B210" t="s">
        <v>4937</v>
      </c>
      <c r="C210" t="s">
        <v>4938</v>
      </c>
      <c r="D210" t="s">
        <v>314</v>
      </c>
      <c r="E210" t="s">
        <v>271</v>
      </c>
      <c r="F210" t="s">
        <v>352</v>
      </c>
    </row>
    <row r="211" spans="1:6" x14ac:dyDescent="0.25">
      <c r="A211" t="s">
        <v>4939</v>
      </c>
      <c r="B211" t="s">
        <v>4940</v>
      </c>
      <c r="C211" t="s">
        <v>4941</v>
      </c>
      <c r="D211" t="s">
        <v>547</v>
      </c>
      <c r="E211" t="s">
        <v>271</v>
      </c>
      <c r="F211" t="s">
        <v>428</v>
      </c>
    </row>
    <row r="212" spans="1:6" x14ac:dyDescent="0.25">
      <c r="A212" t="s">
        <v>4942</v>
      </c>
      <c r="B212" t="s">
        <v>4943</v>
      </c>
      <c r="C212" t="s">
        <v>4944</v>
      </c>
      <c r="D212" t="s">
        <v>222</v>
      </c>
      <c r="E212" t="s">
        <v>271</v>
      </c>
      <c r="F212" t="s">
        <v>313</v>
      </c>
    </row>
    <row r="213" spans="1:6" x14ac:dyDescent="0.25">
      <c r="A213" t="s">
        <v>4945</v>
      </c>
      <c r="B213" t="s">
        <v>4946</v>
      </c>
      <c r="C213" t="s">
        <v>4947</v>
      </c>
      <c r="D213" t="s">
        <v>1665</v>
      </c>
      <c r="E213" t="s">
        <v>271</v>
      </c>
      <c r="F213" t="s">
        <v>1664</v>
      </c>
    </row>
    <row r="214" spans="1:6" x14ac:dyDescent="0.25">
      <c r="A214" t="s">
        <v>4948</v>
      </c>
      <c r="B214" t="s">
        <v>4949</v>
      </c>
      <c r="C214" t="s">
        <v>4950</v>
      </c>
      <c r="D214" t="s">
        <v>0</v>
      </c>
      <c r="E214" t="s">
        <v>271</v>
      </c>
      <c r="F214" t="s">
        <v>658</v>
      </c>
    </row>
    <row r="215" spans="1:6" x14ac:dyDescent="0.25">
      <c r="A215" t="s">
        <v>4951</v>
      </c>
      <c r="B215" t="s">
        <v>4952</v>
      </c>
      <c r="C215" t="s">
        <v>4953</v>
      </c>
      <c r="D215" t="s">
        <v>0</v>
      </c>
      <c r="E215" t="s">
        <v>271</v>
      </c>
      <c r="F215" t="s">
        <v>562</v>
      </c>
    </row>
    <row r="216" spans="1:6" x14ac:dyDescent="0.25">
      <c r="A216" t="s">
        <v>2316</v>
      </c>
      <c r="B216" t="s">
        <v>2317</v>
      </c>
      <c r="C216" t="s">
        <v>2318</v>
      </c>
      <c r="D216" t="s">
        <v>972</v>
      </c>
      <c r="E216" t="s">
        <v>269</v>
      </c>
      <c r="F216" t="s">
        <v>971</v>
      </c>
    </row>
    <row r="217" spans="1:6" x14ac:dyDescent="0.25">
      <c r="A217" t="s">
        <v>4954</v>
      </c>
      <c r="B217" t="s">
        <v>4955</v>
      </c>
      <c r="C217" t="s">
        <v>4956</v>
      </c>
      <c r="D217" t="s">
        <v>4957</v>
      </c>
      <c r="E217" t="s">
        <v>271</v>
      </c>
      <c r="F217" t="s">
        <v>4409</v>
      </c>
    </row>
    <row r="218" spans="1:6" x14ac:dyDescent="0.25">
      <c r="A218" t="s">
        <v>4958</v>
      </c>
      <c r="B218" t="s">
        <v>4959</v>
      </c>
      <c r="C218" t="s">
        <v>1166</v>
      </c>
      <c r="D218" t="s">
        <v>1165</v>
      </c>
      <c r="E218" t="s">
        <v>271</v>
      </c>
      <c r="F218" t="s">
        <v>1164</v>
      </c>
    </row>
    <row r="219" spans="1:6" x14ac:dyDescent="0.25">
      <c r="A219" t="s">
        <v>4960</v>
      </c>
      <c r="B219" t="s">
        <v>4961</v>
      </c>
      <c r="C219" t="s">
        <v>4962</v>
      </c>
      <c r="D219" t="s">
        <v>2116</v>
      </c>
      <c r="E219" t="s">
        <v>271</v>
      </c>
      <c r="F219" t="s">
        <v>2115</v>
      </c>
    </row>
    <row r="220" spans="1:6" x14ac:dyDescent="0.25">
      <c r="A220" t="s">
        <v>4963</v>
      </c>
      <c r="B220" t="s">
        <v>4964</v>
      </c>
      <c r="C220" t="s">
        <v>4965</v>
      </c>
      <c r="D220" t="s">
        <v>699</v>
      </c>
      <c r="E220" t="s">
        <v>269</v>
      </c>
      <c r="F220" t="s">
        <v>698</v>
      </c>
    </row>
    <row r="221" spans="1:6" x14ac:dyDescent="0.25">
      <c r="A221" t="s">
        <v>4966</v>
      </c>
      <c r="B221" t="s">
        <v>4967</v>
      </c>
      <c r="C221" t="s">
        <v>4968</v>
      </c>
      <c r="D221" t="s">
        <v>4969</v>
      </c>
      <c r="E221" t="s">
        <v>271</v>
      </c>
      <c r="F221" t="s">
        <v>480</v>
      </c>
    </row>
    <row r="222" spans="1:6" x14ac:dyDescent="0.25">
      <c r="A222" t="s">
        <v>4970</v>
      </c>
      <c r="B222" t="s">
        <v>4971</v>
      </c>
      <c r="C222" t="s">
        <v>4972</v>
      </c>
      <c r="D222" t="s">
        <v>0</v>
      </c>
      <c r="E222" t="s">
        <v>271</v>
      </c>
      <c r="F222" t="s">
        <v>356</v>
      </c>
    </row>
    <row r="223" spans="1:6" x14ac:dyDescent="0.25">
      <c r="A223" t="s">
        <v>4973</v>
      </c>
      <c r="B223" t="s">
        <v>4974</v>
      </c>
      <c r="C223" t="s">
        <v>4975</v>
      </c>
      <c r="D223" t="s">
        <v>444</v>
      </c>
      <c r="E223" t="s">
        <v>271</v>
      </c>
      <c r="F223" t="s">
        <v>1270</v>
      </c>
    </row>
    <row r="224" spans="1:6" x14ac:dyDescent="0.25">
      <c r="A224" t="s">
        <v>4976</v>
      </c>
      <c r="B224" t="s">
        <v>4977</v>
      </c>
      <c r="C224" t="s">
        <v>4978</v>
      </c>
      <c r="D224" t="s">
        <v>1601</v>
      </c>
      <c r="E224" t="s">
        <v>269</v>
      </c>
      <c r="F224" t="s">
        <v>3126</v>
      </c>
    </row>
    <row r="225" spans="1:6" x14ac:dyDescent="0.25">
      <c r="A225" t="s">
        <v>4979</v>
      </c>
      <c r="B225" t="s">
        <v>4980</v>
      </c>
      <c r="C225" t="s">
        <v>4981</v>
      </c>
      <c r="D225" t="s">
        <v>986</v>
      </c>
      <c r="E225" t="s">
        <v>271</v>
      </c>
      <c r="F225" t="s">
        <v>985</v>
      </c>
    </row>
    <row r="226" spans="1:6" x14ac:dyDescent="0.25">
      <c r="A226" t="s">
        <v>4982</v>
      </c>
      <c r="B226" t="s">
        <v>4983</v>
      </c>
      <c r="C226" t="s">
        <v>4984</v>
      </c>
      <c r="D226" t="s">
        <v>503</v>
      </c>
      <c r="E226" t="s">
        <v>271</v>
      </c>
      <c r="F226" t="s">
        <v>504</v>
      </c>
    </row>
    <row r="227" spans="1:6" x14ac:dyDescent="0.25">
      <c r="A227" t="s">
        <v>4985</v>
      </c>
      <c r="B227" t="s">
        <v>4986</v>
      </c>
      <c r="C227" t="s">
        <v>4987</v>
      </c>
      <c r="D227" t="s">
        <v>0</v>
      </c>
      <c r="E227" t="s">
        <v>271</v>
      </c>
      <c r="F227" t="s">
        <v>2447</v>
      </c>
    </row>
    <row r="228" spans="1:6" x14ac:dyDescent="0.25">
      <c r="A228" t="s">
        <v>2583</v>
      </c>
      <c r="B228" t="s">
        <v>2584</v>
      </c>
      <c r="C228" t="s">
        <v>2585</v>
      </c>
      <c r="D228" t="s">
        <v>0</v>
      </c>
      <c r="E228" t="s">
        <v>271</v>
      </c>
      <c r="F228" t="s">
        <v>431</v>
      </c>
    </row>
    <row r="229" spans="1:6" x14ac:dyDescent="0.25">
      <c r="A229" t="s">
        <v>4988</v>
      </c>
      <c r="B229" t="s">
        <v>4989</v>
      </c>
      <c r="C229" t="s">
        <v>3012</v>
      </c>
      <c r="D229" t="s">
        <v>0</v>
      </c>
      <c r="E229" t="s">
        <v>271</v>
      </c>
      <c r="F229" t="s">
        <v>436</v>
      </c>
    </row>
    <row r="230" spans="1:6" x14ac:dyDescent="0.25">
      <c r="A230" t="s">
        <v>4990</v>
      </c>
      <c r="B230" t="s">
        <v>4991</v>
      </c>
      <c r="C230" t="s">
        <v>4992</v>
      </c>
      <c r="D230" t="s">
        <v>0</v>
      </c>
      <c r="E230" t="s">
        <v>271</v>
      </c>
      <c r="F230" t="s">
        <v>726</v>
      </c>
    </row>
    <row r="231" spans="1:6" x14ac:dyDescent="0.25">
      <c r="A231" t="s">
        <v>4993</v>
      </c>
      <c r="B231" t="s">
        <v>4994</v>
      </c>
      <c r="C231" t="s">
        <v>4995</v>
      </c>
      <c r="D231" t="s">
        <v>312</v>
      </c>
      <c r="E231" t="s">
        <v>271</v>
      </c>
      <c r="F231" t="s">
        <v>311</v>
      </c>
    </row>
    <row r="232" spans="1:6" x14ac:dyDescent="0.25">
      <c r="A232" t="s">
        <v>4996</v>
      </c>
      <c r="B232" t="s">
        <v>4663</v>
      </c>
      <c r="C232" t="s">
        <v>4997</v>
      </c>
      <c r="D232" t="s">
        <v>272</v>
      </c>
      <c r="E232" t="s">
        <v>269</v>
      </c>
      <c r="F232" t="s">
        <v>907</v>
      </c>
    </row>
    <row r="233" spans="1:6" x14ac:dyDescent="0.25">
      <c r="A233" t="s">
        <v>4998</v>
      </c>
      <c r="B233" t="s">
        <v>4999</v>
      </c>
      <c r="C233" t="s">
        <v>5000</v>
      </c>
      <c r="D233" t="s">
        <v>2637</v>
      </c>
      <c r="E233" t="s">
        <v>271</v>
      </c>
      <c r="F233" t="s">
        <v>2636</v>
      </c>
    </row>
    <row r="234" spans="1:6" x14ac:dyDescent="0.25">
      <c r="A234" t="s">
        <v>5001</v>
      </c>
      <c r="B234" t="s">
        <v>5002</v>
      </c>
      <c r="C234" t="s">
        <v>5003</v>
      </c>
      <c r="D234" t="s">
        <v>237</v>
      </c>
      <c r="E234" t="s">
        <v>271</v>
      </c>
      <c r="F234" t="s">
        <v>427</v>
      </c>
    </row>
    <row r="235" spans="1:6" x14ac:dyDescent="0.25">
      <c r="A235" t="s">
        <v>5004</v>
      </c>
      <c r="B235" t="s">
        <v>5005</v>
      </c>
      <c r="C235" t="s">
        <v>1274</v>
      </c>
      <c r="D235" t="s">
        <v>0</v>
      </c>
      <c r="E235" t="s">
        <v>271</v>
      </c>
      <c r="F235" t="s">
        <v>436</v>
      </c>
    </row>
    <row r="236" spans="1:6" x14ac:dyDescent="0.25">
      <c r="A236" t="s">
        <v>5006</v>
      </c>
      <c r="B236" t="s">
        <v>5007</v>
      </c>
      <c r="C236" t="s">
        <v>5008</v>
      </c>
      <c r="D236" t="s">
        <v>598</v>
      </c>
      <c r="E236" t="s">
        <v>271</v>
      </c>
      <c r="F236" t="s">
        <v>599</v>
      </c>
    </row>
    <row r="237" spans="1:6" x14ac:dyDescent="0.25">
      <c r="A237" t="s">
        <v>5009</v>
      </c>
      <c r="B237" t="s">
        <v>5010</v>
      </c>
      <c r="C237" t="s">
        <v>5011</v>
      </c>
      <c r="D237" t="s">
        <v>0</v>
      </c>
      <c r="E237" t="s">
        <v>271</v>
      </c>
      <c r="F237" t="s">
        <v>2447</v>
      </c>
    </row>
    <row r="238" spans="1:6" x14ac:dyDescent="0.25">
      <c r="A238" t="s">
        <v>2319</v>
      </c>
      <c r="B238" t="s">
        <v>2320</v>
      </c>
      <c r="C238" t="s">
        <v>2321</v>
      </c>
      <c r="D238" t="s">
        <v>0</v>
      </c>
      <c r="E238" t="s">
        <v>271</v>
      </c>
      <c r="F238" t="s">
        <v>881</v>
      </c>
    </row>
    <row r="239" spans="1:6" x14ac:dyDescent="0.25">
      <c r="A239" t="s">
        <v>5012</v>
      </c>
      <c r="B239" t="s">
        <v>5013</v>
      </c>
      <c r="C239" t="s">
        <v>5014</v>
      </c>
      <c r="D239" t="s">
        <v>0</v>
      </c>
      <c r="E239" t="s">
        <v>271</v>
      </c>
      <c r="F239" t="s">
        <v>2608</v>
      </c>
    </row>
    <row r="240" spans="1:6" x14ac:dyDescent="0.25">
      <c r="A240" t="s">
        <v>5015</v>
      </c>
      <c r="B240" t="s">
        <v>5016</v>
      </c>
      <c r="C240" t="s">
        <v>5017</v>
      </c>
      <c r="D240" t="s">
        <v>498</v>
      </c>
      <c r="E240" t="s">
        <v>271</v>
      </c>
      <c r="F240" t="s">
        <v>499</v>
      </c>
    </row>
    <row r="241" spans="1:6" x14ac:dyDescent="0.25">
      <c r="A241" t="s">
        <v>5018</v>
      </c>
      <c r="B241" t="s">
        <v>5019</v>
      </c>
      <c r="C241" t="s">
        <v>5020</v>
      </c>
      <c r="D241" t="s">
        <v>237</v>
      </c>
      <c r="E241" t="s">
        <v>271</v>
      </c>
      <c r="F241" t="s">
        <v>427</v>
      </c>
    </row>
    <row r="242" spans="1:6" x14ac:dyDescent="0.25">
      <c r="A242" t="s">
        <v>5021</v>
      </c>
      <c r="B242" t="s">
        <v>5022</v>
      </c>
      <c r="C242" t="s">
        <v>818</v>
      </c>
      <c r="D242" t="s">
        <v>817</v>
      </c>
      <c r="E242" t="s">
        <v>271</v>
      </c>
      <c r="F242" t="s">
        <v>816</v>
      </c>
    </row>
    <row r="243" spans="1:6" x14ac:dyDescent="0.25">
      <c r="A243" t="s">
        <v>1233</v>
      </c>
      <c r="B243" t="s">
        <v>1234</v>
      </c>
      <c r="C243" t="s">
        <v>1235</v>
      </c>
      <c r="D243" t="s">
        <v>222</v>
      </c>
      <c r="E243" t="s">
        <v>271</v>
      </c>
      <c r="F243" t="s">
        <v>313</v>
      </c>
    </row>
    <row r="244" spans="1:6" x14ac:dyDescent="0.25">
      <c r="A244" t="s">
        <v>5023</v>
      </c>
      <c r="B244" t="s">
        <v>5024</v>
      </c>
      <c r="C244" t="s">
        <v>5025</v>
      </c>
      <c r="D244" t="s">
        <v>0</v>
      </c>
      <c r="E244" t="s">
        <v>271</v>
      </c>
      <c r="F244" t="s">
        <v>531</v>
      </c>
    </row>
    <row r="245" spans="1:6" x14ac:dyDescent="0.25">
      <c r="A245" t="s">
        <v>5026</v>
      </c>
      <c r="B245" t="s">
        <v>5027</v>
      </c>
      <c r="C245" t="s">
        <v>5028</v>
      </c>
      <c r="D245" t="s">
        <v>1915</v>
      </c>
      <c r="E245" t="s">
        <v>269</v>
      </c>
      <c r="F245" t="s">
        <v>1914</v>
      </c>
    </row>
    <row r="246" spans="1:6" x14ac:dyDescent="0.25">
      <c r="A246" t="s">
        <v>5029</v>
      </c>
      <c r="B246" t="s">
        <v>5030</v>
      </c>
      <c r="C246" t="s">
        <v>5031</v>
      </c>
      <c r="D246" t="s">
        <v>377</v>
      </c>
      <c r="E246" t="s">
        <v>269</v>
      </c>
      <c r="F246" t="s">
        <v>1786</v>
      </c>
    </row>
    <row r="247" spans="1:6" x14ac:dyDescent="0.25">
      <c r="A247" t="s">
        <v>5032</v>
      </c>
      <c r="B247" t="s">
        <v>5033</v>
      </c>
      <c r="C247" t="s">
        <v>5034</v>
      </c>
      <c r="D247" t="s">
        <v>0</v>
      </c>
      <c r="E247" t="s">
        <v>271</v>
      </c>
      <c r="F247" t="s">
        <v>4295</v>
      </c>
    </row>
    <row r="248" spans="1:6" x14ac:dyDescent="0.25">
      <c r="A248" t="s">
        <v>5035</v>
      </c>
      <c r="B248" t="s">
        <v>5036</v>
      </c>
      <c r="C248" t="s">
        <v>5037</v>
      </c>
      <c r="D248" t="s">
        <v>0</v>
      </c>
      <c r="E248" t="s">
        <v>271</v>
      </c>
      <c r="F248" t="s">
        <v>2349</v>
      </c>
    </row>
    <row r="249" spans="1:6" x14ac:dyDescent="0.25">
      <c r="A249" t="s">
        <v>5038</v>
      </c>
      <c r="B249" t="s">
        <v>5039</v>
      </c>
      <c r="C249" t="s">
        <v>5040</v>
      </c>
      <c r="D249" t="s">
        <v>0</v>
      </c>
      <c r="E249" t="s">
        <v>271</v>
      </c>
      <c r="F249" t="s">
        <v>881</v>
      </c>
    </row>
    <row r="250" spans="1:6" x14ac:dyDescent="0.25">
      <c r="A250" t="s">
        <v>5041</v>
      </c>
      <c r="B250" t="s">
        <v>5042</v>
      </c>
      <c r="C250" t="s">
        <v>5043</v>
      </c>
      <c r="D250" t="s">
        <v>492</v>
      </c>
      <c r="E250" t="s">
        <v>271</v>
      </c>
      <c r="F250" t="s">
        <v>493</v>
      </c>
    </row>
    <row r="251" spans="1:6" x14ac:dyDescent="0.25">
      <c r="A251" t="s">
        <v>5044</v>
      </c>
      <c r="B251" t="s">
        <v>5045</v>
      </c>
      <c r="C251" t="s">
        <v>5046</v>
      </c>
      <c r="D251" t="s">
        <v>2908</v>
      </c>
      <c r="E251" t="s">
        <v>271</v>
      </c>
      <c r="F251" t="s">
        <v>2470</v>
      </c>
    </row>
    <row r="252" spans="1:6" x14ac:dyDescent="0.25">
      <c r="A252" t="s">
        <v>5047</v>
      </c>
      <c r="B252" t="s">
        <v>5048</v>
      </c>
      <c r="C252" t="s">
        <v>5049</v>
      </c>
      <c r="D252" t="s">
        <v>1601</v>
      </c>
      <c r="E252" t="s">
        <v>269</v>
      </c>
      <c r="F252" t="s">
        <v>1600</v>
      </c>
    </row>
    <row r="253" spans="1:6" x14ac:dyDescent="0.25">
      <c r="A253" t="s">
        <v>5050</v>
      </c>
      <c r="B253" t="s">
        <v>5051</v>
      </c>
      <c r="C253" t="s">
        <v>5052</v>
      </c>
      <c r="D253" t="s">
        <v>416</v>
      </c>
      <c r="E253" t="s">
        <v>271</v>
      </c>
      <c r="F253" t="s">
        <v>439</v>
      </c>
    </row>
    <row r="254" spans="1:6" x14ac:dyDescent="0.25">
      <c r="A254" t="s">
        <v>5053</v>
      </c>
      <c r="B254" t="s">
        <v>5054</v>
      </c>
      <c r="C254" t="s">
        <v>5055</v>
      </c>
      <c r="D254" t="s">
        <v>519</v>
      </c>
      <c r="E254" t="s">
        <v>271</v>
      </c>
      <c r="F254" t="s">
        <v>324</v>
      </c>
    </row>
    <row r="255" spans="1:6" x14ac:dyDescent="0.25">
      <c r="A255" t="s">
        <v>5056</v>
      </c>
      <c r="B255" t="s">
        <v>5057</v>
      </c>
      <c r="C255" t="s">
        <v>5058</v>
      </c>
      <c r="D255" t="s">
        <v>616</v>
      </c>
      <c r="E255" t="s">
        <v>271</v>
      </c>
      <c r="F255" t="s">
        <v>1102</v>
      </c>
    </row>
    <row r="256" spans="1:6" x14ac:dyDescent="0.25">
      <c r="A256" t="s">
        <v>5059</v>
      </c>
      <c r="B256" t="s">
        <v>5060</v>
      </c>
      <c r="C256" t="s">
        <v>5061</v>
      </c>
      <c r="D256" t="s">
        <v>453</v>
      </c>
      <c r="E256" t="s">
        <v>271</v>
      </c>
      <c r="F256" t="s">
        <v>2285</v>
      </c>
    </row>
    <row r="257" spans="1:6" x14ac:dyDescent="0.25">
      <c r="A257" t="s">
        <v>2862</v>
      </c>
      <c r="B257" t="s">
        <v>2863</v>
      </c>
      <c r="C257" t="s">
        <v>2864</v>
      </c>
      <c r="D257" t="s">
        <v>1900</v>
      </c>
      <c r="E257" t="s">
        <v>271</v>
      </c>
      <c r="F257" t="s">
        <v>1899</v>
      </c>
    </row>
    <row r="258" spans="1:6" x14ac:dyDescent="0.25">
      <c r="A258" t="s">
        <v>5062</v>
      </c>
      <c r="B258" t="s">
        <v>5063</v>
      </c>
      <c r="C258" t="s">
        <v>5064</v>
      </c>
      <c r="D258" t="s">
        <v>2311</v>
      </c>
      <c r="E258" t="s">
        <v>271</v>
      </c>
      <c r="F258" t="s">
        <v>424</v>
      </c>
    </row>
    <row r="259" spans="1:6" x14ac:dyDescent="0.25">
      <c r="A259" t="s">
        <v>5065</v>
      </c>
      <c r="B259" t="s">
        <v>5066</v>
      </c>
      <c r="C259" t="s">
        <v>5067</v>
      </c>
      <c r="D259" t="s">
        <v>972</v>
      </c>
      <c r="E259" t="s">
        <v>269</v>
      </c>
      <c r="F259" t="s">
        <v>971</v>
      </c>
    </row>
    <row r="260" spans="1:6" x14ac:dyDescent="0.25">
      <c r="A260" t="s">
        <v>5068</v>
      </c>
      <c r="B260" t="s">
        <v>5069</v>
      </c>
      <c r="C260" t="s">
        <v>5070</v>
      </c>
      <c r="D260" t="s">
        <v>345</v>
      </c>
      <c r="E260" t="s">
        <v>269</v>
      </c>
      <c r="F260" t="s">
        <v>684</v>
      </c>
    </row>
    <row r="261" spans="1:6" x14ac:dyDescent="0.25">
      <c r="A261" t="s">
        <v>5071</v>
      </c>
      <c r="B261" t="s">
        <v>5072</v>
      </c>
      <c r="C261" t="s">
        <v>5073</v>
      </c>
      <c r="D261" t="s">
        <v>510</v>
      </c>
      <c r="E261" t="s">
        <v>271</v>
      </c>
      <c r="F261" t="s">
        <v>437</v>
      </c>
    </row>
    <row r="262" spans="1:6" x14ac:dyDescent="0.25">
      <c r="A262" t="s">
        <v>5074</v>
      </c>
      <c r="B262" t="s">
        <v>5075</v>
      </c>
      <c r="C262" t="s">
        <v>5076</v>
      </c>
      <c r="D262" t="s">
        <v>342</v>
      </c>
      <c r="E262" t="s">
        <v>265</v>
      </c>
      <c r="F262" t="s">
        <v>344</v>
      </c>
    </row>
    <row r="263" spans="1:6" x14ac:dyDescent="0.25">
      <c r="A263" t="s">
        <v>5077</v>
      </c>
      <c r="B263" t="s">
        <v>5078</v>
      </c>
      <c r="C263" t="s">
        <v>5079</v>
      </c>
      <c r="D263" t="s">
        <v>314</v>
      </c>
      <c r="E263" t="s">
        <v>271</v>
      </c>
      <c r="F263" t="s">
        <v>3081</v>
      </c>
    </row>
    <row r="264" spans="1:6" x14ac:dyDescent="0.25">
      <c r="A264" t="s">
        <v>5080</v>
      </c>
      <c r="B264" t="s">
        <v>5081</v>
      </c>
      <c r="C264" t="s">
        <v>5082</v>
      </c>
      <c r="D264" t="s">
        <v>287</v>
      </c>
      <c r="E264" t="s">
        <v>271</v>
      </c>
      <c r="F264" t="s">
        <v>4403</v>
      </c>
    </row>
    <row r="265" spans="1:6" x14ac:dyDescent="0.25">
      <c r="A265" t="s">
        <v>5083</v>
      </c>
      <c r="B265" t="s">
        <v>5084</v>
      </c>
      <c r="C265" t="s">
        <v>5085</v>
      </c>
      <c r="D265" t="s">
        <v>1485</v>
      </c>
      <c r="E265" t="s">
        <v>271</v>
      </c>
      <c r="F265" t="s">
        <v>1484</v>
      </c>
    </row>
    <row r="266" spans="1:6" x14ac:dyDescent="0.25">
      <c r="A266" t="s">
        <v>5086</v>
      </c>
      <c r="B266" t="s">
        <v>5087</v>
      </c>
      <c r="C266" t="s">
        <v>5088</v>
      </c>
      <c r="D266" t="s">
        <v>293</v>
      </c>
      <c r="E266" t="s">
        <v>271</v>
      </c>
      <c r="F266" t="s">
        <v>1575</v>
      </c>
    </row>
    <row r="267" spans="1:6" x14ac:dyDescent="0.25">
      <c r="A267" t="s">
        <v>5089</v>
      </c>
      <c r="B267" t="s">
        <v>5090</v>
      </c>
      <c r="C267" t="s">
        <v>5091</v>
      </c>
      <c r="D267" t="s">
        <v>0</v>
      </c>
      <c r="E267" t="s">
        <v>271</v>
      </c>
      <c r="F267" t="s">
        <v>432</v>
      </c>
    </row>
    <row r="268" spans="1:6" x14ac:dyDescent="0.25">
      <c r="A268" t="s">
        <v>5092</v>
      </c>
      <c r="B268" t="s">
        <v>5093</v>
      </c>
      <c r="C268" t="s">
        <v>5094</v>
      </c>
      <c r="D268" t="s">
        <v>347</v>
      </c>
      <c r="E268" t="s">
        <v>271</v>
      </c>
      <c r="F268" t="s">
        <v>327</v>
      </c>
    </row>
    <row r="269" spans="1:6" x14ac:dyDescent="0.25">
      <c r="A269" t="s">
        <v>5095</v>
      </c>
      <c r="B269" t="s">
        <v>5096</v>
      </c>
      <c r="C269" t="s">
        <v>5097</v>
      </c>
      <c r="D269" t="s">
        <v>0</v>
      </c>
      <c r="E269" t="s">
        <v>271</v>
      </c>
      <c r="F269" t="s">
        <v>4295</v>
      </c>
    </row>
    <row r="270" spans="1:6" x14ac:dyDescent="0.25">
      <c r="A270" t="s">
        <v>5098</v>
      </c>
      <c r="B270" t="s">
        <v>5099</v>
      </c>
      <c r="C270" t="s">
        <v>5100</v>
      </c>
      <c r="D270" t="s">
        <v>272</v>
      </c>
      <c r="E270" t="s">
        <v>269</v>
      </c>
      <c r="F270" t="s">
        <v>907</v>
      </c>
    </row>
    <row r="271" spans="1:6" x14ac:dyDescent="0.25">
      <c r="A271" t="s">
        <v>847</v>
      </c>
      <c r="B271" t="s">
        <v>848</v>
      </c>
      <c r="C271" t="s">
        <v>849</v>
      </c>
      <c r="D271" t="s">
        <v>482</v>
      </c>
      <c r="E271" t="s">
        <v>271</v>
      </c>
      <c r="F271" t="s">
        <v>483</v>
      </c>
    </row>
    <row r="272" spans="1:6" x14ac:dyDescent="0.25">
      <c r="A272" t="s">
        <v>5101</v>
      </c>
      <c r="B272" t="s">
        <v>5102</v>
      </c>
      <c r="C272" t="s">
        <v>5103</v>
      </c>
      <c r="D272" t="s">
        <v>314</v>
      </c>
      <c r="E272" t="s">
        <v>271</v>
      </c>
      <c r="F272" t="s">
        <v>352</v>
      </c>
    </row>
    <row r="273" spans="1:6" x14ac:dyDescent="0.25">
      <c r="A273" t="s">
        <v>5104</v>
      </c>
      <c r="B273" t="s">
        <v>5105</v>
      </c>
      <c r="C273" t="s">
        <v>5106</v>
      </c>
      <c r="D273" t="s">
        <v>967</v>
      </c>
      <c r="E273" t="s">
        <v>271</v>
      </c>
      <c r="F273" t="s">
        <v>966</v>
      </c>
    </row>
    <row r="274" spans="1:6" x14ac:dyDescent="0.25">
      <c r="A274" t="s">
        <v>5107</v>
      </c>
      <c r="B274" t="s">
        <v>5108</v>
      </c>
      <c r="C274" t="s">
        <v>5109</v>
      </c>
      <c r="D274" t="s">
        <v>1079</v>
      </c>
      <c r="E274" t="s">
        <v>271</v>
      </c>
      <c r="F274" t="s">
        <v>1747</v>
      </c>
    </row>
    <row r="275" spans="1:6" x14ac:dyDescent="0.25">
      <c r="A275" t="s">
        <v>5110</v>
      </c>
      <c r="B275" t="s">
        <v>5111</v>
      </c>
      <c r="C275" t="s">
        <v>5112</v>
      </c>
      <c r="D275" t="s">
        <v>1186</v>
      </c>
      <c r="E275" t="s">
        <v>271</v>
      </c>
      <c r="F275" t="s">
        <v>1185</v>
      </c>
    </row>
    <row r="276" spans="1:6" x14ac:dyDescent="0.25">
      <c r="A276" t="s">
        <v>5113</v>
      </c>
      <c r="B276" t="s">
        <v>5114</v>
      </c>
      <c r="C276" t="s">
        <v>5115</v>
      </c>
      <c r="D276" t="s">
        <v>288</v>
      </c>
      <c r="E276" t="s">
        <v>271</v>
      </c>
      <c r="F276" t="s">
        <v>4408</v>
      </c>
    </row>
    <row r="277" spans="1:6" x14ac:dyDescent="0.25">
      <c r="A277" t="s">
        <v>5116</v>
      </c>
      <c r="B277" t="s">
        <v>5117</v>
      </c>
      <c r="C277" t="s">
        <v>5118</v>
      </c>
      <c r="D277" t="s">
        <v>460</v>
      </c>
      <c r="E277" t="s">
        <v>271</v>
      </c>
      <c r="F277" t="s">
        <v>435</v>
      </c>
    </row>
    <row r="278" spans="1:6" x14ac:dyDescent="0.25">
      <c r="A278" t="s">
        <v>5119</v>
      </c>
      <c r="B278" t="s">
        <v>5120</v>
      </c>
      <c r="C278" t="s">
        <v>5121</v>
      </c>
      <c r="D278" t="s">
        <v>4470</v>
      </c>
      <c r="E278" t="s">
        <v>271</v>
      </c>
      <c r="F278" t="s">
        <v>4426</v>
      </c>
    </row>
    <row r="279" spans="1:6" x14ac:dyDescent="0.25">
      <c r="A279" t="s">
        <v>5122</v>
      </c>
      <c r="B279" t="s">
        <v>5123</v>
      </c>
      <c r="C279" t="s">
        <v>5124</v>
      </c>
      <c r="D279" t="s">
        <v>0</v>
      </c>
      <c r="E279" t="s">
        <v>271</v>
      </c>
      <c r="F279" t="s">
        <v>436</v>
      </c>
    </row>
    <row r="280" spans="1:6" x14ac:dyDescent="0.25">
      <c r="A280" t="s">
        <v>5125</v>
      </c>
      <c r="B280" t="s">
        <v>5126</v>
      </c>
      <c r="C280" t="s">
        <v>5127</v>
      </c>
      <c r="D280" t="s">
        <v>0</v>
      </c>
      <c r="E280" t="s">
        <v>271</v>
      </c>
      <c r="F280" t="s">
        <v>1534</v>
      </c>
    </row>
    <row r="281" spans="1:6" x14ac:dyDescent="0.25">
      <c r="A281" t="s">
        <v>5128</v>
      </c>
      <c r="B281" t="s">
        <v>5129</v>
      </c>
      <c r="C281" t="s">
        <v>5130</v>
      </c>
      <c r="D281" t="s">
        <v>519</v>
      </c>
      <c r="E281" t="s">
        <v>271</v>
      </c>
      <c r="F281" t="s">
        <v>324</v>
      </c>
    </row>
    <row r="282" spans="1:6" x14ac:dyDescent="0.25">
      <c r="A282" t="s">
        <v>5131</v>
      </c>
      <c r="B282" t="s">
        <v>5132</v>
      </c>
      <c r="C282" t="s">
        <v>5133</v>
      </c>
      <c r="D282" t="s">
        <v>1638</v>
      </c>
      <c r="E282" t="s">
        <v>271</v>
      </c>
      <c r="F282" t="s">
        <v>1637</v>
      </c>
    </row>
    <row r="283" spans="1:6" x14ac:dyDescent="0.25">
      <c r="A283" t="s">
        <v>5134</v>
      </c>
      <c r="B283" t="s">
        <v>5135</v>
      </c>
      <c r="C283" t="s">
        <v>5136</v>
      </c>
      <c r="D283" t="s">
        <v>0</v>
      </c>
      <c r="E283" t="s">
        <v>271</v>
      </c>
      <c r="F283" t="s">
        <v>575</v>
      </c>
    </row>
    <row r="284" spans="1:6" x14ac:dyDescent="0.25">
      <c r="A284" t="s">
        <v>5137</v>
      </c>
      <c r="B284" t="s">
        <v>5138</v>
      </c>
      <c r="C284" t="s">
        <v>5139</v>
      </c>
      <c r="D284" t="s">
        <v>0</v>
      </c>
      <c r="E284" t="s">
        <v>271</v>
      </c>
      <c r="F284" t="s">
        <v>356</v>
      </c>
    </row>
    <row r="285" spans="1:6" x14ac:dyDescent="0.25">
      <c r="A285" t="s">
        <v>5140</v>
      </c>
      <c r="B285" t="s">
        <v>5141</v>
      </c>
      <c r="C285" t="s">
        <v>5142</v>
      </c>
      <c r="D285" t="s">
        <v>0</v>
      </c>
      <c r="E285" t="s">
        <v>271</v>
      </c>
      <c r="F285" t="s">
        <v>432</v>
      </c>
    </row>
    <row r="286" spans="1:6" x14ac:dyDescent="0.25">
      <c r="A286" t="s">
        <v>5143</v>
      </c>
      <c r="B286" t="s">
        <v>5144</v>
      </c>
      <c r="C286" t="s">
        <v>5145</v>
      </c>
      <c r="D286" t="s">
        <v>0</v>
      </c>
      <c r="E286" t="s">
        <v>271</v>
      </c>
      <c r="F286" t="s">
        <v>1321</v>
      </c>
    </row>
    <row r="287" spans="1:6" x14ac:dyDescent="0.25">
      <c r="A287" t="s">
        <v>1182</v>
      </c>
      <c r="B287" t="s">
        <v>1183</v>
      </c>
      <c r="C287" t="s">
        <v>1187</v>
      </c>
      <c r="D287" t="s">
        <v>1186</v>
      </c>
      <c r="E287" t="s">
        <v>271</v>
      </c>
      <c r="F287" t="s">
        <v>1185</v>
      </c>
    </row>
    <row r="288" spans="1:6" x14ac:dyDescent="0.25">
      <c r="A288" t="s">
        <v>5146</v>
      </c>
      <c r="B288" t="s">
        <v>5147</v>
      </c>
      <c r="C288" t="s">
        <v>5148</v>
      </c>
      <c r="D288" t="s">
        <v>314</v>
      </c>
      <c r="E288" t="s">
        <v>271</v>
      </c>
      <c r="F288" t="s">
        <v>370</v>
      </c>
    </row>
    <row r="289" spans="1:6" x14ac:dyDescent="0.25">
      <c r="A289" t="s">
        <v>5149</v>
      </c>
      <c r="B289" t="s">
        <v>5150</v>
      </c>
      <c r="C289" t="s">
        <v>5151</v>
      </c>
      <c r="D289" t="s">
        <v>1665</v>
      </c>
      <c r="E289" t="s">
        <v>271</v>
      </c>
      <c r="F289" t="s">
        <v>1664</v>
      </c>
    </row>
    <row r="290" spans="1:6" x14ac:dyDescent="0.25">
      <c r="A290" t="s">
        <v>5152</v>
      </c>
      <c r="B290" t="s">
        <v>5153</v>
      </c>
      <c r="C290" t="s">
        <v>5154</v>
      </c>
      <c r="D290" t="s">
        <v>986</v>
      </c>
      <c r="E290" t="s">
        <v>271</v>
      </c>
      <c r="F290" t="s">
        <v>985</v>
      </c>
    </row>
    <row r="291" spans="1:6" x14ac:dyDescent="0.25">
      <c r="A291" t="s">
        <v>5155</v>
      </c>
      <c r="B291" t="s">
        <v>5156</v>
      </c>
      <c r="C291" t="s">
        <v>5157</v>
      </c>
      <c r="D291" t="s">
        <v>0</v>
      </c>
      <c r="E291" t="s">
        <v>271</v>
      </c>
      <c r="F291" t="s">
        <v>562</v>
      </c>
    </row>
    <row r="292" spans="1:6" x14ac:dyDescent="0.25">
      <c r="A292" t="s">
        <v>5158</v>
      </c>
      <c r="B292" t="s">
        <v>5159</v>
      </c>
      <c r="C292" t="s">
        <v>5160</v>
      </c>
      <c r="D292" t="s">
        <v>472</v>
      </c>
      <c r="E292" t="s">
        <v>271</v>
      </c>
      <c r="F292" t="s">
        <v>318</v>
      </c>
    </row>
    <row r="293" spans="1:6" x14ac:dyDescent="0.25">
      <c r="A293" t="s">
        <v>5161</v>
      </c>
      <c r="B293" t="s">
        <v>5162</v>
      </c>
      <c r="C293" t="s">
        <v>5163</v>
      </c>
      <c r="D293" t="s">
        <v>1079</v>
      </c>
      <c r="E293" t="s">
        <v>271</v>
      </c>
      <c r="F293" t="s">
        <v>1747</v>
      </c>
    </row>
    <row r="294" spans="1:6" x14ac:dyDescent="0.25">
      <c r="A294" t="s">
        <v>5164</v>
      </c>
      <c r="B294" t="s">
        <v>5165</v>
      </c>
      <c r="C294" t="s">
        <v>5166</v>
      </c>
      <c r="D294" t="s">
        <v>5167</v>
      </c>
      <c r="E294" t="s">
        <v>271</v>
      </c>
      <c r="F294" t="s">
        <v>4383</v>
      </c>
    </row>
    <row r="295" spans="1:6" x14ac:dyDescent="0.25">
      <c r="A295" t="s">
        <v>5168</v>
      </c>
      <c r="B295" t="s">
        <v>5169</v>
      </c>
      <c r="C295" t="s">
        <v>5170</v>
      </c>
      <c r="D295" t="s">
        <v>500</v>
      </c>
      <c r="E295" t="s">
        <v>271</v>
      </c>
      <c r="F295" t="s">
        <v>501</v>
      </c>
    </row>
    <row r="296" spans="1:6" x14ac:dyDescent="0.25">
      <c r="A296" t="s">
        <v>5171</v>
      </c>
      <c r="B296" t="s">
        <v>5172</v>
      </c>
      <c r="C296" t="s">
        <v>5173</v>
      </c>
      <c r="D296" t="s">
        <v>0</v>
      </c>
      <c r="E296" t="s">
        <v>271</v>
      </c>
      <c r="F296" t="s">
        <v>319</v>
      </c>
    </row>
    <row r="297" spans="1:6" x14ac:dyDescent="0.25">
      <c r="A297" t="s">
        <v>5174</v>
      </c>
      <c r="B297" t="s">
        <v>5175</v>
      </c>
      <c r="C297" t="s">
        <v>5176</v>
      </c>
      <c r="D297" t="s">
        <v>314</v>
      </c>
      <c r="E297" t="s">
        <v>271</v>
      </c>
      <c r="F297" t="s">
        <v>352</v>
      </c>
    </row>
    <row r="298" spans="1:6" x14ac:dyDescent="0.25">
      <c r="A298" t="s">
        <v>5177</v>
      </c>
      <c r="B298" t="s">
        <v>5178</v>
      </c>
      <c r="C298" t="s">
        <v>5179</v>
      </c>
      <c r="D298" t="s">
        <v>0</v>
      </c>
      <c r="E298" t="s">
        <v>271</v>
      </c>
      <c r="F298" t="s">
        <v>881</v>
      </c>
    </row>
    <row r="299" spans="1:6" x14ac:dyDescent="0.25">
      <c r="A299" t="s">
        <v>5180</v>
      </c>
      <c r="B299" t="s">
        <v>5181</v>
      </c>
      <c r="C299" t="s">
        <v>5182</v>
      </c>
      <c r="D299" t="s">
        <v>0</v>
      </c>
      <c r="E299" t="s">
        <v>271</v>
      </c>
      <c r="F299" t="s">
        <v>431</v>
      </c>
    </row>
    <row r="300" spans="1:6" x14ac:dyDescent="0.25">
      <c r="A300" t="s">
        <v>5183</v>
      </c>
      <c r="B300" t="s">
        <v>5184</v>
      </c>
      <c r="C300" t="s">
        <v>5185</v>
      </c>
      <c r="D300" t="s">
        <v>0</v>
      </c>
      <c r="E300" t="s">
        <v>271</v>
      </c>
      <c r="F300" t="s">
        <v>2349</v>
      </c>
    </row>
    <row r="301" spans="1:6" x14ac:dyDescent="0.25">
      <c r="A301" t="s">
        <v>5186</v>
      </c>
      <c r="B301" t="s">
        <v>5187</v>
      </c>
      <c r="C301" t="s">
        <v>1181</v>
      </c>
      <c r="D301" t="s">
        <v>0</v>
      </c>
      <c r="E301" t="s">
        <v>271</v>
      </c>
      <c r="F301" t="s">
        <v>1180</v>
      </c>
    </row>
    <row r="302" spans="1:6" x14ac:dyDescent="0.25">
      <c r="A302" t="s">
        <v>5188</v>
      </c>
      <c r="B302" t="s">
        <v>5189</v>
      </c>
      <c r="C302" t="s">
        <v>5190</v>
      </c>
      <c r="D302" t="s">
        <v>1303</v>
      </c>
      <c r="E302" t="s">
        <v>269</v>
      </c>
      <c r="F302" t="s">
        <v>1302</v>
      </c>
    </row>
    <row r="303" spans="1:6" x14ac:dyDescent="0.25">
      <c r="A303" t="s">
        <v>3105</v>
      </c>
      <c r="B303" t="s">
        <v>3106</v>
      </c>
      <c r="C303" t="s">
        <v>3107</v>
      </c>
      <c r="D303" t="s">
        <v>490</v>
      </c>
      <c r="E303" t="s">
        <v>271</v>
      </c>
      <c r="F303" t="s">
        <v>491</v>
      </c>
    </row>
    <row r="304" spans="1:6" x14ac:dyDescent="0.25">
      <c r="A304" t="s">
        <v>5191</v>
      </c>
      <c r="B304" t="s">
        <v>5192</v>
      </c>
      <c r="C304" t="s">
        <v>5193</v>
      </c>
      <c r="D304" t="s">
        <v>506</v>
      </c>
      <c r="E304" t="s">
        <v>271</v>
      </c>
      <c r="F304" t="s">
        <v>507</v>
      </c>
    </row>
    <row r="305" spans="1:6" x14ac:dyDescent="0.25">
      <c r="A305" t="s">
        <v>3437</v>
      </c>
      <c r="B305" t="s">
        <v>3438</v>
      </c>
      <c r="C305" t="s">
        <v>3439</v>
      </c>
      <c r="D305" t="s">
        <v>1925</v>
      </c>
      <c r="E305" t="s">
        <v>271</v>
      </c>
      <c r="F305" t="s">
        <v>1924</v>
      </c>
    </row>
    <row r="306" spans="1:6" x14ac:dyDescent="0.25">
      <c r="A306" t="s">
        <v>5194</v>
      </c>
      <c r="B306" t="s">
        <v>5195</v>
      </c>
      <c r="C306" t="s">
        <v>5196</v>
      </c>
      <c r="D306" t="s">
        <v>5197</v>
      </c>
      <c r="E306" t="s">
        <v>271</v>
      </c>
      <c r="F306" t="s">
        <v>5198</v>
      </c>
    </row>
    <row r="307" spans="1:6" x14ac:dyDescent="0.25">
      <c r="A307" t="s">
        <v>5199</v>
      </c>
      <c r="B307" t="s">
        <v>5200</v>
      </c>
      <c r="C307" t="s">
        <v>5201</v>
      </c>
      <c r="D307" t="s">
        <v>0</v>
      </c>
      <c r="E307" t="s">
        <v>271</v>
      </c>
      <c r="F307" t="s">
        <v>325</v>
      </c>
    </row>
    <row r="308" spans="1:6" x14ac:dyDescent="0.25">
      <c r="A308" t="s">
        <v>5202</v>
      </c>
      <c r="B308" t="s">
        <v>5203</v>
      </c>
      <c r="C308" t="s">
        <v>5204</v>
      </c>
      <c r="D308" t="s">
        <v>0</v>
      </c>
      <c r="E308" t="s">
        <v>271</v>
      </c>
      <c r="F308" t="s">
        <v>2641</v>
      </c>
    </row>
    <row r="309" spans="1:6" x14ac:dyDescent="0.25">
      <c r="A309" t="s">
        <v>5205</v>
      </c>
      <c r="B309" t="s">
        <v>5206</v>
      </c>
      <c r="C309" t="s">
        <v>5207</v>
      </c>
      <c r="D309" t="s">
        <v>1973</v>
      </c>
      <c r="E309" t="s">
        <v>271</v>
      </c>
      <c r="F309" t="s">
        <v>1972</v>
      </c>
    </row>
    <row r="310" spans="1:6" x14ac:dyDescent="0.25">
      <c r="A310" t="s">
        <v>5208</v>
      </c>
      <c r="B310" t="s">
        <v>5209</v>
      </c>
      <c r="C310" t="s">
        <v>5210</v>
      </c>
      <c r="D310" t="s">
        <v>540</v>
      </c>
      <c r="E310" t="s">
        <v>271</v>
      </c>
      <c r="F310" t="s">
        <v>339</v>
      </c>
    </row>
    <row r="311" spans="1:6" x14ac:dyDescent="0.25">
      <c r="A311" t="s">
        <v>5211</v>
      </c>
      <c r="B311" t="s">
        <v>5212</v>
      </c>
      <c r="C311" t="s">
        <v>5213</v>
      </c>
      <c r="D311" t="s">
        <v>402</v>
      </c>
      <c r="E311" t="s">
        <v>271</v>
      </c>
      <c r="F311" t="s">
        <v>401</v>
      </c>
    </row>
    <row r="312" spans="1:6" x14ac:dyDescent="0.25">
      <c r="A312" t="s">
        <v>5214</v>
      </c>
      <c r="B312" t="s">
        <v>5215</v>
      </c>
      <c r="C312" t="s">
        <v>5216</v>
      </c>
      <c r="D312" t="s">
        <v>1027</v>
      </c>
      <c r="E312" t="s">
        <v>271</v>
      </c>
      <c r="F312" t="s">
        <v>1026</v>
      </c>
    </row>
    <row r="313" spans="1:6" x14ac:dyDescent="0.25">
      <c r="A313" t="s">
        <v>5217</v>
      </c>
      <c r="B313" t="s">
        <v>5218</v>
      </c>
      <c r="C313" t="s">
        <v>5219</v>
      </c>
      <c r="D313" t="s">
        <v>0</v>
      </c>
      <c r="E313" t="s">
        <v>271</v>
      </c>
      <c r="F313" t="s">
        <v>1534</v>
      </c>
    </row>
    <row r="314" spans="1:6" x14ac:dyDescent="0.25">
      <c r="A314" t="s">
        <v>5220</v>
      </c>
      <c r="B314" t="s">
        <v>369</v>
      </c>
      <c r="C314" t="s">
        <v>5221</v>
      </c>
      <c r="D314" t="s">
        <v>0</v>
      </c>
      <c r="E314" t="s">
        <v>271</v>
      </c>
      <c r="F314" t="s">
        <v>325</v>
      </c>
    </row>
    <row r="315" spans="1:6" x14ac:dyDescent="0.25">
      <c r="A315" t="s">
        <v>5222</v>
      </c>
      <c r="B315" t="s">
        <v>5223</v>
      </c>
      <c r="C315" t="s">
        <v>5224</v>
      </c>
      <c r="D315" t="s">
        <v>0</v>
      </c>
      <c r="E315" t="s">
        <v>271</v>
      </c>
      <c r="F315" t="s">
        <v>355</v>
      </c>
    </row>
    <row r="316" spans="1:6" x14ac:dyDescent="0.25">
      <c r="A316" t="s">
        <v>5225</v>
      </c>
      <c r="B316" t="s">
        <v>5226</v>
      </c>
      <c r="C316" t="s">
        <v>5227</v>
      </c>
      <c r="D316" t="s">
        <v>0</v>
      </c>
      <c r="E316" t="s">
        <v>271</v>
      </c>
      <c r="F316" t="s">
        <v>1148</v>
      </c>
    </row>
    <row r="317" spans="1:6" x14ac:dyDescent="0.25">
      <c r="A317" t="s">
        <v>5228</v>
      </c>
      <c r="B317" t="s">
        <v>5229</v>
      </c>
      <c r="C317" t="s">
        <v>5230</v>
      </c>
      <c r="D317" t="s">
        <v>0</v>
      </c>
      <c r="E317" t="s">
        <v>271</v>
      </c>
      <c r="F317" t="s">
        <v>2641</v>
      </c>
    </row>
    <row r="318" spans="1:6" x14ac:dyDescent="0.25">
      <c r="A318" t="s">
        <v>5231</v>
      </c>
      <c r="B318" t="s">
        <v>5232</v>
      </c>
      <c r="C318" t="s">
        <v>5233</v>
      </c>
      <c r="D318" t="s">
        <v>506</v>
      </c>
      <c r="E318" t="s">
        <v>271</v>
      </c>
      <c r="F318" t="s">
        <v>507</v>
      </c>
    </row>
    <row r="319" spans="1:6" x14ac:dyDescent="0.25">
      <c r="A319" t="s">
        <v>5234</v>
      </c>
      <c r="B319" t="s">
        <v>5235</v>
      </c>
      <c r="C319" t="s">
        <v>5236</v>
      </c>
      <c r="D319" t="s">
        <v>453</v>
      </c>
      <c r="E319" t="s">
        <v>271</v>
      </c>
      <c r="F319" t="s">
        <v>454</v>
      </c>
    </row>
    <row r="320" spans="1:6" x14ac:dyDescent="0.25">
      <c r="A320" t="s">
        <v>5237</v>
      </c>
      <c r="B320" t="s">
        <v>5238</v>
      </c>
      <c r="C320" t="s">
        <v>5239</v>
      </c>
      <c r="D320" t="s">
        <v>0</v>
      </c>
      <c r="E320" t="s">
        <v>271</v>
      </c>
      <c r="F320" t="s">
        <v>431</v>
      </c>
    </row>
    <row r="321" spans="1:6" x14ac:dyDescent="0.25">
      <c r="A321" t="s">
        <v>5240</v>
      </c>
      <c r="B321" t="s">
        <v>5241</v>
      </c>
      <c r="C321" t="s">
        <v>5242</v>
      </c>
      <c r="D321" t="s">
        <v>0</v>
      </c>
      <c r="E321" t="s">
        <v>271</v>
      </c>
      <c r="F321" t="s">
        <v>356</v>
      </c>
    </row>
    <row r="322" spans="1:6" x14ac:dyDescent="0.25">
      <c r="A322" t="s">
        <v>5243</v>
      </c>
      <c r="B322" t="s">
        <v>5244</v>
      </c>
      <c r="C322" t="s">
        <v>5245</v>
      </c>
      <c r="D322" t="s">
        <v>5246</v>
      </c>
      <c r="E322" t="s">
        <v>265</v>
      </c>
      <c r="F322" t="s">
        <v>5247</v>
      </c>
    </row>
    <row r="323" spans="1:6" x14ac:dyDescent="0.25">
      <c r="A323" t="s">
        <v>5248</v>
      </c>
      <c r="B323" t="s">
        <v>5249</v>
      </c>
      <c r="C323" t="s">
        <v>5250</v>
      </c>
      <c r="D323" t="s">
        <v>1064</v>
      </c>
      <c r="E323" t="s">
        <v>269</v>
      </c>
      <c r="F323" t="s">
        <v>1063</v>
      </c>
    </row>
    <row r="324" spans="1:6" x14ac:dyDescent="0.25">
      <c r="A324" t="s">
        <v>5251</v>
      </c>
      <c r="B324" t="s">
        <v>5252</v>
      </c>
      <c r="C324" t="s">
        <v>5253</v>
      </c>
      <c r="D324" t="s">
        <v>0</v>
      </c>
      <c r="E324" t="s">
        <v>271</v>
      </c>
      <c r="F324" t="s">
        <v>319</v>
      </c>
    </row>
    <row r="325" spans="1:6" x14ac:dyDescent="0.25">
      <c r="A325" t="s">
        <v>5254</v>
      </c>
      <c r="B325" t="s">
        <v>5255</v>
      </c>
      <c r="C325" t="s">
        <v>5256</v>
      </c>
      <c r="D325" t="s">
        <v>0</v>
      </c>
      <c r="E325" t="s">
        <v>271</v>
      </c>
      <c r="F325" t="s">
        <v>1141</v>
      </c>
    </row>
    <row r="326" spans="1:6" x14ac:dyDescent="0.25">
      <c r="A326" t="s">
        <v>5257</v>
      </c>
      <c r="B326" t="s">
        <v>5258</v>
      </c>
      <c r="C326" t="s">
        <v>5259</v>
      </c>
      <c r="D326" t="s">
        <v>1559</v>
      </c>
      <c r="E326" t="s">
        <v>271</v>
      </c>
      <c r="F326" t="s">
        <v>1558</v>
      </c>
    </row>
    <row r="327" spans="1:6" x14ac:dyDescent="0.25">
      <c r="A327" t="s">
        <v>5260</v>
      </c>
      <c r="B327" t="s">
        <v>5261</v>
      </c>
      <c r="C327" t="s">
        <v>5262</v>
      </c>
      <c r="D327" t="s">
        <v>450</v>
      </c>
      <c r="E327" t="s">
        <v>271</v>
      </c>
      <c r="F327" t="s">
        <v>326</v>
      </c>
    </row>
    <row r="328" spans="1:6" x14ac:dyDescent="0.25">
      <c r="A328" t="s">
        <v>5263</v>
      </c>
      <c r="B328" t="s">
        <v>523</v>
      </c>
      <c r="C328" t="s">
        <v>5264</v>
      </c>
      <c r="D328" t="s">
        <v>5265</v>
      </c>
      <c r="E328" t="s">
        <v>271</v>
      </c>
      <c r="F328" t="s">
        <v>3290</v>
      </c>
    </row>
    <row r="329" spans="1:6" x14ac:dyDescent="0.25">
      <c r="A329" t="s">
        <v>5266</v>
      </c>
      <c r="B329" t="s">
        <v>5267</v>
      </c>
      <c r="C329" t="s">
        <v>5268</v>
      </c>
      <c r="D329" t="s">
        <v>340</v>
      </c>
      <c r="E329" t="s">
        <v>271</v>
      </c>
      <c r="F329" t="s">
        <v>317</v>
      </c>
    </row>
    <row r="330" spans="1:6" x14ac:dyDescent="0.25">
      <c r="A330" t="s">
        <v>5269</v>
      </c>
      <c r="B330" t="s">
        <v>5270</v>
      </c>
      <c r="C330" t="s">
        <v>5271</v>
      </c>
      <c r="D330" t="s">
        <v>2024</v>
      </c>
      <c r="E330" t="s">
        <v>271</v>
      </c>
      <c r="F330" t="s">
        <v>428</v>
      </c>
    </row>
    <row r="331" spans="1:6" x14ac:dyDescent="0.25">
      <c r="A331" t="s">
        <v>5272</v>
      </c>
      <c r="B331" t="s">
        <v>5273</v>
      </c>
      <c r="C331" t="s">
        <v>5274</v>
      </c>
      <c r="D331" t="s">
        <v>1027</v>
      </c>
      <c r="E331" t="s">
        <v>271</v>
      </c>
      <c r="F331" t="s">
        <v>1026</v>
      </c>
    </row>
    <row r="332" spans="1:6" x14ac:dyDescent="0.25">
      <c r="A332" t="s">
        <v>5275</v>
      </c>
      <c r="B332" t="s">
        <v>5276</v>
      </c>
      <c r="C332" t="s">
        <v>5277</v>
      </c>
      <c r="D332" t="s">
        <v>1337</v>
      </c>
      <c r="E332" t="s">
        <v>271</v>
      </c>
      <c r="F332" t="s">
        <v>1336</v>
      </c>
    </row>
    <row r="333" spans="1:6" x14ac:dyDescent="0.25">
      <c r="A333" t="s">
        <v>5278</v>
      </c>
      <c r="B333" t="s">
        <v>5279</v>
      </c>
      <c r="C333" t="s">
        <v>5280</v>
      </c>
      <c r="D333" t="s">
        <v>402</v>
      </c>
      <c r="E333" t="s">
        <v>271</v>
      </c>
      <c r="F333" t="s">
        <v>401</v>
      </c>
    </row>
    <row r="334" spans="1:6" x14ac:dyDescent="0.25">
      <c r="A334" t="s">
        <v>5281</v>
      </c>
      <c r="B334" t="s">
        <v>5282</v>
      </c>
      <c r="C334" t="s">
        <v>5283</v>
      </c>
      <c r="D334" t="s">
        <v>1165</v>
      </c>
      <c r="E334" t="s">
        <v>271</v>
      </c>
      <c r="F334" t="s">
        <v>1402</v>
      </c>
    </row>
    <row r="335" spans="1:6" x14ac:dyDescent="0.25">
      <c r="A335" t="s">
        <v>5284</v>
      </c>
      <c r="B335" t="s">
        <v>5285</v>
      </c>
      <c r="C335" t="s">
        <v>5286</v>
      </c>
      <c r="D335" t="s">
        <v>0</v>
      </c>
      <c r="E335" t="s">
        <v>271</v>
      </c>
      <c r="F335" t="s">
        <v>355</v>
      </c>
    </row>
    <row r="336" spans="1:6" x14ac:dyDescent="0.25">
      <c r="A336" t="s">
        <v>5287</v>
      </c>
      <c r="B336" t="s">
        <v>5288</v>
      </c>
      <c r="C336" t="s">
        <v>5289</v>
      </c>
      <c r="D336" t="s">
        <v>986</v>
      </c>
      <c r="E336" t="s">
        <v>271</v>
      </c>
      <c r="F336" t="s">
        <v>985</v>
      </c>
    </row>
    <row r="337" spans="1:6" x14ac:dyDescent="0.25">
      <c r="A337" t="s">
        <v>5290</v>
      </c>
      <c r="B337" t="s">
        <v>5291</v>
      </c>
      <c r="C337" t="s">
        <v>5292</v>
      </c>
      <c r="D337" t="s">
        <v>460</v>
      </c>
      <c r="E337" t="s">
        <v>271</v>
      </c>
      <c r="F337" t="s">
        <v>435</v>
      </c>
    </row>
    <row r="338" spans="1:6" x14ac:dyDescent="0.25">
      <c r="A338" t="s">
        <v>5293</v>
      </c>
      <c r="B338" t="s">
        <v>5294</v>
      </c>
      <c r="C338" t="s">
        <v>5295</v>
      </c>
      <c r="D338" t="s">
        <v>1348</v>
      </c>
      <c r="E338" t="s">
        <v>271</v>
      </c>
      <c r="F338" t="s">
        <v>2057</v>
      </c>
    </row>
    <row r="339" spans="1:6" x14ac:dyDescent="0.25">
      <c r="A339" t="s">
        <v>5296</v>
      </c>
      <c r="B339" t="s">
        <v>5297</v>
      </c>
      <c r="C339" t="s">
        <v>2889</v>
      </c>
      <c r="D339" t="s">
        <v>1292</v>
      </c>
      <c r="E339" t="s">
        <v>271</v>
      </c>
      <c r="F339" t="s">
        <v>1291</v>
      </c>
    </row>
    <row r="340" spans="1:6" x14ac:dyDescent="0.25">
      <c r="A340" t="s">
        <v>3063</v>
      </c>
      <c r="B340" t="s">
        <v>3064</v>
      </c>
      <c r="C340" t="s">
        <v>3065</v>
      </c>
      <c r="D340" t="s">
        <v>282</v>
      </c>
      <c r="E340" t="s">
        <v>271</v>
      </c>
      <c r="F340" t="s">
        <v>1191</v>
      </c>
    </row>
    <row r="341" spans="1:6" x14ac:dyDescent="0.25">
      <c r="A341" t="s">
        <v>5298</v>
      </c>
      <c r="B341" t="s">
        <v>5299</v>
      </c>
      <c r="C341" t="s">
        <v>5300</v>
      </c>
      <c r="D341" t="s">
        <v>1542</v>
      </c>
      <c r="E341" t="s">
        <v>269</v>
      </c>
      <c r="F341" t="s">
        <v>1541</v>
      </c>
    </row>
    <row r="342" spans="1:6" x14ac:dyDescent="0.25">
      <c r="A342" t="s">
        <v>5301</v>
      </c>
      <c r="B342" t="s">
        <v>5302</v>
      </c>
      <c r="C342" t="s">
        <v>5303</v>
      </c>
      <c r="D342" t="s">
        <v>0</v>
      </c>
      <c r="E342" t="s">
        <v>271</v>
      </c>
      <c r="F342" t="s">
        <v>436</v>
      </c>
    </row>
    <row r="343" spans="1:6" x14ac:dyDescent="0.25">
      <c r="A343" t="s">
        <v>5304</v>
      </c>
      <c r="B343" t="s">
        <v>5305</v>
      </c>
      <c r="C343" t="s">
        <v>5306</v>
      </c>
      <c r="D343" t="s">
        <v>492</v>
      </c>
      <c r="E343" t="s">
        <v>271</v>
      </c>
      <c r="F343" t="s">
        <v>493</v>
      </c>
    </row>
    <row r="344" spans="1:6" x14ac:dyDescent="0.25">
      <c r="A344" t="s">
        <v>5307</v>
      </c>
      <c r="B344" t="s">
        <v>5308</v>
      </c>
      <c r="C344" t="s">
        <v>5309</v>
      </c>
      <c r="D344" t="s">
        <v>416</v>
      </c>
      <c r="E344" t="s">
        <v>271</v>
      </c>
      <c r="F344" t="s">
        <v>439</v>
      </c>
    </row>
    <row r="345" spans="1:6" x14ac:dyDescent="0.25">
      <c r="A345" t="s">
        <v>5310</v>
      </c>
      <c r="B345" t="s">
        <v>5311</v>
      </c>
      <c r="C345" t="s">
        <v>5312</v>
      </c>
      <c r="D345" t="s">
        <v>556</v>
      </c>
      <c r="E345" t="s">
        <v>271</v>
      </c>
      <c r="F345" t="s">
        <v>1567</v>
      </c>
    </row>
    <row r="346" spans="1:6" x14ac:dyDescent="0.25">
      <c r="A346" t="s">
        <v>5313</v>
      </c>
      <c r="B346" t="s">
        <v>5314</v>
      </c>
      <c r="C346" t="s">
        <v>5315</v>
      </c>
      <c r="D346" t="s">
        <v>586</v>
      </c>
      <c r="E346" t="s">
        <v>271</v>
      </c>
      <c r="F346" t="s">
        <v>334</v>
      </c>
    </row>
    <row r="347" spans="1:6" x14ac:dyDescent="0.25">
      <c r="A347" t="s">
        <v>1603</v>
      </c>
      <c r="B347" t="s">
        <v>1604</v>
      </c>
      <c r="C347" t="s">
        <v>1605</v>
      </c>
      <c r="D347" t="s">
        <v>272</v>
      </c>
      <c r="E347" t="s">
        <v>269</v>
      </c>
      <c r="F347" t="s">
        <v>907</v>
      </c>
    </row>
    <row r="348" spans="1:6" x14ac:dyDescent="0.25">
      <c r="A348" t="s">
        <v>5316</v>
      </c>
      <c r="B348" t="s">
        <v>5317</v>
      </c>
      <c r="C348" t="s">
        <v>5318</v>
      </c>
      <c r="D348" t="s">
        <v>4089</v>
      </c>
      <c r="E348" t="s">
        <v>271</v>
      </c>
      <c r="F348" t="s">
        <v>480</v>
      </c>
    </row>
    <row r="349" spans="1:6" x14ac:dyDescent="0.25">
      <c r="A349" t="s">
        <v>5319</v>
      </c>
      <c r="B349" t="s">
        <v>5320</v>
      </c>
      <c r="C349" t="s">
        <v>5321</v>
      </c>
      <c r="D349" t="s">
        <v>363</v>
      </c>
      <c r="E349" t="s">
        <v>271</v>
      </c>
      <c r="F349" t="s">
        <v>4410</v>
      </c>
    </row>
    <row r="350" spans="1:6" x14ac:dyDescent="0.25">
      <c r="A350" t="s">
        <v>5322</v>
      </c>
      <c r="B350" t="s">
        <v>5323</v>
      </c>
      <c r="C350" t="s">
        <v>5324</v>
      </c>
      <c r="D350" t="s">
        <v>0</v>
      </c>
      <c r="E350" t="s">
        <v>271</v>
      </c>
      <c r="F350" t="s">
        <v>325</v>
      </c>
    </row>
    <row r="351" spans="1:6" x14ac:dyDescent="0.25">
      <c r="A351" t="s">
        <v>5325</v>
      </c>
      <c r="B351" t="s">
        <v>247</v>
      </c>
      <c r="C351" t="s">
        <v>4460</v>
      </c>
      <c r="D351" t="s">
        <v>0</v>
      </c>
      <c r="E351" t="s">
        <v>271</v>
      </c>
      <c r="F351" t="s">
        <v>881</v>
      </c>
    </row>
    <row r="352" spans="1:6" x14ac:dyDescent="0.25">
      <c r="A352" t="s">
        <v>5326</v>
      </c>
      <c r="B352" t="s">
        <v>5327</v>
      </c>
      <c r="C352" t="s">
        <v>5328</v>
      </c>
      <c r="D352" t="s">
        <v>405</v>
      </c>
      <c r="E352" t="s">
        <v>271</v>
      </c>
      <c r="F352" t="s">
        <v>404</v>
      </c>
    </row>
    <row r="353" spans="1:6" x14ac:dyDescent="0.25">
      <c r="A353" t="s">
        <v>5329</v>
      </c>
      <c r="B353" t="s">
        <v>5330</v>
      </c>
      <c r="C353" t="s">
        <v>5331</v>
      </c>
      <c r="D353" t="s">
        <v>232</v>
      </c>
      <c r="E353" t="s">
        <v>271</v>
      </c>
      <c r="F353" t="s">
        <v>329</v>
      </c>
    </row>
    <row r="354" spans="1:6" x14ac:dyDescent="0.25">
      <c r="A354" t="s">
        <v>5332</v>
      </c>
      <c r="B354" t="s">
        <v>5333</v>
      </c>
      <c r="C354" t="s">
        <v>5334</v>
      </c>
      <c r="D354" t="s">
        <v>0</v>
      </c>
      <c r="E354" t="s">
        <v>271</v>
      </c>
      <c r="F354" t="s">
        <v>356</v>
      </c>
    </row>
    <row r="355" spans="1:6" x14ac:dyDescent="0.25">
      <c r="A355" t="s">
        <v>2628</v>
      </c>
      <c r="B355" t="s">
        <v>2629</v>
      </c>
      <c r="C355" t="s">
        <v>2632</v>
      </c>
      <c r="D355" t="s">
        <v>2631</v>
      </c>
      <c r="E355" t="s">
        <v>271</v>
      </c>
      <c r="F355" t="s">
        <v>2630</v>
      </c>
    </row>
    <row r="356" spans="1:6" x14ac:dyDescent="0.25">
      <c r="A356" t="s">
        <v>5335</v>
      </c>
      <c r="B356" t="s">
        <v>5336</v>
      </c>
      <c r="C356" t="s">
        <v>4037</v>
      </c>
      <c r="D356" t="s">
        <v>0</v>
      </c>
      <c r="E356" t="s">
        <v>271</v>
      </c>
      <c r="F356" t="s">
        <v>688</v>
      </c>
    </row>
    <row r="357" spans="1:6" x14ac:dyDescent="0.25">
      <c r="A357" t="s">
        <v>5337</v>
      </c>
      <c r="B357" t="s">
        <v>5338</v>
      </c>
      <c r="C357" t="s">
        <v>5339</v>
      </c>
      <c r="D357" t="s">
        <v>1743</v>
      </c>
      <c r="E357" t="s">
        <v>269</v>
      </c>
      <c r="F357" t="s">
        <v>1742</v>
      </c>
    </row>
    <row r="358" spans="1:6" x14ac:dyDescent="0.25">
      <c r="A358" t="s">
        <v>5340</v>
      </c>
      <c r="B358" t="s">
        <v>5341</v>
      </c>
      <c r="C358" t="s">
        <v>5342</v>
      </c>
      <c r="D358" t="s">
        <v>222</v>
      </c>
      <c r="E358" t="s">
        <v>271</v>
      </c>
      <c r="F358" t="s">
        <v>313</v>
      </c>
    </row>
    <row r="359" spans="1:6" x14ac:dyDescent="0.25">
      <c r="A359" t="s">
        <v>5343</v>
      </c>
      <c r="B359" t="s">
        <v>5344</v>
      </c>
      <c r="C359" t="s">
        <v>5345</v>
      </c>
      <c r="D359" t="s">
        <v>616</v>
      </c>
      <c r="E359" t="s">
        <v>271</v>
      </c>
      <c r="F359" t="s">
        <v>1102</v>
      </c>
    </row>
    <row r="360" spans="1:6" x14ac:dyDescent="0.25">
      <c r="A360" t="s">
        <v>5346</v>
      </c>
      <c r="B360" t="s">
        <v>5347</v>
      </c>
      <c r="C360" t="s">
        <v>5348</v>
      </c>
      <c r="D360" t="s">
        <v>2637</v>
      </c>
      <c r="E360" t="s">
        <v>271</v>
      </c>
      <c r="F360" t="s">
        <v>2636</v>
      </c>
    </row>
    <row r="361" spans="1:6" x14ac:dyDescent="0.25">
      <c r="A361" t="s">
        <v>5349</v>
      </c>
      <c r="B361" t="s">
        <v>5350</v>
      </c>
      <c r="C361" t="s">
        <v>5351</v>
      </c>
      <c r="D361" t="s">
        <v>1032</v>
      </c>
      <c r="E361" t="s">
        <v>271</v>
      </c>
      <c r="F361" t="s">
        <v>1031</v>
      </c>
    </row>
    <row r="362" spans="1:6" x14ac:dyDescent="0.25">
      <c r="A362" t="s">
        <v>5352</v>
      </c>
      <c r="B362" t="s">
        <v>5353</v>
      </c>
      <c r="C362" t="s">
        <v>5354</v>
      </c>
      <c r="D362" t="s">
        <v>5355</v>
      </c>
      <c r="E362" t="s">
        <v>271</v>
      </c>
      <c r="F362" t="s">
        <v>4398</v>
      </c>
    </row>
    <row r="363" spans="1:6" x14ac:dyDescent="0.25">
      <c r="A363" t="s">
        <v>5356</v>
      </c>
      <c r="B363" t="s">
        <v>5357</v>
      </c>
      <c r="C363" t="s">
        <v>5358</v>
      </c>
      <c r="D363" t="s">
        <v>2471</v>
      </c>
      <c r="E363" t="s">
        <v>271</v>
      </c>
      <c r="F363" t="s">
        <v>2470</v>
      </c>
    </row>
    <row r="364" spans="1:6" x14ac:dyDescent="0.25">
      <c r="A364" t="s">
        <v>5359</v>
      </c>
      <c r="B364" t="s">
        <v>5360</v>
      </c>
      <c r="C364" t="s">
        <v>5361</v>
      </c>
      <c r="D364" t="s">
        <v>363</v>
      </c>
      <c r="E364" t="s">
        <v>271</v>
      </c>
      <c r="F364" t="s">
        <v>4410</v>
      </c>
    </row>
    <row r="365" spans="1:6" x14ac:dyDescent="0.25">
      <c r="A365" t="s">
        <v>5362</v>
      </c>
      <c r="B365" t="s">
        <v>5363</v>
      </c>
      <c r="C365" t="s">
        <v>5364</v>
      </c>
      <c r="D365" t="s">
        <v>510</v>
      </c>
      <c r="E365" t="s">
        <v>271</v>
      </c>
      <c r="F365" t="s">
        <v>852</v>
      </c>
    </row>
    <row r="366" spans="1:6" x14ac:dyDescent="0.25">
      <c r="A366" t="s">
        <v>5365</v>
      </c>
      <c r="B366" t="s">
        <v>5366</v>
      </c>
      <c r="C366" t="s">
        <v>5367</v>
      </c>
      <c r="D366" t="s">
        <v>0</v>
      </c>
      <c r="E366" t="s">
        <v>271</v>
      </c>
      <c r="F366" t="s">
        <v>356</v>
      </c>
    </row>
    <row r="367" spans="1:6" x14ac:dyDescent="0.25">
      <c r="A367" t="s">
        <v>5368</v>
      </c>
      <c r="B367" t="s">
        <v>5369</v>
      </c>
      <c r="C367" t="s">
        <v>5370</v>
      </c>
      <c r="D367" t="s">
        <v>2009</v>
      </c>
      <c r="E367" t="s">
        <v>271</v>
      </c>
      <c r="F367" t="s">
        <v>2008</v>
      </c>
    </row>
    <row r="368" spans="1:6" x14ac:dyDescent="0.25">
      <c r="A368" t="s">
        <v>5371</v>
      </c>
      <c r="B368" t="s">
        <v>5372</v>
      </c>
      <c r="C368" t="s">
        <v>5373</v>
      </c>
      <c r="D368" t="s">
        <v>0</v>
      </c>
      <c r="E368" t="s">
        <v>271</v>
      </c>
      <c r="F368" t="s">
        <v>356</v>
      </c>
    </row>
    <row r="369" spans="1:6" x14ac:dyDescent="0.25">
      <c r="A369" t="s">
        <v>5374</v>
      </c>
      <c r="B369" t="s">
        <v>5375</v>
      </c>
      <c r="C369" t="s">
        <v>5376</v>
      </c>
      <c r="D369" t="s">
        <v>2519</v>
      </c>
      <c r="E369" t="s">
        <v>271</v>
      </c>
      <c r="F369" t="s">
        <v>2518</v>
      </c>
    </row>
    <row r="370" spans="1:6" x14ac:dyDescent="0.25">
      <c r="A370" t="s">
        <v>5377</v>
      </c>
      <c r="B370" t="s">
        <v>5378</v>
      </c>
      <c r="C370" t="s">
        <v>5379</v>
      </c>
      <c r="D370" t="s">
        <v>5380</v>
      </c>
      <c r="E370" t="s">
        <v>271</v>
      </c>
      <c r="F370" t="s">
        <v>4379</v>
      </c>
    </row>
    <row r="371" spans="1:6" x14ac:dyDescent="0.25">
      <c r="A371" t="s">
        <v>5381</v>
      </c>
      <c r="B371" t="s">
        <v>5382</v>
      </c>
      <c r="C371" t="s">
        <v>2388</v>
      </c>
      <c r="D371" t="s">
        <v>586</v>
      </c>
      <c r="E371" t="s">
        <v>271</v>
      </c>
      <c r="F371" t="s">
        <v>334</v>
      </c>
    </row>
    <row r="372" spans="1:6" x14ac:dyDescent="0.25">
      <c r="A372" t="s">
        <v>5383</v>
      </c>
      <c r="B372" t="s">
        <v>5384</v>
      </c>
      <c r="C372" t="s">
        <v>5385</v>
      </c>
      <c r="D372" t="s">
        <v>0</v>
      </c>
      <c r="E372" t="s">
        <v>271</v>
      </c>
      <c r="F372" t="s">
        <v>319</v>
      </c>
    </row>
    <row r="373" spans="1:6" x14ac:dyDescent="0.25">
      <c r="A373" t="s">
        <v>5386</v>
      </c>
      <c r="B373" t="s">
        <v>5387</v>
      </c>
      <c r="C373" t="s">
        <v>5388</v>
      </c>
      <c r="D373" t="s">
        <v>361</v>
      </c>
      <c r="E373" t="s">
        <v>271</v>
      </c>
      <c r="F373" t="s">
        <v>1563</v>
      </c>
    </row>
    <row r="374" spans="1:6" x14ac:dyDescent="0.25">
      <c r="A374" t="s">
        <v>3543</v>
      </c>
      <c r="B374" t="s">
        <v>3544</v>
      </c>
      <c r="C374" t="s">
        <v>3545</v>
      </c>
      <c r="D374" t="s">
        <v>2681</v>
      </c>
      <c r="E374" t="s">
        <v>271</v>
      </c>
      <c r="F374" t="s">
        <v>2680</v>
      </c>
    </row>
    <row r="375" spans="1:6" x14ac:dyDescent="0.25">
      <c r="A375" t="s">
        <v>5389</v>
      </c>
      <c r="B375" t="s">
        <v>5390</v>
      </c>
      <c r="C375" t="s">
        <v>5391</v>
      </c>
      <c r="D375" t="s">
        <v>0</v>
      </c>
      <c r="E375" t="s">
        <v>271</v>
      </c>
      <c r="F375" t="s">
        <v>431</v>
      </c>
    </row>
    <row r="376" spans="1:6" x14ac:dyDescent="0.25">
      <c r="A376" t="s">
        <v>5392</v>
      </c>
      <c r="B376" t="s">
        <v>5393</v>
      </c>
      <c r="C376" t="s">
        <v>5394</v>
      </c>
      <c r="D376" t="s">
        <v>1165</v>
      </c>
      <c r="E376" t="s">
        <v>271</v>
      </c>
      <c r="F376" t="s">
        <v>1164</v>
      </c>
    </row>
    <row r="377" spans="1:6" x14ac:dyDescent="0.25">
      <c r="A377" t="s">
        <v>5395</v>
      </c>
      <c r="B377" t="s">
        <v>5396</v>
      </c>
      <c r="C377" t="s">
        <v>4476</v>
      </c>
      <c r="D377" t="s">
        <v>540</v>
      </c>
      <c r="E377" t="s">
        <v>271</v>
      </c>
      <c r="F377" t="s">
        <v>339</v>
      </c>
    </row>
    <row r="378" spans="1:6" x14ac:dyDescent="0.25">
      <c r="A378" t="s">
        <v>5397</v>
      </c>
      <c r="B378" t="s">
        <v>5398</v>
      </c>
      <c r="C378" t="s">
        <v>5399</v>
      </c>
      <c r="D378" t="s">
        <v>793</v>
      </c>
      <c r="E378" t="s">
        <v>271</v>
      </c>
      <c r="F378" t="s">
        <v>792</v>
      </c>
    </row>
    <row r="379" spans="1:6" x14ac:dyDescent="0.25">
      <c r="A379" t="s">
        <v>5400</v>
      </c>
      <c r="B379" t="s">
        <v>5401</v>
      </c>
      <c r="C379" t="s">
        <v>5402</v>
      </c>
      <c r="D379" t="s">
        <v>1648</v>
      </c>
      <c r="E379" t="s">
        <v>271</v>
      </c>
      <c r="F379" t="s">
        <v>1316</v>
      </c>
    </row>
    <row r="380" spans="1:6" x14ac:dyDescent="0.25">
      <c r="A380" t="s">
        <v>5403</v>
      </c>
      <c r="B380" t="s">
        <v>5404</v>
      </c>
      <c r="C380" t="s">
        <v>5405</v>
      </c>
      <c r="D380" t="s">
        <v>2116</v>
      </c>
      <c r="E380" t="s">
        <v>271</v>
      </c>
      <c r="F380" t="s">
        <v>2115</v>
      </c>
    </row>
    <row r="381" spans="1:6" x14ac:dyDescent="0.25">
      <c r="A381" t="s">
        <v>5406</v>
      </c>
      <c r="B381" t="s">
        <v>5407</v>
      </c>
      <c r="C381" t="s">
        <v>5408</v>
      </c>
      <c r="D381" t="s">
        <v>0</v>
      </c>
      <c r="E381" t="s">
        <v>271</v>
      </c>
      <c r="F381" t="s">
        <v>355</v>
      </c>
    </row>
    <row r="382" spans="1:6" x14ac:dyDescent="0.25">
      <c r="A382" t="s">
        <v>5409</v>
      </c>
      <c r="B382" t="s">
        <v>5410</v>
      </c>
      <c r="C382" t="s">
        <v>5411</v>
      </c>
      <c r="D382" t="s">
        <v>793</v>
      </c>
      <c r="E382" t="s">
        <v>271</v>
      </c>
      <c r="F382" t="s">
        <v>792</v>
      </c>
    </row>
    <row r="383" spans="1:6" x14ac:dyDescent="0.25">
      <c r="A383" t="s">
        <v>5412</v>
      </c>
      <c r="B383" t="s">
        <v>5413</v>
      </c>
      <c r="C383" t="s">
        <v>5414</v>
      </c>
      <c r="D383" t="s">
        <v>1303</v>
      </c>
      <c r="E383" t="s">
        <v>269</v>
      </c>
      <c r="F383" t="s">
        <v>1302</v>
      </c>
    </row>
    <row r="384" spans="1:6" x14ac:dyDescent="0.25">
      <c r="A384" t="s">
        <v>5415</v>
      </c>
      <c r="B384" t="s">
        <v>5416</v>
      </c>
      <c r="C384" t="s">
        <v>5417</v>
      </c>
      <c r="D384" t="s">
        <v>1079</v>
      </c>
      <c r="E384" t="s">
        <v>271</v>
      </c>
      <c r="F384" t="s">
        <v>3880</v>
      </c>
    </row>
    <row r="385" spans="1:6" x14ac:dyDescent="0.25">
      <c r="A385" t="s">
        <v>5418</v>
      </c>
      <c r="B385" t="s">
        <v>5419</v>
      </c>
      <c r="C385" t="s">
        <v>5420</v>
      </c>
      <c r="D385" t="s">
        <v>1601</v>
      </c>
      <c r="E385" t="s">
        <v>269</v>
      </c>
      <c r="F385" t="s">
        <v>2243</v>
      </c>
    </row>
    <row r="386" spans="1:6" x14ac:dyDescent="0.25">
      <c r="A386" t="s">
        <v>5421</v>
      </c>
      <c r="B386" t="s">
        <v>5422</v>
      </c>
      <c r="C386" t="s">
        <v>5423</v>
      </c>
      <c r="D386" t="s">
        <v>5424</v>
      </c>
      <c r="E386" t="s">
        <v>271</v>
      </c>
      <c r="F386" t="s">
        <v>4411</v>
      </c>
    </row>
    <row r="387" spans="1:6" x14ac:dyDescent="0.25">
      <c r="A387" t="s">
        <v>5425</v>
      </c>
      <c r="B387" t="s">
        <v>5426</v>
      </c>
      <c r="C387" t="s">
        <v>5427</v>
      </c>
      <c r="D387" t="s">
        <v>488</v>
      </c>
      <c r="E387" t="s">
        <v>271</v>
      </c>
      <c r="F387" t="s">
        <v>489</v>
      </c>
    </row>
    <row r="388" spans="1:6" x14ac:dyDescent="0.25">
      <c r="A388" t="s">
        <v>5428</v>
      </c>
      <c r="B388" t="s">
        <v>5429</v>
      </c>
      <c r="C388" t="s">
        <v>5430</v>
      </c>
      <c r="D388" t="s">
        <v>1186</v>
      </c>
      <c r="E388" t="s">
        <v>271</v>
      </c>
      <c r="F388" t="s">
        <v>1185</v>
      </c>
    </row>
    <row r="389" spans="1:6" x14ac:dyDescent="0.25">
      <c r="A389" t="s">
        <v>5431</v>
      </c>
      <c r="B389" t="s">
        <v>5432</v>
      </c>
      <c r="C389" t="s">
        <v>705</v>
      </c>
      <c r="D389" t="s">
        <v>0</v>
      </c>
      <c r="E389" t="s">
        <v>271</v>
      </c>
      <c r="F389" t="s">
        <v>704</v>
      </c>
    </row>
    <row r="390" spans="1:6" x14ac:dyDescent="0.25">
      <c r="A390" t="s">
        <v>5433</v>
      </c>
      <c r="B390" t="s">
        <v>5434</v>
      </c>
      <c r="C390" t="s">
        <v>5435</v>
      </c>
      <c r="D390" t="s">
        <v>503</v>
      </c>
      <c r="E390" t="s">
        <v>271</v>
      </c>
      <c r="F390" t="s">
        <v>504</v>
      </c>
    </row>
    <row r="391" spans="1:6" x14ac:dyDescent="0.25">
      <c r="A391" t="s">
        <v>3215</v>
      </c>
      <c r="B391" t="s">
        <v>3216</v>
      </c>
      <c r="C391" t="s">
        <v>3217</v>
      </c>
      <c r="D391" t="s">
        <v>967</v>
      </c>
      <c r="E391" t="s">
        <v>271</v>
      </c>
      <c r="F391" t="s">
        <v>966</v>
      </c>
    </row>
    <row r="392" spans="1:6" x14ac:dyDescent="0.25">
      <c r="A392" t="s">
        <v>3093</v>
      </c>
      <c r="B392" t="s">
        <v>3094</v>
      </c>
      <c r="C392" t="s">
        <v>3095</v>
      </c>
      <c r="D392" t="s">
        <v>2471</v>
      </c>
      <c r="E392" t="s">
        <v>271</v>
      </c>
      <c r="F392" t="s">
        <v>2470</v>
      </c>
    </row>
    <row r="393" spans="1:6" x14ac:dyDescent="0.25">
      <c r="A393" t="s">
        <v>5436</v>
      </c>
      <c r="B393" t="s">
        <v>5437</v>
      </c>
      <c r="C393" t="s">
        <v>5438</v>
      </c>
      <c r="D393" t="s">
        <v>1862</v>
      </c>
      <c r="E393" t="s">
        <v>271</v>
      </c>
      <c r="F393" t="s">
        <v>1861</v>
      </c>
    </row>
    <row r="394" spans="1:6" x14ac:dyDescent="0.25">
      <c r="A394" t="s">
        <v>5439</v>
      </c>
      <c r="B394" t="s">
        <v>5440</v>
      </c>
      <c r="C394" t="s">
        <v>5441</v>
      </c>
      <c r="D394" t="s">
        <v>0</v>
      </c>
      <c r="E394" t="s">
        <v>271</v>
      </c>
      <c r="F394" t="s">
        <v>356</v>
      </c>
    </row>
    <row r="395" spans="1:6" x14ac:dyDescent="0.25">
      <c r="A395" t="s">
        <v>5442</v>
      </c>
      <c r="B395" t="s">
        <v>5443</v>
      </c>
      <c r="C395" t="s">
        <v>5444</v>
      </c>
      <c r="D395" t="s">
        <v>500</v>
      </c>
      <c r="E395" t="s">
        <v>271</v>
      </c>
      <c r="F395" t="s">
        <v>501</v>
      </c>
    </row>
    <row r="396" spans="1:6" x14ac:dyDescent="0.25">
      <c r="A396" t="s">
        <v>811</v>
      </c>
      <c r="B396" t="s">
        <v>812</v>
      </c>
      <c r="C396" t="s">
        <v>813</v>
      </c>
      <c r="D396" t="s">
        <v>0</v>
      </c>
      <c r="E396" t="s">
        <v>271</v>
      </c>
      <c r="F396" t="s">
        <v>356</v>
      </c>
    </row>
    <row r="397" spans="1:6" x14ac:dyDescent="0.25">
      <c r="A397" t="s">
        <v>5445</v>
      </c>
      <c r="B397" t="s">
        <v>5446</v>
      </c>
      <c r="C397" t="s">
        <v>5447</v>
      </c>
      <c r="D397" t="s">
        <v>363</v>
      </c>
      <c r="E397" t="s">
        <v>271</v>
      </c>
      <c r="F397" t="s">
        <v>364</v>
      </c>
    </row>
    <row r="398" spans="1:6" x14ac:dyDescent="0.25">
      <c r="A398" t="s">
        <v>5448</v>
      </c>
      <c r="B398" t="s">
        <v>5449</v>
      </c>
      <c r="C398" t="s">
        <v>5450</v>
      </c>
      <c r="D398" t="s">
        <v>0</v>
      </c>
      <c r="E398" t="s">
        <v>271</v>
      </c>
      <c r="F398" t="s">
        <v>1115</v>
      </c>
    </row>
    <row r="399" spans="1:6" x14ac:dyDescent="0.25">
      <c r="A399" t="s">
        <v>5451</v>
      </c>
      <c r="B399" t="s">
        <v>5452</v>
      </c>
      <c r="C399" t="s">
        <v>5453</v>
      </c>
      <c r="D399" t="s">
        <v>5454</v>
      </c>
      <c r="E399" t="s">
        <v>271</v>
      </c>
      <c r="F399" t="s">
        <v>4425</v>
      </c>
    </row>
    <row r="400" spans="1:6" x14ac:dyDescent="0.25">
      <c r="A400" t="s">
        <v>883</v>
      </c>
      <c r="B400" t="s">
        <v>884</v>
      </c>
      <c r="C400" t="s">
        <v>886</v>
      </c>
      <c r="D400" t="s">
        <v>519</v>
      </c>
      <c r="E400" t="s">
        <v>271</v>
      </c>
      <c r="F400" t="s">
        <v>324</v>
      </c>
    </row>
    <row r="401" spans="1:6" x14ac:dyDescent="0.25">
      <c r="A401" t="s">
        <v>5455</v>
      </c>
      <c r="B401" t="s">
        <v>5456</v>
      </c>
      <c r="C401" t="s">
        <v>5457</v>
      </c>
      <c r="D401" t="s">
        <v>0</v>
      </c>
      <c r="E401" t="s">
        <v>271</v>
      </c>
      <c r="F401" t="s">
        <v>319</v>
      </c>
    </row>
    <row r="402" spans="1:6" x14ac:dyDescent="0.25">
      <c r="A402" t="s">
        <v>1173</v>
      </c>
      <c r="B402" t="s">
        <v>1174</v>
      </c>
      <c r="C402" t="s">
        <v>1177</v>
      </c>
      <c r="D402" t="s">
        <v>1079</v>
      </c>
      <c r="E402" t="s">
        <v>271</v>
      </c>
      <c r="F402" t="s">
        <v>1176</v>
      </c>
    </row>
    <row r="403" spans="1:6" x14ac:dyDescent="0.25">
      <c r="A403" t="s">
        <v>5458</v>
      </c>
      <c r="B403" t="s">
        <v>5459</v>
      </c>
      <c r="C403" t="s">
        <v>5460</v>
      </c>
      <c r="D403" t="s">
        <v>1559</v>
      </c>
      <c r="E403" t="s">
        <v>271</v>
      </c>
      <c r="F403" t="s">
        <v>1558</v>
      </c>
    </row>
    <row r="404" spans="1:6" x14ac:dyDescent="0.25">
      <c r="A404" t="s">
        <v>5461</v>
      </c>
      <c r="B404" t="s">
        <v>5462</v>
      </c>
      <c r="C404" t="s">
        <v>5463</v>
      </c>
      <c r="D404" t="s">
        <v>506</v>
      </c>
      <c r="E404" t="s">
        <v>271</v>
      </c>
      <c r="F404" t="s">
        <v>507</v>
      </c>
    </row>
    <row r="405" spans="1:6" x14ac:dyDescent="0.25">
      <c r="A405" t="s">
        <v>5464</v>
      </c>
      <c r="B405" t="s">
        <v>5465</v>
      </c>
      <c r="C405" t="s">
        <v>5466</v>
      </c>
      <c r="D405" t="s">
        <v>0</v>
      </c>
      <c r="E405" t="s">
        <v>271</v>
      </c>
      <c r="F405" t="s">
        <v>431</v>
      </c>
    </row>
    <row r="406" spans="1:6" x14ac:dyDescent="0.25">
      <c r="A406" t="s">
        <v>5467</v>
      </c>
      <c r="B406" t="s">
        <v>5468</v>
      </c>
      <c r="C406" t="s">
        <v>5469</v>
      </c>
      <c r="D406" t="s">
        <v>0</v>
      </c>
      <c r="E406" t="s">
        <v>271</v>
      </c>
      <c r="F406" t="s">
        <v>325</v>
      </c>
    </row>
    <row r="407" spans="1:6" x14ac:dyDescent="0.25">
      <c r="A407" t="s">
        <v>5470</v>
      </c>
      <c r="B407" t="s">
        <v>5471</v>
      </c>
      <c r="C407" t="s">
        <v>5472</v>
      </c>
      <c r="D407" t="s">
        <v>239</v>
      </c>
      <c r="E407" t="s">
        <v>271</v>
      </c>
      <c r="F407" t="s">
        <v>544</v>
      </c>
    </row>
    <row r="408" spans="1:6" x14ac:dyDescent="0.25">
      <c r="A408" t="s">
        <v>5473</v>
      </c>
      <c r="B408" t="s">
        <v>5474</v>
      </c>
      <c r="C408" t="s">
        <v>5475</v>
      </c>
      <c r="D408" t="s">
        <v>498</v>
      </c>
      <c r="E408" t="s">
        <v>271</v>
      </c>
      <c r="F408" t="s">
        <v>926</v>
      </c>
    </row>
    <row r="409" spans="1:6" x14ac:dyDescent="0.25">
      <c r="A409" t="s">
        <v>5476</v>
      </c>
      <c r="B409" t="s">
        <v>5477</v>
      </c>
      <c r="C409" t="s">
        <v>5478</v>
      </c>
      <c r="D409" t="s">
        <v>0</v>
      </c>
      <c r="E409" t="s">
        <v>271</v>
      </c>
      <c r="F409" t="s">
        <v>356</v>
      </c>
    </row>
    <row r="410" spans="1:6" x14ac:dyDescent="0.25">
      <c r="A410" t="s">
        <v>5479</v>
      </c>
      <c r="B410" t="s">
        <v>5480</v>
      </c>
      <c r="C410" t="s">
        <v>5481</v>
      </c>
      <c r="D410" t="s">
        <v>3378</v>
      </c>
      <c r="E410" t="s">
        <v>271</v>
      </c>
      <c r="F410" t="s">
        <v>3377</v>
      </c>
    </row>
    <row r="411" spans="1:6" x14ac:dyDescent="0.25">
      <c r="A411" t="s">
        <v>5482</v>
      </c>
      <c r="B411" t="s">
        <v>5483</v>
      </c>
      <c r="C411" t="s">
        <v>5484</v>
      </c>
      <c r="D411" t="s">
        <v>490</v>
      </c>
      <c r="E411" t="s">
        <v>271</v>
      </c>
      <c r="F411" t="s">
        <v>491</v>
      </c>
    </row>
    <row r="412" spans="1:6" x14ac:dyDescent="0.25">
      <c r="A412" t="s">
        <v>5485</v>
      </c>
      <c r="B412" t="s">
        <v>5486</v>
      </c>
      <c r="C412" t="s">
        <v>5487</v>
      </c>
      <c r="D412" t="s">
        <v>492</v>
      </c>
      <c r="E412" t="s">
        <v>271</v>
      </c>
      <c r="F412" t="s">
        <v>493</v>
      </c>
    </row>
    <row r="413" spans="1:6" x14ac:dyDescent="0.25">
      <c r="A413" t="s">
        <v>5488</v>
      </c>
      <c r="B413" t="s">
        <v>5489</v>
      </c>
      <c r="C413" t="s">
        <v>5490</v>
      </c>
      <c r="D413" t="s">
        <v>0</v>
      </c>
      <c r="E413" t="s">
        <v>271</v>
      </c>
      <c r="F413" t="s">
        <v>355</v>
      </c>
    </row>
    <row r="414" spans="1:6" x14ac:dyDescent="0.25">
      <c r="A414" t="s">
        <v>5491</v>
      </c>
      <c r="B414" t="s">
        <v>5492</v>
      </c>
      <c r="C414" t="s">
        <v>5493</v>
      </c>
      <c r="D414" t="s">
        <v>0</v>
      </c>
      <c r="E414" t="s">
        <v>271</v>
      </c>
      <c r="F414" t="s">
        <v>325</v>
      </c>
    </row>
    <row r="415" spans="1:6" x14ac:dyDescent="0.25">
      <c r="A415" t="s">
        <v>5494</v>
      </c>
      <c r="B415" t="s">
        <v>5495</v>
      </c>
      <c r="C415" t="s">
        <v>5496</v>
      </c>
      <c r="D415" t="s">
        <v>0</v>
      </c>
      <c r="E415" t="s">
        <v>271</v>
      </c>
      <c r="F415" t="s">
        <v>2447</v>
      </c>
    </row>
    <row r="416" spans="1:6" x14ac:dyDescent="0.25">
      <c r="A416" t="s">
        <v>5497</v>
      </c>
      <c r="B416" t="s">
        <v>5498</v>
      </c>
      <c r="C416" t="s">
        <v>5499</v>
      </c>
      <c r="D416" t="s">
        <v>1915</v>
      </c>
      <c r="E416" t="s">
        <v>269</v>
      </c>
      <c r="F416" t="s">
        <v>1914</v>
      </c>
    </row>
    <row r="417" spans="1:6" x14ac:dyDescent="0.25">
      <c r="A417" t="s">
        <v>5500</v>
      </c>
      <c r="B417" t="s">
        <v>5501</v>
      </c>
      <c r="C417" t="s">
        <v>5502</v>
      </c>
      <c r="D417" t="s">
        <v>453</v>
      </c>
      <c r="E417" t="s">
        <v>271</v>
      </c>
      <c r="F417" t="s">
        <v>454</v>
      </c>
    </row>
    <row r="418" spans="1:6" x14ac:dyDescent="0.25">
      <c r="A418" t="s">
        <v>5503</v>
      </c>
      <c r="B418" t="s">
        <v>5504</v>
      </c>
      <c r="C418" t="s">
        <v>5505</v>
      </c>
      <c r="D418" t="s">
        <v>312</v>
      </c>
      <c r="E418" t="s">
        <v>271</v>
      </c>
      <c r="F418" t="s">
        <v>311</v>
      </c>
    </row>
    <row r="419" spans="1:6" x14ac:dyDescent="0.25">
      <c r="A419" t="s">
        <v>5506</v>
      </c>
      <c r="B419" t="s">
        <v>5507</v>
      </c>
      <c r="C419" t="s">
        <v>5508</v>
      </c>
      <c r="D419" t="s">
        <v>510</v>
      </c>
      <c r="E419" t="s">
        <v>271</v>
      </c>
      <c r="F419" t="s">
        <v>437</v>
      </c>
    </row>
    <row r="420" spans="1:6" x14ac:dyDescent="0.25">
      <c r="A420" t="s">
        <v>2752</v>
      </c>
      <c r="B420" t="s">
        <v>2753</v>
      </c>
      <c r="C420" t="s">
        <v>2754</v>
      </c>
      <c r="D420" t="s">
        <v>314</v>
      </c>
      <c r="E420" t="s">
        <v>271</v>
      </c>
      <c r="F420" t="s">
        <v>352</v>
      </c>
    </row>
    <row r="421" spans="1:6" x14ac:dyDescent="0.25">
      <c r="A421" t="s">
        <v>2925</v>
      </c>
      <c r="B421" t="s">
        <v>2926</v>
      </c>
      <c r="C421" t="s">
        <v>2927</v>
      </c>
      <c r="D421" t="s">
        <v>0</v>
      </c>
      <c r="E421" t="s">
        <v>271</v>
      </c>
      <c r="F421" t="s">
        <v>895</v>
      </c>
    </row>
    <row r="422" spans="1:6" x14ac:dyDescent="0.25">
      <c r="A422" t="s">
        <v>5509</v>
      </c>
      <c r="B422" t="s">
        <v>5510</v>
      </c>
      <c r="C422" t="s">
        <v>5511</v>
      </c>
      <c r="D422" t="s">
        <v>556</v>
      </c>
      <c r="E422" t="s">
        <v>271</v>
      </c>
      <c r="F422" t="s">
        <v>1567</v>
      </c>
    </row>
    <row r="423" spans="1:6" x14ac:dyDescent="0.25">
      <c r="A423" t="s">
        <v>5512</v>
      </c>
      <c r="B423" t="s">
        <v>5513</v>
      </c>
      <c r="C423" t="s">
        <v>5514</v>
      </c>
      <c r="D423" t="s">
        <v>0</v>
      </c>
      <c r="E423" t="s">
        <v>271</v>
      </c>
      <c r="F423" t="s">
        <v>323</v>
      </c>
    </row>
    <row r="424" spans="1:6" x14ac:dyDescent="0.25">
      <c r="A424" t="s">
        <v>5515</v>
      </c>
      <c r="B424" t="s">
        <v>5516</v>
      </c>
      <c r="C424" t="s">
        <v>5517</v>
      </c>
      <c r="D424" t="s">
        <v>0</v>
      </c>
      <c r="E424" t="s">
        <v>271</v>
      </c>
      <c r="F424" t="s">
        <v>3740</v>
      </c>
    </row>
    <row r="425" spans="1:6" x14ac:dyDescent="0.25">
      <c r="A425" t="s">
        <v>5518</v>
      </c>
      <c r="B425" t="s">
        <v>5519</v>
      </c>
      <c r="C425" t="s">
        <v>5475</v>
      </c>
      <c r="D425" t="s">
        <v>498</v>
      </c>
      <c r="E425" t="s">
        <v>271</v>
      </c>
      <c r="F425" t="s">
        <v>926</v>
      </c>
    </row>
    <row r="426" spans="1:6" x14ac:dyDescent="0.25">
      <c r="A426" t="s">
        <v>5520</v>
      </c>
      <c r="B426" t="s">
        <v>5521</v>
      </c>
      <c r="C426" t="s">
        <v>5522</v>
      </c>
      <c r="D426" t="s">
        <v>0</v>
      </c>
      <c r="E426" t="s">
        <v>271</v>
      </c>
      <c r="F426" t="s">
        <v>323</v>
      </c>
    </row>
    <row r="427" spans="1:6" x14ac:dyDescent="0.25">
      <c r="A427" t="s">
        <v>5523</v>
      </c>
      <c r="B427" t="s">
        <v>5524</v>
      </c>
      <c r="C427" t="s">
        <v>5525</v>
      </c>
      <c r="D427" t="s">
        <v>598</v>
      </c>
      <c r="E427" t="s">
        <v>271</v>
      </c>
      <c r="F427" t="s">
        <v>599</v>
      </c>
    </row>
    <row r="428" spans="1:6" x14ac:dyDescent="0.25">
      <c r="A428" t="s">
        <v>5526</v>
      </c>
      <c r="B428" t="s">
        <v>5527</v>
      </c>
      <c r="C428" t="s">
        <v>5528</v>
      </c>
      <c r="D428" t="s">
        <v>0</v>
      </c>
      <c r="E428" t="s">
        <v>271</v>
      </c>
      <c r="F428" t="s">
        <v>356</v>
      </c>
    </row>
    <row r="429" spans="1:6" x14ac:dyDescent="0.25">
      <c r="A429" t="s">
        <v>5529</v>
      </c>
      <c r="B429" t="s">
        <v>5530</v>
      </c>
      <c r="C429" t="s">
        <v>5531</v>
      </c>
      <c r="D429" t="s">
        <v>1548</v>
      </c>
      <c r="E429" t="s">
        <v>271</v>
      </c>
      <c r="F429" t="s">
        <v>1547</v>
      </c>
    </row>
    <row r="430" spans="1:6" x14ac:dyDescent="0.25">
      <c r="A430" t="s">
        <v>5532</v>
      </c>
      <c r="B430" t="s">
        <v>5533</v>
      </c>
      <c r="C430" t="s">
        <v>5534</v>
      </c>
      <c r="D430" t="s">
        <v>3307</v>
      </c>
      <c r="E430" t="s">
        <v>271</v>
      </c>
      <c r="F430" t="s">
        <v>2768</v>
      </c>
    </row>
    <row r="431" spans="1:6" x14ac:dyDescent="0.25">
      <c r="A431" t="s">
        <v>5535</v>
      </c>
      <c r="B431" t="s">
        <v>5536</v>
      </c>
      <c r="C431" t="s">
        <v>2218</v>
      </c>
      <c r="D431" t="s">
        <v>0</v>
      </c>
      <c r="E431" t="s">
        <v>271</v>
      </c>
      <c r="F431" t="s">
        <v>319</v>
      </c>
    </row>
    <row r="432" spans="1:6" x14ac:dyDescent="0.25">
      <c r="A432" t="s">
        <v>5537</v>
      </c>
      <c r="B432" t="s">
        <v>5538</v>
      </c>
      <c r="C432" t="s">
        <v>5539</v>
      </c>
      <c r="D432" t="s">
        <v>450</v>
      </c>
      <c r="E432" t="s">
        <v>271</v>
      </c>
      <c r="F432" t="s">
        <v>326</v>
      </c>
    </row>
    <row r="433" spans="1:6" x14ac:dyDescent="0.25">
      <c r="A433" t="s">
        <v>5540</v>
      </c>
      <c r="B433" t="s">
        <v>5541</v>
      </c>
      <c r="C433" t="s">
        <v>5542</v>
      </c>
      <c r="D433" t="s">
        <v>239</v>
      </c>
      <c r="E433" t="s">
        <v>271</v>
      </c>
      <c r="F433" t="s">
        <v>544</v>
      </c>
    </row>
    <row r="434" spans="1:6" x14ac:dyDescent="0.25">
      <c r="A434" t="s">
        <v>5543</v>
      </c>
      <c r="B434" t="s">
        <v>5544</v>
      </c>
      <c r="C434" t="s">
        <v>5545</v>
      </c>
      <c r="D434" t="s">
        <v>490</v>
      </c>
      <c r="E434" t="s">
        <v>271</v>
      </c>
      <c r="F434" t="s">
        <v>491</v>
      </c>
    </row>
    <row r="435" spans="1:6" x14ac:dyDescent="0.25">
      <c r="A435" t="s">
        <v>5546</v>
      </c>
      <c r="B435" t="s">
        <v>3405</v>
      </c>
      <c r="C435" t="s">
        <v>5547</v>
      </c>
      <c r="D435" t="s">
        <v>446</v>
      </c>
      <c r="E435" t="s">
        <v>271</v>
      </c>
      <c r="F435" t="s">
        <v>447</v>
      </c>
    </row>
    <row r="436" spans="1:6" x14ac:dyDescent="0.25">
      <c r="A436" t="s">
        <v>5548</v>
      </c>
      <c r="B436" t="s">
        <v>5549</v>
      </c>
      <c r="C436" t="s">
        <v>5070</v>
      </c>
      <c r="D436" t="s">
        <v>345</v>
      </c>
      <c r="E436" t="s">
        <v>269</v>
      </c>
      <c r="F436" t="s">
        <v>684</v>
      </c>
    </row>
    <row r="437" spans="1:6" x14ac:dyDescent="0.25">
      <c r="A437" t="s">
        <v>5550</v>
      </c>
      <c r="B437" t="s">
        <v>5551</v>
      </c>
      <c r="C437" t="s">
        <v>5552</v>
      </c>
      <c r="D437" t="s">
        <v>617</v>
      </c>
      <c r="E437" t="s">
        <v>271</v>
      </c>
      <c r="F437" t="s">
        <v>438</v>
      </c>
    </row>
    <row r="438" spans="1:6" x14ac:dyDescent="0.25">
      <c r="A438" t="s">
        <v>5553</v>
      </c>
      <c r="B438" t="s">
        <v>5554</v>
      </c>
      <c r="C438" t="s">
        <v>5555</v>
      </c>
      <c r="D438" t="s">
        <v>1079</v>
      </c>
      <c r="E438" t="s">
        <v>271</v>
      </c>
      <c r="F438" t="s">
        <v>1078</v>
      </c>
    </row>
    <row r="439" spans="1:6" x14ac:dyDescent="0.25">
      <c r="A439" t="s">
        <v>5556</v>
      </c>
      <c r="B439" t="s">
        <v>5557</v>
      </c>
      <c r="C439" t="s">
        <v>5558</v>
      </c>
      <c r="D439" t="s">
        <v>0</v>
      </c>
      <c r="E439" t="s">
        <v>271</v>
      </c>
      <c r="F439" t="s">
        <v>436</v>
      </c>
    </row>
    <row r="440" spans="1:6" x14ac:dyDescent="0.25">
      <c r="A440" t="s">
        <v>5559</v>
      </c>
      <c r="B440" t="s">
        <v>5560</v>
      </c>
      <c r="C440" t="s">
        <v>5561</v>
      </c>
      <c r="D440" t="s">
        <v>0</v>
      </c>
      <c r="E440" t="s">
        <v>271</v>
      </c>
      <c r="F440" t="s">
        <v>355</v>
      </c>
    </row>
    <row r="441" spans="1:6" x14ac:dyDescent="0.25">
      <c r="A441" t="s">
        <v>5562</v>
      </c>
      <c r="B441" t="s">
        <v>5563</v>
      </c>
      <c r="C441" t="s">
        <v>5564</v>
      </c>
      <c r="D441" t="s">
        <v>0</v>
      </c>
      <c r="E441" t="s">
        <v>271</v>
      </c>
      <c r="F441" t="s">
        <v>436</v>
      </c>
    </row>
    <row r="442" spans="1:6" x14ac:dyDescent="0.25">
      <c r="A442" t="s">
        <v>5565</v>
      </c>
      <c r="B442" t="s">
        <v>5566</v>
      </c>
      <c r="C442" t="s">
        <v>5567</v>
      </c>
      <c r="D442" t="s">
        <v>0</v>
      </c>
      <c r="E442" t="s">
        <v>271</v>
      </c>
      <c r="F442" t="s">
        <v>323</v>
      </c>
    </row>
    <row r="443" spans="1:6" x14ac:dyDescent="0.25">
      <c r="A443" t="s">
        <v>5568</v>
      </c>
      <c r="B443" t="s">
        <v>5569</v>
      </c>
      <c r="C443" t="s">
        <v>5570</v>
      </c>
      <c r="D443" t="s">
        <v>0</v>
      </c>
      <c r="E443" t="s">
        <v>271</v>
      </c>
      <c r="F443" t="s">
        <v>3652</v>
      </c>
    </row>
    <row r="444" spans="1:6" x14ac:dyDescent="0.25">
      <c r="A444" t="s">
        <v>5571</v>
      </c>
      <c r="B444" t="s">
        <v>5572</v>
      </c>
      <c r="C444" t="s">
        <v>5573</v>
      </c>
      <c r="D444" t="s">
        <v>453</v>
      </c>
      <c r="E444" t="s">
        <v>271</v>
      </c>
      <c r="F444" t="s">
        <v>2285</v>
      </c>
    </row>
    <row r="445" spans="1:6" x14ac:dyDescent="0.25">
      <c r="A445" t="s">
        <v>5574</v>
      </c>
      <c r="B445" t="s">
        <v>5575</v>
      </c>
      <c r="C445" t="s">
        <v>5576</v>
      </c>
      <c r="D445" t="s">
        <v>822</v>
      </c>
      <c r="E445" t="s">
        <v>269</v>
      </c>
      <c r="F445" t="s">
        <v>821</v>
      </c>
    </row>
    <row r="446" spans="1:6" x14ac:dyDescent="0.25">
      <c r="A446" t="s">
        <v>5577</v>
      </c>
      <c r="B446" t="s">
        <v>5578</v>
      </c>
      <c r="C446" t="s">
        <v>273</v>
      </c>
      <c r="D446" t="s">
        <v>668</v>
      </c>
      <c r="E446" t="s">
        <v>271</v>
      </c>
      <c r="F446" t="s">
        <v>667</v>
      </c>
    </row>
    <row r="447" spans="1:6" x14ac:dyDescent="0.25">
      <c r="A447" t="s">
        <v>5579</v>
      </c>
      <c r="B447" t="s">
        <v>5580</v>
      </c>
      <c r="C447" t="s">
        <v>5581</v>
      </c>
      <c r="D447" t="s">
        <v>0</v>
      </c>
      <c r="E447" t="s">
        <v>271</v>
      </c>
      <c r="F447" t="s">
        <v>4402</v>
      </c>
    </row>
    <row r="448" spans="1:6" x14ac:dyDescent="0.25">
      <c r="A448" t="s">
        <v>5582</v>
      </c>
      <c r="B448" t="s">
        <v>5583</v>
      </c>
      <c r="C448" t="s">
        <v>5584</v>
      </c>
      <c r="D448" t="s">
        <v>1361</v>
      </c>
      <c r="E448" t="s">
        <v>271</v>
      </c>
      <c r="F448" t="s">
        <v>2260</v>
      </c>
    </row>
    <row r="449" spans="1:6" x14ac:dyDescent="0.25">
      <c r="A449" t="s">
        <v>5585</v>
      </c>
      <c r="B449" t="s">
        <v>5586</v>
      </c>
      <c r="C449" t="s">
        <v>5587</v>
      </c>
      <c r="D449" t="s">
        <v>0</v>
      </c>
      <c r="E449" t="s">
        <v>271</v>
      </c>
      <c r="F449" t="s">
        <v>1180</v>
      </c>
    </row>
    <row r="450" spans="1:6" x14ac:dyDescent="0.25">
      <c r="A450" t="s">
        <v>5588</v>
      </c>
      <c r="B450" t="s">
        <v>5589</v>
      </c>
      <c r="C450" t="s">
        <v>5590</v>
      </c>
      <c r="D450" t="s">
        <v>5591</v>
      </c>
      <c r="E450" t="s">
        <v>269</v>
      </c>
      <c r="F450" t="s">
        <v>1742</v>
      </c>
    </row>
    <row r="451" spans="1:6" x14ac:dyDescent="0.25">
      <c r="A451" t="s">
        <v>2467</v>
      </c>
      <c r="B451" t="s">
        <v>2468</v>
      </c>
      <c r="C451" t="s">
        <v>2472</v>
      </c>
      <c r="D451" t="s">
        <v>2471</v>
      </c>
      <c r="E451" t="s">
        <v>271</v>
      </c>
      <c r="F451" t="s">
        <v>2470</v>
      </c>
    </row>
    <row r="452" spans="1:6" x14ac:dyDescent="0.25">
      <c r="A452" t="s">
        <v>5592</v>
      </c>
      <c r="B452" t="s">
        <v>5593</v>
      </c>
      <c r="C452" t="s">
        <v>5594</v>
      </c>
      <c r="D452" t="s">
        <v>0</v>
      </c>
      <c r="E452" t="s">
        <v>271</v>
      </c>
      <c r="F452" t="s">
        <v>4378</v>
      </c>
    </row>
    <row r="453" spans="1:6" x14ac:dyDescent="0.25">
      <c r="A453" t="s">
        <v>5595</v>
      </c>
      <c r="B453" t="s">
        <v>5596</v>
      </c>
      <c r="C453" t="s">
        <v>5597</v>
      </c>
      <c r="D453" t="s">
        <v>5598</v>
      </c>
      <c r="E453" t="s">
        <v>271</v>
      </c>
      <c r="F453" t="s">
        <v>4427</v>
      </c>
    </row>
    <row r="454" spans="1:6" x14ac:dyDescent="0.25">
      <c r="A454" t="s">
        <v>5599</v>
      </c>
      <c r="B454" t="s">
        <v>5600</v>
      </c>
      <c r="C454" t="s">
        <v>5601</v>
      </c>
      <c r="D454" t="s">
        <v>3680</v>
      </c>
      <c r="E454" t="s">
        <v>271</v>
      </c>
      <c r="F454" t="s">
        <v>3679</v>
      </c>
    </row>
    <row r="455" spans="1:6" x14ac:dyDescent="0.25">
      <c r="A455" t="s">
        <v>5602</v>
      </c>
      <c r="B455" t="s">
        <v>5603</v>
      </c>
      <c r="C455" t="s">
        <v>5604</v>
      </c>
      <c r="D455" t="s">
        <v>492</v>
      </c>
      <c r="E455" t="s">
        <v>271</v>
      </c>
      <c r="F455" t="s">
        <v>1221</v>
      </c>
    </row>
    <row r="456" spans="1:6" x14ac:dyDescent="0.25">
      <c r="A456" t="s">
        <v>5605</v>
      </c>
      <c r="B456" t="s">
        <v>5606</v>
      </c>
      <c r="C456" t="s">
        <v>5607</v>
      </c>
      <c r="D456" t="s">
        <v>0</v>
      </c>
      <c r="E456" t="s">
        <v>271</v>
      </c>
      <c r="F456" t="s">
        <v>1148</v>
      </c>
    </row>
    <row r="457" spans="1:6" x14ac:dyDescent="0.25">
      <c r="A457" t="s">
        <v>5608</v>
      </c>
      <c r="B457" t="s">
        <v>5609</v>
      </c>
      <c r="C457" t="s">
        <v>3448</v>
      </c>
      <c r="D457" t="s">
        <v>1638</v>
      </c>
      <c r="E457" t="s">
        <v>271</v>
      </c>
      <c r="F457" t="s">
        <v>1637</v>
      </c>
    </row>
    <row r="458" spans="1:6" x14ac:dyDescent="0.25">
      <c r="A458" t="s">
        <v>5610</v>
      </c>
      <c r="B458" t="s">
        <v>5611</v>
      </c>
      <c r="C458" t="s">
        <v>5612</v>
      </c>
      <c r="D458" t="s">
        <v>0</v>
      </c>
      <c r="E458" t="s">
        <v>271</v>
      </c>
      <c r="F458" t="s">
        <v>575</v>
      </c>
    </row>
    <row r="459" spans="1:6" x14ac:dyDescent="0.25">
      <c r="A459" t="s">
        <v>5613</v>
      </c>
      <c r="B459" t="s">
        <v>5614</v>
      </c>
      <c r="C459" t="s">
        <v>5615</v>
      </c>
      <c r="D459" t="s">
        <v>1303</v>
      </c>
      <c r="E459" t="s">
        <v>269</v>
      </c>
      <c r="F459" t="s">
        <v>1302</v>
      </c>
    </row>
    <row r="460" spans="1:6" x14ac:dyDescent="0.25">
      <c r="A460" t="s">
        <v>5616</v>
      </c>
      <c r="B460" t="s">
        <v>5617</v>
      </c>
      <c r="C460" t="s">
        <v>5618</v>
      </c>
      <c r="D460" t="s">
        <v>2714</v>
      </c>
      <c r="E460" t="s">
        <v>271</v>
      </c>
      <c r="F460" t="s">
        <v>2713</v>
      </c>
    </row>
    <row r="461" spans="1:6" x14ac:dyDescent="0.25">
      <c r="A461" t="s">
        <v>5619</v>
      </c>
      <c r="B461" t="s">
        <v>5620</v>
      </c>
      <c r="C461" t="s">
        <v>5621</v>
      </c>
      <c r="D461" t="s">
        <v>617</v>
      </c>
      <c r="E461" t="s">
        <v>271</v>
      </c>
      <c r="F461" t="s">
        <v>438</v>
      </c>
    </row>
    <row r="462" spans="1:6" x14ac:dyDescent="0.25">
      <c r="A462" t="s">
        <v>3013</v>
      </c>
      <c r="B462" t="s">
        <v>3014</v>
      </c>
      <c r="C462" t="s">
        <v>3015</v>
      </c>
      <c r="D462" t="s">
        <v>793</v>
      </c>
      <c r="E462" t="s">
        <v>271</v>
      </c>
      <c r="F462" t="s">
        <v>792</v>
      </c>
    </row>
    <row r="463" spans="1:6" x14ac:dyDescent="0.25">
      <c r="A463" t="s">
        <v>5622</v>
      </c>
      <c r="B463" t="s">
        <v>5623</v>
      </c>
      <c r="C463" t="s">
        <v>5624</v>
      </c>
      <c r="D463" t="s">
        <v>0</v>
      </c>
      <c r="E463" t="s">
        <v>271</v>
      </c>
      <c r="F463" t="s">
        <v>1534</v>
      </c>
    </row>
    <row r="464" spans="1:6" x14ac:dyDescent="0.25">
      <c r="A464" t="s">
        <v>5625</v>
      </c>
      <c r="B464" t="s">
        <v>5626</v>
      </c>
      <c r="C464" t="s">
        <v>5627</v>
      </c>
      <c r="D464" t="s">
        <v>5628</v>
      </c>
      <c r="E464" t="s">
        <v>269</v>
      </c>
      <c r="F464" t="s">
        <v>5629</v>
      </c>
    </row>
    <row r="465" spans="1:6" x14ac:dyDescent="0.25">
      <c r="A465" t="s">
        <v>5630</v>
      </c>
      <c r="B465" t="s">
        <v>5631</v>
      </c>
      <c r="C465" t="s">
        <v>5632</v>
      </c>
      <c r="D465" t="s">
        <v>282</v>
      </c>
      <c r="E465" t="s">
        <v>271</v>
      </c>
      <c r="F465" t="s">
        <v>1191</v>
      </c>
    </row>
    <row r="466" spans="1:6" x14ac:dyDescent="0.25">
      <c r="A466" t="s">
        <v>5633</v>
      </c>
      <c r="B466" t="s">
        <v>5634</v>
      </c>
      <c r="C466" t="s">
        <v>5635</v>
      </c>
      <c r="D466" t="s">
        <v>4840</v>
      </c>
      <c r="E466" t="s">
        <v>271</v>
      </c>
      <c r="F466" t="s">
        <v>593</v>
      </c>
    </row>
    <row r="467" spans="1:6" x14ac:dyDescent="0.25">
      <c r="A467" t="s">
        <v>5636</v>
      </c>
      <c r="B467" t="s">
        <v>573</v>
      </c>
      <c r="C467" t="s">
        <v>5637</v>
      </c>
      <c r="D467" t="s">
        <v>461</v>
      </c>
      <c r="E467" t="s">
        <v>271</v>
      </c>
      <c r="F467" t="s">
        <v>336</v>
      </c>
    </row>
    <row r="468" spans="1:6" x14ac:dyDescent="0.25">
      <c r="A468" t="s">
        <v>5638</v>
      </c>
      <c r="B468" t="s">
        <v>5639</v>
      </c>
      <c r="C468" t="s">
        <v>5640</v>
      </c>
      <c r="D468" t="s">
        <v>5641</v>
      </c>
      <c r="E468" t="s">
        <v>271</v>
      </c>
      <c r="F468" t="s">
        <v>1567</v>
      </c>
    </row>
    <row r="469" spans="1:6" x14ac:dyDescent="0.25">
      <c r="A469" t="s">
        <v>2844</v>
      </c>
      <c r="B469" t="s">
        <v>2845</v>
      </c>
      <c r="C469" t="s">
        <v>2846</v>
      </c>
      <c r="D469" t="s">
        <v>1542</v>
      </c>
      <c r="E469" t="s">
        <v>269</v>
      </c>
      <c r="F469" t="s">
        <v>1541</v>
      </c>
    </row>
    <row r="470" spans="1:6" x14ac:dyDescent="0.25">
      <c r="A470" t="s">
        <v>5642</v>
      </c>
      <c r="B470" t="s">
        <v>5643</v>
      </c>
      <c r="C470" t="s">
        <v>5644</v>
      </c>
      <c r="D470" t="s">
        <v>0</v>
      </c>
      <c r="E470" t="s">
        <v>271</v>
      </c>
      <c r="F470" t="s">
        <v>436</v>
      </c>
    </row>
    <row r="471" spans="1:6" x14ac:dyDescent="0.25">
      <c r="A471" t="s">
        <v>5645</v>
      </c>
      <c r="B471" t="s">
        <v>5646</v>
      </c>
      <c r="C471" t="s">
        <v>5647</v>
      </c>
      <c r="D471" t="s">
        <v>0</v>
      </c>
      <c r="E471" t="s">
        <v>271</v>
      </c>
      <c r="F471" t="s">
        <v>323</v>
      </c>
    </row>
    <row r="472" spans="1:6" x14ac:dyDescent="0.25">
      <c r="A472" t="s">
        <v>5648</v>
      </c>
      <c r="B472" t="s">
        <v>5649</v>
      </c>
      <c r="C472" t="s">
        <v>5650</v>
      </c>
      <c r="D472" t="s">
        <v>490</v>
      </c>
      <c r="E472" t="s">
        <v>271</v>
      </c>
      <c r="F472" t="s">
        <v>491</v>
      </c>
    </row>
    <row r="473" spans="1:6" x14ac:dyDescent="0.25">
      <c r="A473" t="s">
        <v>5651</v>
      </c>
      <c r="B473" t="s">
        <v>5652</v>
      </c>
      <c r="C473" t="s">
        <v>5653</v>
      </c>
      <c r="D473" t="s">
        <v>586</v>
      </c>
      <c r="E473" t="s">
        <v>271</v>
      </c>
      <c r="F473" t="s">
        <v>334</v>
      </c>
    </row>
    <row r="474" spans="1:6" x14ac:dyDescent="0.25">
      <c r="A474" t="s">
        <v>5654</v>
      </c>
      <c r="B474" t="s">
        <v>5655</v>
      </c>
      <c r="C474" t="s">
        <v>5656</v>
      </c>
      <c r="D474" t="s">
        <v>2024</v>
      </c>
      <c r="E474" t="s">
        <v>271</v>
      </c>
      <c r="F474" t="s">
        <v>428</v>
      </c>
    </row>
    <row r="475" spans="1:6" x14ac:dyDescent="0.25">
      <c r="A475" t="s">
        <v>5657</v>
      </c>
      <c r="B475" t="s">
        <v>5658</v>
      </c>
      <c r="C475" t="s">
        <v>5659</v>
      </c>
      <c r="D475" t="s">
        <v>363</v>
      </c>
      <c r="E475" t="s">
        <v>271</v>
      </c>
      <c r="F475" t="s">
        <v>364</v>
      </c>
    </row>
    <row r="476" spans="1:6" x14ac:dyDescent="0.25">
      <c r="A476" t="s">
        <v>3330</v>
      </c>
      <c r="B476" t="s">
        <v>3331</v>
      </c>
      <c r="C476" t="s">
        <v>3333</v>
      </c>
      <c r="D476" t="s">
        <v>1925</v>
      </c>
      <c r="E476" t="s">
        <v>271</v>
      </c>
      <c r="F476" t="s">
        <v>3332</v>
      </c>
    </row>
    <row r="477" spans="1:6" x14ac:dyDescent="0.25">
      <c r="A477" t="s">
        <v>5660</v>
      </c>
      <c r="B477" t="s">
        <v>5661</v>
      </c>
      <c r="C477" t="s">
        <v>5662</v>
      </c>
      <c r="D477" t="s">
        <v>1361</v>
      </c>
      <c r="E477" t="s">
        <v>271</v>
      </c>
      <c r="F477" t="s">
        <v>1360</v>
      </c>
    </row>
    <row r="478" spans="1:6" x14ac:dyDescent="0.25">
      <c r="A478" t="s">
        <v>5663</v>
      </c>
      <c r="B478" t="s">
        <v>5664</v>
      </c>
      <c r="C478" t="s">
        <v>5665</v>
      </c>
      <c r="D478" t="s">
        <v>492</v>
      </c>
      <c r="E478" t="s">
        <v>271</v>
      </c>
      <c r="F478" t="s">
        <v>493</v>
      </c>
    </row>
    <row r="479" spans="1:6" x14ac:dyDescent="0.25">
      <c r="A479" t="s">
        <v>5666</v>
      </c>
      <c r="B479" t="s">
        <v>5667</v>
      </c>
      <c r="C479" t="s">
        <v>5668</v>
      </c>
      <c r="D479" t="s">
        <v>1079</v>
      </c>
      <c r="E479" t="s">
        <v>271</v>
      </c>
      <c r="F479" t="s">
        <v>1747</v>
      </c>
    </row>
    <row r="480" spans="1:6" x14ac:dyDescent="0.25">
      <c r="A480" t="s">
        <v>5669</v>
      </c>
      <c r="B480" t="s">
        <v>5670</v>
      </c>
      <c r="C480" t="s">
        <v>5671</v>
      </c>
      <c r="D480" t="s">
        <v>0</v>
      </c>
      <c r="E480" t="s">
        <v>271</v>
      </c>
      <c r="F480" t="s">
        <v>325</v>
      </c>
    </row>
    <row r="481" spans="1:6" x14ac:dyDescent="0.25">
      <c r="A481" t="s">
        <v>5672</v>
      </c>
      <c r="B481" t="s">
        <v>5673</v>
      </c>
      <c r="C481" t="s">
        <v>5674</v>
      </c>
      <c r="D481" t="s">
        <v>616</v>
      </c>
      <c r="E481" t="s">
        <v>271</v>
      </c>
      <c r="F481" t="s">
        <v>1102</v>
      </c>
    </row>
    <row r="482" spans="1:6" x14ac:dyDescent="0.25">
      <c r="A482" t="s">
        <v>5675</v>
      </c>
      <c r="B482" t="s">
        <v>5676</v>
      </c>
      <c r="C482" t="s">
        <v>5677</v>
      </c>
      <c r="D482" t="s">
        <v>453</v>
      </c>
      <c r="E482" t="s">
        <v>271</v>
      </c>
      <c r="F482" t="s">
        <v>454</v>
      </c>
    </row>
    <row r="483" spans="1:6" x14ac:dyDescent="0.25">
      <c r="A483" t="s">
        <v>5678</v>
      </c>
      <c r="B483" t="s">
        <v>5679</v>
      </c>
      <c r="C483" t="s">
        <v>5680</v>
      </c>
      <c r="D483" t="s">
        <v>0</v>
      </c>
      <c r="E483" t="s">
        <v>271</v>
      </c>
      <c r="F483" t="s">
        <v>436</v>
      </c>
    </row>
    <row r="484" spans="1:6" x14ac:dyDescent="0.25">
      <c r="A484" t="s">
        <v>5681</v>
      </c>
      <c r="B484" t="s">
        <v>5682</v>
      </c>
      <c r="C484" t="s">
        <v>5683</v>
      </c>
      <c r="D484" t="s">
        <v>0</v>
      </c>
      <c r="E484" t="s">
        <v>271</v>
      </c>
      <c r="F484" t="s">
        <v>356</v>
      </c>
    </row>
    <row r="485" spans="1:6" x14ac:dyDescent="0.25">
      <c r="A485" t="s">
        <v>3327</v>
      </c>
      <c r="B485" t="s">
        <v>3328</v>
      </c>
      <c r="C485" t="s">
        <v>3329</v>
      </c>
      <c r="D485" t="s">
        <v>2940</v>
      </c>
      <c r="E485" t="s">
        <v>271</v>
      </c>
      <c r="F485" t="s">
        <v>2939</v>
      </c>
    </row>
    <row r="486" spans="1:6" x14ac:dyDescent="0.25">
      <c r="A486" t="s">
        <v>5684</v>
      </c>
      <c r="B486" t="s">
        <v>243</v>
      </c>
      <c r="C486" t="s">
        <v>5685</v>
      </c>
      <c r="D486" t="s">
        <v>4470</v>
      </c>
      <c r="E486" t="s">
        <v>271</v>
      </c>
      <c r="F486" t="s">
        <v>4426</v>
      </c>
    </row>
    <row r="487" spans="1:6" x14ac:dyDescent="0.25">
      <c r="A487" t="s">
        <v>5686</v>
      </c>
      <c r="B487" t="s">
        <v>5687</v>
      </c>
      <c r="C487" t="s">
        <v>5688</v>
      </c>
      <c r="D487" t="s">
        <v>2093</v>
      </c>
      <c r="E487" t="s">
        <v>271</v>
      </c>
      <c r="F487" t="s">
        <v>1058</v>
      </c>
    </row>
    <row r="488" spans="1:6" x14ac:dyDescent="0.25">
      <c r="A488" t="s">
        <v>3066</v>
      </c>
      <c r="B488" t="s">
        <v>3067</v>
      </c>
      <c r="C488" t="s">
        <v>3068</v>
      </c>
      <c r="D488" t="s">
        <v>598</v>
      </c>
      <c r="E488" t="s">
        <v>271</v>
      </c>
      <c r="F488" t="s">
        <v>599</v>
      </c>
    </row>
    <row r="489" spans="1:6" x14ac:dyDescent="0.25">
      <c r="A489" t="s">
        <v>5689</v>
      </c>
      <c r="B489" t="s">
        <v>5690</v>
      </c>
      <c r="C489" t="s">
        <v>5691</v>
      </c>
      <c r="D489" t="s">
        <v>2885</v>
      </c>
      <c r="E489" t="s">
        <v>271</v>
      </c>
      <c r="F489" t="s">
        <v>1523</v>
      </c>
    </row>
    <row r="490" spans="1:6" x14ac:dyDescent="0.25">
      <c r="A490" t="s">
        <v>5692</v>
      </c>
      <c r="B490" t="s">
        <v>5693</v>
      </c>
      <c r="C490" t="s">
        <v>5694</v>
      </c>
      <c r="D490" t="s">
        <v>616</v>
      </c>
      <c r="E490" t="s">
        <v>271</v>
      </c>
      <c r="F490" t="s">
        <v>1102</v>
      </c>
    </row>
    <row r="491" spans="1:6" x14ac:dyDescent="0.25">
      <c r="A491" t="s">
        <v>5695</v>
      </c>
      <c r="B491" t="s">
        <v>5696</v>
      </c>
      <c r="C491" t="s">
        <v>5697</v>
      </c>
      <c r="D491" t="s">
        <v>0</v>
      </c>
      <c r="E491" t="s">
        <v>271</v>
      </c>
      <c r="F491" t="s">
        <v>2608</v>
      </c>
    </row>
    <row r="492" spans="1:6" x14ac:dyDescent="0.25">
      <c r="A492" t="s">
        <v>5698</v>
      </c>
      <c r="B492" t="s">
        <v>5699</v>
      </c>
      <c r="C492" t="s">
        <v>5700</v>
      </c>
      <c r="D492" t="s">
        <v>1609</v>
      </c>
      <c r="E492" t="s">
        <v>271</v>
      </c>
      <c r="F492" t="s">
        <v>294</v>
      </c>
    </row>
    <row r="493" spans="1:6" x14ac:dyDescent="0.25">
      <c r="A493" t="s">
        <v>5701</v>
      </c>
      <c r="B493" t="s">
        <v>5702</v>
      </c>
      <c r="C493" t="s">
        <v>5703</v>
      </c>
      <c r="D493" t="s">
        <v>1665</v>
      </c>
      <c r="E493" t="s">
        <v>271</v>
      </c>
      <c r="F493" t="s">
        <v>1664</v>
      </c>
    </row>
    <row r="494" spans="1:6" x14ac:dyDescent="0.25">
      <c r="A494" t="s">
        <v>5704</v>
      </c>
      <c r="B494" t="s">
        <v>5705</v>
      </c>
      <c r="C494" t="s">
        <v>5706</v>
      </c>
      <c r="D494" t="s">
        <v>492</v>
      </c>
      <c r="E494" t="s">
        <v>271</v>
      </c>
      <c r="F494" t="s">
        <v>1221</v>
      </c>
    </row>
    <row r="495" spans="1:6" x14ac:dyDescent="0.25">
      <c r="A495" t="s">
        <v>5707</v>
      </c>
      <c r="B495" t="s">
        <v>5708</v>
      </c>
      <c r="C495" t="s">
        <v>5709</v>
      </c>
      <c r="D495" t="s">
        <v>1019</v>
      </c>
      <c r="E495" t="s">
        <v>271</v>
      </c>
      <c r="F495" t="s">
        <v>1018</v>
      </c>
    </row>
    <row r="496" spans="1:6" x14ac:dyDescent="0.25">
      <c r="A496" t="s">
        <v>5710</v>
      </c>
      <c r="B496" t="s">
        <v>5711</v>
      </c>
      <c r="C496" t="s">
        <v>5712</v>
      </c>
      <c r="D496" t="s">
        <v>0</v>
      </c>
      <c r="E496" t="s">
        <v>271</v>
      </c>
      <c r="F496" t="s">
        <v>1141</v>
      </c>
    </row>
    <row r="497" spans="1:6" x14ac:dyDescent="0.25">
      <c r="A497" t="s">
        <v>5713</v>
      </c>
      <c r="B497" t="s">
        <v>5714</v>
      </c>
      <c r="C497" t="s">
        <v>5715</v>
      </c>
      <c r="D497" t="s">
        <v>0</v>
      </c>
      <c r="E497" t="s">
        <v>271</v>
      </c>
      <c r="F497" t="s">
        <v>688</v>
      </c>
    </row>
    <row r="498" spans="1:6" x14ac:dyDescent="0.25">
      <c r="A498" t="s">
        <v>5716</v>
      </c>
      <c r="B498" t="s">
        <v>5717</v>
      </c>
      <c r="C498" t="s">
        <v>5718</v>
      </c>
      <c r="D498" t="s">
        <v>793</v>
      </c>
      <c r="E498" t="s">
        <v>271</v>
      </c>
      <c r="F498" t="s">
        <v>792</v>
      </c>
    </row>
    <row r="499" spans="1:6" x14ac:dyDescent="0.25">
      <c r="A499" t="s">
        <v>3024</v>
      </c>
      <c r="B499" t="s">
        <v>3025</v>
      </c>
      <c r="C499" t="s">
        <v>3026</v>
      </c>
      <c r="D499" t="s">
        <v>616</v>
      </c>
      <c r="E499" t="s">
        <v>271</v>
      </c>
      <c r="F499" t="s">
        <v>333</v>
      </c>
    </row>
    <row r="500" spans="1:6" x14ac:dyDescent="0.25">
      <c r="A500" t="s">
        <v>5719</v>
      </c>
      <c r="B500" t="s">
        <v>5720</v>
      </c>
      <c r="C500" t="s">
        <v>5721</v>
      </c>
      <c r="D500" t="s">
        <v>1317</v>
      </c>
      <c r="E500" t="s">
        <v>271</v>
      </c>
      <c r="F500" t="s">
        <v>1316</v>
      </c>
    </row>
    <row r="501" spans="1:6" x14ac:dyDescent="0.25">
      <c r="A501" t="s">
        <v>5722</v>
      </c>
      <c r="B501" t="s">
        <v>5723</v>
      </c>
      <c r="C501" t="s">
        <v>5724</v>
      </c>
      <c r="D501" t="s">
        <v>668</v>
      </c>
      <c r="E501" t="s">
        <v>271</v>
      </c>
      <c r="F501" t="s">
        <v>667</v>
      </c>
    </row>
    <row r="502" spans="1:6" x14ac:dyDescent="0.25">
      <c r="A502" t="s">
        <v>5725</v>
      </c>
      <c r="B502" t="s">
        <v>5726</v>
      </c>
      <c r="C502" t="s">
        <v>5727</v>
      </c>
      <c r="D502" t="s">
        <v>572</v>
      </c>
      <c r="E502" t="s">
        <v>271</v>
      </c>
      <c r="F502" t="s">
        <v>335</v>
      </c>
    </row>
    <row r="503" spans="1:6" x14ac:dyDescent="0.25">
      <c r="A503" t="s">
        <v>5728</v>
      </c>
      <c r="B503" t="s">
        <v>5729</v>
      </c>
      <c r="C503" t="s">
        <v>5730</v>
      </c>
      <c r="D503" t="s">
        <v>0</v>
      </c>
      <c r="E503" t="s">
        <v>271</v>
      </c>
      <c r="F503" t="s">
        <v>431</v>
      </c>
    </row>
    <row r="504" spans="1:6" x14ac:dyDescent="0.25">
      <c r="A504" t="s">
        <v>5731</v>
      </c>
      <c r="B504" t="s">
        <v>5732</v>
      </c>
      <c r="C504" t="s">
        <v>5733</v>
      </c>
      <c r="D504" t="s">
        <v>0</v>
      </c>
      <c r="E504" t="s">
        <v>271</v>
      </c>
      <c r="F504" t="s">
        <v>881</v>
      </c>
    </row>
    <row r="505" spans="1:6" x14ac:dyDescent="0.25">
      <c r="A505" t="s">
        <v>5734</v>
      </c>
      <c r="B505" t="s">
        <v>5735</v>
      </c>
      <c r="C505" t="s">
        <v>5736</v>
      </c>
      <c r="D505" t="s">
        <v>1126</v>
      </c>
      <c r="E505" t="s">
        <v>271</v>
      </c>
      <c r="F505" t="s">
        <v>1125</v>
      </c>
    </row>
    <row r="506" spans="1:6" x14ac:dyDescent="0.25">
      <c r="A506" t="s">
        <v>5737</v>
      </c>
      <c r="B506" t="s">
        <v>5738</v>
      </c>
      <c r="C506" t="s">
        <v>5739</v>
      </c>
      <c r="D506" t="s">
        <v>0</v>
      </c>
      <c r="E506" t="s">
        <v>271</v>
      </c>
      <c r="F506" t="s">
        <v>323</v>
      </c>
    </row>
    <row r="507" spans="1:6" x14ac:dyDescent="0.25">
      <c r="A507" t="s">
        <v>5740</v>
      </c>
      <c r="B507" t="s">
        <v>5741</v>
      </c>
      <c r="C507" t="s">
        <v>5742</v>
      </c>
      <c r="D507" t="s">
        <v>3291</v>
      </c>
      <c r="E507" t="s">
        <v>271</v>
      </c>
      <c r="F507" t="s">
        <v>3290</v>
      </c>
    </row>
    <row r="508" spans="1:6" x14ac:dyDescent="0.25">
      <c r="A508" t="s">
        <v>5743</v>
      </c>
      <c r="B508" t="s">
        <v>5744</v>
      </c>
      <c r="C508" t="s">
        <v>5745</v>
      </c>
      <c r="D508" t="s">
        <v>492</v>
      </c>
      <c r="E508" t="s">
        <v>271</v>
      </c>
      <c r="F508" t="s">
        <v>493</v>
      </c>
    </row>
    <row r="509" spans="1:6" x14ac:dyDescent="0.25">
      <c r="A509" t="s">
        <v>2594</v>
      </c>
      <c r="B509" t="s">
        <v>2595</v>
      </c>
      <c r="C509" t="s">
        <v>2596</v>
      </c>
      <c r="D509" t="s">
        <v>0</v>
      </c>
      <c r="E509" t="s">
        <v>271</v>
      </c>
      <c r="F509" t="s">
        <v>575</v>
      </c>
    </row>
    <row r="510" spans="1:6" x14ac:dyDescent="0.25">
      <c r="A510" t="s">
        <v>5746</v>
      </c>
      <c r="B510" t="s">
        <v>5747</v>
      </c>
      <c r="C510" t="s">
        <v>5748</v>
      </c>
      <c r="D510" t="s">
        <v>314</v>
      </c>
      <c r="E510" t="s">
        <v>271</v>
      </c>
      <c r="F510" t="s">
        <v>352</v>
      </c>
    </row>
    <row r="511" spans="1:6" x14ac:dyDescent="0.25">
      <c r="A511" t="s">
        <v>5749</v>
      </c>
      <c r="B511" t="s">
        <v>5750</v>
      </c>
      <c r="C511" t="s">
        <v>5751</v>
      </c>
      <c r="D511" t="s">
        <v>1433</v>
      </c>
      <c r="E511" t="s">
        <v>271</v>
      </c>
      <c r="F511" t="s">
        <v>1432</v>
      </c>
    </row>
    <row r="512" spans="1:6" x14ac:dyDescent="0.25">
      <c r="A512" t="s">
        <v>5752</v>
      </c>
      <c r="B512" t="s">
        <v>5753</v>
      </c>
      <c r="C512" t="s">
        <v>5754</v>
      </c>
      <c r="D512" t="s">
        <v>363</v>
      </c>
      <c r="E512" t="s">
        <v>271</v>
      </c>
      <c r="F512" t="s">
        <v>364</v>
      </c>
    </row>
    <row r="513" spans="1:6" x14ac:dyDescent="0.25">
      <c r="A513" t="s">
        <v>5755</v>
      </c>
      <c r="B513" t="s">
        <v>5756</v>
      </c>
      <c r="C513" t="s">
        <v>5757</v>
      </c>
      <c r="D513" t="s">
        <v>1199</v>
      </c>
      <c r="E513" t="s">
        <v>271</v>
      </c>
      <c r="F513" t="s">
        <v>1198</v>
      </c>
    </row>
    <row r="514" spans="1:6" x14ac:dyDescent="0.25">
      <c r="A514" t="s">
        <v>3651</v>
      </c>
      <c r="B514" t="s">
        <v>360</v>
      </c>
      <c r="C514" t="s">
        <v>3653</v>
      </c>
      <c r="D514" t="s">
        <v>0</v>
      </c>
      <c r="E514" t="s">
        <v>271</v>
      </c>
      <c r="F514" t="s">
        <v>3652</v>
      </c>
    </row>
    <row r="515" spans="1:6" x14ac:dyDescent="0.25">
      <c r="A515" t="s">
        <v>5758</v>
      </c>
      <c r="B515" t="s">
        <v>5759</v>
      </c>
      <c r="C515" t="s">
        <v>5718</v>
      </c>
      <c r="D515" t="s">
        <v>793</v>
      </c>
      <c r="E515" t="s">
        <v>271</v>
      </c>
      <c r="F515" t="s">
        <v>792</v>
      </c>
    </row>
    <row r="516" spans="1:6" x14ac:dyDescent="0.25">
      <c r="A516" t="s">
        <v>5760</v>
      </c>
      <c r="B516" t="s">
        <v>5761</v>
      </c>
      <c r="C516" t="s">
        <v>5762</v>
      </c>
      <c r="D516" t="s">
        <v>0</v>
      </c>
      <c r="E516" t="s">
        <v>271</v>
      </c>
      <c r="F516" t="s">
        <v>1152</v>
      </c>
    </row>
    <row r="517" spans="1:6" x14ac:dyDescent="0.25">
      <c r="A517" t="s">
        <v>3227</v>
      </c>
      <c r="B517" t="s">
        <v>3228</v>
      </c>
      <c r="C517" t="s">
        <v>3229</v>
      </c>
      <c r="D517" t="s">
        <v>0</v>
      </c>
      <c r="E517" t="s">
        <v>271</v>
      </c>
      <c r="F517" t="s">
        <v>881</v>
      </c>
    </row>
    <row r="518" spans="1:6" x14ac:dyDescent="0.25">
      <c r="A518" t="s">
        <v>5763</v>
      </c>
      <c r="B518" t="s">
        <v>5764</v>
      </c>
      <c r="C518" t="s">
        <v>5765</v>
      </c>
      <c r="D518" t="s">
        <v>295</v>
      </c>
      <c r="E518" t="s">
        <v>271</v>
      </c>
      <c r="F518" t="s">
        <v>1888</v>
      </c>
    </row>
    <row r="519" spans="1:6" x14ac:dyDescent="0.25">
      <c r="A519" t="s">
        <v>5766</v>
      </c>
      <c r="B519" t="s">
        <v>5767</v>
      </c>
      <c r="C519" t="s">
        <v>2209</v>
      </c>
      <c r="D519" t="s">
        <v>363</v>
      </c>
      <c r="E519" t="s">
        <v>271</v>
      </c>
      <c r="F519" t="s">
        <v>364</v>
      </c>
    </row>
    <row r="520" spans="1:6" x14ac:dyDescent="0.25">
      <c r="A520" t="s">
        <v>5768</v>
      </c>
      <c r="B520" t="s">
        <v>5769</v>
      </c>
      <c r="C520" t="s">
        <v>587</v>
      </c>
      <c r="D520" t="s">
        <v>651</v>
      </c>
      <c r="E520" t="s">
        <v>271</v>
      </c>
      <c r="F520" t="s">
        <v>650</v>
      </c>
    </row>
    <row r="521" spans="1:6" x14ac:dyDescent="0.25">
      <c r="A521" t="s">
        <v>2245</v>
      </c>
      <c r="B521" t="s">
        <v>2246</v>
      </c>
      <c r="C521" t="s">
        <v>2247</v>
      </c>
      <c r="D521" t="s">
        <v>2116</v>
      </c>
      <c r="E521" t="s">
        <v>271</v>
      </c>
      <c r="F521" t="s">
        <v>2115</v>
      </c>
    </row>
    <row r="522" spans="1:6" x14ac:dyDescent="0.25">
      <c r="A522" t="s">
        <v>5770</v>
      </c>
      <c r="B522" t="s">
        <v>5771</v>
      </c>
      <c r="C522" t="s">
        <v>5772</v>
      </c>
      <c r="D522" t="s">
        <v>0</v>
      </c>
      <c r="E522" t="s">
        <v>271</v>
      </c>
      <c r="F522" t="s">
        <v>355</v>
      </c>
    </row>
    <row r="523" spans="1:6" x14ac:dyDescent="0.25">
      <c r="A523" t="s">
        <v>5773</v>
      </c>
      <c r="B523" t="s">
        <v>5774</v>
      </c>
      <c r="C523" t="s">
        <v>5775</v>
      </c>
      <c r="D523" t="s">
        <v>1601</v>
      </c>
      <c r="E523" t="s">
        <v>269</v>
      </c>
      <c r="F523" t="s">
        <v>2243</v>
      </c>
    </row>
    <row r="524" spans="1:6" x14ac:dyDescent="0.25">
      <c r="A524" t="s">
        <v>5776</v>
      </c>
      <c r="B524" t="s">
        <v>5777</v>
      </c>
      <c r="C524" t="s">
        <v>5778</v>
      </c>
      <c r="D524" t="s">
        <v>556</v>
      </c>
      <c r="E524" t="s">
        <v>271</v>
      </c>
      <c r="F524" t="s">
        <v>1567</v>
      </c>
    </row>
    <row r="525" spans="1:6" x14ac:dyDescent="0.25">
      <c r="A525" t="s">
        <v>5779</v>
      </c>
      <c r="B525" t="s">
        <v>5780</v>
      </c>
      <c r="C525" t="s">
        <v>5781</v>
      </c>
      <c r="D525" t="s">
        <v>3680</v>
      </c>
      <c r="E525" t="s">
        <v>271</v>
      </c>
      <c r="F525" t="s">
        <v>3679</v>
      </c>
    </row>
    <row r="526" spans="1:6" x14ac:dyDescent="0.25">
      <c r="A526" t="s">
        <v>5782</v>
      </c>
      <c r="B526" t="s">
        <v>5783</v>
      </c>
      <c r="C526" t="s">
        <v>5784</v>
      </c>
      <c r="D526" t="s">
        <v>835</v>
      </c>
      <c r="E526" t="s">
        <v>269</v>
      </c>
      <c r="F526" t="s">
        <v>834</v>
      </c>
    </row>
    <row r="527" spans="1:6" x14ac:dyDescent="0.25">
      <c r="A527" t="s">
        <v>5785</v>
      </c>
      <c r="B527" t="s">
        <v>5786</v>
      </c>
      <c r="C527" t="s">
        <v>5787</v>
      </c>
      <c r="D527" t="s">
        <v>1485</v>
      </c>
      <c r="E527" t="s">
        <v>271</v>
      </c>
      <c r="F527" t="s">
        <v>1519</v>
      </c>
    </row>
    <row r="528" spans="1:6" x14ac:dyDescent="0.25">
      <c r="A528" t="s">
        <v>5788</v>
      </c>
      <c r="B528" t="s">
        <v>5789</v>
      </c>
      <c r="C528" t="s">
        <v>5790</v>
      </c>
      <c r="D528" t="s">
        <v>845</v>
      </c>
      <c r="E528" t="s">
        <v>271</v>
      </c>
      <c r="F528" t="s">
        <v>844</v>
      </c>
    </row>
    <row r="529" spans="1:6" x14ac:dyDescent="0.25">
      <c r="A529" t="s">
        <v>5791</v>
      </c>
      <c r="B529" t="s">
        <v>5792</v>
      </c>
      <c r="C529" t="s">
        <v>5793</v>
      </c>
      <c r="D529" t="s">
        <v>1806</v>
      </c>
      <c r="E529" t="s">
        <v>271</v>
      </c>
      <c r="F529" t="s">
        <v>1805</v>
      </c>
    </row>
    <row r="530" spans="1:6" x14ac:dyDescent="0.25">
      <c r="A530" t="s">
        <v>5794</v>
      </c>
      <c r="B530" t="s">
        <v>5795</v>
      </c>
      <c r="C530" t="s">
        <v>5796</v>
      </c>
      <c r="D530" t="s">
        <v>0</v>
      </c>
      <c r="E530" t="s">
        <v>271</v>
      </c>
      <c r="F530" t="s">
        <v>325</v>
      </c>
    </row>
    <row r="531" spans="1:6" x14ac:dyDescent="0.25">
      <c r="A531" t="s">
        <v>5797</v>
      </c>
      <c r="B531" t="s">
        <v>5798</v>
      </c>
      <c r="C531" t="s">
        <v>3154</v>
      </c>
      <c r="D531" t="s">
        <v>1463</v>
      </c>
      <c r="E531" t="s">
        <v>271</v>
      </c>
      <c r="F531" t="s">
        <v>1462</v>
      </c>
    </row>
    <row r="532" spans="1:6" x14ac:dyDescent="0.25">
      <c r="A532" t="s">
        <v>5799</v>
      </c>
      <c r="B532" t="s">
        <v>5800</v>
      </c>
      <c r="C532" t="s">
        <v>5801</v>
      </c>
      <c r="D532" t="s">
        <v>361</v>
      </c>
      <c r="E532" t="s">
        <v>271</v>
      </c>
      <c r="F532" t="s">
        <v>582</v>
      </c>
    </row>
    <row r="533" spans="1:6" x14ac:dyDescent="0.25">
      <c r="A533" t="s">
        <v>5802</v>
      </c>
      <c r="B533" t="s">
        <v>5803</v>
      </c>
      <c r="C533" t="s">
        <v>1354</v>
      </c>
      <c r="D533" t="s">
        <v>237</v>
      </c>
      <c r="E533" t="s">
        <v>271</v>
      </c>
      <c r="F533" t="s">
        <v>427</v>
      </c>
    </row>
    <row r="534" spans="1:6" x14ac:dyDescent="0.25">
      <c r="A534" t="s">
        <v>5804</v>
      </c>
      <c r="B534" t="s">
        <v>5805</v>
      </c>
      <c r="C534" t="s">
        <v>5806</v>
      </c>
      <c r="D534" t="s">
        <v>258</v>
      </c>
      <c r="E534" t="s">
        <v>271</v>
      </c>
      <c r="F534" t="s">
        <v>524</v>
      </c>
    </row>
    <row r="535" spans="1:6" x14ac:dyDescent="0.25">
      <c r="A535" t="s">
        <v>5807</v>
      </c>
      <c r="B535" t="s">
        <v>5808</v>
      </c>
      <c r="C535" t="s">
        <v>3704</v>
      </c>
      <c r="D535" t="s">
        <v>0</v>
      </c>
      <c r="E535" t="s">
        <v>271</v>
      </c>
      <c r="F535" t="s">
        <v>1534</v>
      </c>
    </row>
    <row r="536" spans="1:6" x14ac:dyDescent="0.25">
      <c r="A536" t="s">
        <v>5809</v>
      </c>
      <c r="B536" t="s">
        <v>5810</v>
      </c>
      <c r="C536" t="s">
        <v>5811</v>
      </c>
      <c r="D536" t="s">
        <v>289</v>
      </c>
      <c r="E536" t="s">
        <v>271</v>
      </c>
      <c r="F536" t="s">
        <v>5812</v>
      </c>
    </row>
    <row r="537" spans="1:6" x14ac:dyDescent="0.25">
      <c r="A537" t="s">
        <v>5813</v>
      </c>
      <c r="B537" t="s">
        <v>5814</v>
      </c>
      <c r="C537" t="s">
        <v>5815</v>
      </c>
      <c r="D537" t="s">
        <v>0</v>
      </c>
      <c r="E537" t="s">
        <v>271</v>
      </c>
      <c r="F537" t="s">
        <v>1141</v>
      </c>
    </row>
    <row r="538" spans="1:6" x14ac:dyDescent="0.25">
      <c r="A538" t="s">
        <v>3708</v>
      </c>
      <c r="B538" t="s">
        <v>3709</v>
      </c>
      <c r="C538" t="s">
        <v>3710</v>
      </c>
      <c r="D538" t="s">
        <v>0</v>
      </c>
      <c r="E538" t="s">
        <v>271</v>
      </c>
      <c r="F538" t="s">
        <v>2349</v>
      </c>
    </row>
    <row r="539" spans="1:6" x14ac:dyDescent="0.25">
      <c r="A539" t="s">
        <v>5816</v>
      </c>
      <c r="B539" t="s">
        <v>5817</v>
      </c>
      <c r="C539" t="s">
        <v>5818</v>
      </c>
      <c r="D539" t="s">
        <v>1542</v>
      </c>
      <c r="E539" t="s">
        <v>269</v>
      </c>
      <c r="F539" t="s">
        <v>4412</v>
      </c>
    </row>
    <row r="540" spans="1:6" x14ac:dyDescent="0.25">
      <c r="A540" t="s">
        <v>2655</v>
      </c>
      <c r="B540" t="s">
        <v>2656</v>
      </c>
      <c r="C540" t="s">
        <v>2657</v>
      </c>
      <c r="D540" t="s">
        <v>2024</v>
      </c>
      <c r="E540" t="s">
        <v>271</v>
      </c>
      <c r="F540" t="s">
        <v>428</v>
      </c>
    </row>
    <row r="541" spans="1:6" x14ac:dyDescent="0.25">
      <c r="A541" t="s">
        <v>5819</v>
      </c>
      <c r="B541" t="s">
        <v>5820</v>
      </c>
      <c r="C541" t="s">
        <v>5821</v>
      </c>
      <c r="D541" t="s">
        <v>503</v>
      </c>
      <c r="E541" t="s">
        <v>271</v>
      </c>
      <c r="F541" t="s">
        <v>504</v>
      </c>
    </row>
    <row r="542" spans="1:6" x14ac:dyDescent="0.25">
      <c r="A542" t="s">
        <v>5822</v>
      </c>
      <c r="B542" t="s">
        <v>5823</v>
      </c>
      <c r="C542" t="s">
        <v>5824</v>
      </c>
      <c r="D542" t="s">
        <v>0</v>
      </c>
      <c r="E542" t="s">
        <v>271</v>
      </c>
      <c r="F542" t="s">
        <v>325</v>
      </c>
    </row>
    <row r="543" spans="1:6" x14ac:dyDescent="0.25">
      <c r="A543" t="s">
        <v>5825</v>
      </c>
      <c r="B543" t="s">
        <v>5826</v>
      </c>
      <c r="C543" t="s">
        <v>5647</v>
      </c>
      <c r="D543" t="s">
        <v>0</v>
      </c>
      <c r="E543" t="s">
        <v>271</v>
      </c>
      <c r="F543" t="s">
        <v>323</v>
      </c>
    </row>
    <row r="544" spans="1:6" x14ac:dyDescent="0.25">
      <c r="A544" t="s">
        <v>1940</v>
      </c>
      <c r="B544" t="s">
        <v>1941</v>
      </c>
      <c r="C544" t="s">
        <v>1942</v>
      </c>
      <c r="D544" t="s">
        <v>986</v>
      </c>
      <c r="E544" t="s">
        <v>271</v>
      </c>
      <c r="F544" t="s">
        <v>985</v>
      </c>
    </row>
    <row r="545" spans="1:6" x14ac:dyDescent="0.25">
      <c r="A545" t="s">
        <v>5827</v>
      </c>
      <c r="B545" t="s">
        <v>5828</v>
      </c>
      <c r="C545" t="s">
        <v>5829</v>
      </c>
      <c r="D545" t="s">
        <v>616</v>
      </c>
      <c r="E545" t="s">
        <v>271</v>
      </c>
      <c r="F545" t="s">
        <v>333</v>
      </c>
    </row>
    <row r="546" spans="1:6" x14ac:dyDescent="0.25">
      <c r="A546" t="s">
        <v>5830</v>
      </c>
      <c r="B546" t="s">
        <v>5831</v>
      </c>
      <c r="C546" t="s">
        <v>5832</v>
      </c>
      <c r="D546" t="s">
        <v>363</v>
      </c>
      <c r="E546" t="s">
        <v>271</v>
      </c>
      <c r="F546" t="s">
        <v>364</v>
      </c>
    </row>
    <row r="547" spans="1:6" x14ac:dyDescent="0.25">
      <c r="A547" t="s">
        <v>5833</v>
      </c>
      <c r="B547" t="s">
        <v>5834</v>
      </c>
      <c r="C547" t="s">
        <v>5835</v>
      </c>
      <c r="D547" t="s">
        <v>498</v>
      </c>
      <c r="E547" t="s">
        <v>271</v>
      </c>
      <c r="F547" t="s">
        <v>499</v>
      </c>
    </row>
    <row r="548" spans="1:6" x14ac:dyDescent="0.25">
      <c r="A548" t="s">
        <v>5836</v>
      </c>
      <c r="B548" t="s">
        <v>5837</v>
      </c>
      <c r="C548" t="s">
        <v>5838</v>
      </c>
      <c r="D548" t="s">
        <v>314</v>
      </c>
      <c r="E548" t="s">
        <v>271</v>
      </c>
      <c r="F548" t="s">
        <v>3081</v>
      </c>
    </row>
    <row r="549" spans="1:6" x14ac:dyDescent="0.25">
      <c r="A549" t="s">
        <v>5839</v>
      </c>
      <c r="B549" t="s">
        <v>5840</v>
      </c>
      <c r="C549" t="s">
        <v>5841</v>
      </c>
      <c r="D549" t="s">
        <v>586</v>
      </c>
      <c r="E549" t="s">
        <v>271</v>
      </c>
      <c r="F549" t="s">
        <v>334</v>
      </c>
    </row>
    <row r="550" spans="1:6" x14ac:dyDescent="0.25">
      <c r="A550" t="s">
        <v>5842</v>
      </c>
      <c r="B550" t="s">
        <v>5843</v>
      </c>
      <c r="C550" t="s">
        <v>5844</v>
      </c>
      <c r="D550" t="s">
        <v>0</v>
      </c>
      <c r="E550" t="s">
        <v>271</v>
      </c>
      <c r="F550" t="s">
        <v>431</v>
      </c>
    </row>
    <row r="551" spans="1:6" x14ac:dyDescent="0.25">
      <c r="A551" t="s">
        <v>2586</v>
      </c>
      <c r="B551" t="s">
        <v>2587</v>
      </c>
      <c r="C551" t="s">
        <v>2590</v>
      </c>
      <c r="D551" t="s">
        <v>2589</v>
      </c>
      <c r="E551" t="s">
        <v>271</v>
      </c>
      <c r="F551" t="s">
        <v>2588</v>
      </c>
    </row>
    <row r="552" spans="1:6" x14ac:dyDescent="0.25">
      <c r="A552" t="s">
        <v>5845</v>
      </c>
      <c r="B552" t="s">
        <v>5846</v>
      </c>
      <c r="C552" t="s">
        <v>5847</v>
      </c>
      <c r="D552" t="s">
        <v>8</v>
      </c>
      <c r="E552" t="s">
        <v>271</v>
      </c>
      <c r="F552" t="s">
        <v>753</v>
      </c>
    </row>
    <row r="553" spans="1:6" x14ac:dyDescent="0.25">
      <c r="A553" t="s">
        <v>5848</v>
      </c>
      <c r="B553" t="s">
        <v>5849</v>
      </c>
      <c r="C553" t="s">
        <v>5850</v>
      </c>
      <c r="D553" t="s">
        <v>361</v>
      </c>
      <c r="E553" t="s">
        <v>271</v>
      </c>
      <c r="F553" t="s">
        <v>1563</v>
      </c>
    </row>
    <row r="554" spans="1:6" x14ac:dyDescent="0.25">
      <c r="A554" t="s">
        <v>1997</v>
      </c>
      <c r="B554" t="s">
        <v>1998</v>
      </c>
      <c r="C554" t="s">
        <v>1999</v>
      </c>
      <c r="D554" t="s">
        <v>492</v>
      </c>
      <c r="E554" t="s">
        <v>271</v>
      </c>
      <c r="F554" t="s">
        <v>493</v>
      </c>
    </row>
    <row r="555" spans="1:6" x14ac:dyDescent="0.25">
      <c r="A555" t="s">
        <v>5851</v>
      </c>
      <c r="B555" t="s">
        <v>5852</v>
      </c>
      <c r="C555" t="s">
        <v>5853</v>
      </c>
      <c r="D555" t="s">
        <v>498</v>
      </c>
      <c r="E555" t="s">
        <v>271</v>
      </c>
      <c r="F555" t="s">
        <v>499</v>
      </c>
    </row>
    <row r="556" spans="1:6" x14ac:dyDescent="0.25">
      <c r="A556" t="s">
        <v>5854</v>
      </c>
      <c r="B556" t="s">
        <v>5855</v>
      </c>
      <c r="C556" t="s">
        <v>5856</v>
      </c>
      <c r="D556" t="s">
        <v>530</v>
      </c>
      <c r="E556" t="s">
        <v>271</v>
      </c>
      <c r="F556" t="s">
        <v>332</v>
      </c>
    </row>
    <row r="557" spans="1:6" x14ac:dyDescent="0.25">
      <c r="A557" t="s">
        <v>5857</v>
      </c>
      <c r="B557" t="s">
        <v>5858</v>
      </c>
      <c r="C557" t="s">
        <v>5859</v>
      </c>
      <c r="D557" t="s">
        <v>0</v>
      </c>
      <c r="E557" t="s">
        <v>271</v>
      </c>
      <c r="F557" t="s">
        <v>3672</v>
      </c>
    </row>
    <row r="558" spans="1:6" x14ac:dyDescent="0.25">
      <c r="A558" t="s">
        <v>977</v>
      </c>
      <c r="B558" t="s">
        <v>978</v>
      </c>
      <c r="C558" t="s">
        <v>981</v>
      </c>
      <c r="D558" t="s">
        <v>980</v>
      </c>
      <c r="E558" t="s">
        <v>271</v>
      </c>
      <c r="F558" t="s">
        <v>979</v>
      </c>
    </row>
    <row r="559" spans="1:6" x14ac:dyDescent="0.25">
      <c r="A559" t="s">
        <v>5860</v>
      </c>
      <c r="B559" t="s">
        <v>5861</v>
      </c>
      <c r="C559" t="s">
        <v>5862</v>
      </c>
      <c r="D559" t="s">
        <v>822</v>
      </c>
      <c r="E559" t="s">
        <v>269</v>
      </c>
      <c r="F559" t="s">
        <v>821</v>
      </c>
    </row>
    <row r="560" spans="1:6" x14ac:dyDescent="0.25">
      <c r="A560" t="s">
        <v>2652</v>
      </c>
      <c r="B560" t="s">
        <v>2653</v>
      </c>
      <c r="C560" t="s">
        <v>2654</v>
      </c>
      <c r="D560" t="s">
        <v>572</v>
      </c>
      <c r="E560" t="s">
        <v>271</v>
      </c>
      <c r="F560" t="s">
        <v>335</v>
      </c>
    </row>
    <row r="561" spans="1:6" x14ac:dyDescent="0.25">
      <c r="A561" t="s">
        <v>5863</v>
      </c>
      <c r="B561" t="s">
        <v>5864</v>
      </c>
      <c r="C561" t="s">
        <v>5865</v>
      </c>
      <c r="D561" t="s">
        <v>2471</v>
      </c>
      <c r="E561" t="s">
        <v>271</v>
      </c>
      <c r="F561" t="s">
        <v>2470</v>
      </c>
    </row>
    <row r="562" spans="1:6" x14ac:dyDescent="0.25">
      <c r="A562" t="s">
        <v>5866</v>
      </c>
      <c r="B562" t="s">
        <v>5867</v>
      </c>
      <c r="C562" t="s">
        <v>5868</v>
      </c>
      <c r="D562" t="s">
        <v>0</v>
      </c>
      <c r="E562" t="s">
        <v>271</v>
      </c>
      <c r="F562" t="s">
        <v>356</v>
      </c>
    </row>
    <row r="563" spans="1:6" x14ac:dyDescent="0.25">
      <c r="A563" t="s">
        <v>5869</v>
      </c>
      <c r="B563" t="s">
        <v>5870</v>
      </c>
      <c r="C563" t="s">
        <v>5871</v>
      </c>
      <c r="D563" t="s">
        <v>1874</v>
      </c>
      <c r="E563" t="s">
        <v>271</v>
      </c>
      <c r="F563" t="s">
        <v>1873</v>
      </c>
    </row>
    <row r="564" spans="1:6" x14ac:dyDescent="0.25">
      <c r="A564" t="s">
        <v>5872</v>
      </c>
      <c r="B564" t="s">
        <v>5873</v>
      </c>
      <c r="C564" t="s">
        <v>5874</v>
      </c>
      <c r="D564" t="s">
        <v>0</v>
      </c>
      <c r="E564" t="s">
        <v>271</v>
      </c>
      <c r="F564" t="s">
        <v>356</v>
      </c>
    </row>
    <row r="565" spans="1:6" x14ac:dyDescent="0.25">
      <c r="A565" t="s">
        <v>5875</v>
      </c>
      <c r="B565" t="s">
        <v>5876</v>
      </c>
      <c r="C565" t="s">
        <v>5877</v>
      </c>
      <c r="D565" t="s">
        <v>0</v>
      </c>
      <c r="E565" t="s">
        <v>271</v>
      </c>
      <c r="F565" t="s">
        <v>881</v>
      </c>
    </row>
    <row r="566" spans="1:6" x14ac:dyDescent="0.25">
      <c r="A566" t="s">
        <v>1061</v>
      </c>
      <c r="B566" t="s">
        <v>1062</v>
      </c>
      <c r="C566" t="s">
        <v>1065</v>
      </c>
      <c r="D566" t="s">
        <v>1064</v>
      </c>
      <c r="E566" t="s">
        <v>269</v>
      </c>
      <c r="F566" t="s">
        <v>1063</v>
      </c>
    </row>
    <row r="567" spans="1:6" x14ac:dyDescent="0.25">
      <c r="A567" t="s">
        <v>5878</v>
      </c>
      <c r="B567" t="s">
        <v>5879</v>
      </c>
      <c r="C567" t="s">
        <v>5880</v>
      </c>
      <c r="D567" t="s">
        <v>1524</v>
      </c>
      <c r="E567" t="s">
        <v>271</v>
      </c>
      <c r="F567" t="s">
        <v>1523</v>
      </c>
    </row>
    <row r="568" spans="1:6" x14ac:dyDescent="0.25">
      <c r="A568" t="s">
        <v>5881</v>
      </c>
      <c r="B568" t="s">
        <v>5882</v>
      </c>
      <c r="C568" t="s">
        <v>5883</v>
      </c>
      <c r="D568" t="s">
        <v>0</v>
      </c>
      <c r="E568" t="s">
        <v>271</v>
      </c>
      <c r="F568" t="s">
        <v>4378</v>
      </c>
    </row>
    <row r="569" spans="1:6" x14ac:dyDescent="0.25">
      <c r="A569" t="s">
        <v>5884</v>
      </c>
      <c r="B569" t="s">
        <v>5885</v>
      </c>
      <c r="C569" t="s">
        <v>5886</v>
      </c>
      <c r="D569" t="s">
        <v>0</v>
      </c>
      <c r="E569" t="s">
        <v>271</v>
      </c>
      <c r="F569" t="s">
        <v>531</v>
      </c>
    </row>
    <row r="570" spans="1:6" x14ac:dyDescent="0.25">
      <c r="A570" t="s">
        <v>5887</v>
      </c>
      <c r="B570" t="s">
        <v>5888</v>
      </c>
      <c r="C570" t="s">
        <v>5889</v>
      </c>
      <c r="D570" t="s">
        <v>5890</v>
      </c>
      <c r="E570" t="s">
        <v>271</v>
      </c>
      <c r="F570" t="s">
        <v>4422</v>
      </c>
    </row>
    <row r="571" spans="1:6" x14ac:dyDescent="0.25">
      <c r="A571" t="s">
        <v>5891</v>
      </c>
      <c r="B571" t="s">
        <v>5892</v>
      </c>
      <c r="C571" t="s">
        <v>5893</v>
      </c>
      <c r="D571" t="s">
        <v>1665</v>
      </c>
      <c r="E571" t="s">
        <v>271</v>
      </c>
      <c r="F571" t="s">
        <v>1664</v>
      </c>
    </row>
    <row r="572" spans="1:6" x14ac:dyDescent="0.25">
      <c r="A572" t="s">
        <v>5894</v>
      </c>
      <c r="B572" t="s">
        <v>5895</v>
      </c>
      <c r="C572" t="s">
        <v>5896</v>
      </c>
      <c r="D572" t="s">
        <v>1542</v>
      </c>
      <c r="E572" t="s">
        <v>269</v>
      </c>
      <c r="F572" t="s">
        <v>1541</v>
      </c>
    </row>
    <row r="573" spans="1:6" x14ac:dyDescent="0.25">
      <c r="A573" t="s">
        <v>5897</v>
      </c>
      <c r="B573" t="s">
        <v>5898</v>
      </c>
      <c r="C573" t="s">
        <v>5899</v>
      </c>
      <c r="D573" t="s">
        <v>972</v>
      </c>
      <c r="E573" t="s">
        <v>269</v>
      </c>
      <c r="F573" t="s">
        <v>971</v>
      </c>
    </row>
    <row r="574" spans="1:6" x14ac:dyDescent="0.25">
      <c r="A574" t="s">
        <v>5900</v>
      </c>
      <c r="B574" t="s">
        <v>5901</v>
      </c>
      <c r="C574" t="s">
        <v>5902</v>
      </c>
      <c r="D574" t="s">
        <v>0</v>
      </c>
      <c r="E574" t="s">
        <v>271</v>
      </c>
      <c r="F574" t="s">
        <v>731</v>
      </c>
    </row>
    <row r="575" spans="1:6" x14ac:dyDescent="0.25">
      <c r="A575" t="s">
        <v>5903</v>
      </c>
      <c r="B575" t="s">
        <v>5904</v>
      </c>
      <c r="C575" t="s">
        <v>5905</v>
      </c>
      <c r="D575" t="s">
        <v>2265</v>
      </c>
      <c r="E575" t="s">
        <v>271</v>
      </c>
      <c r="F575" t="s">
        <v>2264</v>
      </c>
    </row>
    <row r="576" spans="1:6" x14ac:dyDescent="0.25">
      <c r="A576" t="s">
        <v>5906</v>
      </c>
      <c r="B576" t="s">
        <v>5907</v>
      </c>
      <c r="C576" t="s">
        <v>5908</v>
      </c>
      <c r="D576" t="s">
        <v>461</v>
      </c>
      <c r="E576" t="s">
        <v>271</v>
      </c>
      <c r="F576" t="s">
        <v>336</v>
      </c>
    </row>
    <row r="577" spans="1:6" x14ac:dyDescent="0.25">
      <c r="A577" t="s">
        <v>1922</v>
      </c>
      <c r="B577" t="s">
        <v>1923</v>
      </c>
      <c r="C577" t="s">
        <v>1926</v>
      </c>
      <c r="D577" t="s">
        <v>1925</v>
      </c>
      <c r="E577" t="s">
        <v>271</v>
      </c>
      <c r="F577" t="s">
        <v>1924</v>
      </c>
    </row>
    <row r="578" spans="1:6" x14ac:dyDescent="0.25">
      <c r="A578" t="s">
        <v>5909</v>
      </c>
      <c r="B578" t="s">
        <v>5910</v>
      </c>
      <c r="C578" t="s">
        <v>5911</v>
      </c>
      <c r="D578" t="s">
        <v>1643</v>
      </c>
      <c r="E578" t="s">
        <v>271</v>
      </c>
      <c r="F578" t="s">
        <v>2028</v>
      </c>
    </row>
    <row r="579" spans="1:6" x14ac:dyDescent="0.25">
      <c r="A579" t="s">
        <v>5912</v>
      </c>
      <c r="B579" t="s">
        <v>5913</v>
      </c>
      <c r="C579" t="s">
        <v>5914</v>
      </c>
      <c r="D579" t="s">
        <v>1210</v>
      </c>
      <c r="E579" t="s">
        <v>271</v>
      </c>
      <c r="F579" t="s">
        <v>1209</v>
      </c>
    </row>
    <row r="580" spans="1:6" x14ac:dyDescent="0.25">
      <c r="A580" t="s">
        <v>2322</v>
      </c>
      <c r="B580" t="s">
        <v>2323</v>
      </c>
      <c r="C580" t="s">
        <v>2324</v>
      </c>
      <c r="D580" t="s">
        <v>1165</v>
      </c>
      <c r="E580" t="s">
        <v>271</v>
      </c>
      <c r="F580" t="s">
        <v>1164</v>
      </c>
    </row>
    <row r="581" spans="1:6" x14ac:dyDescent="0.25">
      <c r="A581" t="s">
        <v>5915</v>
      </c>
      <c r="B581" t="s">
        <v>5916</v>
      </c>
      <c r="C581" t="s">
        <v>5917</v>
      </c>
      <c r="D581" t="s">
        <v>1925</v>
      </c>
      <c r="E581" t="s">
        <v>271</v>
      </c>
      <c r="F581" t="s">
        <v>1924</v>
      </c>
    </row>
    <row r="582" spans="1:6" x14ac:dyDescent="0.25">
      <c r="A582" t="s">
        <v>5918</v>
      </c>
      <c r="B582" t="s">
        <v>5919</v>
      </c>
      <c r="C582" t="s">
        <v>5920</v>
      </c>
      <c r="D582" t="s">
        <v>490</v>
      </c>
      <c r="E582" t="s">
        <v>271</v>
      </c>
      <c r="F582" t="s">
        <v>491</v>
      </c>
    </row>
    <row r="583" spans="1:6" x14ac:dyDescent="0.25">
      <c r="A583" t="s">
        <v>5921</v>
      </c>
      <c r="B583" t="s">
        <v>5922</v>
      </c>
      <c r="C583" t="s">
        <v>5923</v>
      </c>
      <c r="D583" t="s">
        <v>237</v>
      </c>
      <c r="E583" t="s">
        <v>271</v>
      </c>
      <c r="F583" t="s">
        <v>427</v>
      </c>
    </row>
    <row r="584" spans="1:6" x14ac:dyDescent="0.25">
      <c r="A584" t="s">
        <v>5924</v>
      </c>
      <c r="B584" t="s">
        <v>5925</v>
      </c>
      <c r="C584" t="s">
        <v>5926</v>
      </c>
      <c r="D584" t="s">
        <v>1559</v>
      </c>
      <c r="E584" t="s">
        <v>271</v>
      </c>
      <c r="F584" t="s">
        <v>1558</v>
      </c>
    </row>
    <row r="585" spans="1:6" x14ac:dyDescent="0.25">
      <c r="A585" t="s">
        <v>5927</v>
      </c>
      <c r="B585" t="s">
        <v>5928</v>
      </c>
      <c r="C585" t="s">
        <v>5929</v>
      </c>
      <c r="D585" t="s">
        <v>1317</v>
      </c>
      <c r="E585" t="s">
        <v>271</v>
      </c>
      <c r="F585" t="s">
        <v>1316</v>
      </c>
    </row>
    <row r="586" spans="1:6" x14ac:dyDescent="0.25">
      <c r="A586" t="s">
        <v>5930</v>
      </c>
      <c r="B586" t="s">
        <v>5931</v>
      </c>
      <c r="C586" t="s">
        <v>5932</v>
      </c>
      <c r="D586" t="s">
        <v>0</v>
      </c>
      <c r="E586" t="s">
        <v>271</v>
      </c>
      <c r="F586" t="s">
        <v>325</v>
      </c>
    </row>
    <row r="587" spans="1:6" x14ac:dyDescent="0.25">
      <c r="A587" t="s">
        <v>5933</v>
      </c>
      <c r="B587" t="s">
        <v>5934</v>
      </c>
      <c r="C587" t="s">
        <v>5935</v>
      </c>
      <c r="D587" t="s">
        <v>4636</v>
      </c>
      <c r="E587" t="s">
        <v>271</v>
      </c>
      <c r="F587" t="s">
        <v>4423</v>
      </c>
    </row>
    <row r="588" spans="1:6" x14ac:dyDescent="0.25">
      <c r="A588" t="s">
        <v>2783</v>
      </c>
      <c r="B588" t="s">
        <v>2784</v>
      </c>
      <c r="C588" t="s">
        <v>2785</v>
      </c>
      <c r="D588" t="s">
        <v>0</v>
      </c>
      <c r="E588" t="s">
        <v>271</v>
      </c>
      <c r="F588" t="s">
        <v>881</v>
      </c>
    </row>
    <row r="589" spans="1:6" x14ac:dyDescent="0.25">
      <c r="A589" t="s">
        <v>2020</v>
      </c>
      <c r="B589" t="s">
        <v>259</v>
      </c>
      <c r="C589" t="s">
        <v>2021</v>
      </c>
      <c r="D589" t="s">
        <v>361</v>
      </c>
      <c r="E589" t="s">
        <v>271</v>
      </c>
      <c r="F589" t="s">
        <v>1563</v>
      </c>
    </row>
    <row r="590" spans="1:6" x14ac:dyDescent="0.25">
      <c r="A590" t="s">
        <v>3525</v>
      </c>
      <c r="B590" t="s">
        <v>3526</v>
      </c>
      <c r="C590" t="s">
        <v>3527</v>
      </c>
      <c r="D590" t="s">
        <v>0</v>
      </c>
      <c r="E590" t="s">
        <v>271</v>
      </c>
      <c r="F590" t="s">
        <v>325</v>
      </c>
    </row>
    <row r="591" spans="1:6" x14ac:dyDescent="0.25">
      <c r="A591" t="s">
        <v>5936</v>
      </c>
      <c r="B591" t="s">
        <v>5937</v>
      </c>
      <c r="C591" t="s">
        <v>5938</v>
      </c>
      <c r="D591" t="s">
        <v>1559</v>
      </c>
      <c r="E591" t="s">
        <v>271</v>
      </c>
      <c r="F591" t="s">
        <v>1558</v>
      </c>
    </row>
    <row r="592" spans="1:6" x14ac:dyDescent="0.25">
      <c r="A592" t="s">
        <v>5939</v>
      </c>
      <c r="B592" t="s">
        <v>5940</v>
      </c>
      <c r="C592" t="s">
        <v>5941</v>
      </c>
      <c r="D592" t="s">
        <v>0</v>
      </c>
      <c r="E592" t="s">
        <v>271</v>
      </c>
      <c r="F592" t="s">
        <v>1180</v>
      </c>
    </row>
    <row r="593" spans="1:6" x14ac:dyDescent="0.25">
      <c r="A593" t="s">
        <v>5942</v>
      </c>
      <c r="B593" t="s">
        <v>5943</v>
      </c>
      <c r="C593" t="s">
        <v>5944</v>
      </c>
      <c r="D593" t="s">
        <v>498</v>
      </c>
      <c r="E593" t="s">
        <v>271</v>
      </c>
      <c r="F593" t="s">
        <v>499</v>
      </c>
    </row>
    <row r="594" spans="1:6" x14ac:dyDescent="0.25">
      <c r="A594" t="s">
        <v>5945</v>
      </c>
      <c r="B594" t="s">
        <v>5946</v>
      </c>
      <c r="C594" t="s">
        <v>5947</v>
      </c>
      <c r="D594" t="s">
        <v>0</v>
      </c>
      <c r="E594" t="s">
        <v>271</v>
      </c>
      <c r="F594" t="s">
        <v>323</v>
      </c>
    </row>
    <row r="595" spans="1:6" x14ac:dyDescent="0.25">
      <c r="A595" t="s">
        <v>5948</v>
      </c>
      <c r="B595" t="s">
        <v>5949</v>
      </c>
      <c r="C595" t="s">
        <v>5950</v>
      </c>
      <c r="D595" t="s">
        <v>1165</v>
      </c>
      <c r="E595" t="s">
        <v>271</v>
      </c>
      <c r="F595" t="s">
        <v>1402</v>
      </c>
    </row>
    <row r="596" spans="1:6" x14ac:dyDescent="0.25">
      <c r="A596" t="s">
        <v>5951</v>
      </c>
      <c r="B596" t="s">
        <v>5952</v>
      </c>
      <c r="C596" t="s">
        <v>5953</v>
      </c>
      <c r="D596" t="s">
        <v>363</v>
      </c>
      <c r="E596" t="s">
        <v>271</v>
      </c>
      <c r="F596" t="s">
        <v>364</v>
      </c>
    </row>
    <row r="597" spans="1:6" x14ac:dyDescent="0.25">
      <c r="A597" t="s">
        <v>1631</v>
      </c>
      <c r="B597" t="s">
        <v>1632</v>
      </c>
      <c r="C597" t="s">
        <v>1633</v>
      </c>
      <c r="D597" t="s">
        <v>232</v>
      </c>
      <c r="E597" t="s">
        <v>271</v>
      </c>
      <c r="F597" t="s">
        <v>329</v>
      </c>
    </row>
    <row r="598" spans="1:6" x14ac:dyDescent="0.25">
      <c r="A598" t="s">
        <v>5954</v>
      </c>
      <c r="B598" t="s">
        <v>5955</v>
      </c>
      <c r="C598" t="s">
        <v>5956</v>
      </c>
      <c r="D598" t="s">
        <v>1806</v>
      </c>
      <c r="E598" t="s">
        <v>271</v>
      </c>
      <c r="F598" t="s">
        <v>1805</v>
      </c>
    </row>
    <row r="599" spans="1:6" x14ac:dyDescent="0.25">
      <c r="A599" t="s">
        <v>5957</v>
      </c>
      <c r="B599" t="s">
        <v>5958</v>
      </c>
      <c r="C599" t="s">
        <v>5959</v>
      </c>
      <c r="D599" t="s">
        <v>1165</v>
      </c>
      <c r="E599" t="s">
        <v>271</v>
      </c>
      <c r="F599" t="s">
        <v>1402</v>
      </c>
    </row>
    <row r="600" spans="1:6" x14ac:dyDescent="0.25">
      <c r="A600" t="s">
        <v>1451</v>
      </c>
      <c r="B600" t="s">
        <v>1452</v>
      </c>
      <c r="C600" t="s">
        <v>1456</v>
      </c>
      <c r="D600" t="s">
        <v>1455</v>
      </c>
      <c r="E600" t="s">
        <v>271</v>
      </c>
      <c r="F600" t="s">
        <v>1454</v>
      </c>
    </row>
    <row r="601" spans="1:6" x14ac:dyDescent="0.25">
      <c r="A601" t="s">
        <v>5960</v>
      </c>
      <c r="B601" t="s">
        <v>5961</v>
      </c>
      <c r="C601" t="s">
        <v>5962</v>
      </c>
      <c r="D601" t="s">
        <v>0</v>
      </c>
      <c r="E601" t="s">
        <v>271</v>
      </c>
      <c r="F601" t="s">
        <v>726</v>
      </c>
    </row>
    <row r="602" spans="1:6" x14ac:dyDescent="0.25">
      <c r="A602" t="s">
        <v>5963</v>
      </c>
      <c r="B602" t="s">
        <v>5964</v>
      </c>
      <c r="C602" t="s">
        <v>5965</v>
      </c>
      <c r="D602" t="s">
        <v>0</v>
      </c>
      <c r="E602" t="s">
        <v>271</v>
      </c>
      <c r="F602" t="s">
        <v>575</v>
      </c>
    </row>
    <row r="603" spans="1:6" x14ac:dyDescent="0.25">
      <c r="A603" t="s">
        <v>5966</v>
      </c>
      <c r="B603" t="s">
        <v>5967</v>
      </c>
      <c r="C603" t="s">
        <v>5968</v>
      </c>
      <c r="D603" t="s">
        <v>0</v>
      </c>
      <c r="E603" t="s">
        <v>271</v>
      </c>
      <c r="F603" t="s">
        <v>356</v>
      </c>
    </row>
    <row r="604" spans="1:6" x14ac:dyDescent="0.25">
      <c r="A604" t="s">
        <v>5969</v>
      </c>
      <c r="B604" t="s">
        <v>5970</v>
      </c>
      <c r="C604" t="s">
        <v>5971</v>
      </c>
      <c r="D604" t="s">
        <v>245</v>
      </c>
      <c r="E604" t="s">
        <v>271</v>
      </c>
      <c r="F604" t="s">
        <v>413</v>
      </c>
    </row>
    <row r="605" spans="1:6" x14ac:dyDescent="0.25">
      <c r="A605" t="s">
        <v>5972</v>
      </c>
      <c r="B605" t="s">
        <v>5973</v>
      </c>
      <c r="C605" t="s">
        <v>5974</v>
      </c>
      <c r="D605" t="s">
        <v>2885</v>
      </c>
      <c r="E605" t="s">
        <v>271</v>
      </c>
      <c r="F605" t="s">
        <v>1523</v>
      </c>
    </row>
    <row r="606" spans="1:6" x14ac:dyDescent="0.25">
      <c r="A606" t="s">
        <v>3386</v>
      </c>
      <c r="B606" t="s">
        <v>3387</v>
      </c>
      <c r="C606" t="s">
        <v>3388</v>
      </c>
      <c r="D606" t="s">
        <v>0</v>
      </c>
      <c r="E606" t="s">
        <v>271</v>
      </c>
      <c r="F606" t="s">
        <v>562</v>
      </c>
    </row>
    <row r="607" spans="1:6" x14ac:dyDescent="0.25">
      <c r="A607" t="s">
        <v>5975</v>
      </c>
      <c r="B607" t="s">
        <v>5976</v>
      </c>
      <c r="C607" t="s">
        <v>5977</v>
      </c>
      <c r="D607" t="s">
        <v>1806</v>
      </c>
      <c r="E607" t="s">
        <v>271</v>
      </c>
      <c r="F607" t="s">
        <v>1805</v>
      </c>
    </row>
    <row r="608" spans="1:6" x14ac:dyDescent="0.25">
      <c r="A608" t="s">
        <v>5978</v>
      </c>
      <c r="B608" t="s">
        <v>5979</v>
      </c>
      <c r="C608" t="s">
        <v>5980</v>
      </c>
      <c r="D608" t="s">
        <v>510</v>
      </c>
      <c r="E608" t="s">
        <v>271</v>
      </c>
      <c r="F608" t="s">
        <v>1829</v>
      </c>
    </row>
    <row r="609" spans="1:6" x14ac:dyDescent="0.25">
      <c r="A609" t="s">
        <v>5981</v>
      </c>
      <c r="B609" t="s">
        <v>5982</v>
      </c>
      <c r="C609" t="s">
        <v>4460</v>
      </c>
      <c r="D609" t="s">
        <v>0</v>
      </c>
      <c r="E609" t="s">
        <v>271</v>
      </c>
      <c r="F609" t="s">
        <v>881</v>
      </c>
    </row>
    <row r="610" spans="1:6" x14ac:dyDescent="0.25">
      <c r="A610" t="s">
        <v>5983</v>
      </c>
      <c r="B610" t="s">
        <v>5984</v>
      </c>
      <c r="C610" t="s">
        <v>5985</v>
      </c>
      <c r="D610" t="s">
        <v>0</v>
      </c>
      <c r="E610" t="s">
        <v>271</v>
      </c>
      <c r="F610" t="s">
        <v>356</v>
      </c>
    </row>
    <row r="611" spans="1:6" x14ac:dyDescent="0.25">
      <c r="A611" t="s">
        <v>5986</v>
      </c>
      <c r="B611" t="s">
        <v>5987</v>
      </c>
      <c r="C611" t="s">
        <v>5988</v>
      </c>
      <c r="D611" t="s">
        <v>278</v>
      </c>
      <c r="E611" t="s">
        <v>271</v>
      </c>
      <c r="F611" t="s">
        <v>512</v>
      </c>
    </row>
    <row r="612" spans="1:6" x14ac:dyDescent="0.25">
      <c r="A612" t="s">
        <v>5989</v>
      </c>
      <c r="B612" t="s">
        <v>5990</v>
      </c>
      <c r="C612" t="s">
        <v>5991</v>
      </c>
      <c r="D612" t="s">
        <v>0</v>
      </c>
      <c r="E612" t="s">
        <v>271</v>
      </c>
      <c r="F612" t="s">
        <v>319</v>
      </c>
    </row>
    <row r="613" spans="1:6" x14ac:dyDescent="0.25">
      <c r="A613" t="s">
        <v>3194</v>
      </c>
      <c r="B613" t="s">
        <v>3195</v>
      </c>
      <c r="C613" t="s">
        <v>3196</v>
      </c>
      <c r="D613" t="s">
        <v>0</v>
      </c>
      <c r="E613" t="s">
        <v>271</v>
      </c>
      <c r="F613" t="s">
        <v>575</v>
      </c>
    </row>
    <row r="614" spans="1:6" x14ac:dyDescent="0.25">
      <c r="A614" t="s">
        <v>5992</v>
      </c>
      <c r="B614" t="s">
        <v>5993</v>
      </c>
      <c r="C614" t="s">
        <v>5994</v>
      </c>
      <c r="D614" t="s">
        <v>1126</v>
      </c>
      <c r="E614" t="s">
        <v>271</v>
      </c>
      <c r="F614" t="s">
        <v>1125</v>
      </c>
    </row>
    <row r="615" spans="1:6" x14ac:dyDescent="0.25">
      <c r="A615" t="s">
        <v>5995</v>
      </c>
      <c r="B615" t="s">
        <v>5996</v>
      </c>
      <c r="C615" t="s">
        <v>5997</v>
      </c>
      <c r="D615" t="s">
        <v>267</v>
      </c>
      <c r="E615" t="s">
        <v>271</v>
      </c>
      <c r="F615" t="s">
        <v>480</v>
      </c>
    </row>
    <row r="616" spans="1:6" x14ac:dyDescent="0.25">
      <c r="A616" t="s">
        <v>5998</v>
      </c>
      <c r="B616" t="s">
        <v>5999</v>
      </c>
      <c r="C616" t="s">
        <v>6000</v>
      </c>
      <c r="D616" t="s">
        <v>6001</v>
      </c>
      <c r="E616" t="s">
        <v>271</v>
      </c>
      <c r="F616" t="s">
        <v>4429</v>
      </c>
    </row>
    <row r="617" spans="1:6" x14ac:dyDescent="0.25">
      <c r="A617" t="s">
        <v>6002</v>
      </c>
      <c r="B617" t="s">
        <v>6003</v>
      </c>
      <c r="C617" t="s">
        <v>6004</v>
      </c>
      <c r="D617" t="s">
        <v>6005</v>
      </c>
      <c r="E617" t="s">
        <v>271</v>
      </c>
      <c r="F617" t="s">
        <v>4399</v>
      </c>
    </row>
    <row r="618" spans="1:6" x14ac:dyDescent="0.25">
      <c r="A618" t="s">
        <v>1216</v>
      </c>
      <c r="B618" t="s">
        <v>1217</v>
      </c>
      <c r="C618" t="s">
        <v>1218</v>
      </c>
      <c r="D618" t="s">
        <v>0</v>
      </c>
      <c r="E618" t="s">
        <v>271</v>
      </c>
      <c r="F618" t="s">
        <v>809</v>
      </c>
    </row>
    <row r="619" spans="1:6" x14ac:dyDescent="0.25">
      <c r="A619" t="s">
        <v>6006</v>
      </c>
      <c r="B619" t="s">
        <v>6007</v>
      </c>
      <c r="C619" t="s">
        <v>6008</v>
      </c>
      <c r="D619" t="s">
        <v>1186</v>
      </c>
      <c r="E619" t="s">
        <v>271</v>
      </c>
      <c r="F619" t="s">
        <v>1185</v>
      </c>
    </row>
    <row r="620" spans="1:6" x14ac:dyDescent="0.25">
      <c r="A620" t="s">
        <v>3111</v>
      </c>
      <c r="B620" t="s">
        <v>3112</v>
      </c>
      <c r="C620" t="s">
        <v>3113</v>
      </c>
      <c r="D620" t="s">
        <v>492</v>
      </c>
      <c r="E620" t="s">
        <v>271</v>
      </c>
      <c r="F620" t="s">
        <v>493</v>
      </c>
    </row>
    <row r="621" spans="1:6" x14ac:dyDescent="0.25">
      <c r="A621" t="s">
        <v>2000</v>
      </c>
      <c r="B621" t="s">
        <v>2001</v>
      </c>
      <c r="C621" t="s">
        <v>2002</v>
      </c>
      <c r="D621" t="s">
        <v>0</v>
      </c>
      <c r="E621" t="s">
        <v>271</v>
      </c>
      <c r="F621" t="s">
        <v>881</v>
      </c>
    </row>
    <row r="622" spans="1:6" x14ac:dyDescent="0.25">
      <c r="A622" t="s">
        <v>3075</v>
      </c>
      <c r="B622" t="s">
        <v>3076</v>
      </c>
      <c r="C622" t="s">
        <v>3078</v>
      </c>
      <c r="D622" t="s">
        <v>442</v>
      </c>
      <c r="E622" t="s">
        <v>269</v>
      </c>
      <c r="F622" t="s">
        <v>3077</v>
      </c>
    </row>
    <row r="623" spans="1:6" x14ac:dyDescent="0.25">
      <c r="A623" t="s">
        <v>6009</v>
      </c>
      <c r="B623" t="s">
        <v>6010</v>
      </c>
      <c r="C623" t="s">
        <v>6011</v>
      </c>
      <c r="D623" t="s">
        <v>0</v>
      </c>
      <c r="E623" t="s">
        <v>271</v>
      </c>
      <c r="F623" t="s">
        <v>1277</v>
      </c>
    </row>
    <row r="624" spans="1:6" x14ac:dyDescent="0.25">
      <c r="A624" t="s">
        <v>6012</v>
      </c>
      <c r="B624" t="s">
        <v>6013</v>
      </c>
      <c r="C624" t="s">
        <v>6014</v>
      </c>
      <c r="D624" t="s">
        <v>2265</v>
      </c>
      <c r="E624" t="s">
        <v>271</v>
      </c>
      <c r="F624" t="s">
        <v>2264</v>
      </c>
    </row>
    <row r="625" spans="1:6" x14ac:dyDescent="0.25">
      <c r="A625" t="s">
        <v>6015</v>
      </c>
      <c r="B625" t="s">
        <v>6016</v>
      </c>
      <c r="C625" t="s">
        <v>6017</v>
      </c>
      <c r="D625" t="s">
        <v>572</v>
      </c>
      <c r="E625" t="s">
        <v>271</v>
      </c>
      <c r="F625" t="s">
        <v>335</v>
      </c>
    </row>
    <row r="626" spans="1:6" x14ac:dyDescent="0.25">
      <c r="A626" t="s">
        <v>6018</v>
      </c>
      <c r="B626" t="s">
        <v>6019</v>
      </c>
      <c r="C626" t="s">
        <v>6020</v>
      </c>
      <c r="D626" t="s">
        <v>1665</v>
      </c>
      <c r="E626" t="s">
        <v>271</v>
      </c>
      <c r="F626" t="s">
        <v>1664</v>
      </c>
    </row>
    <row r="627" spans="1:6" x14ac:dyDescent="0.25">
      <c r="A627" t="s">
        <v>6021</v>
      </c>
      <c r="B627" t="s">
        <v>6022</v>
      </c>
      <c r="C627" t="s">
        <v>6023</v>
      </c>
      <c r="D627" t="s">
        <v>1019</v>
      </c>
      <c r="E627" t="s">
        <v>271</v>
      </c>
      <c r="F627" t="s">
        <v>1018</v>
      </c>
    </row>
    <row r="628" spans="1:6" x14ac:dyDescent="0.25">
      <c r="A628" t="s">
        <v>6024</v>
      </c>
      <c r="B628" t="s">
        <v>6025</v>
      </c>
      <c r="C628" t="s">
        <v>6026</v>
      </c>
      <c r="D628" t="s">
        <v>1643</v>
      </c>
      <c r="E628" t="s">
        <v>271</v>
      </c>
      <c r="F628" t="s">
        <v>2028</v>
      </c>
    </row>
    <row r="629" spans="1:6" x14ac:dyDescent="0.25">
      <c r="A629" t="s">
        <v>2442</v>
      </c>
      <c r="B629" t="s">
        <v>2443</v>
      </c>
      <c r="C629" t="s">
        <v>2444</v>
      </c>
      <c r="D629" t="s">
        <v>675</v>
      </c>
      <c r="E629" t="s">
        <v>271</v>
      </c>
      <c r="F629" t="s">
        <v>674</v>
      </c>
    </row>
    <row r="630" spans="1:6" x14ac:dyDescent="0.25">
      <c r="A630" t="s">
        <v>6027</v>
      </c>
      <c r="B630" t="s">
        <v>6028</v>
      </c>
      <c r="C630" t="s">
        <v>6029</v>
      </c>
      <c r="D630" t="s">
        <v>347</v>
      </c>
      <c r="E630" t="s">
        <v>271</v>
      </c>
      <c r="F630" t="s">
        <v>327</v>
      </c>
    </row>
    <row r="631" spans="1:6" x14ac:dyDescent="0.25">
      <c r="A631" t="s">
        <v>6030</v>
      </c>
      <c r="B631" t="s">
        <v>6031</v>
      </c>
      <c r="C631" t="s">
        <v>6032</v>
      </c>
      <c r="D631" t="s">
        <v>361</v>
      </c>
      <c r="E631" t="s">
        <v>271</v>
      </c>
      <c r="F631" t="s">
        <v>1563</v>
      </c>
    </row>
    <row r="632" spans="1:6" x14ac:dyDescent="0.25">
      <c r="A632" t="s">
        <v>6033</v>
      </c>
      <c r="B632" t="s">
        <v>6034</v>
      </c>
      <c r="C632" t="s">
        <v>6035</v>
      </c>
      <c r="D632" t="s">
        <v>4066</v>
      </c>
      <c r="E632" t="s">
        <v>271</v>
      </c>
      <c r="F632" t="s">
        <v>2470</v>
      </c>
    </row>
    <row r="633" spans="1:6" x14ac:dyDescent="0.25">
      <c r="A633" t="s">
        <v>6036</v>
      </c>
      <c r="B633" t="s">
        <v>6037</v>
      </c>
      <c r="C633" t="s">
        <v>6038</v>
      </c>
      <c r="D633" t="s">
        <v>519</v>
      </c>
      <c r="E633" t="s">
        <v>271</v>
      </c>
      <c r="F633" t="s">
        <v>324</v>
      </c>
    </row>
    <row r="634" spans="1:6" x14ac:dyDescent="0.25">
      <c r="A634" t="s">
        <v>6039</v>
      </c>
      <c r="B634" t="s">
        <v>6040</v>
      </c>
      <c r="C634" t="s">
        <v>6041</v>
      </c>
      <c r="D634" t="s">
        <v>272</v>
      </c>
      <c r="E634" t="s">
        <v>269</v>
      </c>
      <c r="F634" t="s">
        <v>907</v>
      </c>
    </row>
    <row r="635" spans="1:6" x14ac:dyDescent="0.25">
      <c r="A635" t="s">
        <v>6042</v>
      </c>
      <c r="B635" t="s">
        <v>6043</v>
      </c>
      <c r="C635" t="s">
        <v>6044</v>
      </c>
      <c r="D635" t="s">
        <v>498</v>
      </c>
      <c r="E635" t="s">
        <v>271</v>
      </c>
      <c r="F635" t="s">
        <v>926</v>
      </c>
    </row>
    <row r="636" spans="1:6" x14ac:dyDescent="0.25">
      <c r="A636" t="s">
        <v>6045</v>
      </c>
      <c r="B636" t="s">
        <v>6046</v>
      </c>
      <c r="C636" t="s">
        <v>6047</v>
      </c>
      <c r="D636" t="s">
        <v>450</v>
      </c>
      <c r="E636" t="s">
        <v>271</v>
      </c>
      <c r="F636" t="s">
        <v>326</v>
      </c>
    </row>
    <row r="637" spans="1:6" x14ac:dyDescent="0.25">
      <c r="A637" t="s">
        <v>6048</v>
      </c>
      <c r="B637" t="s">
        <v>6049</v>
      </c>
      <c r="C637" t="s">
        <v>6050</v>
      </c>
      <c r="D637" t="s">
        <v>0</v>
      </c>
      <c r="E637" t="s">
        <v>271</v>
      </c>
      <c r="F637" t="s">
        <v>3672</v>
      </c>
    </row>
    <row r="638" spans="1:6" x14ac:dyDescent="0.25">
      <c r="A638" t="s">
        <v>6051</v>
      </c>
      <c r="B638" t="s">
        <v>6052</v>
      </c>
      <c r="C638" t="s">
        <v>6053</v>
      </c>
      <c r="D638" t="s">
        <v>980</v>
      </c>
      <c r="E638" t="s">
        <v>271</v>
      </c>
      <c r="F638" t="s">
        <v>979</v>
      </c>
    </row>
    <row r="639" spans="1:6" x14ac:dyDescent="0.25">
      <c r="A639" t="s">
        <v>6054</v>
      </c>
      <c r="B639" t="s">
        <v>6055</v>
      </c>
      <c r="C639" t="s">
        <v>6056</v>
      </c>
      <c r="D639" t="s">
        <v>6057</v>
      </c>
      <c r="E639" t="s">
        <v>271</v>
      </c>
      <c r="F639" t="s">
        <v>6058</v>
      </c>
    </row>
    <row r="640" spans="1:6" x14ac:dyDescent="0.25">
      <c r="A640" t="s">
        <v>6059</v>
      </c>
      <c r="B640" t="s">
        <v>6060</v>
      </c>
      <c r="C640" t="s">
        <v>6061</v>
      </c>
      <c r="D640" t="s">
        <v>1199</v>
      </c>
      <c r="E640" t="s">
        <v>271</v>
      </c>
      <c r="F640" t="s">
        <v>1198</v>
      </c>
    </row>
    <row r="641" spans="1:6" x14ac:dyDescent="0.25">
      <c r="A641" t="s">
        <v>6062</v>
      </c>
      <c r="B641" t="s">
        <v>6063</v>
      </c>
      <c r="C641" t="s">
        <v>6064</v>
      </c>
      <c r="D641" t="s">
        <v>0</v>
      </c>
      <c r="E641" t="s">
        <v>271</v>
      </c>
      <c r="F641" t="s">
        <v>6065</v>
      </c>
    </row>
    <row r="642" spans="1:6" x14ac:dyDescent="0.25">
      <c r="A642" t="s">
        <v>6066</v>
      </c>
      <c r="B642" t="s">
        <v>6067</v>
      </c>
      <c r="C642" t="s">
        <v>6068</v>
      </c>
      <c r="D642" t="s">
        <v>305</v>
      </c>
      <c r="E642" t="s">
        <v>271</v>
      </c>
      <c r="F642" t="s">
        <v>304</v>
      </c>
    </row>
    <row r="643" spans="1:6" x14ac:dyDescent="0.25">
      <c r="A643" t="s">
        <v>6069</v>
      </c>
      <c r="B643" t="s">
        <v>6070</v>
      </c>
      <c r="C643" t="s">
        <v>6071</v>
      </c>
      <c r="D643" t="s">
        <v>1126</v>
      </c>
      <c r="E643" t="s">
        <v>271</v>
      </c>
      <c r="F643" t="s">
        <v>1125</v>
      </c>
    </row>
    <row r="644" spans="1:6" x14ac:dyDescent="0.25">
      <c r="A644" t="s">
        <v>6072</v>
      </c>
      <c r="B644" t="s">
        <v>6073</v>
      </c>
      <c r="C644" t="s">
        <v>6074</v>
      </c>
      <c r="D644" t="s">
        <v>1623</v>
      </c>
      <c r="E644" t="s">
        <v>271</v>
      </c>
      <c r="F644" t="s">
        <v>1622</v>
      </c>
    </row>
    <row r="645" spans="1:6" x14ac:dyDescent="0.25">
      <c r="A645" t="s">
        <v>2708</v>
      </c>
      <c r="B645" t="s">
        <v>2709</v>
      </c>
      <c r="C645" t="s">
        <v>2710</v>
      </c>
      <c r="D645" t="s">
        <v>986</v>
      </c>
      <c r="E645" t="s">
        <v>271</v>
      </c>
      <c r="F645" t="s">
        <v>985</v>
      </c>
    </row>
    <row r="646" spans="1:6" x14ac:dyDescent="0.25">
      <c r="A646" t="s">
        <v>6075</v>
      </c>
      <c r="B646" t="s">
        <v>6076</v>
      </c>
      <c r="C646" t="s">
        <v>6077</v>
      </c>
      <c r="D646" t="s">
        <v>1370</v>
      </c>
      <c r="E646" t="s">
        <v>271</v>
      </c>
      <c r="F646" t="s">
        <v>1369</v>
      </c>
    </row>
    <row r="647" spans="1:6" x14ac:dyDescent="0.25">
      <c r="A647" t="s">
        <v>3549</v>
      </c>
      <c r="B647" t="s">
        <v>3550</v>
      </c>
      <c r="C647" t="s">
        <v>3551</v>
      </c>
      <c r="D647" t="s">
        <v>492</v>
      </c>
      <c r="E647" t="s">
        <v>271</v>
      </c>
      <c r="F647" t="s">
        <v>493</v>
      </c>
    </row>
    <row r="648" spans="1:6" x14ac:dyDescent="0.25">
      <c r="A648" t="s">
        <v>6078</v>
      </c>
      <c r="B648" t="s">
        <v>6079</v>
      </c>
      <c r="C648" t="s">
        <v>6080</v>
      </c>
      <c r="D648" t="s">
        <v>6081</v>
      </c>
      <c r="E648" t="s">
        <v>271</v>
      </c>
      <c r="F648" t="s">
        <v>401</v>
      </c>
    </row>
    <row r="649" spans="1:6" x14ac:dyDescent="0.25">
      <c r="A649" t="s">
        <v>6082</v>
      </c>
      <c r="B649" t="s">
        <v>6083</v>
      </c>
      <c r="C649" t="s">
        <v>6084</v>
      </c>
      <c r="D649" t="s">
        <v>5591</v>
      </c>
      <c r="E649" t="s">
        <v>269</v>
      </c>
      <c r="F649" t="s">
        <v>1742</v>
      </c>
    </row>
    <row r="650" spans="1:6" x14ac:dyDescent="0.25">
      <c r="A650" t="s">
        <v>6085</v>
      </c>
      <c r="B650" t="s">
        <v>6086</v>
      </c>
      <c r="C650" t="s">
        <v>6087</v>
      </c>
      <c r="D650" t="s">
        <v>586</v>
      </c>
      <c r="E650" t="s">
        <v>271</v>
      </c>
      <c r="F650" t="s">
        <v>334</v>
      </c>
    </row>
    <row r="651" spans="1:6" x14ac:dyDescent="0.25">
      <c r="A651" t="s">
        <v>6088</v>
      </c>
      <c r="B651" t="s">
        <v>6089</v>
      </c>
      <c r="C651" t="s">
        <v>6090</v>
      </c>
      <c r="D651" t="s">
        <v>492</v>
      </c>
      <c r="E651" t="s">
        <v>271</v>
      </c>
      <c r="F651" t="s">
        <v>493</v>
      </c>
    </row>
    <row r="652" spans="1:6" x14ac:dyDescent="0.25">
      <c r="A652" t="s">
        <v>1803</v>
      </c>
      <c r="B652" t="s">
        <v>1804</v>
      </c>
      <c r="C652" t="s">
        <v>1807</v>
      </c>
      <c r="D652" t="s">
        <v>1806</v>
      </c>
      <c r="E652" t="s">
        <v>271</v>
      </c>
      <c r="F652" t="s">
        <v>1805</v>
      </c>
    </row>
    <row r="653" spans="1:6" x14ac:dyDescent="0.25">
      <c r="A653" t="s">
        <v>6091</v>
      </c>
      <c r="B653" t="s">
        <v>6092</v>
      </c>
      <c r="C653" t="s">
        <v>6093</v>
      </c>
      <c r="D653" t="s">
        <v>6094</v>
      </c>
      <c r="E653" t="s">
        <v>271</v>
      </c>
      <c r="F653" t="s">
        <v>4413</v>
      </c>
    </row>
    <row r="654" spans="1:6" x14ac:dyDescent="0.25">
      <c r="A654" t="s">
        <v>6095</v>
      </c>
      <c r="B654" t="s">
        <v>6096</v>
      </c>
      <c r="C654" t="s">
        <v>6097</v>
      </c>
      <c r="D654" t="s">
        <v>2024</v>
      </c>
      <c r="E654" t="s">
        <v>271</v>
      </c>
      <c r="F654" t="s">
        <v>428</v>
      </c>
    </row>
    <row r="655" spans="1:6" x14ac:dyDescent="0.25">
      <c r="A655" t="s">
        <v>6098</v>
      </c>
      <c r="B655" t="s">
        <v>6099</v>
      </c>
      <c r="C655" t="s">
        <v>6100</v>
      </c>
      <c r="D655" t="s">
        <v>498</v>
      </c>
      <c r="E655" t="s">
        <v>271</v>
      </c>
      <c r="F655" t="s">
        <v>926</v>
      </c>
    </row>
    <row r="656" spans="1:6" x14ac:dyDescent="0.25">
      <c r="A656" t="s">
        <v>6101</v>
      </c>
      <c r="B656" t="s">
        <v>6102</v>
      </c>
      <c r="C656" t="s">
        <v>6103</v>
      </c>
      <c r="D656" t="s">
        <v>1110</v>
      </c>
      <c r="E656" t="s">
        <v>271</v>
      </c>
      <c r="F656" t="s">
        <v>1109</v>
      </c>
    </row>
    <row r="657" spans="1:6" x14ac:dyDescent="0.25">
      <c r="A657" t="s">
        <v>6104</v>
      </c>
      <c r="B657" t="s">
        <v>6105</v>
      </c>
      <c r="C657" t="s">
        <v>2033</v>
      </c>
      <c r="D657" t="s">
        <v>312</v>
      </c>
      <c r="E657" t="s">
        <v>271</v>
      </c>
      <c r="F657" t="s">
        <v>311</v>
      </c>
    </row>
    <row r="658" spans="1:6" x14ac:dyDescent="0.25">
      <c r="A658" t="s">
        <v>2937</v>
      </c>
      <c r="B658" t="s">
        <v>2938</v>
      </c>
      <c r="C658" t="s">
        <v>2941</v>
      </c>
      <c r="D658" t="s">
        <v>2940</v>
      </c>
      <c r="E658" t="s">
        <v>271</v>
      </c>
      <c r="F658" t="s">
        <v>2939</v>
      </c>
    </row>
    <row r="659" spans="1:6" x14ac:dyDescent="0.25">
      <c r="A659" t="s">
        <v>6106</v>
      </c>
      <c r="B659" t="s">
        <v>6107</v>
      </c>
      <c r="C659" t="s">
        <v>6108</v>
      </c>
      <c r="D659" t="s">
        <v>1862</v>
      </c>
      <c r="E659" t="s">
        <v>271</v>
      </c>
      <c r="F659" t="s">
        <v>1861</v>
      </c>
    </row>
    <row r="660" spans="1:6" x14ac:dyDescent="0.25">
      <c r="A660" t="s">
        <v>1927</v>
      </c>
      <c r="B660" t="s">
        <v>1928</v>
      </c>
      <c r="C660" t="s">
        <v>1929</v>
      </c>
      <c r="D660" t="s">
        <v>0</v>
      </c>
      <c r="E660" t="s">
        <v>271</v>
      </c>
      <c r="F660" t="s">
        <v>575</v>
      </c>
    </row>
    <row r="661" spans="1:6" x14ac:dyDescent="0.25">
      <c r="A661" t="s">
        <v>6109</v>
      </c>
      <c r="B661" t="s">
        <v>6110</v>
      </c>
      <c r="C661" t="s">
        <v>6111</v>
      </c>
      <c r="D661" t="s">
        <v>547</v>
      </c>
      <c r="E661" t="s">
        <v>271</v>
      </c>
      <c r="F661" t="s">
        <v>428</v>
      </c>
    </row>
    <row r="662" spans="1:6" x14ac:dyDescent="0.25">
      <c r="A662" t="s">
        <v>6112</v>
      </c>
      <c r="B662" t="s">
        <v>6113</v>
      </c>
      <c r="C662" t="s">
        <v>6114</v>
      </c>
      <c r="D662" t="s">
        <v>845</v>
      </c>
      <c r="E662" t="s">
        <v>271</v>
      </c>
      <c r="F662" t="s">
        <v>844</v>
      </c>
    </row>
    <row r="663" spans="1:6" x14ac:dyDescent="0.25">
      <c r="A663" t="s">
        <v>1498</v>
      </c>
      <c r="B663" t="s">
        <v>1499</v>
      </c>
      <c r="C663" t="s">
        <v>1500</v>
      </c>
      <c r="D663" t="s">
        <v>0</v>
      </c>
      <c r="E663" t="s">
        <v>271</v>
      </c>
      <c r="F663" t="s">
        <v>356</v>
      </c>
    </row>
    <row r="664" spans="1:6" x14ac:dyDescent="0.25">
      <c r="A664" t="s">
        <v>6115</v>
      </c>
      <c r="B664" t="s">
        <v>6116</v>
      </c>
      <c r="C664" t="s">
        <v>6117</v>
      </c>
      <c r="D664" t="s">
        <v>817</v>
      </c>
      <c r="E664" t="s">
        <v>271</v>
      </c>
      <c r="F664" t="s">
        <v>816</v>
      </c>
    </row>
    <row r="665" spans="1:6" x14ac:dyDescent="0.25">
      <c r="A665" t="s">
        <v>6118</v>
      </c>
      <c r="B665" t="s">
        <v>541</v>
      </c>
      <c r="C665" t="s">
        <v>6119</v>
      </c>
      <c r="D665" t="s">
        <v>3208</v>
      </c>
      <c r="E665" t="s">
        <v>271</v>
      </c>
      <c r="F665" t="s">
        <v>3207</v>
      </c>
    </row>
    <row r="666" spans="1:6" x14ac:dyDescent="0.25">
      <c r="A666" t="s">
        <v>6120</v>
      </c>
      <c r="B666" t="s">
        <v>591</v>
      </c>
      <c r="C666" t="s">
        <v>6121</v>
      </c>
      <c r="D666" t="s">
        <v>0</v>
      </c>
      <c r="E666" t="s">
        <v>271</v>
      </c>
      <c r="F666" t="s">
        <v>355</v>
      </c>
    </row>
    <row r="667" spans="1:6" x14ac:dyDescent="0.25">
      <c r="A667" t="s">
        <v>6122</v>
      </c>
      <c r="B667" t="s">
        <v>6123</v>
      </c>
      <c r="C667" t="s">
        <v>6124</v>
      </c>
      <c r="D667" t="s">
        <v>0</v>
      </c>
      <c r="E667" t="s">
        <v>271</v>
      </c>
      <c r="F667" t="s">
        <v>325</v>
      </c>
    </row>
    <row r="668" spans="1:6" x14ac:dyDescent="0.25">
      <c r="A668" t="s">
        <v>3131</v>
      </c>
      <c r="B668" t="s">
        <v>3132</v>
      </c>
      <c r="C668" t="s">
        <v>3133</v>
      </c>
      <c r="D668" t="s">
        <v>1361</v>
      </c>
      <c r="E668" t="s">
        <v>271</v>
      </c>
      <c r="F668" t="s">
        <v>1360</v>
      </c>
    </row>
    <row r="669" spans="1:6" x14ac:dyDescent="0.25">
      <c r="A669" t="s">
        <v>6125</v>
      </c>
      <c r="B669" t="s">
        <v>6126</v>
      </c>
      <c r="C669" t="s">
        <v>6127</v>
      </c>
      <c r="D669" t="s">
        <v>377</v>
      </c>
      <c r="E669" t="s">
        <v>269</v>
      </c>
      <c r="F669" t="s">
        <v>1786</v>
      </c>
    </row>
    <row r="670" spans="1:6" x14ac:dyDescent="0.25">
      <c r="A670" t="s">
        <v>1640</v>
      </c>
      <c r="B670" t="s">
        <v>1641</v>
      </c>
      <c r="C670" t="s">
        <v>1644</v>
      </c>
      <c r="D670" t="s">
        <v>1643</v>
      </c>
      <c r="E670" t="s">
        <v>271</v>
      </c>
      <c r="F670" t="s">
        <v>1642</v>
      </c>
    </row>
    <row r="671" spans="1:6" x14ac:dyDescent="0.25">
      <c r="A671" t="s">
        <v>6128</v>
      </c>
      <c r="B671" t="s">
        <v>6129</v>
      </c>
      <c r="C671" t="s">
        <v>6130</v>
      </c>
      <c r="D671" t="s">
        <v>0</v>
      </c>
      <c r="E671" t="s">
        <v>271</v>
      </c>
      <c r="F671" t="s">
        <v>881</v>
      </c>
    </row>
    <row r="672" spans="1:6" x14ac:dyDescent="0.25">
      <c r="A672" t="s">
        <v>6131</v>
      </c>
      <c r="B672" t="s">
        <v>6132</v>
      </c>
      <c r="C672" t="s">
        <v>6133</v>
      </c>
      <c r="D672" t="s">
        <v>0</v>
      </c>
      <c r="E672" t="s">
        <v>271</v>
      </c>
      <c r="F672" t="s">
        <v>809</v>
      </c>
    </row>
    <row r="673" spans="1:6" x14ac:dyDescent="0.25">
      <c r="A673" t="s">
        <v>6134</v>
      </c>
      <c r="B673" t="s">
        <v>6135</v>
      </c>
      <c r="C673" t="s">
        <v>6136</v>
      </c>
      <c r="D673" t="s">
        <v>586</v>
      </c>
      <c r="E673" t="s">
        <v>271</v>
      </c>
      <c r="F673" t="s">
        <v>662</v>
      </c>
    </row>
    <row r="674" spans="1:6" x14ac:dyDescent="0.25">
      <c r="A674" t="s">
        <v>6137</v>
      </c>
      <c r="B674" t="s">
        <v>6138</v>
      </c>
      <c r="C674" t="s">
        <v>6139</v>
      </c>
      <c r="D674" t="s">
        <v>1165</v>
      </c>
      <c r="E674" t="s">
        <v>271</v>
      </c>
      <c r="F674" t="s">
        <v>1402</v>
      </c>
    </row>
    <row r="675" spans="1:6" x14ac:dyDescent="0.25">
      <c r="A675" t="s">
        <v>6140</v>
      </c>
      <c r="B675" t="s">
        <v>6141</v>
      </c>
      <c r="C675" t="s">
        <v>6142</v>
      </c>
      <c r="D675" t="s">
        <v>1186</v>
      </c>
      <c r="E675" t="s">
        <v>271</v>
      </c>
      <c r="F675" t="s">
        <v>1185</v>
      </c>
    </row>
    <row r="676" spans="1:6" x14ac:dyDescent="0.25">
      <c r="A676" t="s">
        <v>2919</v>
      </c>
      <c r="B676" t="s">
        <v>2920</v>
      </c>
      <c r="C676" t="s">
        <v>2921</v>
      </c>
      <c r="D676" t="s">
        <v>0</v>
      </c>
      <c r="E676" t="s">
        <v>271</v>
      </c>
      <c r="F676" t="s">
        <v>323</v>
      </c>
    </row>
    <row r="677" spans="1:6" x14ac:dyDescent="0.25">
      <c r="A677" t="s">
        <v>1048</v>
      </c>
      <c r="B677" t="s">
        <v>1049</v>
      </c>
      <c r="C677" t="s">
        <v>1052</v>
      </c>
      <c r="D677" t="s">
        <v>1051</v>
      </c>
      <c r="E677" t="s">
        <v>271</v>
      </c>
      <c r="F677" t="s">
        <v>1050</v>
      </c>
    </row>
    <row r="678" spans="1:6" x14ac:dyDescent="0.25">
      <c r="A678" t="s">
        <v>6143</v>
      </c>
      <c r="B678" t="s">
        <v>6144</v>
      </c>
      <c r="C678" t="s">
        <v>6145</v>
      </c>
      <c r="D678" t="s">
        <v>1210</v>
      </c>
      <c r="E678" t="s">
        <v>271</v>
      </c>
      <c r="F678" t="s">
        <v>1209</v>
      </c>
    </row>
    <row r="679" spans="1:6" x14ac:dyDescent="0.25">
      <c r="A679" t="s">
        <v>2464</v>
      </c>
      <c r="B679" t="s">
        <v>2465</v>
      </c>
      <c r="C679" t="s">
        <v>2466</v>
      </c>
      <c r="D679" t="s">
        <v>0</v>
      </c>
      <c r="E679" t="s">
        <v>271</v>
      </c>
      <c r="F679" t="s">
        <v>1141</v>
      </c>
    </row>
    <row r="680" spans="1:6" x14ac:dyDescent="0.25">
      <c r="A680" t="s">
        <v>2501</v>
      </c>
      <c r="B680" t="s">
        <v>2502</v>
      </c>
      <c r="C680" t="s">
        <v>2503</v>
      </c>
      <c r="D680" t="s">
        <v>2166</v>
      </c>
      <c r="E680" t="s">
        <v>271</v>
      </c>
      <c r="F680" t="s">
        <v>2165</v>
      </c>
    </row>
    <row r="681" spans="1:6" x14ac:dyDescent="0.25">
      <c r="A681" t="s">
        <v>2485</v>
      </c>
      <c r="B681" t="s">
        <v>2486</v>
      </c>
      <c r="C681" t="s">
        <v>2489</v>
      </c>
      <c r="D681" t="s">
        <v>2488</v>
      </c>
      <c r="E681" t="s">
        <v>269</v>
      </c>
      <c r="F681" t="s">
        <v>2487</v>
      </c>
    </row>
    <row r="682" spans="1:6" x14ac:dyDescent="0.25">
      <c r="A682" t="s">
        <v>3745</v>
      </c>
      <c r="B682" t="s">
        <v>3746</v>
      </c>
      <c r="C682" t="s">
        <v>3747</v>
      </c>
      <c r="D682" t="s">
        <v>519</v>
      </c>
      <c r="E682" t="s">
        <v>271</v>
      </c>
      <c r="F682" t="s">
        <v>324</v>
      </c>
    </row>
    <row r="683" spans="1:6" x14ac:dyDescent="0.25">
      <c r="A683" t="s">
        <v>2052</v>
      </c>
      <c r="B683" t="s">
        <v>2053</v>
      </c>
      <c r="C683" t="s">
        <v>2054</v>
      </c>
      <c r="D683" t="s">
        <v>8</v>
      </c>
      <c r="E683" t="s">
        <v>271</v>
      </c>
      <c r="F683" t="s">
        <v>753</v>
      </c>
    </row>
    <row r="684" spans="1:6" x14ac:dyDescent="0.25">
      <c r="A684" t="s">
        <v>2121</v>
      </c>
      <c r="B684" t="s">
        <v>2122</v>
      </c>
      <c r="C684" t="s">
        <v>2123</v>
      </c>
      <c r="D684" t="s">
        <v>0</v>
      </c>
      <c r="E684" t="s">
        <v>271</v>
      </c>
      <c r="F684" t="s">
        <v>731</v>
      </c>
    </row>
    <row r="685" spans="1:6" x14ac:dyDescent="0.25">
      <c r="A685" t="s">
        <v>2091</v>
      </c>
      <c r="B685" t="s">
        <v>2092</v>
      </c>
      <c r="C685" t="s">
        <v>2094</v>
      </c>
      <c r="D685" t="s">
        <v>2093</v>
      </c>
      <c r="E685" t="s">
        <v>271</v>
      </c>
      <c r="F685" t="s">
        <v>1058</v>
      </c>
    </row>
    <row r="686" spans="1:6" x14ac:dyDescent="0.25">
      <c r="A686" t="s">
        <v>6146</v>
      </c>
      <c r="B686" t="s">
        <v>6147</v>
      </c>
      <c r="C686" t="s">
        <v>6148</v>
      </c>
      <c r="D686" t="s">
        <v>4840</v>
      </c>
      <c r="E686" t="s">
        <v>271</v>
      </c>
      <c r="F686" t="s">
        <v>593</v>
      </c>
    </row>
    <row r="687" spans="1:6" x14ac:dyDescent="0.25">
      <c r="A687" t="s">
        <v>6149</v>
      </c>
      <c r="B687" t="s">
        <v>6150</v>
      </c>
      <c r="C687" t="s">
        <v>6151</v>
      </c>
      <c r="D687" t="s">
        <v>2697</v>
      </c>
      <c r="E687" t="s">
        <v>271</v>
      </c>
      <c r="F687" t="s">
        <v>2696</v>
      </c>
    </row>
    <row r="688" spans="1:6" x14ac:dyDescent="0.25">
      <c r="A688" t="s">
        <v>6152</v>
      </c>
      <c r="B688" t="s">
        <v>6153</v>
      </c>
      <c r="C688" t="s">
        <v>6154</v>
      </c>
      <c r="D688" t="s">
        <v>718</v>
      </c>
      <c r="E688" t="s">
        <v>271</v>
      </c>
      <c r="F688" t="s">
        <v>333</v>
      </c>
    </row>
    <row r="689" spans="1:6" x14ac:dyDescent="0.25">
      <c r="A689" t="s">
        <v>6155</v>
      </c>
      <c r="B689" t="s">
        <v>5940</v>
      </c>
      <c r="C689" t="s">
        <v>6156</v>
      </c>
      <c r="D689" t="s">
        <v>0</v>
      </c>
      <c r="E689" t="s">
        <v>271</v>
      </c>
      <c r="F689" t="s">
        <v>323</v>
      </c>
    </row>
    <row r="690" spans="1:6" x14ac:dyDescent="0.25">
      <c r="A690" t="s">
        <v>6157</v>
      </c>
      <c r="B690" t="s">
        <v>6158</v>
      </c>
      <c r="C690" t="s">
        <v>6159</v>
      </c>
      <c r="D690" t="s">
        <v>0</v>
      </c>
      <c r="E690" t="s">
        <v>271</v>
      </c>
      <c r="F690" t="s">
        <v>319</v>
      </c>
    </row>
    <row r="691" spans="1:6" x14ac:dyDescent="0.25">
      <c r="A691" t="s">
        <v>6160</v>
      </c>
      <c r="B691" t="s">
        <v>6161</v>
      </c>
      <c r="C691" t="s">
        <v>2346</v>
      </c>
      <c r="D691" t="s">
        <v>972</v>
      </c>
      <c r="E691" t="s">
        <v>269</v>
      </c>
      <c r="F691" t="s">
        <v>971</v>
      </c>
    </row>
    <row r="692" spans="1:6" x14ac:dyDescent="0.25">
      <c r="A692" t="s">
        <v>6162</v>
      </c>
      <c r="B692" t="s">
        <v>2208</v>
      </c>
      <c r="C692" t="s">
        <v>6163</v>
      </c>
      <c r="D692" t="s">
        <v>363</v>
      </c>
      <c r="E692" t="s">
        <v>271</v>
      </c>
      <c r="F692" t="s">
        <v>364</v>
      </c>
    </row>
    <row r="693" spans="1:6" x14ac:dyDescent="0.25">
      <c r="A693" t="s">
        <v>6164</v>
      </c>
      <c r="B693" t="s">
        <v>6165</v>
      </c>
      <c r="C693" t="s">
        <v>6166</v>
      </c>
      <c r="D693" t="s">
        <v>1286</v>
      </c>
      <c r="E693" t="s">
        <v>269</v>
      </c>
      <c r="F693" t="s">
        <v>1285</v>
      </c>
    </row>
    <row r="694" spans="1:6" x14ac:dyDescent="0.25">
      <c r="A694" t="s">
        <v>6167</v>
      </c>
      <c r="B694" t="s">
        <v>6168</v>
      </c>
      <c r="C694" t="s">
        <v>6169</v>
      </c>
      <c r="D694" t="s">
        <v>218</v>
      </c>
      <c r="E694" t="s">
        <v>341</v>
      </c>
      <c r="F694" t="s">
        <v>337</v>
      </c>
    </row>
    <row r="695" spans="1:6" x14ac:dyDescent="0.25">
      <c r="A695" t="s">
        <v>6170</v>
      </c>
      <c r="B695" t="s">
        <v>6171</v>
      </c>
      <c r="C695" t="s">
        <v>6172</v>
      </c>
      <c r="D695" t="s">
        <v>519</v>
      </c>
      <c r="E695" t="s">
        <v>271</v>
      </c>
      <c r="F695" t="s">
        <v>324</v>
      </c>
    </row>
    <row r="696" spans="1:6" x14ac:dyDescent="0.25">
      <c r="A696" t="s">
        <v>6173</v>
      </c>
      <c r="B696" t="s">
        <v>6174</v>
      </c>
      <c r="C696" t="s">
        <v>6175</v>
      </c>
      <c r="D696" t="s">
        <v>0</v>
      </c>
      <c r="E696" t="s">
        <v>271</v>
      </c>
      <c r="F696" t="s">
        <v>356</v>
      </c>
    </row>
    <row r="697" spans="1:6" x14ac:dyDescent="0.25">
      <c r="A697" t="s">
        <v>6176</v>
      </c>
      <c r="B697" t="s">
        <v>6177</v>
      </c>
      <c r="C697" t="s">
        <v>6178</v>
      </c>
      <c r="D697" t="s">
        <v>444</v>
      </c>
      <c r="E697" t="s">
        <v>271</v>
      </c>
      <c r="F697" t="s">
        <v>1270</v>
      </c>
    </row>
    <row r="698" spans="1:6" x14ac:dyDescent="0.25">
      <c r="A698" t="s">
        <v>1442</v>
      </c>
      <c r="B698" t="s">
        <v>1443</v>
      </c>
      <c r="C698" t="s">
        <v>1444</v>
      </c>
      <c r="D698" t="s">
        <v>610</v>
      </c>
      <c r="E698" t="s">
        <v>271</v>
      </c>
      <c r="F698" t="s">
        <v>611</v>
      </c>
    </row>
    <row r="699" spans="1:6" x14ac:dyDescent="0.25">
      <c r="A699" t="s">
        <v>6179</v>
      </c>
      <c r="B699" t="s">
        <v>6180</v>
      </c>
      <c r="C699" t="s">
        <v>6181</v>
      </c>
      <c r="D699" t="s">
        <v>986</v>
      </c>
      <c r="E699" t="s">
        <v>271</v>
      </c>
      <c r="F699" t="s">
        <v>985</v>
      </c>
    </row>
    <row r="700" spans="1:6" x14ac:dyDescent="0.25">
      <c r="A700" t="s">
        <v>6182</v>
      </c>
      <c r="B700" t="s">
        <v>6183</v>
      </c>
      <c r="C700" t="s">
        <v>6184</v>
      </c>
      <c r="D700" t="s">
        <v>0</v>
      </c>
      <c r="E700" t="s">
        <v>271</v>
      </c>
      <c r="F700" t="s">
        <v>1225</v>
      </c>
    </row>
    <row r="701" spans="1:6" x14ac:dyDescent="0.25">
      <c r="A701" t="s">
        <v>1685</v>
      </c>
      <c r="B701" t="s">
        <v>407</v>
      </c>
      <c r="C701" t="s">
        <v>1686</v>
      </c>
      <c r="D701" t="s">
        <v>472</v>
      </c>
      <c r="E701" t="s">
        <v>271</v>
      </c>
      <c r="F701" t="s">
        <v>318</v>
      </c>
    </row>
    <row r="702" spans="1:6" x14ac:dyDescent="0.25">
      <c r="A702" t="s">
        <v>3176</v>
      </c>
      <c r="B702" t="s">
        <v>3177</v>
      </c>
      <c r="C702" t="s">
        <v>3178</v>
      </c>
      <c r="D702" t="s">
        <v>340</v>
      </c>
      <c r="E702" t="s">
        <v>271</v>
      </c>
      <c r="F702" t="s">
        <v>317</v>
      </c>
    </row>
    <row r="703" spans="1:6" x14ac:dyDescent="0.25">
      <c r="A703" t="s">
        <v>6185</v>
      </c>
      <c r="B703" t="s">
        <v>6186</v>
      </c>
      <c r="C703" t="s">
        <v>6187</v>
      </c>
      <c r="D703" t="s">
        <v>6188</v>
      </c>
      <c r="E703" t="s">
        <v>271</v>
      </c>
      <c r="F703" t="s">
        <v>480</v>
      </c>
    </row>
    <row r="704" spans="1:6" x14ac:dyDescent="0.25">
      <c r="A704" t="s">
        <v>6189</v>
      </c>
      <c r="B704" t="s">
        <v>6190</v>
      </c>
      <c r="C704" t="s">
        <v>6191</v>
      </c>
      <c r="D704" t="s">
        <v>0</v>
      </c>
      <c r="E704" t="s">
        <v>271</v>
      </c>
      <c r="F704" t="s">
        <v>531</v>
      </c>
    </row>
    <row r="705" spans="1:6" x14ac:dyDescent="0.25">
      <c r="A705" t="s">
        <v>739</v>
      </c>
      <c r="B705" t="s">
        <v>740</v>
      </c>
      <c r="C705" t="s">
        <v>743</v>
      </c>
      <c r="D705" t="s">
        <v>742</v>
      </c>
      <c r="E705" t="s">
        <v>271</v>
      </c>
      <c r="F705" t="s">
        <v>741</v>
      </c>
    </row>
    <row r="706" spans="1:6" x14ac:dyDescent="0.25">
      <c r="A706" t="s">
        <v>6192</v>
      </c>
      <c r="B706" t="s">
        <v>6193</v>
      </c>
      <c r="C706" t="s">
        <v>6194</v>
      </c>
      <c r="D706" t="s">
        <v>0</v>
      </c>
      <c r="E706" t="s">
        <v>271</v>
      </c>
      <c r="F706" t="s">
        <v>4437</v>
      </c>
    </row>
    <row r="707" spans="1:6" x14ac:dyDescent="0.25">
      <c r="A707" t="s">
        <v>6195</v>
      </c>
      <c r="B707" t="s">
        <v>6196</v>
      </c>
      <c r="C707" t="s">
        <v>6197</v>
      </c>
      <c r="D707" t="s">
        <v>8</v>
      </c>
      <c r="E707" t="s">
        <v>271</v>
      </c>
      <c r="F707" t="s">
        <v>753</v>
      </c>
    </row>
    <row r="708" spans="1:6" x14ac:dyDescent="0.25">
      <c r="A708" t="s">
        <v>6198</v>
      </c>
      <c r="B708" t="s">
        <v>6199</v>
      </c>
      <c r="C708" t="s">
        <v>6200</v>
      </c>
      <c r="D708" t="s">
        <v>6201</v>
      </c>
      <c r="E708" t="s">
        <v>271</v>
      </c>
      <c r="F708" t="s">
        <v>4395</v>
      </c>
    </row>
    <row r="709" spans="1:6" x14ac:dyDescent="0.25">
      <c r="A709" t="s">
        <v>6202</v>
      </c>
      <c r="B709" t="s">
        <v>6203</v>
      </c>
      <c r="C709" t="s">
        <v>6204</v>
      </c>
      <c r="D709" t="s">
        <v>0</v>
      </c>
      <c r="E709" t="s">
        <v>271</v>
      </c>
      <c r="F709" t="s">
        <v>881</v>
      </c>
    </row>
    <row r="710" spans="1:6" x14ac:dyDescent="0.25">
      <c r="A710" t="s">
        <v>6205</v>
      </c>
      <c r="B710" t="s">
        <v>6206</v>
      </c>
      <c r="C710" t="s">
        <v>6207</v>
      </c>
      <c r="D710" t="s">
        <v>0</v>
      </c>
      <c r="E710" t="s">
        <v>271</v>
      </c>
      <c r="F710" t="s">
        <v>1141</v>
      </c>
    </row>
    <row r="711" spans="1:6" x14ac:dyDescent="0.25">
      <c r="A711" t="s">
        <v>2731</v>
      </c>
      <c r="B711" t="s">
        <v>2732</v>
      </c>
      <c r="C711" t="s">
        <v>2733</v>
      </c>
      <c r="D711" t="s">
        <v>361</v>
      </c>
      <c r="E711" t="s">
        <v>271</v>
      </c>
      <c r="F711" t="s">
        <v>1563</v>
      </c>
    </row>
    <row r="712" spans="1:6" x14ac:dyDescent="0.25">
      <c r="A712" t="s">
        <v>6208</v>
      </c>
      <c r="B712" t="s">
        <v>6209</v>
      </c>
      <c r="C712" t="s">
        <v>6210</v>
      </c>
      <c r="D712" t="s">
        <v>2637</v>
      </c>
      <c r="E712" t="s">
        <v>271</v>
      </c>
      <c r="F712" t="s">
        <v>2636</v>
      </c>
    </row>
    <row r="713" spans="1:6" x14ac:dyDescent="0.25">
      <c r="A713" t="s">
        <v>6211</v>
      </c>
      <c r="B713" t="s">
        <v>6212</v>
      </c>
      <c r="C713" t="s">
        <v>6213</v>
      </c>
      <c r="D713" t="s">
        <v>718</v>
      </c>
      <c r="E713" t="s">
        <v>271</v>
      </c>
      <c r="F713" t="s">
        <v>333</v>
      </c>
    </row>
    <row r="714" spans="1:6" x14ac:dyDescent="0.25">
      <c r="A714" t="s">
        <v>1268</v>
      </c>
      <c r="B714" t="s">
        <v>1269</v>
      </c>
      <c r="C714" t="s">
        <v>1271</v>
      </c>
      <c r="D714" t="s">
        <v>444</v>
      </c>
      <c r="E714" t="s">
        <v>271</v>
      </c>
      <c r="F714" t="s">
        <v>1270</v>
      </c>
    </row>
    <row r="715" spans="1:6" x14ac:dyDescent="0.25">
      <c r="A715" t="s">
        <v>6214</v>
      </c>
      <c r="B715" t="s">
        <v>6215</v>
      </c>
      <c r="C715" t="s">
        <v>6216</v>
      </c>
      <c r="D715" t="s">
        <v>556</v>
      </c>
      <c r="E715" t="s">
        <v>271</v>
      </c>
      <c r="F715" t="s">
        <v>1567</v>
      </c>
    </row>
    <row r="716" spans="1:6" x14ac:dyDescent="0.25">
      <c r="A716" t="s">
        <v>6217</v>
      </c>
      <c r="B716" t="s">
        <v>6218</v>
      </c>
      <c r="C716" t="s">
        <v>6219</v>
      </c>
      <c r="D716" t="s">
        <v>617</v>
      </c>
      <c r="E716" t="s">
        <v>271</v>
      </c>
      <c r="F716" t="s">
        <v>438</v>
      </c>
    </row>
    <row r="717" spans="1:6" x14ac:dyDescent="0.25">
      <c r="A717" t="s">
        <v>6220</v>
      </c>
      <c r="B717" t="s">
        <v>6221</v>
      </c>
      <c r="C717" t="s">
        <v>6222</v>
      </c>
      <c r="D717" t="s">
        <v>272</v>
      </c>
      <c r="E717" t="s">
        <v>269</v>
      </c>
      <c r="F717" t="s">
        <v>907</v>
      </c>
    </row>
    <row r="718" spans="1:6" x14ac:dyDescent="0.25">
      <c r="A718" t="s">
        <v>6223</v>
      </c>
      <c r="B718" t="s">
        <v>6224</v>
      </c>
      <c r="C718" t="s">
        <v>6225</v>
      </c>
      <c r="D718" t="s">
        <v>258</v>
      </c>
      <c r="E718" t="s">
        <v>271</v>
      </c>
      <c r="F718" t="s">
        <v>524</v>
      </c>
    </row>
    <row r="719" spans="1:6" x14ac:dyDescent="0.25">
      <c r="A719" t="s">
        <v>6226</v>
      </c>
      <c r="B719" t="s">
        <v>6227</v>
      </c>
      <c r="C719" t="s">
        <v>6228</v>
      </c>
      <c r="D719" t="s">
        <v>1370</v>
      </c>
      <c r="E719" t="s">
        <v>271</v>
      </c>
      <c r="F719" t="s">
        <v>1369</v>
      </c>
    </row>
    <row r="720" spans="1:6" x14ac:dyDescent="0.25">
      <c r="A720" t="s">
        <v>6229</v>
      </c>
      <c r="B720" t="s">
        <v>6230</v>
      </c>
      <c r="C720" t="s">
        <v>6231</v>
      </c>
      <c r="D720" t="s">
        <v>460</v>
      </c>
      <c r="E720" t="s">
        <v>271</v>
      </c>
      <c r="F720" t="s">
        <v>435</v>
      </c>
    </row>
    <row r="721" spans="1:6" x14ac:dyDescent="0.25">
      <c r="A721" t="s">
        <v>6232</v>
      </c>
      <c r="B721" t="s">
        <v>6233</v>
      </c>
      <c r="C721" t="s">
        <v>6234</v>
      </c>
      <c r="D721" t="s">
        <v>0</v>
      </c>
      <c r="E721" t="s">
        <v>271</v>
      </c>
      <c r="F721" t="s">
        <v>325</v>
      </c>
    </row>
    <row r="722" spans="1:6" x14ac:dyDescent="0.25">
      <c r="A722" t="s">
        <v>1492</v>
      </c>
      <c r="B722" t="s">
        <v>1493</v>
      </c>
      <c r="C722" t="s">
        <v>1494</v>
      </c>
      <c r="D722" t="s">
        <v>500</v>
      </c>
      <c r="E722" t="s">
        <v>271</v>
      </c>
      <c r="F722" t="s">
        <v>501</v>
      </c>
    </row>
    <row r="723" spans="1:6" x14ac:dyDescent="0.25">
      <c r="A723" t="s">
        <v>6235</v>
      </c>
      <c r="B723" t="s">
        <v>6236</v>
      </c>
      <c r="C723" t="s">
        <v>6237</v>
      </c>
      <c r="D723" t="s">
        <v>1337</v>
      </c>
      <c r="E723" t="s">
        <v>271</v>
      </c>
      <c r="F723" t="s">
        <v>1336</v>
      </c>
    </row>
    <row r="724" spans="1:6" x14ac:dyDescent="0.25">
      <c r="A724" t="s">
        <v>6238</v>
      </c>
      <c r="B724" t="s">
        <v>6239</v>
      </c>
      <c r="C724" t="s">
        <v>6240</v>
      </c>
      <c r="D724" t="s">
        <v>598</v>
      </c>
      <c r="E724" t="s">
        <v>271</v>
      </c>
      <c r="F724" t="s">
        <v>599</v>
      </c>
    </row>
    <row r="725" spans="1:6" x14ac:dyDescent="0.25">
      <c r="A725" t="s">
        <v>6241</v>
      </c>
      <c r="B725" t="s">
        <v>6242</v>
      </c>
      <c r="C725" t="s">
        <v>6243</v>
      </c>
      <c r="D725" t="s">
        <v>0</v>
      </c>
      <c r="E725" t="s">
        <v>271</v>
      </c>
      <c r="F725" t="s">
        <v>325</v>
      </c>
    </row>
    <row r="726" spans="1:6" x14ac:dyDescent="0.25">
      <c r="A726" t="s">
        <v>6244</v>
      </c>
      <c r="B726" t="s">
        <v>6245</v>
      </c>
      <c r="C726" t="s">
        <v>6246</v>
      </c>
      <c r="D726" t="s">
        <v>0</v>
      </c>
      <c r="E726" t="s">
        <v>271</v>
      </c>
      <c r="F726" t="s">
        <v>356</v>
      </c>
    </row>
    <row r="727" spans="1:6" x14ac:dyDescent="0.25">
      <c r="A727" t="s">
        <v>1495</v>
      </c>
      <c r="B727" t="s">
        <v>1496</v>
      </c>
      <c r="C727" t="s">
        <v>1497</v>
      </c>
      <c r="D727" t="s">
        <v>0</v>
      </c>
      <c r="E727" t="s">
        <v>271</v>
      </c>
      <c r="F727" t="s">
        <v>319</v>
      </c>
    </row>
    <row r="728" spans="1:6" x14ac:dyDescent="0.25">
      <c r="A728" t="s">
        <v>1188</v>
      </c>
      <c r="B728" t="s">
        <v>1189</v>
      </c>
      <c r="C728" t="s">
        <v>1192</v>
      </c>
      <c r="D728" t="s">
        <v>282</v>
      </c>
      <c r="E728" t="s">
        <v>271</v>
      </c>
      <c r="F728" t="s">
        <v>1191</v>
      </c>
    </row>
    <row r="729" spans="1:6" x14ac:dyDescent="0.25">
      <c r="A729" t="s">
        <v>6247</v>
      </c>
      <c r="B729" t="s">
        <v>6248</v>
      </c>
      <c r="C729" t="s">
        <v>6249</v>
      </c>
      <c r="D729" t="s">
        <v>0</v>
      </c>
      <c r="E729" t="s">
        <v>271</v>
      </c>
      <c r="F729" t="s">
        <v>323</v>
      </c>
    </row>
    <row r="730" spans="1:6" x14ac:dyDescent="0.25">
      <c r="A730" t="s">
        <v>6250</v>
      </c>
      <c r="B730" t="s">
        <v>226</v>
      </c>
      <c r="C730" t="s">
        <v>6251</v>
      </c>
      <c r="D730" t="s">
        <v>239</v>
      </c>
      <c r="E730" t="s">
        <v>271</v>
      </c>
      <c r="F730" t="s">
        <v>544</v>
      </c>
    </row>
    <row r="731" spans="1:6" x14ac:dyDescent="0.25">
      <c r="A731" t="s">
        <v>6252</v>
      </c>
      <c r="B731" t="s">
        <v>6253</v>
      </c>
      <c r="C731" t="s">
        <v>6254</v>
      </c>
      <c r="D731" t="s">
        <v>0</v>
      </c>
      <c r="E731" t="s">
        <v>271</v>
      </c>
      <c r="F731" t="s">
        <v>1321</v>
      </c>
    </row>
    <row r="732" spans="1:6" x14ac:dyDescent="0.25">
      <c r="A732" t="s">
        <v>6255</v>
      </c>
      <c r="B732" t="s">
        <v>6256</v>
      </c>
      <c r="C732" t="s">
        <v>6257</v>
      </c>
      <c r="D732" t="s">
        <v>466</v>
      </c>
      <c r="E732" t="s">
        <v>271</v>
      </c>
      <c r="F732" t="s">
        <v>434</v>
      </c>
    </row>
    <row r="733" spans="1:6" x14ac:dyDescent="0.25">
      <c r="A733" t="s">
        <v>6258</v>
      </c>
      <c r="B733" t="s">
        <v>6259</v>
      </c>
      <c r="C733" t="s">
        <v>6260</v>
      </c>
      <c r="D733" t="s">
        <v>498</v>
      </c>
      <c r="E733" t="s">
        <v>271</v>
      </c>
      <c r="F733" t="s">
        <v>926</v>
      </c>
    </row>
    <row r="734" spans="1:6" x14ac:dyDescent="0.25">
      <c r="A734" t="s">
        <v>6261</v>
      </c>
      <c r="B734" t="s">
        <v>6262</v>
      </c>
      <c r="C734" t="s">
        <v>6263</v>
      </c>
      <c r="D734" t="s">
        <v>540</v>
      </c>
      <c r="E734" t="s">
        <v>271</v>
      </c>
      <c r="F734" t="s">
        <v>339</v>
      </c>
    </row>
    <row r="735" spans="1:6" x14ac:dyDescent="0.25">
      <c r="A735" t="s">
        <v>6264</v>
      </c>
      <c r="B735" t="s">
        <v>6265</v>
      </c>
      <c r="C735" t="s">
        <v>6266</v>
      </c>
      <c r="D735" t="s">
        <v>258</v>
      </c>
      <c r="E735" t="s">
        <v>271</v>
      </c>
      <c r="F735" t="s">
        <v>524</v>
      </c>
    </row>
    <row r="736" spans="1:6" x14ac:dyDescent="0.25">
      <c r="A736" t="s">
        <v>3580</v>
      </c>
      <c r="B736" t="s">
        <v>3581</v>
      </c>
      <c r="C736" t="s">
        <v>3582</v>
      </c>
      <c r="D736" t="s">
        <v>0</v>
      </c>
      <c r="E736" t="s">
        <v>271</v>
      </c>
      <c r="F736" t="s">
        <v>575</v>
      </c>
    </row>
    <row r="737" spans="1:6" x14ac:dyDescent="0.25">
      <c r="A737" t="s">
        <v>6267</v>
      </c>
      <c r="B737" t="s">
        <v>6268</v>
      </c>
      <c r="C737" t="s">
        <v>6269</v>
      </c>
      <c r="D737" t="s">
        <v>1601</v>
      </c>
      <c r="E737" t="s">
        <v>269</v>
      </c>
      <c r="F737" t="s">
        <v>3126</v>
      </c>
    </row>
    <row r="738" spans="1:6" x14ac:dyDescent="0.25">
      <c r="A738" t="s">
        <v>6270</v>
      </c>
      <c r="B738" t="s">
        <v>6271</v>
      </c>
      <c r="C738" t="s">
        <v>6272</v>
      </c>
      <c r="D738" t="s">
        <v>1524</v>
      </c>
      <c r="E738" t="s">
        <v>271</v>
      </c>
      <c r="F738" t="s">
        <v>1523</v>
      </c>
    </row>
    <row r="739" spans="1:6" x14ac:dyDescent="0.25">
      <c r="A739" t="s">
        <v>1839</v>
      </c>
      <c r="B739" t="s">
        <v>1840</v>
      </c>
      <c r="C739" t="s">
        <v>1841</v>
      </c>
      <c r="D739" t="s">
        <v>0</v>
      </c>
      <c r="E739" t="s">
        <v>271</v>
      </c>
      <c r="F739" t="s">
        <v>325</v>
      </c>
    </row>
    <row r="740" spans="1:6" x14ac:dyDescent="0.25">
      <c r="A740" t="s">
        <v>6273</v>
      </c>
      <c r="B740" t="s">
        <v>6274</v>
      </c>
      <c r="C740" t="s">
        <v>6275</v>
      </c>
      <c r="D740" t="s">
        <v>0</v>
      </c>
      <c r="E740" t="s">
        <v>271</v>
      </c>
      <c r="F740" t="s">
        <v>3941</v>
      </c>
    </row>
    <row r="741" spans="1:6" x14ac:dyDescent="0.25">
      <c r="A741" t="s">
        <v>6276</v>
      </c>
      <c r="B741" t="s">
        <v>6277</v>
      </c>
      <c r="C741" t="s">
        <v>6278</v>
      </c>
      <c r="D741" t="s">
        <v>314</v>
      </c>
      <c r="E741" t="s">
        <v>271</v>
      </c>
      <c r="F741" t="s">
        <v>352</v>
      </c>
    </row>
    <row r="742" spans="1:6" x14ac:dyDescent="0.25">
      <c r="A742" t="s">
        <v>6279</v>
      </c>
      <c r="B742" t="s">
        <v>6280</v>
      </c>
      <c r="C742" t="s">
        <v>6281</v>
      </c>
      <c r="D742" t="s">
        <v>0</v>
      </c>
      <c r="E742" t="s">
        <v>271</v>
      </c>
      <c r="F742" t="s">
        <v>731</v>
      </c>
    </row>
    <row r="743" spans="1:6" x14ac:dyDescent="0.25">
      <c r="A743" t="s">
        <v>1037</v>
      </c>
      <c r="B743" t="s">
        <v>1038</v>
      </c>
      <c r="C743" t="s">
        <v>1039</v>
      </c>
      <c r="D743" t="s">
        <v>295</v>
      </c>
      <c r="E743" t="s">
        <v>271</v>
      </c>
      <c r="F743" t="s">
        <v>294</v>
      </c>
    </row>
    <row r="744" spans="1:6" x14ac:dyDescent="0.25">
      <c r="A744" t="s">
        <v>6282</v>
      </c>
      <c r="B744" t="s">
        <v>6283</v>
      </c>
      <c r="C744" t="s">
        <v>6284</v>
      </c>
      <c r="D744" t="s">
        <v>0</v>
      </c>
      <c r="E744" t="s">
        <v>271</v>
      </c>
      <c r="F744" t="s">
        <v>356</v>
      </c>
    </row>
    <row r="745" spans="1:6" x14ac:dyDescent="0.25">
      <c r="A745" t="s">
        <v>1766</v>
      </c>
      <c r="B745" t="s">
        <v>1767</v>
      </c>
      <c r="C745" t="s">
        <v>1768</v>
      </c>
      <c r="D745" t="s">
        <v>0</v>
      </c>
      <c r="E745" t="s">
        <v>271</v>
      </c>
      <c r="F745" t="s">
        <v>319</v>
      </c>
    </row>
    <row r="746" spans="1:6" x14ac:dyDescent="0.25">
      <c r="A746" t="s">
        <v>6285</v>
      </c>
      <c r="B746" t="s">
        <v>6286</v>
      </c>
      <c r="C746" t="s">
        <v>6287</v>
      </c>
      <c r="D746" t="s">
        <v>0</v>
      </c>
      <c r="E746" t="s">
        <v>271</v>
      </c>
      <c r="F746" t="s">
        <v>332</v>
      </c>
    </row>
    <row r="747" spans="1:6" x14ac:dyDescent="0.25">
      <c r="A747" t="s">
        <v>6288</v>
      </c>
      <c r="B747" t="s">
        <v>6289</v>
      </c>
      <c r="C747" t="s">
        <v>6290</v>
      </c>
      <c r="D747" t="s">
        <v>1303</v>
      </c>
      <c r="E747" t="s">
        <v>269</v>
      </c>
      <c r="F747" t="s">
        <v>1302</v>
      </c>
    </row>
    <row r="748" spans="1:6" x14ac:dyDescent="0.25">
      <c r="A748" t="s">
        <v>6291</v>
      </c>
      <c r="B748" t="s">
        <v>6292</v>
      </c>
      <c r="C748" t="s">
        <v>6293</v>
      </c>
      <c r="D748" t="s">
        <v>0</v>
      </c>
      <c r="E748" t="s">
        <v>271</v>
      </c>
      <c r="F748" t="s">
        <v>1148</v>
      </c>
    </row>
    <row r="749" spans="1:6" x14ac:dyDescent="0.25">
      <c r="A749" t="s">
        <v>6294</v>
      </c>
      <c r="B749" t="s">
        <v>6295</v>
      </c>
      <c r="C749" t="s">
        <v>6296</v>
      </c>
      <c r="D749" t="s">
        <v>0</v>
      </c>
      <c r="E749" t="s">
        <v>271</v>
      </c>
      <c r="F749" t="s">
        <v>809</v>
      </c>
    </row>
    <row r="750" spans="1:6" x14ac:dyDescent="0.25">
      <c r="A750" t="s">
        <v>6297</v>
      </c>
      <c r="B750" t="s">
        <v>6298</v>
      </c>
      <c r="C750" t="s">
        <v>6299</v>
      </c>
      <c r="D750" t="s">
        <v>2589</v>
      </c>
      <c r="E750" t="s">
        <v>271</v>
      </c>
      <c r="F750" t="s">
        <v>2588</v>
      </c>
    </row>
    <row r="751" spans="1:6" x14ac:dyDescent="0.25">
      <c r="A751" t="s">
        <v>6300</v>
      </c>
      <c r="B751" t="s">
        <v>6301</v>
      </c>
      <c r="C751" t="s">
        <v>6302</v>
      </c>
      <c r="D751" t="s">
        <v>1925</v>
      </c>
      <c r="E751" t="s">
        <v>271</v>
      </c>
      <c r="F751" t="s">
        <v>1924</v>
      </c>
    </row>
    <row r="752" spans="1:6" x14ac:dyDescent="0.25">
      <c r="A752" t="s">
        <v>6303</v>
      </c>
      <c r="B752" t="s">
        <v>6304</v>
      </c>
      <c r="C752" t="s">
        <v>6305</v>
      </c>
      <c r="D752" t="s">
        <v>1165</v>
      </c>
      <c r="E752" t="s">
        <v>271</v>
      </c>
      <c r="F752" t="s">
        <v>6306</v>
      </c>
    </row>
    <row r="753" spans="1:6" x14ac:dyDescent="0.25">
      <c r="A753" t="s">
        <v>3663</v>
      </c>
      <c r="B753" t="s">
        <v>3664</v>
      </c>
      <c r="C753" t="s">
        <v>3665</v>
      </c>
      <c r="D753" t="s">
        <v>617</v>
      </c>
      <c r="E753" t="s">
        <v>271</v>
      </c>
      <c r="F753" t="s">
        <v>438</v>
      </c>
    </row>
    <row r="754" spans="1:6" x14ac:dyDescent="0.25">
      <c r="A754" t="s">
        <v>6307</v>
      </c>
      <c r="B754" t="s">
        <v>6308</v>
      </c>
      <c r="C754" t="s">
        <v>6309</v>
      </c>
      <c r="D754" t="s">
        <v>4840</v>
      </c>
      <c r="E754" t="s">
        <v>271</v>
      </c>
      <c r="F754" t="s">
        <v>593</v>
      </c>
    </row>
    <row r="755" spans="1:6" x14ac:dyDescent="0.25">
      <c r="A755" t="s">
        <v>6310</v>
      </c>
      <c r="B755" t="s">
        <v>6311</v>
      </c>
      <c r="C755" t="s">
        <v>6312</v>
      </c>
      <c r="D755" t="s">
        <v>845</v>
      </c>
      <c r="E755" t="s">
        <v>271</v>
      </c>
      <c r="F755" t="s">
        <v>844</v>
      </c>
    </row>
    <row r="756" spans="1:6" x14ac:dyDescent="0.25">
      <c r="A756" t="s">
        <v>6313</v>
      </c>
      <c r="B756" t="s">
        <v>6314</v>
      </c>
      <c r="C756" t="s">
        <v>6315</v>
      </c>
      <c r="D756" t="s">
        <v>0</v>
      </c>
      <c r="E756" t="s">
        <v>271</v>
      </c>
      <c r="F756" t="s">
        <v>431</v>
      </c>
    </row>
    <row r="757" spans="1:6" x14ac:dyDescent="0.25">
      <c r="A757" t="s">
        <v>6316</v>
      </c>
      <c r="B757" t="s">
        <v>6317</v>
      </c>
      <c r="C757" t="s">
        <v>6318</v>
      </c>
      <c r="D757" t="s">
        <v>0</v>
      </c>
      <c r="E757" t="s">
        <v>271</v>
      </c>
      <c r="F757" t="s">
        <v>726</v>
      </c>
    </row>
    <row r="758" spans="1:6" x14ac:dyDescent="0.25">
      <c r="A758" t="s">
        <v>6319</v>
      </c>
      <c r="B758" t="s">
        <v>6320</v>
      </c>
      <c r="C758" t="s">
        <v>6321</v>
      </c>
      <c r="D758" t="s">
        <v>0</v>
      </c>
      <c r="E758" t="s">
        <v>271</v>
      </c>
      <c r="F758" t="s">
        <v>1534</v>
      </c>
    </row>
    <row r="759" spans="1:6" x14ac:dyDescent="0.25">
      <c r="A759" t="s">
        <v>6322</v>
      </c>
      <c r="B759" t="s">
        <v>6323</v>
      </c>
      <c r="C759" t="s">
        <v>6324</v>
      </c>
      <c r="D759" t="s">
        <v>972</v>
      </c>
      <c r="E759" t="s">
        <v>269</v>
      </c>
      <c r="F759" t="s">
        <v>971</v>
      </c>
    </row>
    <row r="760" spans="1:6" x14ac:dyDescent="0.25">
      <c r="A760" t="s">
        <v>6325</v>
      </c>
      <c r="B760" t="s">
        <v>6326</v>
      </c>
      <c r="C760" t="s">
        <v>6327</v>
      </c>
      <c r="D760" t="s">
        <v>472</v>
      </c>
      <c r="E760" t="s">
        <v>271</v>
      </c>
      <c r="F760" t="s">
        <v>318</v>
      </c>
    </row>
    <row r="761" spans="1:6" x14ac:dyDescent="0.25">
      <c r="A761" t="s">
        <v>6328</v>
      </c>
      <c r="B761" t="s">
        <v>6329</v>
      </c>
      <c r="C761" t="s">
        <v>6330</v>
      </c>
      <c r="D761" t="s">
        <v>3378</v>
      </c>
      <c r="E761" t="s">
        <v>271</v>
      </c>
      <c r="F761" t="s">
        <v>3377</v>
      </c>
    </row>
    <row r="762" spans="1:6" x14ac:dyDescent="0.25">
      <c r="A762" t="s">
        <v>6331</v>
      </c>
      <c r="B762" t="s">
        <v>6332</v>
      </c>
      <c r="C762" t="s">
        <v>6333</v>
      </c>
      <c r="D762" t="s">
        <v>314</v>
      </c>
      <c r="E762" t="s">
        <v>271</v>
      </c>
      <c r="F762" t="s">
        <v>352</v>
      </c>
    </row>
    <row r="763" spans="1:6" x14ac:dyDescent="0.25">
      <c r="A763" t="s">
        <v>807</v>
      </c>
      <c r="B763" t="s">
        <v>808</v>
      </c>
      <c r="C763" t="s">
        <v>810</v>
      </c>
      <c r="D763" t="s">
        <v>0</v>
      </c>
      <c r="E763" t="s">
        <v>271</v>
      </c>
      <c r="F763" t="s">
        <v>809</v>
      </c>
    </row>
    <row r="764" spans="1:6" x14ac:dyDescent="0.25">
      <c r="A764" t="s">
        <v>2306</v>
      </c>
      <c r="B764" t="s">
        <v>2307</v>
      </c>
      <c r="C764" t="s">
        <v>2308</v>
      </c>
      <c r="D764" t="s">
        <v>1601</v>
      </c>
      <c r="E764" t="s">
        <v>269</v>
      </c>
      <c r="F764" t="s">
        <v>1600</v>
      </c>
    </row>
    <row r="765" spans="1:6" x14ac:dyDescent="0.25">
      <c r="A765" t="s">
        <v>6334</v>
      </c>
      <c r="B765" t="s">
        <v>6335</v>
      </c>
      <c r="C765" t="s">
        <v>6336</v>
      </c>
      <c r="D765" t="s">
        <v>0</v>
      </c>
      <c r="E765" t="s">
        <v>271</v>
      </c>
      <c r="F765" t="s">
        <v>2349</v>
      </c>
    </row>
    <row r="766" spans="1:6" x14ac:dyDescent="0.25">
      <c r="A766" t="s">
        <v>1788</v>
      </c>
      <c r="B766" t="s">
        <v>1789</v>
      </c>
      <c r="C766" t="s">
        <v>1792</v>
      </c>
      <c r="D766" t="s">
        <v>1791</v>
      </c>
      <c r="E766" t="s">
        <v>271</v>
      </c>
      <c r="F766" t="s">
        <v>1790</v>
      </c>
    </row>
    <row r="767" spans="1:6" x14ac:dyDescent="0.25">
      <c r="A767" t="s">
        <v>6337</v>
      </c>
      <c r="B767" t="s">
        <v>6338</v>
      </c>
      <c r="C767" t="s">
        <v>6339</v>
      </c>
      <c r="D767" t="s">
        <v>5628</v>
      </c>
      <c r="E767" t="s">
        <v>269</v>
      </c>
      <c r="F767" t="s">
        <v>5629</v>
      </c>
    </row>
    <row r="768" spans="1:6" x14ac:dyDescent="0.25">
      <c r="A768" t="s">
        <v>6340</v>
      </c>
      <c r="B768" t="s">
        <v>6341</v>
      </c>
      <c r="C768" t="s">
        <v>6342</v>
      </c>
      <c r="D768" t="s">
        <v>0</v>
      </c>
      <c r="E768" t="s">
        <v>271</v>
      </c>
      <c r="F768" t="s">
        <v>3672</v>
      </c>
    </row>
    <row r="769" spans="1:6" x14ac:dyDescent="0.25">
      <c r="A769" t="s">
        <v>6343</v>
      </c>
      <c r="B769" t="s">
        <v>6344</v>
      </c>
      <c r="C769" t="s">
        <v>6345</v>
      </c>
      <c r="D769" t="s">
        <v>572</v>
      </c>
      <c r="E769" t="s">
        <v>271</v>
      </c>
      <c r="F769" t="s">
        <v>335</v>
      </c>
    </row>
    <row r="770" spans="1:6" x14ac:dyDescent="0.25">
      <c r="A770" t="s">
        <v>6346</v>
      </c>
      <c r="B770" t="s">
        <v>6347</v>
      </c>
      <c r="C770" t="s">
        <v>6348</v>
      </c>
      <c r="D770" t="s">
        <v>2093</v>
      </c>
      <c r="E770" t="s">
        <v>271</v>
      </c>
      <c r="F770" t="s">
        <v>1058</v>
      </c>
    </row>
    <row r="771" spans="1:6" x14ac:dyDescent="0.25">
      <c r="A771" t="s">
        <v>6349</v>
      </c>
      <c r="B771" t="s">
        <v>6350</v>
      </c>
      <c r="C771" t="s">
        <v>6351</v>
      </c>
      <c r="D771" t="s">
        <v>1542</v>
      </c>
      <c r="E771" t="s">
        <v>269</v>
      </c>
      <c r="F771" t="s">
        <v>1541</v>
      </c>
    </row>
    <row r="772" spans="1:6" x14ac:dyDescent="0.25">
      <c r="A772" t="s">
        <v>6352</v>
      </c>
      <c r="B772" t="s">
        <v>6353</v>
      </c>
      <c r="C772" t="s">
        <v>6354</v>
      </c>
      <c r="D772" t="s">
        <v>0</v>
      </c>
      <c r="E772" t="s">
        <v>271</v>
      </c>
      <c r="F772" t="s">
        <v>319</v>
      </c>
    </row>
    <row r="773" spans="1:6" x14ac:dyDescent="0.25">
      <c r="A773" t="s">
        <v>6355</v>
      </c>
      <c r="B773" t="s">
        <v>6356</v>
      </c>
      <c r="C773" t="s">
        <v>6357</v>
      </c>
      <c r="D773" t="s">
        <v>453</v>
      </c>
      <c r="E773" t="s">
        <v>271</v>
      </c>
      <c r="F773" t="s">
        <v>454</v>
      </c>
    </row>
    <row r="774" spans="1:6" x14ac:dyDescent="0.25">
      <c r="A774" t="s">
        <v>6358</v>
      </c>
      <c r="B774" t="s">
        <v>6359</v>
      </c>
      <c r="C774" t="s">
        <v>6360</v>
      </c>
      <c r="D774" t="s">
        <v>0</v>
      </c>
      <c r="E774" t="s">
        <v>271</v>
      </c>
      <c r="F774" t="s">
        <v>562</v>
      </c>
    </row>
    <row r="775" spans="1:6" x14ac:dyDescent="0.25">
      <c r="A775" t="s">
        <v>6361</v>
      </c>
      <c r="B775" t="s">
        <v>6362</v>
      </c>
      <c r="C775" t="s">
        <v>6363</v>
      </c>
      <c r="D775" t="s">
        <v>1643</v>
      </c>
      <c r="E775" t="s">
        <v>271</v>
      </c>
      <c r="F775" t="s">
        <v>2028</v>
      </c>
    </row>
    <row r="776" spans="1:6" x14ac:dyDescent="0.25">
      <c r="A776" t="s">
        <v>6364</v>
      </c>
      <c r="B776" t="s">
        <v>6365</v>
      </c>
      <c r="C776" t="s">
        <v>6366</v>
      </c>
      <c r="D776" t="s">
        <v>0</v>
      </c>
      <c r="E776" t="s">
        <v>271</v>
      </c>
      <c r="F776" t="s">
        <v>356</v>
      </c>
    </row>
    <row r="777" spans="1:6" x14ac:dyDescent="0.25">
      <c r="A777" t="s">
        <v>6367</v>
      </c>
      <c r="B777" t="s">
        <v>6368</v>
      </c>
      <c r="C777" t="s">
        <v>6369</v>
      </c>
      <c r="D777" t="s">
        <v>492</v>
      </c>
      <c r="E777" t="s">
        <v>271</v>
      </c>
      <c r="F777" t="s">
        <v>493</v>
      </c>
    </row>
    <row r="778" spans="1:6" x14ac:dyDescent="0.25">
      <c r="A778" t="s">
        <v>6370</v>
      </c>
      <c r="B778" t="s">
        <v>6371</v>
      </c>
      <c r="C778" t="s">
        <v>6372</v>
      </c>
      <c r="D778" t="s">
        <v>1337</v>
      </c>
      <c r="E778" t="s">
        <v>271</v>
      </c>
      <c r="F778" t="s">
        <v>1336</v>
      </c>
    </row>
    <row r="779" spans="1:6" x14ac:dyDescent="0.25">
      <c r="A779" t="s">
        <v>6373</v>
      </c>
      <c r="B779" t="s">
        <v>6374</v>
      </c>
      <c r="C779" t="s">
        <v>6375</v>
      </c>
      <c r="D779" t="s">
        <v>498</v>
      </c>
      <c r="E779" t="s">
        <v>271</v>
      </c>
      <c r="F779" t="s">
        <v>926</v>
      </c>
    </row>
    <row r="780" spans="1:6" x14ac:dyDescent="0.25">
      <c r="A780" t="s">
        <v>6376</v>
      </c>
      <c r="B780" t="s">
        <v>1947</v>
      </c>
      <c r="C780" t="s">
        <v>6377</v>
      </c>
      <c r="D780" t="s">
        <v>2158</v>
      </c>
      <c r="E780" t="s">
        <v>269</v>
      </c>
      <c r="F780" t="s">
        <v>2157</v>
      </c>
    </row>
    <row r="781" spans="1:6" x14ac:dyDescent="0.25">
      <c r="A781" t="s">
        <v>6378</v>
      </c>
      <c r="B781" t="s">
        <v>5867</v>
      </c>
      <c r="C781" t="s">
        <v>6379</v>
      </c>
      <c r="D781" t="s">
        <v>0</v>
      </c>
      <c r="E781" t="s">
        <v>271</v>
      </c>
      <c r="F781" t="s">
        <v>356</v>
      </c>
    </row>
    <row r="782" spans="1:6" x14ac:dyDescent="0.25">
      <c r="A782" t="s">
        <v>6380</v>
      </c>
      <c r="B782" t="s">
        <v>6381</v>
      </c>
      <c r="C782" t="s">
        <v>6382</v>
      </c>
      <c r="D782" t="s">
        <v>3625</v>
      </c>
      <c r="E782" t="s">
        <v>269</v>
      </c>
      <c r="F782" t="s">
        <v>3624</v>
      </c>
    </row>
    <row r="783" spans="1:6" x14ac:dyDescent="0.25">
      <c r="A783" t="s">
        <v>999</v>
      </c>
      <c r="B783" t="s">
        <v>1000</v>
      </c>
      <c r="C783" t="s">
        <v>1001</v>
      </c>
      <c r="D783" t="s">
        <v>0</v>
      </c>
      <c r="E783" t="s">
        <v>271</v>
      </c>
      <c r="F783" t="s">
        <v>323</v>
      </c>
    </row>
    <row r="784" spans="1:6" x14ac:dyDescent="0.25">
      <c r="A784" t="s">
        <v>6383</v>
      </c>
      <c r="B784" t="s">
        <v>6384</v>
      </c>
      <c r="C784" t="s">
        <v>6385</v>
      </c>
      <c r="D784" t="s">
        <v>1361</v>
      </c>
      <c r="E784" t="s">
        <v>271</v>
      </c>
      <c r="F784" t="s">
        <v>1829</v>
      </c>
    </row>
    <row r="785" spans="1:6" x14ac:dyDescent="0.25">
      <c r="A785" t="s">
        <v>6386</v>
      </c>
      <c r="B785" t="s">
        <v>6387</v>
      </c>
      <c r="C785" t="s">
        <v>6388</v>
      </c>
      <c r="D785" t="s">
        <v>0</v>
      </c>
      <c r="E785" t="s">
        <v>271</v>
      </c>
      <c r="F785" t="s">
        <v>319</v>
      </c>
    </row>
    <row r="786" spans="1:6" x14ac:dyDescent="0.25">
      <c r="A786" t="s">
        <v>2196</v>
      </c>
      <c r="B786" t="s">
        <v>2197</v>
      </c>
      <c r="C786" t="s">
        <v>2198</v>
      </c>
      <c r="D786" t="s">
        <v>363</v>
      </c>
      <c r="E786" t="s">
        <v>271</v>
      </c>
      <c r="F786" t="s">
        <v>364</v>
      </c>
    </row>
    <row r="787" spans="1:6" x14ac:dyDescent="0.25">
      <c r="A787" t="s">
        <v>1745</v>
      </c>
      <c r="B787" t="s">
        <v>1746</v>
      </c>
      <c r="C787" t="s">
        <v>1748</v>
      </c>
      <c r="D787" t="s">
        <v>1079</v>
      </c>
      <c r="E787" t="s">
        <v>271</v>
      </c>
      <c r="F787" t="s">
        <v>1747</v>
      </c>
    </row>
    <row r="788" spans="1:6" x14ac:dyDescent="0.25">
      <c r="A788" t="s">
        <v>6389</v>
      </c>
      <c r="B788" t="s">
        <v>6390</v>
      </c>
      <c r="C788" t="s">
        <v>6391</v>
      </c>
      <c r="D788" t="s">
        <v>0</v>
      </c>
      <c r="E788" t="s">
        <v>271</v>
      </c>
      <c r="F788" t="s">
        <v>688</v>
      </c>
    </row>
    <row r="789" spans="1:6" x14ac:dyDescent="0.25">
      <c r="A789" t="s">
        <v>6392</v>
      </c>
      <c r="B789" t="s">
        <v>6393</v>
      </c>
      <c r="C789" t="s">
        <v>6394</v>
      </c>
      <c r="D789" t="s">
        <v>0</v>
      </c>
      <c r="E789" t="s">
        <v>271</v>
      </c>
      <c r="F789" t="s">
        <v>575</v>
      </c>
    </row>
    <row r="790" spans="1:6" x14ac:dyDescent="0.25">
      <c r="A790" t="s">
        <v>2563</v>
      </c>
      <c r="B790" t="s">
        <v>2564</v>
      </c>
      <c r="C790" t="s">
        <v>2565</v>
      </c>
      <c r="D790" t="s">
        <v>361</v>
      </c>
      <c r="E790" t="s">
        <v>271</v>
      </c>
      <c r="F790" t="s">
        <v>1563</v>
      </c>
    </row>
    <row r="791" spans="1:6" x14ac:dyDescent="0.25">
      <c r="A791" t="s">
        <v>6395</v>
      </c>
      <c r="B791" t="s">
        <v>6396</v>
      </c>
      <c r="C791" t="s">
        <v>6397</v>
      </c>
      <c r="D791" t="s">
        <v>345</v>
      </c>
      <c r="E791" t="s">
        <v>269</v>
      </c>
      <c r="F791" t="s">
        <v>684</v>
      </c>
    </row>
    <row r="792" spans="1:6" x14ac:dyDescent="0.25">
      <c r="A792" t="s">
        <v>6398</v>
      </c>
      <c r="B792" t="s">
        <v>6399</v>
      </c>
      <c r="C792" t="s">
        <v>1686</v>
      </c>
      <c r="D792" t="s">
        <v>472</v>
      </c>
      <c r="E792" t="s">
        <v>271</v>
      </c>
      <c r="F792" t="s">
        <v>318</v>
      </c>
    </row>
    <row r="793" spans="1:6" x14ac:dyDescent="0.25">
      <c r="A793" t="s">
        <v>6400</v>
      </c>
      <c r="B793" t="s">
        <v>6401</v>
      </c>
      <c r="C793" t="s">
        <v>6402</v>
      </c>
      <c r="D793" t="s">
        <v>363</v>
      </c>
      <c r="E793" t="s">
        <v>271</v>
      </c>
      <c r="F793" t="s">
        <v>364</v>
      </c>
    </row>
    <row r="794" spans="1:6" x14ac:dyDescent="0.25">
      <c r="A794" t="s">
        <v>6403</v>
      </c>
      <c r="B794" t="s">
        <v>6404</v>
      </c>
      <c r="C794" t="s">
        <v>6405</v>
      </c>
      <c r="D794" t="s">
        <v>1079</v>
      </c>
      <c r="E794" t="s">
        <v>271</v>
      </c>
      <c r="F794" t="s">
        <v>6406</v>
      </c>
    </row>
    <row r="795" spans="1:6" x14ac:dyDescent="0.25">
      <c r="A795" t="s">
        <v>6407</v>
      </c>
      <c r="B795" t="s">
        <v>6408</v>
      </c>
      <c r="C795" t="s">
        <v>6409</v>
      </c>
      <c r="D795" t="s">
        <v>1348</v>
      </c>
      <c r="E795" t="s">
        <v>271</v>
      </c>
      <c r="F795" t="s">
        <v>1347</v>
      </c>
    </row>
    <row r="796" spans="1:6" x14ac:dyDescent="0.25">
      <c r="A796" t="s">
        <v>6410</v>
      </c>
      <c r="B796" t="s">
        <v>6411</v>
      </c>
      <c r="C796" t="s">
        <v>6412</v>
      </c>
      <c r="D796" t="s">
        <v>363</v>
      </c>
      <c r="E796" t="s">
        <v>271</v>
      </c>
      <c r="F796" t="s">
        <v>364</v>
      </c>
    </row>
    <row r="797" spans="1:6" x14ac:dyDescent="0.25">
      <c r="A797" t="s">
        <v>2458</v>
      </c>
      <c r="B797" t="s">
        <v>2459</v>
      </c>
      <c r="C797" t="s">
        <v>2460</v>
      </c>
      <c r="D797" t="s">
        <v>0</v>
      </c>
      <c r="E797" t="s">
        <v>271</v>
      </c>
      <c r="F797" t="s">
        <v>709</v>
      </c>
    </row>
    <row r="798" spans="1:6" x14ac:dyDescent="0.25">
      <c r="A798" t="s">
        <v>6413</v>
      </c>
      <c r="B798" t="s">
        <v>6414</v>
      </c>
      <c r="C798" t="s">
        <v>6415</v>
      </c>
      <c r="D798" t="s">
        <v>510</v>
      </c>
      <c r="E798" t="s">
        <v>271</v>
      </c>
      <c r="F798" t="s">
        <v>852</v>
      </c>
    </row>
    <row r="799" spans="1:6" x14ac:dyDescent="0.25">
      <c r="A799" t="s">
        <v>6416</v>
      </c>
      <c r="B799" t="s">
        <v>6417</v>
      </c>
      <c r="C799" t="s">
        <v>6418</v>
      </c>
      <c r="D799" t="s">
        <v>361</v>
      </c>
      <c r="E799" t="s">
        <v>271</v>
      </c>
      <c r="F799" t="s">
        <v>1563</v>
      </c>
    </row>
    <row r="800" spans="1:6" x14ac:dyDescent="0.25">
      <c r="A800" t="s">
        <v>6419</v>
      </c>
      <c r="B800" t="s">
        <v>6420</v>
      </c>
      <c r="C800" t="s">
        <v>6421</v>
      </c>
      <c r="D800" t="s">
        <v>405</v>
      </c>
      <c r="E800" t="s">
        <v>271</v>
      </c>
      <c r="F800" t="s">
        <v>404</v>
      </c>
    </row>
    <row r="801" spans="1:6" x14ac:dyDescent="0.25">
      <c r="A801" t="s">
        <v>6422</v>
      </c>
      <c r="B801" t="s">
        <v>6423</v>
      </c>
      <c r="C801" t="s">
        <v>6424</v>
      </c>
      <c r="D801" t="s">
        <v>2009</v>
      </c>
      <c r="E801" t="s">
        <v>271</v>
      </c>
      <c r="F801" t="s">
        <v>2008</v>
      </c>
    </row>
    <row r="802" spans="1:6" x14ac:dyDescent="0.25">
      <c r="A802" t="s">
        <v>6425</v>
      </c>
      <c r="B802" t="s">
        <v>6426</v>
      </c>
      <c r="C802" t="s">
        <v>6427</v>
      </c>
      <c r="D802" t="s">
        <v>0</v>
      </c>
      <c r="E802" t="s">
        <v>271</v>
      </c>
      <c r="F802" t="s">
        <v>325</v>
      </c>
    </row>
    <row r="803" spans="1:6" x14ac:dyDescent="0.25">
      <c r="A803" t="s">
        <v>2234</v>
      </c>
      <c r="B803" t="s">
        <v>2235</v>
      </c>
      <c r="C803" t="s">
        <v>2236</v>
      </c>
      <c r="D803" t="s">
        <v>0</v>
      </c>
      <c r="E803" t="s">
        <v>271</v>
      </c>
      <c r="F803" t="s">
        <v>881</v>
      </c>
    </row>
    <row r="804" spans="1:6" x14ac:dyDescent="0.25">
      <c r="A804" t="s">
        <v>3452</v>
      </c>
      <c r="B804" t="s">
        <v>3453</v>
      </c>
      <c r="C804" t="s">
        <v>3454</v>
      </c>
      <c r="D804" t="s">
        <v>822</v>
      </c>
      <c r="E804" t="s">
        <v>269</v>
      </c>
      <c r="F804" t="s">
        <v>821</v>
      </c>
    </row>
    <row r="805" spans="1:6" x14ac:dyDescent="0.25">
      <c r="A805" t="s">
        <v>706</v>
      </c>
      <c r="B805" t="s">
        <v>707</v>
      </c>
      <c r="C805" t="s">
        <v>710</v>
      </c>
      <c r="D805" t="s">
        <v>0</v>
      </c>
      <c r="E805" t="s">
        <v>271</v>
      </c>
      <c r="F805" t="s">
        <v>709</v>
      </c>
    </row>
    <row r="806" spans="1:6" x14ac:dyDescent="0.25">
      <c r="A806" t="s">
        <v>890</v>
      </c>
      <c r="B806" t="s">
        <v>891</v>
      </c>
      <c r="C806" t="s">
        <v>892</v>
      </c>
      <c r="D806" t="s">
        <v>490</v>
      </c>
      <c r="E806" t="s">
        <v>271</v>
      </c>
      <c r="F806" t="s">
        <v>491</v>
      </c>
    </row>
    <row r="807" spans="1:6" x14ac:dyDescent="0.25">
      <c r="A807" t="s">
        <v>2401</v>
      </c>
      <c r="B807" t="s">
        <v>2402</v>
      </c>
      <c r="C807" t="s">
        <v>2405</v>
      </c>
      <c r="D807" t="s">
        <v>2404</v>
      </c>
      <c r="E807" t="s">
        <v>269</v>
      </c>
      <c r="F807" t="s">
        <v>2403</v>
      </c>
    </row>
    <row r="808" spans="1:6" x14ac:dyDescent="0.25">
      <c r="A808" t="s">
        <v>6428</v>
      </c>
      <c r="B808" t="s">
        <v>6429</v>
      </c>
      <c r="C808" t="s">
        <v>6430</v>
      </c>
      <c r="D808" t="s">
        <v>6431</v>
      </c>
      <c r="E808" t="s">
        <v>457</v>
      </c>
      <c r="F808" t="s">
        <v>6432</v>
      </c>
    </row>
    <row r="809" spans="1:6" x14ac:dyDescent="0.25">
      <c r="A809" t="s">
        <v>6433</v>
      </c>
      <c r="B809" t="s">
        <v>6434</v>
      </c>
      <c r="C809" t="s">
        <v>6435</v>
      </c>
      <c r="D809" t="s">
        <v>0</v>
      </c>
      <c r="E809" t="s">
        <v>271</v>
      </c>
      <c r="F809" t="s">
        <v>688</v>
      </c>
    </row>
    <row r="810" spans="1:6" x14ac:dyDescent="0.25">
      <c r="A810" t="s">
        <v>6436</v>
      </c>
      <c r="B810" t="s">
        <v>6437</v>
      </c>
      <c r="C810" t="s">
        <v>6438</v>
      </c>
      <c r="D810" t="s">
        <v>0</v>
      </c>
      <c r="E810" t="s">
        <v>271</v>
      </c>
      <c r="F810" t="s">
        <v>2138</v>
      </c>
    </row>
    <row r="811" spans="1:6" x14ac:dyDescent="0.25">
      <c r="A811" t="s">
        <v>6439</v>
      </c>
      <c r="B811" t="s">
        <v>6440</v>
      </c>
      <c r="C811" t="s">
        <v>6441</v>
      </c>
      <c r="D811" t="s">
        <v>0</v>
      </c>
      <c r="E811" t="s">
        <v>271</v>
      </c>
      <c r="F811" t="s">
        <v>1011</v>
      </c>
    </row>
    <row r="812" spans="1:6" x14ac:dyDescent="0.25">
      <c r="A812" t="s">
        <v>6442</v>
      </c>
      <c r="B812" t="s">
        <v>6443</v>
      </c>
      <c r="C812" t="s">
        <v>6444</v>
      </c>
      <c r="D812" t="s">
        <v>1542</v>
      </c>
      <c r="E812" t="s">
        <v>269</v>
      </c>
      <c r="F812" t="s">
        <v>1541</v>
      </c>
    </row>
    <row r="813" spans="1:6" x14ac:dyDescent="0.25">
      <c r="A813" t="s">
        <v>6445</v>
      </c>
      <c r="B813" t="s">
        <v>6446</v>
      </c>
      <c r="C813" t="s">
        <v>6447</v>
      </c>
      <c r="D813" t="s">
        <v>1137</v>
      </c>
      <c r="E813" t="s">
        <v>269</v>
      </c>
      <c r="F813" t="s">
        <v>1136</v>
      </c>
    </row>
    <row r="814" spans="1:6" x14ac:dyDescent="0.25">
      <c r="A814" t="s">
        <v>6448</v>
      </c>
      <c r="B814" t="s">
        <v>6449</v>
      </c>
      <c r="C814" t="s">
        <v>6450</v>
      </c>
      <c r="D814" t="s">
        <v>0</v>
      </c>
      <c r="E814" t="s">
        <v>271</v>
      </c>
      <c r="F814" t="s">
        <v>323</v>
      </c>
    </row>
    <row r="815" spans="1:6" x14ac:dyDescent="0.25">
      <c r="A815" t="s">
        <v>6451</v>
      </c>
      <c r="B815" t="s">
        <v>6452</v>
      </c>
      <c r="C815" t="s">
        <v>6453</v>
      </c>
      <c r="D815" t="s">
        <v>272</v>
      </c>
      <c r="E815" t="s">
        <v>269</v>
      </c>
      <c r="F815" t="s">
        <v>907</v>
      </c>
    </row>
    <row r="816" spans="1:6" x14ac:dyDescent="0.25">
      <c r="A816" t="s">
        <v>6454</v>
      </c>
      <c r="B816" t="s">
        <v>6455</v>
      </c>
      <c r="C816" t="s">
        <v>6456</v>
      </c>
      <c r="D816" t="s">
        <v>373</v>
      </c>
      <c r="E816" t="s">
        <v>271</v>
      </c>
      <c r="F816" t="s">
        <v>1523</v>
      </c>
    </row>
    <row r="817" spans="1:6" x14ac:dyDescent="0.25">
      <c r="A817" t="s">
        <v>6457</v>
      </c>
      <c r="B817" t="s">
        <v>6458</v>
      </c>
      <c r="C817" t="s">
        <v>6459</v>
      </c>
      <c r="D817" t="s">
        <v>0</v>
      </c>
      <c r="E817" t="s">
        <v>271</v>
      </c>
      <c r="F817" t="s">
        <v>319</v>
      </c>
    </row>
    <row r="818" spans="1:6" x14ac:dyDescent="0.25">
      <c r="A818" t="s">
        <v>6460</v>
      </c>
      <c r="B818" t="s">
        <v>6461</v>
      </c>
      <c r="C818" t="s">
        <v>6462</v>
      </c>
      <c r="D818" t="s">
        <v>5591</v>
      </c>
      <c r="E818" t="s">
        <v>269</v>
      </c>
      <c r="F818" t="s">
        <v>1742</v>
      </c>
    </row>
    <row r="819" spans="1:6" x14ac:dyDescent="0.25">
      <c r="A819" t="s">
        <v>1701</v>
      </c>
      <c r="B819" t="s">
        <v>1702</v>
      </c>
      <c r="C819" t="s">
        <v>1703</v>
      </c>
      <c r="D819" t="s">
        <v>0</v>
      </c>
      <c r="E819" t="s">
        <v>271</v>
      </c>
      <c r="F819" t="s">
        <v>731</v>
      </c>
    </row>
    <row r="820" spans="1:6" x14ac:dyDescent="0.25">
      <c r="A820" t="s">
        <v>6463</v>
      </c>
      <c r="B820" t="s">
        <v>6464</v>
      </c>
      <c r="C820" t="s">
        <v>6465</v>
      </c>
      <c r="D820" t="s">
        <v>472</v>
      </c>
      <c r="E820" t="s">
        <v>271</v>
      </c>
      <c r="F820" t="s">
        <v>318</v>
      </c>
    </row>
    <row r="821" spans="1:6" x14ac:dyDescent="0.25">
      <c r="A821" t="s">
        <v>6466</v>
      </c>
      <c r="B821" t="s">
        <v>6467</v>
      </c>
      <c r="C821" t="s">
        <v>6468</v>
      </c>
      <c r="D821" t="s">
        <v>498</v>
      </c>
      <c r="E821" t="s">
        <v>271</v>
      </c>
      <c r="F821" t="s">
        <v>926</v>
      </c>
    </row>
    <row r="822" spans="1:6" x14ac:dyDescent="0.25">
      <c r="A822" t="s">
        <v>6469</v>
      </c>
      <c r="B822" t="s">
        <v>6470</v>
      </c>
      <c r="C822" t="s">
        <v>6471</v>
      </c>
      <c r="D822" t="s">
        <v>1059</v>
      </c>
      <c r="E822" t="s">
        <v>271</v>
      </c>
      <c r="F822" t="s">
        <v>1058</v>
      </c>
    </row>
    <row r="823" spans="1:6" x14ac:dyDescent="0.25">
      <c r="A823" t="s">
        <v>6472</v>
      </c>
      <c r="B823" t="s">
        <v>6473</v>
      </c>
      <c r="C823" t="s">
        <v>6474</v>
      </c>
      <c r="D823" t="s">
        <v>1915</v>
      </c>
      <c r="E823" t="s">
        <v>269</v>
      </c>
      <c r="F823" t="s">
        <v>1914</v>
      </c>
    </row>
    <row r="824" spans="1:6" x14ac:dyDescent="0.25">
      <c r="A824" t="s">
        <v>6475</v>
      </c>
      <c r="B824" t="s">
        <v>6476</v>
      </c>
      <c r="C824" t="s">
        <v>6477</v>
      </c>
      <c r="D824" t="s">
        <v>510</v>
      </c>
      <c r="E824" t="s">
        <v>271</v>
      </c>
      <c r="F824" t="s">
        <v>437</v>
      </c>
    </row>
    <row r="825" spans="1:6" x14ac:dyDescent="0.25">
      <c r="A825" t="s">
        <v>6478</v>
      </c>
      <c r="B825" t="s">
        <v>6479</v>
      </c>
      <c r="C825" t="s">
        <v>6480</v>
      </c>
      <c r="D825" t="s">
        <v>0</v>
      </c>
      <c r="E825" t="s">
        <v>271</v>
      </c>
      <c r="F825" t="s">
        <v>436</v>
      </c>
    </row>
    <row r="826" spans="1:6" x14ac:dyDescent="0.25">
      <c r="A826" t="s">
        <v>6481</v>
      </c>
      <c r="B826" t="s">
        <v>6482</v>
      </c>
      <c r="C826" t="s">
        <v>6483</v>
      </c>
      <c r="D826" t="s">
        <v>289</v>
      </c>
      <c r="E826" t="s">
        <v>271</v>
      </c>
      <c r="F826" t="s">
        <v>4440</v>
      </c>
    </row>
    <row r="827" spans="1:6" x14ac:dyDescent="0.25">
      <c r="A827" t="s">
        <v>6484</v>
      </c>
      <c r="B827" t="s">
        <v>6485</v>
      </c>
      <c r="C827" t="s">
        <v>6486</v>
      </c>
      <c r="D827" t="s">
        <v>598</v>
      </c>
      <c r="E827" t="s">
        <v>271</v>
      </c>
      <c r="F827" t="s">
        <v>599</v>
      </c>
    </row>
    <row r="828" spans="1:6" x14ac:dyDescent="0.25">
      <c r="A828" t="s">
        <v>6487</v>
      </c>
      <c r="B828" t="s">
        <v>6488</v>
      </c>
      <c r="C828" t="s">
        <v>6489</v>
      </c>
      <c r="D828" t="s">
        <v>519</v>
      </c>
      <c r="E828" t="s">
        <v>271</v>
      </c>
      <c r="F828" t="s">
        <v>324</v>
      </c>
    </row>
    <row r="829" spans="1:6" x14ac:dyDescent="0.25">
      <c r="A829" t="s">
        <v>6490</v>
      </c>
      <c r="B829" t="s">
        <v>6491</v>
      </c>
      <c r="C829" t="s">
        <v>6492</v>
      </c>
      <c r="D829" t="s">
        <v>402</v>
      </c>
      <c r="E829" t="s">
        <v>271</v>
      </c>
      <c r="F829" t="s">
        <v>401</v>
      </c>
    </row>
    <row r="830" spans="1:6" x14ac:dyDescent="0.25">
      <c r="A830" t="s">
        <v>6493</v>
      </c>
      <c r="B830" t="s">
        <v>6494</v>
      </c>
      <c r="C830" t="s">
        <v>6495</v>
      </c>
      <c r="D830" t="s">
        <v>446</v>
      </c>
      <c r="E830" t="s">
        <v>271</v>
      </c>
      <c r="F830" t="s">
        <v>447</v>
      </c>
    </row>
    <row r="831" spans="1:6" x14ac:dyDescent="0.25">
      <c r="A831" t="s">
        <v>6496</v>
      </c>
      <c r="B831" t="s">
        <v>6497</v>
      </c>
      <c r="C831" t="s">
        <v>6498</v>
      </c>
      <c r="D831" t="s">
        <v>510</v>
      </c>
      <c r="E831" t="s">
        <v>271</v>
      </c>
      <c r="F831" t="s">
        <v>1829</v>
      </c>
    </row>
    <row r="832" spans="1:6" x14ac:dyDescent="0.25">
      <c r="A832" t="s">
        <v>6499</v>
      </c>
      <c r="B832" t="s">
        <v>6500</v>
      </c>
      <c r="C832" t="s">
        <v>6501</v>
      </c>
      <c r="D832" t="s">
        <v>450</v>
      </c>
      <c r="E832" t="s">
        <v>271</v>
      </c>
      <c r="F832" t="s">
        <v>326</v>
      </c>
    </row>
    <row r="833" spans="1:6" x14ac:dyDescent="0.25">
      <c r="A833" t="s">
        <v>1246</v>
      </c>
      <c r="B833" t="s">
        <v>1247</v>
      </c>
      <c r="C833" t="s">
        <v>1248</v>
      </c>
      <c r="D833" t="s">
        <v>1079</v>
      </c>
      <c r="E833" t="s">
        <v>271</v>
      </c>
      <c r="F833" t="s">
        <v>1078</v>
      </c>
    </row>
    <row r="834" spans="1:6" x14ac:dyDescent="0.25">
      <c r="A834" t="s">
        <v>6502</v>
      </c>
      <c r="B834" t="s">
        <v>6503</v>
      </c>
      <c r="C834" t="s">
        <v>6504</v>
      </c>
      <c r="D834" t="s">
        <v>1239</v>
      </c>
      <c r="E834" t="s">
        <v>271</v>
      </c>
      <c r="F834" t="s">
        <v>1238</v>
      </c>
    </row>
    <row r="835" spans="1:6" x14ac:dyDescent="0.25">
      <c r="A835" t="s">
        <v>6505</v>
      </c>
      <c r="B835" t="s">
        <v>6506</v>
      </c>
      <c r="C835" t="s">
        <v>6507</v>
      </c>
      <c r="D835" t="s">
        <v>0</v>
      </c>
      <c r="E835" t="s">
        <v>271</v>
      </c>
      <c r="F835" t="s">
        <v>4387</v>
      </c>
    </row>
    <row r="836" spans="1:6" x14ac:dyDescent="0.25">
      <c r="A836" t="s">
        <v>6508</v>
      </c>
      <c r="B836" t="s">
        <v>6509</v>
      </c>
      <c r="C836" t="s">
        <v>6510</v>
      </c>
      <c r="D836" t="s">
        <v>448</v>
      </c>
      <c r="E836" t="s">
        <v>271</v>
      </c>
      <c r="F836" t="s">
        <v>449</v>
      </c>
    </row>
    <row r="837" spans="1:6" x14ac:dyDescent="0.25">
      <c r="A837" t="s">
        <v>6511</v>
      </c>
      <c r="B837" t="s">
        <v>6512</v>
      </c>
      <c r="C837" t="s">
        <v>6513</v>
      </c>
      <c r="D837" t="s">
        <v>0</v>
      </c>
      <c r="E837" t="s">
        <v>271</v>
      </c>
      <c r="F837" t="s">
        <v>3941</v>
      </c>
    </row>
    <row r="838" spans="1:6" x14ac:dyDescent="0.25">
      <c r="A838" t="s">
        <v>6514</v>
      </c>
      <c r="B838" t="s">
        <v>6515</v>
      </c>
      <c r="C838" t="s">
        <v>6516</v>
      </c>
      <c r="D838" t="s">
        <v>506</v>
      </c>
      <c r="E838" t="s">
        <v>271</v>
      </c>
      <c r="F838" t="s">
        <v>507</v>
      </c>
    </row>
    <row r="839" spans="1:6" x14ac:dyDescent="0.25">
      <c r="A839" t="s">
        <v>6517</v>
      </c>
      <c r="B839" t="s">
        <v>6518</v>
      </c>
      <c r="C839" t="s">
        <v>6519</v>
      </c>
      <c r="D839" t="s">
        <v>461</v>
      </c>
      <c r="E839" t="s">
        <v>271</v>
      </c>
      <c r="F839" t="s">
        <v>336</v>
      </c>
    </row>
    <row r="840" spans="1:6" x14ac:dyDescent="0.25">
      <c r="A840" t="s">
        <v>6520</v>
      </c>
      <c r="B840" t="s">
        <v>6521</v>
      </c>
      <c r="C840" t="s">
        <v>4752</v>
      </c>
      <c r="D840" t="s">
        <v>2681</v>
      </c>
      <c r="E840" t="s">
        <v>271</v>
      </c>
      <c r="F840" t="s">
        <v>2680</v>
      </c>
    </row>
    <row r="841" spans="1:6" x14ac:dyDescent="0.25">
      <c r="A841" t="s">
        <v>6522</v>
      </c>
      <c r="B841" t="s">
        <v>6523</v>
      </c>
      <c r="C841" t="s">
        <v>6524</v>
      </c>
      <c r="D841" t="s">
        <v>0</v>
      </c>
      <c r="E841" t="s">
        <v>271</v>
      </c>
      <c r="F841" t="s">
        <v>431</v>
      </c>
    </row>
    <row r="842" spans="1:6" x14ac:dyDescent="0.25">
      <c r="A842" t="s">
        <v>6525</v>
      </c>
      <c r="B842" t="s">
        <v>6526</v>
      </c>
      <c r="C842" t="s">
        <v>6527</v>
      </c>
      <c r="D842" t="s">
        <v>500</v>
      </c>
      <c r="E842" t="s">
        <v>271</v>
      </c>
      <c r="F842" t="s">
        <v>501</v>
      </c>
    </row>
    <row r="843" spans="1:6" x14ac:dyDescent="0.25">
      <c r="A843" t="s">
        <v>6528</v>
      </c>
      <c r="B843" t="s">
        <v>6529</v>
      </c>
      <c r="C843" t="s">
        <v>6530</v>
      </c>
      <c r="D843" t="s">
        <v>361</v>
      </c>
      <c r="E843" t="s">
        <v>271</v>
      </c>
      <c r="F843" t="s">
        <v>1563</v>
      </c>
    </row>
    <row r="844" spans="1:6" x14ac:dyDescent="0.25">
      <c r="A844" t="s">
        <v>1465</v>
      </c>
      <c r="B844" t="s">
        <v>1466</v>
      </c>
      <c r="C844" t="s">
        <v>1469</v>
      </c>
      <c r="D844" t="s">
        <v>1468</v>
      </c>
      <c r="E844" t="s">
        <v>271</v>
      </c>
      <c r="F844" t="s">
        <v>1467</v>
      </c>
    </row>
    <row r="845" spans="1:6" x14ac:dyDescent="0.25">
      <c r="A845" t="s">
        <v>6531</v>
      </c>
      <c r="B845" t="s">
        <v>6532</v>
      </c>
      <c r="C845" t="s">
        <v>6533</v>
      </c>
      <c r="D845" t="s">
        <v>0</v>
      </c>
      <c r="E845" t="s">
        <v>271</v>
      </c>
      <c r="F845" t="s">
        <v>323</v>
      </c>
    </row>
    <row r="846" spans="1:6" x14ac:dyDescent="0.25">
      <c r="A846" t="s">
        <v>6534</v>
      </c>
      <c r="B846" t="s">
        <v>6535</v>
      </c>
      <c r="C846" t="s">
        <v>6536</v>
      </c>
      <c r="D846" t="s">
        <v>239</v>
      </c>
      <c r="E846" t="s">
        <v>271</v>
      </c>
      <c r="F846" t="s">
        <v>544</v>
      </c>
    </row>
    <row r="847" spans="1:6" x14ac:dyDescent="0.25">
      <c r="A847" t="s">
        <v>1196</v>
      </c>
      <c r="B847" t="s">
        <v>1197</v>
      </c>
      <c r="C847" t="s">
        <v>1200</v>
      </c>
      <c r="D847" t="s">
        <v>1199</v>
      </c>
      <c r="E847" t="s">
        <v>271</v>
      </c>
      <c r="F847" t="s">
        <v>1198</v>
      </c>
    </row>
    <row r="848" spans="1:6" x14ac:dyDescent="0.25">
      <c r="A848" t="s">
        <v>6537</v>
      </c>
      <c r="B848" t="s">
        <v>6538</v>
      </c>
      <c r="C848" t="s">
        <v>6539</v>
      </c>
      <c r="D848" t="s">
        <v>0</v>
      </c>
      <c r="E848" t="s">
        <v>271</v>
      </c>
      <c r="F848" t="s">
        <v>1148</v>
      </c>
    </row>
    <row r="849" spans="1:6" x14ac:dyDescent="0.25">
      <c r="A849" t="s">
        <v>6540</v>
      </c>
      <c r="B849" t="s">
        <v>6541</v>
      </c>
      <c r="C849" t="s">
        <v>6542</v>
      </c>
      <c r="D849" t="s">
        <v>793</v>
      </c>
      <c r="E849" t="s">
        <v>271</v>
      </c>
      <c r="F849" t="s">
        <v>860</v>
      </c>
    </row>
    <row r="850" spans="1:6" x14ac:dyDescent="0.25">
      <c r="A850" t="s">
        <v>6543</v>
      </c>
      <c r="B850" t="s">
        <v>6544</v>
      </c>
      <c r="C850" t="s">
        <v>6545</v>
      </c>
      <c r="D850" t="s">
        <v>498</v>
      </c>
      <c r="E850" t="s">
        <v>271</v>
      </c>
      <c r="F850" t="s">
        <v>926</v>
      </c>
    </row>
    <row r="851" spans="1:6" x14ac:dyDescent="0.25">
      <c r="A851" t="s">
        <v>2063</v>
      </c>
      <c r="B851" t="s">
        <v>2064</v>
      </c>
      <c r="C851" t="s">
        <v>2068</v>
      </c>
      <c r="D851" t="s">
        <v>2067</v>
      </c>
      <c r="E851" t="s">
        <v>271</v>
      </c>
      <c r="F851" t="s">
        <v>2066</v>
      </c>
    </row>
    <row r="852" spans="1:6" x14ac:dyDescent="0.25">
      <c r="A852" t="s">
        <v>6546</v>
      </c>
      <c r="B852" t="s">
        <v>6547</v>
      </c>
      <c r="C852" t="s">
        <v>6548</v>
      </c>
      <c r="D852" t="s">
        <v>3307</v>
      </c>
      <c r="E852" t="s">
        <v>271</v>
      </c>
      <c r="F852" t="s">
        <v>2768</v>
      </c>
    </row>
    <row r="853" spans="1:6" x14ac:dyDescent="0.25">
      <c r="A853" t="s">
        <v>6549</v>
      </c>
      <c r="B853" t="s">
        <v>6550</v>
      </c>
      <c r="C853" t="s">
        <v>6551</v>
      </c>
      <c r="D853" t="s">
        <v>0</v>
      </c>
      <c r="E853" t="s">
        <v>271</v>
      </c>
      <c r="F853" t="s">
        <v>332</v>
      </c>
    </row>
    <row r="854" spans="1:6" x14ac:dyDescent="0.25">
      <c r="A854" t="s">
        <v>6552</v>
      </c>
      <c r="B854" t="s">
        <v>6553</v>
      </c>
      <c r="C854" t="s">
        <v>6554</v>
      </c>
      <c r="D854" t="s">
        <v>1126</v>
      </c>
      <c r="E854" t="s">
        <v>271</v>
      </c>
      <c r="F854" t="s">
        <v>1125</v>
      </c>
    </row>
    <row r="855" spans="1:6" x14ac:dyDescent="0.25">
      <c r="A855" t="s">
        <v>6555</v>
      </c>
      <c r="B855" t="s">
        <v>6556</v>
      </c>
      <c r="C855" t="s">
        <v>6557</v>
      </c>
      <c r="D855" t="s">
        <v>0</v>
      </c>
      <c r="E855" t="s">
        <v>271</v>
      </c>
      <c r="F855" t="s">
        <v>325</v>
      </c>
    </row>
    <row r="856" spans="1:6" x14ac:dyDescent="0.25">
      <c r="A856" t="s">
        <v>6558</v>
      </c>
      <c r="B856" t="s">
        <v>443</v>
      </c>
      <c r="C856" t="s">
        <v>6559</v>
      </c>
      <c r="D856" t="s">
        <v>2589</v>
      </c>
      <c r="E856" t="s">
        <v>271</v>
      </c>
      <c r="F856" t="s">
        <v>2588</v>
      </c>
    </row>
    <row r="857" spans="1:6" x14ac:dyDescent="0.25">
      <c r="A857" t="s">
        <v>6560</v>
      </c>
      <c r="B857" t="s">
        <v>6561</v>
      </c>
      <c r="C857" t="s">
        <v>6562</v>
      </c>
      <c r="D857" t="s">
        <v>0</v>
      </c>
      <c r="E857" t="s">
        <v>271</v>
      </c>
      <c r="F857" t="s">
        <v>4387</v>
      </c>
    </row>
    <row r="858" spans="1:6" x14ac:dyDescent="0.25">
      <c r="A858" t="s">
        <v>2082</v>
      </c>
      <c r="B858" t="s">
        <v>2083</v>
      </c>
      <c r="C858" t="s">
        <v>2084</v>
      </c>
      <c r="D858" t="s">
        <v>1977</v>
      </c>
      <c r="E858" t="s">
        <v>271</v>
      </c>
      <c r="F858" t="s">
        <v>428</v>
      </c>
    </row>
    <row r="859" spans="1:6" x14ac:dyDescent="0.25">
      <c r="A859" t="s">
        <v>3755</v>
      </c>
      <c r="B859" t="s">
        <v>3756</v>
      </c>
      <c r="C859" t="s">
        <v>3757</v>
      </c>
      <c r="D859" t="s">
        <v>0</v>
      </c>
      <c r="E859" t="s">
        <v>271</v>
      </c>
      <c r="F859" t="s">
        <v>436</v>
      </c>
    </row>
    <row r="860" spans="1:6" x14ac:dyDescent="0.25">
      <c r="A860" t="s">
        <v>3467</v>
      </c>
      <c r="B860" t="s">
        <v>2402</v>
      </c>
      <c r="C860" t="s">
        <v>3468</v>
      </c>
      <c r="D860" t="s">
        <v>2404</v>
      </c>
      <c r="E860" t="s">
        <v>269</v>
      </c>
      <c r="F860" t="s">
        <v>2403</v>
      </c>
    </row>
    <row r="861" spans="1:6" x14ac:dyDescent="0.25">
      <c r="A861" t="s">
        <v>6563</v>
      </c>
      <c r="B861" t="s">
        <v>6564</v>
      </c>
      <c r="C861" t="s">
        <v>6565</v>
      </c>
      <c r="D861" t="s">
        <v>668</v>
      </c>
      <c r="E861" t="s">
        <v>271</v>
      </c>
      <c r="F861" t="s">
        <v>667</v>
      </c>
    </row>
    <row r="862" spans="1:6" x14ac:dyDescent="0.25">
      <c r="A862" t="s">
        <v>6566</v>
      </c>
      <c r="B862" t="s">
        <v>6567</v>
      </c>
      <c r="C862" t="s">
        <v>6568</v>
      </c>
      <c r="D862" t="s">
        <v>986</v>
      </c>
      <c r="E862" t="s">
        <v>271</v>
      </c>
      <c r="F862" t="s">
        <v>985</v>
      </c>
    </row>
    <row r="863" spans="1:6" x14ac:dyDescent="0.25">
      <c r="A863" t="s">
        <v>6569</v>
      </c>
      <c r="B863" t="s">
        <v>6570</v>
      </c>
      <c r="C863" t="s">
        <v>6571</v>
      </c>
      <c r="D863" t="s">
        <v>377</v>
      </c>
      <c r="E863" t="s">
        <v>269</v>
      </c>
      <c r="F863" t="s">
        <v>1786</v>
      </c>
    </row>
    <row r="864" spans="1:6" x14ac:dyDescent="0.25">
      <c r="A864" t="s">
        <v>6572</v>
      </c>
      <c r="B864" t="s">
        <v>6573</v>
      </c>
      <c r="C864" t="s">
        <v>6574</v>
      </c>
      <c r="D864" t="s">
        <v>450</v>
      </c>
      <c r="E864" t="s">
        <v>271</v>
      </c>
      <c r="F864" t="s">
        <v>326</v>
      </c>
    </row>
    <row r="865" spans="1:6" x14ac:dyDescent="0.25">
      <c r="A865" t="s">
        <v>6575</v>
      </c>
      <c r="B865" t="s">
        <v>6576</v>
      </c>
      <c r="C865" t="s">
        <v>6577</v>
      </c>
      <c r="D865" t="s">
        <v>1326</v>
      </c>
      <c r="E865" t="s">
        <v>271</v>
      </c>
      <c r="F865" t="s">
        <v>1325</v>
      </c>
    </row>
    <row r="866" spans="1:6" x14ac:dyDescent="0.25">
      <c r="A866" t="s">
        <v>6578</v>
      </c>
      <c r="B866" t="s">
        <v>6579</v>
      </c>
      <c r="C866" t="s">
        <v>6580</v>
      </c>
      <c r="D866" t="s">
        <v>0</v>
      </c>
      <c r="E866" t="s">
        <v>271</v>
      </c>
      <c r="F866" t="s">
        <v>2377</v>
      </c>
    </row>
    <row r="867" spans="1:6" x14ac:dyDescent="0.25">
      <c r="A867" t="s">
        <v>6581</v>
      </c>
      <c r="B867" t="s">
        <v>6582</v>
      </c>
      <c r="C867" t="s">
        <v>6583</v>
      </c>
      <c r="D867" t="s">
        <v>1326</v>
      </c>
      <c r="E867" t="s">
        <v>271</v>
      </c>
      <c r="F867" t="s">
        <v>1325</v>
      </c>
    </row>
    <row r="868" spans="1:6" x14ac:dyDescent="0.25">
      <c r="A868" t="s">
        <v>6584</v>
      </c>
      <c r="B868" t="s">
        <v>6585</v>
      </c>
      <c r="C868" t="s">
        <v>6586</v>
      </c>
      <c r="D868" t="s">
        <v>498</v>
      </c>
      <c r="E868" t="s">
        <v>271</v>
      </c>
      <c r="F868" t="s">
        <v>926</v>
      </c>
    </row>
    <row r="869" spans="1:6" x14ac:dyDescent="0.25">
      <c r="A869" t="s">
        <v>6587</v>
      </c>
      <c r="B869" t="s">
        <v>6588</v>
      </c>
      <c r="C869" t="s">
        <v>6589</v>
      </c>
      <c r="D869" t="s">
        <v>340</v>
      </c>
      <c r="E869" t="s">
        <v>271</v>
      </c>
      <c r="F869" t="s">
        <v>317</v>
      </c>
    </row>
    <row r="870" spans="1:6" x14ac:dyDescent="0.25">
      <c r="A870" t="s">
        <v>6590</v>
      </c>
      <c r="B870" t="s">
        <v>6591</v>
      </c>
      <c r="C870" t="s">
        <v>6592</v>
      </c>
      <c r="D870" t="s">
        <v>0</v>
      </c>
      <c r="E870" t="s">
        <v>271</v>
      </c>
      <c r="F870" t="s">
        <v>4421</v>
      </c>
    </row>
    <row r="871" spans="1:6" x14ac:dyDescent="0.25">
      <c r="A871" t="s">
        <v>2702</v>
      </c>
      <c r="B871" t="s">
        <v>2703</v>
      </c>
      <c r="C871" t="s">
        <v>2704</v>
      </c>
      <c r="D871" t="s">
        <v>718</v>
      </c>
      <c r="E871" t="s">
        <v>271</v>
      </c>
      <c r="F871" t="s">
        <v>333</v>
      </c>
    </row>
    <row r="872" spans="1:6" x14ac:dyDescent="0.25">
      <c r="A872" t="s">
        <v>1752</v>
      </c>
      <c r="B872" t="s">
        <v>1753</v>
      </c>
      <c r="C872" t="s">
        <v>1754</v>
      </c>
      <c r="D872" t="s">
        <v>0</v>
      </c>
      <c r="E872" t="s">
        <v>271</v>
      </c>
      <c r="F872" t="s">
        <v>562</v>
      </c>
    </row>
    <row r="873" spans="1:6" x14ac:dyDescent="0.25">
      <c r="A873" t="s">
        <v>6593</v>
      </c>
      <c r="B873" t="s">
        <v>5711</v>
      </c>
      <c r="C873" t="s">
        <v>6594</v>
      </c>
      <c r="D873" t="s">
        <v>0</v>
      </c>
      <c r="E873" t="s">
        <v>271</v>
      </c>
      <c r="F873" t="s">
        <v>2349</v>
      </c>
    </row>
    <row r="874" spans="1:6" x14ac:dyDescent="0.25">
      <c r="A874" t="s">
        <v>2398</v>
      </c>
      <c r="B874" t="s">
        <v>2399</v>
      </c>
      <c r="C874" t="s">
        <v>2400</v>
      </c>
      <c r="D874" t="s">
        <v>314</v>
      </c>
      <c r="E874" t="s">
        <v>271</v>
      </c>
      <c r="F874" t="s">
        <v>370</v>
      </c>
    </row>
    <row r="875" spans="1:6" x14ac:dyDescent="0.25">
      <c r="A875" t="s">
        <v>6595</v>
      </c>
      <c r="B875" t="s">
        <v>6596</v>
      </c>
      <c r="C875" t="s">
        <v>6597</v>
      </c>
      <c r="D875" t="s">
        <v>6598</v>
      </c>
      <c r="E875" t="s">
        <v>271</v>
      </c>
      <c r="F875" t="s">
        <v>4428</v>
      </c>
    </row>
    <row r="876" spans="1:6" x14ac:dyDescent="0.25">
      <c r="A876" t="s">
        <v>6599</v>
      </c>
      <c r="B876" t="s">
        <v>5563</v>
      </c>
      <c r="C876" t="s">
        <v>6600</v>
      </c>
      <c r="D876" t="s">
        <v>0</v>
      </c>
      <c r="E876" t="s">
        <v>271</v>
      </c>
      <c r="F876" t="s">
        <v>436</v>
      </c>
    </row>
    <row r="877" spans="1:6" x14ac:dyDescent="0.25">
      <c r="A877" t="s">
        <v>6601</v>
      </c>
      <c r="B877" t="s">
        <v>6602</v>
      </c>
      <c r="C877" t="s">
        <v>6603</v>
      </c>
      <c r="D877" t="s">
        <v>1165</v>
      </c>
      <c r="E877" t="s">
        <v>271</v>
      </c>
      <c r="F877" t="s">
        <v>1164</v>
      </c>
    </row>
    <row r="878" spans="1:6" x14ac:dyDescent="0.25">
      <c r="A878" t="s">
        <v>6604</v>
      </c>
      <c r="B878" t="s">
        <v>6605</v>
      </c>
      <c r="C878" t="s">
        <v>6606</v>
      </c>
      <c r="D878" t="s">
        <v>972</v>
      </c>
      <c r="E878" t="s">
        <v>269</v>
      </c>
      <c r="F878" t="s">
        <v>971</v>
      </c>
    </row>
    <row r="879" spans="1:6" x14ac:dyDescent="0.25">
      <c r="A879" t="s">
        <v>6607</v>
      </c>
      <c r="B879" t="s">
        <v>6608</v>
      </c>
      <c r="C879" t="s">
        <v>6609</v>
      </c>
      <c r="D879" t="s">
        <v>0</v>
      </c>
      <c r="E879" t="s">
        <v>271</v>
      </c>
      <c r="F879" t="s">
        <v>2349</v>
      </c>
    </row>
    <row r="880" spans="1:6" x14ac:dyDescent="0.25">
      <c r="A880" t="s">
        <v>6610</v>
      </c>
      <c r="B880" t="s">
        <v>6611</v>
      </c>
      <c r="C880" t="s">
        <v>6612</v>
      </c>
      <c r="D880" t="s">
        <v>410</v>
      </c>
      <c r="E880" t="s">
        <v>341</v>
      </c>
      <c r="F880" t="s">
        <v>419</v>
      </c>
    </row>
    <row r="881" spans="1:6" x14ac:dyDescent="0.25">
      <c r="A881" t="s">
        <v>6613</v>
      </c>
      <c r="B881" t="s">
        <v>4781</v>
      </c>
      <c r="C881" t="s">
        <v>6614</v>
      </c>
      <c r="D881" t="s">
        <v>2009</v>
      </c>
      <c r="E881" t="s">
        <v>271</v>
      </c>
      <c r="F881" t="s">
        <v>2008</v>
      </c>
    </row>
    <row r="882" spans="1:6" x14ac:dyDescent="0.25">
      <c r="A882" t="s">
        <v>3036</v>
      </c>
      <c r="B882" t="s">
        <v>3037</v>
      </c>
      <c r="C882" t="s">
        <v>3038</v>
      </c>
      <c r="D882" t="s">
        <v>461</v>
      </c>
      <c r="E882" t="s">
        <v>271</v>
      </c>
      <c r="F882" t="s">
        <v>336</v>
      </c>
    </row>
    <row r="883" spans="1:6" x14ac:dyDescent="0.25">
      <c r="A883" t="s">
        <v>6615</v>
      </c>
      <c r="B883" t="s">
        <v>6616</v>
      </c>
      <c r="C883" t="s">
        <v>6617</v>
      </c>
      <c r="D883" t="s">
        <v>0</v>
      </c>
      <c r="E883" t="s">
        <v>271</v>
      </c>
      <c r="F883" t="s">
        <v>704</v>
      </c>
    </row>
    <row r="884" spans="1:6" x14ac:dyDescent="0.25">
      <c r="A884" t="s">
        <v>6618</v>
      </c>
      <c r="B884" t="s">
        <v>6619</v>
      </c>
      <c r="C884" t="s">
        <v>6620</v>
      </c>
      <c r="D884" t="s">
        <v>1665</v>
      </c>
      <c r="E884" t="s">
        <v>271</v>
      </c>
      <c r="F884" t="s">
        <v>1664</v>
      </c>
    </row>
    <row r="885" spans="1:6" x14ac:dyDescent="0.25">
      <c r="A885" t="s">
        <v>6621</v>
      </c>
      <c r="B885" t="s">
        <v>6622</v>
      </c>
      <c r="C885" t="s">
        <v>6623</v>
      </c>
      <c r="D885" t="s">
        <v>1059</v>
      </c>
      <c r="E885" t="s">
        <v>271</v>
      </c>
      <c r="F885" t="s">
        <v>1058</v>
      </c>
    </row>
    <row r="886" spans="1:6" x14ac:dyDescent="0.25">
      <c r="A886" t="s">
        <v>6624</v>
      </c>
      <c r="B886" t="s">
        <v>6625</v>
      </c>
      <c r="C886" t="s">
        <v>6626</v>
      </c>
      <c r="D886" t="s">
        <v>506</v>
      </c>
      <c r="E886" t="s">
        <v>271</v>
      </c>
      <c r="F886" t="s">
        <v>507</v>
      </c>
    </row>
    <row r="887" spans="1:6" x14ac:dyDescent="0.25">
      <c r="A887" t="s">
        <v>6627</v>
      </c>
      <c r="B887" t="s">
        <v>6628</v>
      </c>
      <c r="C887" t="s">
        <v>6629</v>
      </c>
      <c r="D887" t="s">
        <v>519</v>
      </c>
      <c r="E887" t="s">
        <v>271</v>
      </c>
      <c r="F887" t="s">
        <v>324</v>
      </c>
    </row>
    <row r="888" spans="1:6" x14ac:dyDescent="0.25">
      <c r="A888" t="s">
        <v>6630</v>
      </c>
      <c r="B888" t="s">
        <v>6631</v>
      </c>
      <c r="C888" t="s">
        <v>6632</v>
      </c>
      <c r="D888" t="s">
        <v>2093</v>
      </c>
      <c r="E888" t="s">
        <v>271</v>
      </c>
      <c r="F888" t="s">
        <v>1058</v>
      </c>
    </row>
    <row r="889" spans="1:6" x14ac:dyDescent="0.25">
      <c r="A889" t="s">
        <v>6633</v>
      </c>
      <c r="B889" t="s">
        <v>6634</v>
      </c>
      <c r="C889" t="s">
        <v>6635</v>
      </c>
      <c r="D889" t="s">
        <v>461</v>
      </c>
      <c r="E889" t="s">
        <v>271</v>
      </c>
      <c r="F889" t="s">
        <v>336</v>
      </c>
    </row>
    <row r="890" spans="1:6" x14ac:dyDescent="0.25">
      <c r="A890" t="s">
        <v>6636</v>
      </c>
      <c r="B890" t="s">
        <v>6637</v>
      </c>
      <c r="C890" t="s">
        <v>6638</v>
      </c>
      <c r="D890" t="s">
        <v>0</v>
      </c>
      <c r="E890" t="s">
        <v>271</v>
      </c>
      <c r="F890" t="s">
        <v>562</v>
      </c>
    </row>
    <row r="891" spans="1:6" x14ac:dyDescent="0.25">
      <c r="A891" t="s">
        <v>6639</v>
      </c>
      <c r="B891" t="s">
        <v>6640</v>
      </c>
      <c r="C891" t="s">
        <v>6641</v>
      </c>
      <c r="D891" t="s">
        <v>0</v>
      </c>
      <c r="E891" t="s">
        <v>271</v>
      </c>
      <c r="F891" t="s">
        <v>562</v>
      </c>
    </row>
    <row r="892" spans="1:6" x14ac:dyDescent="0.25">
      <c r="A892" t="s">
        <v>6642</v>
      </c>
      <c r="B892" t="s">
        <v>6643</v>
      </c>
      <c r="C892" t="s">
        <v>6644</v>
      </c>
      <c r="D892" t="s">
        <v>718</v>
      </c>
      <c r="E892" t="s">
        <v>271</v>
      </c>
      <c r="F892" t="s">
        <v>333</v>
      </c>
    </row>
    <row r="893" spans="1:6" x14ac:dyDescent="0.25">
      <c r="A893" t="s">
        <v>6645</v>
      </c>
      <c r="B893" t="s">
        <v>6646</v>
      </c>
      <c r="C893" t="s">
        <v>6647</v>
      </c>
      <c r="D893" t="s">
        <v>0</v>
      </c>
      <c r="E893" t="s">
        <v>271</v>
      </c>
      <c r="F893" t="s">
        <v>575</v>
      </c>
    </row>
    <row r="894" spans="1:6" x14ac:dyDescent="0.25">
      <c r="A894" t="s">
        <v>6648</v>
      </c>
      <c r="B894" t="s">
        <v>6649</v>
      </c>
      <c r="C894" t="s">
        <v>6650</v>
      </c>
      <c r="D894" t="s">
        <v>510</v>
      </c>
      <c r="E894" t="s">
        <v>271</v>
      </c>
      <c r="F894" t="s">
        <v>852</v>
      </c>
    </row>
    <row r="895" spans="1:6" x14ac:dyDescent="0.25">
      <c r="A895" t="s">
        <v>6651</v>
      </c>
      <c r="B895" t="s">
        <v>6652</v>
      </c>
      <c r="C895" t="s">
        <v>6653</v>
      </c>
      <c r="D895" t="s">
        <v>312</v>
      </c>
      <c r="E895" t="s">
        <v>271</v>
      </c>
      <c r="F895" t="s">
        <v>311</v>
      </c>
    </row>
    <row r="896" spans="1:6" x14ac:dyDescent="0.25">
      <c r="A896" t="s">
        <v>6654</v>
      </c>
      <c r="B896" t="s">
        <v>6655</v>
      </c>
      <c r="C896" t="s">
        <v>6656</v>
      </c>
      <c r="D896" t="s">
        <v>239</v>
      </c>
      <c r="E896" t="s">
        <v>271</v>
      </c>
      <c r="F896" t="s">
        <v>544</v>
      </c>
    </row>
    <row r="897" spans="1:6" x14ac:dyDescent="0.25">
      <c r="A897" t="s">
        <v>6657</v>
      </c>
      <c r="B897" t="s">
        <v>555</v>
      </c>
      <c r="C897" t="s">
        <v>6658</v>
      </c>
      <c r="D897" t="s">
        <v>0</v>
      </c>
      <c r="E897" t="s">
        <v>271</v>
      </c>
      <c r="F897" t="s">
        <v>356</v>
      </c>
    </row>
    <row r="898" spans="1:6" x14ac:dyDescent="0.25">
      <c r="A898" t="s">
        <v>2113</v>
      </c>
      <c r="B898" t="s">
        <v>2114</v>
      </c>
      <c r="C898" t="s">
        <v>2117</v>
      </c>
      <c r="D898" t="s">
        <v>2116</v>
      </c>
      <c r="E898" t="s">
        <v>271</v>
      </c>
      <c r="F898" t="s">
        <v>2115</v>
      </c>
    </row>
    <row r="899" spans="1:6" x14ac:dyDescent="0.25">
      <c r="A899" t="s">
        <v>1385</v>
      </c>
      <c r="B899" t="s">
        <v>1386</v>
      </c>
      <c r="C899" t="s">
        <v>1387</v>
      </c>
      <c r="D899" t="s">
        <v>1032</v>
      </c>
      <c r="E899" t="s">
        <v>271</v>
      </c>
      <c r="F899" t="s">
        <v>1031</v>
      </c>
    </row>
    <row r="900" spans="1:6" x14ac:dyDescent="0.25">
      <c r="A900" t="s">
        <v>6659</v>
      </c>
      <c r="B900" t="s">
        <v>6660</v>
      </c>
      <c r="C900" t="s">
        <v>6661</v>
      </c>
      <c r="D900" t="s">
        <v>793</v>
      </c>
      <c r="E900" t="s">
        <v>271</v>
      </c>
      <c r="F900" t="s">
        <v>792</v>
      </c>
    </row>
    <row r="901" spans="1:6" x14ac:dyDescent="0.25">
      <c r="A901" t="s">
        <v>1620</v>
      </c>
      <c r="B901" t="s">
        <v>1621</v>
      </c>
      <c r="C901" t="s">
        <v>1624</v>
      </c>
      <c r="D901" t="s">
        <v>1623</v>
      </c>
      <c r="E901" t="s">
        <v>271</v>
      </c>
      <c r="F901" t="s">
        <v>1622</v>
      </c>
    </row>
    <row r="902" spans="1:6" x14ac:dyDescent="0.25">
      <c r="A902" t="s">
        <v>6662</v>
      </c>
      <c r="B902" t="s">
        <v>6663</v>
      </c>
      <c r="C902" t="s">
        <v>6664</v>
      </c>
      <c r="D902" t="s">
        <v>871</v>
      </c>
      <c r="E902" t="s">
        <v>271</v>
      </c>
      <c r="F902" t="s">
        <v>870</v>
      </c>
    </row>
    <row r="903" spans="1:6" x14ac:dyDescent="0.25">
      <c r="A903" t="s">
        <v>2248</v>
      </c>
      <c r="B903" t="s">
        <v>2249</v>
      </c>
      <c r="C903" t="s">
        <v>2251</v>
      </c>
      <c r="D903" t="s">
        <v>357</v>
      </c>
      <c r="E903" t="s">
        <v>271</v>
      </c>
      <c r="F903" t="s">
        <v>358</v>
      </c>
    </row>
    <row r="904" spans="1:6" x14ac:dyDescent="0.25">
      <c r="A904" t="s">
        <v>6665</v>
      </c>
      <c r="B904" t="s">
        <v>6666</v>
      </c>
      <c r="C904" t="s">
        <v>6667</v>
      </c>
      <c r="D904" t="s">
        <v>1648</v>
      </c>
      <c r="E904" t="s">
        <v>271</v>
      </c>
      <c r="F904" t="s">
        <v>1647</v>
      </c>
    </row>
    <row r="905" spans="1:6" x14ac:dyDescent="0.25">
      <c r="A905" t="s">
        <v>3267</v>
      </c>
      <c r="B905" t="s">
        <v>3268</v>
      </c>
      <c r="C905" t="s">
        <v>3269</v>
      </c>
      <c r="D905" t="s">
        <v>0</v>
      </c>
      <c r="E905" t="s">
        <v>271</v>
      </c>
      <c r="F905" t="s">
        <v>726</v>
      </c>
    </row>
    <row r="906" spans="1:6" x14ac:dyDescent="0.25">
      <c r="A906" t="s">
        <v>954</v>
      </c>
      <c r="B906" t="s">
        <v>955</v>
      </c>
      <c r="C906" t="s">
        <v>956</v>
      </c>
      <c r="D906" t="s">
        <v>0</v>
      </c>
      <c r="E906" t="s">
        <v>271</v>
      </c>
      <c r="F906" t="s">
        <v>688</v>
      </c>
    </row>
    <row r="907" spans="1:6" x14ac:dyDescent="0.25">
      <c r="A907" t="s">
        <v>6668</v>
      </c>
      <c r="B907" t="s">
        <v>6669</v>
      </c>
      <c r="C907" t="s">
        <v>6670</v>
      </c>
      <c r="D907" t="s">
        <v>0</v>
      </c>
      <c r="E907" t="s">
        <v>271</v>
      </c>
      <c r="F907" t="s">
        <v>3941</v>
      </c>
    </row>
    <row r="908" spans="1:6" x14ac:dyDescent="0.25">
      <c r="A908" t="s">
        <v>6671</v>
      </c>
      <c r="B908" t="s">
        <v>6672</v>
      </c>
      <c r="C908" t="s">
        <v>6673</v>
      </c>
      <c r="D908" t="s">
        <v>0</v>
      </c>
      <c r="E908" t="s">
        <v>271</v>
      </c>
      <c r="F908" t="s">
        <v>1141</v>
      </c>
    </row>
    <row r="909" spans="1:6" x14ac:dyDescent="0.25">
      <c r="A909" t="s">
        <v>6674</v>
      </c>
      <c r="B909" t="s">
        <v>6675</v>
      </c>
      <c r="C909" t="s">
        <v>6676</v>
      </c>
      <c r="D909" t="s">
        <v>986</v>
      </c>
      <c r="E909" t="s">
        <v>271</v>
      </c>
      <c r="F909" t="s">
        <v>3275</v>
      </c>
    </row>
    <row r="910" spans="1:6" x14ac:dyDescent="0.25">
      <c r="A910" t="s">
        <v>6677</v>
      </c>
      <c r="B910" t="s">
        <v>6678</v>
      </c>
      <c r="C910" t="s">
        <v>6679</v>
      </c>
      <c r="D910" t="s">
        <v>967</v>
      </c>
      <c r="E910" t="s">
        <v>271</v>
      </c>
      <c r="F910" t="s">
        <v>966</v>
      </c>
    </row>
    <row r="911" spans="1:6" x14ac:dyDescent="0.25">
      <c r="A911" t="s">
        <v>6680</v>
      </c>
      <c r="B911" t="s">
        <v>6681</v>
      </c>
      <c r="C911" t="s">
        <v>6682</v>
      </c>
      <c r="D911" t="s">
        <v>287</v>
      </c>
      <c r="E911" t="s">
        <v>271</v>
      </c>
      <c r="F911" t="s">
        <v>4403</v>
      </c>
    </row>
    <row r="912" spans="1:6" x14ac:dyDescent="0.25">
      <c r="A912" t="s">
        <v>6683</v>
      </c>
      <c r="B912" t="s">
        <v>6684</v>
      </c>
      <c r="C912" t="s">
        <v>6685</v>
      </c>
      <c r="D912" t="s">
        <v>450</v>
      </c>
      <c r="E912" t="s">
        <v>271</v>
      </c>
      <c r="F912" t="s">
        <v>2794</v>
      </c>
    </row>
    <row r="913" spans="1:6" x14ac:dyDescent="0.25">
      <c r="A913" t="s">
        <v>957</v>
      </c>
      <c r="B913" t="s">
        <v>958</v>
      </c>
      <c r="C913" t="s">
        <v>959</v>
      </c>
      <c r="D913" t="s">
        <v>0</v>
      </c>
      <c r="E913" t="s">
        <v>271</v>
      </c>
      <c r="F913" t="s">
        <v>726</v>
      </c>
    </row>
    <row r="914" spans="1:6" x14ac:dyDescent="0.25">
      <c r="A914" t="s">
        <v>6686</v>
      </c>
      <c r="B914" t="s">
        <v>6687</v>
      </c>
      <c r="C914" t="s">
        <v>6688</v>
      </c>
      <c r="D914" t="s">
        <v>6689</v>
      </c>
      <c r="E914" t="s">
        <v>269</v>
      </c>
      <c r="F914" t="s">
        <v>6690</v>
      </c>
    </row>
    <row r="915" spans="1:6" x14ac:dyDescent="0.25">
      <c r="A915" t="s">
        <v>6691</v>
      </c>
      <c r="B915" t="s">
        <v>6692</v>
      </c>
      <c r="C915" t="s">
        <v>6693</v>
      </c>
      <c r="D915" t="s">
        <v>1559</v>
      </c>
      <c r="E915" t="s">
        <v>271</v>
      </c>
      <c r="F915" t="s">
        <v>1558</v>
      </c>
    </row>
    <row r="916" spans="1:6" x14ac:dyDescent="0.25">
      <c r="A916" t="s">
        <v>6694</v>
      </c>
      <c r="B916" t="s">
        <v>6695</v>
      </c>
      <c r="C916" t="s">
        <v>6696</v>
      </c>
      <c r="D916" t="s">
        <v>446</v>
      </c>
      <c r="E916" t="s">
        <v>271</v>
      </c>
      <c r="F916" t="s">
        <v>447</v>
      </c>
    </row>
    <row r="917" spans="1:6" x14ac:dyDescent="0.25">
      <c r="A917" t="s">
        <v>6697</v>
      </c>
      <c r="B917" t="s">
        <v>6698</v>
      </c>
      <c r="C917" t="s">
        <v>6699</v>
      </c>
      <c r="D917" t="s">
        <v>239</v>
      </c>
      <c r="E917" t="s">
        <v>271</v>
      </c>
      <c r="F917" t="s">
        <v>544</v>
      </c>
    </row>
    <row r="918" spans="1:6" x14ac:dyDescent="0.25">
      <c r="A918" t="s">
        <v>6700</v>
      </c>
      <c r="B918" t="s">
        <v>6701</v>
      </c>
      <c r="C918" t="s">
        <v>6702</v>
      </c>
      <c r="D918" t="s">
        <v>492</v>
      </c>
      <c r="E918" t="s">
        <v>271</v>
      </c>
      <c r="F918" t="s">
        <v>1221</v>
      </c>
    </row>
    <row r="919" spans="1:6" x14ac:dyDescent="0.25">
      <c r="A919" t="s">
        <v>6703</v>
      </c>
      <c r="B919" t="s">
        <v>6704</v>
      </c>
      <c r="C919" t="s">
        <v>6705</v>
      </c>
      <c r="D919" t="s">
        <v>232</v>
      </c>
      <c r="E919" t="s">
        <v>271</v>
      </c>
      <c r="F919" t="s">
        <v>329</v>
      </c>
    </row>
    <row r="920" spans="1:6" x14ac:dyDescent="0.25">
      <c r="A920" t="s">
        <v>6706</v>
      </c>
      <c r="B920" t="s">
        <v>6707</v>
      </c>
      <c r="C920" t="s">
        <v>6708</v>
      </c>
      <c r="D920" t="s">
        <v>3831</v>
      </c>
      <c r="E920" t="s">
        <v>271</v>
      </c>
      <c r="F920" t="s">
        <v>3830</v>
      </c>
    </row>
    <row r="921" spans="1:6" x14ac:dyDescent="0.25">
      <c r="A921" t="s">
        <v>6709</v>
      </c>
      <c r="B921" t="s">
        <v>6710</v>
      </c>
      <c r="C921" t="s">
        <v>6711</v>
      </c>
      <c r="D921" t="s">
        <v>0</v>
      </c>
      <c r="E921" t="s">
        <v>271</v>
      </c>
      <c r="F921" t="s">
        <v>575</v>
      </c>
    </row>
    <row r="922" spans="1:6" x14ac:dyDescent="0.25">
      <c r="A922" t="s">
        <v>6712</v>
      </c>
      <c r="B922" t="s">
        <v>6713</v>
      </c>
      <c r="C922" t="s">
        <v>6714</v>
      </c>
      <c r="D922" t="s">
        <v>314</v>
      </c>
      <c r="E922" t="s">
        <v>271</v>
      </c>
      <c r="F922" t="s">
        <v>352</v>
      </c>
    </row>
    <row r="923" spans="1:6" x14ac:dyDescent="0.25">
      <c r="A923" t="s">
        <v>6715</v>
      </c>
      <c r="B923" t="s">
        <v>6716</v>
      </c>
      <c r="C923" t="s">
        <v>6717</v>
      </c>
      <c r="D923" t="s">
        <v>0</v>
      </c>
      <c r="E923" t="s">
        <v>271</v>
      </c>
      <c r="F923" t="s">
        <v>3740</v>
      </c>
    </row>
    <row r="924" spans="1:6" x14ac:dyDescent="0.25">
      <c r="A924" t="s">
        <v>6718</v>
      </c>
      <c r="B924" t="s">
        <v>6719</v>
      </c>
      <c r="C924" t="s">
        <v>6720</v>
      </c>
      <c r="D924" t="s">
        <v>239</v>
      </c>
      <c r="E924" t="s">
        <v>271</v>
      </c>
      <c r="F924" t="s">
        <v>544</v>
      </c>
    </row>
    <row r="925" spans="1:6" x14ac:dyDescent="0.25">
      <c r="A925" t="s">
        <v>2664</v>
      </c>
      <c r="B925" t="s">
        <v>2665</v>
      </c>
      <c r="C925" t="s">
        <v>2668</v>
      </c>
      <c r="D925" t="s">
        <v>2667</v>
      </c>
      <c r="E925" t="s">
        <v>271</v>
      </c>
      <c r="F925" t="s">
        <v>2666</v>
      </c>
    </row>
    <row r="926" spans="1:6" x14ac:dyDescent="0.25">
      <c r="A926" t="s">
        <v>6721</v>
      </c>
      <c r="B926" t="s">
        <v>6722</v>
      </c>
      <c r="C926" t="s">
        <v>6723</v>
      </c>
      <c r="D926" t="s">
        <v>1542</v>
      </c>
      <c r="E926" t="s">
        <v>269</v>
      </c>
      <c r="F926" t="s">
        <v>1541</v>
      </c>
    </row>
    <row r="927" spans="1:6" x14ac:dyDescent="0.25">
      <c r="A927" t="s">
        <v>6724</v>
      </c>
      <c r="B927" t="s">
        <v>6725</v>
      </c>
      <c r="C927" t="s">
        <v>6726</v>
      </c>
      <c r="D927" t="s">
        <v>1643</v>
      </c>
      <c r="E927" t="s">
        <v>271</v>
      </c>
      <c r="F927" t="s">
        <v>2028</v>
      </c>
    </row>
    <row r="928" spans="1:6" x14ac:dyDescent="0.25">
      <c r="A928" t="s">
        <v>994</v>
      </c>
      <c r="B928" t="s">
        <v>995</v>
      </c>
      <c r="C928" t="s">
        <v>998</v>
      </c>
      <c r="D928" t="s">
        <v>997</v>
      </c>
      <c r="E928" t="s">
        <v>271</v>
      </c>
      <c r="F928" t="s">
        <v>996</v>
      </c>
    </row>
    <row r="929" spans="1:6" x14ac:dyDescent="0.25">
      <c r="A929" t="s">
        <v>6727</v>
      </c>
      <c r="B929" t="s">
        <v>6728</v>
      </c>
      <c r="C929" t="s">
        <v>6729</v>
      </c>
      <c r="D929" t="s">
        <v>2116</v>
      </c>
      <c r="E929" t="s">
        <v>271</v>
      </c>
      <c r="F929" t="s">
        <v>2115</v>
      </c>
    </row>
    <row r="930" spans="1:6" x14ac:dyDescent="0.25">
      <c r="A930" t="s">
        <v>6730</v>
      </c>
      <c r="B930" t="s">
        <v>6731</v>
      </c>
      <c r="C930" t="s">
        <v>6732</v>
      </c>
      <c r="D930" t="s">
        <v>0</v>
      </c>
      <c r="E930" t="s">
        <v>271</v>
      </c>
      <c r="F930" t="s">
        <v>1321</v>
      </c>
    </row>
    <row r="931" spans="1:6" x14ac:dyDescent="0.25">
      <c r="A931" t="s">
        <v>3099</v>
      </c>
      <c r="B931" t="s">
        <v>3100</v>
      </c>
      <c r="C931" t="s">
        <v>3101</v>
      </c>
      <c r="D931" t="s">
        <v>295</v>
      </c>
      <c r="E931" t="s">
        <v>271</v>
      </c>
      <c r="F931" t="s">
        <v>1575</v>
      </c>
    </row>
    <row r="932" spans="1:6" x14ac:dyDescent="0.25">
      <c r="A932" t="s">
        <v>6733</v>
      </c>
      <c r="B932" t="s">
        <v>6734</v>
      </c>
      <c r="C932" t="s">
        <v>6735</v>
      </c>
      <c r="D932" t="s">
        <v>668</v>
      </c>
      <c r="E932" t="s">
        <v>271</v>
      </c>
      <c r="F932" t="s">
        <v>667</v>
      </c>
    </row>
    <row r="933" spans="1:6" x14ac:dyDescent="0.25">
      <c r="A933" t="s">
        <v>6736</v>
      </c>
      <c r="B933" t="s">
        <v>6737</v>
      </c>
      <c r="C933" t="s">
        <v>6738</v>
      </c>
      <c r="D933" t="s">
        <v>0</v>
      </c>
      <c r="E933" t="s">
        <v>271</v>
      </c>
      <c r="F933" t="s">
        <v>319</v>
      </c>
    </row>
    <row r="934" spans="1:6" x14ac:dyDescent="0.25">
      <c r="A934" t="s">
        <v>6739</v>
      </c>
      <c r="B934" t="s">
        <v>6740</v>
      </c>
      <c r="C934" t="s">
        <v>6741</v>
      </c>
      <c r="D934" t="s">
        <v>0</v>
      </c>
      <c r="E934" t="s">
        <v>271</v>
      </c>
      <c r="F934" t="s">
        <v>1534</v>
      </c>
    </row>
    <row r="935" spans="1:6" x14ac:dyDescent="0.25">
      <c r="A935" t="s">
        <v>6742</v>
      </c>
      <c r="B935" t="s">
        <v>6743</v>
      </c>
      <c r="C935" t="s">
        <v>6744</v>
      </c>
      <c r="D935" t="s">
        <v>6745</v>
      </c>
      <c r="E935" t="s">
        <v>271</v>
      </c>
      <c r="F935" t="s">
        <v>6746</v>
      </c>
    </row>
    <row r="936" spans="1:6" x14ac:dyDescent="0.25">
      <c r="A936" t="s">
        <v>1262</v>
      </c>
      <c r="B936" t="s">
        <v>1263</v>
      </c>
      <c r="C936" t="s">
        <v>1264</v>
      </c>
      <c r="D936" t="s">
        <v>0</v>
      </c>
      <c r="E936" t="s">
        <v>271</v>
      </c>
      <c r="F936" t="s">
        <v>881</v>
      </c>
    </row>
    <row r="937" spans="1:6" x14ac:dyDescent="0.25">
      <c r="A937" t="s">
        <v>6747</v>
      </c>
      <c r="B937" t="s">
        <v>6748</v>
      </c>
      <c r="C937" t="s">
        <v>6749</v>
      </c>
      <c r="D937" t="s">
        <v>6750</v>
      </c>
      <c r="E937" t="s">
        <v>271</v>
      </c>
      <c r="F937" t="s">
        <v>6751</v>
      </c>
    </row>
    <row r="938" spans="1:6" x14ac:dyDescent="0.25">
      <c r="A938" t="s">
        <v>6752</v>
      </c>
      <c r="B938" t="s">
        <v>6753</v>
      </c>
      <c r="C938" t="s">
        <v>6754</v>
      </c>
      <c r="D938" t="s">
        <v>4106</v>
      </c>
      <c r="E938" t="s">
        <v>269</v>
      </c>
      <c r="F938" t="s">
        <v>4105</v>
      </c>
    </row>
    <row r="939" spans="1:6" x14ac:dyDescent="0.25">
      <c r="A939" t="s">
        <v>6755</v>
      </c>
      <c r="B939" t="s">
        <v>6756</v>
      </c>
      <c r="C939" t="s">
        <v>6757</v>
      </c>
      <c r="D939" t="s">
        <v>308</v>
      </c>
      <c r="E939" t="s">
        <v>271</v>
      </c>
      <c r="F939" t="s">
        <v>307</v>
      </c>
    </row>
    <row r="940" spans="1:6" x14ac:dyDescent="0.25">
      <c r="A940" t="s">
        <v>6758</v>
      </c>
      <c r="B940" t="s">
        <v>6759</v>
      </c>
      <c r="C940" t="s">
        <v>6760</v>
      </c>
      <c r="D940" t="s">
        <v>0</v>
      </c>
      <c r="E940" t="s">
        <v>271</v>
      </c>
      <c r="F940" t="s">
        <v>1534</v>
      </c>
    </row>
    <row r="941" spans="1:6" x14ac:dyDescent="0.25">
      <c r="A941" t="s">
        <v>6761</v>
      </c>
      <c r="B941" t="s">
        <v>6762</v>
      </c>
      <c r="C941" t="s">
        <v>6763</v>
      </c>
      <c r="D941" t="s">
        <v>584</v>
      </c>
      <c r="E941" t="s">
        <v>271</v>
      </c>
      <c r="F941" t="s">
        <v>585</v>
      </c>
    </row>
    <row r="942" spans="1:6" x14ac:dyDescent="0.25">
      <c r="A942" t="s">
        <v>6764</v>
      </c>
      <c r="B942" t="s">
        <v>6765</v>
      </c>
      <c r="C942" t="s">
        <v>6766</v>
      </c>
      <c r="D942" t="s">
        <v>2009</v>
      </c>
      <c r="E942" t="s">
        <v>271</v>
      </c>
      <c r="F942" t="s">
        <v>2008</v>
      </c>
    </row>
    <row r="943" spans="1:6" x14ac:dyDescent="0.25">
      <c r="A943" t="s">
        <v>6767</v>
      </c>
      <c r="B943" t="s">
        <v>6768</v>
      </c>
      <c r="C943" t="s">
        <v>6769</v>
      </c>
      <c r="D943" t="s">
        <v>0</v>
      </c>
      <c r="E943" t="s">
        <v>271</v>
      </c>
      <c r="F943" t="s">
        <v>658</v>
      </c>
    </row>
    <row r="944" spans="1:6" x14ac:dyDescent="0.25">
      <c r="A944" t="s">
        <v>6770</v>
      </c>
      <c r="B944" t="s">
        <v>6771</v>
      </c>
      <c r="C944" t="s">
        <v>6772</v>
      </c>
      <c r="D944" t="s">
        <v>223</v>
      </c>
      <c r="E944" t="s">
        <v>271</v>
      </c>
      <c r="F944" t="s">
        <v>478</v>
      </c>
    </row>
    <row r="945" spans="1:6" x14ac:dyDescent="0.25">
      <c r="A945" t="s">
        <v>6773</v>
      </c>
      <c r="B945" t="s">
        <v>6774</v>
      </c>
      <c r="C945" t="s">
        <v>6775</v>
      </c>
      <c r="D945" t="s">
        <v>308</v>
      </c>
      <c r="E945" t="s">
        <v>271</v>
      </c>
      <c r="F945" t="s">
        <v>307</v>
      </c>
    </row>
    <row r="946" spans="1:6" x14ac:dyDescent="0.25">
      <c r="A946" t="s">
        <v>6776</v>
      </c>
      <c r="B946" t="s">
        <v>6777</v>
      </c>
      <c r="C946" t="s">
        <v>6778</v>
      </c>
      <c r="D946" t="s">
        <v>0</v>
      </c>
      <c r="E946" t="s">
        <v>271</v>
      </c>
      <c r="F946" t="s">
        <v>895</v>
      </c>
    </row>
    <row r="947" spans="1:6" x14ac:dyDescent="0.25">
      <c r="A947" t="s">
        <v>6779</v>
      </c>
      <c r="B947" t="s">
        <v>6780</v>
      </c>
      <c r="C947" t="s">
        <v>6781</v>
      </c>
      <c r="D947" t="s">
        <v>5641</v>
      </c>
      <c r="E947" t="s">
        <v>271</v>
      </c>
      <c r="F947" t="s">
        <v>1567</v>
      </c>
    </row>
    <row r="948" spans="1:6" x14ac:dyDescent="0.25">
      <c r="A948" t="s">
        <v>1487</v>
      </c>
      <c r="B948" t="s">
        <v>1488</v>
      </c>
      <c r="C948" t="s">
        <v>1491</v>
      </c>
      <c r="D948" t="s">
        <v>1490</v>
      </c>
      <c r="E948" t="s">
        <v>271</v>
      </c>
      <c r="F948" t="s">
        <v>816</v>
      </c>
    </row>
    <row r="949" spans="1:6" x14ac:dyDescent="0.25">
      <c r="A949" t="s">
        <v>1544</v>
      </c>
      <c r="B949" t="s">
        <v>1545</v>
      </c>
      <c r="C949" t="s">
        <v>1549</v>
      </c>
      <c r="D949" t="s">
        <v>1548</v>
      </c>
      <c r="E949" t="s">
        <v>271</v>
      </c>
      <c r="F949" t="s">
        <v>1547</v>
      </c>
    </row>
    <row r="950" spans="1:6" x14ac:dyDescent="0.25">
      <c r="A950" t="s">
        <v>6782</v>
      </c>
      <c r="B950" t="s">
        <v>6783</v>
      </c>
      <c r="C950" t="s">
        <v>6784</v>
      </c>
      <c r="D950" t="s">
        <v>2681</v>
      </c>
      <c r="E950" t="s">
        <v>271</v>
      </c>
      <c r="F950" t="s">
        <v>2680</v>
      </c>
    </row>
    <row r="951" spans="1:6" x14ac:dyDescent="0.25">
      <c r="A951" t="s">
        <v>6785</v>
      </c>
      <c r="B951" t="s">
        <v>6786</v>
      </c>
      <c r="C951" t="s">
        <v>6787</v>
      </c>
      <c r="D951" t="s">
        <v>0</v>
      </c>
      <c r="E951" t="s">
        <v>271</v>
      </c>
      <c r="F951" t="s">
        <v>325</v>
      </c>
    </row>
    <row r="952" spans="1:6" x14ac:dyDescent="0.25">
      <c r="A952" t="s">
        <v>6788</v>
      </c>
      <c r="B952" t="s">
        <v>6789</v>
      </c>
      <c r="C952" t="s">
        <v>6790</v>
      </c>
      <c r="D952" t="s">
        <v>1915</v>
      </c>
      <c r="E952" t="s">
        <v>269</v>
      </c>
      <c r="F952" t="s">
        <v>1914</v>
      </c>
    </row>
    <row r="953" spans="1:6" x14ac:dyDescent="0.25">
      <c r="A953" t="s">
        <v>6791</v>
      </c>
      <c r="B953" t="s">
        <v>6792</v>
      </c>
      <c r="C953" t="s">
        <v>4879</v>
      </c>
      <c r="D953" t="s">
        <v>0</v>
      </c>
      <c r="E953" t="s">
        <v>271</v>
      </c>
      <c r="F953" t="s">
        <v>809</v>
      </c>
    </row>
    <row r="954" spans="1:6" x14ac:dyDescent="0.25">
      <c r="A954" t="s">
        <v>6793</v>
      </c>
      <c r="B954" t="s">
        <v>215</v>
      </c>
      <c r="C954" t="s">
        <v>6794</v>
      </c>
      <c r="D954" t="s">
        <v>6001</v>
      </c>
      <c r="E954" t="s">
        <v>271</v>
      </c>
      <c r="F954" t="s">
        <v>4429</v>
      </c>
    </row>
    <row r="955" spans="1:6" x14ac:dyDescent="0.25">
      <c r="A955" t="s">
        <v>6795</v>
      </c>
      <c r="B955" t="s">
        <v>6796</v>
      </c>
      <c r="C955" t="s">
        <v>6797</v>
      </c>
      <c r="D955" t="s">
        <v>540</v>
      </c>
      <c r="E955" t="s">
        <v>271</v>
      </c>
      <c r="F955" t="s">
        <v>339</v>
      </c>
    </row>
    <row r="956" spans="1:6" x14ac:dyDescent="0.25">
      <c r="A956" t="s">
        <v>6798</v>
      </c>
      <c r="B956" t="s">
        <v>6799</v>
      </c>
      <c r="C956" t="s">
        <v>6800</v>
      </c>
      <c r="D956" t="s">
        <v>0</v>
      </c>
      <c r="E956" t="s">
        <v>271</v>
      </c>
      <c r="F956" t="s">
        <v>562</v>
      </c>
    </row>
    <row r="957" spans="1:6" x14ac:dyDescent="0.25">
      <c r="A957" t="s">
        <v>6801</v>
      </c>
      <c r="B957" t="s">
        <v>6802</v>
      </c>
      <c r="C957" t="s">
        <v>6803</v>
      </c>
      <c r="D957" t="s">
        <v>0</v>
      </c>
      <c r="E957" t="s">
        <v>271</v>
      </c>
      <c r="F957" t="s">
        <v>319</v>
      </c>
    </row>
    <row r="958" spans="1:6" x14ac:dyDescent="0.25">
      <c r="A958" t="s">
        <v>6804</v>
      </c>
      <c r="B958" t="s">
        <v>6805</v>
      </c>
      <c r="C958" t="s">
        <v>6806</v>
      </c>
      <c r="D958" t="s">
        <v>6807</v>
      </c>
      <c r="E958" t="s">
        <v>271</v>
      </c>
      <c r="F958" t="s">
        <v>4418</v>
      </c>
    </row>
    <row r="959" spans="1:6" x14ac:dyDescent="0.25">
      <c r="A959" t="s">
        <v>2341</v>
      </c>
      <c r="B959" t="s">
        <v>2342</v>
      </c>
      <c r="C959" t="s">
        <v>2343</v>
      </c>
      <c r="D959" t="s">
        <v>492</v>
      </c>
      <c r="E959" t="s">
        <v>271</v>
      </c>
      <c r="F959" t="s">
        <v>493</v>
      </c>
    </row>
    <row r="960" spans="1:6" x14ac:dyDescent="0.25">
      <c r="A960" t="s">
        <v>3299</v>
      </c>
      <c r="B960" t="s">
        <v>3300</v>
      </c>
      <c r="C960" t="s">
        <v>3301</v>
      </c>
      <c r="D960" t="s">
        <v>1064</v>
      </c>
      <c r="E960" t="s">
        <v>269</v>
      </c>
      <c r="F960" t="s">
        <v>1063</v>
      </c>
    </row>
    <row r="961" spans="1:6" x14ac:dyDescent="0.25">
      <c r="A961" t="s">
        <v>1212</v>
      </c>
      <c r="B961" t="s">
        <v>1213</v>
      </c>
      <c r="C961" t="s">
        <v>1215</v>
      </c>
      <c r="D961" t="s">
        <v>0</v>
      </c>
      <c r="E961" t="s">
        <v>271</v>
      </c>
      <c r="F961" t="s">
        <v>1214</v>
      </c>
    </row>
    <row r="962" spans="1:6" x14ac:dyDescent="0.25">
      <c r="A962" t="s">
        <v>6808</v>
      </c>
      <c r="B962" t="s">
        <v>6809</v>
      </c>
      <c r="C962" t="s">
        <v>6810</v>
      </c>
      <c r="D962" t="s">
        <v>1973</v>
      </c>
      <c r="E962" t="s">
        <v>271</v>
      </c>
      <c r="F962" t="s">
        <v>1972</v>
      </c>
    </row>
    <row r="963" spans="1:6" x14ac:dyDescent="0.25">
      <c r="A963" t="s">
        <v>6811</v>
      </c>
      <c r="B963" t="s">
        <v>6812</v>
      </c>
      <c r="C963" t="s">
        <v>4204</v>
      </c>
      <c r="D963" t="s">
        <v>0</v>
      </c>
      <c r="E963" t="s">
        <v>271</v>
      </c>
      <c r="F963" t="s">
        <v>688</v>
      </c>
    </row>
    <row r="964" spans="1:6" x14ac:dyDescent="0.25">
      <c r="A964" t="s">
        <v>6813</v>
      </c>
      <c r="B964" t="s">
        <v>6814</v>
      </c>
      <c r="C964" t="s">
        <v>6815</v>
      </c>
      <c r="D964" t="s">
        <v>314</v>
      </c>
      <c r="E964" t="s">
        <v>271</v>
      </c>
      <c r="F964" t="s">
        <v>352</v>
      </c>
    </row>
    <row r="965" spans="1:6" x14ac:dyDescent="0.25">
      <c r="A965" t="s">
        <v>6816</v>
      </c>
      <c r="B965" t="s">
        <v>6817</v>
      </c>
      <c r="C965" t="s">
        <v>6818</v>
      </c>
      <c r="D965" t="s">
        <v>272</v>
      </c>
      <c r="E965" t="s">
        <v>269</v>
      </c>
      <c r="F965" t="s">
        <v>907</v>
      </c>
    </row>
    <row r="966" spans="1:6" x14ac:dyDescent="0.25">
      <c r="A966" t="s">
        <v>6819</v>
      </c>
      <c r="B966" t="s">
        <v>6820</v>
      </c>
      <c r="C966" t="s">
        <v>6821</v>
      </c>
      <c r="D966" t="s">
        <v>314</v>
      </c>
      <c r="E966" t="s">
        <v>271</v>
      </c>
      <c r="F966" t="s">
        <v>370</v>
      </c>
    </row>
    <row r="967" spans="1:6" x14ac:dyDescent="0.25">
      <c r="A967" t="s">
        <v>2098</v>
      </c>
      <c r="B967" t="s">
        <v>2099</v>
      </c>
      <c r="C967" t="s">
        <v>2100</v>
      </c>
      <c r="D967" t="s">
        <v>272</v>
      </c>
      <c r="E967" t="s">
        <v>269</v>
      </c>
      <c r="F967" t="s">
        <v>907</v>
      </c>
    </row>
    <row r="968" spans="1:6" x14ac:dyDescent="0.25">
      <c r="A968" t="s">
        <v>6822</v>
      </c>
      <c r="B968" t="s">
        <v>6823</v>
      </c>
      <c r="C968" t="s">
        <v>6824</v>
      </c>
      <c r="D968" t="s">
        <v>450</v>
      </c>
      <c r="E968" t="s">
        <v>271</v>
      </c>
      <c r="F968" t="s">
        <v>326</v>
      </c>
    </row>
    <row r="969" spans="1:6" x14ac:dyDescent="0.25">
      <c r="A969" t="s">
        <v>6825</v>
      </c>
      <c r="B969" t="s">
        <v>6826</v>
      </c>
      <c r="C969" t="s">
        <v>6827</v>
      </c>
      <c r="D969" t="s">
        <v>0</v>
      </c>
      <c r="E969" t="s">
        <v>271</v>
      </c>
      <c r="F969" t="s">
        <v>1214</v>
      </c>
    </row>
    <row r="970" spans="1:6" x14ac:dyDescent="0.25">
      <c r="A970" t="s">
        <v>6828</v>
      </c>
      <c r="B970" t="s">
        <v>6829</v>
      </c>
      <c r="C970" t="s">
        <v>6830</v>
      </c>
      <c r="D970" t="s">
        <v>6831</v>
      </c>
      <c r="E970" t="s">
        <v>271</v>
      </c>
      <c r="F970" t="s">
        <v>4407</v>
      </c>
    </row>
    <row r="971" spans="1:6" x14ac:dyDescent="0.25">
      <c r="A971" t="s">
        <v>2228</v>
      </c>
      <c r="B971" t="s">
        <v>2229</v>
      </c>
      <c r="C971" t="s">
        <v>2230</v>
      </c>
      <c r="D971" t="s">
        <v>845</v>
      </c>
      <c r="E971" t="s">
        <v>271</v>
      </c>
      <c r="F971" t="s">
        <v>844</v>
      </c>
    </row>
    <row r="972" spans="1:6" x14ac:dyDescent="0.25">
      <c r="A972" t="s">
        <v>6832</v>
      </c>
      <c r="B972" t="s">
        <v>6833</v>
      </c>
      <c r="C972" t="s">
        <v>6834</v>
      </c>
      <c r="D972" t="s">
        <v>0</v>
      </c>
      <c r="E972" t="s">
        <v>271</v>
      </c>
      <c r="F972" t="s">
        <v>1180</v>
      </c>
    </row>
    <row r="973" spans="1:6" x14ac:dyDescent="0.25">
      <c r="A973" t="s">
        <v>6835</v>
      </c>
      <c r="B973" t="s">
        <v>6836</v>
      </c>
      <c r="C973" t="s">
        <v>6837</v>
      </c>
      <c r="D973" t="s">
        <v>492</v>
      </c>
      <c r="E973" t="s">
        <v>271</v>
      </c>
      <c r="F973" t="s">
        <v>493</v>
      </c>
    </row>
    <row r="974" spans="1:6" x14ac:dyDescent="0.25">
      <c r="A974" t="s">
        <v>6838</v>
      </c>
      <c r="B974" t="s">
        <v>6839</v>
      </c>
      <c r="C974" t="s">
        <v>6840</v>
      </c>
      <c r="D974" t="s">
        <v>0</v>
      </c>
      <c r="E974" t="s">
        <v>271</v>
      </c>
      <c r="F974" t="s">
        <v>325</v>
      </c>
    </row>
    <row r="975" spans="1:6" x14ac:dyDescent="0.25">
      <c r="A975" t="s">
        <v>1157</v>
      </c>
      <c r="B975" t="s">
        <v>1158</v>
      </c>
      <c r="C975" t="s">
        <v>1161</v>
      </c>
      <c r="D975" t="s">
        <v>461</v>
      </c>
      <c r="E975" t="s">
        <v>271</v>
      </c>
      <c r="F975" t="s">
        <v>336</v>
      </c>
    </row>
    <row r="976" spans="1:6" x14ac:dyDescent="0.25">
      <c r="A976" t="s">
        <v>6841</v>
      </c>
      <c r="B976" t="s">
        <v>6842</v>
      </c>
      <c r="C976" t="s">
        <v>6843</v>
      </c>
      <c r="D976" t="s">
        <v>1433</v>
      </c>
      <c r="E976" t="s">
        <v>271</v>
      </c>
      <c r="F976" t="s">
        <v>1432</v>
      </c>
    </row>
    <row r="977" spans="1:6" x14ac:dyDescent="0.25">
      <c r="A977" t="s">
        <v>3516</v>
      </c>
      <c r="B977" t="s">
        <v>3517</v>
      </c>
      <c r="C977" t="s">
        <v>3518</v>
      </c>
      <c r="D977" t="s">
        <v>340</v>
      </c>
      <c r="E977" t="s">
        <v>271</v>
      </c>
      <c r="F977" t="s">
        <v>317</v>
      </c>
    </row>
    <row r="978" spans="1:6" x14ac:dyDescent="0.25">
      <c r="A978" t="s">
        <v>6844</v>
      </c>
      <c r="B978" t="s">
        <v>6845</v>
      </c>
      <c r="C978" t="s">
        <v>6846</v>
      </c>
      <c r="D978" t="s">
        <v>986</v>
      </c>
      <c r="E978" t="s">
        <v>271</v>
      </c>
      <c r="F978" t="s">
        <v>985</v>
      </c>
    </row>
    <row r="979" spans="1:6" x14ac:dyDescent="0.25">
      <c r="A979" t="s">
        <v>6847</v>
      </c>
      <c r="B979" t="s">
        <v>6848</v>
      </c>
      <c r="C979" t="s">
        <v>6849</v>
      </c>
      <c r="D979" t="s">
        <v>0</v>
      </c>
      <c r="E979" t="s">
        <v>271</v>
      </c>
      <c r="F979" t="s">
        <v>688</v>
      </c>
    </row>
    <row r="980" spans="1:6" x14ac:dyDescent="0.25">
      <c r="A980" t="s">
        <v>1536</v>
      </c>
      <c r="B980" t="s">
        <v>1537</v>
      </c>
      <c r="C980" t="s">
        <v>1538</v>
      </c>
      <c r="D980" t="s">
        <v>0</v>
      </c>
      <c r="E980" t="s">
        <v>271</v>
      </c>
      <c r="F980" t="s">
        <v>1148</v>
      </c>
    </row>
    <row r="981" spans="1:6" x14ac:dyDescent="0.25">
      <c r="A981" t="s">
        <v>6850</v>
      </c>
      <c r="B981" t="s">
        <v>6851</v>
      </c>
      <c r="C981" t="s">
        <v>6852</v>
      </c>
      <c r="D981" t="s">
        <v>0</v>
      </c>
      <c r="E981" t="s">
        <v>271</v>
      </c>
      <c r="F981" t="s">
        <v>658</v>
      </c>
    </row>
    <row r="982" spans="1:6" x14ac:dyDescent="0.25">
      <c r="A982" t="s">
        <v>6853</v>
      </c>
      <c r="B982" t="s">
        <v>6854</v>
      </c>
      <c r="C982" t="s">
        <v>6855</v>
      </c>
      <c r="D982" t="s">
        <v>446</v>
      </c>
      <c r="E982" t="s">
        <v>271</v>
      </c>
      <c r="F982" t="s">
        <v>447</v>
      </c>
    </row>
    <row r="983" spans="1:6" x14ac:dyDescent="0.25">
      <c r="A983" t="s">
        <v>6856</v>
      </c>
      <c r="B983" t="s">
        <v>6857</v>
      </c>
      <c r="C983" t="s">
        <v>6858</v>
      </c>
      <c r="D983" t="s">
        <v>0</v>
      </c>
      <c r="E983" t="s">
        <v>271</v>
      </c>
      <c r="F983" t="s">
        <v>1591</v>
      </c>
    </row>
    <row r="984" spans="1:6" x14ac:dyDescent="0.25">
      <c r="A984" t="s">
        <v>6859</v>
      </c>
      <c r="B984" t="s">
        <v>6860</v>
      </c>
      <c r="C984" t="s">
        <v>6861</v>
      </c>
      <c r="D984" t="s">
        <v>6862</v>
      </c>
      <c r="E984" t="s">
        <v>271</v>
      </c>
      <c r="F984" t="s">
        <v>4386</v>
      </c>
    </row>
    <row r="985" spans="1:6" x14ac:dyDescent="0.25">
      <c r="A985" t="s">
        <v>6863</v>
      </c>
      <c r="B985" t="s">
        <v>6864</v>
      </c>
      <c r="C985" t="s">
        <v>6865</v>
      </c>
      <c r="D985" t="s">
        <v>519</v>
      </c>
      <c r="E985" t="s">
        <v>271</v>
      </c>
      <c r="F985" t="s">
        <v>324</v>
      </c>
    </row>
    <row r="986" spans="1:6" x14ac:dyDescent="0.25">
      <c r="A986" t="s">
        <v>6866</v>
      </c>
      <c r="B986" t="s">
        <v>6867</v>
      </c>
      <c r="C986" t="s">
        <v>6868</v>
      </c>
      <c r="D986" t="s">
        <v>793</v>
      </c>
      <c r="E986" t="s">
        <v>271</v>
      </c>
      <c r="F986" t="s">
        <v>792</v>
      </c>
    </row>
    <row r="987" spans="1:6" x14ac:dyDescent="0.25">
      <c r="A987" t="s">
        <v>6869</v>
      </c>
      <c r="B987" t="s">
        <v>6870</v>
      </c>
      <c r="C987" t="s">
        <v>6871</v>
      </c>
      <c r="D987" t="s">
        <v>566</v>
      </c>
      <c r="E987" t="s">
        <v>271</v>
      </c>
      <c r="F987" t="s">
        <v>567</v>
      </c>
    </row>
    <row r="988" spans="1:6" x14ac:dyDescent="0.25">
      <c r="A988" t="s">
        <v>6872</v>
      </c>
      <c r="B988" t="s">
        <v>6873</v>
      </c>
      <c r="C988" t="s">
        <v>6874</v>
      </c>
      <c r="D988" t="s">
        <v>1559</v>
      </c>
      <c r="E988" t="s">
        <v>271</v>
      </c>
      <c r="F988" t="s">
        <v>1558</v>
      </c>
    </row>
    <row r="989" spans="1:6" x14ac:dyDescent="0.25">
      <c r="A989" t="s">
        <v>3383</v>
      </c>
      <c r="B989" t="s">
        <v>3384</v>
      </c>
      <c r="C989" t="s">
        <v>3385</v>
      </c>
      <c r="D989" t="s">
        <v>540</v>
      </c>
      <c r="E989" t="s">
        <v>271</v>
      </c>
      <c r="F989" t="s">
        <v>339</v>
      </c>
    </row>
    <row r="990" spans="1:6" x14ac:dyDescent="0.25">
      <c r="A990" t="s">
        <v>6875</v>
      </c>
      <c r="B990" t="s">
        <v>618</v>
      </c>
      <c r="C990" t="s">
        <v>6876</v>
      </c>
      <c r="D990" t="s">
        <v>572</v>
      </c>
      <c r="E990" t="s">
        <v>271</v>
      </c>
      <c r="F990" t="s">
        <v>335</v>
      </c>
    </row>
    <row r="991" spans="1:6" x14ac:dyDescent="0.25">
      <c r="A991" t="s">
        <v>2755</v>
      </c>
      <c r="B991" t="s">
        <v>2756</v>
      </c>
      <c r="C991" t="s">
        <v>2757</v>
      </c>
      <c r="D991" t="s">
        <v>572</v>
      </c>
      <c r="E991" t="s">
        <v>271</v>
      </c>
      <c r="F991" t="s">
        <v>335</v>
      </c>
    </row>
    <row r="992" spans="1:6" x14ac:dyDescent="0.25">
      <c r="A992" t="s">
        <v>6877</v>
      </c>
      <c r="B992" t="s">
        <v>6878</v>
      </c>
      <c r="C992" t="s">
        <v>6879</v>
      </c>
      <c r="D992" t="s">
        <v>239</v>
      </c>
      <c r="E992" t="s">
        <v>271</v>
      </c>
      <c r="F992" t="s">
        <v>544</v>
      </c>
    </row>
    <row r="993" spans="1:6" x14ac:dyDescent="0.25">
      <c r="A993" t="s">
        <v>6880</v>
      </c>
      <c r="B993" t="s">
        <v>6881</v>
      </c>
      <c r="C993" t="s">
        <v>6882</v>
      </c>
      <c r="D993" t="s">
        <v>1165</v>
      </c>
      <c r="E993" t="s">
        <v>271</v>
      </c>
      <c r="F993" t="s">
        <v>1402</v>
      </c>
    </row>
    <row r="994" spans="1:6" x14ac:dyDescent="0.25">
      <c r="A994" t="s">
        <v>6883</v>
      </c>
      <c r="B994" t="s">
        <v>6884</v>
      </c>
      <c r="C994" t="s">
        <v>6885</v>
      </c>
      <c r="D994" t="s">
        <v>0</v>
      </c>
      <c r="E994" t="s">
        <v>271</v>
      </c>
      <c r="F994" t="s">
        <v>1148</v>
      </c>
    </row>
    <row r="995" spans="1:6" x14ac:dyDescent="0.25">
      <c r="A995" t="s">
        <v>6886</v>
      </c>
      <c r="B995" t="s">
        <v>6887</v>
      </c>
      <c r="C995" t="s">
        <v>6888</v>
      </c>
      <c r="D995" t="s">
        <v>498</v>
      </c>
      <c r="E995" t="s">
        <v>271</v>
      </c>
      <c r="F995" t="s">
        <v>926</v>
      </c>
    </row>
    <row r="996" spans="1:6" x14ac:dyDescent="0.25">
      <c r="A996" t="s">
        <v>656</v>
      </c>
      <c r="B996" t="s">
        <v>657</v>
      </c>
      <c r="C996" t="s">
        <v>659</v>
      </c>
      <c r="D996" t="s">
        <v>0</v>
      </c>
      <c r="E996" t="s">
        <v>271</v>
      </c>
      <c r="F996" t="s">
        <v>658</v>
      </c>
    </row>
    <row r="997" spans="1:6" x14ac:dyDescent="0.25">
      <c r="A997" t="s">
        <v>6889</v>
      </c>
      <c r="B997" t="s">
        <v>6890</v>
      </c>
      <c r="C997" t="s">
        <v>479</v>
      </c>
      <c r="D997" t="s">
        <v>668</v>
      </c>
      <c r="E997" t="s">
        <v>271</v>
      </c>
      <c r="F997" t="s">
        <v>667</v>
      </c>
    </row>
    <row r="998" spans="1:6" x14ac:dyDescent="0.25">
      <c r="A998" t="s">
        <v>6891</v>
      </c>
      <c r="B998" t="s">
        <v>6892</v>
      </c>
      <c r="C998" t="s">
        <v>6893</v>
      </c>
      <c r="D998" t="s">
        <v>0</v>
      </c>
      <c r="E998" t="s">
        <v>271</v>
      </c>
      <c r="F998" t="s">
        <v>1152</v>
      </c>
    </row>
    <row r="999" spans="1:6" x14ac:dyDescent="0.25">
      <c r="A999" t="s">
        <v>6894</v>
      </c>
      <c r="B999" t="s">
        <v>6895</v>
      </c>
      <c r="C999" t="s">
        <v>6896</v>
      </c>
      <c r="D999" t="s">
        <v>6897</v>
      </c>
      <c r="E999" t="s">
        <v>269</v>
      </c>
      <c r="F999" t="s">
        <v>4394</v>
      </c>
    </row>
    <row r="1000" spans="1:6" x14ac:dyDescent="0.25">
      <c r="A1000" t="s">
        <v>6898</v>
      </c>
      <c r="B1000" t="s">
        <v>3046</v>
      </c>
      <c r="C1000" t="s">
        <v>6899</v>
      </c>
      <c r="D1000" t="s">
        <v>519</v>
      </c>
      <c r="E1000" t="s">
        <v>271</v>
      </c>
      <c r="F1000" t="s">
        <v>324</v>
      </c>
    </row>
    <row r="1001" spans="1:6" x14ac:dyDescent="0.25">
      <c r="A1001" t="s">
        <v>6900</v>
      </c>
      <c r="B1001" t="s">
        <v>443</v>
      </c>
      <c r="C1001" t="s">
        <v>6901</v>
      </c>
      <c r="D1001" t="s">
        <v>2589</v>
      </c>
      <c r="E1001" t="s">
        <v>271</v>
      </c>
      <c r="F1001" t="s">
        <v>2588</v>
      </c>
    </row>
    <row r="1002" spans="1:6" x14ac:dyDescent="0.25">
      <c r="A1002" t="s">
        <v>6902</v>
      </c>
      <c r="B1002" t="s">
        <v>6903</v>
      </c>
      <c r="C1002" t="s">
        <v>6904</v>
      </c>
      <c r="D1002" t="s">
        <v>1413</v>
      </c>
      <c r="E1002" t="s">
        <v>271</v>
      </c>
      <c r="F1002" t="s">
        <v>1412</v>
      </c>
    </row>
    <row r="1003" spans="1:6" x14ac:dyDescent="0.25">
      <c r="A1003" t="s">
        <v>2853</v>
      </c>
      <c r="B1003" t="s">
        <v>2854</v>
      </c>
      <c r="C1003" t="s">
        <v>2855</v>
      </c>
      <c r="D1003" t="s">
        <v>0</v>
      </c>
      <c r="E1003" t="s">
        <v>271</v>
      </c>
      <c r="F1003" t="s">
        <v>356</v>
      </c>
    </row>
    <row r="1004" spans="1:6" x14ac:dyDescent="0.25">
      <c r="A1004" t="s">
        <v>6905</v>
      </c>
      <c r="B1004" t="s">
        <v>6906</v>
      </c>
      <c r="C1004" t="s">
        <v>6907</v>
      </c>
      <c r="D1004" t="s">
        <v>232</v>
      </c>
      <c r="E1004" t="s">
        <v>271</v>
      </c>
      <c r="F1004" t="s">
        <v>329</v>
      </c>
    </row>
    <row r="1005" spans="1:6" x14ac:dyDescent="0.25">
      <c r="A1005" t="s">
        <v>6908</v>
      </c>
      <c r="B1005" t="s">
        <v>6909</v>
      </c>
      <c r="C1005" t="s">
        <v>6910</v>
      </c>
      <c r="D1005" t="s">
        <v>1433</v>
      </c>
      <c r="E1005" t="s">
        <v>271</v>
      </c>
      <c r="F1005" t="s">
        <v>1432</v>
      </c>
    </row>
    <row r="1006" spans="1:6" x14ac:dyDescent="0.25">
      <c r="A1006" t="s">
        <v>6911</v>
      </c>
      <c r="B1006" t="s">
        <v>6912</v>
      </c>
      <c r="C1006" t="s">
        <v>6913</v>
      </c>
      <c r="D1006" t="s">
        <v>361</v>
      </c>
      <c r="E1006" t="s">
        <v>271</v>
      </c>
      <c r="F1006" t="s">
        <v>1563</v>
      </c>
    </row>
    <row r="1007" spans="1:6" x14ac:dyDescent="0.25">
      <c r="A1007" t="s">
        <v>6914</v>
      </c>
      <c r="B1007" t="s">
        <v>6915</v>
      </c>
      <c r="C1007" t="s">
        <v>6916</v>
      </c>
      <c r="D1007" t="s">
        <v>0</v>
      </c>
      <c r="E1007" t="s">
        <v>271</v>
      </c>
      <c r="F1007" t="s">
        <v>881</v>
      </c>
    </row>
    <row r="1008" spans="1:6" x14ac:dyDescent="0.25">
      <c r="A1008" t="s">
        <v>6917</v>
      </c>
      <c r="B1008" t="s">
        <v>6918</v>
      </c>
      <c r="C1008" t="s">
        <v>6919</v>
      </c>
      <c r="D1008" t="s">
        <v>0</v>
      </c>
      <c r="E1008" t="s">
        <v>271</v>
      </c>
      <c r="F1008" t="s">
        <v>356</v>
      </c>
    </row>
    <row r="1009" spans="1:6" x14ac:dyDescent="0.25">
      <c r="A1009" t="s">
        <v>6920</v>
      </c>
      <c r="B1009" t="s">
        <v>6921</v>
      </c>
      <c r="C1009" t="s">
        <v>6922</v>
      </c>
      <c r="D1009" t="s">
        <v>1186</v>
      </c>
      <c r="E1009" t="s">
        <v>271</v>
      </c>
      <c r="F1009" t="s">
        <v>1185</v>
      </c>
    </row>
    <row r="1010" spans="1:6" x14ac:dyDescent="0.25">
      <c r="A1010" t="s">
        <v>6923</v>
      </c>
      <c r="B1010" t="s">
        <v>6924</v>
      </c>
      <c r="C1010" t="s">
        <v>6925</v>
      </c>
      <c r="D1010" t="s">
        <v>2116</v>
      </c>
      <c r="E1010" t="s">
        <v>271</v>
      </c>
      <c r="F1010" t="s">
        <v>2115</v>
      </c>
    </row>
    <row r="1011" spans="1:6" x14ac:dyDescent="0.25">
      <c r="A1011" t="s">
        <v>6926</v>
      </c>
      <c r="B1011" t="s">
        <v>6927</v>
      </c>
      <c r="C1011" t="s">
        <v>6928</v>
      </c>
      <c r="D1011" t="s">
        <v>510</v>
      </c>
      <c r="E1011" t="s">
        <v>271</v>
      </c>
      <c r="F1011" t="s">
        <v>437</v>
      </c>
    </row>
    <row r="1012" spans="1:6" x14ac:dyDescent="0.25">
      <c r="A1012" t="s">
        <v>6929</v>
      </c>
      <c r="B1012" t="s">
        <v>6930</v>
      </c>
      <c r="C1012" t="s">
        <v>6931</v>
      </c>
      <c r="D1012" t="s">
        <v>1059</v>
      </c>
      <c r="E1012" t="s">
        <v>271</v>
      </c>
      <c r="F1012" t="s">
        <v>1058</v>
      </c>
    </row>
    <row r="1013" spans="1:6" x14ac:dyDescent="0.25">
      <c r="A1013" t="s">
        <v>6932</v>
      </c>
      <c r="B1013" t="s">
        <v>6933</v>
      </c>
      <c r="C1013" t="s">
        <v>6934</v>
      </c>
      <c r="D1013" t="s">
        <v>3767</v>
      </c>
      <c r="E1013" t="s">
        <v>269</v>
      </c>
      <c r="F1013" t="s">
        <v>3766</v>
      </c>
    </row>
    <row r="1014" spans="1:6" x14ac:dyDescent="0.25">
      <c r="A1014" t="s">
        <v>3546</v>
      </c>
      <c r="B1014" t="s">
        <v>3547</v>
      </c>
      <c r="C1014" t="s">
        <v>3548</v>
      </c>
      <c r="D1014" t="s">
        <v>0</v>
      </c>
      <c r="E1014" t="s">
        <v>271</v>
      </c>
      <c r="F1014" t="s">
        <v>881</v>
      </c>
    </row>
    <row r="1015" spans="1:6" x14ac:dyDescent="0.25">
      <c r="A1015" t="s">
        <v>6935</v>
      </c>
      <c r="B1015" t="s">
        <v>6936</v>
      </c>
      <c r="C1015" t="s">
        <v>6937</v>
      </c>
      <c r="D1015" t="s">
        <v>5591</v>
      </c>
      <c r="E1015" t="s">
        <v>269</v>
      </c>
      <c r="F1015" t="s">
        <v>1742</v>
      </c>
    </row>
    <row r="1016" spans="1:6" x14ac:dyDescent="0.25">
      <c r="A1016" t="s">
        <v>6938</v>
      </c>
      <c r="B1016" t="s">
        <v>6939</v>
      </c>
      <c r="C1016" t="s">
        <v>6940</v>
      </c>
      <c r="D1016" t="s">
        <v>0</v>
      </c>
      <c r="E1016" t="s">
        <v>271</v>
      </c>
      <c r="F1016" t="s">
        <v>356</v>
      </c>
    </row>
    <row r="1017" spans="1:6" x14ac:dyDescent="0.25">
      <c r="A1017" t="s">
        <v>3561</v>
      </c>
      <c r="B1017" t="s">
        <v>3562</v>
      </c>
      <c r="C1017" t="s">
        <v>3563</v>
      </c>
      <c r="D1017" t="s">
        <v>0</v>
      </c>
      <c r="E1017" t="s">
        <v>271</v>
      </c>
      <c r="F1017" t="s">
        <v>1277</v>
      </c>
    </row>
    <row r="1018" spans="1:6" x14ac:dyDescent="0.25">
      <c r="A1018" t="s">
        <v>1128</v>
      </c>
      <c r="B1018" t="s">
        <v>1129</v>
      </c>
      <c r="C1018" t="s">
        <v>1130</v>
      </c>
      <c r="D1018" t="s">
        <v>616</v>
      </c>
      <c r="E1018" t="s">
        <v>271</v>
      </c>
      <c r="F1018" t="s">
        <v>1102</v>
      </c>
    </row>
    <row r="1019" spans="1:6" x14ac:dyDescent="0.25">
      <c r="A1019" t="s">
        <v>1670</v>
      </c>
      <c r="B1019" t="s">
        <v>1671</v>
      </c>
      <c r="C1019" t="s">
        <v>1672</v>
      </c>
      <c r="D1019" t="s">
        <v>237</v>
      </c>
      <c r="E1019" t="s">
        <v>271</v>
      </c>
      <c r="F1019" t="s">
        <v>427</v>
      </c>
    </row>
    <row r="1020" spans="1:6" x14ac:dyDescent="0.25">
      <c r="A1020" t="s">
        <v>3705</v>
      </c>
      <c r="B1020" t="s">
        <v>3706</v>
      </c>
      <c r="C1020" t="s">
        <v>3707</v>
      </c>
      <c r="D1020" t="s">
        <v>1925</v>
      </c>
      <c r="E1020" t="s">
        <v>271</v>
      </c>
      <c r="F1020" t="s">
        <v>3332</v>
      </c>
    </row>
    <row r="1021" spans="1:6" x14ac:dyDescent="0.25">
      <c r="A1021" t="s">
        <v>6941</v>
      </c>
      <c r="B1021" t="s">
        <v>6942</v>
      </c>
      <c r="C1021" t="s">
        <v>6943</v>
      </c>
      <c r="D1021" t="s">
        <v>1559</v>
      </c>
      <c r="E1021" t="s">
        <v>271</v>
      </c>
      <c r="F1021" t="s">
        <v>1558</v>
      </c>
    </row>
    <row r="1022" spans="1:6" x14ac:dyDescent="0.25">
      <c r="A1022" t="s">
        <v>6944</v>
      </c>
      <c r="B1022" t="s">
        <v>6945</v>
      </c>
      <c r="C1022" t="s">
        <v>6946</v>
      </c>
      <c r="D1022" t="s">
        <v>0</v>
      </c>
      <c r="E1022" t="s">
        <v>271</v>
      </c>
      <c r="F1022" t="s">
        <v>489</v>
      </c>
    </row>
    <row r="1023" spans="1:6" x14ac:dyDescent="0.25">
      <c r="A1023" t="s">
        <v>6947</v>
      </c>
      <c r="B1023" t="s">
        <v>6948</v>
      </c>
      <c r="C1023" t="s">
        <v>6949</v>
      </c>
      <c r="D1023" t="s">
        <v>258</v>
      </c>
      <c r="E1023" t="s">
        <v>271</v>
      </c>
      <c r="F1023" t="s">
        <v>524</v>
      </c>
    </row>
    <row r="1024" spans="1:6" x14ac:dyDescent="0.25">
      <c r="A1024" t="s">
        <v>1002</v>
      </c>
      <c r="B1024" t="s">
        <v>1003</v>
      </c>
      <c r="C1024" t="s">
        <v>1004</v>
      </c>
      <c r="D1024" t="s">
        <v>675</v>
      </c>
      <c r="E1024" t="s">
        <v>271</v>
      </c>
      <c r="F1024" t="s">
        <v>674</v>
      </c>
    </row>
    <row r="1025" spans="1:6" x14ac:dyDescent="0.25">
      <c r="A1025" t="s">
        <v>6950</v>
      </c>
      <c r="B1025" t="s">
        <v>6951</v>
      </c>
      <c r="C1025" t="s">
        <v>6952</v>
      </c>
      <c r="D1025" t="s">
        <v>0</v>
      </c>
      <c r="E1025" t="s">
        <v>271</v>
      </c>
      <c r="F1025" t="s">
        <v>809</v>
      </c>
    </row>
    <row r="1026" spans="1:6" x14ac:dyDescent="0.25">
      <c r="A1026" t="s">
        <v>6953</v>
      </c>
      <c r="B1026" t="s">
        <v>6954</v>
      </c>
      <c r="C1026" t="s">
        <v>6955</v>
      </c>
      <c r="D1026" t="s">
        <v>1027</v>
      </c>
      <c r="E1026" t="s">
        <v>271</v>
      </c>
      <c r="F1026" t="s">
        <v>1026</v>
      </c>
    </row>
    <row r="1027" spans="1:6" x14ac:dyDescent="0.25">
      <c r="A1027" t="s">
        <v>6956</v>
      </c>
      <c r="B1027" t="s">
        <v>6957</v>
      </c>
      <c r="C1027" t="s">
        <v>6958</v>
      </c>
      <c r="D1027" t="s">
        <v>2488</v>
      </c>
      <c r="E1027" t="s">
        <v>269</v>
      </c>
      <c r="F1027" t="s">
        <v>2487</v>
      </c>
    </row>
    <row r="1028" spans="1:6" x14ac:dyDescent="0.25">
      <c r="A1028" t="s">
        <v>6959</v>
      </c>
      <c r="B1028" t="s">
        <v>6960</v>
      </c>
      <c r="C1028" t="s">
        <v>6961</v>
      </c>
      <c r="D1028" t="s">
        <v>1199</v>
      </c>
      <c r="E1028" t="s">
        <v>271</v>
      </c>
      <c r="F1028" t="s">
        <v>1198</v>
      </c>
    </row>
    <row r="1029" spans="1:6" x14ac:dyDescent="0.25">
      <c r="A1029" t="s">
        <v>6962</v>
      </c>
      <c r="B1029" t="s">
        <v>6963</v>
      </c>
      <c r="C1029" t="s">
        <v>6964</v>
      </c>
      <c r="D1029" t="s">
        <v>450</v>
      </c>
      <c r="E1029" t="s">
        <v>271</v>
      </c>
      <c r="F1029" t="s">
        <v>326</v>
      </c>
    </row>
    <row r="1030" spans="1:6" x14ac:dyDescent="0.25">
      <c r="A1030" t="s">
        <v>6965</v>
      </c>
      <c r="B1030" t="s">
        <v>6966</v>
      </c>
      <c r="C1030" t="s">
        <v>6967</v>
      </c>
      <c r="D1030" t="s">
        <v>556</v>
      </c>
      <c r="E1030" t="s">
        <v>271</v>
      </c>
      <c r="F1030" t="s">
        <v>1567</v>
      </c>
    </row>
    <row r="1031" spans="1:6" x14ac:dyDescent="0.25">
      <c r="A1031" t="s">
        <v>6968</v>
      </c>
      <c r="B1031" t="s">
        <v>6969</v>
      </c>
      <c r="C1031" t="s">
        <v>6970</v>
      </c>
      <c r="D1031" t="s">
        <v>446</v>
      </c>
      <c r="E1031" t="s">
        <v>271</v>
      </c>
      <c r="F1031" t="s">
        <v>447</v>
      </c>
    </row>
    <row r="1032" spans="1:6" x14ac:dyDescent="0.25">
      <c r="A1032" t="s">
        <v>6971</v>
      </c>
      <c r="B1032" t="s">
        <v>6972</v>
      </c>
      <c r="C1032" t="s">
        <v>6973</v>
      </c>
      <c r="D1032" t="s">
        <v>0</v>
      </c>
      <c r="E1032" t="s">
        <v>271</v>
      </c>
      <c r="F1032" t="s">
        <v>4437</v>
      </c>
    </row>
    <row r="1033" spans="1:6" x14ac:dyDescent="0.25">
      <c r="A1033" t="s">
        <v>6974</v>
      </c>
      <c r="B1033" t="s">
        <v>6975</v>
      </c>
      <c r="C1033" t="s">
        <v>6976</v>
      </c>
      <c r="D1033" t="s">
        <v>1051</v>
      </c>
      <c r="E1033" t="s">
        <v>271</v>
      </c>
      <c r="F1033" t="s">
        <v>1050</v>
      </c>
    </row>
    <row r="1034" spans="1:6" x14ac:dyDescent="0.25">
      <c r="A1034" t="s">
        <v>6977</v>
      </c>
      <c r="B1034" t="s">
        <v>6978</v>
      </c>
      <c r="C1034" t="s">
        <v>6979</v>
      </c>
      <c r="D1034" t="s">
        <v>510</v>
      </c>
      <c r="E1034" t="s">
        <v>271</v>
      </c>
      <c r="F1034" t="s">
        <v>437</v>
      </c>
    </row>
    <row r="1035" spans="1:6" x14ac:dyDescent="0.25">
      <c r="A1035" t="s">
        <v>6980</v>
      </c>
      <c r="B1035" t="s">
        <v>6981</v>
      </c>
      <c r="C1035" t="s">
        <v>6982</v>
      </c>
      <c r="D1035" t="s">
        <v>0</v>
      </c>
      <c r="E1035" t="s">
        <v>271</v>
      </c>
      <c r="F1035" t="s">
        <v>881</v>
      </c>
    </row>
    <row r="1036" spans="1:6" x14ac:dyDescent="0.25">
      <c r="A1036" t="s">
        <v>6983</v>
      </c>
      <c r="B1036" t="s">
        <v>6984</v>
      </c>
      <c r="C1036" t="s">
        <v>6985</v>
      </c>
      <c r="D1036" t="s">
        <v>0</v>
      </c>
      <c r="E1036" t="s">
        <v>271</v>
      </c>
      <c r="F1036" t="s">
        <v>325</v>
      </c>
    </row>
    <row r="1037" spans="1:6" x14ac:dyDescent="0.25">
      <c r="A1037" t="s">
        <v>6986</v>
      </c>
      <c r="B1037" t="s">
        <v>6987</v>
      </c>
      <c r="C1037" t="s">
        <v>6988</v>
      </c>
      <c r="D1037" t="s">
        <v>0</v>
      </c>
      <c r="E1037" t="s">
        <v>271</v>
      </c>
      <c r="F1037" t="s">
        <v>1321</v>
      </c>
    </row>
    <row r="1038" spans="1:6" x14ac:dyDescent="0.25">
      <c r="A1038" t="s">
        <v>6989</v>
      </c>
      <c r="B1038" t="s">
        <v>6990</v>
      </c>
      <c r="C1038" t="s">
        <v>6991</v>
      </c>
      <c r="D1038" t="s">
        <v>586</v>
      </c>
      <c r="E1038" t="s">
        <v>271</v>
      </c>
      <c r="F1038" t="s">
        <v>662</v>
      </c>
    </row>
    <row r="1039" spans="1:6" x14ac:dyDescent="0.25">
      <c r="A1039" t="s">
        <v>6992</v>
      </c>
      <c r="B1039" t="s">
        <v>6993</v>
      </c>
      <c r="C1039" t="s">
        <v>6994</v>
      </c>
      <c r="D1039" t="s">
        <v>1317</v>
      </c>
      <c r="E1039" t="s">
        <v>271</v>
      </c>
      <c r="F1039" t="s">
        <v>1316</v>
      </c>
    </row>
    <row r="1040" spans="1:6" x14ac:dyDescent="0.25">
      <c r="A1040" t="s">
        <v>6995</v>
      </c>
      <c r="B1040" t="s">
        <v>6996</v>
      </c>
      <c r="C1040" t="s">
        <v>6997</v>
      </c>
      <c r="D1040" t="s">
        <v>0</v>
      </c>
      <c r="E1040" t="s">
        <v>271</v>
      </c>
      <c r="F1040" t="s">
        <v>1534</v>
      </c>
    </row>
    <row r="1041" spans="1:6" x14ac:dyDescent="0.25">
      <c r="A1041" t="s">
        <v>6998</v>
      </c>
      <c r="B1041" t="s">
        <v>6999</v>
      </c>
      <c r="C1041" t="s">
        <v>7000</v>
      </c>
      <c r="D1041" t="s">
        <v>7001</v>
      </c>
      <c r="E1041" t="s">
        <v>271</v>
      </c>
      <c r="F1041" t="s">
        <v>7002</v>
      </c>
    </row>
    <row r="1042" spans="1:6" x14ac:dyDescent="0.25">
      <c r="A1042" t="s">
        <v>7003</v>
      </c>
      <c r="B1042" t="s">
        <v>7004</v>
      </c>
      <c r="C1042" t="s">
        <v>7005</v>
      </c>
      <c r="D1042" t="s">
        <v>0</v>
      </c>
      <c r="E1042" t="s">
        <v>271</v>
      </c>
      <c r="F1042" t="s">
        <v>431</v>
      </c>
    </row>
    <row r="1043" spans="1:6" x14ac:dyDescent="0.25">
      <c r="A1043" t="s">
        <v>7006</v>
      </c>
      <c r="B1043" t="s">
        <v>7007</v>
      </c>
      <c r="C1043" t="s">
        <v>7008</v>
      </c>
      <c r="D1043" t="s">
        <v>6862</v>
      </c>
      <c r="E1043" t="s">
        <v>271</v>
      </c>
      <c r="F1043" t="s">
        <v>4386</v>
      </c>
    </row>
    <row r="1044" spans="1:6" x14ac:dyDescent="0.25">
      <c r="A1044" t="s">
        <v>3369</v>
      </c>
      <c r="B1044" t="s">
        <v>3370</v>
      </c>
      <c r="C1044" t="s">
        <v>3371</v>
      </c>
      <c r="D1044" t="s">
        <v>340</v>
      </c>
      <c r="E1044" t="s">
        <v>271</v>
      </c>
      <c r="F1044" t="s">
        <v>317</v>
      </c>
    </row>
    <row r="1045" spans="1:6" x14ac:dyDescent="0.25">
      <c r="A1045" t="s">
        <v>7009</v>
      </c>
      <c r="B1045" t="s">
        <v>7010</v>
      </c>
      <c r="C1045" t="s">
        <v>7011</v>
      </c>
      <c r="D1045" t="s">
        <v>3002</v>
      </c>
      <c r="E1045" t="s">
        <v>269</v>
      </c>
      <c r="F1045" t="s">
        <v>3001</v>
      </c>
    </row>
    <row r="1046" spans="1:6" x14ac:dyDescent="0.25">
      <c r="A1046" t="s">
        <v>1864</v>
      </c>
      <c r="B1046" t="s">
        <v>1865</v>
      </c>
      <c r="C1046" t="s">
        <v>1866</v>
      </c>
      <c r="D1046" t="s">
        <v>986</v>
      </c>
      <c r="E1046" t="s">
        <v>271</v>
      </c>
      <c r="F1046" t="s">
        <v>985</v>
      </c>
    </row>
    <row r="1047" spans="1:6" x14ac:dyDescent="0.25">
      <c r="A1047" t="s">
        <v>941</v>
      </c>
      <c r="B1047" t="s">
        <v>942</v>
      </c>
      <c r="C1047" t="s">
        <v>943</v>
      </c>
      <c r="D1047" t="s">
        <v>272</v>
      </c>
      <c r="E1047" t="s">
        <v>269</v>
      </c>
      <c r="F1047" t="s">
        <v>907</v>
      </c>
    </row>
    <row r="1048" spans="1:6" x14ac:dyDescent="0.25">
      <c r="A1048" t="s">
        <v>7012</v>
      </c>
      <c r="B1048" t="s">
        <v>7013</v>
      </c>
      <c r="C1048" t="s">
        <v>7014</v>
      </c>
      <c r="D1048" t="s">
        <v>0</v>
      </c>
      <c r="E1048" t="s">
        <v>271</v>
      </c>
      <c r="F1048" t="s">
        <v>356</v>
      </c>
    </row>
    <row r="1049" spans="1:6" x14ac:dyDescent="0.25">
      <c r="A1049" t="s">
        <v>7015</v>
      </c>
      <c r="B1049" t="s">
        <v>7016</v>
      </c>
      <c r="C1049" t="s">
        <v>7017</v>
      </c>
      <c r="D1049" t="s">
        <v>444</v>
      </c>
      <c r="E1049" t="s">
        <v>271</v>
      </c>
      <c r="F1049" t="s">
        <v>1270</v>
      </c>
    </row>
    <row r="1050" spans="1:6" x14ac:dyDescent="0.25">
      <c r="A1050" t="s">
        <v>7018</v>
      </c>
      <c r="B1050" t="s">
        <v>7019</v>
      </c>
      <c r="C1050" t="s">
        <v>7020</v>
      </c>
      <c r="D1050" t="s">
        <v>1199</v>
      </c>
      <c r="E1050" t="s">
        <v>271</v>
      </c>
      <c r="F1050" t="s">
        <v>1198</v>
      </c>
    </row>
    <row r="1051" spans="1:6" x14ac:dyDescent="0.25">
      <c r="A1051" t="s">
        <v>7021</v>
      </c>
      <c r="B1051" t="s">
        <v>7022</v>
      </c>
      <c r="C1051" t="s">
        <v>7023</v>
      </c>
      <c r="D1051" t="s">
        <v>0</v>
      </c>
      <c r="E1051" t="s">
        <v>271</v>
      </c>
      <c r="F1051" t="s">
        <v>1214</v>
      </c>
    </row>
    <row r="1052" spans="1:6" x14ac:dyDescent="0.25">
      <c r="A1052" t="s">
        <v>7024</v>
      </c>
      <c r="B1052" t="s">
        <v>7025</v>
      </c>
      <c r="C1052" t="s">
        <v>7026</v>
      </c>
      <c r="D1052" t="s">
        <v>7027</v>
      </c>
      <c r="E1052" t="s">
        <v>271</v>
      </c>
      <c r="F1052" t="s">
        <v>4384</v>
      </c>
    </row>
    <row r="1053" spans="1:6" x14ac:dyDescent="0.25">
      <c r="A1053" t="s">
        <v>7028</v>
      </c>
      <c r="B1053" t="s">
        <v>7029</v>
      </c>
      <c r="C1053" t="s">
        <v>7030</v>
      </c>
      <c r="D1053" t="s">
        <v>357</v>
      </c>
      <c r="E1053" t="s">
        <v>271</v>
      </c>
      <c r="F1053" t="s">
        <v>452</v>
      </c>
    </row>
    <row r="1054" spans="1:6" x14ac:dyDescent="0.25">
      <c r="A1054" t="s">
        <v>7031</v>
      </c>
      <c r="B1054" t="s">
        <v>7032</v>
      </c>
      <c r="C1054" t="s">
        <v>7033</v>
      </c>
      <c r="D1054" t="s">
        <v>0</v>
      </c>
      <c r="E1054" t="s">
        <v>271</v>
      </c>
      <c r="F1054" t="s">
        <v>323</v>
      </c>
    </row>
    <row r="1055" spans="1:6" x14ac:dyDescent="0.25">
      <c r="A1055" t="s">
        <v>7034</v>
      </c>
      <c r="B1055" t="s">
        <v>7035</v>
      </c>
      <c r="C1055" t="s">
        <v>7036</v>
      </c>
      <c r="D1055" t="s">
        <v>1204</v>
      </c>
      <c r="E1055" t="s">
        <v>271</v>
      </c>
      <c r="F1055" t="s">
        <v>1203</v>
      </c>
    </row>
    <row r="1056" spans="1:6" x14ac:dyDescent="0.25">
      <c r="A1056" t="s">
        <v>7037</v>
      </c>
      <c r="B1056" t="s">
        <v>7038</v>
      </c>
      <c r="C1056" t="s">
        <v>7039</v>
      </c>
      <c r="D1056" t="s">
        <v>519</v>
      </c>
      <c r="E1056" t="s">
        <v>271</v>
      </c>
      <c r="F1056" t="s">
        <v>324</v>
      </c>
    </row>
    <row r="1057" spans="1:6" x14ac:dyDescent="0.25">
      <c r="A1057" t="s">
        <v>7040</v>
      </c>
      <c r="B1057" t="s">
        <v>7041</v>
      </c>
      <c r="C1057" t="s">
        <v>6693</v>
      </c>
      <c r="D1057" t="s">
        <v>1559</v>
      </c>
      <c r="E1057" t="s">
        <v>271</v>
      </c>
      <c r="F1057" t="s">
        <v>1558</v>
      </c>
    </row>
    <row r="1058" spans="1:6" x14ac:dyDescent="0.25">
      <c r="A1058" t="s">
        <v>7042</v>
      </c>
      <c r="B1058" t="s">
        <v>7043</v>
      </c>
      <c r="C1058" t="s">
        <v>7044</v>
      </c>
      <c r="D1058" t="s">
        <v>0</v>
      </c>
      <c r="E1058" t="s">
        <v>271</v>
      </c>
      <c r="F1058" t="s">
        <v>709</v>
      </c>
    </row>
    <row r="1059" spans="1:6" x14ac:dyDescent="0.25">
      <c r="A1059" t="s">
        <v>7045</v>
      </c>
      <c r="B1059" t="s">
        <v>7046</v>
      </c>
      <c r="C1059" t="s">
        <v>7047</v>
      </c>
      <c r="D1059" t="s">
        <v>282</v>
      </c>
      <c r="E1059" t="s">
        <v>271</v>
      </c>
      <c r="F1059" t="s">
        <v>1191</v>
      </c>
    </row>
    <row r="1060" spans="1:6" x14ac:dyDescent="0.25">
      <c r="A1060" t="s">
        <v>7048</v>
      </c>
      <c r="B1060" t="s">
        <v>7049</v>
      </c>
      <c r="C1060" t="s">
        <v>7050</v>
      </c>
      <c r="D1060" t="s">
        <v>0</v>
      </c>
      <c r="E1060" t="s">
        <v>271</v>
      </c>
      <c r="F1060" t="s">
        <v>3941</v>
      </c>
    </row>
    <row r="1061" spans="1:6" x14ac:dyDescent="0.25">
      <c r="A1061" t="s">
        <v>7051</v>
      </c>
      <c r="B1061" t="s">
        <v>7052</v>
      </c>
      <c r="C1061" t="s">
        <v>7053</v>
      </c>
      <c r="D1061" t="s">
        <v>0</v>
      </c>
      <c r="E1061" t="s">
        <v>271</v>
      </c>
      <c r="F1061" t="s">
        <v>1534</v>
      </c>
    </row>
    <row r="1062" spans="1:6" x14ac:dyDescent="0.25">
      <c r="A1062" t="s">
        <v>7054</v>
      </c>
      <c r="B1062" t="s">
        <v>7055</v>
      </c>
      <c r="C1062" t="s">
        <v>7056</v>
      </c>
      <c r="D1062" t="s">
        <v>490</v>
      </c>
      <c r="E1062" t="s">
        <v>271</v>
      </c>
      <c r="F1062" t="s">
        <v>491</v>
      </c>
    </row>
    <row r="1063" spans="1:6" x14ac:dyDescent="0.25">
      <c r="A1063" t="s">
        <v>7057</v>
      </c>
      <c r="B1063" t="s">
        <v>280</v>
      </c>
      <c r="C1063" t="s">
        <v>7058</v>
      </c>
      <c r="D1063" t="s">
        <v>416</v>
      </c>
      <c r="E1063" t="s">
        <v>271</v>
      </c>
      <c r="F1063" t="s">
        <v>439</v>
      </c>
    </row>
    <row r="1064" spans="1:6" x14ac:dyDescent="0.25">
      <c r="A1064" t="s">
        <v>7059</v>
      </c>
      <c r="B1064" t="s">
        <v>286</v>
      </c>
      <c r="C1064" t="s">
        <v>7060</v>
      </c>
      <c r="D1064" t="s">
        <v>272</v>
      </c>
      <c r="E1064" t="s">
        <v>269</v>
      </c>
      <c r="F1064" t="s">
        <v>907</v>
      </c>
    </row>
    <row r="1065" spans="1:6" x14ac:dyDescent="0.25">
      <c r="A1065" t="s">
        <v>7061</v>
      </c>
      <c r="B1065" t="s">
        <v>7062</v>
      </c>
      <c r="C1065" t="s">
        <v>7063</v>
      </c>
      <c r="D1065" t="s">
        <v>980</v>
      </c>
      <c r="E1065" t="s">
        <v>271</v>
      </c>
      <c r="F1065" t="s">
        <v>979</v>
      </c>
    </row>
    <row r="1066" spans="1:6" x14ac:dyDescent="0.25">
      <c r="A1066" t="s">
        <v>2951</v>
      </c>
      <c r="B1066" t="s">
        <v>2952</v>
      </c>
      <c r="C1066" t="s">
        <v>2953</v>
      </c>
      <c r="D1066" t="s">
        <v>835</v>
      </c>
      <c r="E1066" t="s">
        <v>269</v>
      </c>
      <c r="F1066" t="s">
        <v>834</v>
      </c>
    </row>
    <row r="1067" spans="1:6" x14ac:dyDescent="0.25">
      <c r="A1067" t="s">
        <v>1650</v>
      </c>
      <c r="B1067" t="s">
        <v>1651</v>
      </c>
      <c r="C1067" t="s">
        <v>1652</v>
      </c>
      <c r="D1067" t="s">
        <v>972</v>
      </c>
      <c r="E1067" t="s">
        <v>269</v>
      </c>
      <c r="F1067" t="s">
        <v>971</v>
      </c>
    </row>
    <row r="1068" spans="1:6" x14ac:dyDescent="0.25">
      <c r="A1068" t="s">
        <v>7064</v>
      </c>
      <c r="B1068" t="s">
        <v>7065</v>
      </c>
      <c r="C1068" t="s">
        <v>7066</v>
      </c>
      <c r="D1068" t="s">
        <v>1559</v>
      </c>
      <c r="E1068" t="s">
        <v>271</v>
      </c>
      <c r="F1068" t="s">
        <v>1558</v>
      </c>
    </row>
    <row r="1069" spans="1:6" x14ac:dyDescent="0.25">
      <c r="A1069" t="s">
        <v>7067</v>
      </c>
      <c r="B1069" t="s">
        <v>7068</v>
      </c>
      <c r="C1069" t="s">
        <v>7069</v>
      </c>
      <c r="D1069" t="s">
        <v>0</v>
      </c>
      <c r="E1069" t="s">
        <v>271</v>
      </c>
      <c r="F1069" t="s">
        <v>562</v>
      </c>
    </row>
    <row r="1070" spans="1:6" x14ac:dyDescent="0.25">
      <c r="A1070" t="s">
        <v>7070</v>
      </c>
      <c r="B1070" t="s">
        <v>7071</v>
      </c>
      <c r="C1070" t="s">
        <v>7072</v>
      </c>
      <c r="D1070" t="s">
        <v>540</v>
      </c>
      <c r="E1070" t="s">
        <v>271</v>
      </c>
      <c r="F1070" t="s">
        <v>339</v>
      </c>
    </row>
    <row r="1071" spans="1:6" x14ac:dyDescent="0.25">
      <c r="A1071" t="s">
        <v>3633</v>
      </c>
      <c r="B1071" t="s">
        <v>3634</v>
      </c>
      <c r="C1071" t="s">
        <v>3637</v>
      </c>
      <c r="D1071" t="s">
        <v>3636</v>
      </c>
      <c r="E1071" t="s">
        <v>271</v>
      </c>
      <c r="F1071" t="s">
        <v>3635</v>
      </c>
    </row>
    <row r="1072" spans="1:6" x14ac:dyDescent="0.25">
      <c r="A1072" t="s">
        <v>1236</v>
      </c>
      <c r="B1072" t="s">
        <v>1237</v>
      </c>
      <c r="C1072" t="s">
        <v>1240</v>
      </c>
      <c r="D1072" t="s">
        <v>1239</v>
      </c>
      <c r="E1072" t="s">
        <v>271</v>
      </c>
      <c r="F1072" t="s">
        <v>1238</v>
      </c>
    </row>
    <row r="1073" spans="1:6" x14ac:dyDescent="0.25">
      <c r="A1073" t="s">
        <v>2262</v>
      </c>
      <c r="B1073" t="s">
        <v>2263</v>
      </c>
      <c r="C1073" t="s">
        <v>2266</v>
      </c>
      <c r="D1073" t="s">
        <v>2265</v>
      </c>
      <c r="E1073" t="s">
        <v>271</v>
      </c>
      <c r="F1073" t="s">
        <v>2264</v>
      </c>
    </row>
    <row r="1074" spans="1:6" x14ac:dyDescent="0.25">
      <c r="A1074" t="s">
        <v>2905</v>
      </c>
      <c r="B1074" t="s">
        <v>2906</v>
      </c>
      <c r="C1074" t="s">
        <v>2909</v>
      </c>
      <c r="D1074" t="s">
        <v>2908</v>
      </c>
      <c r="E1074" t="s">
        <v>271</v>
      </c>
      <c r="F1074" t="s">
        <v>2907</v>
      </c>
    </row>
    <row r="1075" spans="1:6" x14ac:dyDescent="0.25">
      <c r="A1075" t="s">
        <v>7073</v>
      </c>
      <c r="B1075" t="s">
        <v>7074</v>
      </c>
      <c r="C1075" t="s">
        <v>546</v>
      </c>
      <c r="D1075" t="s">
        <v>547</v>
      </c>
      <c r="E1075" t="s">
        <v>271</v>
      </c>
      <c r="F1075" t="s">
        <v>428</v>
      </c>
    </row>
    <row r="1076" spans="1:6" x14ac:dyDescent="0.25">
      <c r="A1076" t="s">
        <v>7075</v>
      </c>
      <c r="B1076" t="s">
        <v>7076</v>
      </c>
      <c r="C1076" t="s">
        <v>4932</v>
      </c>
      <c r="D1076" t="s">
        <v>5591</v>
      </c>
      <c r="E1076" t="s">
        <v>269</v>
      </c>
      <c r="F1076" t="s">
        <v>1742</v>
      </c>
    </row>
    <row r="1077" spans="1:6" x14ac:dyDescent="0.25">
      <c r="A1077" t="s">
        <v>7077</v>
      </c>
      <c r="B1077" t="s">
        <v>7078</v>
      </c>
      <c r="C1077" t="s">
        <v>7079</v>
      </c>
      <c r="D1077" t="s">
        <v>0</v>
      </c>
      <c r="E1077" t="s">
        <v>271</v>
      </c>
      <c r="F1077" t="s">
        <v>895</v>
      </c>
    </row>
    <row r="1078" spans="1:6" x14ac:dyDescent="0.25">
      <c r="A1078" t="s">
        <v>7080</v>
      </c>
      <c r="B1078" t="s">
        <v>7081</v>
      </c>
      <c r="C1078" t="s">
        <v>7082</v>
      </c>
      <c r="D1078" t="s">
        <v>7083</v>
      </c>
      <c r="E1078" t="s">
        <v>269</v>
      </c>
      <c r="F1078" t="s">
        <v>821</v>
      </c>
    </row>
    <row r="1079" spans="1:6" x14ac:dyDescent="0.25">
      <c r="A1079" t="s">
        <v>3218</v>
      </c>
      <c r="B1079" t="s">
        <v>3219</v>
      </c>
      <c r="C1079" t="s">
        <v>3220</v>
      </c>
      <c r="D1079" t="s">
        <v>510</v>
      </c>
      <c r="E1079" t="s">
        <v>271</v>
      </c>
      <c r="F1079" t="s">
        <v>437</v>
      </c>
    </row>
    <row r="1080" spans="1:6" x14ac:dyDescent="0.25">
      <c r="A1080" t="s">
        <v>3489</v>
      </c>
      <c r="B1080" t="s">
        <v>3490</v>
      </c>
      <c r="C1080" t="s">
        <v>3491</v>
      </c>
      <c r="D1080" t="s">
        <v>0</v>
      </c>
      <c r="E1080" t="s">
        <v>271</v>
      </c>
      <c r="F1080" t="s">
        <v>1180</v>
      </c>
    </row>
    <row r="1081" spans="1:6" x14ac:dyDescent="0.25">
      <c r="A1081" t="s">
        <v>7084</v>
      </c>
      <c r="B1081" t="s">
        <v>7085</v>
      </c>
      <c r="C1081" t="s">
        <v>7086</v>
      </c>
      <c r="D1081" t="s">
        <v>1079</v>
      </c>
      <c r="E1081" t="s">
        <v>271</v>
      </c>
      <c r="F1081" t="s">
        <v>3880</v>
      </c>
    </row>
    <row r="1082" spans="1:6" x14ac:dyDescent="0.25">
      <c r="A1082" t="s">
        <v>7087</v>
      </c>
      <c r="B1082" t="s">
        <v>7088</v>
      </c>
      <c r="C1082" t="s">
        <v>7089</v>
      </c>
      <c r="D1082" t="s">
        <v>0</v>
      </c>
      <c r="E1082" t="s">
        <v>271</v>
      </c>
      <c r="F1082" t="s">
        <v>4387</v>
      </c>
    </row>
    <row r="1083" spans="1:6" x14ac:dyDescent="0.25">
      <c r="A1083" t="s">
        <v>7090</v>
      </c>
      <c r="B1083" t="s">
        <v>7091</v>
      </c>
      <c r="C1083" t="s">
        <v>7092</v>
      </c>
      <c r="D1083" t="s">
        <v>357</v>
      </c>
      <c r="E1083" t="s">
        <v>271</v>
      </c>
      <c r="F1083" t="s">
        <v>358</v>
      </c>
    </row>
    <row r="1084" spans="1:6" x14ac:dyDescent="0.25">
      <c r="A1084" t="s">
        <v>7093</v>
      </c>
      <c r="B1084" t="s">
        <v>7094</v>
      </c>
      <c r="C1084" t="s">
        <v>7095</v>
      </c>
      <c r="D1084" t="s">
        <v>0</v>
      </c>
      <c r="E1084" t="s">
        <v>271</v>
      </c>
      <c r="F1084" t="s">
        <v>325</v>
      </c>
    </row>
    <row r="1085" spans="1:6" x14ac:dyDescent="0.25">
      <c r="A1085" t="s">
        <v>7096</v>
      </c>
      <c r="B1085" t="s">
        <v>7097</v>
      </c>
      <c r="C1085" t="s">
        <v>7098</v>
      </c>
      <c r="D1085" t="s">
        <v>0</v>
      </c>
      <c r="E1085" t="s">
        <v>271</v>
      </c>
      <c r="F1085" t="s">
        <v>562</v>
      </c>
    </row>
    <row r="1086" spans="1:6" x14ac:dyDescent="0.25">
      <c r="A1086" t="s">
        <v>1573</v>
      </c>
      <c r="B1086" t="s">
        <v>1574</v>
      </c>
      <c r="C1086" t="s">
        <v>1576</v>
      </c>
      <c r="D1086" t="s">
        <v>295</v>
      </c>
      <c r="E1086" t="s">
        <v>271</v>
      </c>
      <c r="F1086" t="s">
        <v>1575</v>
      </c>
    </row>
    <row r="1087" spans="1:6" x14ac:dyDescent="0.25">
      <c r="A1087" t="s">
        <v>7099</v>
      </c>
      <c r="B1087" t="s">
        <v>7100</v>
      </c>
      <c r="C1087" t="s">
        <v>7101</v>
      </c>
      <c r="D1087" t="s">
        <v>0</v>
      </c>
      <c r="E1087" t="s">
        <v>271</v>
      </c>
      <c r="F1087" t="s">
        <v>726</v>
      </c>
    </row>
    <row r="1088" spans="1:6" x14ac:dyDescent="0.25">
      <c r="A1088" t="s">
        <v>7102</v>
      </c>
      <c r="B1088" t="s">
        <v>7103</v>
      </c>
      <c r="C1088" t="s">
        <v>7104</v>
      </c>
      <c r="D1088" t="s">
        <v>0</v>
      </c>
      <c r="E1088" t="s">
        <v>271</v>
      </c>
      <c r="F1088" t="s">
        <v>575</v>
      </c>
    </row>
    <row r="1089" spans="1:6" x14ac:dyDescent="0.25">
      <c r="A1089" t="s">
        <v>7105</v>
      </c>
      <c r="B1089" t="s">
        <v>7106</v>
      </c>
      <c r="C1089" t="s">
        <v>7107</v>
      </c>
      <c r="D1089" t="s">
        <v>7108</v>
      </c>
      <c r="E1089" t="s">
        <v>7109</v>
      </c>
      <c r="F1089" t="s">
        <v>7110</v>
      </c>
    </row>
    <row r="1090" spans="1:6" x14ac:dyDescent="0.25">
      <c r="A1090" t="s">
        <v>3604</v>
      </c>
      <c r="B1090" t="s">
        <v>3605</v>
      </c>
      <c r="C1090" t="s">
        <v>3606</v>
      </c>
      <c r="D1090" t="s">
        <v>0</v>
      </c>
      <c r="E1090" t="s">
        <v>271</v>
      </c>
      <c r="F1090" t="s">
        <v>319</v>
      </c>
    </row>
    <row r="1091" spans="1:6" x14ac:dyDescent="0.25">
      <c r="A1091" t="s">
        <v>7111</v>
      </c>
      <c r="B1091" t="s">
        <v>7112</v>
      </c>
      <c r="C1091" t="s">
        <v>7113</v>
      </c>
      <c r="D1091" t="s">
        <v>498</v>
      </c>
      <c r="E1091" t="s">
        <v>271</v>
      </c>
      <c r="F1091" t="s">
        <v>926</v>
      </c>
    </row>
    <row r="1092" spans="1:6" x14ac:dyDescent="0.25">
      <c r="A1092" t="s">
        <v>7114</v>
      </c>
      <c r="B1092" t="s">
        <v>7115</v>
      </c>
      <c r="C1092" t="s">
        <v>7116</v>
      </c>
      <c r="D1092" t="s">
        <v>2908</v>
      </c>
      <c r="E1092" t="s">
        <v>271</v>
      </c>
      <c r="F1092" t="s">
        <v>2470</v>
      </c>
    </row>
    <row r="1093" spans="1:6" x14ac:dyDescent="0.25">
      <c r="A1093" t="s">
        <v>1580</v>
      </c>
      <c r="B1093" t="s">
        <v>1581</v>
      </c>
      <c r="C1093" t="s">
        <v>1582</v>
      </c>
      <c r="D1093" t="s">
        <v>0</v>
      </c>
      <c r="E1093" t="s">
        <v>271</v>
      </c>
      <c r="F1093" t="s">
        <v>356</v>
      </c>
    </row>
    <row r="1094" spans="1:6" x14ac:dyDescent="0.25">
      <c r="A1094" t="s">
        <v>7117</v>
      </c>
      <c r="B1094" t="s">
        <v>7118</v>
      </c>
      <c r="C1094" t="s">
        <v>7119</v>
      </c>
      <c r="D1094" t="s">
        <v>361</v>
      </c>
      <c r="E1094" t="s">
        <v>271</v>
      </c>
      <c r="F1094" t="s">
        <v>1563</v>
      </c>
    </row>
    <row r="1095" spans="1:6" x14ac:dyDescent="0.25">
      <c r="A1095" t="s">
        <v>3042</v>
      </c>
      <c r="B1095" t="s">
        <v>3043</v>
      </c>
      <c r="C1095" t="s">
        <v>3044</v>
      </c>
      <c r="D1095" t="s">
        <v>598</v>
      </c>
      <c r="E1095" t="s">
        <v>271</v>
      </c>
      <c r="F1095" t="s">
        <v>599</v>
      </c>
    </row>
    <row r="1096" spans="1:6" x14ac:dyDescent="0.25">
      <c r="A1096" t="s">
        <v>783</v>
      </c>
      <c r="B1096" t="s">
        <v>784</v>
      </c>
      <c r="C1096" t="s">
        <v>786</v>
      </c>
      <c r="D1096" t="s">
        <v>0</v>
      </c>
      <c r="E1096" t="s">
        <v>271</v>
      </c>
      <c r="F1096" t="s">
        <v>785</v>
      </c>
    </row>
    <row r="1097" spans="1:6" x14ac:dyDescent="0.25">
      <c r="A1097" t="s">
        <v>2922</v>
      </c>
      <c r="B1097" t="s">
        <v>2923</v>
      </c>
      <c r="C1097" t="s">
        <v>2924</v>
      </c>
      <c r="D1097" t="s">
        <v>0</v>
      </c>
      <c r="E1097" t="s">
        <v>271</v>
      </c>
      <c r="F1097" t="s">
        <v>1534</v>
      </c>
    </row>
    <row r="1098" spans="1:6" x14ac:dyDescent="0.25">
      <c r="A1098" t="s">
        <v>897</v>
      </c>
      <c r="B1098" t="s">
        <v>898</v>
      </c>
      <c r="C1098" t="s">
        <v>899</v>
      </c>
      <c r="D1098" t="s">
        <v>295</v>
      </c>
      <c r="E1098" t="s">
        <v>271</v>
      </c>
      <c r="F1098" t="s">
        <v>294</v>
      </c>
    </row>
    <row r="1099" spans="1:6" x14ac:dyDescent="0.25">
      <c r="A1099" t="s">
        <v>7120</v>
      </c>
      <c r="B1099" t="s">
        <v>7121</v>
      </c>
      <c r="C1099" t="s">
        <v>7122</v>
      </c>
      <c r="D1099" t="s">
        <v>5641</v>
      </c>
      <c r="E1099" t="s">
        <v>271</v>
      </c>
      <c r="F1099" t="s">
        <v>1567</v>
      </c>
    </row>
    <row r="1100" spans="1:6" x14ac:dyDescent="0.25">
      <c r="A1100" t="s">
        <v>7123</v>
      </c>
      <c r="B1100" t="s">
        <v>7124</v>
      </c>
      <c r="C1100" t="s">
        <v>7125</v>
      </c>
      <c r="D1100" t="s">
        <v>586</v>
      </c>
      <c r="E1100" t="s">
        <v>271</v>
      </c>
      <c r="F1100" t="s">
        <v>662</v>
      </c>
    </row>
    <row r="1101" spans="1:6" x14ac:dyDescent="0.25">
      <c r="A1101" t="s">
        <v>7126</v>
      </c>
      <c r="B1101" t="s">
        <v>7127</v>
      </c>
      <c r="C1101" t="s">
        <v>7128</v>
      </c>
      <c r="D1101" t="s">
        <v>6005</v>
      </c>
      <c r="E1101" t="s">
        <v>271</v>
      </c>
      <c r="F1101" t="s">
        <v>4399</v>
      </c>
    </row>
    <row r="1102" spans="1:6" x14ac:dyDescent="0.25">
      <c r="A1102" t="s">
        <v>7129</v>
      </c>
      <c r="B1102" t="s">
        <v>7130</v>
      </c>
      <c r="C1102" t="s">
        <v>7131</v>
      </c>
      <c r="D1102" t="s">
        <v>3291</v>
      </c>
      <c r="E1102" t="s">
        <v>271</v>
      </c>
      <c r="F1102" t="s">
        <v>3290</v>
      </c>
    </row>
    <row r="1103" spans="1:6" x14ac:dyDescent="0.25">
      <c r="A1103" t="s">
        <v>7132</v>
      </c>
      <c r="B1103" t="s">
        <v>7133</v>
      </c>
      <c r="C1103" t="s">
        <v>7134</v>
      </c>
      <c r="D1103" t="s">
        <v>510</v>
      </c>
      <c r="E1103" t="s">
        <v>271</v>
      </c>
      <c r="F1103" t="s">
        <v>852</v>
      </c>
    </row>
    <row r="1104" spans="1:6" x14ac:dyDescent="0.25">
      <c r="A1104" t="s">
        <v>7135</v>
      </c>
      <c r="B1104" t="s">
        <v>7136</v>
      </c>
      <c r="C1104" t="s">
        <v>940</v>
      </c>
      <c r="D1104" t="s">
        <v>0</v>
      </c>
      <c r="E1104" t="s">
        <v>271</v>
      </c>
      <c r="F1104" t="s">
        <v>726</v>
      </c>
    </row>
    <row r="1105" spans="1:6" x14ac:dyDescent="0.25">
      <c r="A1105" t="s">
        <v>1230</v>
      </c>
      <c r="B1105" t="s">
        <v>1231</v>
      </c>
      <c r="C1105" t="s">
        <v>1232</v>
      </c>
      <c r="D1105" t="s">
        <v>492</v>
      </c>
      <c r="E1105" t="s">
        <v>271</v>
      </c>
      <c r="F1105" t="s">
        <v>1221</v>
      </c>
    </row>
    <row r="1106" spans="1:6" x14ac:dyDescent="0.25">
      <c r="A1106" t="s">
        <v>7137</v>
      </c>
      <c r="B1106" t="s">
        <v>7138</v>
      </c>
      <c r="C1106" t="s">
        <v>7139</v>
      </c>
      <c r="D1106" t="s">
        <v>498</v>
      </c>
      <c r="E1106" t="s">
        <v>271</v>
      </c>
      <c r="F1106" t="s">
        <v>4393</v>
      </c>
    </row>
    <row r="1107" spans="1:6" x14ac:dyDescent="0.25">
      <c r="A1107" t="s">
        <v>7140</v>
      </c>
      <c r="B1107" t="s">
        <v>7141</v>
      </c>
      <c r="C1107" t="s">
        <v>7142</v>
      </c>
      <c r="D1107" t="s">
        <v>1648</v>
      </c>
      <c r="E1107" t="s">
        <v>271</v>
      </c>
      <c r="F1107" t="s">
        <v>1647</v>
      </c>
    </row>
    <row r="1108" spans="1:6" x14ac:dyDescent="0.25">
      <c r="A1108" t="s">
        <v>7143</v>
      </c>
      <c r="B1108" t="s">
        <v>7144</v>
      </c>
      <c r="C1108" t="s">
        <v>7145</v>
      </c>
      <c r="D1108" t="s">
        <v>1542</v>
      </c>
      <c r="E1108" t="s">
        <v>269</v>
      </c>
      <c r="F1108" t="s">
        <v>1541</v>
      </c>
    </row>
    <row r="1109" spans="1:6" x14ac:dyDescent="0.25">
      <c r="A1109" t="s">
        <v>7146</v>
      </c>
      <c r="B1109" t="s">
        <v>7147</v>
      </c>
      <c r="C1109" t="s">
        <v>7148</v>
      </c>
      <c r="D1109" t="s">
        <v>0</v>
      </c>
      <c r="E1109" t="s">
        <v>271</v>
      </c>
      <c r="F1109" t="s">
        <v>356</v>
      </c>
    </row>
    <row r="1110" spans="1:6" x14ac:dyDescent="0.25">
      <c r="A1110" t="s">
        <v>7149</v>
      </c>
      <c r="B1110" t="s">
        <v>7150</v>
      </c>
      <c r="C1110" t="s">
        <v>7151</v>
      </c>
      <c r="D1110" t="s">
        <v>0</v>
      </c>
      <c r="E1110" t="s">
        <v>271</v>
      </c>
      <c r="F1110" t="s">
        <v>1115</v>
      </c>
    </row>
    <row r="1111" spans="1:6" x14ac:dyDescent="0.25">
      <c r="A1111" t="s">
        <v>7152</v>
      </c>
      <c r="B1111" t="s">
        <v>7153</v>
      </c>
      <c r="C1111" t="s">
        <v>7154</v>
      </c>
      <c r="D1111" t="s">
        <v>272</v>
      </c>
      <c r="E1111" t="s">
        <v>269</v>
      </c>
      <c r="F1111" t="s">
        <v>907</v>
      </c>
    </row>
    <row r="1112" spans="1:6" x14ac:dyDescent="0.25">
      <c r="A1112" t="s">
        <v>7155</v>
      </c>
      <c r="B1112" t="s">
        <v>7156</v>
      </c>
      <c r="C1112" t="s">
        <v>7157</v>
      </c>
      <c r="D1112" t="s">
        <v>668</v>
      </c>
      <c r="E1112" t="s">
        <v>271</v>
      </c>
      <c r="F1112" t="s">
        <v>667</v>
      </c>
    </row>
    <row r="1113" spans="1:6" x14ac:dyDescent="0.25">
      <c r="A1113" t="s">
        <v>7158</v>
      </c>
      <c r="B1113" t="s">
        <v>7159</v>
      </c>
      <c r="C1113" t="s">
        <v>7160</v>
      </c>
      <c r="D1113" t="s">
        <v>0</v>
      </c>
      <c r="E1113" t="s">
        <v>271</v>
      </c>
      <c r="F1113" t="s">
        <v>709</v>
      </c>
    </row>
    <row r="1114" spans="1:6" x14ac:dyDescent="0.25">
      <c r="A1114" t="s">
        <v>3748</v>
      </c>
      <c r="B1114" t="s">
        <v>3749</v>
      </c>
      <c r="C1114" t="s">
        <v>3750</v>
      </c>
      <c r="D1114" t="s">
        <v>1059</v>
      </c>
      <c r="E1114" t="s">
        <v>271</v>
      </c>
      <c r="F1114" t="s">
        <v>1058</v>
      </c>
    </row>
    <row r="1115" spans="1:6" x14ac:dyDescent="0.25">
      <c r="A1115" t="s">
        <v>7161</v>
      </c>
      <c r="B1115" t="s">
        <v>7162</v>
      </c>
      <c r="C1115" t="s">
        <v>7163</v>
      </c>
      <c r="D1115" t="s">
        <v>0</v>
      </c>
      <c r="E1115" t="s">
        <v>271</v>
      </c>
      <c r="F1115" t="s">
        <v>1534</v>
      </c>
    </row>
    <row r="1116" spans="1:6" x14ac:dyDescent="0.25">
      <c r="A1116" t="s">
        <v>7164</v>
      </c>
      <c r="B1116" t="s">
        <v>7165</v>
      </c>
      <c r="C1116" t="s">
        <v>7166</v>
      </c>
      <c r="D1116" t="s">
        <v>402</v>
      </c>
      <c r="E1116" t="s">
        <v>271</v>
      </c>
      <c r="F1116" t="s">
        <v>401</v>
      </c>
    </row>
    <row r="1117" spans="1:6" x14ac:dyDescent="0.25">
      <c r="A1117" t="s">
        <v>7167</v>
      </c>
      <c r="B1117" t="s">
        <v>7168</v>
      </c>
      <c r="C1117" t="s">
        <v>7169</v>
      </c>
      <c r="D1117" t="s">
        <v>610</v>
      </c>
      <c r="E1117" t="s">
        <v>271</v>
      </c>
      <c r="F1117" t="s">
        <v>611</v>
      </c>
    </row>
    <row r="1118" spans="1:6" x14ac:dyDescent="0.25">
      <c r="A1118" t="s">
        <v>7170</v>
      </c>
      <c r="B1118" t="s">
        <v>7171</v>
      </c>
      <c r="C1118" t="s">
        <v>7172</v>
      </c>
      <c r="D1118" t="s">
        <v>7173</v>
      </c>
      <c r="E1118" t="s">
        <v>271</v>
      </c>
      <c r="F1118" t="s">
        <v>3256</v>
      </c>
    </row>
    <row r="1119" spans="1:6" x14ac:dyDescent="0.25">
      <c r="A1119" t="s">
        <v>7174</v>
      </c>
      <c r="B1119" t="s">
        <v>7175</v>
      </c>
      <c r="C1119" t="s">
        <v>7176</v>
      </c>
      <c r="D1119" t="s">
        <v>0</v>
      </c>
      <c r="E1119" t="s">
        <v>271</v>
      </c>
      <c r="F1119" t="s">
        <v>319</v>
      </c>
    </row>
    <row r="1120" spans="1:6" x14ac:dyDescent="0.25">
      <c r="A1120" t="s">
        <v>7177</v>
      </c>
      <c r="B1120" t="s">
        <v>7178</v>
      </c>
      <c r="C1120" t="s">
        <v>7179</v>
      </c>
      <c r="D1120" t="s">
        <v>0</v>
      </c>
      <c r="E1120" t="s">
        <v>271</v>
      </c>
      <c r="F1120" t="s">
        <v>2349</v>
      </c>
    </row>
    <row r="1121" spans="1:6" x14ac:dyDescent="0.25">
      <c r="A1121" t="s">
        <v>7180</v>
      </c>
      <c r="B1121" t="s">
        <v>7181</v>
      </c>
      <c r="C1121" t="s">
        <v>7182</v>
      </c>
      <c r="D1121" t="s">
        <v>7183</v>
      </c>
      <c r="E1121" t="s">
        <v>271</v>
      </c>
      <c r="F1121" t="s">
        <v>435</v>
      </c>
    </row>
    <row r="1122" spans="1:6" x14ac:dyDescent="0.25">
      <c r="A1122" t="s">
        <v>7184</v>
      </c>
      <c r="B1122" t="s">
        <v>7185</v>
      </c>
      <c r="C1122" t="s">
        <v>7186</v>
      </c>
      <c r="D1122" t="s">
        <v>0</v>
      </c>
      <c r="E1122" t="s">
        <v>271</v>
      </c>
      <c r="F1122" t="s">
        <v>809</v>
      </c>
    </row>
    <row r="1123" spans="1:6" x14ac:dyDescent="0.25">
      <c r="A1123" t="s">
        <v>7187</v>
      </c>
      <c r="B1123" t="s">
        <v>7188</v>
      </c>
      <c r="C1123" t="s">
        <v>7189</v>
      </c>
      <c r="D1123" t="s">
        <v>0</v>
      </c>
      <c r="E1123" t="s">
        <v>271</v>
      </c>
      <c r="F1123" t="s">
        <v>881</v>
      </c>
    </row>
    <row r="1124" spans="1:6" x14ac:dyDescent="0.25">
      <c r="A1124" t="s">
        <v>7190</v>
      </c>
      <c r="B1124" t="s">
        <v>7191</v>
      </c>
      <c r="C1124" t="s">
        <v>7192</v>
      </c>
      <c r="D1124" t="s">
        <v>1925</v>
      </c>
      <c r="E1124" t="s">
        <v>271</v>
      </c>
      <c r="F1124" t="s">
        <v>1924</v>
      </c>
    </row>
    <row r="1125" spans="1:6" x14ac:dyDescent="0.25">
      <c r="A1125" t="s">
        <v>7193</v>
      </c>
      <c r="B1125" t="s">
        <v>7194</v>
      </c>
      <c r="C1125" t="s">
        <v>7195</v>
      </c>
      <c r="D1125" t="s">
        <v>1239</v>
      </c>
      <c r="E1125" t="s">
        <v>271</v>
      </c>
      <c r="F1125" t="s">
        <v>1238</v>
      </c>
    </row>
    <row r="1126" spans="1:6" x14ac:dyDescent="0.25">
      <c r="A1126" t="s">
        <v>7196</v>
      </c>
      <c r="B1126" t="s">
        <v>7197</v>
      </c>
      <c r="C1126" t="s">
        <v>7198</v>
      </c>
      <c r="D1126" t="s">
        <v>972</v>
      </c>
      <c r="E1126" t="s">
        <v>269</v>
      </c>
      <c r="F1126" t="s">
        <v>971</v>
      </c>
    </row>
    <row r="1127" spans="1:6" x14ac:dyDescent="0.25">
      <c r="A1127" t="s">
        <v>7199</v>
      </c>
      <c r="B1127" t="s">
        <v>7200</v>
      </c>
      <c r="C1127" t="s">
        <v>7201</v>
      </c>
      <c r="D1127" t="s">
        <v>503</v>
      </c>
      <c r="E1127" t="s">
        <v>271</v>
      </c>
      <c r="F1127" t="s">
        <v>504</v>
      </c>
    </row>
    <row r="1128" spans="1:6" x14ac:dyDescent="0.25">
      <c r="A1128" t="s">
        <v>7202</v>
      </c>
      <c r="B1128" t="s">
        <v>7203</v>
      </c>
      <c r="C1128" t="s">
        <v>7204</v>
      </c>
      <c r="D1128" t="s">
        <v>1643</v>
      </c>
      <c r="E1128" t="s">
        <v>271</v>
      </c>
      <c r="F1128" t="s">
        <v>2028</v>
      </c>
    </row>
    <row r="1129" spans="1:6" x14ac:dyDescent="0.25">
      <c r="A1129" t="s">
        <v>7205</v>
      </c>
      <c r="B1129" t="s">
        <v>7206</v>
      </c>
      <c r="C1129" t="s">
        <v>7207</v>
      </c>
      <c r="D1129" t="s">
        <v>578</v>
      </c>
      <c r="E1129" t="s">
        <v>271</v>
      </c>
      <c r="F1129" t="s">
        <v>321</v>
      </c>
    </row>
    <row r="1130" spans="1:6" x14ac:dyDescent="0.25">
      <c r="A1130" t="s">
        <v>7208</v>
      </c>
      <c r="B1130" t="s">
        <v>7209</v>
      </c>
      <c r="C1130" t="s">
        <v>7210</v>
      </c>
      <c r="D1130" t="s">
        <v>1079</v>
      </c>
      <c r="E1130" t="s">
        <v>271</v>
      </c>
      <c r="F1130" t="s">
        <v>1747</v>
      </c>
    </row>
    <row r="1131" spans="1:6" x14ac:dyDescent="0.25">
      <c r="A1131" t="s">
        <v>7211</v>
      </c>
      <c r="B1131" t="s">
        <v>7212</v>
      </c>
      <c r="C1131" t="s">
        <v>7213</v>
      </c>
      <c r="D1131" t="s">
        <v>4486</v>
      </c>
      <c r="E1131" t="s">
        <v>271</v>
      </c>
      <c r="F1131" t="s">
        <v>4380</v>
      </c>
    </row>
    <row r="1132" spans="1:6" x14ac:dyDescent="0.25">
      <c r="A1132" t="s">
        <v>7214</v>
      </c>
      <c r="B1132" t="s">
        <v>7215</v>
      </c>
      <c r="C1132" t="s">
        <v>7216</v>
      </c>
      <c r="D1132" t="s">
        <v>0</v>
      </c>
      <c r="E1132" t="s">
        <v>271</v>
      </c>
      <c r="F1132" t="s">
        <v>1214</v>
      </c>
    </row>
    <row r="1133" spans="1:6" x14ac:dyDescent="0.25">
      <c r="A1133" t="s">
        <v>7217</v>
      </c>
      <c r="B1133" t="s">
        <v>7218</v>
      </c>
      <c r="C1133" t="s">
        <v>7219</v>
      </c>
      <c r="D1133" t="s">
        <v>972</v>
      </c>
      <c r="E1133" t="s">
        <v>269</v>
      </c>
      <c r="F1133" t="s">
        <v>971</v>
      </c>
    </row>
    <row r="1134" spans="1:6" x14ac:dyDescent="0.25">
      <c r="A1134" t="s">
        <v>7220</v>
      </c>
      <c r="B1134" t="s">
        <v>7221</v>
      </c>
      <c r="C1134" t="s">
        <v>7222</v>
      </c>
      <c r="D1134" t="s">
        <v>222</v>
      </c>
      <c r="E1134" t="s">
        <v>271</v>
      </c>
      <c r="F1134" t="s">
        <v>313</v>
      </c>
    </row>
    <row r="1135" spans="1:6" x14ac:dyDescent="0.25">
      <c r="A1135" t="s">
        <v>7223</v>
      </c>
      <c r="B1135" t="s">
        <v>7224</v>
      </c>
      <c r="C1135" t="s">
        <v>7225</v>
      </c>
      <c r="D1135" t="s">
        <v>0</v>
      </c>
      <c r="E1135" t="s">
        <v>271</v>
      </c>
      <c r="F1135" t="s">
        <v>325</v>
      </c>
    </row>
    <row r="1136" spans="1:6" x14ac:dyDescent="0.25">
      <c r="A1136" t="s">
        <v>7226</v>
      </c>
      <c r="B1136" t="s">
        <v>7227</v>
      </c>
      <c r="C1136" t="s">
        <v>7228</v>
      </c>
      <c r="D1136" t="s">
        <v>0</v>
      </c>
      <c r="E1136" t="s">
        <v>271</v>
      </c>
      <c r="F1136" t="s">
        <v>881</v>
      </c>
    </row>
    <row r="1137" spans="1:6" x14ac:dyDescent="0.25">
      <c r="A1137" t="s">
        <v>7229</v>
      </c>
      <c r="B1137" t="s">
        <v>7230</v>
      </c>
      <c r="C1137" t="s">
        <v>7231</v>
      </c>
      <c r="D1137" t="s">
        <v>2166</v>
      </c>
      <c r="E1137" t="s">
        <v>271</v>
      </c>
      <c r="F1137" t="s">
        <v>2165</v>
      </c>
    </row>
    <row r="1138" spans="1:6" x14ac:dyDescent="0.25">
      <c r="A1138" t="s">
        <v>7232</v>
      </c>
      <c r="B1138" t="s">
        <v>7233</v>
      </c>
      <c r="C1138" t="s">
        <v>7234</v>
      </c>
      <c r="D1138" t="s">
        <v>2009</v>
      </c>
      <c r="E1138" t="s">
        <v>271</v>
      </c>
      <c r="F1138" t="s">
        <v>2008</v>
      </c>
    </row>
    <row r="1139" spans="1:6" x14ac:dyDescent="0.25">
      <c r="A1139" t="s">
        <v>7235</v>
      </c>
      <c r="B1139" t="s">
        <v>7236</v>
      </c>
      <c r="C1139" t="s">
        <v>7237</v>
      </c>
      <c r="D1139" t="s">
        <v>7238</v>
      </c>
      <c r="E1139" t="s">
        <v>7109</v>
      </c>
      <c r="F1139" t="s">
        <v>7239</v>
      </c>
    </row>
    <row r="1140" spans="1:6" x14ac:dyDescent="0.25">
      <c r="A1140" t="s">
        <v>7240</v>
      </c>
      <c r="B1140" t="s">
        <v>7241</v>
      </c>
      <c r="C1140" t="s">
        <v>7242</v>
      </c>
      <c r="D1140" t="s">
        <v>239</v>
      </c>
      <c r="E1140" t="s">
        <v>271</v>
      </c>
      <c r="F1140" t="s">
        <v>544</v>
      </c>
    </row>
    <row r="1141" spans="1:6" x14ac:dyDescent="0.25">
      <c r="A1141" t="s">
        <v>7243</v>
      </c>
      <c r="B1141" t="s">
        <v>7244</v>
      </c>
      <c r="C1141" t="s">
        <v>4770</v>
      </c>
      <c r="D1141" t="s">
        <v>1925</v>
      </c>
      <c r="E1141" t="s">
        <v>271</v>
      </c>
      <c r="F1141" t="s">
        <v>1924</v>
      </c>
    </row>
    <row r="1142" spans="1:6" x14ac:dyDescent="0.25">
      <c r="A1142" t="s">
        <v>2771</v>
      </c>
      <c r="B1142" t="s">
        <v>2772</v>
      </c>
      <c r="C1142" t="s">
        <v>2773</v>
      </c>
      <c r="D1142" t="s">
        <v>1862</v>
      </c>
      <c r="E1142" t="s">
        <v>271</v>
      </c>
      <c r="F1142" t="s">
        <v>1861</v>
      </c>
    </row>
    <row r="1143" spans="1:6" x14ac:dyDescent="0.25">
      <c r="A1143" t="s">
        <v>7245</v>
      </c>
      <c r="B1143" t="s">
        <v>7246</v>
      </c>
      <c r="C1143" t="s">
        <v>7247</v>
      </c>
      <c r="D1143" t="s">
        <v>7248</v>
      </c>
      <c r="E1143" t="s">
        <v>271</v>
      </c>
      <c r="F1143" t="s">
        <v>4438</v>
      </c>
    </row>
    <row r="1144" spans="1:6" x14ac:dyDescent="0.25">
      <c r="A1144" t="s">
        <v>7249</v>
      </c>
      <c r="B1144" t="s">
        <v>7250</v>
      </c>
      <c r="C1144" t="s">
        <v>7251</v>
      </c>
      <c r="D1144" t="s">
        <v>510</v>
      </c>
      <c r="E1144" t="s">
        <v>271</v>
      </c>
      <c r="F1144" t="s">
        <v>437</v>
      </c>
    </row>
    <row r="1145" spans="1:6" x14ac:dyDescent="0.25">
      <c r="A1145" t="s">
        <v>7252</v>
      </c>
      <c r="B1145" t="s">
        <v>7253</v>
      </c>
      <c r="C1145" t="s">
        <v>7254</v>
      </c>
      <c r="D1145" t="s">
        <v>7255</v>
      </c>
      <c r="E1145" t="s">
        <v>269</v>
      </c>
      <c r="F1145" t="s">
        <v>4404</v>
      </c>
    </row>
    <row r="1146" spans="1:6" x14ac:dyDescent="0.25">
      <c r="A1146" t="s">
        <v>7256</v>
      </c>
      <c r="B1146" t="s">
        <v>7257</v>
      </c>
      <c r="C1146" t="s">
        <v>7258</v>
      </c>
      <c r="D1146" t="s">
        <v>0</v>
      </c>
      <c r="E1146" t="s">
        <v>271</v>
      </c>
      <c r="F1146" t="s">
        <v>436</v>
      </c>
    </row>
    <row r="1147" spans="1:6" x14ac:dyDescent="0.25">
      <c r="A1147" t="s">
        <v>7259</v>
      </c>
      <c r="B1147" t="s">
        <v>7260</v>
      </c>
      <c r="C1147" t="s">
        <v>7261</v>
      </c>
      <c r="D1147" t="s">
        <v>0</v>
      </c>
      <c r="E1147" t="s">
        <v>271</v>
      </c>
      <c r="F1147" t="s">
        <v>332</v>
      </c>
    </row>
    <row r="1148" spans="1:6" x14ac:dyDescent="0.25">
      <c r="A1148" t="s">
        <v>7262</v>
      </c>
      <c r="B1148" t="s">
        <v>7263</v>
      </c>
      <c r="C1148" t="s">
        <v>7264</v>
      </c>
      <c r="D1148" t="s">
        <v>5424</v>
      </c>
      <c r="E1148" t="s">
        <v>271</v>
      </c>
      <c r="F1148" t="s">
        <v>7265</v>
      </c>
    </row>
    <row r="1149" spans="1:6" x14ac:dyDescent="0.25">
      <c r="A1149" t="s">
        <v>7266</v>
      </c>
      <c r="B1149" t="s">
        <v>7267</v>
      </c>
      <c r="C1149" t="s">
        <v>7268</v>
      </c>
      <c r="D1149" t="s">
        <v>0</v>
      </c>
      <c r="E1149" t="s">
        <v>271</v>
      </c>
      <c r="F1149" t="s">
        <v>709</v>
      </c>
    </row>
    <row r="1150" spans="1:6" x14ac:dyDescent="0.25">
      <c r="A1150" t="s">
        <v>7269</v>
      </c>
      <c r="B1150" t="s">
        <v>7270</v>
      </c>
      <c r="C1150" t="s">
        <v>7271</v>
      </c>
      <c r="D1150" t="s">
        <v>347</v>
      </c>
      <c r="E1150" t="s">
        <v>271</v>
      </c>
      <c r="F1150" t="s">
        <v>327</v>
      </c>
    </row>
    <row r="1151" spans="1:6" x14ac:dyDescent="0.25">
      <c r="A1151" t="s">
        <v>7272</v>
      </c>
      <c r="B1151" t="s">
        <v>7273</v>
      </c>
      <c r="C1151" t="s">
        <v>7274</v>
      </c>
      <c r="D1151" t="s">
        <v>0</v>
      </c>
      <c r="E1151" t="s">
        <v>271</v>
      </c>
      <c r="F1151" t="s">
        <v>2641</v>
      </c>
    </row>
    <row r="1152" spans="1:6" x14ac:dyDescent="0.25">
      <c r="A1152" t="s">
        <v>494</v>
      </c>
      <c r="B1152" t="s">
        <v>495</v>
      </c>
      <c r="C1152" t="s">
        <v>496</v>
      </c>
      <c r="D1152" t="s">
        <v>357</v>
      </c>
      <c r="E1152" t="s">
        <v>271</v>
      </c>
      <c r="F1152" t="s">
        <v>358</v>
      </c>
    </row>
    <row r="1153" spans="1:6" x14ac:dyDescent="0.25">
      <c r="A1153" t="s">
        <v>7275</v>
      </c>
      <c r="B1153" t="s">
        <v>7276</v>
      </c>
      <c r="C1153" t="s">
        <v>7277</v>
      </c>
      <c r="D1153" t="s">
        <v>363</v>
      </c>
      <c r="E1153" t="s">
        <v>271</v>
      </c>
      <c r="F1153" t="s">
        <v>364</v>
      </c>
    </row>
    <row r="1154" spans="1:6" x14ac:dyDescent="0.25">
      <c r="A1154" t="s">
        <v>7278</v>
      </c>
      <c r="B1154" t="s">
        <v>7279</v>
      </c>
      <c r="C1154" t="s">
        <v>7280</v>
      </c>
      <c r="D1154" t="s">
        <v>7281</v>
      </c>
      <c r="E1154" t="s">
        <v>271</v>
      </c>
      <c r="F1154" t="s">
        <v>401</v>
      </c>
    </row>
    <row r="1155" spans="1:6" x14ac:dyDescent="0.25">
      <c r="A1155" t="s">
        <v>7282</v>
      </c>
      <c r="B1155" t="s">
        <v>7283</v>
      </c>
      <c r="C1155" t="s">
        <v>7284</v>
      </c>
      <c r="D1155" t="s">
        <v>460</v>
      </c>
      <c r="E1155" t="s">
        <v>271</v>
      </c>
      <c r="F1155" t="s">
        <v>424</v>
      </c>
    </row>
    <row r="1156" spans="1:6" x14ac:dyDescent="0.25">
      <c r="A1156" t="s">
        <v>7285</v>
      </c>
      <c r="B1156" t="s">
        <v>7286</v>
      </c>
      <c r="C1156" t="s">
        <v>7287</v>
      </c>
      <c r="D1156" t="s">
        <v>1337</v>
      </c>
      <c r="E1156" t="s">
        <v>271</v>
      </c>
      <c r="F1156" t="s">
        <v>1336</v>
      </c>
    </row>
    <row r="1157" spans="1:6" x14ac:dyDescent="0.25">
      <c r="A1157" t="s">
        <v>7288</v>
      </c>
      <c r="B1157" t="s">
        <v>7289</v>
      </c>
      <c r="C1157" t="s">
        <v>7290</v>
      </c>
      <c r="D1157" t="s">
        <v>2265</v>
      </c>
      <c r="E1157" t="s">
        <v>271</v>
      </c>
      <c r="F1157" t="s">
        <v>2264</v>
      </c>
    </row>
    <row r="1158" spans="1:6" x14ac:dyDescent="0.25">
      <c r="A1158" t="s">
        <v>7291</v>
      </c>
      <c r="B1158" t="s">
        <v>7292</v>
      </c>
      <c r="C1158" t="s">
        <v>7293</v>
      </c>
      <c r="D1158" t="s">
        <v>340</v>
      </c>
      <c r="E1158" t="s">
        <v>271</v>
      </c>
      <c r="F1158" t="s">
        <v>317</v>
      </c>
    </row>
    <row r="1159" spans="1:6" x14ac:dyDescent="0.25">
      <c r="A1159" t="s">
        <v>7294</v>
      </c>
      <c r="B1159" t="s">
        <v>7295</v>
      </c>
      <c r="C1159" t="s">
        <v>7296</v>
      </c>
      <c r="D1159" t="s">
        <v>1421</v>
      </c>
      <c r="E1159" t="s">
        <v>271</v>
      </c>
      <c r="F1159" t="s">
        <v>1420</v>
      </c>
    </row>
    <row r="1160" spans="1:6" x14ac:dyDescent="0.25">
      <c r="A1160" t="s">
        <v>7297</v>
      </c>
      <c r="B1160" t="s">
        <v>7298</v>
      </c>
      <c r="C1160" t="s">
        <v>7299</v>
      </c>
      <c r="D1160" t="s">
        <v>586</v>
      </c>
      <c r="E1160" t="s">
        <v>271</v>
      </c>
      <c r="F1160" t="s">
        <v>334</v>
      </c>
    </row>
    <row r="1161" spans="1:6" x14ac:dyDescent="0.25">
      <c r="A1161" t="s">
        <v>7300</v>
      </c>
      <c r="B1161" t="s">
        <v>7301</v>
      </c>
      <c r="C1161" t="s">
        <v>7302</v>
      </c>
      <c r="D1161" t="s">
        <v>0</v>
      </c>
      <c r="E1161" t="s">
        <v>271</v>
      </c>
      <c r="F1161" t="s">
        <v>319</v>
      </c>
    </row>
    <row r="1162" spans="1:6" x14ac:dyDescent="0.25">
      <c r="A1162" t="s">
        <v>7303</v>
      </c>
      <c r="B1162" t="s">
        <v>7304</v>
      </c>
      <c r="C1162" t="s">
        <v>7305</v>
      </c>
      <c r="D1162" t="s">
        <v>1244</v>
      </c>
      <c r="E1162" t="s">
        <v>271</v>
      </c>
      <c r="F1162" t="s">
        <v>1243</v>
      </c>
    </row>
    <row r="1163" spans="1:6" x14ac:dyDescent="0.25">
      <c r="A1163" t="s">
        <v>7306</v>
      </c>
      <c r="B1163" t="s">
        <v>254</v>
      </c>
      <c r="C1163" t="s">
        <v>7307</v>
      </c>
      <c r="D1163" t="s">
        <v>7308</v>
      </c>
      <c r="E1163" t="s">
        <v>271</v>
      </c>
      <c r="F1163" t="s">
        <v>296</v>
      </c>
    </row>
    <row r="1164" spans="1:6" x14ac:dyDescent="0.25">
      <c r="A1164" t="s">
        <v>7309</v>
      </c>
      <c r="B1164" t="s">
        <v>7310</v>
      </c>
      <c r="C1164" t="s">
        <v>7311</v>
      </c>
      <c r="D1164" t="s">
        <v>0</v>
      </c>
      <c r="E1164" t="s">
        <v>271</v>
      </c>
      <c r="F1164" t="s">
        <v>709</v>
      </c>
    </row>
    <row r="1165" spans="1:6" x14ac:dyDescent="0.25">
      <c r="A1165" t="s">
        <v>7312</v>
      </c>
      <c r="B1165" t="s">
        <v>7313</v>
      </c>
      <c r="C1165" t="s">
        <v>7314</v>
      </c>
      <c r="D1165" t="s">
        <v>1643</v>
      </c>
      <c r="E1165" t="s">
        <v>271</v>
      </c>
      <c r="F1165" t="s">
        <v>2028</v>
      </c>
    </row>
    <row r="1166" spans="1:6" x14ac:dyDescent="0.25">
      <c r="A1166" t="s">
        <v>7315</v>
      </c>
      <c r="B1166" t="s">
        <v>7316</v>
      </c>
      <c r="C1166" t="s">
        <v>7317</v>
      </c>
      <c r="D1166" t="s">
        <v>7318</v>
      </c>
      <c r="E1166" t="s">
        <v>271</v>
      </c>
      <c r="F1166" t="s">
        <v>4432</v>
      </c>
    </row>
    <row r="1167" spans="1:6" x14ac:dyDescent="0.25">
      <c r="A1167" t="s">
        <v>7319</v>
      </c>
      <c r="B1167" t="s">
        <v>7320</v>
      </c>
      <c r="C1167" t="s">
        <v>7321</v>
      </c>
      <c r="D1167" t="s">
        <v>0</v>
      </c>
      <c r="E1167" t="s">
        <v>271</v>
      </c>
      <c r="F1167" t="s">
        <v>1321</v>
      </c>
    </row>
    <row r="1168" spans="1:6" x14ac:dyDescent="0.25">
      <c r="A1168" t="s">
        <v>7322</v>
      </c>
      <c r="B1168" t="s">
        <v>7323</v>
      </c>
      <c r="C1168" t="s">
        <v>7324</v>
      </c>
      <c r="D1168" t="s">
        <v>0</v>
      </c>
      <c r="E1168" t="s">
        <v>271</v>
      </c>
      <c r="F1168" t="s">
        <v>323</v>
      </c>
    </row>
    <row r="1169" spans="1:6" x14ac:dyDescent="0.25">
      <c r="A1169" t="s">
        <v>7325</v>
      </c>
      <c r="B1169" t="s">
        <v>7326</v>
      </c>
      <c r="C1169" t="s">
        <v>7327</v>
      </c>
      <c r="D1169" t="s">
        <v>492</v>
      </c>
      <c r="E1169" t="s">
        <v>271</v>
      </c>
      <c r="F1169" t="s">
        <v>1221</v>
      </c>
    </row>
    <row r="1170" spans="1:6" x14ac:dyDescent="0.25">
      <c r="A1170" t="s">
        <v>7328</v>
      </c>
      <c r="B1170" t="s">
        <v>7329</v>
      </c>
      <c r="C1170" t="s">
        <v>7330</v>
      </c>
      <c r="D1170" t="s">
        <v>0</v>
      </c>
      <c r="E1170" t="s">
        <v>271</v>
      </c>
      <c r="F1170" t="s">
        <v>356</v>
      </c>
    </row>
    <row r="1171" spans="1:6" x14ac:dyDescent="0.25">
      <c r="A1171" t="s">
        <v>7331</v>
      </c>
      <c r="B1171" t="s">
        <v>7332</v>
      </c>
      <c r="C1171" t="s">
        <v>7333</v>
      </c>
      <c r="D1171" t="s">
        <v>0</v>
      </c>
      <c r="E1171" t="s">
        <v>271</v>
      </c>
      <c r="F1171" t="s">
        <v>1180</v>
      </c>
    </row>
    <row r="1172" spans="1:6" x14ac:dyDescent="0.25">
      <c r="A1172" t="s">
        <v>2996</v>
      </c>
      <c r="B1172" t="s">
        <v>2997</v>
      </c>
      <c r="C1172" t="s">
        <v>2998</v>
      </c>
      <c r="D1172" t="s">
        <v>295</v>
      </c>
      <c r="E1172" t="s">
        <v>271</v>
      </c>
      <c r="F1172" t="s">
        <v>294</v>
      </c>
    </row>
    <row r="1173" spans="1:6" x14ac:dyDescent="0.25">
      <c r="A1173" t="s">
        <v>7334</v>
      </c>
      <c r="B1173" t="s">
        <v>7335</v>
      </c>
      <c r="C1173" t="s">
        <v>7336</v>
      </c>
      <c r="D1173" t="s">
        <v>503</v>
      </c>
      <c r="E1173" t="s">
        <v>271</v>
      </c>
      <c r="F1173" t="s">
        <v>504</v>
      </c>
    </row>
    <row r="1174" spans="1:6" x14ac:dyDescent="0.25">
      <c r="A1174" t="s">
        <v>7337</v>
      </c>
      <c r="B1174" t="s">
        <v>7338</v>
      </c>
      <c r="C1174" t="s">
        <v>7339</v>
      </c>
      <c r="D1174" t="s">
        <v>822</v>
      </c>
      <c r="E1174" t="s">
        <v>269</v>
      </c>
      <c r="F1174" t="s">
        <v>821</v>
      </c>
    </row>
    <row r="1175" spans="1:6" x14ac:dyDescent="0.25">
      <c r="A1175" t="s">
        <v>3395</v>
      </c>
      <c r="B1175" t="s">
        <v>3396</v>
      </c>
      <c r="C1175" t="s">
        <v>3397</v>
      </c>
      <c r="D1175" t="s">
        <v>566</v>
      </c>
      <c r="E1175" t="s">
        <v>271</v>
      </c>
      <c r="F1175" t="s">
        <v>567</v>
      </c>
    </row>
    <row r="1176" spans="1:6" x14ac:dyDescent="0.25">
      <c r="A1176" t="s">
        <v>7340</v>
      </c>
      <c r="B1176" t="s">
        <v>7341</v>
      </c>
      <c r="C1176" t="s">
        <v>7342</v>
      </c>
      <c r="D1176" t="s">
        <v>7255</v>
      </c>
      <c r="E1176" t="s">
        <v>269</v>
      </c>
      <c r="F1176" t="s">
        <v>4404</v>
      </c>
    </row>
    <row r="1177" spans="1:6" x14ac:dyDescent="0.25">
      <c r="A1177" t="s">
        <v>7343</v>
      </c>
      <c r="B1177" t="s">
        <v>7344</v>
      </c>
      <c r="C1177" t="s">
        <v>7345</v>
      </c>
      <c r="D1177" t="s">
        <v>1665</v>
      </c>
      <c r="E1177" t="s">
        <v>271</v>
      </c>
      <c r="F1177" t="s">
        <v>1664</v>
      </c>
    </row>
    <row r="1178" spans="1:6" x14ac:dyDescent="0.25">
      <c r="A1178" t="s">
        <v>7346</v>
      </c>
      <c r="B1178" t="s">
        <v>7347</v>
      </c>
      <c r="C1178" t="s">
        <v>7348</v>
      </c>
      <c r="D1178" t="s">
        <v>0</v>
      </c>
      <c r="E1178" t="s">
        <v>271</v>
      </c>
      <c r="F1178" t="s">
        <v>436</v>
      </c>
    </row>
    <row r="1179" spans="1:6" x14ac:dyDescent="0.25">
      <c r="A1179" t="s">
        <v>7349</v>
      </c>
      <c r="B1179" t="s">
        <v>7350</v>
      </c>
      <c r="C1179" t="s">
        <v>7351</v>
      </c>
      <c r="D1179" t="s">
        <v>0</v>
      </c>
      <c r="E1179" t="s">
        <v>271</v>
      </c>
      <c r="F1179" t="s">
        <v>2608</v>
      </c>
    </row>
    <row r="1180" spans="1:6" x14ac:dyDescent="0.25">
      <c r="A1180" t="s">
        <v>7352</v>
      </c>
      <c r="B1180" t="s">
        <v>7353</v>
      </c>
      <c r="C1180" t="s">
        <v>7354</v>
      </c>
      <c r="D1180" t="s">
        <v>540</v>
      </c>
      <c r="E1180" t="s">
        <v>271</v>
      </c>
      <c r="F1180" t="s">
        <v>339</v>
      </c>
    </row>
    <row r="1181" spans="1:6" x14ac:dyDescent="0.25">
      <c r="A1181" t="s">
        <v>7355</v>
      </c>
      <c r="B1181" t="s">
        <v>7356</v>
      </c>
      <c r="C1181" t="s">
        <v>7357</v>
      </c>
      <c r="D1181" t="s">
        <v>473</v>
      </c>
      <c r="E1181" t="s">
        <v>271</v>
      </c>
      <c r="F1181" t="s">
        <v>433</v>
      </c>
    </row>
    <row r="1182" spans="1:6" x14ac:dyDescent="0.25">
      <c r="A1182" t="s">
        <v>7358</v>
      </c>
      <c r="B1182" t="s">
        <v>7359</v>
      </c>
      <c r="C1182" t="s">
        <v>7360</v>
      </c>
      <c r="D1182" t="s">
        <v>1623</v>
      </c>
      <c r="E1182" t="s">
        <v>271</v>
      </c>
      <c r="F1182" t="s">
        <v>1622</v>
      </c>
    </row>
    <row r="1183" spans="1:6" x14ac:dyDescent="0.25">
      <c r="A1183" t="s">
        <v>7361</v>
      </c>
      <c r="B1183" t="s">
        <v>7362</v>
      </c>
      <c r="C1183" t="s">
        <v>7363</v>
      </c>
      <c r="D1183" t="s">
        <v>4089</v>
      </c>
      <c r="E1183" t="s">
        <v>271</v>
      </c>
      <c r="F1183" t="s">
        <v>480</v>
      </c>
    </row>
    <row r="1184" spans="1:6" x14ac:dyDescent="0.25">
      <c r="A1184" t="s">
        <v>7364</v>
      </c>
      <c r="B1184" t="s">
        <v>7365</v>
      </c>
      <c r="C1184" t="s">
        <v>7366</v>
      </c>
      <c r="D1184" t="s">
        <v>1361</v>
      </c>
      <c r="E1184" t="s">
        <v>271</v>
      </c>
      <c r="F1184" t="s">
        <v>511</v>
      </c>
    </row>
    <row r="1185" spans="1:6" x14ac:dyDescent="0.25">
      <c r="A1185" t="s">
        <v>7367</v>
      </c>
      <c r="B1185" t="s">
        <v>7368</v>
      </c>
      <c r="C1185" t="s">
        <v>7369</v>
      </c>
      <c r="D1185" t="s">
        <v>1126</v>
      </c>
      <c r="E1185" t="s">
        <v>271</v>
      </c>
      <c r="F1185" t="s">
        <v>1125</v>
      </c>
    </row>
    <row r="1186" spans="1:6" x14ac:dyDescent="0.25">
      <c r="A1186" t="s">
        <v>7370</v>
      </c>
      <c r="B1186" t="s">
        <v>7371</v>
      </c>
      <c r="C1186" t="s">
        <v>7372</v>
      </c>
      <c r="D1186" t="s">
        <v>0</v>
      </c>
      <c r="E1186" t="s">
        <v>271</v>
      </c>
      <c r="F1186" t="s">
        <v>1225</v>
      </c>
    </row>
    <row r="1187" spans="1:6" x14ac:dyDescent="0.25">
      <c r="A1187" t="s">
        <v>7373</v>
      </c>
      <c r="B1187" t="s">
        <v>7374</v>
      </c>
      <c r="C1187" t="s">
        <v>7375</v>
      </c>
      <c r="D1187" t="s">
        <v>668</v>
      </c>
      <c r="E1187" t="s">
        <v>271</v>
      </c>
      <c r="F1187" t="s">
        <v>667</v>
      </c>
    </row>
    <row r="1188" spans="1:6" x14ac:dyDescent="0.25">
      <c r="A1188" t="s">
        <v>2452</v>
      </c>
      <c r="B1188" t="s">
        <v>2453</v>
      </c>
      <c r="C1188" t="s">
        <v>2454</v>
      </c>
      <c r="D1188" t="s">
        <v>0</v>
      </c>
      <c r="E1188" t="s">
        <v>271</v>
      </c>
      <c r="F1188" t="s">
        <v>881</v>
      </c>
    </row>
    <row r="1189" spans="1:6" x14ac:dyDescent="0.25">
      <c r="A1189" t="s">
        <v>7376</v>
      </c>
      <c r="B1189" t="s">
        <v>7377</v>
      </c>
      <c r="C1189" t="s">
        <v>7378</v>
      </c>
      <c r="D1189" t="s">
        <v>461</v>
      </c>
      <c r="E1189" t="s">
        <v>271</v>
      </c>
      <c r="F1189" t="s">
        <v>336</v>
      </c>
    </row>
    <row r="1190" spans="1:6" x14ac:dyDescent="0.25">
      <c r="A1190" t="s">
        <v>7379</v>
      </c>
      <c r="B1190" t="s">
        <v>7380</v>
      </c>
      <c r="C1190" t="s">
        <v>7381</v>
      </c>
      <c r="D1190" t="s">
        <v>1925</v>
      </c>
      <c r="E1190" t="s">
        <v>271</v>
      </c>
      <c r="F1190" t="s">
        <v>3332</v>
      </c>
    </row>
    <row r="1191" spans="1:6" x14ac:dyDescent="0.25">
      <c r="A1191" t="s">
        <v>7382</v>
      </c>
      <c r="B1191" t="s">
        <v>7383</v>
      </c>
      <c r="C1191" t="s">
        <v>7384</v>
      </c>
      <c r="D1191" t="s">
        <v>490</v>
      </c>
      <c r="E1191" t="s">
        <v>271</v>
      </c>
      <c r="F1191" t="s">
        <v>491</v>
      </c>
    </row>
    <row r="1192" spans="1:6" x14ac:dyDescent="0.25">
      <c r="A1192" t="s">
        <v>7385</v>
      </c>
      <c r="B1192" t="s">
        <v>7386</v>
      </c>
      <c r="C1192" t="s">
        <v>7387</v>
      </c>
      <c r="D1192" t="s">
        <v>1958</v>
      </c>
      <c r="E1192" t="s">
        <v>271</v>
      </c>
      <c r="F1192" t="s">
        <v>1957</v>
      </c>
    </row>
    <row r="1193" spans="1:6" x14ac:dyDescent="0.25">
      <c r="A1193" t="s">
        <v>7388</v>
      </c>
      <c r="B1193" t="s">
        <v>7389</v>
      </c>
      <c r="C1193" t="s">
        <v>7390</v>
      </c>
      <c r="D1193" t="s">
        <v>0</v>
      </c>
      <c r="E1193" t="s">
        <v>271</v>
      </c>
      <c r="F1193" t="s">
        <v>356</v>
      </c>
    </row>
    <row r="1194" spans="1:6" x14ac:dyDescent="0.25">
      <c r="A1194" t="s">
        <v>7391</v>
      </c>
      <c r="B1194" t="s">
        <v>7392</v>
      </c>
      <c r="C1194" t="s">
        <v>1652</v>
      </c>
      <c r="D1194" t="s">
        <v>3208</v>
      </c>
      <c r="E1194" t="s">
        <v>271</v>
      </c>
      <c r="F1194" t="s">
        <v>3207</v>
      </c>
    </row>
    <row r="1195" spans="1:6" x14ac:dyDescent="0.25">
      <c r="A1195" t="s">
        <v>2490</v>
      </c>
      <c r="B1195" t="s">
        <v>2491</v>
      </c>
      <c r="C1195" t="s">
        <v>2494</v>
      </c>
      <c r="D1195" t="s">
        <v>2493</v>
      </c>
      <c r="E1195" t="s">
        <v>271</v>
      </c>
      <c r="F1195" t="s">
        <v>2492</v>
      </c>
    </row>
    <row r="1196" spans="1:6" x14ac:dyDescent="0.25">
      <c r="A1196" t="s">
        <v>7393</v>
      </c>
      <c r="B1196" t="s">
        <v>7394</v>
      </c>
      <c r="C1196" t="s">
        <v>7395</v>
      </c>
      <c r="D1196" t="s">
        <v>0</v>
      </c>
      <c r="E1196" t="s">
        <v>271</v>
      </c>
      <c r="F1196" t="s">
        <v>356</v>
      </c>
    </row>
    <row r="1197" spans="1:6" x14ac:dyDescent="0.25">
      <c r="A1197" t="s">
        <v>2231</v>
      </c>
      <c r="B1197" t="s">
        <v>2232</v>
      </c>
      <c r="C1197" t="s">
        <v>2233</v>
      </c>
      <c r="D1197" t="s">
        <v>246</v>
      </c>
      <c r="E1197" t="s">
        <v>271</v>
      </c>
      <c r="F1197" t="s">
        <v>426</v>
      </c>
    </row>
    <row r="1198" spans="1:6" x14ac:dyDescent="0.25">
      <c r="A1198" t="s">
        <v>7396</v>
      </c>
      <c r="B1198" t="s">
        <v>7397</v>
      </c>
      <c r="C1198" t="s">
        <v>7398</v>
      </c>
      <c r="D1198" t="s">
        <v>237</v>
      </c>
      <c r="E1198" t="s">
        <v>271</v>
      </c>
      <c r="F1198" t="s">
        <v>427</v>
      </c>
    </row>
    <row r="1199" spans="1:6" x14ac:dyDescent="0.25">
      <c r="A1199" t="s">
        <v>7399</v>
      </c>
      <c r="B1199" t="s">
        <v>7400</v>
      </c>
      <c r="C1199" t="s">
        <v>7401</v>
      </c>
      <c r="D1199" t="s">
        <v>0</v>
      </c>
      <c r="E1199" t="s">
        <v>271</v>
      </c>
      <c r="F1199" t="s">
        <v>1141</v>
      </c>
    </row>
    <row r="1200" spans="1:6" x14ac:dyDescent="0.25">
      <c r="A1200" t="s">
        <v>7402</v>
      </c>
      <c r="B1200" t="s">
        <v>7403</v>
      </c>
      <c r="C1200" t="s">
        <v>7404</v>
      </c>
      <c r="D1200" t="s">
        <v>506</v>
      </c>
      <c r="E1200" t="s">
        <v>271</v>
      </c>
      <c r="F1200" t="s">
        <v>507</v>
      </c>
    </row>
    <row r="1201" spans="1:6" x14ac:dyDescent="0.25">
      <c r="A1201" t="s">
        <v>7405</v>
      </c>
      <c r="B1201" t="s">
        <v>7406</v>
      </c>
      <c r="C1201" t="s">
        <v>7407</v>
      </c>
      <c r="D1201" t="s">
        <v>7408</v>
      </c>
      <c r="E1201" t="s">
        <v>271</v>
      </c>
      <c r="F1201" t="s">
        <v>4401</v>
      </c>
    </row>
    <row r="1202" spans="1:6" x14ac:dyDescent="0.25">
      <c r="A1202" t="s">
        <v>7409</v>
      </c>
      <c r="B1202" t="s">
        <v>7410</v>
      </c>
      <c r="C1202" t="s">
        <v>7411</v>
      </c>
      <c r="D1202" t="s">
        <v>460</v>
      </c>
      <c r="E1202" t="s">
        <v>271</v>
      </c>
      <c r="F1202" t="s">
        <v>435</v>
      </c>
    </row>
    <row r="1203" spans="1:6" x14ac:dyDescent="0.25">
      <c r="A1203" t="s">
        <v>7412</v>
      </c>
      <c r="B1203" t="s">
        <v>7413</v>
      </c>
      <c r="C1203" t="s">
        <v>7414</v>
      </c>
      <c r="D1203" t="s">
        <v>451</v>
      </c>
      <c r="E1203" t="s">
        <v>271</v>
      </c>
      <c r="F1203" t="s">
        <v>433</v>
      </c>
    </row>
    <row r="1204" spans="1:6" x14ac:dyDescent="0.25">
      <c r="A1204" t="s">
        <v>7415</v>
      </c>
      <c r="B1204" t="s">
        <v>7416</v>
      </c>
      <c r="C1204" t="s">
        <v>7417</v>
      </c>
      <c r="D1204" t="s">
        <v>498</v>
      </c>
      <c r="E1204" t="s">
        <v>271</v>
      </c>
      <c r="F1204" t="s">
        <v>926</v>
      </c>
    </row>
    <row r="1205" spans="1:6" x14ac:dyDescent="0.25">
      <c r="A1205" t="s">
        <v>7418</v>
      </c>
      <c r="B1205" t="s">
        <v>7419</v>
      </c>
      <c r="C1205" t="s">
        <v>7420</v>
      </c>
      <c r="D1205" t="s">
        <v>312</v>
      </c>
      <c r="E1205" t="s">
        <v>271</v>
      </c>
      <c r="F1205" t="s">
        <v>311</v>
      </c>
    </row>
    <row r="1206" spans="1:6" x14ac:dyDescent="0.25">
      <c r="A1206" t="s">
        <v>3389</v>
      </c>
      <c r="B1206" t="s">
        <v>3390</v>
      </c>
      <c r="C1206" t="s">
        <v>3391</v>
      </c>
      <c r="D1206" t="s">
        <v>986</v>
      </c>
      <c r="E1206" t="s">
        <v>271</v>
      </c>
      <c r="F1206" t="s">
        <v>985</v>
      </c>
    </row>
    <row r="1207" spans="1:6" x14ac:dyDescent="0.25">
      <c r="A1207" t="s">
        <v>7421</v>
      </c>
      <c r="B1207" t="s">
        <v>7422</v>
      </c>
      <c r="C1207" t="s">
        <v>7423</v>
      </c>
      <c r="D1207" t="s">
        <v>500</v>
      </c>
      <c r="E1207" t="s">
        <v>271</v>
      </c>
      <c r="F1207" t="s">
        <v>501</v>
      </c>
    </row>
    <row r="1208" spans="1:6" x14ac:dyDescent="0.25">
      <c r="A1208" t="s">
        <v>7424</v>
      </c>
      <c r="B1208" t="s">
        <v>7425</v>
      </c>
      <c r="C1208" t="s">
        <v>7426</v>
      </c>
      <c r="D1208" t="s">
        <v>361</v>
      </c>
      <c r="E1208" t="s">
        <v>271</v>
      </c>
      <c r="F1208" t="s">
        <v>1563</v>
      </c>
    </row>
    <row r="1209" spans="1:6" x14ac:dyDescent="0.25">
      <c r="A1209" t="s">
        <v>7427</v>
      </c>
      <c r="B1209" t="s">
        <v>7428</v>
      </c>
      <c r="C1209" t="s">
        <v>7429</v>
      </c>
      <c r="D1209" t="s">
        <v>1485</v>
      </c>
      <c r="E1209" t="s">
        <v>271</v>
      </c>
      <c r="F1209" t="s">
        <v>1519</v>
      </c>
    </row>
    <row r="1210" spans="1:6" x14ac:dyDescent="0.25">
      <c r="A1210" t="s">
        <v>7430</v>
      </c>
      <c r="B1210" t="s">
        <v>7431</v>
      </c>
      <c r="C1210" t="s">
        <v>7432</v>
      </c>
      <c r="D1210" t="s">
        <v>0</v>
      </c>
      <c r="E1210" t="s">
        <v>271</v>
      </c>
      <c r="F1210" t="s">
        <v>1321</v>
      </c>
    </row>
    <row r="1211" spans="1:6" x14ac:dyDescent="0.25">
      <c r="A1211" t="s">
        <v>7433</v>
      </c>
      <c r="B1211" t="s">
        <v>7434</v>
      </c>
      <c r="C1211" t="s">
        <v>7435</v>
      </c>
      <c r="D1211" t="s">
        <v>0</v>
      </c>
      <c r="E1211" t="s">
        <v>271</v>
      </c>
      <c r="F1211" t="s">
        <v>1534</v>
      </c>
    </row>
    <row r="1212" spans="1:6" x14ac:dyDescent="0.25">
      <c r="A1212" t="s">
        <v>7436</v>
      </c>
      <c r="B1212" t="s">
        <v>7437</v>
      </c>
      <c r="C1212" t="s">
        <v>7438</v>
      </c>
      <c r="D1212" t="s">
        <v>0</v>
      </c>
      <c r="E1212" t="s">
        <v>271</v>
      </c>
      <c r="F1212" t="s">
        <v>562</v>
      </c>
    </row>
    <row r="1213" spans="1:6" x14ac:dyDescent="0.25">
      <c r="A1213" t="s">
        <v>7439</v>
      </c>
      <c r="B1213" t="s">
        <v>7440</v>
      </c>
      <c r="C1213" t="s">
        <v>7441</v>
      </c>
      <c r="D1213" t="s">
        <v>0</v>
      </c>
      <c r="E1213" t="s">
        <v>271</v>
      </c>
      <c r="F1213" t="s">
        <v>436</v>
      </c>
    </row>
    <row r="1214" spans="1:6" x14ac:dyDescent="0.25">
      <c r="A1214" t="s">
        <v>2829</v>
      </c>
      <c r="B1214" t="s">
        <v>2830</v>
      </c>
      <c r="C1214" t="s">
        <v>2831</v>
      </c>
      <c r="D1214" t="s">
        <v>314</v>
      </c>
      <c r="E1214" t="s">
        <v>271</v>
      </c>
      <c r="F1214" t="s">
        <v>352</v>
      </c>
    </row>
    <row r="1215" spans="1:6" x14ac:dyDescent="0.25">
      <c r="A1215" t="s">
        <v>7442</v>
      </c>
      <c r="B1215" t="s">
        <v>7443</v>
      </c>
      <c r="C1215" t="s">
        <v>7444</v>
      </c>
      <c r="D1215" t="s">
        <v>466</v>
      </c>
      <c r="E1215" t="s">
        <v>271</v>
      </c>
      <c r="F1215" t="s">
        <v>434</v>
      </c>
    </row>
    <row r="1216" spans="1:6" x14ac:dyDescent="0.25">
      <c r="A1216" t="s">
        <v>7445</v>
      </c>
      <c r="B1216" t="s">
        <v>7446</v>
      </c>
      <c r="C1216" t="s">
        <v>7447</v>
      </c>
      <c r="D1216" t="s">
        <v>0</v>
      </c>
      <c r="E1216" t="s">
        <v>271</v>
      </c>
      <c r="F1216" t="s">
        <v>2349</v>
      </c>
    </row>
    <row r="1217" spans="1:6" x14ac:dyDescent="0.25">
      <c r="A1217" t="s">
        <v>7448</v>
      </c>
      <c r="B1217" t="s">
        <v>7449</v>
      </c>
      <c r="C1217" t="s">
        <v>7450</v>
      </c>
      <c r="D1217" t="s">
        <v>506</v>
      </c>
      <c r="E1217" t="s">
        <v>271</v>
      </c>
      <c r="F1217" t="s">
        <v>507</v>
      </c>
    </row>
    <row r="1218" spans="1:6" x14ac:dyDescent="0.25">
      <c r="A1218" t="s">
        <v>7451</v>
      </c>
      <c r="B1218" t="s">
        <v>7452</v>
      </c>
      <c r="C1218" t="s">
        <v>7453</v>
      </c>
      <c r="D1218" t="s">
        <v>345</v>
      </c>
      <c r="E1218" t="s">
        <v>269</v>
      </c>
      <c r="F1218" t="s">
        <v>684</v>
      </c>
    </row>
    <row r="1219" spans="1:6" x14ac:dyDescent="0.25">
      <c r="A1219" t="s">
        <v>7454</v>
      </c>
      <c r="B1219" t="s">
        <v>7455</v>
      </c>
      <c r="C1219" t="s">
        <v>7456</v>
      </c>
      <c r="D1219" t="s">
        <v>0</v>
      </c>
      <c r="E1219" t="s">
        <v>271</v>
      </c>
      <c r="F1219" t="s">
        <v>731</v>
      </c>
    </row>
    <row r="1220" spans="1:6" x14ac:dyDescent="0.25">
      <c r="A1220" t="s">
        <v>7457</v>
      </c>
      <c r="B1220" t="s">
        <v>7458</v>
      </c>
      <c r="C1220" t="s">
        <v>7459</v>
      </c>
      <c r="D1220" t="s">
        <v>0</v>
      </c>
      <c r="E1220" t="s">
        <v>271</v>
      </c>
      <c r="F1220" t="s">
        <v>319</v>
      </c>
    </row>
    <row r="1221" spans="1:6" x14ac:dyDescent="0.25">
      <c r="A1221" t="s">
        <v>1376</v>
      </c>
      <c r="B1221" t="s">
        <v>1377</v>
      </c>
      <c r="C1221" t="s">
        <v>1378</v>
      </c>
      <c r="D1221" t="s">
        <v>1059</v>
      </c>
      <c r="E1221" t="s">
        <v>271</v>
      </c>
      <c r="F1221" t="s">
        <v>1058</v>
      </c>
    </row>
    <row r="1222" spans="1:6" x14ac:dyDescent="0.25">
      <c r="A1222" t="s">
        <v>7460</v>
      </c>
      <c r="B1222" t="s">
        <v>7461</v>
      </c>
      <c r="C1222" t="s">
        <v>7462</v>
      </c>
      <c r="D1222" t="s">
        <v>239</v>
      </c>
      <c r="E1222" t="s">
        <v>271</v>
      </c>
      <c r="F1222" t="s">
        <v>544</v>
      </c>
    </row>
    <row r="1223" spans="1:6" x14ac:dyDescent="0.25">
      <c r="A1223" t="s">
        <v>7463</v>
      </c>
      <c r="B1223" t="s">
        <v>7464</v>
      </c>
      <c r="C1223" t="s">
        <v>7465</v>
      </c>
      <c r="D1223" t="s">
        <v>0</v>
      </c>
      <c r="E1223" t="s">
        <v>271</v>
      </c>
      <c r="F1223" t="s">
        <v>355</v>
      </c>
    </row>
    <row r="1224" spans="1:6" x14ac:dyDescent="0.25">
      <c r="A1224" t="s">
        <v>7466</v>
      </c>
      <c r="B1224" t="s">
        <v>7467</v>
      </c>
      <c r="C1224" t="s">
        <v>7468</v>
      </c>
      <c r="D1224" t="s">
        <v>972</v>
      </c>
      <c r="E1224" t="s">
        <v>269</v>
      </c>
      <c r="F1224" t="s">
        <v>971</v>
      </c>
    </row>
    <row r="1225" spans="1:6" x14ac:dyDescent="0.25">
      <c r="A1225" t="s">
        <v>7469</v>
      </c>
      <c r="B1225" t="s">
        <v>7470</v>
      </c>
      <c r="C1225" t="s">
        <v>7471</v>
      </c>
      <c r="D1225" t="s">
        <v>1601</v>
      </c>
      <c r="E1225" t="s">
        <v>269</v>
      </c>
      <c r="F1225" t="s">
        <v>3126</v>
      </c>
    </row>
    <row r="1226" spans="1:6" x14ac:dyDescent="0.25">
      <c r="A1226" t="s">
        <v>7472</v>
      </c>
      <c r="B1226" t="s">
        <v>7473</v>
      </c>
      <c r="C1226" t="s">
        <v>7474</v>
      </c>
      <c r="D1226" t="s">
        <v>822</v>
      </c>
      <c r="E1226" t="s">
        <v>269</v>
      </c>
      <c r="F1226" t="s">
        <v>821</v>
      </c>
    </row>
    <row r="1227" spans="1:6" x14ac:dyDescent="0.25">
      <c r="A1227" t="s">
        <v>7475</v>
      </c>
      <c r="B1227" t="s">
        <v>7476</v>
      </c>
      <c r="C1227" t="s">
        <v>7477</v>
      </c>
      <c r="D1227" t="s">
        <v>0</v>
      </c>
      <c r="E1227" t="s">
        <v>271</v>
      </c>
      <c r="F1227" t="s">
        <v>562</v>
      </c>
    </row>
    <row r="1228" spans="1:6" x14ac:dyDescent="0.25">
      <c r="A1228" t="s">
        <v>7478</v>
      </c>
      <c r="B1228" t="s">
        <v>7479</v>
      </c>
      <c r="C1228" t="s">
        <v>7480</v>
      </c>
      <c r="D1228" t="s">
        <v>2093</v>
      </c>
      <c r="E1228" t="s">
        <v>271</v>
      </c>
      <c r="F1228" t="s">
        <v>1058</v>
      </c>
    </row>
    <row r="1229" spans="1:6" x14ac:dyDescent="0.25">
      <c r="A1229" t="s">
        <v>7481</v>
      </c>
      <c r="B1229" t="s">
        <v>7482</v>
      </c>
      <c r="C1229" t="s">
        <v>7483</v>
      </c>
      <c r="D1229" t="s">
        <v>6001</v>
      </c>
      <c r="E1229" t="s">
        <v>271</v>
      </c>
      <c r="F1229" t="s">
        <v>4429</v>
      </c>
    </row>
    <row r="1230" spans="1:6" x14ac:dyDescent="0.25">
      <c r="A1230" t="s">
        <v>7484</v>
      </c>
      <c r="B1230" t="s">
        <v>7485</v>
      </c>
      <c r="C1230" t="s">
        <v>7486</v>
      </c>
      <c r="D1230" t="s">
        <v>0</v>
      </c>
      <c r="E1230" t="s">
        <v>271</v>
      </c>
      <c r="F1230" t="s">
        <v>1321</v>
      </c>
    </row>
    <row r="1231" spans="1:6" x14ac:dyDescent="0.25">
      <c r="A1231" t="s">
        <v>7487</v>
      </c>
      <c r="B1231" t="s">
        <v>7488</v>
      </c>
      <c r="C1231" t="s">
        <v>7489</v>
      </c>
      <c r="D1231" t="s">
        <v>0</v>
      </c>
      <c r="E1231" t="s">
        <v>271</v>
      </c>
      <c r="F1231" t="s">
        <v>4384</v>
      </c>
    </row>
    <row r="1232" spans="1:6" x14ac:dyDescent="0.25">
      <c r="A1232" t="s">
        <v>7490</v>
      </c>
      <c r="B1232" t="s">
        <v>7491</v>
      </c>
      <c r="C1232" t="s">
        <v>7492</v>
      </c>
      <c r="D1232" t="s">
        <v>0</v>
      </c>
      <c r="E1232" t="s">
        <v>271</v>
      </c>
      <c r="F1232" t="s">
        <v>726</v>
      </c>
    </row>
    <row r="1233" spans="1:6" x14ac:dyDescent="0.25">
      <c r="A1233" t="s">
        <v>1755</v>
      </c>
      <c r="B1233" t="s">
        <v>1756</v>
      </c>
      <c r="C1233" t="s">
        <v>1757</v>
      </c>
      <c r="D1233" t="s">
        <v>986</v>
      </c>
      <c r="E1233" t="s">
        <v>271</v>
      </c>
      <c r="F1233" t="s">
        <v>985</v>
      </c>
    </row>
    <row r="1234" spans="1:6" x14ac:dyDescent="0.25">
      <c r="A1234" t="s">
        <v>7493</v>
      </c>
      <c r="B1234" t="s">
        <v>7494</v>
      </c>
      <c r="C1234" t="s">
        <v>7495</v>
      </c>
      <c r="D1234" t="s">
        <v>0</v>
      </c>
      <c r="E1234" t="s">
        <v>271</v>
      </c>
      <c r="F1234" t="s">
        <v>325</v>
      </c>
    </row>
    <row r="1235" spans="1:6" x14ac:dyDescent="0.25">
      <c r="A1235" t="s">
        <v>2868</v>
      </c>
      <c r="B1235" t="s">
        <v>2869</v>
      </c>
      <c r="C1235" t="s">
        <v>2870</v>
      </c>
      <c r="D1235" t="s">
        <v>586</v>
      </c>
      <c r="E1235" t="s">
        <v>271</v>
      </c>
      <c r="F1235" t="s">
        <v>334</v>
      </c>
    </row>
    <row r="1236" spans="1:6" x14ac:dyDescent="0.25">
      <c r="A1236" t="s">
        <v>7496</v>
      </c>
      <c r="B1236" t="s">
        <v>7497</v>
      </c>
      <c r="C1236" t="s">
        <v>7498</v>
      </c>
      <c r="D1236" t="s">
        <v>0</v>
      </c>
      <c r="E1236" t="s">
        <v>271</v>
      </c>
      <c r="F1236" t="s">
        <v>355</v>
      </c>
    </row>
    <row r="1237" spans="1:6" x14ac:dyDescent="0.25">
      <c r="A1237" t="s">
        <v>7499</v>
      </c>
      <c r="B1237" t="s">
        <v>7500</v>
      </c>
      <c r="C1237" t="s">
        <v>7501</v>
      </c>
      <c r="D1237" t="s">
        <v>2667</v>
      </c>
      <c r="E1237" t="s">
        <v>271</v>
      </c>
      <c r="F1237" t="s">
        <v>2666</v>
      </c>
    </row>
    <row r="1238" spans="1:6" x14ac:dyDescent="0.25">
      <c r="A1238" t="s">
        <v>7502</v>
      </c>
      <c r="B1238" t="s">
        <v>7503</v>
      </c>
      <c r="C1238" t="s">
        <v>7504</v>
      </c>
      <c r="D1238" t="s">
        <v>986</v>
      </c>
      <c r="E1238" t="s">
        <v>271</v>
      </c>
      <c r="F1238" t="s">
        <v>985</v>
      </c>
    </row>
    <row r="1239" spans="1:6" x14ac:dyDescent="0.25">
      <c r="A1239" t="s">
        <v>7505</v>
      </c>
      <c r="B1239" t="s">
        <v>7506</v>
      </c>
      <c r="C1239" t="s">
        <v>7258</v>
      </c>
      <c r="D1239" t="s">
        <v>0</v>
      </c>
      <c r="E1239" t="s">
        <v>271</v>
      </c>
      <c r="F1239" t="s">
        <v>436</v>
      </c>
    </row>
    <row r="1240" spans="1:6" x14ac:dyDescent="0.25">
      <c r="A1240" t="s">
        <v>7507</v>
      </c>
      <c r="B1240" t="s">
        <v>7508</v>
      </c>
      <c r="C1240" t="s">
        <v>7509</v>
      </c>
      <c r="D1240" t="s">
        <v>1303</v>
      </c>
      <c r="E1240" t="s">
        <v>269</v>
      </c>
      <c r="F1240" t="s">
        <v>1302</v>
      </c>
    </row>
    <row r="1241" spans="1:6" x14ac:dyDescent="0.25">
      <c r="A1241" t="s">
        <v>7510</v>
      </c>
      <c r="B1241" t="s">
        <v>7511</v>
      </c>
      <c r="C1241" t="s">
        <v>549</v>
      </c>
      <c r="D1241" t="s">
        <v>598</v>
      </c>
      <c r="E1241" t="s">
        <v>271</v>
      </c>
      <c r="F1241" t="s">
        <v>599</v>
      </c>
    </row>
    <row r="1242" spans="1:6" x14ac:dyDescent="0.25">
      <c r="A1242" t="s">
        <v>7512</v>
      </c>
      <c r="B1242" t="s">
        <v>7513</v>
      </c>
      <c r="C1242" t="s">
        <v>7514</v>
      </c>
      <c r="D1242" t="s">
        <v>0</v>
      </c>
      <c r="E1242" t="s">
        <v>271</v>
      </c>
      <c r="F1242" t="s">
        <v>325</v>
      </c>
    </row>
    <row r="1243" spans="1:6" x14ac:dyDescent="0.25">
      <c r="A1243" t="s">
        <v>7515</v>
      </c>
      <c r="B1243" t="s">
        <v>7516</v>
      </c>
      <c r="C1243" t="s">
        <v>7517</v>
      </c>
      <c r="D1243" t="s">
        <v>2488</v>
      </c>
      <c r="E1243" t="s">
        <v>269</v>
      </c>
      <c r="F1243" t="s">
        <v>4396</v>
      </c>
    </row>
    <row r="1244" spans="1:6" x14ac:dyDescent="0.25">
      <c r="A1244" t="s">
        <v>7518</v>
      </c>
      <c r="B1244" t="s">
        <v>7519</v>
      </c>
      <c r="C1244" t="s">
        <v>7520</v>
      </c>
      <c r="D1244" t="s">
        <v>0</v>
      </c>
      <c r="E1244" t="s">
        <v>271</v>
      </c>
      <c r="F1244" t="s">
        <v>575</v>
      </c>
    </row>
    <row r="1245" spans="1:6" x14ac:dyDescent="0.25">
      <c r="A1245" t="s">
        <v>7521</v>
      </c>
      <c r="B1245" t="s">
        <v>7522</v>
      </c>
      <c r="C1245" t="s">
        <v>7523</v>
      </c>
      <c r="D1245" t="s">
        <v>2166</v>
      </c>
      <c r="E1245" t="s">
        <v>271</v>
      </c>
      <c r="F1245" t="s">
        <v>2165</v>
      </c>
    </row>
    <row r="1246" spans="1:6" x14ac:dyDescent="0.25">
      <c r="A1246" t="s">
        <v>7524</v>
      </c>
      <c r="B1246" t="s">
        <v>7525</v>
      </c>
      <c r="C1246" t="s">
        <v>7526</v>
      </c>
      <c r="D1246" t="s">
        <v>586</v>
      </c>
      <c r="E1246" t="s">
        <v>271</v>
      </c>
      <c r="F1246" t="s">
        <v>662</v>
      </c>
    </row>
    <row r="1247" spans="1:6" x14ac:dyDescent="0.25">
      <c r="A1247" t="s">
        <v>7527</v>
      </c>
      <c r="B1247" t="s">
        <v>7528</v>
      </c>
      <c r="C1247" t="s">
        <v>7529</v>
      </c>
      <c r="D1247" t="s">
        <v>7530</v>
      </c>
      <c r="E1247" t="s">
        <v>271</v>
      </c>
      <c r="F1247" t="s">
        <v>7531</v>
      </c>
    </row>
    <row r="1248" spans="1:6" x14ac:dyDescent="0.25">
      <c r="A1248" t="s">
        <v>7532</v>
      </c>
      <c r="B1248" t="s">
        <v>7533</v>
      </c>
      <c r="C1248" t="s">
        <v>7534</v>
      </c>
      <c r="D1248" t="s">
        <v>1165</v>
      </c>
      <c r="E1248" t="s">
        <v>271</v>
      </c>
      <c r="F1248" t="s">
        <v>1164</v>
      </c>
    </row>
    <row r="1249" spans="1:6" x14ac:dyDescent="0.25">
      <c r="A1249" t="s">
        <v>7535</v>
      </c>
      <c r="B1249" t="s">
        <v>7536</v>
      </c>
      <c r="C1249" t="s">
        <v>7537</v>
      </c>
      <c r="D1249" t="s">
        <v>0</v>
      </c>
      <c r="E1249" t="s">
        <v>271</v>
      </c>
      <c r="F1249" t="s">
        <v>355</v>
      </c>
    </row>
    <row r="1250" spans="1:6" x14ac:dyDescent="0.25">
      <c r="A1250" t="s">
        <v>7538</v>
      </c>
      <c r="B1250" t="s">
        <v>7539</v>
      </c>
      <c r="C1250" t="s">
        <v>7540</v>
      </c>
      <c r="D1250" t="s">
        <v>0</v>
      </c>
      <c r="E1250" t="s">
        <v>271</v>
      </c>
      <c r="F1250" t="s">
        <v>562</v>
      </c>
    </row>
    <row r="1251" spans="1:6" x14ac:dyDescent="0.25">
      <c r="A1251" t="s">
        <v>7541</v>
      </c>
      <c r="B1251" t="s">
        <v>7542</v>
      </c>
      <c r="C1251" t="s">
        <v>7543</v>
      </c>
      <c r="D1251" t="s">
        <v>1317</v>
      </c>
      <c r="E1251" t="s">
        <v>271</v>
      </c>
      <c r="F1251" t="s">
        <v>1316</v>
      </c>
    </row>
    <row r="1252" spans="1:6" x14ac:dyDescent="0.25">
      <c r="A1252" t="s">
        <v>7544</v>
      </c>
      <c r="B1252" t="s">
        <v>7545</v>
      </c>
      <c r="C1252" t="s">
        <v>7546</v>
      </c>
      <c r="D1252" t="s">
        <v>3457</v>
      </c>
      <c r="E1252" t="s">
        <v>271</v>
      </c>
      <c r="F1252" t="s">
        <v>1432</v>
      </c>
    </row>
    <row r="1253" spans="1:6" x14ac:dyDescent="0.25">
      <c r="A1253" t="s">
        <v>7547</v>
      </c>
      <c r="B1253" t="s">
        <v>605</v>
      </c>
      <c r="C1253" t="s">
        <v>4556</v>
      </c>
      <c r="D1253" t="s">
        <v>272</v>
      </c>
      <c r="E1253" t="s">
        <v>269</v>
      </c>
      <c r="F1253" t="s">
        <v>907</v>
      </c>
    </row>
    <row r="1254" spans="1:6" x14ac:dyDescent="0.25">
      <c r="A1254" t="s">
        <v>7548</v>
      </c>
      <c r="B1254" t="s">
        <v>7549</v>
      </c>
      <c r="C1254" t="s">
        <v>7550</v>
      </c>
      <c r="D1254" t="s">
        <v>498</v>
      </c>
      <c r="E1254" t="s">
        <v>271</v>
      </c>
      <c r="F1254" t="s">
        <v>926</v>
      </c>
    </row>
    <row r="1255" spans="1:6" x14ac:dyDescent="0.25">
      <c r="A1255" t="s">
        <v>2569</v>
      </c>
      <c r="B1255" t="s">
        <v>2570</v>
      </c>
      <c r="C1255" t="s">
        <v>2571</v>
      </c>
      <c r="D1255" t="s">
        <v>0</v>
      </c>
      <c r="E1255" t="s">
        <v>271</v>
      </c>
      <c r="F1255" t="s">
        <v>881</v>
      </c>
    </row>
    <row r="1256" spans="1:6" x14ac:dyDescent="0.25">
      <c r="A1256" t="s">
        <v>2705</v>
      </c>
      <c r="B1256" t="s">
        <v>2706</v>
      </c>
      <c r="C1256" t="s">
        <v>2707</v>
      </c>
      <c r="D1256" t="s">
        <v>1485</v>
      </c>
      <c r="E1256" t="s">
        <v>271</v>
      </c>
      <c r="F1256" t="s">
        <v>1519</v>
      </c>
    </row>
    <row r="1257" spans="1:6" x14ac:dyDescent="0.25">
      <c r="A1257" t="s">
        <v>7551</v>
      </c>
      <c r="B1257" t="s">
        <v>7552</v>
      </c>
      <c r="C1257" t="s">
        <v>7553</v>
      </c>
      <c r="D1257" t="s">
        <v>0</v>
      </c>
      <c r="E1257" t="s">
        <v>271</v>
      </c>
      <c r="F1257" t="s">
        <v>1115</v>
      </c>
    </row>
    <row r="1258" spans="1:6" x14ac:dyDescent="0.25">
      <c r="A1258" t="s">
        <v>7554</v>
      </c>
      <c r="B1258" t="s">
        <v>7555</v>
      </c>
      <c r="C1258" t="s">
        <v>7556</v>
      </c>
      <c r="D1258" t="s">
        <v>1559</v>
      </c>
      <c r="E1258" t="s">
        <v>271</v>
      </c>
      <c r="F1258" t="s">
        <v>1558</v>
      </c>
    </row>
    <row r="1259" spans="1:6" x14ac:dyDescent="0.25">
      <c r="A1259" t="s">
        <v>1831</v>
      </c>
      <c r="B1259" t="s">
        <v>1832</v>
      </c>
      <c r="C1259" t="s">
        <v>1833</v>
      </c>
      <c r="D1259" t="s">
        <v>967</v>
      </c>
      <c r="E1259" t="s">
        <v>271</v>
      </c>
      <c r="F1259" t="s">
        <v>966</v>
      </c>
    </row>
    <row r="1260" spans="1:6" x14ac:dyDescent="0.25">
      <c r="A1260" t="s">
        <v>7557</v>
      </c>
      <c r="B1260" t="s">
        <v>7558</v>
      </c>
      <c r="C1260" t="s">
        <v>7559</v>
      </c>
      <c r="D1260" t="s">
        <v>302</v>
      </c>
      <c r="E1260" t="s">
        <v>271</v>
      </c>
      <c r="F1260" t="s">
        <v>301</v>
      </c>
    </row>
    <row r="1261" spans="1:6" x14ac:dyDescent="0.25">
      <c r="A1261" t="s">
        <v>7560</v>
      </c>
      <c r="B1261" t="s">
        <v>7561</v>
      </c>
      <c r="C1261" t="s">
        <v>7562</v>
      </c>
      <c r="D1261" t="s">
        <v>416</v>
      </c>
      <c r="E1261" t="s">
        <v>271</v>
      </c>
      <c r="F1261" t="s">
        <v>439</v>
      </c>
    </row>
    <row r="1262" spans="1:6" x14ac:dyDescent="0.25">
      <c r="A1262" t="s">
        <v>7563</v>
      </c>
      <c r="B1262" t="s">
        <v>7564</v>
      </c>
      <c r="C1262" t="s">
        <v>7565</v>
      </c>
      <c r="D1262" t="s">
        <v>1165</v>
      </c>
      <c r="E1262" t="s">
        <v>271</v>
      </c>
      <c r="F1262" t="s">
        <v>1164</v>
      </c>
    </row>
    <row r="1263" spans="1:6" x14ac:dyDescent="0.25">
      <c r="A1263" t="s">
        <v>7566</v>
      </c>
      <c r="B1263" t="s">
        <v>7567</v>
      </c>
      <c r="C1263" t="s">
        <v>7568</v>
      </c>
      <c r="D1263" t="s">
        <v>1199</v>
      </c>
      <c r="E1263" t="s">
        <v>271</v>
      </c>
      <c r="F1263" t="s">
        <v>1198</v>
      </c>
    </row>
    <row r="1264" spans="1:6" x14ac:dyDescent="0.25">
      <c r="A1264" t="s">
        <v>2883</v>
      </c>
      <c r="B1264" t="s">
        <v>2884</v>
      </c>
      <c r="C1264" t="s">
        <v>2886</v>
      </c>
      <c r="D1264" t="s">
        <v>2885</v>
      </c>
      <c r="E1264" t="s">
        <v>271</v>
      </c>
      <c r="F1264" t="s">
        <v>1523</v>
      </c>
    </row>
    <row r="1265" spans="1:6" x14ac:dyDescent="0.25">
      <c r="A1265" t="s">
        <v>2455</v>
      </c>
      <c r="B1265" t="s">
        <v>2456</v>
      </c>
      <c r="C1265" t="s">
        <v>2457</v>
      </c>
      <c r="D1265" t="s">
        <v>1303</v>
      </c>
      <c r="E1265" t="s">
        <v>269</v>
      </c>
      <c r="F1265" t="s">
        <v>1302</v>
      </c>
    </row>
    <row r="1266" spans="1:6" x14ac:dyDescent="0.25">
      <c r="A1266" t="s">
        <v>878</v>
      </c>
      <c r="B1266" t="s">
        <v>879</v>
      </c>
      <c r="C1266" t="s">
        <v>882</v>
      </c>
      <c r="D1266" t="s">
        <v>0</v>
      </c>
      <c r="E1266" t="s">
        <v>271</v>
      </c>
      <c r="F1266" t="s">
        <v>881</v>
      </c>
    </row>
    <row r="1267" spans="1:6" x14ac:dyDescent="0.25">
      <c r="A1267" t="s">
        <v>2789</v>
      </c>
      <c r="B1267" t="s">
        <v>2790</v>
      </c>
      <c r="C1267" t="s">
        <v>2791</v>
      </c>
      <c r="D1267" t="s">
        <v>0</v>
      </c>
      <c r="E1267" t="s">
        <v>271</v>
      </c>
      <c r="F1267" t="s">
        <v>323</v>
      </c>
    </row>
    <row r="1268" spans="1:6" x14ac:dyDescent="0.25">
      <c r="A1268" t="s">
        <v>7569</v>
      </c>
      <c r="B1268" t="s">
        <v>7570</v>
      </c>
      <c r="C1268" t="s">
        <v>7571</v>
      </c>
      <c r="D1268" t="s">
        <v>234</v>
      </c>
      <c r="E1268" t="s">
        <v>271</v>
      </c>
      <c r="F1268" t="s">
        <v>875</v>
      </c>
    </row>
    <row r="1269" spans="1:6" x14ac:dyDescent="0.25">
      <c r="A1269" t="s">
        <v>3089</v>
      </c>
      <c r="B1269" t="s">
        <v>3090</v>
      </c>
      <c r="C1269" t="s">
        <v>3092</v>
      </c>
      <c r="D1269" t="s">
        <v>2488</v>
      </c>
      <c r="E1269" t="s">
        <v>269</v>
      </c>
      <c r="F1269" t="s">
        <v>3091</v>
      </c>
    </row>
    <row r="1270" spans="1:6" x14ac:dyDescent="0.25">
      <c r="A1270" t="s">
        <v>7572</v>
      </c>
      <c r="B1270" t="s">
        <v>7573</v>
      </c>
      <c r="C1270" t="s">
        <v>7574</v>
      </c>
      <c r="D1270" t="s">
        <v>1648</v>
      </c>
      <c r="E1270" t="s">
        <v>271</v>
      </c>
      <c r="F1270" t="s">
        <v>1647</v>
      </c>
    </row>
    <row r="1271" spans="1:6" x14ac:dyDescent="0.25">
      <c r="A1271" t="s">
        <v>2603</v>
      </c>
      <c r="B1271" t="s">
        <v>2604</v>
      </c>
      <c r="C1271" t="s">
        <v>2605</v>
      </c>
      <c r="D1271" t="s">
        <v>347</v>
      </c>
      <c r="E1271" t="s">
        <v>271</v>
      </c>
      <c r="F1271" t="s">
        <v>327</v>
      </c>
    </row>
    <row r="1272" spans="1:6" x14ac:dyDescent="0.25">
      <c r="A1272" t="s">
        <v>7575</v>
      </c>
      <c r="B1272" t="s">
        <v>7576</v>
      </c>
      <c r="C1272" t="s">
        <v>7577</v>
      </c>
      <c r="D1272" t="s">
        <v>0</v>
      </c>
      <c r="E1272" t="s">
        <v>271</v>
      </c>
      <c r="F1272" t="s">
        <v>436</v>
      </c>
    </row>
    <row r="1273" spans="1:6" x14ac:dyDescent="0.25">
      <c r="A1273" t="s">
        <v>7578</v>
      </c>
      <c r="B1273" t="s">
        <v>7579</v>
      </c>
      <c r="C1273" t="s">
        <v>7580</v>
      </c>
      <c r="D1273" t="s">
        <v>0</v>
      </c>
      <c r="E1273" t="s">
        <v>271</v>
      </c>
      <c r="F1273" t="s">
        <v>1011</v>
      </c>
    </row>
    <row r="1274" spans="1:6" x14ac:dyDescent="0.25">
      <c r="A1274" t="s">
        <v>7581</v>
      </c>
      <c r="B1274" t="s">
        <v>7582</v>
      </c>
      <c r="C1274" t="s">
        <v>7583</v>
      </c>
      <c r="D1274" t="s">
        <v>1485</v>
      </c>
      <c r="E1274" t="s">
        <v>271</v>
      </c>
      <c r="F1274" t="s">
        <v>1519</v>
      </c>
    </row>
    <row r="1275" spans="1:6" x14ac:dyDescent="0.25">
      <c r="A1275" t="s">
        <v>1886</v>
      </c>
      <c r="B1275" t="s">
        <v>1887</v>
      </c>
      <c r="C1275" t="s">
        <v>1889</v>
      </c>
      <c r="D1275" t="s">
        <v>295</v>
      </c>
      <c r="E1275" t="s">
        <v>271</v>
      </c>
      <c r="F1275" t="s">
        <v>1888</v>
      </c>
    </row>
    <row r="1276" spans="1:6" x14ac:dyDescent="0.25">
      <c r="A1276" t="s">
        <v>2524</v>
      </c>
      <c r="B1276" t="s">
        <v>2525</v>
      </c>
      <c r="C1276" t="s">
        <v>2526</v>
      </c>
      <c r="D1276" t="s">
        <v>1643</v>
      </c>
      <c r="E1276" t="s">
        <v>271</v>
      </c>
      <c r="F1276" t="s">
        <v>2028</v>
      </c>
    </row>
    <row r="1277" spans="1:6" x14ac:dyDescent="0.25">
      <c r="A1277" t="s">
        <v>7584</v>
      </c>
      <c r="B1277" t="s">
        <v>7585</v>
      </c>
      <c r="C1277" t="s">
        <v>7586</v>
      </c>
      <c r="D1277" t="s">
        <v>1601</v>
      </c>
      <c r="E1277" t="s">
        <v>269</v>
      </c>
      <c r="F1277" t="s">
        <v>1600</v>
      </c>
    </row>
    <row r="1278" spans="1:6" x14ac:dyDescent="0.25">
      <c r="A1278" t="s">
        <v>2764</v>
      </c>
      <c r="B1278" t="s">
        <v>497</v>
      </c>
      <c r="C1278" t="s">
        <v>2765</v>
      </c>
      <c r="D1278" t="s">
        <v>572</v>
      </c>
      <c r="E1278" t="s">
        <v>271</v>
      </c>
      <c r="F1278" t="s">
        <v>335</v>
      </c>
    </row>
    <row r="1279" spans="1:6" x14ac:dyDescent="0.25">
      <c r="A1279" t="s">
        <v>7587</v>
      </c>
      <c r="B1279" t="s">
        <v>7588</v>
      </c>
      <c r="C1279" t="s">
        <v>7589</v>
      </c>
      <c r="D1279" t="s">
        <v>0</v>
      </c>
      <c r="E1279" t="s">
        <v>271</v>
      </c>
      <c r="F1279" t="s">
        <v>325</v>
      </c>
    </row>
    <row r="1280" spans="1:6" x14ac:dyDescent="0.25">
      <c r="A1280" t="s">
        <v>7590</v>
      </c>
      <c r="B1280" t="s">
        <v>7591</v>
      </c>
      <c r="C1280" t="s">
        <v>7592</v>
      </c>
      <c r="D1280" t="s">
        <v>0</v>
      </c>
      <c r="E1280" t="s">
        <v>271</v>
      </c>
      <c r="F1280" t="s">
        <v>323</v>
      </c>
    </row>
    <row r="1281" spans="1:6" x14ac:dyDescent="0.25">
      <c r="A1281" t="s">
        <v>7593</v>
      </c>
      <c r="B1281" t="s">
        <v>7594</v>
      </c>
      <c r="C1281" t="s">
        <v>7595</v>
      </c>
      <c r="D1281" t="s">
        <v>1455</v>
      </c>
      <c r="E1281" t="s">
        <v>271</v>
      </c>
      <c r="F1281" t="s">
        <v>1454</v>
      </c>
    </row>
    <row r="1282" spans="1:6" x14ac:dyDescent="0.25">
      <c r="A1282" t="s">
        <v>7596</v>
      </c>
      <c r="B1282" t="s">
        <v>7597</v>
      </c>
      <c r="C1282" t="s">
        <v>7598</v>
      </c>
      <c r="D1282" t="s">
        <v>0</v>
      </c>
      <c r="E1282" t="s">
        <v>271</v>
      </c>
      <c r="F1282" t="s">
        <v>4295</v>
      </c>
    </row>
    <row r="1283" spans="1:6" x14ac:dyDescent="0.25">
      <c r="A1283" t="s">
        <v>3484</v>
      </c>
      <c r="B1283" t="s">
        <v>277</v>
      </c>
      <c r="C1283" t="s">
        <v>3485</v>
      </c>
      <c r="D1283" t="s">
        <v>500</v>
      </c>
      <c r="E1283" t="s">
        <v>271</v>
      </c>
      <c r="F1283" t="s">
        <v>501</v>
      </c>
    </row>
    <row r="1284" spans="1:6" x14ac:dyDescent="0.25">
      <c r="A1284" t="s">
        <v>7599</v>
      </c>
      <c r="B1284" t="s">
        <v>7600</v>
      </c>
      <c r="C1284" t="s">
        <v>7601</v>
      </c>
      <c r="D1284" t="s">
        <v>1126</v>
      </c>
      <c r="E1284" t="s">
        <v>271</v>
      </c>
      <c r="F1284" t="s">
        <v>1125</v>
      </c>
    </row>
    <row r="1285" spans="1:6" x14ac:dyDescent="0.25">
      <c r="A1285" t="s">
        <v>7602</v>
      </c>
      <c r="B1285" t="s">
        <v>7603</v>
      </c>
      <c r="C1285" t="s">
        <v>7604</v>
      </c>
      <c r="D1285" t="s">
        <v>2578</v>
      </c>
      <c r="E1285" t="s">
        <v>271</v>
      </c>
      <c r="F1285" t="s">
        <v>2577</v>
      </c>
    </row>
    <row r="1286" spans="1:6" x14ac:dyDescent="0.25">
      <c r="A1286" t="s">
        <v>7605</v>
      </c>
      <c r="B1286" t="s">
        <v>560</v>
      </c>
      <c r="C1286" t="s">
        <v>561</v>
      </c>
      <c r="D1286" t="s">
        <v>0</v>
      </c>
      <c r="E1286" t="s">
        <v>271</v>
      </c>
      <c r="F1286" t="s">
        <v>562</v>
      </c>
    </row>
    <row r="1287" spans="1:6" x14ac:dyDescent="0.25">
      <c r="A1287" t="s">
        <v>7606</v>
      </c>
      <c r="B1287" t="s">
        <v>7607</v>
      </c>
      <c r="C1287" t="s">
        <v>7608</v>
      </c>
      <c r="D1287" t="s">
        <v>488</v>
      </c>
      <c r="E1287" t="s">
        <v>271</v>
      </c>
      <c r="F1287" t="s">
        <v>489</v>
      </c>
    </row>
    <row r="1288" spans="1:6" x14ac:dyDescent="0.25">
      <c r="A1288" t="s">
        <v>7609</v>
      </c>
      <c r="B1288" t="s">
        <v>7610</v>
      </c>
      <c r="C1288" t="s">
        <v>7611</v>
      </c>
      <c r="D1288" t="s">
        <v>0</v>
      </c>
      <c r="E1288" t="s">
        <v>271</v>
      </c>
      <c r="F1288" t="s">
        <v>356</v>
      </c>
    </row>
    <row r="1289" spans="1:6" x14ac:dyDescent="0.25">
      <c r="A1289" t="s">
        <v>7612</v>
      </c>
      <c r="B1289" t="s">
        <v>7613</v>
      </c>
      <c r="C1289" t="s">
        <v>7614</v>
      </c>
      <c r="D1289" t="s">
        <v>446</v>
      </c>
      <c r="E1289" t="s">
        <v>271</v>
      </c>
      <c r="F1289" t="s">
        <v>447</v>
      </c>
    </row>
    <row r="1290" spans="1:6" x14ac:dyDescent="0.25">
      <c r="A1290" t="s">
        <v>7615</v>
      </c>
      <c r="B1290" t="s">
        <v>7616</v>
      </c>
      <c r="C1290" t="s">
        <v>7617</v>
      </c>
      <c r="D1290" t="s">
        <v>0</v>
      </c>
      <c r="E1290" t="s">
        <v>271</v>
      </c>
      <c r="F1290" t="s">
        <v>355</v>
      </c>
    </row>
    <row r="1291" spans="1:6" x14ac:dyDescent="0.25">
      <c r="A1291" t="s">
        <v>7618</v>
      </c>
      <c r="B1291" t="s">
        <v>7619</v>
      </c>
      <c r="C1291" t="s">
        <v>7620</v>
      </c>
      <c r="D1291" t="s">
        <v>0</v>
      </c>
      <c r="E1291" t="s">
        <v>271</v>
      </c>
      <c r="F1291" t="s">
        <v>709</v>
      </c>
    </row>
    <row r="1292" spans="1:6" x14ac:dyDescent="0.25">
      <c r="A1292" t="s">
        <v>7621</v>
      </c>
      <c r="B1292" t="s">
        <v>7622</v>
      </c>
      <c r="C1292" t="s">
        <v>7623</v>
      </c>
      <c r="D1292" t="s">
        <v>510</v>
      </c>
      <c r="E1292" t="s">
        <v>271</v>
      </c>
      <c r="F1292" t="s">
        <v>437</v>
      </c>
    </row>
    <row r="1293" spans="1:6" x14ac:dyDescent="0.25">
      <c r="A1293" t="s">
        <v>7624</v>
      </c>
      <c r="B1293" t="s">
        <v>7625</v>
      </c>
      <c r="C1293" t="s">
        <v>7626</v>
      </c>
      <c r="D1293" t="s">
        <v>7627</v>
      </c>
      <c r="E1293" t="s">
        <v>269</v>
      </c>
      <c r="F1293" t="s">
        <v>7628</v>
      </c>
    </row>
    <row r="1294" spans="1:6" x14ac:dyDescent="0.25">
      <c r="A1294" t="s">
        <v>7629</v>
      </c>
      <c r="B1294" t="s">
        <v>7630</v>
      </c>
      <c r="C1294" t="s">
        <v>7631</v>
      </c>
      <c r="D1294" t="s">
        <v>4649</v>
      </c>
      <c r="E1294" t="s">
        <v>271</v>
      </c>
      <c r="F1294" t="s">
        <v>4436</v>
      </c>
    </row>
    <row r="1295" spans="1:6" x14ac:dyDescent="0.25">
      <c r="A1295" t="s">
        <v>7632</v>
      </c>
      <c r="B1295" t="s">
        <v>7633</v>
      </c>
      <c r="C1295" t="s">
        <v>7634</v>
      </c>
      <c r="D1295" t="s">
        <v>1559</v>
      </c>
      <c r="E1295" t="s">
        <v>271</v>
      </c>
      <c r="F1295" t="s">
        <v>1558</v>
      </c>
    </row>
    <row r="1296" spans="1:6" x14ac:dyDescent="0.25">
      <c r="A1296" t="s">
        <v>1565</v>
      </c>
      <c r="B1296" t="s">
        <v>1566</v>
      </c>
      <c r="C1296" t="s">
        <v>1568</v>
      </c>
      <c r="D1296" t="s">
        <v>556</v>
      </c>
      <c r="E1296" t="s">
        <v>271</v>
      </c>
      <c r="F1296" t="s">
        <v>1567</v>
      </c>
    </row>
    <row r="1297" spans="1:6" x14ac:dyDescent="0.25">
      <c r="A1297" t="s">
        <v>7635</v>
      </c>
      <c r="B1297" t="s">
        <v>7636</v>
      </c>
      <c r="C1297" t="s">
        <v>7637</v>
      </c>
      <c r="D1297" t="s">
        <v>2714</v>
      </c>
      <c r="E1297" t="s">
        <v>271</v>
      </c>
      <c r="F1297" t="s">
        <v>2713</v>
      </c>
    </row>
    <row r="1298" spans="1:6" x14ac:dyDescent="0.25">
      <c r="A1298" t="s">
        <v>7638</v>
      </c>
      <c r="B1298" t="s">
        <v>7639</v>
      </c>
      <c r="C1298" t="s">
        <v>7640</v>
      </c>
      <c r="D1298" t="s">
        <v>0</v>
      </c>
      <c r="E1298" t="s">
        <v>271</v>
      </c>
      <c r="F1298" t="s">
        <v>355</v>
      </c>
    </row>
    <row r="1299" spans="1:6" x14ac:dyDescent="0.25">
      <c r="A1299" t="s">
        <v>7641</v>
      </c>
      <c r="B1299" t="s">
        <v>7642</v>
      </c>
      <c r="C1299" t="s">
        <v>7643</v>
      </c>
      <c r="D1299" t="s">
        <v>492</v>
      </c>
      <c r="E1299" t="s">
        <v>271</v>
      </c>
      <c r="F1299" t="s">
        <v>493</v>
      </c>
    </row>
    <row r="1300" spans="1:6" x14ac:dyDescent="0.25">
      <c r="A1300" t="s">
        <v>7644</v>
      </c>
      <c r="B1300" t="s">
        <v>7645</v>
      </c>
      <c r="C1300" t="s">
        <v>7646</v>
      </c>
      <c r="D1300" t="s">
        <v>498</v>
      </c>
      <c r="E1300" t="s">
        <v>271</v>
      </c>
      <c r="F1300" t="s">
        <v>926</v>
      </c>
    </row>
    <row r="1301" spans="1:6" x14ac:dyDescent="0.25">
      <c r="A1301" t="s">
        <v>7647</v>
      </c>
      <c r="B1301" t="s">
        <v>7648</v>
      </c>
      <c r="C1301" t="s">
        <v>7649</v>
      </c>
      <c r="D1301" t="s">
        <v>1559</v>
      </c>
      <c r="E1301" t="s">
        <v>271</v>
      </c>
      <c r="F1301" t="s">
        <v>1558</v>
      </c>
    </row>
    <row r="1302" spans="1:6" x14ac:dyDescent="0.25">
      <c r="A1302" t="s">
        <v>3630</v>
      </c>
      <c r="B1302" t="s">
        <v>3631</v>
      </c>
      <c r="C1302" t="s">
        <v>3632</v>
      </c>
      <c r="D1302" t="s">
        <v>0</v>
      </c>
      <c r="E1302" t="s">
        <v>271</v>
      </c>
      <c r="F1302" t="s">
        <v>356</v>
      </c>
    </row>
    <row r="1303" spans="1:6" x14ac:dyDescent="0.25">
      <c r="A1303" t="s">
        <v>7650</v>
      </c>
      <c r="B1303" t="s">
        <v>7651</v>
      </c>
      <c r="C1303" t="s">
        <v>7652</v>
      </c>
      <c r="D1303" t="s">
        <v>314</v>
      </c>
      <c r="E1303" t="s">
        <v>271</v>
      </c>
      <c r="F1303" t="s">
        <v>370</v>
      </c>
    </row>
    <row r="1304" spans="1:6" x14ac:dyDescent="0.25">
      <c r="A1304" t="s">
        <v>7653</v>
      </c>
      <c r="B1304" t="s">
        <v>7654</v>
      </c>
      <c r="C1304" t="s">
        <v>7655</v>
      </c>
      <c r="D1304" t="s">
        <v>2024</v>
      </c>
      <c r="E1304" t="s">
        <v>271</v>
      </c>
      <c r="F1304" t="s">
        <v>428</v>
      </c>
    </row>
    <row r="1305" spans="1:6" x14ac:dyDescent="0.25">
      <c r="A1305" t="s">
        <v>7656</v>
      </c>
      <c r="B1305" t="s">
        <v>7657</v>
      </c>
      <c r="C1305" t="s">
        <v>7658</v>
      </c>
      <c r="D1305" t="s">
        <v>312</v>
      </c>
      <c r="E1305" t="s">
        <v>271</v>
      </c>
      <c r="F1305" t="s">
        <v>311</v>
      </c>
    </row>
    <row r="1306" spans="1:6" x14ac:dyDescent="0.25">
      <c r="A1306" t="s">
        <v>7659</v>
      </c>
      <c r="B1306" t="s">
        <v>7660</v>
      </c>
      <c r="C1306" t="s">
        <v>7661</v>
      </c>
      <c r="D1306" t="s">
        <v>402</v>
      </c>
      <c r="E1306" t="s">
        <v>271</v>
      </c>
      <c r="F1306" t="s">
        <v>401</v>
      </c>
    </row>
    <row r="1307" spans="1:6" x14ac:dyDescent="0.25">
      <c r="A1307" t="s">
        <v>7662</v>
      </c>
      <c r="B1307" t="s">
        <v>7663</v>
      </c>
      <c r="C1307" t="s">
        <v>7664</v>
      </c>
      <c r="D1307" t="s">
        <v>0</v>
      </c>
      <c r="E1307" t="s">
        <v>271</v>
      </c>
      <c r="F1307" t="s">
        <v>325</v>
      </c>
    </row>
    <row r="1308" spans="1:6" x14ac:dyDescent="0.25">
      <c r="A1308" t="s">
        <v>7665</v>
      </c>
      <c r="B1308" t="s">
        <v>7666</v>
      </c>
      <c r="C1308" t="s">
        <v>7667</v>
      </c>
      <c r="D1308" t="s">
        <v>492</v>
      </c>
      <c r="E1308" t="s">
        <v>271</v>
      </c>
      <c r="F1308" t="s">
        <v>493</v>
      </c>
    </row>
    <row r="1309" spans="1:6" x14ac:dyDescent="0.25">
      <c r="A1309" t="s">
        <v>7668</v>
      </c>
      <c r="B1309" t="s">
        <v>7669</v>
      </c>
      <c r="C1309" t="s">
        <v>7670</v>
      </c>
      <c r="D1309" t="s">
        <v>0</v>
      </c>
      <c r="E1309" t="s">
        <v>271</v>
      </c>
      <c r="F1309" t="s">
        <v>356</v>
      </c>
    </row>
    <row r="1310" spans="1:6" x14ac:dyDescent="0.25">
      <c r="A1310" t="s">
        <v>7671</v>
      </c>
      <c r="B1310" t="s">
        <v>7672</v>
      </c>
      <c r="C1310" t="s">
        <v>7673</v>
      </c>
      <c r="D1310" t="s">
        <v>5424</v>
      </c>
      <c r="E1310" t="s">
        <v>271</v>
      </c>
      <c r="F1310" t="s">
        <v>4411</v>
      </c>
    </row>
    <row r="1311" spans="1:6" x14ac:dyDescent="0.25">
      <c r="A1311" t="s">
        <v>7674</v>
      </c>
      <c r="B1311" t="s">
        <v>7675</v>
      </c>
      <c r="C1311" t="s">
        <v>7676</v>
      </c>
      <c r="D1311" t="s">
        <v>0</v>
      </c>
      <c r="E1311" t="s">
        <v>271</v>
      </c>
      <c r="F1311" t="s">
        <v>325</v>
      </c>
    </row>
    <row r="1312" spans="1:6" x14ac:dyDescent="0.25">
      <c r="A1312" t="s">
        <v>7677</v>
      </c>
      <c r="B1312" t="s">
        <v>7678</v>
      </c>
      <c r="C1312" t="s">
        <v>7679</v>
      </c>
      <c r="D1312" t="s">
        <v>0</v>
      </c>
      <c r="E1312" t="s">
        <v>271</v>
      </c>
      <c r="F1312" t="s">
        <v>325</v>
      </c>
    </row>
    <row r="1313" spans="1:6" x14ac:dyDescent="0.25">
      <c r="A1313" t="s">
        <v>7680</v>
      </c>
      <c r="B1313" t="s">
        <v>7681</v>
      </c>
      <c r="C1313" t="s">
        <v>7682</v>
      </c>
      <c r="D1313" t="s">
        <v>239</v>
      </c>
      <c r="E1313" t="s">
        <v>271</v>
      </c>
      <c r="F1313" t="s">
        <v>544</v>
      </c>
    </row>
    <row r="1314" spans="1:6" x14ac:dyDescent="0.25">
      <c r="A1314" t="s">
        <v>1740</v>
      </c>
      <c r="B1314" t="s">
        <v>1741</v>
      </c>
      <c r="C1314" t="s">
        <v>1744</v>
      </c>
      <c r="D1314" t="s">
        <v>1743</v>
      </c>
      <c r="E1314" t="s">
        <v>269</v>
      </c>
      <c r="F1314" t="s">
        <v>1742</v>
      </c>
    </row>
    <row r="1315" spans="1:6" x14ac:dyDescent="0.25">
      <c r="A1315" t="s">
        <v>7683</v>
      </c>
      <c r="B1315" t="s">
        <v>7684</v>
      </c>
      <c r="C1315" t="s">
        <v>7685</v>
      </c>
      <c r="D1315" t="s">
        <v>0</v>
      </c>
      <c r="E1315" t="s">
        <v>271</v>
      </c>
      <c r="F1315" t="s">
        <v>436</v>
      </c>
    </row>
    <row r="1316" spans="1:6" x14ac:dyDescent="0.25">
      <c r="A1316" t="s">
        <v>7686</v>
      </c>
      <c r="B1316" t="s">
        <v>7687</v>
      </c>
      <c r="C1316" t="s">
        <v>7688</v>
      </c>
      <c r="D1316" t="s">
        <v>0</v>
      </c>
      <c r="E1316" t="s">
        <v>271</v>
      </c>
      <c r="F1316" t="s">
        <v>436</v>
      </c>
    </row>
    <row r="1317" spans="1:6" x14ac:dyDescent="0.25">
      <c r="A1317" t="s">
        <v>2168</v>
      </c>
      <c r="B1317" t="s">
        <v>2169</v>
      </c>
      <c r="C1317" t="s">
        <v>2170</v>
      </c>
      <c r="D1317" t="s">
        <v>282</v>
      </c>
      <c r="E1317" t="s">
        <v>271</v>
      </c>
      <c r="F1317" t="s">
        <v>1191</v>
      </c>
    </row>
    <row r="1318" spans="1:6" x14ac:dyDescent="0.25">
      <c r="A1318" t="s">
        <v>7689</v>
      </c>
      <c r="B1318" t="s">
        <v>7690</v>
      </c>
      <c r="C1318" t="s">
        <v>7691</v>
      </c>
      <c r="D1318" t="s">
        <v>2488</v>
      </c>
      <c r="E1318" t="s">
        <v>269</v>
      </c>
      <c r="F1318" t="s">
        <v>7692</v>
      </c>
    </row>
    <row r="1319" spans="1:6" x14ac:dyDescent="0.25">
      <c r="A1319" t="s">
        <v>7693</v>
      </c>
      <c r="B1319" t="s">
        <v>528</v>
      </c>
      <c r="C1319" t="s">
        <v>515</v>
      </c>
      <c r="D1319" t="s">
        <v>473</v>
      </c>
      <c r="E1319" t="s">
        <v>271</v>
      </c>
      <c r="F1319" t="s">
        <v>433</v>
      </c>
    </row>
    <row r="1320" spans="1:6" x14ac:dyDescent="0.25">
      <c r="A1320" t="s">
        <v>3293</v>
      </c>
      <c r="B1320" t="s">
        <v>3294</v>
      </c>
      <c r="C1320" t="s">
        <v>3295</v>
      </c>
      <c r="D1320" t="s">
        <v>1019</v>
      </c>
      <c r="E1320" t="s">
        <v>271</v>
      </c>
      <c r="F1320" t="s">
        <v>1018</v>
      </c>
    </row>
    <row r="1321" spans="1:6" x14ac:dyDescent="0.25">
      <c r="A1321" t="s">
        <v>2507</v>
      </c>
      <c r="B1321" t="s">
        <v>2508</v>
      </c>
      <c r="C1321" t="s">
        <v>2509</v>
      </c>
      <c r="D1321" t="s">
        <v>793</v>
      </c>
      <c r="E1321" t="s">
        <v>271</v>
      </c>
      <c r="F1321" t="s">
        <v>792</v>
      </c>
    </row>
    <row r="1322" spans="1:6" x14ac:dyDescent="0.25">
      <c r="A1322" t="s">
        <v>7694</v>
      </c>
      <c r="B1322" t="s">
        <v>7695</v>
      </c>
      <c r="C1322" t="s">
        <v>7696</v>
      </c>
      <c r="D1322" t="s">
        <v>461</v>
      </c>
      <c r="E1322" t="s">
        <v>271</v>
      </c>
      <c r="F1322" t="s">
        <v>336</v>
      </c>
    </row>
    <row r="1323" spans="1:6" x14ac:dyDescent="0.25">
      <c r="A1323" t="s">
        <v>7697</v>
      </c>
      <c r="B1323" t="s">
        <v>7698</v>
      </c>
      <c r="C1323" t="s">
        <v>7699</v>
      </c>
      <c r="D1323" t="s">
        <v>0</v>
      </c>
      <c r="E1323" t="s">
        <v>271</v>
      </c>
      <c r="F1323" t="s">
        <v>356</v>
      </c>
    </row>
    <row r="1324" spans="1:6" x14ac:dyDescent="0.25">
      <c r="A1324" t="s">
        <v>7700</v>
      </c>
      <c r="B1324" t="s">
        <v>7701</v>
      </c>
      <c r="C1324" t="s">
        <v>7702</v>
      </c>
      <c r="D1324" t="s">
        <v>490</v>
      </c>
      <c r="E1324" t="s">
        <v>271</v>
      </c>
      <c r="F1324" t="s">
        <v>491</v>
      </c>
    </row>
    <row r="1325" spans="1:6" x14ac:dyDescent="0.25">
      <c r="A1325" t="s">
        <v>7703</v>
      </c>
      <c r="B1325" t="s">
        <v>7704</v>
      </c>
      <c r="C1325" t="s">
        <v>7705</v>
      </c>
      <c r="D1325" t="s">
        <v>361</v>
      </c>
      <c r="E1325" t="s">
        <v>271</v>
      </c>
      <c r="F1325" t="s">
        <v>1563</v>
      </c>
    </row>
    <row r="1326" spans="1:6" x14ac:dyDescent="0.25">
      <c r="A1326" t="s">
        <v>7706</v>
      </c>
      <c r="B1326" t="s">
        <v>7707</v>
      </c>
      <c r="C1326" t="s">
        <v>7708</v>
      </c>
      <c r="D1326" t="s">
        <v>0</v>
      </c>
      <c r="E1326" t="s">
        <v>271</v>
      </c>
      <c r="F1326" t="s">
        <v>809</v>
      </c>
    </row>
    <row r="1327" spans="1:6" x14ac:dyDescent="0.25">
      <c r="A1327" t="s">
        <v>7709</v>
      </c>
      <c r="B1327" t="s">
        <v>7710</v>
      </c>
      <c r="C1327" t="s">
        <v>7711</v>
      </c>
      <c r="D1327" t="s">
        <v>7712</v>
      </c>
      <c r="E1327" t="s">
        <v>7713</v>
      </c>
      <c r="F1327" t="s">
        <v>7714</v>
      </c>
    </row>
    <row r="1328" spans="1:6" x14ac:dyDescent="0.25">
      <c r="A1328" t="s">
        <v>7715</v>
      </c>
      <c r="B1328" t="s">
        <v>7716</v>
      </c>
      <c r="C1328" t="s">
        <v>7717</v>
      </c>
      <c r="D1328" t="s">
        <v>1337</v>
      </c>
      <c r="E1328" t="s">
        <v>271</v>
      </c>
      <c r="F1328" t="s">
        <v>1336</v>
      </c>
    </row>
    <row r="1329" spans="1:6" x14ac:dyDescent="0.25">
      <c r="A1329" t="s">
        <v>7718</v>
      </c>
      <c r="B1329" t="s">
        <v>7719</v>
      </c>
      <c r="C1329" t="s">
        <v>705</v>
      </c>
      <c r="D1329" t="s">
        <v>0</v>
      </c>
      <c r="E1329" t="s">
        <v>271</v>
      </c>
      <c r="F1329" t="s">
        <v>704</v>
      </c>
    </row>
    <row r="1330" spans="1:6" x14ac:dyDescent="0.25">
      <c r="A1330" t="s">
        <v>7720</v>
      </c>
      <c r="B1330" t="s">
        <v>7721</v>
      </c>
      <c r="C1330" t="s">
        <v>7722</v>
      </c>
      <c r="D1330" t="s">
        <v>1137</v>
      </c>
      <c r="E1330" t="s">
        <v>269</v>
      </c>
      <c r="F1330" t="s">
        <v>1136</v>
      </c>
    </row>
    <row r="1331" spans="1:6" x14ac:dyDescent="0.25">
      <c r="A1331" t="s">
        <v>7723</v>
      </c>
      <c r="B1331" t="s">
        <v>7724</v>
      </c>
      <c r="C1331" t="s">
        <v>6539</v>
      </c>
      <c r="D1331" t="s">
        <v>0</v>
      </c>
      <c r="E1331" t="s">
        <v>271</v>
      </c>
      <c r="F1331" t="s">
        <v>1148</v>
      </c>
    </row>
    <row r="1332" spans="1:6" x14ac:dyDescent="0.25">
      <c r="A1332" t="s">
        <v>7725</v>
      </c>
      <c r="B1332" t="s">
        <v>7726</v>
      </c>
      <c r="C1332" t="s">
        <v>7727</v>
      </c>
      <c r="D1332" t="s">
        <v>0</v>
      </c>
      <c r="E1332" t="s">
        <v>271</v>
      </c>
      <c r="F1332" t="s">
        <v>325</v>
      </c>
    </row>
    <row r="1333" spans="1:6" x14ac:dyDescent="0.25">
      <c r="A1333" t="s">
        <v>7728</v>
      </c>
      <c r="B1333" t="s">
        <v>7729</v>
      </c>
      <c r="C1333" t="s">
        <v>7730</v>
      </c>
      <c r="D1333" t="s">
        <v>0</v>
      </c>
      <c r="E1333" t="s">
        <v>271</v>
      </c>
      <c r="F1333" t="s">
        <v>1011</v>
      </c>
    </row>
    <row r="1334" spans="1:6" x14ac:dyDescent="0.25">
      <c r="A1334" t="s">
        <v>7731</v>
      </c>
      <c r="B1334" t="s">
        <v>7732</v>
      </c>
      <c r="C1334" t="s">
        <v>7733</v>
      </c>
      <c r="D1334" t="s">
        <v>586</v>
      </c>
      <c r="E1334" t="s">
        <v>271</v>
      </c>
      <c r="F1334" t="s">
        <v>334</v>
      </c>
    </row>
    <row r="1335" spans="1:6" x14ac:dyDescent="0.25">
      <c r="A1335" t="s">
        <v>7734</v>
      </c>
      <c r="B1335" t="s">
        <v>7735</v>
      </c>
      <c r="C1335" t="s">
        <v>7736</v>
      </c>
      <c r="D1335" t="s">
        <v>572</v>
      </c>
      <c r="E1335" t="s">
        <v>271</v>
      </c>
      <c r="F1335" t="s">
        <v>335</v>
      </c>
    </row>
    <row r="1336" spans="1:6" x14ac:dyDescent="0.25">
      <c r="A1336" t="s">
        <v>7737</v>
      </c>
      <c r="B1336" t="s">
        <v>7738</v>
      </c>
      <c r="C1336" t="s">
        <v>7739</v>
      </c>
      <c r="D1336" t="s">
        <v>482</v>
      </c>
      <c r="E1336" t="s">
        <v>271</v>
      </c>
      <c r="F1336" t="s">
        <v>483</v>
      </c>
    </row>
    <row r="1337" spans="1:6" x14ac:dyDescent="0.25">
      <c r="A1337" t="s">
        <v>1501</v>
      </c>
      <c r="B1337" t="s">
        <v>1502</v>
      </c>
      <c r="C1337" t="s">
        <v>1504</v>
      </c>
      <c r="D1337" t="s">
        <v>0</v>
      </c>
      <c r="E1337" t="s">
        <v>271</v>
      </c>
      <c r="F1337" t="s">
        <v>1503</v>
      </c>
    </row>
    <row r="1338" spans="1:6" x14ac:dyDescent="0.25">
      <c r="A1338" t="s">
        <v>3134</v>
      </c>
      <c r="B1338" t="s">
        <v>3135</v>
      </c>
      <c r="C1338" t="s">
        <v>3136</v>
      </c>
      <c r="D1338" t="s">
        <v>1303</v>
      </c>
      <c r="E1338" t="s">
        <v>269</v>
      </c>
      <c r="F1338" t="s">
        <v>1302</v>
      </c>
    </row>
    <row r="1339" spans="1:6" x14ac:dyDescent="0.25">
      <c r="A1339" t="s">
        <v>3555</v>
      </c>
      <c r="B1339" t="s">
        <v>3556</v>
      </c>
      <c r="C1339" t="s">
        <v>3557</v>
      </c>
      <c r="D1339" t="s">
        <v>0</v>
      </c>
      <c r="E1339" t="s">
        <v>271</v>
      </c>
      <c r="F1339" t="s">
        <v>355</v>
      </c>
    </row>
    <row r="1340" spans="1:6" x14ac:dyDescent="0.25">
      <c r="A1340" t="s">
        <v>2613</v>
      </c>
      <c r="B1340" t="s">
        <v>2614</v>
      </c>
      <c r="C1340" t="s">
        <v>2615</v>
      </c>
      <c r="D1340" t="s">
        <v>1542</v>
      </c>
      <c r="E1340" t="s">
        <v>269</v>
      </c>
      <c r="F1340" t="s">
        <v>1541</v>
      </c>
    </row>
    <row r="1341" spans="1:6" x14ac:dyDescent="0.25">
      <c r="A1341" t="s">
        <v>7740</v>
      </c>
      <c r="B1341" t="s">
        <v>7741</v>
      </c>
      <c r="C1341" t="s">
        <v>7742</v>
      </c>
      <c r="D1341" t="s">
        <v>442</v>
      </c>
      <c r="E1341" t="s">
        <v>269</v>
      </c>
      <c r="F1341" t="s">
        <v>3077</v>
      </c>
    </row>
    <row r="1342" spans="1:6" x14ac:dyDescent="0.25">
      <c r="A1342" t="s">
        <v>7743</v>
      </c>
      <c r="B1342" t="s">
        <v>7744</v>
      </c>
      <c r="C1342" t="s">
        <v>7745</v>
      </c>
      <c r="D1342" t="s">
        <v>718</v>
      </c>
      <c r="E1342" t="s">
        <v>271</v>
      </c>
      <c r="F1342" t="s">
        <v>333</v>
      </c>
    </row>
    <row r="1343" spans="1:6" x14ac:dyDescent="0.25">
      <c r="A1343" t="s">
        <v>7746</v>
      </c>
      <c r="B1343" t="s">
        <v>7747</v>
      </c>
      <c r="C1343" t="s">
        <v>6943</v>
      </c>
      <c r="D1343" t="s">
        <v>1559</v>
      </c>
      <c r="E1343" t="s">
        <v>271</v>
      </c>
      <c r="F1343" t="s">
        <v>1558</v>
      </c>
    </row>
    <row r="1344" spans="1:6" x14ac:dyDescent="0.25">
      <c r="A1344" t="s">
        <v>1662</v>
      </c>
      <c r="B1344" t="s">
        <v>1663</v>
      </c>
      <c r="C1344" t="s">
        <v>1666</v>
      </c>
      <c r="D1344" t="s">
        <v>1665</v>
      </c>
      <c r="E1344" t="s">
        <v>271</v>
      </c>
      <c r="F1344" t="s">
        <v>1664</v>
      </c>
    </row>
    <row r="1345" spans="1:6" x14ac:dyDescent="0.25">
      <c r="A1345" t="s">
        <v>2580</v>
      </c>
      <c r="B1345" t="s">
        <v>2581</v>
      </c>
      <c r="C1345" t="s">
        <v>2582</v>
      </c>
      <c r="D1345" t="s">
        <v>1079</v>
      </c>
      <c r="E1345" t="s">
        <v>271</v>
      </c>
      <c r="F1345" t="s">
        <v>1078</v>
      </c>
    </row>
    <row r="1346" spans="1:6" x14ac:dyDescent="0.25">
      <c r="A1346" t="s">
        <v>7748</v>
      </c>
      <c r="B1346" t="s">
        <v>7749</v>
      </c>
      <c r="C1346" t="s">
        <v>7750</v>
      </c>
      <c r="D1346" t="s">
        <v>295</v>
      </c>
      <c r="E1346" t="s">
        <v>271</v>
      </c>
      <c r="F1346" t="s">
        <v>294</v>
      </c>
    </row>
    <row r="1347" spans="1:6" x14ac:dyDescent="0.25">
      <c r="A1347" t="s">
        <v>7751</v>
      </c>
      <c r="B1347" t="s">
        <v>458</v>
      </c>
      <c r="C1347" t="s">
        <v>7752</v>
      </c>
      <c r="D1347" t="s">
        <v>260</v>
      </c>
      <c r="E1347" t="s">
        <v>265</v>
      </c>
      <c r="F1347" t="s">
        <v>7753</v>
      </c>
    </row>
    <row r="1348" spans="1:6" x14ac:dyDescent="0.25">
      <c r="A1348" t="s">
        <v>7754</v>
      </c>
      <c r="B1348" t="s">
        <v>7755</v>
      </c>
      <c r="C1348" t="s">
        <v>7756</v>
      </c>
      <c r="D1348" t="s">
        <v>1542</v>
      </c>
      <c r="E1348" t="s">
        <v>269</v>
      </c>
      <c r="F1348" t="s">
        <v>1541</v>
      </c>
    </row>
    <row r="1349" spans="1:6" x14ac:dyDescent="0.25">
      <c r="A1349" t="s">
        <v>7757</v>
      </c>
      <c r="B1349" t="s">
        <v>7758</v>
      </c>
      <c r="C1349" t="s">
        <v>7759</v>
      </c>
      <c r="D1349" t="s">
        <v>0</v>
      </c>
      <c r="E1349" t="s">
        <v>271</v>
      </c>
      <c r="F1349" t="s">
        <v>575</v>
      </c>
    </row>
    <row r="1350" spans="1:6" x14ac:dyDescent="0.25">
      <c r="A1350" t="s">
        <v>7760</v>
      </c>
      <c r="B1350" t="s">
        <v>509</v>
      </c>
      <c r="C1350" t="s">
        <v>7761</v>
      </c>
      <c r="D1350" t="s">
        <v>7762</v>
      </c>
      <c r="E1350" t="s">
        <v>271</v>
      </c>
      <c r="F1350" t="s">
        <v>7763</v>
      </c>
    </row>
    <row r="1351" spans="1:6" x14ac:dyDescent="0.25">
      <c r="A1351" t="s">
        <v>3425</v>
      </c>
      <c r="B1351" t="s">
        <v>3426</v>
      </c>
      <c r="C1351" t="s">
        <v>3427</v>
      </c>
      <c r="D1351" t="s">
        <v>0</v>
      </c>
      <c r="E1351" t="s">
        <v>271</v>
      </c>
      <c r="F1351" t="s">
        <v>881</v>
      </c>
    </row>
    <row r="1352" spans="1:6" x14ac:dyDescent="0.25">
      <c r="A1352" t="s">
        <v>7764</v>
      </c>
      <c r="B1352" t="s">
        <v>7765</v>
      </c>
      <c r="C1352" t="s">
        <v>7766</v>
      </c>
      <c r="D1352" t="s">
        <v>2488</v>
      </c>
      <c r="E1352" t="s">
        <v>269</v>
      </c>
      <c r="F1352" t="s">
        <v>7692</v>
      </c>
    </row>
    <row r="1353" spans="1:6" x14ac:dyDescent="0.25">
      <c r="A1353" t="s">
        <v>7767</v>
      </c>
      <c r="B1353" t="s">
        <v>7768</v>
      </c>
      <c r="C1353" t="s">
        <v>7769</v>
      </c>
      <c r="D1353" t="s">
        <v>510</v>
      </c>
      <c r="E1353" t="s">
        <v>271</v>
      </c>
      <c r="F1353" t="s">
        <v>852</v>
      </c>
    </row>
    <row r="1354" spans="1:6" x14ac:dyDescent="0.25">
      <c r="A1354" t="s">
        <v>7770</v>
      </c>
      <c r="B1354" t="s">
        <v>7771</v>
      </c>
      <c r="C1354" t="s">
        <v>7772</v>
      </c>
      <c r="D1354" t="s">
        <v>793</v>
      </c>
      <c r="E1354" t="s">
        <v>271</v>
      </c>
      <c r="F1354" t="s">
        <v>792</v>
      </c>
    </row>
    <row r="1355" spans="1:6" x14ac:dyDescent="0.25">
      <c r="A1355" t="s">
        <v>7773</v>
      </c>
      <c r="B1355" t="s">
        <v>7774</v>
      </c>
      <c r="C1355" t="s">
        <v>7775</v>
      </c>
      <c r="D1355" t="s">
        <v>540</v>
      </c>
      <c r="E1355" t="s">
        <v>271</v>
      </c>
      <c r="F1355" t="s">
        <v>339</v>
      </c>
    </row>
    <row r="1356" spans="1:6" x14ac:dyDescent="0.25">
      <c r="A1356" t="s">
        <v>7776</v>
      </c>
      <c r="B1356" t="s">
        <v>7777</v>
      </c>
      <c r="C1356" t="s">
        <v>7778</v>
      </c>
      <c r="D1356" t="s">
        <v>4649</v>
      </c>
      <c r="E1356" t="s">
        <v>271</v>
      </c>
      <c r="F1356" t="s">
        <v>4436</v>
      </c>
    </row>
    <row r="1357" spans="1:6" x14ac:dyDescent="0.25">
      <c r="A1357" t="s">
        <v>7779</v>
      </c>
      <c r="B1357" t="s">
        <v>7780</v>
      </c>
      <c r="C1357" t="s">
        <v>7781</v>
      </c>
      <c r="D1357" t="s">
        <v>0</v>
      </c>
      <c r="E1357" t="s">
        <v>271</v>
      </c>
      <c r="F1357" t="s">
        <v>3941</v>
      </c>
    </row>
    <row r="1358" spans="1:6" x14ac:dyDescent="0.25">
      <c r="A1358" t="s">
        <v>7782</v>
      </c>
      <c r="B1358" t="s">
        <v>7783</v>
      </c>
      <c r="C1358" t="s">
        <v>7784</v>
      </c>
      <c r="D1358" t="s">
        <v>340</v>
      </c>
      <c r="E1358" t="s">
        <v>271</v>
      </c>
      <c r="F1358" t="s">
        <v>317</v>
      </c>
    </row>
    <row r="1359" spans="1:6" x14ac:dyDescent="0.25">
      <c r="A1359" t="s">
        <v>7785</v>
      </c>
      <c r="B1359" t="s">
        <v>7786</v>
      </c>
      <c r="C1359" t="s">
        <v>7787</v>
      </c>
      <c r="D1359" t="s">
        <v>6897</v>
      </c>
      <c r="E1359" t="s">
        <v>269</v>
      </c>
      <c r="F1359" t="s">
        <v>4394</v>
      </c>
    </row>
    <row r="1360" spans="1:6" x14ac:dyDescent="0.25">
      <c r="A1360" t="s">
        <v>7788</v>
      </c>
      <c r="B1360" t="s">
        <v>7789</v>
      </c>
      <c r="C1360" t="s">
        <v>7790</v>
      </c>
      <c r="D1360" t="s">
        <v>1806</v>
      </c>
      <c r="E1360" t="s">
        <v>271</v>
      </c>
      <c r="F1360" t="s">
        <v>1805</v>
      </c>
    </row>
    <row r="1361" spans="1:6" x14ac:dyDescent="0.25">
      <c r="A1361" t="s">
        <v>7791</v>
      </c>
      <c r="B1361" t="s">
        <v>7792</v>
      </c>
      <c r="C1361" t="s">
        <v>7793</v>
      </c>
      <c r="D1361" t="s">
        <v>1361</v>
      </c>
      <c r="E1361" t="s">
        <v>271</v>
      </c>
      <c r="F1361" t="s">
        <v>1360</v>
      </c>
    </row>
    <row r="1362" spans="1:6" x14ac:dyDescent="0.25">
      <c r="A1362" t="s">
        <v>7794</v>
      </c>
      <c r="B1362" t="s">
        <v>7795</v>
      </c>
      <c r="C1362" t="s">
        <v>7796</v>
      </c>
      <c r="D1362" t="s">
        <v>510</v>
      </c>
      <c r="E1362" t="s">
        <v>271</v>
      </c>
      <c r="F1362" t="s">
        <v>1829</v>
      </c>
    </row>
    <row r="1363" spans="1:6" x14ac:dyDescent="0.25">
      <c r="A1363" t="s">
        <v>7797</v>
      </c>
      <c r="B1363" t="s">
        <v>7798</v>
      </c>
      <c r="C1363" t="s">
        <v>7799</v>
      </c>
      <c r="D1363" t="s">
        <v>793</v>
      </c>
      <c r="E1363" t="s">
        <v>271</v>
      </c>
      <c r="F1363" t="s">
        <v>792</v>
      </c>
    </row>
    <row r="1364" spans="1:6" x14ac:dyDescent="0.25">
      <c r="A1364" t="s">
        <v>7800</v>
      </c>
      <c r="B1364" t="s">
        <v>7801</v>
      </c>
      <c r="C1364" t="s">
        <v>7802</v>
      </c>
      <c r="D1364" t="s">
        <v>0</v>
      </c>
      <c r="E1364" t="s">
        <v>271</v>
      </c>
      <c r="F1364" t="s">
        <v>431</v>
      </c>
    </row>
    <row r="1365" spans="1:6" x14ac:dyDescent="0.25">
      <c r="A1365" t="s">
        <v>7803</v>
      </c>
      <c r="B1365" t="s">
        <v>7804</v>
      </c>
      <c r="C1365" t="s">
        <v>7805</v>
      </c>
      <c r="D1365" t="s">
        <v>0</v>
      </c>
      <c r="E1365" t="s">
        <v>271</v>
      </c>
      <c r="F1365" t="s">
        <v>1011</v>
      </c>
    </row>
    <row r="1366" spans="1:6" x14ac:dyDescent="0.25">
      <c r="A1366" t="s">
        <v>7806</v>
      </c>
      <c r="B1366" t="s">
        <v>7807</v>
      </c>
      <c r="C1366" t="s">
        <v>7808</v>
      </c>
      <c r="D1366" t="s">
        <v>0</v>
      </c>
      <c r="E1366" t="s">
        <v>271</v>
      </c>
      <c r="F1366" t="s">
        <v>355</v>
      </c>
    </row>
    <row r="1367" spans="1:6" x14ac:dyDescent="0.25">
      <c r="A1367" t="s">
        <v>3302</v>
      </c>
      <c r="B1367" t="s">
        <v>3303</v>
      </c>
      <c r="C1367" t="s">
        <v>3304</v>
      </c>
      <c r="D1367" t="s">
        <v>0</v>
      </c>
      <c r="E1367" t="s">
        <v>271</v>
      </c>
      <c r="F1367" t="s">
        <v>2349</v>
      </c>
    </row>
    <row r="1368" spans="1:6" x14ac:dyDescent="0.25">
      <c r="A1368" t="s">
        <v>7809</v>
      </c>
      <c r="B1368" t="s">
        <v>7810</v>
      </c>
      <c r="C1368" t="s">
        <v>7811</v>
      </c>
      <c r="D1368" t="s">
        <v>500</v>
      </c>
      <c r="E1368" t="s">
        <v>271</v>
      </c>
      <c r="F1368" t="s">
        <v>501</v>
      </c>
    </row>
    <row r="1369" spans="1:6" x14ac:dyDescent="0.25">
      <c r="A1369" t="s">
        <v>7812</v>
      </c>
      <c r="B1369" t="s">
        <v>7813</v>
      </c>
      <c r="C1369" t="s">
        <v>7814</v>
      </c>
      <c r="D1369" t="s">
        <v>916</v>
      </c>
      <c r="E1369" t="s">
        <v>271</v>
      </c>
      <c r="F1369" t="s">
        <v>915</v>
      </c>
    </row>
    <row r="1370" spans="1:6" x14ac:dyDescent="0.25">
      <c r="A1370" t="s">
        <v>7815</v>
      </c>
      <c r="B1370" t="s">
        <v>7816</v>
      </c>
      <c r="C1370" t="s">
        <v>7817</v>
      </c>
      <c r="D1370" t="s">
        <v>510</v>
      </c>
      <c r="E1370" t="s">
        <v>271</v>
      </c>
      <c r="F1370" t="s">
        <v>437</v>
      </c>
    </row>
    <row r="1371" spans="1:6" x14ac:dyDescent="0.25">
      <c r="A1371" t="s">
        <v>7818</v>
      </c>
      <c r="B1371" t="s">
        <v>7819</v>
      </c>
      <c r="C1371" t="s">
        <v>7820</v>
      </c>
      <c r="D1371" t="s">
        <v>0</v>
      </c>
      <c r="E1371" t="s">
        <v>271</v>
      </c>
      <c r="F1371" t="s">
        <v>1321</v>
      </c>
    </row>
    <row r="1372" spans="1:6" x14ac:dyDescent="0.25">
      <c r="A1372" t="s">
        <v>7821</v>
      </c>
      <c r="B1372" t="s">
        <v>7822</v>
      </c>
      <c r="C1372" t="s">
        <v>7823</v>
      </c>
      <c r="D1372" t="s">
        <v>0</v>
      </c>
      <c r="E1372" t="s">
        <v>271</v>
      </c>
      <c r="F1372" t="s">
        <v>531</v>
      </c>
    </row>
    <row r="1373" spans="1:6" x14ac:dyDescent="0.25">
      <c r="A1373" t="s">
        <v>7824</v>
      </c>
      <c r="B1373" t="s">
        <v>7825</v>
      </c>
      <c r="C1373" t="s">
        <v>7826</v>
      </c>
      <c r="D1373" t="s">
        <v>0</v>
      </c>
      <c r="E1373" t="s">
        <v>271</v>
      </c>
      <c r="F1373" t="s">
        <v>356</v>
      </c>
    </row>
    <row r="1374" spans="1:6" x14ac:dyDescent="0.25">
      <c r="A1374" t="s">
        <v>7827</v>
      </c>
      <c r="B1374" t="s">
        <v>7828</v>
      </c>
      <c r="C1374" t="s">
        <v>7829</v>
      </c>
      <c r="D1374" t="s">
        <v>0</v>
      </c>
      <c r="E1374" t="s">
        <v>271</v>
      </c>
      <c r="F1374" t="s">
        <v>436</v>
      </c>
    </row>
    <row r="1375" spans="1:6" x14ac:dyDescent="0.25">
      <c r="A1375" t="s">
        <v>7830</v>
      </c>
      <c r="B1375" t="s">
        <v>7831</v>
      </c>
      <c r="C1375" t="s">
        <v>7832</v>
      </c>
      <c r="D1375" t="s">
        <v>357</v>
      </c>
      <c r="E1375" t="s">
        <v>271</v>
      </c>
      <c r="F1375" t="s">
        <v>358</v>
      </c>
    </row>
    <row r="1376" spans="1:6" x14ac:dyDescent="0.25">
      <c r="A1376" t="s">
        <v>3140</v>
      </c>
      <c r="B1376" t="s">
        <v>3141</v>
      </c>
      <c r="C1376" t="s">
        <v>3142</v>
      </c>
      <c r="D1376" t="s">
        <v>1165</v>
      </c>
      <c r="E1376" t="s">
        <v>271</v>
      </c>
      <c r="F1376" t="s">
        <v>1164</v>
      </c>
    </row>
    <row r="1377" spans="1:6" x14ac:dyDescent="0.25">
      <c r="A1377" t="s">
        <v>1339</v>
      </c>
      <c r="B1377" t="s">
        <v>1340</v>
      </c>
      <c r="C1377" t="s">
        <v>1341</v>
      </c>
      <c r="D1377" t="s">
        <v>1126</v>
      </c>
      <c r="E1377" t="s">
        <v>271</v>
      </c>
      <c r="F1377" t="s">
        <v>1125</v>
      </c>
    </row>
    <row r="1378" spans="1:6" x14ac:dyDescent="0.25">
      <c r="A1378" t="s">
        <v>7833</v>
      </c>
      <c r="B1378" t="s">
        <v>7834</v>
      </c>
      <c r="C1378" t="s">
        <v>7835</v>
      </c>
      <c r="D1378" t="s">
        <v>1303</v>
      </c>
      <c r="E1378" t="s">
        <v>269</v>
      </c>
      <c r="F1378" t="s">
        <v>1302</v>
      </c>
    </row>
    <row r="1379" spans="1:6" x14ac:dyDescent="0.25">
      <c r="A1379" t="s">
        <v>7836</v>
      </c>
      <c r="B1379" t="s">
        <v>7837</v>
      </c>
      <c r="C1379" t="s">
        <v>7838</v>
      </c>
      <c r="D1379" t="s">
        <v>617</v>
      </c>
      <c r="E1379" t="s">
        <v>271</v>
      </c>
      <c r="F1379" t="s">
        <v>438</v>
      </c>
    </row>
    <row r="1380" spans="1:6" x14ac:dyDescent="0.25">
      <c r="A1380" t="s">
        <v>7839</v>
      </c>
      <c r="B1380" t="s">
        <v>7840</v>
      </c>
      <c r="C1380" t="s">
        <v>7841</v>
      </c>
      <c r="D1380" t="s">
        <v>340</v>
      </c>
      <c r="E1380" t="s">
        <v>271</v>
      </c>
      <c r="F1380" t="s">
        <v>317</v>
      </c>
    </row>
    <row r="1381" spans="1:6" x14ac:dyDescent="0.25">
      <c r="A1381" t="s">
        <v>7842</v>
      </c>
      <c r="B1381" t="s">
        <v>7843</v>
      </c>
      <c r="C1381" t="s">
        <v>7844</v>
      </c>
      <c r="D1381" t="s">
        <v>314</v>
      </c>
      <c r="E1381" t="s">
        <v>271</v>
      </c>
      <c r="F1381" t="s">
        <v>3081</v>
      </c>
    </row>
    <row r="1382" spans="1:6" x14ac:dyDescent="0.25">
      <c r="A1382" t="s">
        <v>7845</v>
      </c>
      <c r="B1382" t="s">
        <v>7846</v>
      </c>
      <c r="C1382" t="s">
        <v>7847</v>
      </c>
      <c r="D1382" t="s">
        <v>498</v>
      </c>
      <c r="E1382" t="s">
        <v>271</v>
      </c>
      <c r="F1382" t="s">
        <v>926</v>
      </c>
    </row>
    <row r="1383" spans="1:6" x14ac:dyDescent="0.25">
      <c r="A1383" t="s">
        <v>7848</v>
      </c>
      <c r="B1383" t="s">
        <v>7849</v>
      </c>
      <c r="C1383" t="s">
        <v>4460</v>
      </c>
      <c r="D1383" t="s">
        <v>0</v>
      </c>
      <c r="E1383" t="s">
        <v>271</v>
      </c>
      <c r="F1383" t="s">
        <v>881</v>
      </c>
    </row>
    <row r="1384" spans="1:6" x14ac:dyDescent="0.25">
      <c r="A1384" t="s">
        <v>7850</v>
      </c>
      <c r="B1384" t="s">
        <v>7851</v>
      </c>
      <c r="C1384" t="s">
        <v>7852</v>
      </c>
      <c r="D1384" t="s">
        <v>0</v>
      </c>
      <c r="E1384" t="s">
        <v>271</v>
      </c>
      <c r="F1384" t="s">
        <v>356</v>
      </c>
    </row>
    <row r="1385" spans="1:6" x14ac:dyDescent="0.25">
      <c r="A1385" t="s">
        <v>7853</v>
      </c>
      <c r="B1385" t="s">
        <v>7854</v>
      </c>
      <c r="C1385" t="s">
        <v>7855</v>
      </c>
      <c r="D1385" t="s">
        <v>1027</v>
      </c>
      <c r="E1385" t="s">
        <v>271</v>
      </c>
      <c r="F1385" t="s">
        <v>1026</v>
      </c>
    </row>
    <row r="1386" spans="1:6" x14ac:dyDescent="0.25">
      <c r="A1386" t="s">
        <v>7856</v>
      </c>
      <c r="B1386" t="s">
        <v>7857</v>
      </c>
      <c r="C1386" t="s">
        <v>7858</v>
      </c>
      <c r="D1386" t="s">
        <v>668</v>
      </c>
      <c r="E1386" t="s">
        <v>271</v>
      </c>
      <c r="F1386" t="s">
        <v>667</v>
      </c>
    </row>
    <row r="1387" spans="1:6" x14ac:dyDescent="0.25">
      <c r="A1387" t="s">
        <v>7859</v>
      </c>
      <c r="B1387" t="s">
        <v>7860</v>
      </c>
      <c r="C1387" t="s">
        <v>7861</v>
      </c>
      <c r="D1387" t="s">
        <v>342</v>
      </c>
      <c r="E1387" t="s">
        <v>265</v>
      </c>
      <c r="F1387" t="s">
        <v>7862</v>
      </c>
    </row>
    <row r="1388" spans="1:6" x14ac:dyDescent="0.25">
      <c r="A1388" t="s">
        <v>7863</v>
      </c>
      <c r="B1388" t="s">
        <v>7864</v>
      </c>
      <c r="C1388" t="s">
        <v>7865</v>
      </c>
      <c r="D1388" t="s">
        <v>0</v>
      </c>
      <c r="E1388" t="s">
        <v>271</v>
      </c>
      <c r="F1388" t="s">
        <v>1591</v>
      </c>
    </row>
    <row r="1389" spans="1:6" x14ac:dyDescent="0.25">
      <c r="A1389" t="s">
        <v>7866</v>
      </c>
      <c r="B1389" t="s">
        <v>7867</v>
      </c>
      <c r="C1389" t="s">
        <v>7868</v>
      </c>
      <c r="D1389" t="s">
        <v>0</v>
      </c>
      <c r="E1389" t="s">
        <v>271</v>
      </c>
      <c r="F1389" t="s">
        <v>1011</v>
      </c>
    </row>
    <row r="1390" spans="1:6" x14ac:dyDescent="0.25">
      <c r="A1390" t="s">
        <v>7869</v>
      </c>
      <c r="B1390" t="s">
        <v>7870</v>
      </c>
      <c r="C1390" t="s">
        <v>7871</v>
      </c>
      <c r="D1390" t="s">
        <v>845</v>
      </c>
      <c r="E1390" t="s">
        <v>271</v>
      </c>
      <c r="F1390" t="s">
        <v>844</v>
      </c>
    </row>
    <row r="1391" spans="1:6" x14ac:dyDescent="0.25">
      <c r="A1391" t="s">
        <v>7872</v>
      </c>
      <c r="B1391" t="s">
        <v>7873</v>
      </c>
      <c r="C1391" t="s">
        <v>7874</v>
      </c>
      <c r="D1391" t="s">
        <v>616</v>
      </c>
      <c r="E1391" t="s">
        <v>271</v>
      </c>
      <c r="F1391" t="s">
        <v>1102</v>
      </c>
    </row>
    <row r="1392" spans="1:6" x14ac:dyDescent="0.25">
      <c r="A1392" t="s">
        <v>7875</v>
      </c>
      <c r="B1392" t="s">
        <v>7876</v>
      </c>
      <c r="C1392" t="s">
        <v>7877</v>
      </c>
      <c r="D1392" t="s">
        <v>232</v>
      </c>
      <c r="E1392" t="s">
        <v>271</v>
      </c>
      <c r="F1392" t="s">
        <v>329</v>
      </c>
    </row>
    <row r="1393" spans="1:6" x14ac:dyDescent="0.25">
      <c r="A1393" t="s">
        <v>7878</v>
      </c>
      <c r="B1393" t="s">
        <v>7879</v>
      </c>
      <c r="C1393" t="s">
        <v>7880</v>
      </c>
      <c r="D1393" t="s">
        <v>2024</v>
      </c>
      <c r="E1393" t="s">
        <v>271</v>
      </c>
      <c r="F1393" t="s">
        <v>428</v>
      </c>
    </row>
    <row r="1394" spans="1:6" x14ac:dyDescent="0.25">
      <c r="A1394" t="s">
        <v>7881</v>
      </c>
      <c r="B1394" t="s">
        <v>7882</v>
      </c>
      <c r="C1394" t="s">
        <v>1042</v>
      </c>
      <c r="D1394" t="s">
        <v>0</v>
      </c>
      <c r="E1394" t="s">
        <v>271</v>
      </c>
      <c r="F1394" t="s">
        <v>323</v>
      </c>
    </row>
    <row r="1395" spans="1:6" x14ac:dyDescent="0.25">
      <c r="A1395" t="s">
        <v>7883</v>
      </c>
      <c r="B1395" t="s">
        <v>7884</v>
      </c>
      <c r="C1395" t="s">
        <v>7885</v>
      </c>
      <c r="D1395" t="s">
        <v>1665</v>
      </c>
      <c r="E1395" t="s">
        <v>271</v>
      </c>
      <c r="F1395" t="s">
        <v>1664</v>
      </c>
    </row>
    <row r="1396" spans="1:6" x14ac:dyDescent="0.25">
      <c r="A1396" t="s">
        <v>7886</v>
      </c>
      <c r="B1396" t="s">
        <v>7887</v>
      </c>
      <c r="C1396" t="s">
        <v>7888</v>
      </c>
      <c r="D1396" t="s">
        <v>0</v>
      </c>
      <c r="E1396" t="s">
        <v>271</v>
      </c>
      <c r="F1396" t="s">
        <v>709</v>
      </c>
    </row>
    <row r="1397" spans="1:6" x14ac:dyDescent="0.25">
      <c r="A1397" t="s">
        <v>7889</v>
      </c>
      <c r="B1397" t="s">
        <v>7890</v>
      </c>
      <c r="C1397" t="s">
        <v>7891</v>
      </c>
      <c r="D1397" t="s">
        <v>578</v>
      </c>
      <c r="E1397" t="s">
        <v>271</v>
      </c>
      <c r="F1397" t="s">
        <v>321</v>
      </c>
    </row>
    <row r="1398" spans="1:6" x14ac:dyDescent="0.25">
      <c r="A1398" t="s">
        <v>7892</v>
      </c>
      <c r="B1398" t="s">
        <v>7893</v>
      </c>
      <c r="C1398" t="s">
        <v>7894</v>
      </c>
      <c r="D1398" t="s">
        <v>460</v>
      </c>
      <c r="E1398" t="s">
        <v>271</v>
      </c>
      <c r="F1398" t="s">
        <v>435</v>
      </c>
    </row>
    <row r="1399" spans="1:6" x14ac:dyDescent="0.25">
      <c r="A1399" t="s">
        <v>7895</v>
      </c>
      <c r="B1399" t="s">
        <v>7896</v>
      </c>
      <c r="C1399" t="s">
        <v>7897</v>
      </c>
      <c r="D1399" t="s">
        <v>7898</v>
      </c>
      <c r="E1399" t="s">
        <v>271</v>
      </c>
      <c r="F1399" t="s">
        <v>4406</v>
      </c>
    </row>
    <row r="1400" spans="1:6" x14ac:dyDescent="0.25">
      <c r="A1400" t="s">
        <v>7899</v>
      </c>
      <c r="B1400" t="s">
        <v>7900</v>
      </c>
      <c r="C1400" t="s">
        <v>7901</v>
      </c>
      <c r="D1400" t="s">
        <v>1548</v>
      </c>
      <c r="E1400" t="s">
        <v>271</v>
      </c>
      <c r="F1400" t="s">
        <v>1547</v>
      </c>
    </row>
    <row r="1401" spans="1:6" x14ac:dyDescent="0.25">
      <c r="A1401" t="s">
        <v>7902</v>
      </c>
      <c r="B1401" t="s">
        <v>7903</v>
      </c>
      <c r="C1401" t="s">
        <v>7904</v>
      </c>
      <c r="D1401" t="s">
        <v>0</v>
      </c>
      <c r="E1401" t="s">
        <v>271</v>
      </c>
      <c r="F1401" t="s">
        <v>1321</v>
      </c>
    </row>
    <row r="1402" spans="1:6" x14ac:dyDescent="0.25">
      <c r="A1402" t="s">
        <v>7905</v>
      </c>
      <c r="B1402" t="s">
        <v>7906</v>
      </c>
      <c r="C1402" t="s">
        <v>7907</v>
      </c>
      <c r="D1402" t="s">
        <v>1079</v>
      </c>
      <c r="E1402" t="s">
        <v>271</v>
      </c>
      <c r="F1402" t="s">
        <v>3880</v>
      </c>
    </row>
    <row r="1403" spans="1:6" x14ac:dyDescent="0.25">
      <c r="A1403" t="s">
        <v>7908</v>
      </c>
      <c r="B1403" t="s">
        <v>7909</v>
      </c>
      <c r="C1403" t="s">
        <v>7910</v>
      </c>
      <c r="D1403" t="s">
        <v>1609</v>
      </c>
      <c r="E1403" t="s">
        <v>271</v>
      </c>
      <c r="F1403" t="s">
        <v>294</v>
      </c>
    </row>
    <row r="1404" spans="1:6" x14ac:dyDescent="0.25">
      <c r="A1404" t="s">
        <v>7911</v>
      </c>
      <c r="B1404" t="s">
        <v>7912</v>
      </c>
      <c r="C1404" t="s">
        <v>7369</v>
      </c>
      <c r="D1404" t="s">
        <v>1126</v>
      </c>
      <c r="E1404" t="s">
        <v>271</v>
      </c>
      <c r="F1404" t="s">
        <v>1125</v>
      </c>
    </row>
    <row r="1405" spans="1:6" x14ac:dyDescent="0.25">
      <c r="A1405" t="s">
        <v>7913</v>
      </c>
      <c r="B1405" t="s">
        <v>7914</v>
      </c>
      <c r="C1405" t="s">
        <v>595</v>
      </c>
      <c r="D1405" t="s">
        <v>245</v>
      </c>
      <c r="E1405" t="s">
        <v>271</v>
      </c>
      <c r="F1405" t="s">
        <v>413</v>
      </c>
    </row>
    <row r="1406" spans="1:6" x14ac:dyDescent="0.25">
      <c r="A1406" t="s">
        <v>2258</v>
      </c>
      <c r="B1406" t="s">
        <v>2259</v>
      </c>
      <c r="C1406" t="s">
        <v>2261</v>
      </c>
      <c r="D1406" t="s">
        <v>1361</v>
      </c>
      <c r="E1406" t="s">
        <v>271</v>
      </c>
      <c r="F1406" t="s">
        <v>2260</v>
      </c>
    </row>
    <row r="1407" spans="1:6" x14ac:dyDescent="0.25">
      <c r="A1407" t="s">
        <v>7915</v>
      </c>
      <c r="B1407" t="s">
        <v>7916</v>
      </c>
      <c r="C1407" t="s">
        <v>7917</v>
      </c>
      <c r="D1407" t="s">
        <v>668</v>
      </c>
      <c r="E1407" t="s">
        <v>271</v>
      </c>
      <c r="F1407" t="s">
        <v>667</v>
      </c>
    </row>
    <row r="1408" spans="1:6" x14ac:dyDescent="0.25">
      <c r="A1408" t="s">
        <v>7918</v>
      </c>
      <c r="B1408" t="s">
        <v>7919</v>
      </c>
      <c r="C1408" t="s">
        <v>7920</v>
      </c>
      <c r="D1408" t="s">
        <v>450</v>
      </c>
      <c r="E1408" t="s">
        <v>271</v>
      </c>
      <c r="F1408" t="s">
        <v>326</v>
      </c>
    </row>
    <row r="1409" spans="1:6" x14ac:dyDescent="0.25">
      <c r="A1409" t="s">
        <v>7921</v>
      </c>
      <c r="B1409" t="s">
        <v>7922</v>
      </c>
      <c r="C1409" t="s">
        <v>7923</v>
      </c>
      <c r="D1409" t="s">
        <v>239</v>
      </c>
      <c r="E1409" t="s">
        <v>271</v>
      </c>
      <c r="F1409" t="s">
        <v>544</v>
      </c>
    </row>
    <row r="1410" spans="1:6" x14ac:dyDescent="0.25">
      <c r="A1410" t="s">
        <v>2034</v>
      </c>
      <c r="B1410" t="s">
        <v>2035</v>
      </c>
      <c r="C1410" t="s">
        <v>2036</v>
      </c>
      <c r="D1410" t="s">
        <v>340</v>
      </c>
      <c r="E1410" t="s">
        <v>271</v>
      </c>
      <c r="F1410" t="s">
        <v>317</v>
      </c>
    </row>
    <row r="1411" spans="1:6" x14ac:dyDescent="0.25">
      <c r="A1411" t="s">
        <v>7924</v>
      </c>
      <c r="B1411" t="s">
        <v>7925</v>
      </c>
      <c r="C1411" t="s">
        <v>7926</v>
      </c>
      <c r="D1411" t="s">
        <v>0</v>
      </c>
      <c r="E1411" t="s">
        <v>271</v>
      </c>
      <c r="F1411" t="s">
        <v>319</v>
      </c>
    </row>
    <row r="1412" spans="1:6" x14ac:dyDescent="0.25">
      <c r="A1412" t="s">
        <v>7927</v>
      </c>
      <c r="B1412" t="s">
        <v>7928</v>
      </c>
      <c r="C1412" t="s">
        <v>1195</v>
      </c>
      <c r="D1412" t="s">
        <v>0</v>
      </c>
      <c r="E1412" t="s">
        <v>271</v>
      </c>
      <c r="F1412" t="s">
        <v>731</v>
      </c>
    </row>
    <row r="1413" spans="1:6" x14ac:dyDescent="0.25">
      <c r="A1413" t="s">
        <v>7929</v>
      </c>
      <c r="B1413" t="s">
        <v>7930</v>
      </c>
      <c r="C1413" t="s">
        <v>7931</v>
      </c>
      <c r="D1413" t="s">
        <v>845</v>
      </c>
      <c r="E1413" t="s">
        <v>271</v>
      </c>
      <c r="F1413" t="s">
        <v>844</v>
      </c>
    </row>
    <row r="1414" spans="1:6" x14ac:dyDescent="0.25">
      <c r="A1414" t="s">
        <v>7932</v>
      </c>
      <c r="B1414" t="s">
        <v>7933</v>
      </c>
      <c r="C1414" t="s">
        <v>7934</v>
      </c>
      <c r="D1414" t="s">
        <v>0</v>
      </c>
      <c r="E1414" t="s">
        <v>271</v>
      </c>
      <c r="F1414" t="s">
        <v>325</v>
      </c>
    </row>
    <row r="1415" spans="1:6" x14ac:dyDescent="0.25">
      <c r="A1415" t="s">
        <v>2934</v>
      </c>
      <c r="B1415" t="s">
        <v>2935</v>
      </c>
      <c r="C1415" t="s">
        <v>2936</v>
      </c>
      <c r="D1415" t="s">
        <v>0</v>
      </c>
      <c r="E1415" t="s">
        <v>271</v>
      </c>
      <c r="F1415" t="s">
        <v>356</v>
      </c>
    </row>
    <row r="1416" spans="1:6" x14ac:dyDescent="0.25">
      <c r="A1416" t="s">
        <v>7935</v>
      </c>
      <c r="B1416" t="s">
        <v>7936</v>
      </c>
      <c r="C1416" t="s">
        <v>7937</v>
      </c>
      <c r="D1416" t="s">
        <v>361</v>
      </c>
      <c r="E1416" t="s">
        <v>271</v>
      </c>
      <c r="F1416" t="s">
        <v>1563</v>
      </c>
    </row>
    <row r="1417" spans="1:6" x14ac:dyDescent="0.25">
      <c r="A1417" t="s">
        <v>854</v>
      </c>
      <c r="B1417" t="s">
        <v>855</v>
      </c>
      <c r="C1417" t="s">
        <v>857</v>
      </c>
      <c r="D1417" t="s">
        <v>0</v>
      </c>
      <c r="E1417" t="s">
        <v>271</v>
      </c>
      <c r="F1417" t="s">
        <v>658</v>
      </c>
    </row>
    <row r="1418" spans="1:6" x14ac:dyDescent="0.25">
      <c r="A1418" t="s">
        <v>7938</v>
      </c>
      <c r="B1418" t="s">
        <v>7939</v>
      </c>
      <c r="C1418" t="s">
        <v>7940</v>
      </c>
      <c r="D1418" t="s">
        <v>1186</v>
      </c>
      <c r="E1418" t="s">
        <v>271</v>
      </c>
      <c r="F1418" t="s">
        <v>1185</v>
      </c>
    </row>
    <row r="1419" spans="1:6" x14ac:dyDescent="0.25">
      <c r="A1419" t="s">
        <v>1170</v>
      </c>
      <c r="B1419" t="s">
        <v>484</v>
      </c>
      <c r="C1419" t="s">
        <v>1172</v>
      </c>
      <c r="D1419" t="s">
        <v>668</v>
      </c>
      <c r="E1419" t="s">
        <v>271</v>
      </c>
      <c r="F1419" t="s">
        <v>667</v>
      </c>
    </row>
    <row r="1420" spans="1:6" x14ac:dyDescent="0.25">
      <c r="A1420" t="s">
        <v>7941</v>
      </c>
      <c r="B1420" t="s">
        <v>7942</v>
      </c>
      <c r="C1420" t="s">
        <v>7943</v>
      </c>
      <c r="D1420" t="s">
        <v>1126</v>
      </c>
      <c r="E1420" t="s">
        <v>271</v>
      </c>
      <c r="F1420" t="s">
        <v>1125</v>
      </c>
    </row>
    <row r="1421" spans="1:6" x14ac:dyDescent="0.25">
      <c r="A1421" t="s">
        <v>3407</v>
      </c>
      <c r="B1421" t="s">
        <v>3408</v>
      </c>
      <c r="C1421" t="s">
        <v>3409</v>
      </c>
      <c r="D1421" t="s">
        <v>0</v>
      </c>
      <c r="E1421" t="s">
        <v>271</v>
      </c>
      <c r="F1421" t="s">
        <v>688</v>
      </c>
    </row>
    <row r="1422" spans="1:6" x14ac:dyDescent="0.25">
      <c r="A1422" t="s">
        <v>7944</v>
      </c>
      <c r="B1422" t="s">
        <v>7945</v>
      </c>
      <c r="C1422" t="s">
        <v>7946</v>
      </c>
      <c r="D1422" t="s">
        <v>1126</v>
      </c>
      <c r="E1422" t="s">
        <v>271</v>
      </c>
      <c r="F1422" t="s">
        <v>1125</v>
      </c>
    </row>
    <row r="1423" spans="1:6" x14ac:dyDescent="0.25">
      <c r="A1423" t="s">
        <v>7947</v>
      </c>
      <c r="B1423" t="s">
        <v>7948</v>
      </c>
      <c r="C1423" t="s">
        <v>7949</v>
      </c>
      <c r="D1423" t="s">
        <v>5380</v>
      </c>
      <c r="E1423" t="s">
        <v>271</v>
      </c>
      <c r="F1423" t="s">
        <v>4379</v>
      </c>
    </row>
    <row r="1424" spans="1:6" x14ac:dyDescent="0.25">
      <c r="A1424" t="s">
        <v>7950</v>
      </c>
      <c r="B1424" t="s">
        <v>7951</v>
      </c>
      <c r="C1424" t="s">
        <v>7952</v>
      </c>
      <c r="D1424" t="s">
        <v>1317</v>
      </c>
      <c r="E1424" t="s">
        <v>271</v>
      </c>
      <c r="F1424" t="s">
        <v>1316</v>
      </c>
    </row>
    <row r="1425" spans="1:6" x14ac:dyDescent="0.25">
      <c r="A1425" t="s">
        <v>7953</v>
      </c>
      <c r="B1425" t="s">
        <v>7954</v>
      </c>
      <c r="C1425" t="s">
        <v>7955</v>
      </c>
      <c r="D1425" t="s">
        <v>347</v>
      </c>
      <c r="E1425" t="s">
        <v>271</v>
      </c>
      <c r="F1425" t="s">
        <v>327</v>
      </c>
    </row>
    <row r="1426" spans="1:6" x14ac:dyDescent="0.25">
      <c r="A1426" t="s">
        <v>7956</v>
      </c>
      <c r="B1426" t="s">
        <v>7957</v>
      </c>
      <c r="C1426" t="s">
        <v>7958</v>
      </c>
      <c r="D1426" t="s">
        <v>239</v>
      </c>
      <c r="E1426" t="s">
        <v>271</v>
      </c>
      <c r="F1426" t="s">
        <v>544</v>
      </c>
    </row>
    <row r="1427" spans="1:6" x14ac:dyDescent="0.25">
      <c r="A1427" t="s">
        <v>7959</v>
      </c>
      <c r="B1427" t="s">
        <v>7960</v>
      </c>
      <c r="C1427" t="s">
        <v>7961</v>
      </c>
      <c r="D1427" t="s">
        <v>2714</v>
      </c>
      <c r="E1427" t="s">
        <v>271</v>
      </c>
      <c r="F1427" t="s">
        <v>2713</v>
      </c>
    </row>
    <row r="1428" spans="1:6" x14ac:dyDescent="0.25">
      <c r="A1428" t="s">
        <v>7962</v>
      </c>
      <c r="B1428" t="s">
        <v>7963</v>
      </c>
      <c r="C1428" t="s">
        <v>7964</v>
      </c>
      <c r="D1428" t="s">
        <v>556</v>
      </c>
      <c r="E1428" t="s">
        <v>271</v>
      </c>
      <c r="F1428" t="s">
        <v>1567</v>
      </c>
    </row>
    <row r="1429" spans="1:6" x14ac:dyDescent="0.25">
      <c r="A1429" t="s">
        <v>7965</v>
      </c>
      <c r="B1429" t="s">
        <v>7966</v>
      </c>
      <c r="C1429" t="s">
        <v>7967</v>
      </c>
      <c r="D1429" t="s">
        <v>793</v>
      </c>
      <c r="E1429" t="s">
        <v>271</v>
      </c>
      <c r="F1429" t="s">
        <v>792</v>
      </c>
    </row>
    <row r="1430" spans="1:6" x14ac:dyDescent="0.25">
      <c r="A1430" t="s">
        <v>7968</v>
      </c>
      <c r="B1430" t="s">
        <v>7969</v>
      </c>
      <c r="C1430" t="s">
        <v>7970</v>
      </c>
      <c r="D1430" t="s">
        <v>2488</v>
      </c>
      <c r="E1430" t="s">
        <v>269</v>
      </c>
      <c r="F1430" t="s">
        <v>2487</v>
      </c>
    </row>
    <row r="1431" spans="1:6" x14ac:dyDescent="0.25">
      <c r="A1431" t="s">
        <v>7971</v>
      </c>
      <c r="B1431" t="s">
        <v>7972</v>
      </c>
      <c r="C1431" t="s">
        <v>7973</v>
      </c>
      <c r="D1431" t="s">
        <v>0</v>
      </c>
      <c r="E1431" t="s">
        <v>271</v>
      </c>
      <c r="F1431" t="s">
        <v>575</v>
      </c>
    </row>
    <row r="1432" spans="1:6" x14ac:dyDescent="0.25">
      <c r="A1432" t="s">
        <v>7974</v>
      </c>
      <c r="B1432" t="s">
        <v>7975</v>
      </c>
      <c r="C1432" t="s">
        <v>7976</v>
      </c>
      <c r="D1432" t="s">
        <v>2488</v>
      </c>
      <c r="E1432" t="s">
        <v>269</v>
      </c>
      <c r="F1432" t="s">
        <v>1914</v>
      </c>
    </row>
    <row r="1433" spans="1:6" x14ac:dyDescent="0.25">
      <c r="A1433" t="s">
        <v>7977</v>
      </c>
      <c r="B1433" t="s">
        <v>7978</v>
      </c>
      <c r="C1433" t="s">
        <v>7979</v>
      </c>
      <c r="D1433" t="s">
        <v>793</v>
      </c>
      <c r="E1433" t="s">
        <v>271</v>
      </c>
      <c r="F1433" t="s">
        <v>792</v>
      </c>
    </row>
    <row r="1434" spans="1:6" x14ac:dyDescent="0.25">
      <c r="A1434" t="s">
        <v>7980</v>
      </c>
      <c r="B1434" t="s">
        <v>7981</v>
      </c>
      <c r="C1434" t="s">
        <v>7982</v>
      </c>
      <c r="D1434" t="s">
        <v>1079</v>
      </c>
      <c r="E1434" t="s">
        <v>271</v>
      </c>
      <c r="F1434" t="s">
        <v>1078</v>
      </c>
    </row>
    <row r="1435" spans="1:6" x14ac:dyDescent="0.25">
      <c r="A1435" t="s">
        <v>7983</v>
      </c>
      <c r="B1435" t="s">
        <v>4494</v>
      </c>
      <c r="C1435" t="s">
        <v>7984</v>
      </c>
      <c r="D1435" t="s">
        <v>260</v>
      </c>
      <c r="E1435" t="s">
        <v>265</v>
      </c>
      <c r="F1435" t="s">
        <v>7985</v>
      </c>
    </row>
    <row r="1436" spans="1:6" x14ac:dyDescent="0.25">
      <c r="A1436" t="s">
        <v>7986</v>
      </c>
      <c r="B1436" t="s">
        <v>7987</v>
      </c>
      <c r="C1436" t="s">
        <v>7988</v>
      </c>
      <c r="D1436" t="s">
        <v>367</v>
      </c>
      <c r="E1436" t="s">
        <v>271</v>
      </c>
      <c r="F1436" t="s">
        <v>368</v>
      </c>
    </row>
    <row r="1437" spans="1:6" x14ac:dyDescent="0.25">
      <c r="A1437" t="s">
        <v>7989</v>
      </c>
      <c r="B1437" t="s">
        <v>7990</v>
      </c>
      <c r="C1437" t="s">
        <v>7991</v>
      </c>
      <c r="D1437" t="s">
        <v>0</v>
      </c>
      <c r="E1437" t="s">
        <v>271</v>
      </c>
      <c r="F1437" t="s">
        <v>731</v>
      </c>
    </row>
    <row r="1438" spans="1:6" x14ac:dyDescent="0.25">
      <c r="A1438" t="s">
        <v>7992</v>
      </c>
      <c r="B1438" t="s">
        <v>7993</v>
      </c>
      <c r="C1438" t="s">
        <v>7994</v>
      </c>
      <c r="D1438" t="s">
        <v>0</v>
      </c>
      <c r="E1438" t="s">
        <v>271</v>
      </c>
      <c r="F1438" t="s">
        <v>562</v>
      </c>
    </row>
    <row r="1439" spans="1:6" x14ac:dyDescent="0.25">
      <c r="A1439" t="s">
        <v>7995</v>
      </c>
      <c r="B1439" t="s">
        <v>7996</v>
      </c>
      <c r="C1439" t="s">
        <v>7997</v>
      </c>
      <c r="D1439" t="s">
        <v>1348</v>
      </c>
      <c r="E1439" t="s">
        <v>271</v>
      </c>
      <c r="F1439" t="s">
        <v>2057</v>
      </c>
    </row>
    <row r="1440" spans="1:6" x14ac:dyDescent="0.25">
      <c r="A1440" t="s">
        <v>7998</v>
      </c>
      <c r="B1440" t="s">
        <v>7999</v>
      </c>
      <c r="C1440" t="s">
        <v>8000</v>
      </c>
      <c r="D1440" t="s">
        <v>0</v>
      </c>
      <c r="E1440" t="s">
        <v>271</v>
      </c>
      <c r="F1440" t="s">
        <v>658</v>
      </c>
    </row>
    <row r="1441" spans="1:6" x14ac:dyDescent="0.25">
      <c r="A1441" t="s">
        <v>8001</v>
      </c>
      <c r="B1441" t="s">
        <v>8002</v>
      </c>
      <c r="C1441" t="s">
        <v>8003</v>
      </c>
      <c r="D1441" t="s">
        <v>572</v>
      </c>
      <c r="E1441" t="s">
        <v>271</v>
      </c>
      <c r="F1441" t="s">
        <v>335</v>
      </c>
    </row>
    <row r="1442" spans="1:6" x14ac:dyDescent="0.25">
      <c r="A1442" t="s">
        <v>8004</v>
      </c>
      <c r="B1442" t="s">
        <v>8005</v>
      </c>
      <c r="C1442" t="s">
        <v>8006</v>
      </c>
      <c r="D1442" t="s">
        <v>416</v>
      </c>
      <c r="E1442" t="s">
        <v>271</v>
      </c>
      <c r="F1442" t="s">
        <v>439</v>
      </c>
    </row>
    <row r="1443" spans="1:6" x14ac:dyDescent="0.25">
      <c r="A1443" t="s">
        <v>690</v>
      </c>
      <c r="B1443" t="s">
        <v>691</v>
      </c>
      <c r="C1443" t="s">
        <v>692</v>
      </c>
      <c r="D1443" t="s">
        <v>347</v>
      </c>
      <c r="E1443" t="s">
        <v>271</v>
      </c>
      <c r="F1443" t="s">
        <v>327</v>
      </c>
    </row>
    <row r="1444" spans="1:6" x14ac:dyDescent="0.25">
      <c r="A1444" t="s">
        <v>8007</v>
      </c>
      <c r="B1444" t="s">
        <v>8008</v>
      </c>
      <c r="C1444" t="s">
        <v>8009</v>
      </c>
      <c r="D1444" t="s">
        <v>2093</v>
      </c>
      <c r="E1444" t="s">
        <v>271</v>
      </c>
      <c r="F1444" t="s">
        <v>1058</v>
      </c>
    </row>
    <row r="1445" spans="1:6" x14ac:dyDescent="0.25">
      <c r="A1445" t="s">
        <v>8010</v>
      </c>
      <c r="B1445" t="s">
        <v>2687</v>
      </c>
      <c r="C1445" t="s">
        <v>8011</v>
      </c>
      <c r="D1445" t="s">
        <v>402</v>
      </c>
      <c r="E1445" t="s">
        <v>271</v>
      </c>
      <c r="F1445" t="s">
        <v>401</v>
      </c>
    </row>
    <row r="1446" spans="1:6" x14ac:dyDescent="0.25">
      <c r="A1446" t="s">
        <v>1120</v>
      </c>
      <c r="B1446" t="s">
        <v>1121</v>
      </c>
      <c r="C1446" t="s">
        <v>1122</v>
      </c>
      <c r="D1446" t="s">
        <v>1059</v>
      </c>
      <c r="E1446" t="s">
        <v>271</v>
      </c>
      <c r="F1446" t="s">
        <v>1058</v>
      </c>
    </row>
    <row r="1447" spans="1:6" x14ac:dyDescent="0.25">
      <c r="A1447" t="s">
        <v>8012</v>
      </c>
      <c r="B1447" t="s">
        <v>8013</v>
      </c>
      <c r="C1447" t="s">
        <v>8014</v>
      </c>
      <c r="D1447" t="s">
        <v>8015</v>
      </c>
      <c r="E1447" t="s">
        <v>271</v>
      </c>
      <c r="F1447" t="s">
        <v>4380</v>
      </c>
    </row>
    <row r="1448" spans="1:6" x14ac:dyDescent="0.25">
      <c r="A1448" t="s">
        <v>8016</v>
      </c>
      <c r="B1448" t="s">
        <v>4854</v>
      </c>
      <c r="C1448" t="s">
        <v>8017</v>
      </c>
      <c r="D1448" t="s">
        <v>1915</v>
      </c>
      <c r="E1448" t="s">
        <v>269</v>
      </c>
      <c r="F1448" t="s">
        <v>1914</v>
      </c>
    </row>
    <row r="1449" spans="1:6" x14ac:dyDescent="0.25">
      <c r="A1449" t="s">
        <v>8018</v>
      </c>
      <c r="B1449" t="s">
        <v>8019</v>
      </c>
      <c r="C1449" t="s">
        <v>8020</v>
      </c>
      <c r="D1449" t="s">
        <v>556</v>
      </c>
      <c r="E1449" t="s">
        <v>271</v>
      </c>
      <c r="F1449" t="s">
        <v>1567</v>
      </c>
    </row>
    <row r="1450" spans="1:6" x14ac:dyDescent="0.25">
      <c r="A1450" t="s">
        <v>2899</v>
      </c>
      <c r="B1450" t="s">
        <v>2900</v>
      </c>
      <c r="C1450" t="s">
        <v>2901</v>
      </c>
      <c r="D1450" t="s">
        <v>1837</v>
      </c>
      <c r="E1450" t="s">
        <v>271</v>
      </c>
      <c r="F1450" t="s">
        <v>1836</v>
      </c>
    </row>
    <row r="1451" spans="1:6" x14ac:dyDescent="0.25">
      <c r="A1451" t="s">
        <v>8021</v>
      </c>
      <c r="B1451" t="s">
        <v>8022</v>
      </c>
      <c r="C1451" t="s">
        <v>8023</v>
      </c>
      <c r="D1451" t="s">
        <v>1303</v>
      </c>
      <c r="E1451" t="s">
        <v>269</v>
      </c>
      <c r="F1451" t="s">
        <v>1302</v>
      </c>
    </row>
    <row r="1452" spans="1:6" x14ac:dyDescent="0.25">
      <c r="A1452" t="s">
        <v>8024</v>
      </c>
      <c r="B1452" t="s">
        <v>8025</v>
      </c>
      <c r="C1452" t="s">
        <v>8026</v>
      </c>
      <c r="D1452" t="s">
        <v>1286</v>
      </c>
      <c r="E1452" t="s">
        <v>269</v>
      </c>
      <c r="F1452" t="s">
        <v>1285</v>
      </c>
    </row>
    <row r="1453" spans="1:6" x14ac:dyDescent="0.25">
      <c r="A1453" t="s">
        <v>8027</v>
      </c>
      <c r="B1453" t="s">
        <v>8028</v>
      </c>
      <c r="C1453" t="s">
        <v>8029</v>
      </c>
      <c r="D1453" t="s">
        <v>295</v>
      </c>
      <c r="E1453" t="s">
        <v>271</v>
      </c>
      <c r="F1453" t="s">
        <v>294</v>
      </c>
    </row>
    <row r="1454" spans="1:6" x14ac:dyDescent="0.25">
      <c r="A1454" t="s">
        <v>8030</v>
      </c>
      <c r="B1454" t="s">
        <v>8031</v>
      </c>
      <c r="C1454" t="s">
        <v>8032</v>
      </c>
      <c r="D1454" t="s">
        <v>5380</v>
      </c>
      <c r="E1454" t="s">
        <v>271</v>
      </c>
      <c r="F1454" t="s">
        <v>4379</v>
      </c>
    </row>
    <row r="1455" spans="1:6" x14ac:dyDescent="0.25">
      <c r="A1455" t="s">
        <v>8033</v>
      </c>
      <c r="B1455" t="s">
        <v>5557</v>
      </c>
      <c r="C1455" t="s">
        <v>8034</v>
      </c>
      <c r="D1455" t="s">
        <v>0</v>
      </c>
      <c r="E1455" t="s">
        <v>271</v>
      </c>
      <c r="F1455" t="s">
        <v>436</v>
      </c>
    </row>
    <row r="1456" spans="1:6" x14ac:dyDescent="0.25">
      <c r="A1456" t="s">
        <v>8035</v>
      </c>
      <c r="B1456" t="s">
        <v>8036</v>
      </c>
      <c r="C1456" t="s">
        <v>8037</v>
      </c>
      <c r="D1456" t="s">
        <v>4486</v>
      </c>
      <c r="E1456" t="s">
        <v>271</v>
      </c>
      <c r="F1456" t="s">
        <v>4417</v>
      </c>
    </row>
    <row r="1457" spans="1:6" x14ac:dyDescent="0.25">
      <c r="A1457" t="s">
        <v>8038</v>
      </c>
      <c r="B1457" t="s">
        <v>8039</v>
      </c>
      <c r="C1457" t="s">
        <v>8040</v>
      </c>
      <c r="D1457" t="s">
        <v>540</v>
      </c>
      <c r="E1457" t="s">
        <v>271</v>
      </c>
      <c r="F1457" t="s">
        <v>339</v>
      </c>
    </row>
    <row r="1458" spans="1:6" x14ac:dyDescent="0.25">
      <c r="A1458" t="s">
        <v>8041</v>
      </c>
      <c r="B1458" t="s">
        <v>8042</v>
      </c>
      <c r="C1458" t="s">
        <v>8043</v>
      </c>
      <c r="D1458" t="s">
        <v>282</v>
      </c>
      <c r="E1458" t="s">
        <v>341</v>
      </c>
      <c r="F1458" t="s">
        <v>396</v>
      </c>
    </row>
    <row r="1459" spans="1:6" x14ac:dyDescent="0.25">
      <c r="A1459" t="s">
        <v>8044</v>
      </c>
      <c r="B1459" t="s">
        <v>8045</v>
      </c>
      <c r="C1459" t="s">
        <v>8046</v>
      </c>
      <c r="D1459" t="s">
        <v>8047</v>
      </c>
      <c r="E1459" t="s">
        <v>271</v>
      </c>
      <c r="F1459" t="s">
        <v>4431</v>
      </c>
    </row>
    <row r="1460" spans="1:6" x14ac:dyDescent="0.25">
      <c r="A1460" t="s">
        <v>1725</v>
      </c>
      <c r="B1460" t="s">
        <v>1726</v>
      </c>
      <c r="C1460" t="s">
        <v>1727</v>
      </c>
      <c r="D1460" t="s">
        <v>972</v>
      </c>
      <c r="E1460" t="s">
        <v>269</v>
      </c>
      <c r="F1460" t="s">
        <v>971</v>
      </c>
    </row>
    <row r="1461" spans="1:6" x14ac:dyDescent="0.25">
      <c r="A1461" t="s">
        <v>8048</v>
      </c>
      <c r="B1461" t="s">
        <v>8049</v>
      </c>
      <c r="C1461" t="s">
        <v>8050</v>
      </c>
      <c r="D1461" t="s">
        <v>340</v>
      </c>
      <c r="E1461" t="s">
        <v>271</v>
      </c>
      <c r="F1461" t="s">
        <v>317</v>
      </c>
    </row>
    <row r="1462" spans="1:6" x14ac:dyDescent="0.25">
      <c r="A1462" t="s">
        <v>8051</v>
      </c>
      <c r="B1462" t="s">
        <v>8052</v>
      </c>
      <c r="C1462" t="s">
        <v>8053</v>
      </c>
      <c r="D1462" t="s">
        <v>1297</v>
      </c>
      <c r="E1462" t="s">
        <v>271</v>
      </c>
      <c r="F1462" t="s">
        <v>996</v>
      </c>
    </row>
    <row r="1463" spans="1:6" x14ac:dyDescent="0.25">
      <c r="A1463" t="s">
        <v>8054</v>
      </c>
      <c r="B1463" t="s">
        <v>8055</v>
      </c>
      <c r="C1463" t="s">
        <v>8056</v>
      </c>
      <c r="D1463" t="s">
        <v>793</v>
      </c>
      <c r="E1463" t="s">
        <v>271</v>
      </c>
      <c r="F1463" t="s">
        <v>792</v>
      </c>
    </row>
    <row r="1464" spans="1:6" x14ac:dyDescent="0.25">
      <c r="A1464" t="s">
        <v>8057</v>
      </c>
      <c r="B1464" t="s">
        <v>8058</v>
      </c>
      <c r="C1464" t="s">
        <v>8059</v>
      </c>
      <c r="D1464" t="s">
        <v>8060</v>
      </c>
      <c r="E1464" t="s">
        <v>269</v>
      </c>
      <c r="F1464" t="s">
        <v>8061</v>
      </c>
    </row>
    <row r="1465" spans="1:6" x14ac:dyDescent="0.25">
      <c r="A1465" t="s">
        <v>8062</v>
      </c>
      <c r="B1465" t="s">
        <v>8063</v>
      </c>
      <c r="C1465" t="s">
        <v>8064</v>
      </c>
      <c r="D1465" t="s">
        <v>535</v>
      </c>
      <c r="E1465" t="s">
        <v>457</v>
      </c>
      <c r="F1465" t="s">
        <v>536</v>
      </c>
    </row>
    <row r="1466" spans="1:6" x14ac:dyDescent="0.25">
      <c r="A1466" t="s">
        <v>8065</v>
      </c>
      <c r="B1466" t="s">
        <v>8066</v>
      </c>
      <c r="C1466" t="s">
        <v>8067</v>
      </c>
      <c r="D1466" t="s">
        <v>586</v>
      </c>
      <c r="E1466" t="s">
        <v>271</v>
      </c>
      <c r="F1466" t="s">
        <v>334</v>
      </c>
    </row>
    <row r="1467" spans="1:6" x14ac:dyDescent="0.25">
      <c r="A1467" t="s">
        <v>8068</v>
      </c>
      <c r="B1467" t="s">
        <v>8069</v>
      </c>
      <c r="C1467" t="s">
        <v>8070</v>
      </c>
      <c r="D1467" t="s">
        <v>2692</v>
      </c>
      <c r="E1467" t="s">
        <v>269</v>
      </c>
      <c r="F1467" t="s">
        <v>2691</v>
      </c>
    </row>
    <row r="1468" spans="1:6" x14ac:dyDescent="0.25">
      <c r="A1468" t="s">
        <v>8071</v>
      </c>
      <c r="B1468" t="s">
        <v>8072</v>
      </c>
      <c r="C1468" t="s">
        <v>8073</v>
      </c>
      <c r="D1468" t="s">
        <v>519</v>
      </c>
      <c r="E1468" t="s">
        <v>271</v>
      </c>
      <c r="F1468" t="s">
        <v>324</v>
      </c>
    </row>
    <row r="1469" spans="1:6" x14ac:dyDescent="0.25">
      <c r="A1469" t="s">
        <v>8074</v>
      </c>
      <c r="B1469" t="s">
        <v>8075</v>
      </c>
      <c r="C1469" t="s">
        <v>8076</v>
      </c>
      <c r="D1469" t="s">
        <v>295</v>
      </c>
      <c r="E1469" t="s">
        <v>271</v>
      </c>
      <c r="F1469" t="s">
        <v>8077</v>
      </c>
    </row>
    <row r="1470" spans="1:6" x14ac:dyDescent="0.25">
      <c r="A1470" t="s">
        <v>8078</v>
      </c>
      <c r="B1470" t="s">
        <v>8079</v>
      </c>
      <c r="C1470" t="s">
        <v>8080</v>
      </c>
      <c r="D1470" t="s">
        <v>0</v>
      </c>
      <c r="E1470" t="s">
        <v>271</v>
      </c>
      <c r="F1470" t="s">
        <v>1591</v>
      </c>
    </row>
    <row r="1471" spans="1:6" x14ac:dyDescent="0.25">
      <c r="A1471" t="s">
        <v>3086</v>
      </c>
      <c r="B1471" t="s">
        <v>3087</v>
      </c>
      <c r="C1471" t="s">
        <v>3088</v>
      </c>
      <c r="D1471" t="s">
        <v>0</v>
      </c>
      <c r="E1471" t="s">
        <v>271</v>
      </c>
      <c r="F1471" t="s">
        <v>688</v>
      </c>
    </row>
    <row r="1472" spans="1:6" x14ac:dyDescent="0.25">
      <c r="A1472" t="s">
        <v>2805</v>
      </c>
      <c r="B1472" t="s">
        <v>2806</v>
      </c>
      <c r="C1472" t="s">
        <v>2807</v>
      </c>
      <c r="D1472" t="s">
        <v>0</v>
      </c>
      <c r="E1472" t="s">
        <v>271</v>
      </c>
      <c r="F1472" t="s">
        <v>325</v>
      </c>
    </row>
    <row r="1473" spans="1:6" x14ac:dyDescent="0.25">
      <c r="A1473" t="s">
        <v>8081</v>
      </c>
      <c r="B1473" t="s">
        <v>8082</v>
      </c>
      <c r="C1473" t="s">
        <v>8083</v>
      </c>
      <c r="D1473" t="s">
        <v>5355</v>
      </c>
      <c r="E1473" t="s">
        <v>271</v>
      </c>
      <c r="F1473" t="s">
        <v>4398</v>
      </c>
    </row>
    <row r="1474" spans="1:6" x14ac:dyDescent="0.25">
      <c r="A1474" t="s">
        <v>8084</v>
      </c>
      <c r="B1474" t="s">
        <v>8085</v>
      </c>
      <c r="C1474" t="s">
        <v>8086</v>
      </c>
      <c r="D1474" t="s">
        <v>469</v>
      </c>
      <c r="E1474" t="s">
        <v>271</v>
      </c>
      <c r="F1474" t="s">
        <v>470</v>
      </c>
    </row>
    <row r="1475" spans="1:6" x14ac:dyDescent="0.25">
      <c r="A1475" t="s">
        <v>2874</v>
      </c>
      <c r="B1475" t="s">
        <v>2875</v>
      </c>
      <c r="C1475" t="s">
        <v>2876</v>
      </c>
      <c r="D1475" t="s">
        <v>0</v>
      </c>
      <c r="E1475" t="s">
        <v>271</v>
      </c>
      <c r="F1475" t="s">
        <v>1321</v>
      </c>
    </row>
    <row r="1476" spans="1:6" x14ac:dyDescent="0.25">
      <c r="A1476" t="s">
        <v>8087</v>
      </c>
      <c r="B1476" t="s">
        <v>8088</v>
      </c>
      <c r="C1476" t="s">
        <v>8089</v>
      </c>
      <c r="D1476" t="s">
        <v>0</v>
      </c>
      <c r="E1476" t="s">
        <v>271</v>
      </c>
      <c r="F1476" t="s">
        <v>1141</v>
      </c>
    </row>
    <row r="1477" spans="1:6" x14ac:dyDescent="0.25">
      <c r="A1477" t="s">
        <v>8090</v>
      </c>
      <c r="B1477" t="s">
        <v>8091</v>
      </c>
      <c r="C1477" t="s">
        <v>8092</v>
      </c>
      <c r="D1477" t="s">
        <v>980</v>
      </c>
      <c r="E1477" t="s">
        <v>271</v>
      </c>
      <c r="F1477" t="s">
        <v>979</v>
      </c>
    </row>
    <row r="1478" spans="1:6" x14ac:dyDescent="0.25">
      <c r="A1478" t="s">
        <v>1445</v>
      </c>
      <c r="B1478" t="s">
        <v>1446</v>
      </c>
      <c r="C1478" t="s">
        <v>1447</v>
      </c>
      <c r="D1478" t="s">
        <v>0</v>
      </c>
      <c r="E1478" t="s">
        <v>271</v>
      </c>
      <c r="F1478" t="s">
        <v>1141</v>
      </c>
    </row>
    <row r="1479" spans="1:6" x14ac:dyDescent="0.25">
      <c r="A1479" t="s">
        <v>1988</v>
      </c>
      <c r="B1479" t="s">
        <v>1989</v>
      </c>
      <c r="C1479" t="s">
        <v>1990</v>
      </c>
      <c r="D1479" t="s">
        <v>0</v>
      </c>
      <c r="E1479" t="s">
        <v>271</v>
      </c>
      <c r="F1479" t="s">
        <v>356</v>
      </c>
    </row>
    <row r="1480" spans="1:6" x14ac:dyDescent="0.25">
      <c r="A1480" t="s">
        <v>8093</v>
      </c>
      <c r="B1480" t="s">
        <v>8094</v>
      </c>
      <c r="C1480" t="s">
        <v>8095</v>
      </c>
      <c r="D1480" t="s">
        <v>388</v>
      </c>
      <c r="E1480" t="s">
        <v>341</v>
      </c>
      <c r="F1480" t="s">
        <v>387</v>
      </c>
    </row>
    <row r="1481" spans="1:6" x14ac:dyDescent="0.25">
      <c r="A1481" t="s">
        <v>8096</v>
      </c>
      <c r="B1481" t="s">
        <v>8097</v>
      </c>
      <c r="C1481" t="s">
        <v>8098</v>
      </c>
      <c r="D1481" t="s">
        <v>0</v>
      </c>
      <c r="E1481" t="s">
        <v>271</v>
      </c>
      <c r="F1481" t="s">
        <v>436</v>
      </c>
    </row>
    <row r="1482" spans="1:6" x14ac:dyDescent="0.25">
      <c r="A1482" t="s">
        <v>8099</v>
      </c>
      <c r="B1482" t="s">
        <v>8100</v>
      </c>
      <c r="C1482" t="s">
        <v>8101</v>
      </c>
      <c r="D1482" t="s">
        <v>2024</v>
      </c>
      <c r="E1482" t="s">
        <v>271</v>
      </c>
      <c r="F1482" t="s">
        <v>428</v>
      </c>
    </row>
    <row r="1483" spans="1:6" x14ac:dyDescent="0.25">
      <c r="A1483" t="s">
        <v>8102</v>
      </c>
      <c r="B1483" t="s">
        <v>8103</v>
      </c>
      <c r="C1483" t="s">
        <v>8104</v>
      </c>
      <c r="D1483" t="s">
        <v>450</v>
      </c>
      <c r="E1483" t="s">
        <v>271</v>
      </c>
      <c r="F1483" t="s">
        <v>326</v>
      </c>
    </row>
    <row r="1484" spans="1:6" x14ac:dyDescent="0.25">
      <c r="A1484" t="s">
        <v>8105</v>
      </c>
      <c r="B1484" t="s">
        <v>8106</v>
      </c>
      <c r="C1484" t="s">
        <v>8107</v>
      </c>
      <c r="D1484" t="s">
        <v>6005</v>
      </c>
      <c r="E1484" t="s">
        <v>271</v>
      </c>
      <c r="F1484" t="s">
        <v>4399</v>
      </c>
    </row>
    <row r="1485" spans="1:6" x14ac:dyDescent="0.25">
      <c r="A1485" t="s">
        <v>8108</v>
      </c>
      <c r="B1485" t="s">
        <v>8109</v>
      </c>
      <c r="C1485" t="s">
        <v>5587</v>
      </c>
      <c r="D1485" t="s">
        <v>0</v>
      </c>
      <c r="E1485" t="s">
        <v>271</v>
      </c>
      <c r="F1485" t="s">
        <v>1180</v>
      </c>
    </row>
    <row r="1486" spans="1:6" x14ac:dyDescent="0.25">
      <c r="A1486" t="s">
        <v>8110</v>
      </c>
      <c r="B1486" t="s">
        <v>8111</v>
      </c>
      <c r="C1486" t="s">
        <v>8112</v>
      </c>
      <c r="D1486" t="s">
        <v>0</v>
      </c>
      <c r="E1486" t="s">
        <v>271</v>
      </c>
      <c r="F1486" t="s">
        <v>531</v>
      </c>
    </row>
    <row r="1487" spans="1:6" x14ac:dyDescent="0.25">
      <c r="A1487" t="s">
        <v>8113</v>
      </c>
      <c r="B1487" t="s">
        <v>8114</v>
      </c>
      <c r="C1487" t="s">
        <v>8115</v>
      </c>
      <c r="D1487" t="s">
        <v>466</v>
      </c>
      <c r="E1487" t="s">
        <v>271</v>
      </c>
      <c r="F1487" t="s">
        <v>434</v>
      </c>
    </row>
    <row r="1488" spans="1:6" x14ac:dyDescent="0.25">
      <c r="A1488" t="s">
        <v>8116</v>
      </c>
      <c r="B1488" t="s">
        <v>8117</v>
      </c>
      <c r="C1488" t="s">
        <v>8118</v>
      </c>
      <c r="D1488" t="s">
        <v>793</v>
      </c>
      <c r="E1488" t="s">
        <v>271</v>
      </c>
      <c r="F1488" t="s">
        <v>792</v>
      </c>
    </row>
    <row r="1489" spans="1:6" x14ac:dyDescent="0.25">
      <c r="A1489" t="s">
        <v>8119</v>
      </c>
      <c r="B1489" t="s">
        <v>8120</v>
      </c>
      <c r="C1489" t="s">
        <v>8121</v>
      </c>
      <c r="D1489" t="s">
        <v>1126</v>
      </c>
      <c r="E1489" t="s">
        <v>271</v>
      </c>
      <c r="F1489" t="s">
        <v>1125</v>
      </c>
    </row>
    <row r="1490" spans="1:6" x14ac:dyDescent="0.25">
      <c r="A1490" t="s">
        <v>8122</v>
      </c>
      <c r="B1490" t="s">
        <v>8123</v>
      </c>
      <c r="C1490" t="s">
        <v>8124</v>
      </c>
      <c r="D1490" t="s">
        <v>5591</v>
      </c>
      <c r="E1490" t="s">
        <v>269</v>
      </c>
      <c r="F1490" t="s">
        <v>1742</v>
      </c>
    </row>
    <row r="1491" spans="1:6" x14ac:dyDescent="0.25">
      <c r="A1491" t="s">
        <v>2566</v>
      </c>
      <c r="B1491" t="s">
        <v>2567</v>
      </c>
      <c r="C1491" t="s">
        <v>2568</v>
      </c>
      <c r="D1491" t="s">
        <v>0</v>
      </c>
      <c r="E1491" t="s">
        <v>271</v>
      </c>
      <c r="F1491" t="s">
        <v>323</v>
      </c>
    </row>
    <row r="1492" spans="1:6" x14ac:dyDescent="0.25">
      <c r="A1492" t="s">
        <v>8125</v>
      </c>
      <c r="B1492" t="s">
        <v>8126</v>
      </c>
      <c r="C1492" t="s">
        <v>8127</v>
      </c>
      <c r="D1492" t="s">
        <v>1186</v>
      </c>
      <c r="E1492" t="s">
        <v>271</v>
      </c>
      <c r="F1492" t="s">
        <v>1185</v>
      </c>
    </row>
    <row r="1493" spans="1:6" x14ac:dyDescent="0.25">
      <c r="A1493" t="s">
        <v>8128</v>
      </c>
      <c r="B1493" t="s">
        <v>8129</v>
      </c>
      <c r="C1493" t="s">
        <v>8130</v>
      </c>
      <c r="D1493" t="s">
        <v>498</v>
      </c>
      <c r="E1493" t="s">
        <v>271</v>
      </c>
      <c r="F1493" t="s">
        <v>926</v>
      </c>
    </row>
    <row r="1494" spans="1:6" x14ac:dyDescent="0.25">
      <c r="A1494" t="s">
        <v>8131</v>
      </c>
      <c r="B1494" t="s">
        <v>8132</v>
      </c>
      <c r="C1494" t="s">
        <v>8133</v>
      </c>
      <c r="D1494" t="s">
        <v>718</v>
      </c>
      <c r="E1494" t="s">
        <v>271</v>
      </c>
      <c r="F1494" t="s">
        <v>333</v>
      </c>
    </row>
    <row r="1495" spans="1:6" x14ac:dyDescent="0.25">
      <c r="A1495" t="s">
        <v>1473</v>
      </c>
      <c r="B1495" t="s">
        <v>1474</v>
      </c>
      <c r="C1495" t="s">
        <v>1475</v>
      </c>
      <c r="D1495" t="s">
        <v>0</v>
      </c>
      <c r="E1495" t="s">
        <v>271</v>
      </c>
      <c r="F1495" t="s">
        <v>319</v>
      </c>
    </row>
    <row r="1496" spans="1:6" x14ac:dyDescent="0.25">
      <c r="A1496" t="s">
        <v>8134</v>
      </c>
      <c r="B1496" t="s">
        <v>8135</v>
      </c>
      <c r="C1496" t="s">
        <v>8136</v>
      </c>
      <c r="D1496" t="s">
        <v>0</v>
      </c>
      <c r="E1496" t="s">
        <v>271</v>
      </c>
      <c r="F1496" t="s">
        <v>575</v>
      </c>
    </row>
    <row r="1497" spans="1:6" x14ac:dyDescent="0.25">
      <c r="A1497" t="s">
        <v>8137</v>
      </c>
      <c r="B1497" t="s">
        <v>8138</v>
      </c>
      <c r="C1497" t="s">
        <v>8139</v>
      </c>
      <c r="D1497" t="s">
        <v>0</v>
      </c>
      <c r="E1497" t="s">
        <v>271</v>
      </c>
      <c r="F1497" t="s">
        <v>881</v>
      </c>
    </row>
    <row r="1498" spans="1:6" x14ac:dyDescent="0.25">
      <c r="A1498" t="s">
        <v>8140</v>
      </c>
      <c r="B1498" t="s">
        <v>8141</v>
      </c>
      <c r="C1498" t="s">
        <v>8142</v>
      </c>
      <c r="D1498" t="s">
        <v>986</v>
      </c>
      <c r="E1498" t="s">
        <v>271</v>
      </c>
      <c r="F1498" t="s">
        <v>985</v>
      </c>
    </row>
    <row r="1499" spans="1:6" x14ac:dyDescent="0.25">
      <c r="A1499" t="s">
        <v>8143</v>
      </c>
      <c r="B1499" t="s">
        <v>8144</v>
      </c>
      <c r="C1499" t="s">
        <v>8145</v>
      </c>
      <c r="D1499" t="s">
        <v>1920</v>
      </c>
      <c r="E1499" t="s">
        <v>271</v>
      </c>
      <c r="F1499" t="s">
        <v>1919</v>
      </c>
    </row>
    <row r="1500" spans="1:6" x14ac:dyDescent="0.25">
      <c r="A1500" t="s">
        <v>8146</v>
      </c>
      <c r="B1500" t="s">
        <v>8147</v>
      </c>
      <c r="C1500" t="s">
        <v>8148</v>
      </c>
      <c r="D1500" t="s">
        <v>0</v>
      </c>
      <c r="E1500" t="s">
        <v>271</v>
      </c>
      <c r="F1500" t="s">
        <v>436</v>
      </c>
    </row>
    <row r="1501" spans="1:6" x14ac:dyDescent="0.25">
      <c r="A1501" t="s">
        <v>8149</v>
      </c>
      <c r="B1501" t="s">
        <v>8150</v>
      </c>
      <c r="C1501" t="s">
        <v>8151</v>
      </c>
      <c r="D1501" t="s">
        <v>450</v>
      </c>
      <c r="E1501" t="s">
        <v>271</v>
      </c>
      <c r="F1501" t="s">
        <v>326</v>
      </c>
    </row>
    <row r="1502" spans="1:6" x14ac:dyDescent="0.25">
      <c r="A1502" t="s">
        <v>8152</v>
      </c>
      <c r="B1502" t="s">
        <v>8153</v>
      </c>
      <c r="C1502" t="s">
        <v>8101</v>
      </c>
      <c r="D1502" t="s">
        <v>2024</v>
      </c>
      <c r="E1502" t="s">
        <v>271</v>
      </c>
      <c r="F1502" t="s">
        <v>428</v>
      </c>
    </row>
    <row r="1503" spans="1:6" x14ac:dyDescent="0.25">
      <c r="A1503" t="s">
        <v>8154</v>
      </c>
      <c r="B1503" t="s">
        <v>8155</v>
      </c>
      <c r="C1503" t="s">
        <v>8156</v>
      </c>
      <c r="D1503" t="s">
        <v>1303</v>
      </c>
      <c r="E1503" t="s">
        <v>269</v>
      </c>
      <c r="F1503" t="s">
        <v>1302</v>
      </c>
    </row>
    <row r="1504" spans="1:6" x14ac:dyDescent="0.25">
      <c r="A1504" t="s">
        <v>8157</v>
      </c>
      <c r="B1504" t="s">
        <v>8158</v>
      </c>
      <c r="C1504" t="s">
        <v>8159</v>
      </c>
      <c r="D1504" t="s">
        <v>0</v>
      </c>
      <c r="E1504" t="s">
        <v>271</v>
      </c>
      <c r="F1504" t="s">
        <v>1011</v>
      </c>
    </row>
    <row r="1505" spans="1:6" x14ac:dyDescent="0.25">
      <c r="A1505" t="s">
        <v>8160</v>
      </c>
      <c r="B1505" t="s">
        <v>8161</v>
      </c>
      <c r="C1505" t="s">
        <v>8162</v>
      </c>
      <c r="D1505" t="s">
        <v>506</v>
      </c>
      <c r="E1505" t="s">
        <v>271</v>
      </c>
      <c r="F1505" t="s">
        <v>507</v>
      </c>
    </row>
    <row r="1506" spans="1:6" x14ac:dyDescent="0.25">
      <c r="A1506" t="s">
        <v>8163</v>
      </c>
      <c r="B1506" t="s">
        <v>8164</v>
      </c>
      <c r="C1506" t="s">
        <v>8165</v>
      </c>
      <c r="D1506" t="s">
        <v>1643</v>
      </c>
      <c r="E1506" t="s">
        <v>271</v>
      </c>
      <c r="F1506" t="s">
        <v>2028</v>
      </c>
    </row>
    <row r="1507" spans="1:6" x14ac:dyDescent="0.25">
      <c r="A1507" t="s">
        <v>8166</v>
      </c>
      <c r="B1507" t="s">
        <v>8167</v>
      </c>
      <c r="C1507" t="s">
        <v>8168</v>
      </c>
      <c r="D1507" t="s">
        <v>510</v>
      </c>
      <c r="E1507" t="s">
        <v>271</v>
      </c>
      <c r="F1507" t="s">
        <v>437</v>
      </c>
    </row>
    <row r="1508" spans="1:6" x14ac:dyDescent="0.25">
      <c r="A1508" t="s">
        <v>8169</v>
      </c>
      <c r="B1508" t="s">
        <v>8170</v>
      </c>
      <c r="C1508" t="s">
        <v>8171</v>
      </c>
      <c r="D1508" t="s">
        <v>1027</v>
      </c>
      <c r="E1508" t="s">
        <v>271</v>
      </c>
      <c r="F1508" t="s">
        <v>1026</v>
      </c>
    </row>
    <row r="1509" spans="1:6" x14ac:dyDescent="0.25">
      <c r="A1509" t="s">
        <v>8172</v>
      </c>
      <c r="B1509" t="s">
        <v>8173</v>
      </c>
      <c r="C1509" t="s">
        <v>8174</v>
      </c>
      <c r="D1509" t="s">
        <v>578</v>
      </c>
      <c r="E1509" t="s">
        <v>271</v>
      </c>
      <c r="F1509" t="s">
        <v>321</v>
      </c>
    </row>
    <row r="1510" spans="1:6" x14ac:dyDescent="0.25">
      <c r="A1510" t="s">
        <v>8175</v>
      </c>
      <c r="B1510" t="s">
        <v>8176</v>
      </c>
      <c r="C1510" t="s">
        <v>8177</v>
      </c>
      <c r="D1510" t="s">
        <v>540</v>
      </c>
      <c r="E1510" t="s">
        <v>271</v>
      </c>
      <c r="F1510" t="s">
        <v>339</v>
      </c>
    </row>
    <row r="1511" spans="1:6" x14ac:dyDescent="0.25">
      <c r="A1511" t="s">
        <v>3282</v>
      </c>
      <c r="B1511" t="s">
        <v>3283</v>
      </c>
      <c r="C1511" t="s">
        <v>3284</v>
      </c>
      <c r="D1511" t="s">
        <v>0</v>
      </c>
      <c r="E1511" t="s">
        <v>271</v>
      </c>
      <c r="F1511" t="s">
        <v>881</v>
      </c>
    </row>
    <row r="1512" spans="1:6" x14ac:dyDescent="0.25">
      <c r="A1512" t="s">
        <v>1426</v>
      </c>
      <c r="B1512" t="s">
        <v>1427</v>
      </c>
      <c r="C1512" t="s">
        <v>1428</v>
      </c>
      <c r="D1512" t="s">
        <v>0</v>
      </c>
      <c r="E1512" t="s">
        <v>271</v>
      </c>
      <c r="F1512" t="s">
        <v>323</v>
      </c>
    </row>
    <row r="1513" spans="1:6" x14ac:dyDescent="0.25">
      <c r="A1513" t="s">
        <v>8178</v>
      </c>
      <c r="B1513" t="s">
        <v>8179</v>
      </c>
      <c r="C1513" t="s">
        <v>8180</v>
      </c>
      <c r="D1513" t="s">
        <v>0</v>
      </c>
      <c r="E1513" t="s">
        <v>271</v>
      </c>
      <c r="F1513" t="s">
        <v>323</v>
      </c>
    </row>
    <row r="1514" spans="1:6" x14ac:dyDescent="0.25">
      <c r="A1514" t="s">
        <v>8181</v>
      </c>
      <c r="B1514" t="s">
        <v>8182</v>
      </c>
      <c r="C1514" t="s">
        <v>8183</v>
      </c>
      <c r="D1514" t="s">
        <v>340</v>
      </c>
      <c r="E1514" t="s">
        <v>271</v>
      </c>
      <c r="F1514" t="s">
        <v>317</v>
      </c>
    </row>
    <row r="1515" spans="1:6" x14ac:dyDescent="0.25">
      <c r="A1515" t="s">
        <v>8184</v>
      </c>
      <c r="B1515" t="s">
        <v>8185</v>
      </c>
      <c r="C1515" t="s">
        <v>8186</v>
      </c>
      <c r="D1515" t="s">
        <v>340</v>
      </c>
      <c r="E1515" t="s">
        <v>271</v>
      </c>
      <c r="F1515" t="s">
        <v>317</v>
      </c>
    </row>
    <row r="1516" spans="1:6" x14ac:dyDescent="0.25">
      <c r="A1516" t="s">
        <v>1056</v>
      </c>
      <c r="B1516" t="s">
        <v>1057</v>
      </c>
      <c r="C1516" t="s">
        <v>1060</v>
      </c>
      <c r="D1516" t="s">
        <v>1059</v>
      </c>
      <c r="E1516" t="s">
        <v>271</v>
      </c>
      <c r="F1516" t="s">
        <v>1058</v>
      </c>
    </row>
    <row r="1517" spans="1:6" x14ac:dyDescent="0.25">
      <c r="A1517" t="s">
        <v>8187</v>
      </c>
      <c r="B1517" t="s">
        <v>8188</v>
      </c>
      <c r="C1517" t="s">
        <v>6896</v>
      </c>
      <c r="D1517" t="s">
        <v>6897</v>
      </c>
      <c r="E1517" t="s">
        <v>269</v>
      </c>
      <c r="F1517" t="s">
        <v>4394</v>
      </c>
    </row>
    <row r="1518" spans="1:6" x14ac:dyDescent="0.25">
      <c r="A1518" t="s">
        <v>938</v>
      </c>
      <c r="B1518" t="s">
        <v>939</v>
      </c>
      <c r="C1518" t="s">
        <v>940</v>
      </c>
      <c r="D1518" t="s">
        <v>0</v>
      </c>
      <c r="E1518" t="s">
        <v>271</v>
      </c>
      <c r="F1518" t="s">
        <v>726</v>
      </c>
    </row>
    <row r="1519" spans="1:6" x14ac:dyDescent="0.25">
      <c r="A1519" t="s">
        <v>1299</v>
      </c>
      <c r="B1519" t="s">
        <v>1300</v>
      </c>
      <c r="C1519" t="s">
        <v>1304</v>
      </c>
      <c r="D1519" t="s">
        <v>1303</v>
      </c>
      <c r="E1519" t="s">
        <v>269</v>
      </c>
      <c r="F1519" t="s">
        <v>1302</v>
      </c>
    </row>
    <row r="1520" spans="1:6" x14ac:dyDescent="0.25">
      <c r="A1520" t="s">
        <v>8189</v>
      </c>
      <c r="B1520" t="s">
        <v>8190</v>
      </c>
      <c r="C1520" t="s">
        <v>8191</v>
      </c>
      <c r="D1520" t="s">
        <v>0</v>
      </c>
      <c r="E1520" t="s">
        <v>271</v>
      </c>
      <c r="F1520" t="s">
        <v>895</v>
      </c>
    </row>
    <row r="1521" spans="1:6" x14ac:dyDescent="0.25">
      <c r="A1521" t="s">
        <v>8192</v>
      </c>
      <c r="B1521" t="s">
        <v>8193</v>
      </c>
      <c r="C1521" t="s">
        <v>8194</v>
      </c>
      <c r="D1521" t="s">
        <v>0</v>
      </c>
      <c r="E1521" t="s">
        <v>271</v>
      </c>
      <c r="F1521" t="s">
        <v>562</v>
      </c>
    </row>
    <row r="1522" spans="1:6" x14ac:dyDescent="0.25">
      <c r="A1522" t="s">
        <v>8195</v>
      </c>
      <c r="B1522" t="s">
        <v>8196</v>
      </c>
      <c r="C1522" t="s">
        <v>8197</v>
      </c>
      <c r="D1522" t="s">
        <v>566</v>
      </c>
      <c r="E1522" t="s">
        <v>271</v>
      </c>
      <c r="F1522" t="s">
        <v>567</v>
      </c>
    </row>
    <row r="1523" spans="1:6" x14ac:dyDescent="0.25">
      <c r="A1523" t="s">
        <v>8198</v>
      </c>
      <c r="B1523" t="s">
        <v>8199</v>
      </c>
      <c r="C1523" t="s">
        <v>8200</v>
      </c>
      <c r="D1523" t="s">
        <v>1925</v>
      </c>
      <c r="E1523" t="s">
        <v>271</v>
      </c>
      <c r="F1523" t="s">
        <v>1924</v>
      </c>
    </row>
    <row r="1524" spans="1:6" x14ac:dyDescent="0.25">
      <c r="A1524" t="s">
        <v>8201</v>
      </c>
      <c r="B1524" t="s">
        <v>8202</v>
      </c>
      <c r="C1524" t="s">
        <v>8203</v>
      </c>
      <c r="D1524" t="s">
        <v>0</v>
      </c>
      <c r="E1524" t="s">
        <v>271</v>
      </c>
      <c r="F1524" t="s">
        <v>356</v>
      </c>
    </row>
    <row r="1525" spans="1:6" x14ac:dyDescent="0.25">
      <c r="A1525" t="s">
        <v>8204</v>
      </c>
      <c r="B1525" t="s">
        <v>8205</v>
      </c>
      <c r="C1525" t="s">
        <v>8206</v>
      </c>
      <c r="D1525" t="s">
        <v>295</v>
      </c>
      <c r="E1525" t="s">
        <v>271</v>
      </c>
      <c r="F1525" t="s">
        <v>8077</v>
      </c>
    </row>
    <row r="1526" spans="1:6" x14ac:dyDescent="0.25">
      <c r="A1526" t="s">
        <v>8207</v>
      </c>
      <c r="B1526" t="s">
        <v>8208</v>
      </c>
      <c r="C1526" t="s">
        <v>8209</v>
      </c>
      <c r="D1526" t="s">
        <v>1421</v>
      </c>
      <c r="E1526" t="s">
        <v>271</v>
      </c>
      <c r="F1526" t="s">
        <v>1420</v>
      </c>
    </row>
    <row r="1527" spans="1:6" x14ac:dyDescent="0.25">
      <c r="A1527" t="s">
        <v>2290</v>
      </c>
      <c r="B1527" t="s">
        <v>2291</v>
      </c>
      <c r="C1527" t="s">
        <v>2293</v>
      </c>
      <c r="D1527" t="s">
        <v>1848</v>
      </c>
      <c r="E1527" t="s">
        <v>269</v>
      </c>
      <c r="F1527" t="s">
        <v>1847</v>
      </c>
    </row>
    <row r="1528" spans="1:6" x14ac:dyDescent="0.25">
      <c r="A1528" t="s">
        <v>2351</v>
      </c>
      <c r="B1528" t="s">
        <v>2352</v>
      </c>
      <c r="C1528" t="s">
        <v>2353</v>
      </c>
      <c r="D1528" t="s">
        <v>616</v>
      </c>
      <c r="E1528" t="s">
        <v>271</v>
      </c>
      <c r="F1528" t="s">
        <v>333</v>
      </c>
    </row>
    <row r="1529" spans="1:6" x14ac:dyDescent="0.25">
      <c r="A1529" t="s">
        <v>8210</v>
      </c>
      <c r="B1529" t="s">
        <v>8211</v>
      </c>
      <c r="C1529" t="s">
        <v>8212</v>
      </c>
      <c r="D1529" t="s">
        <v>1137</v>
      </c>
      <c r="E1529" t="s">
        <v>269</v>
      </c>
      <c r="F1529" t="s">
        <v>1136</v>
      </c>
    </row>
    <row r="1530" spans="1:6" x14ac:dyDescent="0.25">
      <c r="A1530" t="s">
        <v>8213</v>
      </c>
      <c r="B1530" t="s">
        <v>8214</v>
      </c>
      <c r="C1530" t="s">
        <v>8215</v>
      </c>
      <c r="D1530" t="s">
        <v>0</v>
      </c>
      <c r="E1530" t="s">
        <v>271</v>
      </c>
      <c r="F1530" t="s">
        <v>1534</v>
      </c>
    </row>
    <row r="1531" spans="1:6" x14ac:dyDescent="0.25">
      <c r="A1531" t="s">
        <v>8216</v>
      </c>
      <c r="B1531" t="s">
        <v>8217</v>
      </c>
      <c r="C1531" t="s">
        <v>8218</v>
      </c>
      <c r="D1531" t="s">
        <v>466</v>
      </c>
      <c r="E1531" t="s">
        <v>271</v>
      </c>
      <c r="F1531" t="s">
        <v>434</v>
      </c>
    </row>
    <row r="1532" spans="1:6" x14ac:dyDescent="0.25">
      <c r="A1532" t="s">
        <v>8219</v>
      </c>
      <c r="B1532" t="s">
        <v>8220</v>
      </c>
      <c r="C1532" t="s">
        <v>8221</v>
      </c>
      <c r="D1532" t="s">
        <v>4470</v>
      </c>
      <c r="E1532" t="s">
        <v>271</v>
      </c>
      <c r="F1532" t="s">
        <v>4426</v>
      </c>
    </row>
    <row r="1533" spans="1:6" x14ac:dyDescent="0.25">
      <c r="A1533" t="s">
        <v>8222</v>
      </c>
      <c r="B1533" t="s">
        <v>8223</v>
      </c>
      <c r="C1533" t="s">
        <v>8224</v>
      </c>
      <c r="D1533" t="s">
        <v>0</v>
      </c>
      <c r="E1533" t="s">
        <v>271</v>
      </c>
      <c r="F1533" t="s">
        <v>4378</v>
      </c>
    </row>
    <row r="1534" spans="1:6" x14ac:dyDescent="0.25">
      <c r="A1534" t="s">
        <v>8225</v>
      </c>
      <c r="B1534" t="s">
        <v>8226</v>
      </c>
      <c r="C1534" t="s">
        <v>8227</v>
      </c>
      <c r="D1534" t="s">
        <v>1455</v>
      </c>
      <c r="E1534" t="s">
        <v>271</v>
      </c>
      <c r="F1534" t="s">
        <v>1454</v>
      </c>
    </row>
    <row r="1535" spans="1:6" x14ac:dyDescent="0.25">
      <c r="A1535" t="s">
        <v>8228</v>
      </c>
      <c r="B1535" t="s">
        <v>8229</v>
      </c>
      <c r="C1535" t="s">
        <v>8230</v>
      </c>
      <c r="D1535" t="s">
        <v>0</v>
      </c>
      <c r="E1535" t="s">
        <v>271</v>
      </c>
      <c r="F1535" t="s">
        <v>432</v>
      </c>
    </row>
    <row r="1536" spans="1:6" x14ac:dyDescent="0.25">
      <c r="A1536" t="s">
        <v>8231</v>
      </c>
      <c r="B1536" t="s">
        <v>8232</v>
      </c>
      <c r="C1536" t="s">
        <v>8233</v>
      </c>
      <c r="D1536" t="s">
        <v>1548</v>
      </c>
      <c r="E1536" t="s">
        <v>271</v>
      </c>
      <c r="F1536" t="s">
        <v>1547</v>
      </c>
    </row>
    <row r="1537" spans="1:6" x14ac:dyDescent="0.25">
      <c r="A1537" t="s">
        <v>8234</v>
      </c>
      <c r="B1537" t="s">
        <v>8235</v>
      </c>
      <c r="C1537" t="s">
        <v>8236</v>
      </c>
      <c r="D1537" t="s">
        <v>8237</v>
      </c>
      <c r="E1537" t="s">
        <v>457</v>
      </c>
      <c r="F1537" t="s">
        <v>8238</v>
      </c>
    </row>
    <row r="1538" spans="1:6" x14ac:dyDescent="0.25">
      <c r="A1538" t="s">
        <v>8239</v>
      </c>
      <c r="B1538" t="s">
        <v>8240</v>
      </c>
      <c r="C1538" t="s">
        <v>8241</v>
      </c>
      <c r="D1538" t="s">
        <v>3022</v>
      </c>
      <c r="E1538" t="s">
        <v>271</v>
      </c>
      <c r="F1538" t="s">
        <v>3021</v>
      </c>
    </row>
    <row r="1539" spans="1:6" x14ac:dyDescent="0.25">
      <c r="A1539" t="s">
        <v>8242</v>
      </c>
      <c r="B1539" t="s">
        <v>8243</v>
      </c>
      <c r="C1539" t="s">
        <v>8244</v>
      </c>
      <c r="D1539" t="s">
        <v>793</v>
      </c>
      <c r="E1539" t="s">
        <v>271</v>
      </c>
      <c r="F1539" t="s">
        <v>792</v>
      </c>
    </row>
    <row r="1540" spans="1:6" x14ac:dyDescent="0.25">
      <c r="A1540" t="s">
        <v>8245</v>
      </c>
      <c r="B1540" t="s">
        <v>8246</v>
      </c>
      <c r="C1540" t="s">
        <v>8247</v>
      </c>
      <c r="D1540" t="s">
        <v>986</v>
      </c>
      <c r="E1540" t="s">
        <v>271</v>
      </c>
      <c r="F1540" t="s">
        <v>985</v>
      </c>
    </row>
    <row r="1541" spans="1:6" x14ac:dyDescent="0.25">
      <c r="A1541" t="s">
        <v>3051</v>
      </c>
      <c r="B1541" t="s">
        <v>3052</v>
      </c>
      <c r="C1541" t="s">
        <v>3053</v>
      </c>
      <c r="D1541" t="s">
        <v>1032</v>
      </c>
      <c r="E1541" t="s">
        <v>271</v>
      </c>
      <c r="F1541" t="s">
        <v>1031</v>
      </c>
    </row>
    <row r="1542" spans="1:6" x14ac:dyDescent="0.25">
      <c r="A1542" t="s">
        <v>1081</v>
      </c>
      <c r="B1542" t="s">
        <v>1082</v>
      </c>
      <c r="C1542" t="s">
        <v>1084</v>
      </c>
      <c r="D1542" t="s">
        <v>0</v>
      </c>
      <c r="E1542" t="s">
        <v>271</v>
      </c>
      <c r="F1542" t="s">
        <v>731</v>
      </c>
    </row>
    <row r="1543" spans="1:6" x14ac:dyDescent="0.25">
      <c r="A1543" t="s">
        <v>8248</v>
      </c>
      <c r="B1543" t="s">
        <v>8249</v>
      </c>
      <c r="C1543" t="s">
        <v>8250</v>
      </c>
      <c r="D1543" t="s">
        <v>0</v>
      </c>
      <c r="E1543" t="s">
        <v>271</v>
      </c>
      <c r="F1543" t="s">
        <v>356</v>
      </c>
    </row>
    <row r="1544" spans="1:6" x14ac:dyDescent="0.25">
      <c r="A1544" t="s">
        <v>8251</v>
      </c>
      <c r="B1544" t="s">
        <v>8252</v>
      </c>
      <c r="C1544" t="s">
        <v>8253</v>
      </c>
      <c r="D1544" t="s">
        <v>556</v>
      </c>
      <c r="E1544" t="s">
        <v>271</v>
      </c>
      <c r="F1544" t="s">
        <v>1567</v>
      </c>
    </row>
    <row r="1545" spans="1:6" x14ac:dyDescent="0.25">
      <c r="A1545" t="s">
        <v>8254</v>
      </c>
      <c r="B1545" t="s">
        <v>8255</v>
      </c>
      <c r="C1545" t="s">
        <v>8256</v>
      </c>
      <c r="D1545" t="s">
        <v>8257</v>
      </c>
      <c r="E1545" t="s">
        <v>271</v>
      </c>
      <c r="F1545" t="s">
        <v>8258</v>
      </c>
    </row>
    <row r="1546" spans="1:6" x14ac:dyDescent="0.25">
      <c r="A1546" t="s">
        <v>8259</v>
      </c>
      <c r="B1546" t="s">
        <v>8260</v>
      </c>
      <c r="C1546" t="s">
        <v>8261</v>
      </c>
      <c r="D1546" t="s">
        <v>1542</v>
      </c>
      <c r="E1546" t="s">
        <v>269</v>
      </c>
      <c r="F1546" t="s">
        <v>4412</v>
      </c>
    </row>
    <row r="1547" spans="1:6" x14ac:dyDescent="0.25">
      <c r="A1547" t="s">
        <v>8262</v>
      </c>
      <c r="B1547" t="s">
        <v>8263</v>
      </c>
      <c r="C1547" t="s">
        <v>8264</v>
      </c>
      <c r="D1547" t="s">
        <v>0</v>
      </c>
      <c r="E1547" t="s">
        <v>271</v>
      </c>
      <c r="F1547" t="s">
        <v>2641</v>
      </c>
    </row>
    <row r="1548" spans="1:6" x14ac:dyDescent="0.25">
      <c r="A1548" t="s">
        <v>8265</v>
      </c>
      <c r="B1548" t="s">
        <v>8266</v>
      </c>
      <c r="C1548" t="s">
        <v>8267</v>
      </c>
      <c r="D1548" t="s">
        <v>1186</v>
      </c>
      <c r="E1548" t="s">
        <v>271</v>
      </c>
      <c r="F1548" t="s">
        <v>1185</v>
      </c>
    </row>
    <row r="1549" spans="1:6" x14ac:dyDescent="0.25">
      <c r="A1549" t="s">
        <v>8268</v>
      </c>
      <c r="B1549" t="s">
        <v>8269</v>
      </c>
      <c r="C1549" t="s">
        <v>8270</v>
      </c>
      <c r="D1549" t="s">
        <v>2093</v>
      </c>
      <c r="E1549" t="s">
        <v>271</v>
      </c>
      <c r="F1549" t="s">
        <v>1058</v>
      </c>
    </row>
    <row r="1550" spans="1:6" x14ac:dyDescent="0.25">
      <c r="A1550" t="s">
        <v>3410</v>
      </c>
      <c r="B1550" t="s">
        <v>3411</v>
      </c>
      <c r="C1550" t="s">
        <v>3412</v>
      </c>
      <c r="D1550" t="s">
        <v>347</v>
      </c>
      <c r="E1550" t="s">
        <v>271</v>
      </c>
      <c r="F1550" t="s">
        <v>327</v>
      </c>
    </row>
    <row r="1551" spans="1:6" x14ac:dyDescent="0.25">
      <c r="A1551" t="s">
        <v>8271</v>
      </c>
      <c r="B1551" t="s">
        <v>8272</v>
      </c>
      <c r="C1551" t="s">
        <v>8273</v>
      </c>
      <c r="D1551" t="s">
        <v>0</v>
      </c>
      <c r="E1551" t="s">
        <v>271</v>
      </c>
      <c r="F1551" t="s">
        <v>319</v>
      </c>
    </row>
    <row r="1552" spans="1:6" x14ac:dyDescent="0.25">
      <c r="A1552" t="s">
        <v>8274</v>
      </c>
      <c r="B1552" t="s">
        <v>8275</v>
      </c>
      <c r="C1552" t="s">
        <v>8276</v>
      </c>
      <c r="D1552" t="s">
        <v>0</v>
      </c>
      <c r="E1552" t="s">
        <v>271</v>
      </c>
      <c r="F1552" t="s">
        <v>1141</v>
      </c>
    </row>
    <row r="1553" spans="1:6" x14ac:dyDescent="0.25">
      <c r="A1553" t="s">
        <v>8277</v>
      </c>
      <c r="B1553" t="s">
        <v>5299</v>
      </c>
      <c r="C1553" t="s">
        <v>8278</v>
      </c>
      <c r="D1553" t="s">
        <v>1303</v>
      </c>
      <c r="E1553" t="s">
        <v>269</v>
      </c>
      <c r="F1553" t="s">
        <v>1302</v>
      </c>
    </row>
    <row r="1554" spans="1:6" x14ac:dyDescent="0.25">
      <c r="A1554" t="s">
        <v>8279</v>
      </c>
      <c r="B1554" t="s">
        <v>8280</v>
      </c>
      <c r="C1554" t="s">
        <v>8281</v>
      </c>
      <c r="D1554" t="s">
        <v>0</v>
      </c>
      <c r="E1554" t="s">
        <v>271</v>
      </c>
      <c r="F1554" t="s">
        <v>4437</v>
      </c>
    </row>
    <row r="1555" spans="1:6" x14ac:dyDescent="0.25">
      <c r="A1555" t="s">
        <v>8282</v>
      </c>
      <c r="B1555" t="s">
        <v>8283</v>
      </c>
      <c r="C1555" t="s">
        <v>8284</v>
      </c>
      <c r="D1555" t="s">
        <v>0</v>
      </c>
      <c r="E1555" t="s">
        <v>271</v>
      </c>
      <c r="F1555" t="s">
        <v>688</v>
      </c>
    </row>
    <row r="1556" spans="1:6" x14ac:dyDescent="0.25">
      <c r="A1556" t="s">
        <v>8285</v>
      </c>
      <c r="B1556" t="s">
        <v>8286</v>
      </c>
      <c r="C1556" t="s">
        <v>8287</v>
      </c>
      <c r="D1556" t="s">
        <v>1548</v>
      </c>
      <c r="E1556" t="s">
        <v>271</v>
      </c>
      <c r="F1556" t="s">
        <v>1547</v>
      </c>
    </row>
    <row r="1557" spans="1:6" x14ac:dyDescent="0.25">
      <c r="A1557" t="s">
        <v>8288</v>
      </c>
      <c r="B1557" t="s">
        <v>8289</v>
      </c>
      <c r="C1557" t="s">
        <v>8290</v>
      </c>
      <c r="D1557" t="s">
        <v>357</v>
      </c>
      <c r="E1557" t="s">
        <v>271</v>
      </c>
      <c r="F1557" t="s">
        <v>358</v>
      </c>
    </row>
    <row r="1558" spans="1:6" x14ac:dyDescent="0.25">
      <c r="A1558" t="s">
        <v>8291</v>
      </c>
      <c r="B1558" t="s">
        <v>8292</v>
      </c>
      <c r="C1558" t="s">
        <v>8293</v>
      </c>
      <c r="D1558" t="s">
        <v>312</v>
      </c>
      <c r="E1558" t="s">
        <v>271</v>
      </c>
      <c r="F1558" t="s">
        <v>311</v>
      </c>
    </row>
    <row r="1559" spans="1:6" x14ac:dyDescent="0.25">
      <c r="A1559" t="s">
        <v>8294</v>
      </c>
      <c r="B1559" t="s">
        <v>4462</v>
      </c>
      <c r="C1559" t="s">
        <v>8295</v>
      </c>
      <c r="D1559" t="s">
        <v>0</v>
      </c>
      <c r="E1559" t="s">
        <v>271</v>
      </c>
      <c r="F1559" t="s">
        <v>2377</v>
      </c>
    </row>
    <row r="1560" spans="1:6" x14ac:dyDescent="0.25">
      <c r="A1560" t="s">
        <v>8296</v>
      </c>
      <c r="B1560" t="s">
        <v>8297</v>
      </c>
      <c r="C1560" t="s">
        <v>8298</v>
      </c>
      <c r="D1560" t="s">
        <v>1433</v>
      </c>
      <c r="E1560" t="s">
        <v>271</v>
      </c>
      <c r="F1560" t="s">
        <v>1432</v>
      </c>
    </row>
    <row r="1561" spans="1:6" x14ac:dyDescent="0.25">
      <c r="A1561" t="s">
        <v>8299</v>
      </c>
      <c r="B1561" t="s">
        <v>8300</v>
      </c>
      <c r="C1561" t="s">
        <v>8301</v>
      </c>
      <c r="D1561" t="s">
        <v>8302</v>
      </c>
      <c r="E1561" t="s">
        <v>271</v>
      </c>
      <c r="F1561" t="s">
        <v>3652</v>
      </c>
    </row>
    <row r="1562" spans="1:6" x14ac:dyDescent="0.25">
      <c r="A1562" t="s">
        <v>8303</v>
      </c>
      <c r="B1562" t="s">
        <v>8304</v>
      </c>
      <c r="C1562" t="s">
        <v>8305</v>
      </c>
      <c r="D1562" t="s">
        <v>312</v>
      </c>
      <c r="E1562" t="s">
        <v>271</v>
      </c>
      <c r="F1562" t="s">
        <v>311</v>
      </c>
    </row>
    <row r="1563" spans="1:6" x14ac:dyDescent="0.25">
      <c r="A1563" t="s">
        <v>8306</v>
      </c>
      <c r="B1563" t="s">
        <v>8307</v>
      </c>
      <c r="C1563" t="s">
        <v>8308</v>
      </c>
      <c r="D1563" t="s">
        <v>668</v>
      </c>
      <c r="E1563" t="s">
        <v>271</v>
      </c>
      <c r="F1563" t="s">
        <v>667</v>
      </c>
    </row>
    <row r="1564" spans="1:6" x14ac:dyDescent="0.25">
      <c r="A1564" t="s">
        <v>790</v>
      </c>
      <c r="B1564" t="s">
        <v>791</v>
      </c>
      <c r="C1564" t="s">
        <v>794</v>
      </c>
      <c r="D1564" t="s">
        <v>793</v>
      </c>
      <c r="E1564" t="s">
        <v>271</v>
      </c>
      <c r="F1564" t="s">
        <v>792</v>
      </c>
    </row>
    <row r="1565" spans="1:6" x14ac:dyDescent="0.25">
      <c r="A1565" t="s">
        <v>8309</v>
      </c>
      <c r="B1565" t="s">
        <v>8310</v>
      </c>
      <c r="C1565" t="s">
        <v>8311</v>
      </c>
      <c r="D1565" t="s">
        <v>0</v>
      </c>
      <c r="E1565" t="s">
        <v>271</v>
      </c>
      <c r="F1565" t="s">
        <v>731</v>
      </c>
    </row>
    <row r="1566" spans="1:6" x14ac:dyDescent="0.25">
      <c r="A1566" t="s">
        <v>8312</v>
      </c>
      <c r="B1566" t="s">
        <v>8313</v>
      </c>
      <c r="C1566" t="s">
        <v>8314</v>
      </c>
      <c r="D1566" t="s">
        <v>1648</v>
      </c>
      <c r="E1566" t="s">
        <v>271</v>
      </c>
      <c r="F1566" t="s">
        <v>1647</v>
      </c>
    </row>
    <row r="1567" spans="1:6" x14ac:dyDescent="0.25">
      <c r="A1567" t="s">
        <v>3030</v>
      </c>
      <c r="B1567" t="s">
        <v>3031</v>
      </c>
      <c r="C1567" t="s">
        <v>3032</v>
      </c>
      <c r="D1567" t="s">
        <v>1337</v>
      </c>
      <c r="E1567" t="s">
        <v>271</v>
      </c>
      <c r="F1567" t="s">
        <v>1336</v>
      </c>
    </row>
    <row r="1568" spans="1:6" x14ac:dyDescent="0.25">
      <c r="A1568" t="s">
        <v>8315</v>
      </c>
      <c r="B1568" t="s">
        <v>8316</v>
      </c>
      <c r="C1568" t="s">
        <v>8317</v>
      </c>
      <c r="D1568" t="s">
        <v>1137</v>
      </c>
      <c r="E1568" t="s">
        <v>269</v>
      </c>
      <c r="F1568" t="s">
        <v>1136</v>
      </c>
    </row>
    <row r="1569" spans="1:6" x14ac:dyDescent="0.25">
      <c r="A1569" t="s">
        <v>8318</v>
      </c>
      <c r="B1569" t="s">
        <v>8319</v>
      </c>
      <c r="C1569" t="s">
        <v>8320</v>
      </c>
      <c r="D1569" t="s">
        <v>6005</v>
      </c>
      <c r="E1569" t="s">
        <v>271</v>
      </c>
      <c r="F1569" t="s">
        <v>4399</v>
      </c>
    </row>
    <row r="1570" spans="1:6" x14ac:dyDescent="0.25">
      <c r="A1570" t="s">
        <v>8321</v>
      </c>
      <c r="B1570" t="s">
        <v>8322</v>
      </c>
      <c r="C1570" t="s">
        <v>8323</v>
      </c>
      <c r="D1570" t="s">
        <v>440</v>
      </c>
      <c r="E1570" t="s">
        <v>271</v>
      </c>
      <c r="F1570" t="s">
        <v>441</v>
      </c>
    </row>
    <row r="1571" spans="1:6" x14ac:dyDescent="0.25">
      <c r="A1571" t="s">
        <v>8324</v>
      </c>
      <c r="B1571" t="s">
        <v>558</v>
      </c>
      <c r="C1571" t="s">
        <v>8325</v>
      </c>
      <c r="D1571" t="s">
        <v>0</v>
      </c>
      <c r="E1571" t="s">
        <v>271</v>
      </c>
      <c r="F1571" t="s">
        <v>1011</v>
      </c>
    </row>
    <row r="1572" spans="1:6" x14ac:dyDescent="0.25">
      <c r="A1572" t="s">
        <v>8326</v>
      </c>
      <c r="B1572" t="s">
        <v>445</v>
      </c>
      <c r="C1572" t="s">
        <v>8327</v>
      </c>
      <c r="D1572" t="s">
        <v>1958</v>
      </c>
      <c r="E1572" t="s">
        <v>271</v>
      </c>
      <c r="F1572" t="s">
        <v>1957</v>
      </c>
    </row>
    <row r="1573" spans="1:6" x14ac:dyDescent="0.25">
      <c r="A1573" t="s">
        <v>8328</v>
      </c>
      <c r="B1573" t="s">
        <v>8329</v>
      </c>
      <c r="C1573" t="s">
        <v>8330</v>
      </c>
      <c r="D1573" t="s">
        <v>0</v>
      </c>
      <c r="E1573" t="s">
        <v>271</v>
      </c>
      <c r="F1573" t="s">
        <v>319</v>
      </c>
    </row>
    <row r="1574" spans="1:6" x14ac:dyDescent="0.25">
      <c r="A1574" t="s">
        <v>8331</v>
      </c>
      <c r="B1574" t="s">
        <v>8332</v>
      </c>
      <c r="C1574" t="s">
        <v>8333</v>
      </c>
      <c r="D1574" t="s">
        <v>363</v>
      </c>
      <c r="E1574" t="s">
        <v>271</v>
      </c>
      <c r="F1574" t="s">
        <v>364</v>
      </c>
    </row>
    <row r="1575" spans="1:6" x14ac:dyDescent="0.25">
      <c r="A1575" t="s">
        <v>8334</v>
      </c>
      <c r="B1575" t="s">
        <v>8335</v>
      </c>
      <c r="C1575" t="s">
        <v>8336</v>
      </c>
      <c r="D1575" t="s">
        <v>6081</v>
      </c>
      <c r="E1575" t="s">
        <v>271</v>
      </c>
      <c r="F1575" t="s">
        <v>401</v>
      </c>
    </row>
    <row r="1576" spans="1:6" x14ac:dyDescent="0.25">
      <c r="A1576" t="s">
        <v>8337</v>
      </c>
      <c r="B1576" t="s">
        <v>8338</v>
      </c>
      <c r="C1576" t="s">
        <v>8339</v>
      </c>
      <c r="D1576" t="s">
        <v>450</v>
      </c>
      <c r="E1576" t="s">
        <v>271</v>
      </c>
      <c r="F1576" t="s">
        <v>326</v>
      </c>
    </row>
    <row r="1577" spans="1:6" x14ac:dyDescent="0.25">
      <c r="A1577" t="s">
        <v>1717</v>
      </c>
      <c r="B1577" t="s">
        <v>1718</v>
      </c>
      <c r="C1577" t="s">
        <v>1719</v>
      </c>
      <c r="D1577" t="s">
        <v>793</v>
      </c>
      <c r="E1577" t="s">
        <v>271</v>
      </c>
      <c r="F1577" t="s">
        <v>792</v>
      </c>
    </row>
    <row r="1578" spans="1:6" x14ac:dyDescent="0.25">
      <c r="A1578" t="s">
        <v>8340</v>
      </c>
      <c r="B1578" t="s">
        <v>8341</v>
      </c>
      <c r="C1578" t="s">
        <v>8342</v>
      </c>
      <c r="D1578" t="s">
        <v>312</v>
      </c>
      <c r="E1578" t="s">
        <v>271</v>
      </c>
      <c r="F1578" t="s">
        <v>311</v>
      </c>
    </row>
    <row r="1579" spans="1:6" x14ac:dyDescent="0.25">
      <c r="A1579" t="s">
        <v>8343</v>
      </c>
      <c r="B1579" t="s">
        <v>8344</v>
      </c>
      <c r="C1579" t="s">
        <v>8345</v>
      </c>
      <c r="D1579" t="s">
        <v>308</v>
      </c>
      <c r="E1579" t="s">
        <v>271</v>
      </c>
      <c r="F1579" t="s">
        <v>307</v>
      </c>
    </row>
    <row r="1580" spans="1:6" x14ac:dyDescent="0.25">
      <c r="A1580" t="s">
        <v>8346</v>
      </c>
      <c r="B1580" t="s">
        <v>8347</v>
      </c>
      <c r="C1580" t="s">
        <v>8348</v>
      </c>
      <c r="D1580" t="s">
        <v>0</v>
      </c>
      <c r="E1580" t="s">
        <v>271</v>
      </c>
      <c r="F1580" t="s">
        <v>323</v>
      </c>
    </row>
    <row r="1581" spans="1:6" x14ac:dyDescent="0.25">
      <c r="A1581" t="s">
        <v>8349</v>
      </c>
      <c r="B1581" t="s">
        <v>8350</v>
      </c>
      <c r="C1581" t="s">
        <v>8351</v>
      </c>
      <c r="D1581" t="s">
        <v>222</v>
      </c>
      <c r="E1581" t="s">
        <v>271</v>
      </c>
      <c r="F1581" t="s">
        <v>8352</v>
      </c>
    </row>
    <row r="1582" spans="1:6" x14ac:dyDescent="0.25">
      <c r="A1582" t="s">
        <v>8353</v>
      </c>
      <c r="B1582" t="s">
        <v>8354</v>
      </c>
      <c r="C1582" t="s">
        <v>8355</v>
      </c>
      <c r="D1582" t="s">
        <v>1958</v>
      </c>
      <c r="E1582" t="s">
        <v>271</v>
      </c>
      <c r="F1582" t="s">
        <v>1957</v>
      </c>
    </row>
    <row r="1583" spans="1:6" x14ac:dyDescent="0.25">
      <c r="A1583" t="s">
        <v>8356</v>
      </c>
      <c r="B1583" t="s">
        <v>8357</v>
      </c>
      <c r="C1583" t="s">
        <v>8358</v>
      </c>
      <c r="D1583" t="s">
        <v>0</v>
      </c>
      <c r="E1583" t="s">
        <v>271</v>
      </c>
      <c r="F1583" t="s">
        <v>726</v>
      </c>
    </row>
    <row r="1584" spans="1:6" x14ac:dyDescent="0.25">
      <c r="A1584" t="s">
        <v>8359</v>
      </c>
      <c r="B1584" t="s">
        <v>8360</v>
      </c>
      <c r="C1584" t="s">
        <v>8361</v>
      </c>
      <c r="D1584" t="s">
        <v>1297</v>
      </c>
      <c r="E1584" t="s">
        <v>271</v>
      </c>
      <c r="F1584" t="s">
        <v>996</v>
      </c>
    </row>
    <row r="1585" spans="1:6" x14ac:dyDescent="0.25">
      <c r="A1585" t="s">
        <v>8362</v>
      </c>
      <c r="B1585" t="s">
        <v>8363</v>
      </c>
      <c r="C1585" t="s">
        <v>8364</v>
      </c>
      <c r="D1585" t="s">
        <v>1326</v>
      </c>
      <c r="E1585" t="s">
        <v>271</v>
      </c>
      <c r="F1585" t="s">
        <v>1325</v>
      </c>
    </row>
    <row r="1586" spans="1:6" x14ac:dyDescent="0.25">
      <c r="A1586" t="s">
        <v>8365</v>
      </c>
      <c r="B1586" t="s">
        <v>8366</v>
      </c>
      <c r="C1586" t="s">
        <v>8367</v>
      </c>
      <c r="D1586" t="s">
        <v>0</v>
      </c>
      <c r="E1586" t="s">
        <v>271</v>
      </c>
      <c r="F1586" t="s">
        <v>881</v>
      </c>
    </row>
    <row r="1587" spans="1:6" x14ac:dyDescent="0.25">
      <c r="A1587" t="s">
        <v>8368</v>
      </c>
      <c r="B1587" t="s">
        <v>8369</v>
      </c>
      <c r="C1587" t="s">
        <v>8370</v>
      </c>
      <c r="D1587" t="s">
        <v>1165</v>
      </c>
      <c r="E1587" t="s">
        <v>271</v>
      </c>
      <c r="F1587" t="s">
        <v>1402</v>
      </c>
    </row>
    <row r="1588" spans="1:6" x14ac:dyDescent="0.25">
      <c r="A1588" t="s">
        <v>2026</v>
      </c>
      <c r="B1588" t="s">
        <v>2027</v>
      </c>
      <c r="C1588" t="s">
        <v>2029</v>
      </c>
      <c r="D1588" t="s">
        <v>1643</v>
      </c>
      <c r="E1588" t="s">
        <v>271</v>
      </c>
      <c r="F1588" t="s">
        <v>2028</v>
      </c>
    </row>
    <row r="1589" spans="1:6" x14ac:dyDescent="0.25">
      <c r="A1589" t="s">
        <v>2533</v>
      </c>
      <c r="B1589" t="s">
        <v>2534</v>
      </c>
      <c r="C1589" t="s">
        <v>2535</v>
      </c>
      <c r="D1589" t="s">
        <v>835</v>
      </c>
      <c r="E1589" t="s">
        <v>269</v>
      </c>
      <c r="F1589" t="s">
        <v>834</v>
      </c>
    </row>
    <row r="1590" spans="1:6" x14ac:dyDescent="0.25">
      <c r="A1590" t="s">
        <v>2344</v>
      </c>
      <c r="B1590" t="s">
        <v>2345</v>
      </c>
      <c r="C1590" t="s">
        <v>2346</v>
      </c>
      <c r="D1590" t="s">
        <v>972</v>
      </c>
      <c r="E1590" t="s">
        <v>269</v>
      </c>
      <c r="F1590" t="s">
        <v>971</v>
      </c>
    </row>
    <row r="1591" spans="1:6" x14ac:dyDescent="0.25">
      <c r="A1591" t="s">
        <v>8371</v>
      </c>
      <c r="B1591" t="s">
        <v>8372</v>
      </c>
      <c r="C1591" t="s">
        <v>8373</v>
      </c>
      <c r="D1591" t="s">
        <v>492</v>
      </c>
      <c r="E1591" t="s">
        <v>271</v>
      </c>
      <c r="F1591" t="s">
        <v>493</v>
      </c>
    </row>
    <row r="1592" spans="1:6" x14ac:dyDescent="0.25">
      <c r="A1592" t="s">
        <v>8374</v>
      </c>
      <c r="B1592" t="s">
        <v>8375</v>
      </c>
      <c r="C1592" t="s">
        <v>8376</v>
      </c>
      <c r="D1592" t="s">
        <v>0</v>
      </c>
      <c r="E1592" t="s">
        <v>271</v>
      </c>
      <c r="F1592" t="s">
        <v>809</v>
      </c>
    </row>
    <row r="1593" spans="1:6" x14ac:dyDescent="0.25">
      <c r="A1593" t="s">
        <v>8377</v>
      </c>
      <c r="B1593" t="s">
        <v>8378</v>
      </c>
      <c r="C1593" t="s">
        <v>8379</v>
      </c>
      <c r="D1593" t="s">
        <v>1413</v>
      </c>
      <c r="E1593" t="s">
        <v>271</v>
      </c>
      <c r="F1593" t="s">
        <v>1412</v>
      </c>
    </row>
    <row r="1594" spans="1:6" x14ac:dyDescent="0.25">
      <c r="A1594" t="s">
        <v>8380</v>
      </c>
      <c r="B1594" t="s">
        <v>8381</v>
      </c>
      <c r="C1594" t="s">
        <v>5947</v>
      </c>
      <c r="D1594" t="s">
        <v>0</v>
      </c>
      <c r="E1594" t="s">
        <v>271</v>
      </c>
      <c r="F1594" t="s">
        <v>323</v>
      </c>
    </row>
    <row r="1595" spans="1:6" x14ac:dyDescent="0.25">
      <c r="A1595" t="s">
        <v>8382</v>
      </c>
      <c r="B1595" t="s">
        <v>8383</v>
      </c>
      <c r="C1595" t="s">
        <v>8384</v>
      </c>
      <c r="D1595" t="s">
        <v>519</v>
      </c>
      <c r="E1595" t="s">
        <v>271</v>
      </c>
      <c r="F1595" t="s">
        <v>324</v>
      </c>
    </row>
    <row r="1596" spans="1:6" x14ac:dyDescent="0.25">
      <c r="A1596" t="s">
        <v>3205</v>
      </c>
      <c r="B1596" t="s">
        <v>3206</v>
      </c>
      <c r="C1596" t="s">
        <v>3209</v>
      </c>
      <c r="D1596" t="s">
        <v>3208</v>
      </c>
      <c r="E1596" t="s">
        <v>271</v>
      </c>
      <c r="F1596" t="s">
        <v>3207</v>
      </c>
    </row>
    <row r="1597" spans="1:6" x14ac:dyDescent="0.25">
      <c r="A1597" t="s">
        <v>8385</v>
      </c>
      <c r="B1597" t="s">
        <v>8386</v>
      </c>
      <c r="C1597" t="s">
        <v>8387</v>
      </c>
      <c r="D1597" t="s">
        <v>0</v>
      </c>
      <c r="E1597" t="s">
        <v>271</v>
      </c>
      <c r="F1597" t="s">
        <v>2377</v>
      </c>
    </row>
    <row r="1598" spans="1:6" x14ac:dyDescent="0.25">
      <c r="A1598" t="s">
        <v>8388</v>
      </c>
      <c r="B1598" t="s">
        <v>8389</v>
      </c>
      <c r="C1598" t="s">
        <v>8390</v>
      </c>
      <c r="D1598" t="s">
        <v>610</v>
      </c>
      <c r="E1598" t="s">
        <v>271</v>
      </c>
      <c r="F1598" t="s">
        <v>611</v>
      </c>
    </row>
    <row r="1599" spans="1:6" x14ac:dyDescent="0.25">
      <c r="A1599" t="s">
        <v>8391</v>
      </c>
      <c r="B1599" t="s">
        <v>8392</v>
      </c>
      <c r="C1599" t="s">
        <v>357</v>
      </c>
      <c r="D1599" t="s">
        <v>450</v>
      </c>
      <c r="E1599" t="s">
        <v>271</v>
      </c>
      <c r="F1599" t="s">
        <v>326</v>
      </c>
    </row>
    <row r="1600" spans="1:6" x14ac:dyDescent="0.25">
      <c r="A1600" t="s">
        <v>8393</v>
      </c>
      <c r="B1600" t="s">
        <v>8394</v>
      </c>
      <c r="C1600" t="s">
        <v>8395</v>
      </c>
      <c r="D1600" t="s">
        <v>1915</v>
      </c>
      <c r="E1600" t="s">
        <v>269</v>
      </c>
      <c r="F1600" t="s">
        <v>1914</v>
      </c>
    </row>
    <row r="1601" spans="1:6" x14ac:dyDescent="0.25">
      <c r="A1601" t="s">
        <v>8396</v>
      </c>
      <c r="B1601" t="s">
        <v>8397</v>
      </c>
      <c r="C1601" t="s">
        <v>8398</v>
      </c>
      <c r="D1601" t="s">
        <v>986</v>
      </c>
      <c r="E1601" t="s">
        <v>271</v>
      </c>
      <c r="F1601" t="s">
        <v>3275</v>
      </c>
    </row>
    <row r="1602" spans="1:6" x14ac:dyDescent="0.25">
      <c r="A1602" t="s">
        <v>8399</v>
      </c>
      <c r="B1602" t="s">
        <v>8400</v>
      </c>
      <c r="C1602" t="s">
        <v>8401</v>
      </c>
      <c r="D1602" t="s">
        <v>357</v>
      </c>
      <c r="E1602" t="s">
        <v>271</v>
      </c>
      <c r="F1602" t="s">
        <v>358</v>
      </c>
    </row>
    <row r="1603" spans="1:6" x14ac:dyDescent="0.25">
      <c r="A1603" t="s">
        <v>8402</v>
      </c>
      <c r="B1603" t="s">
        <v>8403</v>
      </c>
      <c r="C1603" t="s">
        <v>8404</v>
      </c>
      <c r="D1603" t="s">
        <v>361</v>
      </c>
      <c r="E1603" t="s">
        <v>271</v>
      </c>
      <c r="F1603" t="s">
        <v>1563</v>
      </c>
    </row>
    <row r="1604" spans="1:6" x14ac:dyDescent="0.25">
      <c r="A1604" t="s">
        <v>1614</v>
      </c>
      <c r="B1604" t="s">
        <v>1615</v>
      </c>
      <c r="C1604" t="s">
        <v>1616</v>
      </c>
      <c r="D1604" t="s">
        <v>460</v>
      </c>
      <c r="E1604" t="s">
        <v>271</v>
      </c>
      <c r="F1604" t="s">
        <v>424</v>
      </c>
    </row>
    <row r="1605" spans="1:6" x14ac:dyDescent="0.25">
      <c r="A1605" t="s">
        <v>8405</v>
      </c>
      <c r="B1605" t="s">
        <v>8129</v>
      </c>
      <c r="C1605" t="s">
        <v>8406</v>
      </c>
      <c r="D1605" t="s">
        <v>498</v>
      </c>
      <c r="E1605" t="s">
        <v>271</v>
      </c>
      <c r="F1605" t="s">
        <v>926</v>
      </c>
    </row>
    <row r="1606" spans="1:6" x14ac:dyDescent="0.25">
      <c r="A1606" t="s">
        <v>8407</v>
      </c>
      <c r="B1606" t="s">
        <v>5181</v>
      </c>
      <c r="C1606" t="s">
        <v>8408</v>
      </c>
      <c r="D1606" t="s">
        <v>0</v>
      </c>
      <c r="E1606" t="s">
        <v>271</v>
      </c>
      <c r="F1606" t="s">
        <v>431</v>
      </c>
    </row>
    <row r="1607" spans="1:6" x14ac:dyDescent="0.25">
      <c r="A1607" t="s">
        <v>8409</v>
      </c>
      <c r="B1607" t="s">
        <v>8410</v>
      </c>
      <c r="C1607" t="s">
        <v>8411</v>
      </c>
      <c r="D1607" t="s">
        <v>1925</v>
      </c>
      <c r="E1607" t="s">
        <v>271</v>
      </c>
      <c r="F1607" t="s">
        <v>1924</v>
      </c>
    </row>
    <row r="1608" spans="1:6" x14ac:dyDescent="0.25">
      <c r="A1608" t="s">
        <v>8412</v>
      </c>
      <c r="B1608" t="s">
        <v>8413</v>
      </c>
      <c r="C1608" t="s">
        <v>8414</v>
      </c>
      <c r="D1608" t="s">
        <v>4470</v>
      </c>
      <c r="E1608" t="s">
        <v>271</v>
      </c>
      <c r="F1608" t="s">
        <v>4426</v>
      </c>
    </row>
    <row r="1609" spans="1:6" x14ac:dyDescent="0.25">
      <c r="A1609" t="s">
        <v>8415</v>
      </c>
      <c r="B1609" t="s">
        <v>8416</v>
      </c>
      <c r="C1609" t="s">
        <v>8417</v>
      </c>
      <c r="D1609" t="s">
        <v>2637</v>
      </c>
      <c r="E1609" t="s">
        <v>271</v>
      </c>
      <c r="F1609" t="s">
        <v>2636</v>
      </c>
    </row>
    <row r="1610" spans="1:6" x14ac:dyDescent="0.25">
      <c r="A1610" t="s">
        <v>2207</v>
      </c>
      <c r="B1610" t="s">
        <v>2208</v>
      </c>
      <c r="C1610" t="s">
        <v>2209</v>
      </c>
      <c r="D1610" t="s">
        <v>363</v>
      </c>
      <c r="E1610" t="s">
        <v>271</v>
      </c>
      <c r="F1610" t="s">
        <v>364</v>
      </c>
    </row>
    <row r="1611" spans="1:6" x14ac:dyDescent="0.25">
      <c r="A1611" t="s">
        <v>804</v>
      </c>
      <c r="B1611" t="s">
        <v>805</v>
      </c>
      <c r="C1611" t="s">
        <v>806</v>
      </c>
      <c r="D1611" t="s">
        <v>0</v>
      </c>
      <c r="E1611" t="s">
        <v>271</v>
      </c>
      <c r="F1611" t="s">
        <v>356</v>
      </c>
    </row>
    <row r="1612" spans="1:6" x14ac:dyDescent="0.25">
      <c r="A1612" t="s">
        <v>8418</v>
      </c>
      <c r="B1612" t="s">
        <v>8419</v>
      </c>
      <c r="C1612" t="s">
        <v>8420</v>
      </c>
      <c r="D1612" t="s">
        <v>295</v>
      </c>
      <c r="E1612" t="s">
        <v>271</v>
      </c>
      <c r="F1612" t="s">
        <v>294</v>
      </c>
    </row>
    <row r="1613" spans="1:6" x14ac:dyDescent="0.25">
      <c r="A1613" t="s">
        <v>8421</v>
      </c>
      <c r="B1613" t="s">
        <v>8422</v>
      </c>
      <c r="C1613" t="s">
        <v>8423</v>
      </c>
      <c r="D1613" t="s">
        <v>490</v>
      </c>
      <c r="E1613" t="s">
        <v>271</v>
      </c>
      <c r="F1613" t="s">
        <v>491</v>
      </c>
    </row>
    <row r="1614" spans="1:6" x14ac:dyDescent="0.25">
      <c r="A1614" t="s">
        <v>8424</v>
      </c>
      <c r="B1614" t="s">
        <v>8425</v>
      </c>
      <c r="C1614" t="s">
        <v>8426</v>
      </c>
      <c r="D1614" t="s">
        <v>0</v>
      </c>
      <c r="E1614" t="s">
        <v>271</v>
      </c>
      <c r="F1614" t="s">
        <v>323</v>
      </c>
    </row>
    <row r="1615" spans="1:6" x14ac:dyDescent="0.25">
      <c r="A1615" t="s">
        <v>8427</v>
      </c>
      <c r="B1615" t="s">
        <v>8428</v>
      </c>
      <c r="C1615" t="s">
        <v>8429</v>
      </c>
      <c r="D1615" t="s">
        <v>2493</v>
      </c>
      <c r="E1615" t="s">
        <v>271</v>
      </c>
      <c r="F1615" t="s">
        <v>2492</v>
      </c>
    </row>
    <row r="1616" spans="1:6" x14ac:dyDescent="0.25">
      <c r="A1616" t="s">
        <v>8430</v>
      </c>
      <c r="B1616" t="s">
        <v>8431</v>
      </c>
      <c r="C1616" t="s">
        <v>8432</v>
      </c>
      <c r="D1616" t="s">
        <v>668</v>
      </c>
      <c r="E1616" t="s">
        <v>271</v>
      </c>
      <c r="F1616" t="s">
        <v>667</v>
      </c>
    </row>
    <row r="1617" spans="1:6" x14ac:dyDescent="0.25">
      <c r="A1617" t="s">
        <v>8433</v>
      </c>
      <c r="B1617" t="s">
        <v>8434</v>
      </c>
      <c r="C1617" t="s">
        <v>4918</v>
      </c>
      <c r="D1617" t="s">
        <v>0</v>
      </c>
      <c r="E1617" t="s">
        <v>271</v>
      </c>
      <c r="F1617" t="s">
        <v>1321</v>
      </c>
    </row>
    <row r="1618" spans="1:6" x14ac:dyDescent="0.25">
      <c r="A1618" t="s">
        <v>8435</v>
      </c>
      <c r="B1618" t="s">
        <v>8436</v>
      </c>
      <c r="C1618" t="s">
        <v>8437</v>
      </c>
      <c r="D1618" t="s">
        <v>239</v>
      </c>
      <c r="E1618" t="s">
        <v>271</v>
      </c>
      <c r="F1618" t="s">
        <v>544</v>
      </c>
    </row>
    <row r="1619" spans="1:6" x14ac:dyDescent="0.25">
      <c r="A1619" t="s">
        <v>8438</v>
      </c>
      <c r="B1619" t="s">
        <v>8439</v>
      </c>
      <c r="C1619" t="s">
        <v>7685</v>
      </c>
      <c r="D1619" t="s">
        <v>0</v>
      </c>
      <c r="E1619" t="s">
        <v>271</v>
      </c>
      <c r="F1619" t="s">
        <v>436</v>
      </c>
    </row>
    <row r="1620" spans="1:6" x14ac:dyDescent="0.25">
      <c r="A1620" t="s">
        <v>8440</v>
      </c>
      <c r="B1620" t="s">
        <v>8441</v>
      </c>
      <c r="C1620" t="s">
        <v>8442</v>
      </c>
      <c r="D1620" t="s">
        <v>0</v>
      </c>
      <c r="E1620" t="s">
        <v>271</v>
      </c>
      <c r="F1620" t="s">
        <v>1321</v>
      </c>
    </row>
    <row r="1621" spans="1:6" x14ac:dyDescent="0.25">
      <c r="A1621" t="s">
        <v>8443</v>
      </c>
      <c r="B1621" t="s">
        <v>8444</v>
      </c>
      <c r="C1621" t="s">
        <v>8445</v>
      </c>
      <c r="D1621" t="s">
        <v>986</v>
      </c>
      <c r="E1621" t="s">
        <v>271</v>
      </c>
      <c r="F1621" t="s">
        <v>985</v>
      </c>
    </row>
    <row r="1622" spans="1:6" x14ac:dyDescent="0.25">
      <c r="A1622" t="s">
        <v>8446</v>
      </c>
      <c r="B1622" t="s">
        <v>8447</v>
      </c>
      <c r="C1622" t="s">
        <v>8448</v>
      </c>
      <c r="D1622" t="s">
        <v>6745</v>
      </c>
      <c r="E1622" t="s">
        <v>271</v>
      </c>
      <c r="F1622" t="s">
        <v>6746</v>
      </c>
    </row>
    <row r="1623" spans="1:6" x14ac:dyDescent="0.25">
      <c r="A1623" t="s">
        <v>8449</v>
      </c>
      <c r="B1623" t="s">
        <v>8450</v>
      </c>
      <c r="C1623" t="s">
        <v>8451</v>
      </c>
      <c r="D1623" t="s">
        <v>241</v>
      </c>
      <c r="E1623" t="s">
        <v>271</v>
      </c>
      <c r="F1623" t="s">
        <v>548</v>
      </c>
    </row>
    <row r="1624" spans="1:6" x14ac:dyDescent="0.25">
      <c r="A1624" t="s">
        <v>8452</v>
      </c>
      <c r="B1624" t="s">
        <v>8453</v>
      </c>
      <c r="C1624" t="s">
        <v>8454</v>
      </c>
      <c r="D1624" t="s">
        <v>0</v>
      </c>
      <c r="E1624" t="s">
        <v>271</v>
      </c>
      <c r="F1624" t="s">
        <v>319</v>
      </c>
    </row>
    <row r="1625" spans="1:6" x14ac:dyDescent="0.25">
      <c r="A1625" t="s">
        <v>3577</v>
      </c>
      <c r="B1625" t="s">
        <v>3578</v>
      </c>
      <c r="C1625" t="s">
        <v>3579</v>
      </c>
      <c r="D1625" t="s">
        <v>822</v>
      </c>
      <c r="E1625" t="s">
        <v>269</v>
      </c>
      <c r="F1625" t="s">
        <v>821</v>
      </c>
    </row>
    <row r="1626" spans="1:6" x14ac:dyDescent="0.25">
      <c r="A1626" t="s">
        <v>868</v>
      </c>
      <c r="B1626" t="s">
        <v>869</v>
      </c>
      <c r="C1626" t="s">
        <v>872</v>
      </c>
      <c r="D1626" t="s">
        <v>871</v>
      </c>
      <c r="E1626" t="s">
        <v>271</v>
      </c>
      <c r="F1626" t="s">
        <v>870</v>
      </c>
    </row>
    <row r="1627" spans="1:6" x14ac:dyDescent="0.25">
      <c r="A1627" t="s">
        <v>2554</v>
      </c>
      <c r="B1627" t="s">
        <v>2555</v>
      </c>
      <c r="C1627" t="s">
        <v>2556</v>
      </c>
      <c r="D1627" t="s">
        <v>0</v>
      </c>
      <c r="E1627" t="s">
        <v>271</v>
      </c>
      <c r="F1627" t="s">
        <v>881</v>
      </c>
    </row>
    <row r="1628" spans="1:6" x14ac:dyDescent="0.25">
      <c r="A1628" t="s">
        <v>8455</v>
      </c>
      <c r="B1628" t="s">
        <v>8456</v>
      </c>
      <c r="C1628" t="s">
        <v>8457</v>
      </c>
      <c r="D1628" t="s">
        <v>222</v>
      </c>
      <c r="E1628" t="s">
        <v>271</v>
      </c>
      <c r="F1628" t="s">
        <v>313</v>
      </c>
    </row>
    <row r="1629" spans="1:6" x14ac:dyDescent="0.25">
      <c r="A1629" t="s">
        <v>8458</v>
      </c>
      <c r="B1629" t="s">
        <v>8459</v>
      </c>
      <c r="C1629" t="s">
        <v>8460</v>
      </c>
      <c r="D1629" t="s">
        <v>312</v>
      </c>
      <c r="E1629" t="s">
        <v>271</v>
      </c>
      <c r="F1629" t="s">
        <v>311</v>
      </c>
    </row>
    <row r="1630" spans="1:6" x14ac:dyDescent="0.25">
      <c r="A1630" t="s">
        <v>8461</v>
      </c>
      <c r="B1630" t="s">
        <v>8462</v>
      </c>
      <c r="C1630" t="s">
        <v>8463</v>
      </c>
      <c r="D1630" t="s">
        <v>2885</v>
      </c>
      <c r="E1630" t="s">
        <v>271</v>
      </c>
      <c r="F1630" t="s">
        <v>1523</v>
      </c>
    </row>
    <row r="1631" spans="1:6" x14ac:dyDescent="0.25">
      <c r="A1631" t="s">
        <v>8464</v>
      </c>
      <c r="B1631" t="s">
        <v>8465</v>
      </c>
      <c r="C1631" t="s">
        <v>8466</v>
      </c>
      <c r="D1631" t="s">
        <v>510</v>
      </c>
      <c r="E1631" t="s">
        <v>271</v>
      </c>
      <c r="F1631" t="s">
        <v>437</v>
      </c>
    </row>
    <row r="1632" spans="1:6" x14ac:dyDescent="0.25">
      <c r="A1632" t="s">
        <v>8467</v>
      </c>
      <c r="B1632" t="s">
        <v>8468</v>
      </c>
      <c r="C1632" t="s">
        <v>8469</v>
      </c>
      <c r="D1632" t="s">
        <v>0</v>
      </c>
      <c r="E1632" t="s">
        <v>271</v>
      </c>
      <c r="F1632" t="s">
        <v>1321</v>
      </c>
    </row>
    <row r="1633" spans="1:6" x14ac:dyDescent="0.25">
      <c r="A1633" t="s">
        <v>8470</v>
      </c>
      <c r="B1633" t="s">
        <v>8471</v>
      </c>
      <c r="C1633" t="s">
        <v>8472</v>
      </c>
      <c r="D1633" t="s">
        <v>510</v>
      </c>
      <c r="E1633" t="s">
        <v>271</v>
      </c>
      <c r="F1633" t="s">
        <v>437</v>
      </c>
    </row>
    <row r="1634" spans="1:6" x14ac:dyDescent="0.25">
      <c r="A1634" t="s">
        <v>8473</v>
      </c>
      <c r="B1634" t="s">
        <v>7789</v>
      </c>
      <c r="C1634" t="s">
        <v>8474</v>
      </c>
      <c r="D1634" t="s">
        <v>1791</v>
      </c>
      <c r="E1634" t="s">
        <v>271</v>
      </c>
      <c r="F1634" t="s">
        <v>1790</v>
      </c>
    </row>
    <row r="1635" spans="1:6" x14ac:dyDescent="0.25">
      <c r="A1635" t="s">
        <v>8475</v>
      </c>
      <c r="B1635" t="s">
        <v>8476</v>
      </c>
      <c r="C1635" t="s">
        <v>8477</v>
      </c>
      <c r="D1635" t="s">
        <v>4106</v>
      </c>
      <c r="E1635" t="s">
        <v>269</v>
      </c>
      <c r="F1635" t="s">
        <v>4105</v>
      </c>
    </row>
    <row r="1636" spans="1:6" x14ac:dyDescent="0.25">
      <c r="A1636" t="s">
        <v>8478</v>
      </c>
      <c r="B1636" t="s">
        <v>8479</v>
      </c>
      <c r="C1636" t="s">
        <v>8480</v>
      </c>
      <c r="D1636" t="s">
        <v>246</v>
      </c>
      <c r="E1636" t="s">
        <v>271</v>
      </c>
      <c r="F1636" t="s">
        <v>426</v>
      </c>
    </row>
    <row r="1637" spans="1:6" x14ac:dyDescent="0.25">
      <c r="A1637" t="s">
        <v>8481</v>
      </c>
      <c r="B1637" t="s">
        <v>8482</v>
      </c>
      <c r="C1637" t="s">
        <v>8483</v>
      </c>
      <c r="D1637" t="s">
        <v>1064</v>
      </c>
      <c r="E1637" t="s">
        <v>269</v>
      </c>
      <c r="F1637" t="s">
        <v>1063</v>
      </c>
    </row>
    <row r="1638" spans="1:6" x14ac:dyDescent="0.25">
      <c r="A1638" t="s">
        <v>8484</v>
      </c>
      <c r="B1638" t="s">
        <v>8485</v>
      </c>
      <c r="C1638" t="s">
        <v>8486</v>
      </c>
      <c r="D1638" t="s">
        <v>0</v>
      </c>
      <c r="E1638" t="s">
        <v>271</v>
      </c>
      <c r="F1638" t="s">
        <v>323</v>
      </c>
    </row>
    <row r="1639" spans="1:6" x14ac:dyDescent="0.25">
      <c r="A1639" t="s">
        <v>8487</v>
      </c>
      <c r="B1639" t="s">
        <v>8488</v>
      </c>
      <c r="C1639" t="s">
        <v>8489</v>
      </c>
      <c r="D1639" t="s">
        <v>2885</v>
      </c>
      <c r="E1639" t="s">
        <v>271</v>
      </c>
      <c r="F1639" t="s">
        <v>1523</v>
      </c>
    </row>
    <row r="1640" spans="1:6" x14ac:dyDescent="0.25">
      <c r="A1640" t="s">
        <v>8490</v>
      </c>
      <c r="B1640" t="s">
        <v>8491</v>
      </c>
      <c r="C1640" t="s">
        <v>6861</v>
      </c>
      <c r="D1640" t="s">
        <v>6862</v>
      </c>
      <c r="E1640" t="s">
        <v>271</v>
      </c>
      <c r="F1640" t="s">
        <v>4386</v>
      </c>
    </row>
    <row r="1641" spans="1:6" x14ac:dyDescent="0.25">
      <c r="A1641" t="s">
        <v>8492</v>
      </c>
      <c r="B1641" t="s">
        <v>8493</v>
      </c>
      <c r="C1641" t="s">
        <v>8494</v>
      </c>
      <c r="D1641" t="s">
        <v>1925</v>
      </c>
      <c r="E1641" t="s">
        <v>271</v>
      </c>
      <c r="F1641" t="s">
        <v>1924</v>
      </c>
    </row>
    <row r="1642" spans="1:6" x14ac:dyDescent="0.25">
      <c r="A1642" t="s">
        <v>8495</v>
      </c>
      <c r="B1642" t="s">
        <v>8496</v>
      </c>
      <c r="C1642" t="s">
        <v>8497</v>
      </c>
      <c r="D1642" t="s">
        <v>578</v>
      </c>
      <c r="E1642" t="s">
        <v>271</v>
      </c>
      <c r="F1642" t="s">
        <v>321</v>
      </c>
    </row>
    <row r="1643" spans="1:6" x14ac:dyDescent="0.25">
      <c r="A1643" t="s">
        <v>8498</v>
      </c>
      <c r="B1643" t="s">
        <v>8499</v>
      </c>
      <c r="C1643" t="s">
        <v>8500</v>
      </c>
      <c r="D1643" t="s">
        <v>616</v>
      </c>
      <c r="E1643" t="s">
        <v>271</v>
      </c>
      <c r="F1643" t="s">
        <v>333</v>
      </c>
    </row>
    <row r="1644" spans="1:6" x14ac:dyDescent="0.25">
      <c r="A1644" t="s">
        <v>8501</v>
      </c>
      <c r="B1644" t="s">
        <v>8502</v>
      </c>
      <c r="C1644" t="s">
        <v>8503</v>
      </c>
      <c r="D1644" t="s">
        <v>7898</v>
      </c>
      <c r="E1644" t="s">
        <v>271</v>
      </c>
      <c r="F1644" t="s">
        <v>4434</v>
      </c>
    </row>
    <row r="1645" spans="1:6" x14ac:dyDescent="0.25">
      <c r="A1645" t="s">
        <v>8504</v>
      </c>
      <c r="B1645" t="s">
        <v>8505</v>
      </c>
      <c r="C1645" t="s">
        <v>8506</v>
      </c>
      <c r="D1645" t="s">
        <v>0</v>
      </c>
      <c r="E1645" t="s">
        <v>271</v>
      </c>
      <c r="F1645" t="s">
        <v>436</v>
      </c>
    </row>
    <row r="1646" spans="1:6" x14ac:dyDescent="0.25">
      <c r="A1646" t="s">
        <v>8507</v>
      </c>
      <c r="B1646" t="s">
        <v>8508</v>
      </c>
      <c r="C1646" t="s">
        <v>8509</v>
      </c>
      <c r="D1646" t="s">
        <v>510</v>
      </c>
      <c r="E1646" t="s">
        <v>271</v>
      </c>
      <c r="F1646" t="s">
        <v>852</v>
      </c>
    </row>
    <row r="1647" spans="1:6" x14ac:dyDescent="0.25">
      <c r="A1647" t="s">
        <v>8510</v>
      </c>
      <c r="B1647" t="s">
        <v>8511</v>
      </c>
      <c r="C1647" t="s">
        <v>2275</v>
      </c>
      <c r="D1647" t="s">
        <v>0</v>
      </c>
      <c r="E1647" t="s">
        <v>271</v>
      </c>
      <c r="F1647" t="s">
        <v>731</v>
      </c>
    </row>
    <row r="1648" spans="1:6" x14ac:dyDescent="0.25">
      <c r="A1648" t="s">
        <v>8512</v>
      </c>
      <c r="B1648" t="s">
        <v>8513</v>
      </c>
      <c r="C1648" t="s">
        <v>8514</v>
      </c>
      <c r="D1648" t="s">
        <v>1079</v>
      </c>
      <c r="E1648" t="s">
        <v>271</v>
      </c>
      <c r="F1648" t="s">
        <v>3880</v>
      </c>
    </row>
    <row r="1649" spans="1:6" x14ac:dyDescent="0.25">
      <c r="A1649" t="s">
        <v>8515</v>
      </c>
      <c r="B1649" t="s">
        <v>8516</v>
      </c>
      <c r="C1649" t="s">
        <v>1675</v>
      </c>
      <c r="D1649" t="s">
        <v>0</v>
      </c>
      <c r="E1649" t="s">
        <v>271</v>
      </c>
      <c r="F1649" t="s">
        <v>332</v>
      </c>
    </row>
    <row r="1650" spans="1:6" x14ac:dyDescent="0.25">
      <c r="A1650" t="s">
        <v>8517</v>
      </c>
      <c r="B1650" t="s">
        <v>8518</v>
      </c>
      <c r="C1650" t="s">
        <v>8519</v>
      </c>
      <c r="D1650" t="s">
        <v>402</v>
      </c>
      <c r="E1650" t="s">
        <v>271</v>
      </c>
      <c r="F1650" t="s">
        <v>401</v>
      </c>
    </row>
    <row r="1651" spans="1:6" x14ac:dyDescent="0.25">
      <c r="A1651" t="s">
        <v>8520</v>
      </c>
      <c r="B1651" t="s">
        <v>8521</v>
      </c>
      <c r="C1651" t="s">
        <v>8522</v>
      </c>
      <c r="D1651" t="s">
        <v>0</v>
      </c>
      <c r="E1651" t="s">
        <v>271</v>
      </c>
      <c r="F1651" t="s">
        <v>325</v>
      </c>
    </row>
    <row r="1652" spans="1:6" x14ac:dyDescent="0.25">
      <c r="A1652" t="s">
        <v>8523</v>
      </c>
      <c r="B1652" t="s">
        <v>8524</v>
      </c>
      <c r="C1652" t="s">
        <v>8525</v>
      </c>
      <c r="D1652" t="s">
        <v>1609</v>
      </c>
      <c r="E1652" t="s">
        <v>271</v>
      </c>
      <c r="F1652" t="s">
        <v>1608</v>
      </c>
    </row>
    <row r="1653" spans="1:6" x14ac:dyDescent="0.25">
      <c r="A1653" t="s">
        <v>8526</v>
      </c>
      <c r="B1653" t="s">
        <v>8527</v>
      </c>
      <c r="C1653" t="s">
        <v>8528</v>
      </c>
      <c r="D1653" t="s">
        <v>617</v>
      </c>
      <c r="E1653" t="s">
        <v>271</v>
      </c>
      <c r="F1653" t="s">
        <v>438</v>
      </c>
    </row>
    <row r="1654" spans="1:6" x14ac:dyDescent="0.25">
      <c r="A1654" t="s">
        <v>8529</v>
      </c>
      <c r="B1654" t="s">
        <v>8530</v>
      </c>
      <c r="C1654" t="s">
        <v>8531</v>
      </c>
      <c r="D1654" t="s">
        <v>2009</v>
      </c>
      <c r="E1654" t="s">
        <v>271</v>
      </c>
      <c r="F1654" t="s">
        <v>2008</v>
      </c>
    </row>
    <row r="1655" spans="1:6" x14ac:dyDescent="0.25">
      <c r="A1655" t="s">
        <v>1625</v>
      </c>
      <c r="B1655" t="s">
        <v>1626</v>
      </c>
      <c r="C1655" t="s">
        <v>1627</v>
      </c>
      <c r="D1655" t="s">
        <v>347</v>
      </c>
      <c r="E1655" t="s">
        <v>271</v>
      </c>
      <c r="F1655" t="s">
        <v>327</v>
      </c>
    </row>
    <row r="1656" spans="1:6" x14ac:dyDescent="0.25">
      <c r="A1656" t="s">
        <v>8532</v>
      </c>
      <c r="B1656" t="s">
        <v>443</v>
      </c>
      <c r="C1656" t="s">
        <v>6559</v>
      </c>
      <c r="D1656" t="s">
        <v>2589</v>
      </c>
      <c r="E1656" t="s">
        <v>271</v>
      </c>
      <c r="F1656" t="s">
        <v>2588</v>
      </c>
    </row>
    <row r="1657" spans="1:6" x14ac:dyDescent="0.25">
      <c r="A1657" t="s">
        <v>8533</v>
      </c>
      <c r="B1657" t="s">
        <v>8534</v>
      </c>
      <c r="C1657" t="s">
        <v>8535</v>
      </c>
      <c r="D1657" t="s">
        <v>0</v>
      </c>
      <c r="E1657" t="s">
        <v>271</v>
      </c>
      <c r="F1657" t="s">
        <v>3740</v>
      </c>
    </row>
    <row r="1658" spans="1:6" x14ac:dyDescent="0.25">
      <c r="A1658" t="s">
        <v>8536</v>
      </c>
      <c r="B1658" t="s">
        <v>8537</v>
      </c>
      <c r="C1658" t="s">
        <v>6409</v>
      </c>
      <c r="D1658" t="s">
        <v>1348</v>
      </c>
      <c r="E1658" t="s">
        <v>271</v>
      </c>
      <c r="F1658" t="s">
        <v>2057</v>
      </c>
    </row>
    <row r="1659" spans="1:6" x14ac:dyDescent="0.25">
      <c r="A1659" t="s">
        <v>8538</v>
      </c>
      <c r="B1659" t="s">
        <v>8539</v>
      </c>
      <c r="C1659" t="s">
        <v>8540</v>
      </c>
      <c r="D1659" t="s">
        <v>0</v>
      </c>
      <c r="E1659" t="s">
        <v>271</v>
      </c>
      <c r="F1659" t="s">
        <v>436</v>
      </c>
    </row>
    <row r="1660" spans="1:6" x14ac:dyDescent="0.25">
      <c r="A1660" t="s">
        <v>1561</v>
      </c>
      <c r="B1660" t="s">
        <v>1562</v>
      </c>
      <c r="C1660" t="s">
        <v>1564</v>
      </c>
      <c r="D1660" t="s">
        <v>361</v>
      </c>
      <c r="E1660" t="s">
        <v>271</v>
      </c>
      <c r="F1660" t="s">
        <v>1563</v>
      </c>
    </row>
    <row r="1661" spans="1:6" x14ac:dyDescent="0.25">
      <c r="A1661" t="s">
        <v>8541</v>
      </c>
      <c r="B1661" t="s">
        <v>8542</v>
      </c>
      <c r="C1661" t="s">
        <v>7435</v>
      </c>
      <c r="D1661" t="s">
        <v>0</v>
      </c>
      <c r="E1661" t="s">
        <v>271</v>
      </c>
      <c r="F1661" t="s">
        <v>1534</v>
      </c>
    </row>
    <row r="1662" spans="1:6" x14ac:dyDescent="0.25">
      <c r="A1662" t="s">
        <v>8543</v>
      </c>
      <c r="B1662" t="s">
        <v>8544</v>
      </c>
      <c r="C1662" t="s">
        <v>8545</v>
      </c>
      <c r="D1662" t="s">
        <v>0</v>
      </c>
      <c r="E1662" t="s">
        <v>271</v>
      </c>
      <c r="F1662" t="s">
        <v>325</v>
      </c>
    </row>
    <row r="1663" spans="1:6" x14ac:dyDescent="0.25">
      <c r="A1663" t="s">
        <v>8546</v>
      </c>
      <c r="B1663" t="s">
        <v>8547</v>
      </c>
      <c r="C1663" t="s">
        <v>8548</v>
      </c>
      <c r="D1663" t="s">
        <v>2093</v>
      </c>
      <c r="E1663" t="s">
        <v>271</v>
      </c>
      <c r="F1663" t="s">
        <v>1058</v>
      </c>
    </row>
    <row r="1664" spans="1:6" x14ac:dyDescent="0.25">
      <c r="A1664" t="s">
        <v>8549</v>
      </c>
      <c r="B1664" t="s">
        <v>8550</v>
      </c>
      <c r="C1664" t="s">
        <v>8551</v>
      </c>
      <c r="D1664" t="s">
        <v>586</v>
      </c>
      <c r="E1664" t="s">
        <v>271</v>
      </c>
      <c r="F1664" t="s">
        <v>334</v>
      </c>
    </row>
    <row r="1665" spans="1:6" x14ac:dyDescent="0.25">
      <c r="A1665" t="s">
        <v>8552</v>
      </c>
      <c r="B1665" t="s">
        <v>8553</v>
      </c>
      <c r="C1665" t="s">
        <v>8554</v>
      </c>
      <c r="D1665" t="s">
        <v>0</v>
      </c>
      <c r="E1665" t="s">
        <v>271</v>
      </c>
      <c r="F1665" t="s">
        <v>562</v>
      </c>
    </row>
    <row r="1666" spans="1:6" x14ac:dyDescent="0.25">
      <c r="A1666" t="s">
        <v>8555</v>
      </c>
      <c r="B1666" t="s">
        <v>8556</v>
      </c>
      <c r="C1666" t="s">
        <v>8557</v>
      </c>
      <c r="D1666" t="s">
        <v>238</v>
      </c>
      <c r="E1666" t="s">
        <v>271</v>
      </c>
      <c r="F1666" t="s">
        <v>470</v>
      </c>
    </row>
    <row r="1667" spans="1:6" x14ac:dyDescent="0.25">
      <c r="A1667" t="s">
        <v>8558</v>
      </c>
      <c r="B1667" t="s">
        <v>8559</v>
      </c>
      <c r="C1667" t="s">
        <v>8560</v>
      </c>
      <c r="D1667" t="s">
        <v>0</v>
      </c>
      <c r="E1667" t="s">
        <v>271</v>
      </c>
      <c r="F1667" t="s">
        <v>356</v>
      </c>
    </row>
    <row r="1668" spans="1:6" x14ac:dyDescent="0.25">
      <c r="A1668" t="s">
        <v>8561</v>
      </c>
      <c r="B1668" t="s">
        <v>8562</v>
      </c>
      <c r="C1668" t="s">
        <v>5677</v>
      </c>
      <c r="D1668" t="s">
        <v>453</v>
      </c>
      <c r="E1668" t="s">
        <v>271</v>
      </c>
      <c r="F1668" t="s">
        <v>454</v>
      </c>
    </row>
    <row r="1669" spans="1:6" x14ac:dyDescent="0.25">
      <c r="A1669" t="s">
        <v>1391</v>
      </c>
      <c r="B1669" t="s">
        <v>1392</v>
      </c>
      <c r="C1669" t="s">
        <v>1393</v>
      </c>
      <c r="D1669" t="s">
        <v>1051</v>
      </c>
      <c r="E1669" t="s">
        <v>271</v>
      </c>
      <c r="F1669" t="s">
        <v>1050</v>
      </c>
    </row>
    <row r="1670" spans="1:6" x14ac:dyDescent="0.25">
      <c r="A1670" t="s">
        <v>8563</v>
      </c>
      <c r="B1670" t="s">
        <v>8564</v>
      </c>
      <c r="C1670" t="s">
        <v>8565</v>
      </c>
      <c r="D1670" t="s">
        <v>1079</v>
      </c>
      <c r="E1670" t="s">
        <v>271</v>
      </c>
      <c r="F1670" t="s">
        <v>1078</v>
      </c>
    </row>
    <row r="1671" spans="1:6" x14ac:dyDescent="0.25">
      <c r="A1671" t="s">
        <v>8566</v>
      </c>
      <c r="B1671" t="s">
        <v>8567</v>
      </c>
      <c r="C1671" t="s">
        <v>8568</v>
      </c>
      <c r="D1671" t="s">
        <v>1848</v>
      </c>
      <c r="E1671" t="s">
        <v>269</v>
      </c>
      <c r="F1671" t="s">
        <v>1847</v>
      </c>
    </row>
    <row r="1672" spans="1:6" x14ac:dyDescent="0.25">
      <c r="A1672" t="s">
        <v>8569</v>
      </c>
      <c r="B1672" t="s">
        <v>8570</v>
      </c>
      <c r="C1672" t="s">
        <v>8571</v>
      </c>
      <c r="D1672" t="s">
        <v>1079</v>
      </c>
      <c r="E1672" t="s">
        <v>271</v>
      </c>
      <c r="F1672" t="s">
        <v>1078</v>
      </c>
    </row>
    <row r="1673" spans="1:6" x14ac:dyDescent="0.25">
      <c r="A1673" t="s">
        <v>2960</v>
      </c>
      <c r="B1673" t="s">
        <v>2961</v>
      </c>
      <c r="C1673" t="s">
        <v>2963</v>
      </c>
      <c r="D1673" t="s">
        <v>2962</v>
      </c>
      <c r="E1673" t="s">
        <v>271</v>
      </c>
      <c r="F1673" t="s">
        <v>2666</v>
      </c>
    </row>
    <row r="1674" spans="1:6" x14ac:dyDescent="0.25">
      <c r="A1674" t="s">
        <v>8572</v>
      </c>
      <c r="B1674" t="s">
        <v>8573</v>
      </c>
      <c r="C1674" t="s">
        <v>8574</v>
      </c>
      <c r="D1674" t="s">
        <v>1244</v>
      </c>
      <c r="E1674" t="s">
        <v>271</v>
      </c>
      <c r="F1674" t="s">
        <v>1243</v>
      </c>
    </row>
    <row r="1675" spans="1:6" x14ac:dyDescent="0.25">
      <c r="A1675" t="s">
        <v>8575</v>
      </c>
      <c r="B1675" t="s">
        <v>8576</v>
      </c>
      <c r="C1675" t="s">
        <v>8577</v>
      </c>
      <c r="D1675" t="s">
        <v>0</v>
      </c>
      <c r="E1675" t="s">
        <v>271</v>
      </c>
      <c r="F1675" t="s">
        <v>356</v>
      </c>
    </row>
    <row r="1676" spans="1:6" x14ac:dyDescent="0.25">
      <c r="A1676" t="s">
        <v>8578</v>
      </c>
      <c r="B1676" t="s">
        <v>8579</v>
      </c>
      <c r="C1676" t="s">
        <v>8580</v>
      </c>
      <c r="D1676" t="s">
        <v>498</v>
      </c>
      <c r="E1676" t="s">
        <v>271</v>
      </c>
      <c r="F1676" t="s">
        <v>926</v>
      </c>
    </row>
    <row r="1677" spans="1:6" x14ac:dyDescent="0.25">
      <c r="A1677" t="s">
        <v>8581</v>
      </c>
      <c r="B1677" t="s">
        <v>8582</v>
      </c>
      <c r="C1677" t="s">
        <v>8583</v>
      </c>
      <c r="D1677" t="s">
        <v>0</v>
      </c>
      <c r="E1677" t="s">
        <v>271</v>
      </c>
      <c r="F1677" t="s">
        <v>1180</v>
      </c>
    </row>
    <row r="1678" spans="1:6" x14ac:dyDescent="0.25">
      <c r="A1678" t="s">
        <v>8584</v>
      </c>
      <c r="B1678" t="s">
        <v>8585</v>
      </c>
      <c r="C1678" t="s">
        <v>8586</v>
      </c>
      <c r="D1678" t="s">
        <v>0</v>
      </c>
      <c r="E1678" t="s">
        <v>271</v>
      </c>
      <c r="F1678" t="s">
        <v>1180</v>
      </c>
    </row>
    <row r="1679" spans="1:6" x14ac:dyDescent="0.25">
      <c r="A1679" t="s">
        <v>8587</v>
      </c>
      <c r="B1679" t="s">
        <v>8588</v>
      </c>
      <c r="C1679" t="s">
        <v>8589</v>
      </c>
      <c r="D1679" t="s">
        <v>2908</v>
      </c>
      <c r="E1679" t="s">
        <v>271</v>
      </c>
      <c r="F1679" t="s">
        <v>2470</v>
      </c>
    </row>
    <row r="1680" spans="1:6" x14ac:dyDescent="0.25">
      <c r="A1680" t="s">
        <v>8590</v>
      </c>
      <c r="B1680" t="s">
        <v>8591</v>
      </c>
      <c r="C1680" t="s">
        <v>8592</v>
      </c>
      <c r="D1680" t="s">
        <v>8593</v>
      </c>
      <c r="E1680" t="s">
        <v>271</v>
      </c>
      <c r="F1680" t="s">
        <v>4385</v>
      </c>
    </row>
    <row r="1681" spans="1:6" x14ac:dyDescent="0.25">
      <c r="A1681" t="s">
        <v>2808</v>
      </c>
      <c r="B1681" t="s">
        <v>2809</v>
      </c>
      <c r="C1681" t="s">
        <v>2810</v>
      </c>
      <c r="D1681" t="s">
        <v>547</v>
      </c>
      <c r="E1681" t="s">
        <v>271</v>
      </c>
      <c r="F1681" t="s">
        <v>428</v>
      </c>
    </row>
    <row r="1682" spans="1:6" x14ac:dyDescent="0.25">
      <c r="A1682" t="s">
        <v>8594</v>
      </c>
      <c r="B1682" t="s">
        <v>8595</v>
      </c>
      <c r="C1682" t="s">
        <v>8596</v>
      </c>
      <c r="D1682" t="s">
        <v>460</v>
      </c>
      <c r="E1682" t="s">
        <v>271</v>
      </c>
      <c r="F1682" t="s">
        <v>8597</v>
      </c>
    </row>
    <row r="1683" spans="1:6" x14ac:dyDescent="0.25">
      <c r="A1683" t="s">
        <v>8598</v>
      </c>
      <c r="B1683" t="s">
        <v>8599</v>
      </c>
      <c r="C1683" t="s">
        <v>8600</v>
      </c>
      <c r="D1683" t="s">
        <v>3457</v>
      </c>
      <c r="E1683" t="s">
        <v>271</v>
      </c>
      <c r="F1683" t="s">
        <v>1432</v>
      </c>
    </row>
    <row r="1684" spans="1:6" x14ac:dyDescent="0.25">
      <c r="A1684" t="s">
        <v>1275</v>
      </c>
      <c r="B1684" t="s">
        <v>1276</v>
      </c>
      <c r="C1684" t="s">
        <v>1278</v>
      </c>
      <c r="D1684" t="s">
        <v>0</v>
      </c>
      <c r="E1684" t="s">
        <v>271</v>
      </c>
      <c r="F1684" t="s">
        <v>1277</v>
      </c>
    </row>
    <row r="1685" spans="1:6" x14ac:dyDescent="0.25">
      <c r="A1685" t="s">
        <v>8601</v>
      </c>
      <c r="B1685" t="s">
        <v>8602</v>
      </c>
      <c r="C1685" t="s">
        <v>8603</v>
      </c>
      <c r="D1685" t="s">
        <v>871</v>
      </c>
      <c r="E1685" t="s">
        <v>271</v>
      </c>
      <c r="F1685" t="s">
        <v>870</v>
      </c>
    </row>
    <row r="1686" spans="1:6" x14ac:dyDescent="0.25">
      <c r="A1686" t="s">
        <v>8604</v>
      </c>
      <c r="B1686" t="s">
        <v>8605</v>
      </c>
      <c r="C1686" t="s">
        <v>8606</v>
      </c>
      <c r="D1686" t="s">
        <v>1079</v>
      </c>
      <c r="E1686" t="s">
        <v>271</v>
      </c>
      <c r="F1686" t="s">
        <v>1176</v>
      </c>
    </row>
    <row r="1687" spans="1:6" x14ac:dyDescent="0.25">
      <c r="A1687" t="s">
        <v>8607</v>
      </c>
      <c r="B1687" t="s">
        <v>8608</v>
      </c>
      <c r="C1687" t="s">
        <v>8609</v>
      </c>
      <c r="D1687" t="s">
        <v>0</v>
      </c>
      <c r="E1687" t="s">
        <v>271</v>
      </c>
      <c r="F1687" t="s">
        <v>436</v>
      </c>
    </row>
    <row r="1688" spans="1:6" x14ac:dyDescent="0.25">
      <c r="A1688" t="s">
        <v>8610</v>
      </c>
      <c r="B1688" t="s">
        <v>8611</v>
      </c>
      <c r="C1688" t="s">
        <v>8612</v>
      </c>
      <c r="D1688" t="s">
        <v>506</v>
      </c>
      <c r="E1688" t="s">
        <v>271</v>
      </c>
      <c r="F1688" t="s">
        <v>507</v>
      </c>
    </row>
    <row r="1689" spans="1:6" x14ac:dyDescent="0.25">
      <c r="A1689" t="s">
        <v>8613</v>
      </c>
      <c r="B1689" t="s">
        <v>8614</v>
      </c>
      <c r="C1689" t="s">
        <v>8615</v>
      </c>
      <c r="D1689" t="s">
        <v>0</v>
      </c>
      <c r="E1689" t="s">
        <v>271</v>
      </c>
      <c r="F1689" t="s">
        <v>1115</v>
      </c>
    </row>
    <row r="1690" spans="1:6" x14ac:dyDescent="0.25">
      <c r="A1690" t="s">
        <v>8616</v>
      </c>
      <c r="B1690" t="s">
        <v>8617</v>
      </c>
      <c r="C1690" t="s">
        <v>8618</v>
      </c>
      <c r="D1690" t="s">
        <v>0</v>
      </c>
      <c r="E1690" t="s">
        <v>271</v>
      </c>
      <c r="F1690" t="s">
        <v>4391</v>
      </c>
    </row>
    <row r="1691" spans="1:6" x14ac:dyDescent="0.25">
      <c r="A1691" t="s">
        <v>8619</v>
      </c>
      <c r="B1691" t="s">
        <v>8620</v>
      </c>
      <c r="C1691" t="s">
        <v>8621</v>
      </c>
      <c r="D1691" t="s">
        <v>2714</v>
      </c>
      <c r="E1691" t="s">
        <v>271</v>
      </c>
      <c r="F1691" t="s">
        <v>2713</v>
      </c>
    </row>
    <row r="1692" spans="1:6" x14ac:dyDescent="0.25">
      <c r="A1692" t="s">
        <v>8622</v>
      </c>
      <c r="B1692" t="s">
        <v>8623</v>
      </c>
      <c r="C1692" t="s">
        <v>8624</v>
      </c>
      <c r="D1692" t="s">
        <v>469</v>
      </c>
      <c r="E1692" t="s">
        <v>271</v>
      </c>
      <c r="F1692" t="s">
        <v>470</v>
      </c>
    </row>
    <row r="1693" spans="1:6" x14ac:dyDescent="0.25">
      <c r="A1693" t="s">
        <v>8625</v>
      </c>
      <c r="B1693" t="s">
        <v>8626</v>
      </c>
      <c r="C1693" t="s">
        <v>8627</v>
      </c>
      <c r="D1693" t="s">
        <v>1126</v>
      </c>
      <c r="E1693" t="s">
        <v>271</v>
      </c>
      <c r="F1693" t="s">
        <v>1125</v>
      </c>
    </row>
    <row r="1694" spans="1:6" x14ac:dyDescent="0.25">
      <c r="A1694" t="s">
        <v>8628</v>
      </c>
      <c r="B1694" t="s">
        <v>8629</v>
      </c>
      <c r="C1694" t="s">
        <v>8630</v>
      </c>
      <c r="D1694" t="s">
        <v>1239</v>
      </c>
      <c r="E1694" t="s">
        <v>271</v>
      </c>
      <c r="F1694" t="s">
        <v>1238</v>
      </c>
    </row>
    <row r="1695" spans="1:6" x14ac:dyDescent="0.25">
      <c r="A1695" t="s">
        <v>8631</v>
      </c>
      <c r="B1695" t="s">
        <v>8632</v>
      </c>
      <c r="C1695" t="s">
        <v>8633</v>
      </c>
      <c r="D1695" t="s">
        <v>361</v>
      </c>
      <c r="E1695" t="s">
        <v>271</v>
      </c>
      <c r="F1695" t="s">
        <v>1563</v>
      </c>
    </row>
    <row r="1696" spans="1:6" x14ac:dyDescent="0.25">
      <c r="A1696" t="s">
        <v>1460</v>
      </c>
      <c r="B1696" t="s">
        <v>1461</v>
      </c>
      <c r="C1696" t="s">
        <v>1464</v>
      </c>
      <c r="D1696" t="s">
        <v>1463</v>
      </c>
      <c r="E1696" t="s">
        <v>271</v>
      </c>
      <c r="F1696" t="s">
        <v>1462</v>
      </c>
    </row>
    <row r="1697" spans="1:6" x14ac:dyDescent="0.25">
      <c r="A1697" t="s">
        <v>8634</v>
      </c>
      <c r="B1697" t="s">
        <v>550</v>
      </c>
      <c r="C1697" t="s">
        <v>8635</v>
      </c>
      <c r="D1697" t="s">
        <v>0</v>
      </c>
      <c r="E1697" t="s">
        <v>271</v>
      </c>
      <c r="F1697" t="s">
        <v>432</v>
      </c>
    </row>
    <row r="1698" spans="1:6" x14ac:dyDescent="0.25">
      <c r="A1698" t="s">
        <v>8636</v>
      </c>
      <c r="B1698" t="s">
        <v>8637</v>
      </c>
      <c r="C1698" t="s">
        <v>8638</v>
      </c>
      <c r="D1698" t="s">
        <v>0</v>
      </c>
      <c r="E1698" t="s">
        <v>271</v>
      </c>
      <c r="F1698" t="s">
        <v>332</v>
      </c>
    </row>
    <row r="1699" spans="1:6" x14ac:dyDescent="0.25">
      <c r="A1699" t="s">
        <v>8639</v>
      </c>
      <c r="B1699" t="s">
        <v>8640</v>
      </c>
      <c r="C1699" t="s">
        <v>8390</v>
      </c>
      <c r="D1699" t="s">
        <v>610</v>
      </c>
      <c r="E1699" t="s">
        <v>271</v>
      </c>
      <c r="F1699" t="s">
        <v>611</v>
      </c>
    </row>
    <row r="1700" spans="1:6" x14ac:dyDescent="0.25">
      <c r="A1700" t="s">
        <v>8641</v>
      </c>
      <c r="B1700" t="s">
        <v>8642</v>
      </c>
      <c r="C1700" t="s">
        <v>8643</v>
      </c>
      <c r="D1700" t="s">
        <v>314</v>
      </c>
      <c r="E1700" t="s">
        <v>271</v>
      </c>
      <c r="F1700" t="s">
        <v>3081</v>
      </c>
    </row>
    <row r="1701" spans="1:6" x14ac:dyDescent="0.25">
      <c r="A1701" t="s">
        <v>8644</v>
      </c>
      <c r="B1701" t="s">
        <v>8645</v>
      </c>
      <c r="C1701" t="s">
        <v>8646</v>
      </c>
      <c r="D1701" t="s">
        <v>0</v>
      </c>
      <c r="E1701" t="s">
        <v>271</v>
      </c>
      <c r="F1701" t="s">
        <v>325</v>
      </c>
    </row>
    <row r="1702" spans="1:6" x14ac:dyDescent="0.25">
      <c r="A1702" t="s">
        <v>8647</v>
      </c>
      <c r="B1702" t="s">
        <v>8648</v>
      </c>
      <c r="C1702" t="s">
        <v>8649</v>
      </c>
      <c r="D1702" t="s">
        <v>510</v>
      </c>
      <c r="E1702" t="s">
        <v>271</v>
      </c>
      <c r="F1702" t="s">
        <v>852</v>
      </c>
    </row>
    <row r="1703" spans="1:6" x14ac:dyDescent="0.25">
      <c r="A1703" t="s">
        <v>8650</v>
      </c>
      <c r="B1703" t="s">
        <v>8651</v>
      </c>
      <c r="C1703" t="s">
        <v>8652</v>
      </c>
      <c r="D1703" t="s">
        <v>8653</v>
      </c>
      <c r="E1703" t="s">
        <v>271</v>
      </c>
      <c r="F1703" t="s">
        <v>3635</v>
      </c>
    </row>
    <row r="1704" spans="1:6" x14ac:dyDescent="0.25">
      <c r="A1704" t="s">
        <v>8654</v>
      </c>
      <c r="B1704" t="s">
        <v>8655</v>
      </c>
      <c r="C1704" t="s">
        <v>8656</v>
      </c>
      <c r="D1704" t="s">
        <v>1361</v>
      </c>
      <c r="E1704" t="s">
        <v>271</v>
      </c>
      <c r="F1704" t="s">
        <v>1360</v>
      </c>
    </row>
    <row r="1705" spans="1:6" x14ac:dyDescent="0.25">
      <c r="A1705" t="s">
        <v>8657</v>
      </c>
      <c r="B1705" t="s">
        <v>8658</v>
      </c>
      <c r="C1705" t="s">
        <v>8659</v>
      </c>
      <c r="D1705" t="s">
        <v>1126</v>
      </c>
      <c r="E1705" t="s">
        <v>271</v>
      </c>
      <c r="F1705" t="s">
        <v>1125</v>
      </c>
    </row>
    <row r="1706" spans="1:6" x14ac:dyDescent="0.25">
      <c r="A1706" t="s">
        <v>1628</v>
      </c>
      <c r="B1706" t="s">
        <v>1629</v>
      </c>
      <c r="C1706" t="s">
        <v>1630</v>
      </c>
      <c r="D1706" t="s">
        <v>503</v>
      </c>
      <c r="E1706" t="s">
        <v>271</v>
      </c>
      <c r="F1706" t="s">
        <v>504</v>
      </c>
    </row>
    <row r="1707" spans="1:6" x14ac:dyDescent="0.25">
      <c r="A1707" t="s">
        <v>8660</v>
      </c>
      <c r="B1707" t="s">
        <v>8661</v>
      </c>
      <c r="C1707" t="s">
        <v>8662</v>
      </c>
      <c r="D1707" t="s">
        <v>2692</v>
      </c>
      <c r="E1707" t="s">
        <v>269</v>
      </c>
      <c r="F1707" t="s">
        <v>2691</v>
      </c>
    </row>
    <row r="1708" spans="1:6" x14ac:dyDescent="0.25">
      <c r="A1708" t="s">
        <v>8663</v>
      </c>
      <c r="B1708" t="s">
        <v>8664</v>
      </c>
      <c r="C1708" t="s">
        <v>8665</v>
      </c>
      <c r="D1708" t="s">
        <v>0</v>
      </c>
      <c r="E1708" t="s">
        <v>271</v>
      </c>
      <c r="F1708" t="s">
        <v>1225</v>
      </c>
    </row>
    <row r="1709" spans="1:6" x14ac:dyDescent="0.25">
      <c r="A1709" t="s">
        <v>8666</v>
      </c>
      <c r="B1709" t="s">
        <v>8667</v>
      </c>
      <c r="C1709" t="s">
        <v>8668</v>
      </c>
      <c r="D1709" t="s">
        <v>1317</v>
      </c>
      <c r="E1709" t="s">
        <v>271</v>
      </c>
      <c r="F1709" t="s">
        <v>1316</v>
      </c>
    </row>
    <row r="1710" spans="1:6" x14ac:dyDescent="0.25">
      <c r="A1710" t="s">
        <v>8669</v>
      </c>
      <c r="B1710" t="s">
        <v>8670</v>
      </c>
      <c r="C1710" t="s">
        <v>8671</v>
      </c>
      <c r="D1710" t="s">
        <v>675</v>
      </c>
      <c r="E1710" t="s">
        <v>271</v>
      </c>
      <c r="F1710" t="s">
        <v>674</v>
      </c>
    </row>
    <row r="1711" spans="1:6" x14ac:dyDescent="0.25">
      <c r="A1711" t="s">
        <v>8672</v>
      </c>
      <c r="B1711" t="s">
        <v>8673</v>
      </c>
      <c r="C1711" t="s">
        <v>8674</v>
      </c>
      <c r="D1711" t="s">
        <v>232</v>
      </c>
      <c r="E1711" t="s">
        <v>271</v>
      </c>
      <c r="F1711" t="s">
        <v>329</v>
      </c>
    </row>
    <row r="1712" spans="1:6" x14ac:dyDescent="0.25">
      <c r="A1712" t="s">
        <v>8675</v>
      </c>
      <c r="B1712" t="s">
        <v>8676</v>
      </c>
      <c r="C1712" t="s">
        <v>8677</v>
      </c>
      <c r="D1712" t="s">
        <v>1915</v>
      </c>
      <c r="E1712" t="s">
        <v>269</v>
      </c>
      <c r="F1712" t="s">
        <v>1914</v>
      </c>
    </row>
    <row r="1713" spans="1:6" x14ac:dyDescent="0.25">
      <c r="A1713" t="s">
        <v>1720</v>
      </c>
      <c r="B1713" t="s">
        <v>1721</v>
      </c>
      <c r="C1713" t="s">
        <v>1724</v>
      </c>
      <c r="D1713" t="s">
        <v>1723</v>
      </c>
      <c r="E1713" t="s">
        <v>271</v>
      </c>
      <c r="F1713" t="s">
        <v>1722</v>
      </c>
    </row>
    <row r="1714" spans="1:6" x14ac:dyDescent="0.25">
      <c r="A1714" t="s">
        <v>8678</v>
      </c>
      <c r="B1714" t="s">
        <v>8679</v>
      </c>
      <c r="C1714" t="s">
        <v>8680</v>
      </c>
      <c r="D1714" t="s">
        <v>835</v>
      </c>
      <c r="E1714" t="s">
        <v>269</v>
      </c>
      <c r="F1714" t="s">
        <v>834</v>
      </c>
    </row>
    <row r="1715" spans="1:6" x14ac:dyDescent="0.25">
      <c r="A1715" t="s">
        <v>2439</v>
      </c>
      <c r="B1715" t="s">
        <v>2440</v>
      </c>
      <c r="C1715" t="s">
        <v>2441</v>
      </c>
      <c r="D1715" t="s">
        <v>0</v>
      </c>
      <c r="E1715" t="s">
        <v>271</v>
      </c>
      <c r="F1715" t="s">
        <v>356</v>
      </c>
    </row>
    <row r="1716" spans="1:6" x14ac:dyDescent="0.25">
      <c r="A1716" t="s">
        <v>8681</v>
      </c>
      <c r="B1716" t="s">
        <v>8682</v>
      </c>
      <c r="C1716" t="s">
        <v>8683</v>
      </c>
      <c r="D1716" t="s">
        <v>598</v>
      </c>
      <c r="E1716" t="s">
        <v>271</v>
      </c>
      <c r="F1716" t="s">
        <v>611</v>
      </c>
    </row>
    <row r="1717" spans="1:6" x14ac:dyDescent="0.25">
      <c r="A1717" t="s">
        <v>8684</v>
      </c>
      <c r="B1717" t="s">
        <v>8685</v>
      </c>
      <c r="C1717" t="s">
        <v>8686</v>
      </c>
      <c r="D1717" t="s">
        <v>0</v>
      </c>
      <c r="E1717" t="s">
        <v>271</v>
      </c>
      <c r="F1717" t="s">
        <v>1534</v>
      </c>
    </row>
    <row r="1718" spans="1:6" x14ac:dyDescent="0.25">
      <c r="A1718" t="s">
        <v>8687</v>
      </c>
      <c r="B1718" t="s">
        <v>8688</v>
      </c>
      <c r="C1718" t="s">
        <v>2831</v>
      </c>
      <c r="D1718" t="s">
        <v>314</v>
      </c>
      <c r="E1718" t="s">
        <v>271</v>
      </c>
      <c r="F1718" t="s">
        <v>352</v>
      </c>
    </row>
    <row r="1719" spans="1:6" x14ac:dyDescent="0.25">
      <c r="A1719" t="s">
        <v>850</v>
      </c>
      <c r="B1719" t="s">
        <v>851</v>
      </c>
      <c r="C1719" t="s">
        <v>853</v>
      </c>
      <c r="D1719" t="s">
        <v>510</v>
      </c>
      <c r="E1719" t="s">
        <v>271</v>
      </c>
      <c r="F1719" t="s">
        <v>852</v>
      </c>
    </row>
    <row r="1720" spans="1:6" x14ac:dyDescent="0.25">
      <c r="A1720" t="s">
        <v>8689</v>
      </c>
      <c r="B1720" t="s">
        <v>8690</v>
      </c>
      <c r="C1720" t="s">
        <v>8691</v>
      </c>
      <c r="D1720" t="s">
        <v>0</v>
      </c>
      <c r="E1720" t="s">
        <v>271</v>
      </c>
      <c r="F1720" t="s">
        <v>1277</v>
      </c>
    </row>
    <row r="1721" spans="1:6" x14ac:dyDescent="0.25">
      <c r="A1721" t="s">
        <v>8692</v>
      </c>
      <c r="B1721" t="s">
        <v>8693</v>
      </c>
      <c r="C1721" t="s">
        <v>8694</v>
      </c>
      <c r="D1721" t="s">
        <v>239</v>
      </c>
      <c r="E1721" t="s">
        <v>271</v>
      </c>
      <c r="F1721" t="s">
        <v>544</v>
      </c>
    </row>
    <row r="1722" spans="1:6" x14ac:dyDescent="0.25">
      <c r="A1722" t="s">
        <v>8695</v>
      </c>
      <c r="B1722" t="s">
        <v>8696</v>
      </c>
      <c r="C1722" t="s">
        <v>8697</v>
      </c>
      <c r="D1722" t="s">
        <v>986</v>
      </c>
      <c r="E1722" t="s">
        <v>271</v>
      </c>
      <c r="F1722" t="s">
        <v>985</v>
      </c>
    </row>
    <row r="1723" spans="1:6" x14ac:dyDescent="0.25">
      <c r="A1723" t="s">
        <v>8698</v>
      </c>
      <c r="B1723" t="s">
        <v>8699</v>
      </c>
      <c r="C1723" t="s">
        <v>2553</v>
      </c>
      <c r="D1723" t="s">
        <v>675</v>
      </c>
      <c r="E1723" t="s">
        <v>271</v>
      </c>
      <c r="F1723" t="s">
        <v>674</v>
      </c>
    </row>
    <row r="1724" spans="1:6" x14ac:dyDescent="0.25">
      <c r="A1724" t="s">
        <v>8700</v>
      </c>
      <c r="B1724" t="s">
        <v>8701</v>
      </c>
      <c r="C1724" t="s">
        <v>8702</v>
      </c>
      <c r="D1724" t="s">
        <v>450</v>
      </c>
      <c r="E1724" t="s">
        <v>271</v>
      </c>
      <c r="F1724" t="s">
        <v>326</v>
      </c>
    </row>
    <row r="1725" spans="1:6" x14ac:dyDescent="0.25">
      <c r="A1725" t="s">
        <v>8703</v>
      </c>
      <c r="B1725" t="s">
        <v>8704</v>
      </c>
      <c r="C1725" t="s">
        <v>8705</v>
      </c>
      <c r="D1725" t="s">
        <v>566</v>
      </c>
      <c r="E1725" t="s">
        <v>271</v>
      </c>
      <c r="F1725" t="s">
        <v>567</v>
      </c>
    </row>
    <row r="1726" spans="1:6" x14ac:dyDescent="0.25">
      <c r="A1726" t="s">
        <v>3657</v>
      </c>
      <c r="B1726" t="s">
        <v>3658</v>
      </c>
      <c r="C1726" t="s">
        <v>3659</v>
      </c>
      <c r="D1726" t="s">
        <v>972</v>
      </c>
      <c r="E1726" t="s">
        <v>269</v>
      </c>
      <c r="F1726" t="s">
        <v>971</v>
      </c>
    </row>
    <row r="1727" spans="1:6" x14ac:dyDescent="0.25">
      <c r="A1727" t="s">
        <v>8706</v>
      </c>
      <c r="B1727" t="s">
        <v>8707</v>
      </c>
      <c r="C1727" t="s">
        <v>8708</v>
      </c>
      <c r="D1727" t="s">
        <v>0</v>
      </c>
      <c r="E1727" t="s">
        <v>271</v>
      </c>
      <c r="F1727" t="s">
        <v>688</v>
      </c>
    </row>
    <row r="1728" spans="1:6" x14ac:dyDescent="0.25">
      <c r="A1728" t="s">
        <v>8709</v>
      </c>
      <c r="B1728" t="s">
        <v>8710</v>
      </c>
      <c r="C1728" t="s">
        <v>8711</v>
      </c>
      <c r="D1728" t="s">
        <v>0</v>
      </c>
      <c r="E1728" t="s">
        <v>271</v>
      </c>
      <c r="F1728" t="s">
        <v>1225</v>
      </c>
    </row>
    <row r="1729" spans="1:6" x14ac:dyDescent="0.25">
      <c r="A1729" t="s">
        <v>8712</v>
      </c>
      <c r="B1729" t="s">
        <v>8713</v>
      </c>
      <c r="C1729" t="s">
        <v>8714</v>
      </c>
      <c r="D1729" t="s">
        <v>1110</v>
      </c>
      <c r="E1729" t="s">
        <v>271</v>
      </c>
      <c r="F1729" t="s">
        <v>1109</v>
      </c>
    </row>
    <row r="1730" spans="1:6" x14ac:dyDescent="0.25">
      <c r="A1730" t="s">
        <v>8715</v>
      </c>
      <c r="B1730" t="s">
        <v>8716</v>
      </c>
      <c r="C1730" t="s">
        <v>8717</v>
      </c>
      <c r="D1730" t="s">
        <v>0</v>
      </c>
      <c r="E1730" t="s">
        <v>271</v>
      </c>
      <c r="F1730" t="s">
        <v>3941</v>
      </c>
    </row>
    <row r="1731" spans="1:6" x14ac:dyDescent="0.25">
      <c r="A1731" t="s">
        <v>8718</v>
      </c>
      <c r="B1731" t="s">
        <v>8719</v>
      </c>
      <c r="C1731" t="s">
        <v>8720</v>
      </c>
      <c r="D1731" t="s">
        <v>2714</v>
      </c>
      <c r="E1731" t="s">
        <v>271</v>
      </c>
      <c r="F1731" t="s">
        <v>2713</v>
      </c>
    </row>
    <row r="1732" spans="1:6" x14ac:dyDescent="0.25">
      <c r="A1732" t="s">
        <v>8721</v>
      </c>
      <c r="B1732" t="s">
        <v>8722</v>
      </c>
      <c r="C1732" t="s">
        <v>4476</v>
      </c>
      <c r="D1732" t="s">
        <v>540</v>
      </c>
      <c r="E1732" t="s">
        <v>271</v>
      </c>
      <c r="F1732" t="s">
        <v>339</v>
      </c>
    </row>
    <row r="1733" spans="1:6" x14ac:dyDescent="0.25">
      <c r="A1733" t="s">
        <v>3714</v>
      </c>
      <c r="B1733" t="s">
        <v>3715</v>
      </c>
      <c r="C1733" t="s">
        <v>3716</v>
      </c>
      <c r="D1733" t="s">
        <v>0</v>
      </c>
      <c r="E1733" t="s">
        <v>271</v>
      </c>
      <c r="F1733" t="s">
        <v>562</v>
      </c>
    </row>
    <row r="1734" spans="1:6" x14ac:dyDescent="0.25">
      <c r="A1734" t="s">
        <v>3697</v>
      </c>
      <c r="B1734" t="s">
        <v>3698</v>
      </c>
      <c r="C1734" t="s">
        <v>2813</v>
      </c>
      <c r="D1734" t="s">
        <v>0</v>
      </c>
      <c r="E1734" t="s">
        <v>271</v>
      </c>
      <c r="F1734" t="s">
        <v>726</v>
      </c>
    </row>
    <row r="1735" spans="1:6" x14ac:dyDescent="0.25">
      <c r="A1735" t="s">
        <v>8723</v>
      </c>
      <c r="B1735" t="s">
        <v>8724</v>
      </c>
      <c r="C1735" t="s">
        <v>8725</v>
      </c>
      <c r="D1735" t="s">
        <v>232</v>
      </c>
      <c r="E1735" t="s">
        <v>271</v>
      </c>
      <c r="F1735" t="s">
        <v>329</v>
      </c>
    </row>
    <row r="1736" spans="1:6" x14ac:dyDescent="0.25">
      <c r="A1736" t="s">
        <v>8726</v>
      </c>
      <c r="B1736" t="s">
        <v>8727</v>
      </c>
      <c r="C1736" t="s">
        <v>8728</v>
      </c>
      <c r="D1736" t="s">
        <v>460</v>
      </c>
      <c r="E1736" t="s">
        <v>271</v>
      </c>
      <c r="F1736" t="s">
        <v>435</v>
      </c>
    </row>
    <row r="1737" spans="1:6" x14ac:dyDescent="0.25">
      <c r="A1737" t="s">
        <v>8729</v>
      </c>
      <c r="B1737" t="s">
        <v>8730</v>
      </c>
      <c r="C1737" t="s">
        <v>8731</v>
      </c>
      <c r="D1737" t="s">
        <v>0</v>
      </c>
      <c r="E1737" t="s">
        <v>271</v>
      </c>
      <c r="F1737" t="s">
        <v>731</v>
      </c>
    </row>
    <row r="1738" spans="1:6" x14ac:dyDescent="0.25">
      <c r="A1738" t="s">
        <v>8732</v>
      </c>
      <c r="B1738" t="s">
        <v>8733</v>
      </c>
      <c r="C1738" t="s">
        <v>8734</v>
      </c>
      <c r="D1738" t="s">
        <v>2578</v>
      </c>
      <c r="E1738" t="s">
        <v>271</v>
      </c>
      <c r="F1738" t="s">
        <v>2577</v>
      </c>
    </row>
    <row r="1739" spans="1:6" x14ac:dyDescent="0.25">
      <c r="A1739" t="s">
        <v>8735</v>
      </c>
      <c r="B1739" t="s">
        <v>8736</v>
      </c>
      <c r="C1739" t="s">
        <v>8737</v>
      </c>
      <c r="D1739" t="s">
        <v>2009</v>
      </c>
      <c r="E1739" t="s">
        <v>271</v>
      </c>
      <c r="F1739" t="s">
        <v>2008</v>
      </c>
    </row>
    <row r="1740" spans="1:6" x14ac:dyDescent="0.25">
      <c r="A1740" t="s">
        <v>8738</v>
      </c>
      <c r="B1740" t="s">
        <v>8739</v>
      </c>
      <c r="C1740" t="s">
        <v>8740</v>
      </c>
      <c r="D1740" t="s">
        <v>0</v>
      </c>
      <c r="E1740" t="s">
        <v>271</v>
      </c>
      <c r="F1740" t="s">
        <v>809</v>
      </c>
    </row>
    <row r="1741" spans="1:6" x14ac:dyDescent="0.25">
      <c r="A1741" t="s">
        <v>8741</v>
      </c>
      <c r="B1741" t="s">
        <v>8742</v>
      </c>
      <c r="C1741" t="s">
        <v>8743</v>
      </c>
      <c r="D1741" t="s">
        <v>1643</v>
      </c>
      <c r="E1741" t="s">
        <v>271</v>
      </c>
      <c r="F1741" t="s">
        <v>4416</v>
      </c>
    </row>
    <row r="1742" spans="1:6" x14ac:dyDescent="0.25">
      <c r="A1742" t="s">
        <v>8744</v>
      </c>
      <c r="B1742" t="s">
        <v>8745</v>
      </c>
      <c r="C1742" t="s">
        <v>8746</v>
      </c>
      <c r="D1742" t="s">
        <v>0</v>
      </c>
      <c r="E1742" t="s">
        <v>271</v>
      </c>
      <c r="F1742" t="s">
        <v>709</v>
      </c>
    </row>
    <row r="1743" spans="1:6" x14ac:dyDescent="0.25">
      <c r="A1743" t="s">
        <v>8747</v>
      </c>
      <c r="B1743" t="s">
        <v>8748</v>
      </c>
      <c r="C1743" t="s">
        <v>8749</v>
      </c>
      <c r="D1743" t="s">
        <v>835</v>
      </c>
      <c r="E1743" t="s">
        <v>269</v>
      </c>
      <c r="F1743" t="s">
        <v>834</v>
      </c>
    </row>
    <row r="1744" spans="1:6" x14ac:dyDescent="0.25">
      <c r="A1744" t="s">
        <v>8750</v>
      </c>
      <c r="B1744" t="s">
        <v>7353</v>
      </c>
      <c r="C1744" t="s">
        <v>8751</v>
      </c>
      <c r="D1744" t="s">
        <v>1064</v>
      </c>
      <c r="E1744" t="s">
        <v>269</v>
      </c>
      <c r="F1744" t="s">
        <v>1063</v>
      </c>
    </row>
    <row r="1745" spans="1:6" x14ac:dyDescent="0.25">
      <c r="A1745" t="s">
        <v>1818</v>
      </c>
      <c r="B1745" t="s">
        <v>1819</v>
      </c>
      <c r="C1745" t="s">
        <v>1822</v>
      </c>
      <c r="D1745" t="s">
        <v>1821</v>
      </c>
      <c r="E1745" t="s">
        <v>269</v>
      </c>
      <c r="F1745" t="s">
        <v>1820</v>
      </c>
    </row>
    <row r="1746" spans="1:6" x14ac:dyDescent="0.25">
      <c r="A1746" t="s">
        <v>8752</v>
      </c>
      <c r="B1746" t="s">
        <v>8753</v>
      </c>
      <c r="C1746" t="s">
        <v>8754</v>
      </c>
      <c r="D1746" t="s">
        <v>0</v>
      </c>
      <c r="E1746" t="s">
        <v>271</v>
      </c>
      <c r="F1746" t="s">
        <v>575</v>
      </c>
    </row>
    <row r="1747" spans="1:6" x14ac:dyDescent="0.25">
      <c r="A1747" t="s">
        <v>8755</v>
      </c>
      <c r="B1747" t="s">
        <v>8756</v>
      </c>
      <c r="C1747" t="s">
        <v>5815</v>
      </c>
      <c r="D1747" t="s">
        <v>0</v>
      </c>
      <c r="E1747" t="s">
        <v>271</v>
      </c>
      <c r="F1747" t="s">
        <v>1141</v>
      </c>
    </row>
    <row r="1748" spans="1:6" x14ac:dyDescent="0.25">
      <c r="A1748" t="s">
        <v>8757</v>
      </c>
      <c r="B1748" t="s">
        <v>8758</v>
      </c>
      <c r="C1748" t="s">
        <v>8759</v>
      </c>
      <c r="D1748" t="s">
        <v>2667</v>
      </c>
      <c r="E1748" t="s">
        <v>271</v>
      </c>
      <c r="F1748" t="s">
        <v>2666</v>
      </c>
    </row>
    <row r="1749" spans="1:6" x14ac:dyDescent="0.25">
      <c r="A1749" t="s">
        <v>3279</v>
      </c>
      <c r="B1749" t="s">
        <v>3280</v>
      </c>
      <c r="C1749" t="s">
        <v>3281</v>
      </c>
      <c r="D1749" t="s">
        <v>1370</v>
      </c>
      <c r="E1749" t="s">
        <v>271</v>
      </c>
      <c r="F1749" t="s">
        <v>1369</v>
      </c>
    </row>
    <row r="1750" spans="1:6" x14ac:dyDescent="0.25">
      <c r="A1750" t="s">
        <v>8760</v>
      </c>
      <c r="B1750" t="s">
        <v>8761</v>
      </c>
      <c r="C1750" t="s">
        <v>8762</v>
      </c>
      <c r="D1750" t="s">
        <v>616</v>
      </c>
      <c r="E1750" t="s">
        <v>271</v>
      </c>
      <c r="F1750" t="s">
        <v>333</v>
      </c>
    </row>
    <row r="1751" spans="1:6" x14ac:dyDescent="0.25">
      <c r="A1751" t="s">
        <v>8763</v>
      </c>
      <c r="B1751" t="s">
        <v>8764</v>
      </c>
      <c r="C1751" t="s">
        <v>8765</v>
      </c>
      <c r="D1751" t="s">
        <v>1019</v>
      </c>
      <c r="E1751" t="s">
        <v>271</v>
      </c>
      <c r="F1751" t="s">
        <v>1018</v>
      </c>
    </row>
    <row r="1752" spans="1:6" x14ac:dyDescent="0.25">
      <c r="A1752" t="s">
        <v>1529</v>
      </c>
      <c r="B1752" t="s">
        <v>1530</v>
      </c>
      <c r="C1752" t="s">
        <v>1531</v>
      </c>
      <c r="D1752" t="s">
        <v>0</v>
      </c>
      <c r="E1752" t="s">
        <v>271</v>
      </c>
      <c r="F1752" t="s">
        <v>658</v>
      </c>
    </row>
    <row r="1753" spans="1:6" x14ac:dyDescent="0.25">
      <c r="A1753" t="s">
        <v>8766</v>
      </c>
      <c r="B1753" t="s">
        <v>8767</v>
      </c>
      <c r="C1753" t="s">
        <v>8768</v>
      </c>
      <c r="D1753" t="s">
        <v>377</v>
      </c>
      <c r="E1753" t="s">
        <v>269</v>
      </c>
      <c r="F1753" t="s">
        <v>1786</v>
      </c>
    </row>
    <row r="1754" spans="1:6" x14ac:dyDescent="0.25">
      <c r="A1754" t="s">
        <v>2850</v>
      </c>
      <c r="B1754" t="s">
        <v>2851</v>
      </c>
      <c r="C1754" t="s">
        <v>2852</v>
      </c>
      <c r="D1754" t="s">
        <v>448</v>
      </c>
      <c r="E1754" t="s">
        <v>271</v>
      </c>
      <c r="F1754" t="s">
        <v>449</v>
      </c>
    </row>
    <row r="1755" spans="1:6" x14ac:dyDescent="0.25">
      <c r="A1755" t="s">
        <v>8769</v>
      </c>
      <c r="B1755" t="s">
        <v>8770</v>
      </c>
      <c r="C1755" t="s">
        <v>4679</v>
      </c>
      <c r="D1755" t="s">
        <v>239</v>
      </c>
      <c r="E1755" t="s">
        <v>271</v>
      </c>
      <c r="F1755" t="s">
        <v>544</v>
      </c>
    </row>
    <row r="1756" spans="1:6" x14ac:dyDescent="0.25">
      <c r="A1756" t="s">
        <v>8771</v>
      </c>
      <c r="B1756" t="s">
        <v>8772</v>
      </c>
      <c r="C1756" t="s">
        <v>8773</v>
      </c>
      <c r="D1756" t="s">
        <v>1806</v>
      </c>
      <c r="E1756" t="s">
        <v>271</v>
      </c>
      <c r="F1756" t="s">
        <v>1805</v>
      </c>
    </row>
    <row r="1757" spans="1:6" x14ac:dyDescent="0.25">
      <c r="A1757" t="s">
        <v>8774</v>
      </c>
      <c r="B1757" t="s">
        <v>8775</v>
      </c>
      <c r="C1757" t="s">
        <v>8776</v>
      </c>
      <c r="D1757" t="s">
        <v>0</v>
      </c>
      <c r="E1757" t="s">
        <v>271</v>
      </c>
      <c r="F1757" t="s">
        <v>1141</v>
      </c>
    </row>
    <row r="1758" spans="1:6" x14ac:dyDescent="0.25">
      <c r="A1758" t="s">
        <v>8777</v>
      </c>
      <c r="B1758" t="s">
        <v>8778</v>
      </c>
      <c r="C1758" t="s">
        <v>8779</v>
      </c>
      <c r="D1758" t="s">
        <v>0</v>
      </c>
      <c r="E1758" t="s">
        <v>271</v>
      </c>
      <c r="F1758" t="s">
        <v>431</v>
      </c>
    </row>
    <row r="1759" spans="1:6" x14ac:dyDescent="0.25">
      <c r="A1759" t="s">
        <v>8780</v>
      </c>
      <c r="B1759" t="s">
        <v>8781</v>
      </c>
      <c r="C1759" t="s">
        <v>5028</v>
      </c>
      <c r="D1759" t="s">
        <v>1915</v>
      </c>
      <c r="E1759" t="s">
        <v>269</v>
      </c>
      <c r="F1759" t="s">
        <v>1914</v>
      </c>
    </row>
    <row r="1760" spans="1:6" x14ac:dyDescent="0.25">
      <c r="A1760" t="s">
        <v>2372</v>
      </c>
      <c r="B1760" t="s">
        <v>2373</v>
      </c>
      <c r="C1760" t="s">
        <v>2374</v>
      </c>
      <c r="D1760" t="s">
        <v>598</v>
      </c>
      <c r="E1760" t="s">
        <v>271</v>
      </c>
      <c r="F1760" t="s">
        <v>599</v>
      </c>
    </row>
    <row r="1761" spans="1:6" x14ac:dyDescent="0.25">
      <c r="A1761" t="s">
        <v>8782</v>
      </c>
      <c r="B1761" t="s">
        <v>8783</v>
      </c>
      <c r="C1761" t="s">
        <v>8784</v>
      </c>
      <c r="D1761" t="s">
        <v>2908</v>
      </c>
      <c r="E1761" t="s">
        <v>271</v>
      </c>
      <c r="F1761" t="s">
        <v>2470</v>
      </c>
    </row>
    <row r="1762" spans="1:6" x14ac:dyDescent="0.25">
      <c r="A1762" t="s">
        <v>8785</v>
      </c>
      <c r="B1762" t="s">
        <v>8786</v>
      </c>
      <c r="C1762" t="s">
        <v>8787</v>
      </c>
      <c r="D1762" t="s">
        <v>0</v>
      </c>
      <c r="E1762" t="s">
        <v>271</v>
      </c>
      <c r="F1762" t="s">
        <v>881</v>
      </c>
    </row>
    <row r="1763" spans="1:6" x14ac:dyDescent="0.25">
      <c r="A1763" t="s">
        <v>3735</v>
      </c>
      <c r="B1763" t="s">
        <v>3736</v>
      </c>
      <c r="C1763" t="s">
        <v>3737</v>
      </c>
      <c r="D1763" t="s">
        <v>617</v>
      </c>
      <c r="E1763" t="s">
        <v>271</v>
      </c>
      <c r="F1763" t="s">
        <v>438</v>
      </c>
    </row>
    <row r="1764" spans="1:6" x14ac:dyDescent="0.25">
      <c r="A1764" t="s">
        <v>3340</v>
      </c>
      <c r="B1764" t="s">
        <v>3341</v>
      </c>
      <c r="C1764" t="s">
        <v>3344</v>
      </c>
      <c r="D1764" t="s">
        <v>3343</v>
      </c>
      <c r="E1764" t="s">
        <v>271</v>
      </c>
      <c r="F1764" t="s">
        <v>3342</v>
      </c>
    </row>
    <row r="1765" spans="1:6" x14ac:dyDescent="0.25">
      <c r="A1765" t="s">
        <v>8788</v>
      </c>
      <c r="B1765" t="s">
        <v>8789</v>
      </c>
      <c r="C1765" t="s">
        <v>8790</v>
      </c>
      <c r="D1765" t="s">
        <v>651</v>
      </c>
      <c r="E1765" t="s">
        <v>271</v>
      </c>
      <c r="F1765" t="s">
        <v>650</v>
      </c>
    </row>
    <row r="1766" spans="1:6" x14ac:dyDescent="0.25">
      <c r="A1766" t="s">
        <v>8791</v>
      </c>
      <c r="B1766" t="s">
        <v>8792</v>
      </c>
      <c r="C1766" t="s">
        <v>8793</v>
      </c>
      <c r="D1766" t="s">
        <v>0</v>
      </c>
      <c r="E1766" t="s">
        <v>271</v>
      </c>
      <c r="F1766" t="s">
        <v>575</v>
      </c>
    </row>
    <row r="1767" spans="1:6" x14ac:dyDescent="0.25">
      <c r="A1767" t="s">
        <v>8794</v>
      </c>
      <c r="B1767" t="s">
        <v>8795</v>
      </c>
      <c r="C1767" t="s">
        <v>8796</v>
      </c>
      <c r="D1767" t="s">
        <v>2637</v>
      </c>
      <c r="E1767" t="s">
        <v>271</v>
      </c>
      <c r="F1767" t="s">
        <v>2636</v>
      </c>
    </row>
    <row r="1768" spans="1:6" x14ac:dyDescent="0.25">
      <c r="A1768" t="s">
        <v>8797</v>
      </c>
      <c r="B1768" t="s">
        <v>8798</v>
      </c>
      <c r="C1768" t="s">
        <v>8799</v>
      </c>
      <c r="D1768" t="s">
        <v>0</v>
      </c>
      <c r="E1768" t="s">
        <v>271</v>
      </c>
      <c r="F1768" t="s">
        <v>436</v>
      </c>
    </row>
    <row r="1769" spans="1:6" x14ac:dyDescent="0.25">
      <c r="A1769" t="s">
        <v>8800</v>
      </c>
      <c r="B1769" t="s">
        <v>8801</v>
      </c>
      <c r="C1769" t="s">
        <v>8802</v>
      </c>
      <c r="D1769" t="s">
        <v>651</v>
      </c>
      <c r="E1769" t="s">
        <v>271</v>
      </c>
      <c r="F1769" t="s">
        <v>650</v>
      </c>
    </row>
    <row r="1770" spans="1:6" x14ac:dyDescent="0.25">
      <c r="A1770" t="s">
        <v>8803</v>
      </c>
      <c r="B1770" t="s">
        <v>8804</v>
      </c>
      <c r="C1770" t="s">
        <v>8805</v>
      </c>
      <c r="D1770" t="s">
        <v>986</v>
      </c>
      <c r="E1770" t="s">
        <v>271</v>
      </c>
      <c r="F1770" t="s">
        <v>985</v>
      </c>
    </row>
    <row r="1771" spans="1:6" x14ac:dyDescent="0.25">
      <c r="A1771" t="s">
        <v>8806</v>
      </c>
      <c r="B1771" t="s">
        <v>8807</v>
      </c>
      <c r="C1771" t="s">
        <v>8808</v>
      </c>
      <c r="D1771" t="s">
        <v>460</v>
      </c>
      <c r="E1771" t="s">
        <v>271</v>
      </c>
      <c r="F1771" t="s">
        <v>435</v>
      </c>
    </row>
    <row r="1772" spans="1:6" x14ac:dyDescent="0.25">
      <c r="A1772" t="s">
        <v>3492</v>
      </c>
      <c r="B1772" t="s">
        <v>3493</v>
      </c>
      <c r="C1772" t="s">
        <v>3494</v>
      </c>
      <c r="D1772" t="s">
        <v>0</v>
      </c>
      <c r="E1772" t="s">
        <v>271</v>
      </c>
      <c r="F1772" t="s">
        <v>881</v>
      </c>
    </row>
    <row r="1773" spans="1:6" x14ac:dyDescent="0.25">
      <c r="A1773" t="s">
        <v>8809</v>
      </c>
      <c r="B1773" t="s">
        <v>8810</v>
      </c>
      <c r="C1773" t="s">
        <v>8811</v>
      </c>
      <c r="D1773" t="s">
        <v>502</v>
      </c>
      <c r="E1773" t="s">
        <v>271</v>
      </c>
      <c r="F1773" t="s">
        <v>425</v>
      </c>
    </row>
    <row r="1774" spans="1:6" x14ac:dyDescent="0.25">
      <c r="A1774" t="s">
        <v>8812</v>
      </c>
      <c r="B1774" t="s">
        <v>8813</v>
      </c>
      <c r="C1774" t="s">
        <v>8814</v>
      </c>
      <c r="D1774" t="s">
        <v>822</v>
      </c>
      <c r="E1774" t="s">
        <v>269</v>
      </c>
      <c r="F1774" t="s">
        <v>821</v>
      </c>
    </row>
    <row r="1775" spans="1:6" x14ac:dyDescent="0.25">
      <c r="A1775" t="s">
        <v>8815</v>
      </c>
      <c r="B1775" t="s">
        <v>8816</v>
      </c>
      <c r="C1775" t="s">
        <v>8817</v>
      </c>
      <c r="D1775" t="s">
        <v>450</v>
      </c>
      <c r="E1775" t="s">
        <v>271</v>
      </c>
      <c r="F1775" t="s">
        <v>326</v>
      </c>
    </row>
    <row r="1776" spans="1:6" x14ac:dyDescent="0.25">
      <c r="A1776" t="s">
        <v>8818</v>
      </c>
      <c r="B1776" t="s">
        <v>7846</v>
      </c>
      <c r="C1776" t="s">
        <v>7847</v>
      </c>
      <c r="D1776" t="s">
        <v>498</v>
      </c>
      <c r="E1776" t="s">
        <v>271</v>
      </c>
      <c r="F1776" t="s">
        <v>926</v>
      </c>
    </row>
    <row r="1777" spans="1:6" x14ac:dyDescent="0.25">
      <c r="A1777" t="s">
        <v>8819</v>
      </c>
      <c r="B1777" t="s">
        <v>8820</v>
      </c>
      <c r="C1777" t="s">
        <v>8821</v>
      </c>
      <c r="D1777" t="s">
        <v>0</v>
      </c>
      <c r="E1777" t="s">
        <v>271</v>
      </c>
      <c r="F1777" t="s">
        <v>4437</v>
      </c>
    </row>
    <row r="1778" spans="1:6" x14ac:dyDescent="0.25">
      <c r="A1778" t="s">
        <v>8822</v>
      </c>
      <c r="B1778" t="s">
        <v>8823</v>
      </c>
      <c r="C1778" t="s">
        <v>8824</v>
      </c>
      <c r="D1778" t="s">
        <v>314</v>
      </c>
      <c r="E1778" t="s">
        <v>271</v>
      </c>
      <c r="F1778" t="s">
        <v>352</v>
      </c>
    </row>
    <row r="1779" spans="1:6" x14ac:dyDescent="0.25">
      <c r="A1779" t="s">
        <v>8825</v>
      </c>
      <c r="B1779" t="s">
        <v>8826</v>
      </c>
      <c r="C1779" t="s">
        <v>8827</v>
      </c>
      <c r="D1779" t="s">
        <v>1638</v>
      </c>
      <c r="E1779" t="s">
        <v>271</v>
      </c>
      <c r="F1779" t="s">
        <v>1637</v>
      </c>
    </row>
    <row r="1780" spans="1:6" x14ac:dyDescent="0.25">
      <c r="A1780" t="s">
        <v>8828</v>
      </c>
      <c r="B1780" t="s">
        <v>8829</v>
      </c>
      <c r="C1780" t="s">
        <v>2721</v>
      </c>
      <c r="D1780" t="s">
        <v>490</v>
      </c>
      <c r="E1780" t="s">
        <v>271</v>
      </c>
      <c r="F1780" t="s">
        <v>491</v>
      </c>
    </row>
    <row r="1781" spans="1:6" x14ac:dyDescent="0.25">
      <c r="A1781" t="s">
        <v>8830</v>
      </c>
      <c r="B1781" t="s">
        <v>8831</v>
      </c>
      <c r="C1781" t="s">
        <v>8832</v>
      </c>
      <c r="D1781" t="s">
        <v>972</v>
      </c>
      <c r="E1781" t="s">
        <v>269</v>
      </c>
      <c r="F1781" t="s">
        <v>971</v>
      </c>
    </row>
    <row r="1782" spans="1:6" x14ac:dyDescent="0.25">
      <c r="A1782" t="s">
        <v>8833</v>
      </c>
      <c r="B1782" t="s">
        <v>8834</v>
      </c>
      <c r="C1782" t="s">
        <v>8835</v>
      </c>
      <c r="D1782" t="s">
        <v>246</v>
      </c>
      <c r="E1782" t="s">
        <v>271</v>
      </c>
      <c r="F1782" t="s">
        <v>426</v>
      </c>
    </row>
    <row r="1783" spans="1:6" x14ac:dyDescent="0.25">
      <c r="A1783" t="s">
        <v>8836</v>
      </c>
      <c r="B1783" t="s">
        <v>406</v>
      </c>
      <c r="C1783" t="s">
        <v>8837</v>
      </c>
      <c r="D1783" t="s">
        <v>0</v>
      </c>
      <c r="E1783" t="s">
        <v>271</v>
      </c>
      <c r="F1783" t="s">
        <v>575</v>
      </c>
    </row>
    <row r="1784" spans="1:6" x14ac:dyDescent="0.25">
      <c r="A1784" t="s">
        <v>8838</v>
      </c>
      <c r="B1784" t="s">
        <v>8839</v>
      </c>
      <c r="C1784" t="s">
        <v>8840</v>
      </c>
      <c r="D1784" t="s">
        <v>3457</v>
      </c>
      <c r="E1784" t="s">
        <v>271</v>
      </c>
      <c r="F1784" t="s">
        <v>1432</v>
      </c>
    </row>
    <row r="1785" spans="1:6" x14ac:dyDescent="0.25">
      <c r="A1785" t="s">
        <v>8841</v>
      </c>
      <c r="B1785" t="s">
        <v>8842</v>
      </c>
      <c r="C1785" t="s">
        <v>8843</v>
      </c>
      <c r="D1785" t="s">
        <v>0</v>
      </c>
      <c r="E1785" t="s">
        <v>271</v>
      </c>
      <c r="F1785" t="s">
        <v>4402</v>
      </c>
    </row>
    <row r="1786" spans="1:6" x14ac:dyDescent="0.25">
      <c r="A1786" t="s">
        <v>1707</v>
      </c>
      <c r="B1786" t="s">
        <v>1708</v>
      </c>
      <c r="C1786" t="s">
        <v>1709</v>
      </c>
      <c r="D1786" t="s">
        <v>0</v>
      </c>
      <c r="E1786" t="s">
        <v>271</v>
      </c>
      <c r="F1786" t="s">
        <v>688</v>
      </c>
    </row>
    <row r="1787" spans="1:6" x14ac:dyDescent="0.25">
      <c r="A1787" t="s">
        <v>2600</v>
      </c>
      <c r="B1787" t="s">
        <v>2601</v>
      </c>
      <c r="C1787" t="s">
        <v>2602</v>
      </c>
      <c r="D1787" t="s">
        <v>0</v>
      </c>
      <c r="E1787" t="s">
        <v>271</v>
      </c>
      <c r="F1787" t="s">
        <v>785</v>
      </c>
    </row>
    <row r="1788" spans="1:6" x14ac:dyDescent="0.25">
      <c r="A1788" t="s">
        <v>2473</v>
      </c>
      <c r="B1788" t="s">
        <v>2474</v>
      </c>
      <c r="C1788" t="s">
        <v>2475</v>
      </c>
      <c r="D1788" t="s">
        <v>0</v>
      </c>
      <c r="E1788" t="s">
        <v>271</v>
      </c>
      <c r="F1788" t="s">
        <v>688</v>
      </c>
    </row>
    <row r="1789" spans="1:6" x14ac:dyDescent="0.25">
      <c r="A1789" t="s">
        <v>2893</v>
      </c>
      <c r="B1789" t="s">
        <v>2894</v>
      </c>
      <c r="C1789" t="s">
        <v>2895</v>
      </c>
      <c r="D1789" t="s">
        <v>237</v>
      </c>
      <c r="E1789" t="s">
        <v>271</v>
      </c>
      <c r="F1789" t="s">
        <v>427</v>
      </c>
    </row>
    <row r="1790" spans="1:6" x14ac:dyDescent="0.25">
      <c r="A1790" t="s">
        <v>8844</v>
      </c>
      <c r="B1790" t="s">
        <v>8845</v>
      </c>
      <c r="C1790" t="s">
        <v>8846</v>
      </c>
      <c r="D1790" t="s">
        <v>0</v>
      </c>
      <c r="E1790" t="s">
        <v>271</v>
      </c>
      <c r="F1790" t="s">
        <v>562</v>
      </c>
    </row>
    <row r="1791" spans="1:6" x14ac:dyDescent="0.25">
      <c r="A1791" t="s">
        <v>8847</v>
      </c>
      <c r="B1791" t="s">
        <v>8848</v>
      </c>
      <c r="C1791" t="s">
        <v>8849</v>
      </c>
      <c r="D1791" t="s">
        <v>2681</v>
      </c>
      <c r="E1791" t="s">
        <v>271</v>
      </c>
      <c r="F1791" t="s">
        <v>2680</v>
      </c>
    </row>
    <row r="1792" spans="1:6" x14ac:dyDescent="0.25">
      <c r="A1792" t="s">
        <v>763</v>
      </c>
      <c r="B1792" t="s">
        <v>764</v>
      </c>
      <c r="C1792" t="s">
        <v>766</v>
      </c>
      <c r="D1792" t="s">
        <v>0</v>
      </c>
      <c r="E1792" t="s">
        <v>271</v>
      </c>
      <c r="F1792" t="s">
        <v>436</v>
      </c>
    </row>
    <row r="1793" spans="1:6" x14ac:dyDescent="0.25">
      <c r="A1793" t="s">
        <v>2832</v>
      </c>
      <c r="B1793" t="s">
        <v>2833</v>
      </c>
      <c r="C1793" t="s">
        <v>2834</v>
      </c>
      <c r="D1793" t="s">
        <v>2692</v>
      </c>
      <c r="E1793" t="s">
        <v>269</v>
      </c>
      <c r="F1793" t="s">
        <v>2691</v>
      </c>
    </row>
    <row r="1794" spans="1:6" x14ac:dyDescent="0.25">
      <c r="A1794" t="s">
        <v>8850</v>
      </c>
      <c r="B1794" t="s">
        <v>8851</v>
      </c>
      <c r="C1794" t="s">
        <v>8852</v>
      </c>
      <c r="D1794" t="s">
        <v>0</v>
      </c>
      <c r="E1794" t="s">
        <v>271</v>
      </c>
      <c r="F1794" t="s">
        <v>325</v>
      </c>
    </row>
    <row r="1795" spans="1:6" x14ac:dyDescent="0.25">
      <c r="A1795" t="s">
        <v>8853</v>
      </c>
      <c r="B1795" t="s">
        <v>8854</v>
      </c>
      <c r="C1795" t="s">
        <v>8855</v>
      </c>
      <c r="D1795" t="s">
        <v>402</v>
      </c>
      <c r="E1795" t="s">
        <v>271</v>
      </c>
      <c r="F1795" t="s">
        <v>401</v>
      </c>
    </row>
    <row r="1796" spans="1:6" x14ac:dyDescent="0.25">
      <c r="A1796" t="s">
        <v>8856</v>
      </c>
      <c r="B1796" t="s">
        <v>8857</v>
      </c>
      <c r="C1796" t="s">
        <v>8858</v>
      </c>
      <c r="D1796" t="s">
        <v>1463</v>
      </c>
      <c r="E1796" t="s">
        <v>271</v>
      </c>
      <c r="F1796" t="s">
        <v>1225</v>
      </c>
    </row>
    <row r="1797" spans="1:6" x14ac:dyDescent="0.25">
      <c r="A1797" t="s">
        <v>8859</v>
      </c>
      <c r="B1797" t="s">
        <v>8860</v>
      </c>
      <c r="C1797" t="s">
        <v>8861</v>
      </c>
      <c r="D1797" t="s">
        <v>2009</v>
      </c>
      <c r="E1797" t="s">
        <v>271</v>
      </c>
      <c r="F1797" t="s">
        <v>2008</v>
      </c>
    </row>
    <row r="1798" spans="1:6" x14ac:dyDescent="0.25">
      <c r="A1798" t="s">
        <v>1569</v>
      </c>
      <c r="B1798" t="s">
        <v>607</v>
      </c>
      <c r="C1798" t="s">
        <v>608</v>
      </c>
      <c r="D1798" t="s">
        <v>0</v>
      </c>
      <c r="E1798" t="s">
        <v>271</v>
      </c>
      <c r="F1798" t="s">
        <v>355</v>
      </c>
    </row>
    <row r="1799" spans="1:6" x14ac:dyDescent="0.25">
      <c r="A1799" t="s">
        <v>8862</v>
      </c>
      <c r="B1799" t="s">
        <v>8863</v>
      </c>
      <c r="C1799" t="s">
        <v>7592</v>
      </c>
      <c r="D1799" t="s">
        <v>0</v>
      </c>
      <c r="E1799" t="s">
        <v>271</v>
      </c>
      <c r="F1799" t="s">
        <v>323</v>
      </c>
    </row>
    <row r="1800" spans="1:6" x14ac:dyDescent="0.25">
      <c r="A1800" t="s">
        <v>8864</v>
      </c>
      <c r="B1800" t="s">
        <v>8865</v>
      </c>
      <c r="C1800" t="s">
        <v>8866</v>
      </c>
      <c r="D1800" t="s">
        <v>0</v>
      </c>
      <c r="E1800" t="s">
        <v>271</v>
      </c>
      <c r="F1800" t="s">
        <v>688</v>
      </c>
    </row>
    <row r="1801" spans="1:6" x14ac:dyDescent="0.25">
      <c r="A1801" t="s">
        <v>8867</v>
      </c>
      <c r="B1801" t="s">
        <v>8868</v>
      </c>
      <c r="C1801" t="s">
        <v>8869</v>
      </c>
      <c r="D1801" t="s">
        <v>246</v>
      </c>
      <c r="E1801" t="s">
        <v>271</v>
      </c>
      <c r="F1801" t="s">
        <v>426</v>
      </c>
    </row>
    <row r="1802" spans="1:6" x14ac:dyDescent="0.25">
      <c r="A1802" t="s">
        <v>8870</v>
      </c>
      <c r="B1802" t="s">
        <v>8150</v>
      </c>
      <c r="C1802" t="s">
        <v>8871</v>
      </c>
      <c r="D1802" t="s">
        <v>363</v>
      </c>
      <c r="E1802" t="s">
        <v>271</v>
      </c>
      <c r="F1802" t="s">
        <v>364</v>
      </c>
    </row>
    <row r="1803" spans="1:6" x14ac:dyDescent="0.25">
      <c r="A1803" t="s">
        <v>8872</v>
      </c>
      <c r="B1803" t="s">
        <v>8873</v>
      </c>
      <c r="C1803" t="s">
        <v>8874</v>
      </c>
      <c r="D1803" t="s">
        <v>4840</v>
      </c>
      <c r="E1803" t="s">
        <v>271</v>
      </c>
      <c r="F1803" t="s">
        <v>593</v>
      </c>
    </row>
    <row r="1804" spans="1:6" x14ac:dyDescent="0.25">
      <c r="A1804" t="s">
        <v>8875</v>
      </c>
      <c r="B1804" t="s">
        <v>8876</v>
      </c>
      <c r="C1804" t="s">
        <v>8877</v>
      </c>
      <c r="D1804" t="s">
        <v>578</v>
      </c>
      <c r="E1804" t="s">
        <v>271</v>
      </c>
      <c r="F1804" t="s">
        <v>321</v>
      </c>
    </row>
    <row r="1805" spans="1:6" x14ac:dyDescent="0.25">
      <c r="A1805" t="s">
        <v>8878</v>
      </c>
      <c r="B1805" t="s">
        <v>8879</v>
      </c>
      <c r="C1805" t="s">
        <v>8880</v>
      </c>
      <c r="D1805" t="s">
        <v>1361</v>
      </c>
      <c r="E1805" t="s">
        <v>271</v>
      </c>
      <c r="F1805" t="s">
        <v>1829</v>
      </c>
    </row>
    <row r="1806" spans="1:6" x14ac:dyDescent="0.25">
      <c r="A1806" t="s">
        <v>8881</v>
      </c>
      <c r="B1806" t="s">
        <v>8882</v>
      </c>
      <c r="C1806" t="s">
        <v>8883</v>
      </c>
      <c r="D1806" t="s">
        <v>506</v>
      </c>
      <c r="E1806" t="s">
        <v>271</v>
      </c>
      <c r="F1806" t="s">
        <v>507</v>
      </c>
    </row>
    <row r="1807" spans="1:6" x14ac:dyDescent="0.25">
      <c r="A1807" t="s">
        <v>8884</v>
      </c>
      <c r="B1807" t="s">
        <v>8885</v>
      </c>
      <c r="C1807" t="s">
        <v>8886</v>
      </c>
      <c r="D1807" t="s">
        <v>0</v>
      </c>
      <c r="E1807" t="s">
        <v>271</v>
      </c>
      <c r="F1807" t="s">
        <v>1115</v>
      </c>
    </row>
    <row r="1808" spans="1:6" x14ac:dyDescent="0.25">
      <c r="A1808" t="s">
        <v>8887</v>
      </c>
      <c r="B1808" t="s">
        <v>8888</v>
      </c>
      <c r="C1808" t="s">
        <v>8889</v>
      </c>
      <c r="D1808" t="s">
        <v>295</v>
      </c>
      <c r="E1808" t="s">
        <v>271</v>
      </c>
      <c r="F1808" t="s">
        <v>294</v>
      </c>
    </row>
    <row r="1809" spans="1:6" x14ac:dyDescent="0.25">
      <c r="A1809" t="s">
        <v>3027</v>
      </c>
      <c r="B1809" t="s">
        <v>3028</v>
      </c>
      <c r="C1809" t="s">
        <v>3029</v>
      </c>
      <c r="D1809" t="s">
        <v>345</v>
      </c>
      <c r="E1809" t="s">
        <v>269</v>
      </c>
      <c r="F1809" t="s">
        <v>684</v>
      </c>
    </row>
    <row r="1810" spans="1:6" x14ac:dyDescent="0.25">
      <c r="A1810" t="s">
        <v>8890</v>
      </c>
      <c r="B1810" t="s">
        <v>8891</v>
      </c>
      <c r="C1810" t="s">
        <v>8892</v>
      </c>
      <c r="D1810" t="s">
        <v>314</v>
      </c>
      <c r="E1810" t="s">
        <v>271</v>
      </c>
      <c r="F1810" t="s">
        <v>370</v>
      </c>
    </row>
    <row r="1811" spans="1:6" x14ac:dyDescent="0.25">
      <c r="A1811" t="s">
        <v>8893</v>
      </c>
      <c r="B1811" t="s">
        <v>8894</v>
      </c>
      <c r="C1811" t="s">
        <v>2281</v>
      </c>
      <c r="D1811" t="s">
        <v>0</v>
      </c>
      <c r="E1811" t="s">
        <v>271</v>
      </c>
      <c r="F1811" t="s">
        <v>1534</v>
      </c>
    </row>
    <row r="1812" spans="1:6" x14ac:dyDescent="0.25">
      <c r="A1812" t="s">
        <v>8895</v>
      </c>
      <c r="B1812" t="s">
        <v>8896</v>
      </c>
      <c r="C1812" t="s">
        <v>8897</v>
      </c>
      <c r="D1812" t="s">
        <v>1548</v>
      </c>
      <c r="E1812" t="s">
        <v>271</v>
      </c>
      <c r="F1812" t="s">
        <v>1547</v>
      </c>
    </row>
    <row r="1813" spans="1:6" x14ac:dyDescent="0.25">
      <c r="A1813" t="s">
        <v>8898</v>
      </c>
      <c r="B1813" t="s">
        <v>8899</v>
      </c>
      <c r="C1813" t="s">
        <v>8900</v>
      </c>
      <c r="D1813" t="s">
        <v>2714</v>
      </c>
      <c r="E1813" t="s">
        <v>271</v>
      </c>
      <c r="F1813" t="s">
        <v>2713</v>
      </c>
    </row>
    <row r="1814" spans="1:6" x14ac:dyDescent="0.25">
      <c r="A1814" t="s">
        <v>3440</v>
      </c>
      <c r="B1814" t="s">
        <v>3441</v>
      </c>
      <c r="C1814" t="s">
        <v>3442</v>
      </c>
      <c r="D1814" t="s">
        <v>498</v>
      </c>
      <c r="E1814" t="s">
        <v>271</v>
      </c>
      <c r="F1814" t="s">
        <v>926</v>
      </c>
    </row>
    <row r="1815" spans="1:6" x14ac:dyDescent="0.25">
      <c r="A1815" t="s">
        <v>2011</v>
      </c>
      <c r="B1815" t="s">
        <v>2012</v>
      </c>
      <c r="C1815" t="s">
        <v>2013</v>
      </c>
      <c r="D1815" t="s">
        <v>986</v>
      </c>
      <c r="E1815" t="s">
        <v>271</v>
      </c>
      <c r="F1815" t="s">
        <v>985</v>
      </c>
    </row>
    <row r="1816" spans="1:6" x14ac:dyDescent="0.25">
      <c r="A1816" t="s">
        <v>8901</v>
      </c>
      <c r="B1816" t="s">
        <v>8902</v>
      </c>
      <c r="C1816" t="s">
        <v>8903</v>
      </c>
      <c r="D1816" t="s">
        <v>830</v>
      </c>
      <c r="E1816" t="s">
        <v>271</v>
      </c>
      <c r="F1816" t="s">
        <v>829</v>
      </c>
    </row>
    <row r="1817" spans="1:6" x14ac:dyDescent="0.25">
      <c r="A1817" t="s">
        <v>8904</v>
      </c>
      <c r="B1817" t="s">
        <v>8905</v>
      </c>
      <c r="C1817" t="s">
        <v>8906</v>
      </c>
      <c r="D1817" t="s">
        <v>566</v>
      </c>
      <c r="E1817" t="s">
        <v>271</v>
      </c>
      <c r="F1817" t="s">
        <v>567</v>
      </c>
    </row>
    <row r="1818" spans="1:6" x14ac:dyDescent="0.25">
      <c r="A1818" t="s">
        <v>8907</v>
      </c>
      <c r="B1818" t="s">
        <v>8908</v>
      </c>
      <c r="C1818" t="s">
        <v>8909</v>
      </c>
      <c r="D1818" t="s">
        <v>519</v>
      </c>
      <c r="E1818" t="s">
        <v>271</v>
      </c>
      <c r="F1818" t="s">
        <v>324</v>
      </c>
    </row>
    <row r="1819" spans="1:6" x14ac:dyDescent="0.25">
      <c r="A1819" t="s">
        <v>3413</v>
      </c>
      <c r="B1819" t="s">
        <v>3414</v>
      </c>
      <c r="C1819" t="s">
        <v>3415</v>
      </c>
      <c r="D1819" t="s">
        <v>0</v>
      </c>
      <c r="E1819" t="s">
        <v>271</v>
      </c>
      <c r="F1819" t="s">
        <v>323</v>
      </c>
    </row>
    <row r="1820" spans="1:6" x14ac:dyDescent="0.25">
      <c r="A1820" t="s">
        <v>1815</v>
      </c>
      <c r="B1820" t="s">
        <v>1816</v>
      </c>
      <c r="C1820" t="s">
        <v>1817</v>
      </c>
      <c r="D1820" t="s">
        <v>1064</v>
      </c>
      <c r="E1820" t="s">
        <v>269</v>
      </c>
      <c r="F1820" t="s">
        <v>1063</v>
      </c>
    </row>
    <row r="1821" spans="1:6" x14ac:dyDescent="0.25">
      <c r="A1821" t="s">
        <v>8910</v>
      </c>
      <c r="B1821" t="s">
        <v>8911</v>
      </c>
      <c r="C1821" t="s">
        <v>4310</v>
      </c>
      <c r="D1821" t="s">
        <v>1186</v>
      </c>
      <c r="E1821" t="s">
        <v>271</v>
      </c>
      <c r="F1821" t="s">
        <v>1185</v>
      </c>
    </row>
    <row r="1822" spans="1:6" x14ac:dyDescent="0.25">
      <c r="A1822" t="s">
        <v>8912</v>
      </c>
      <c r="B1822" t="s">
        <v>8913</v>
      </c>
      <c r="C1822" t="s">
        <v>8914</v>
      </c>
      <c r="D1822" t="s">
        <v>0</v>
      </c>
      <c r="E1822" t="s">
        <v>271</v>
      </c>
      <c r="F1822" t="s">
        <v>319</v>
      </c>
    </row>
    <row r="1823" spans="1:6" x14ac:dyDescent="0.25">
      <c r="A1823" t="s">
        <v>8915</v>
      </c>
      <c r="B1823" t="s">
        <v>8916</v>
      </c>
      <c r="C1823" t="s">
        <v>8917</v>
      </c>
      <c r="D1823" t="s">
        <v>312</v>
      </c>
      <c r="E1823" t="s">
        <v>271</v>
      </c>
      <c r="F1823" t="s">
        <v>311</v>
      </c>
    </row>
    <row r="1824" spans="1:6" x14ac:dyDescent="0.25">
      <c r="A1824" t="s">
        <v>8918</v>
      </c>
      <c r="B1824" t="s">
        <v>8919</v>
      </c>
      <c r="C1824" t="s">
        <v>8920</v>
      </c>
      <c r="D1824" t="s">
        <v>461</v>
      </c>
      <c r="E1824" t="s">
        <v>271</v>
      </c>
      <c r="F1824" t="s">
        <v>336</v>
      </c>
    </row>
    <row r="1825" spans="1:6" x14ac:dyDescent="0.25">
      <c r="A1825" t="s">
        <v>8921</v>
      </c>
      <c r="B1825" t="s">
        <v>8922</v>
      </c>
      <c r="C1825" t="s">
        <v>8923</v>
      </c>
      <c r="D1825" t="s">
        <v>1361</v>
      </c>
      <c r="E1825" t="s">
        <v>271</v>
      </c>
      <c r="F1825" t="s">
        <v>1360</v>
      </c>
    </row>
    <row r="1826" spans="1:6" x14ac:dyDescent="0.25">
      <c r="A1826" t="s">
        <v>8924</v>
      </c>
      <c r="B1826" t="s">
        <v>8925</v>
      </c>
      <c r="C1826" t="s">
        <v>8926</v>
      </c>
      <c r="D1826" t="s">
        <v>492</v>
      </c>
      <c r="E1826" t="s">
        <v>271</v>
      </c>
      <c r="F1826" t="s">
        <v>493</v>
      </c>
    </row>
    <row r="1827" spans="1:6" x14ac:dyDescent="0.25">
      <c r="A1827" t="s">
        <v>8927</v>
      </c>
      <c r="B1827" t="s">
        <v>8928</v>
      </c>
      <c r="C1827" t="s">
        <v>8929</v>
      </c>
      <c r="D1827" t="s">
        <v>2578</v>
      </c>
      <c r="E1827" t="s">
        <v>271</v>
      </c>
      <c r="F1827" t="s">
        <v>2577</v>
      </c>
    </row>
    <row r="1828" spans="1:6" x14ac:dyDescent="0.25">
      <c r="A1828" t="s">
        <v>8930</v>
      </c>
      <c r="B1828" t="s">
        <v>8931</v>
      </c>
      <c r="C1828" t="s">
        <v>8932</v>
      </c>
      <c r="D1828" t="s">
        <v>0</v>
      </c>
      <c r="E1828" t="s">
        <v>271</v>
      </c>
      <c r="F1828" t="s">
        <v>325</v>
      </c>
    </row>
    <row r="1829" spans="1:6" x14ac:dyDescent="0.25">
      <c r="A1829" t="s">
        <v>8933</v>
      </c>
      <c r="B1829" t="s">
        <v>8934</v>
      </c>
      <c r="C1829" t="s">
        <v>8935</v>
      </c>
      <c r="D1829" t="s">
        <v>1165</v>
      </c>
      <c r="E1829" t="s">
        <v>271</v>
      </c>
      <c r="F1829" t="s">
        <v>1402</v>
      </c>
    </row>
    <row r="1830" spans="1:6" x14ac:dyDescent="0.25">
      <c r="A1830" t="s">
        <v>8936</v>
      </c>
      <c r="B1830" t="s">
        <v>8937</v>
      </c>
      <c r="C1830" t="s">
        <v>8938</v>
      </c>
      <c r="D1830" t="s">
        <v>519</v>
      </c>
      <c r="E1830" t="s">
        <v>271</v>
      </c>
      <c r="F1830" t="s">
        <v>1878</v>
      </c>
    </row>
    <row r="1831" spans="1:6" x14ac:dyDescent="0.25">
      <c r="A1831" t="s">
        <v>3334</v>
      </c>
      <c r="B1831" t="s">
        <v>3335</v>
      </c>
      <c r="C1831" t="s">
        <v>3336</v>
      </c>
      <c r="D1831" t="s">
        <v>578</v>
      </c>
      <c r="E1831" t="s">
        <v>271</v>
      </c>
      <c r="F1831" t="s">
        <v>321</v>
      </c>
    </row>
    <row r="1832" spans="1:6" x14ac:dyDescent="0.25">
      <c r="A1832" t="s">
        <v>8939</v>
      </c>
      <c r="B1832" t="s">
        <v>8940</v>
      </c>
      <c r="C1832" t="s">
        <v>5793</v>
      </c>
      <c r="D1832" t="s">
        <v>1806</v>
      </c>
      <c r="E1832" t="s">
        <v>271</v>
      </c>
      <c r="F1832" t="s">
        <v>1805</v>
      </c>
    </row>
    <row r="1833" spans="1:6" x14ac:dyDescent="0.25">
      <c r="A1833" t="s">
        <v>8941</v>
      </c>
      <c r="B1833" t="s">
        <v>8942</v>
      </c>
      <c r="C1833" t="s">
        <v>8943</v>
      </c>
      <c r="D1833" t="s">
        <v>0</v>
      </c>
      <c r="E1833" t="s">
        <v>271</v>
      </c>
      <c r="F1833" t="s">
        <v>562</v>
      </c>
    </row>
    <row r="1834" spans="1:6" x14ac:dyDescent="0.25">
      <c r="A1834" t="s">
        <v>8944</v>
      </c>
      <c r="B1834" t="s">
        <v>8945</v>
      </c>
      <c r="C1834" t="s">
        <v>8946</v>
      </c>
      <c r="D1834" t="s">
        <v>0</v>
      </c>
      <c r="E1834" t="s">
        <v>271</v>
      </c>
      <c r="F1834" t="s">
        <v>562</v>
      </c>
    </row>
    <row r="1835" spans="1:6" x14ac:dyDescent="0.25">
      <c r="A1835" t="s">
        <v>8947</v>
      </c>
      <c r="B1835" t="s">
        <v>8948</v>
      </c>
      <c r="C1835" t="s">
        <v>8949</v>
      </c>
      <c r="D1835" t="s">
        <v>0</v>
      </c>
      <c r="E1835" t="s">
        <v>271</v>
      </c>
      <c r="F1835" t="s">
        <v>2641</v>
      </c>
    </row>
    <row r="1836" spans="1:6" x14ac:dyDescent="0.25">
      <c r="A1836" t="s">
        <v>8950</v>
      </c>
      <c r="B1836" t="s">
        <v>8951</v>
      </c>
      <c r="C1836" t="s">
        <v>8952</v>
      </c>
      <c r="D1836" t="s">
        <v>0</v>
      </c>
      <c r="E1836" t="s">
        <v>271</v>
      </c>
      <c r="F1836" t="s">
        <v>575</v>
      </c>
    </row>
    <row r="1837" spans="1:6" x14ac:dyDescent="0.25">
      <c r="A1837" t="s">
        <v>8953</v>
      </c>
      <c r="B1837" t="s">
        <v>8954</v>
      </c>
      <c r="C1837" t="s">
        <v>8955</v>
      </c>
      <c r="D1837" t="s">
        <v>0</v>
      </c>
      <c r="E1837" t="s">
        <v>271</v>
      </c>
      <c r="F1837" t="s">
        <v>1321</v>
      </c>
    </row>
    <row r="1838" spans="1:6" x14ac:dyDescent="0.25">
      <c r="A1838" t="s">
        <v>8956</v>
      </c>
      <c r="B1838" t="s">
        <v>8957</v>
      </c>
      <c r="C1838" t="s">
        <v>1181</v>
      </c>
      <c r="D1838" t="s">
        <v>0</v>
      </c>
      <c r="E1838" t="s">
        <v>271</v>
      </c>
      <c r="F1838" t="s">
        <v>1180</v>
      </c>
    </row>
    <row r="1839" spans="1:6" x14ac:dyDescent="0.25">
      <c r="A1839" t="s">
        <v>8958</v>
      </c>
      <c r="B1839" t="s">
        <v>8959</v>
      </c>
      <c r="C1839" t="s">
        <v>8960</v>
      </c>
      <c r="D1839" t="s">
        <v>0</v>
      </c>
      <c r="E1839" t="s">
        <v>271</v>
      </c>
      <c r="F1839" t="s">
        <v>1321</v>
      </c>
    </row>
    <row r="1840" spans="1:6" x14ac:dyDescent="0.25">
      <c r="A1840" t="s">
        <v>8961</v>
      </c>
      <c r="B1840" t="s">
        <v>8962</v>
      </c>
      <c r="C1840" t="s">
        <v>8963</v>
      </c>
      <c r="D1840" t="s">
        <v>312</v>
      </c>
      <c r="E1840" t="s">
        <v>271</v>
      </c>
      <c r="F1840" t="s">
        <v>311</v>
      </c>
    </row>
    <row r="1841" spans="1:6" x14ac:dyDescent="0.25">
      <c r="A1841" t="s">
        <v>8964</v>
      </c>
      <c r="B1841" t="s">
        <v>8965</v>
      </c>
      <c r="C1841" t="s">
        <v>8966</v>
      </c>
      <c r="D1841" t="s">
        <v>314</v>
      </c>
      <c r="E1841" t="s">
        <v>271</v>
      </c>
      <c r="F1841" t="s">
        <v>3081</v>
      </c>
    </row>
    <row r="1842" spans="1:6" x14ac:dyDescent="0.25">
      <c r="A1842" t="s">
        <v>8967</v>
      </c>
      <c r="B1842" t="s">
        <v>8968</v>
      </c>
      <c r="C1842" t="s">
        <v>8969</v>
      </c>
      <c r="D1842" t="s">
        <v>0</v>
      </c>
      <c r="E1842" t="s">
        <v>271</v>
      </c>
      <c r="F1842" t="s">
        <v>325</v>
      </c>
    </row>
    <row r="1843" spans="1:6" x14ac:dyDescent="0.25">
      <c r="A1843" t="s">
        <v>3121</v>
      </c>
      <c r="B1843" t="s">
        <v>3122</v>
      </c>
      <c r="C1843" t="s">
        <v>3123</v>
      </c>
      <c r="D1843" t="s">
        <v>2714</v>
      </c>
      <c r="E1843" t="s">
        <v>271</v>
      </c>
      <c r="F1843" t="s">
        <v>2713</v>
      </c>
    </row>
    <row r="1844" spans="1:6" x14ac:dyDescent="0.25">
      <c r="A1844" t="s">
        <v>1991</v>
      </c>
      <c r="B1844" t="s">
        <v>1992</v>
      </c>
      <c r="C1844" t="s">
        <v>1993</v>
      </c>
      <c r="D1844" t="s">
        <v>1806</v>
      </c>
      <c r="E1844" t="s">
        <v>271</v>
      </c>
      <c r="F1844" t="s">
        <v>1805</v>
      </c>
    </row>
    <row r="1845" spans="1:6" x14ac:dyDescent="0.25">
      <c r="A1845" t="s">
        <v>8970</v>
      </c>
      <c r="B1845" t="s">
        <v>8971</v>
      </c>
      <c r="C1845" t="s">
        <v>8972</v>
      </c>
      <c r="D1845" t="s">
        <v>0</v>
      </c>
      <c r="E1845" t="s">
        <v>271</v>
      </c>
      <c r="F1845" t="s">
        <v>325</v>
      </c>
    </row>
    <row r="1846" spans="1:6" x14ac:dyDescent="0.25">
      <c r="A1846" t="s">
        <v>8973</v>
      </c>
      <c r="B1846" t="s">
        <v>8974</v>
      </c>
      <c r="C1846" t="s">
        <v>8975</v>
      </c>
      <c r="D1846" t="s">
        <v>616</v>
      </c>
      <c r="E1846" t="s">
        <v>271</v>
      </c>
      <c r="F1846" t="s">
        <v>1102</v>
      </c>
    </row>
    <row r="1847" spans="1:6" x14ac:dyDescent="0.25">
      <c r="A1847" t="s">
        <v>8976</v>
      </c>
      <c r="B1847" t="s">
        <v>8977</v>
      </c>
      <c r="C1847" t="s">
        <v>8978</v>
      </c>
      <c r="D1847" t="s">
        <v>0</v>
      </c>
      <c r="E1847" t="s">
        <v>271</v>
      </c>
      <c r="F1847" t="s">
        <v>1148</v>
      </c>
    </row>
    <row r="1848" spans="1:6" x14ac:dyDescent="0.25">
      <c r="A1848" t="s">
        <v>8979</v>
      </c>
      <c r="B1848" t="s">
        <v>8980</v>
      </c>
      <c r="C1848" t="s">
        <v>8981</v>
      </c>
      <c r="D1848" t="s">
        <v>0</v>
      </c>
      <c r="E1848" t="s">
        <v>271</v>
      </c>
      <c r="F1848" t="s">
        <v>1141</v>
      </c>
    </row>
    <row r="1849" spans="1:6" x14ac:dyDescent="0.25">
      <c r="A1849" t="s">
        <v>8982</v>
      </c>
      <c r="B1849" t="s">
        <v>8983</v>
      </c>
      <c r="C1849" t="s">
        <v>6312</v>
      </c>
      <c r="D1849" t="s">
        <v>3668</v>
      </c>
      <c r="E1849" t="s">
        <v>271</v>
      </c>
      <c r="F1849" t="s">
        <v>844</v>
      </c>
    </row>
    <row r="1850" spans="1:6" x14ac:dyDescent="0.25">
      <c r="A1850" t="s">
        <v>8984</v>
      </c>
      <c r="B1850" t="s">
        <v>8985</v>
      </c>
      <c r="C1850" t="s">
        <v>8986</v>
      </c>
      <c r="D1850" t="s">
        <v>490</v>
      </c>
      <c r="E1850" t="s">
        <v>271</v>
      </c>
      <c r="F1850" t="s">
        <v>491</v>
      </c>
    </row>
    <row r="1851" spans="1:6" x14ac:dyDescent="0.25">
      <c r="A1851" t="s">
        <v>8987</v>
      </c>
      <c r="B1851" t="s">
        <v>8988</v>
      </c>
      <c r="C1851" t="s">
        <v>8989</v>
      </c>
      <c r="D1851" t="s">
        <v>0</v>
      </c>
      <c r="E1851" t="s">
        <v>271</v>
      </c>
      <c r="F1851" t="s">
        <v>2377</v>
      </c>
    </row>
    <row r="1852" spans="1:6" x14ac:dyDescent="0.25">
      <c r="A1852" t="s">
        <v>8990</v>
      </c>
      <c r="B1852" t="s">
        <v>8991</v>
      </c>
      <c r="C1852" t="s">
        <v>8992</v>
      </c>
      <c r="D1852" t="s">
        <v>1413</v>
      </c>
      <c r="E1852" t="s">
        <v>271</v>
      </c>
      <c r="F1852" t="s">
        <v>1412</v>
      </c>
    </row>
    <row r="1853" spans="1:6" x14ac:dyDescent="0.25">
      <c r="A1853" t="s">
        <v>1323</v>
      </c>
      <c r="B1853" t="s">
        <v>1324</v>
      </c>
      <c r="C1853" t="s">
        <v>1327</v>
      </c>
      <c r="D1853" t="s">
        <v>1326</v>
      </c>
      <c r="E1853" t="s">
        <v>271</v>
      </c>
      <c r="F1853" t="s">
        <v>1325</v>
      </c>
    </row>
    <row r="1854" spans="1:6" x14ac:dyDescent="0.25">
      <c r="A1854" t="s">
        <v>8993</v>
      </c>
      <c r="B1854" t="s">
        <v>346</v>
      </c>
      <c r="C1854" t="s">
        <v>8994</v>
      </c>
      <c r="D1854" t="s">
        <v>361</v>
      </c>
      <c r="E1854" t="s">
        <v>271</v>
      </c>
      <c r="F1854" t="s">
        <v>1563</v>
      </c>
    </row>
    <row r="1855" spans="1:6" x14ac:dyDescent="0.25">
      <c r="A1855" t="s">
        <v>8995</v>
      </c>
      <c r="B1855" t="s">
        <v>8996</v>
      </c>
      <c r="C1855" t="s">
        <v>8997</v>
      </c>
      <c r="D1855" t="s">
        <v>314</v>
      </c>
      <c r="E1855" t="s">
        <v>271</v>
      </c>
      <c r="F1855" t="s">
        <v>352</v>
      </c>
    </row>
    <row r="1856" spans="1:6" x14ac:dyDescent="0.25">
      <c r="A1856" t="s">
        <v>8998</v>
      </c>
      <c r="B1856" t="s">
        <v>8999</v>
      </c>
      <c r="C1856" t="s">
        <v>9000</v>
      </c>
      <c r="D1856" t="s">
        <v>0</v>
      </c>
      <c r="E1856" t="s">
        <v>271</v>
      </c>
      <c r="F1856" t="s">
        <v>323</v>
      </c>
    </row>
    <row r="1857" spans="1:6" x14ac:dyDescent="0.25">
      <c r="A1857" t="s">
        <v>9001</v>
      </c>
      <c r="B1857" t="s">
        <v>9002</v>
      </c>
      <c r="C1857" t="s">
        <v>9003</v>
      </c>
      <c r="D1857" t="s">
        <v>0</v>
      </c>
      <c r="E1857" t="s">
        <v>271</v>
      </c>
      <c r="F1857" t="s">
        <v>1225</v>
      </c>
    </row>
    <row r="1858" spans="1:6" x14ac:dyDescent="0.25">
      <c r="A1858" t="s">
        <v>9004</v>
      </c>
      <c r="B1858" t="s">
        <v>9005</v>
      </c>
      <c r="C1858" t="s">
        <v>9006</v>
      </c>
      <c r="D1858" t="s">
        <v>0</v>
      </c>
      <c r="E1858" t="s">
        <v>271</v>
      </c>
      <c r="F1858" t="s">
        <v>1148</v>
      </c>
    </row>
    <row r="1859" spans="1:6" x14ac:dyDescent="0.25">
      <c r="A1859" t="s">
        <v>2202</v>
      </c>
      <c r="B1859" t="s">
        <v>2203</v>
      </c>
      <c r="C1859" t="s">
        <v>2206</v>
      </c>
      <c r="D1859" t="s">
        <v>2205</v>
      </c>
      <c r="E1859" t="s">
        <v>269</v>
      </c>
      <c r="F1859" t="s">
        <v>2204</v>
      </c>
    </row>
    <row r="1860" spans="1:6" x14ac:dyDescent="0.25">
      <c r="A1860" t="s">
        <v>9007</v>
      </c>
      <c r="B1860" t="s">
        <v>9008</v>
      </c>
      <c r="C1860" t="s">
        <v>9009</v>
      </c>
      <c r="D1860" t="s">
        <v>1490</v>
      </c>
      <c r="E1860" t="s">
        <v>271</v>
      </c>
      <c r="F1860" t="s">
        <v>816</v>
      </c>
    </row>
    <row r="1861" spans="1:6" x14ac:dyDescent="0.25">
      <c r="A1861" t="s">
        <v>9010</v>
      </c>
      <c r="B1861" t="s">
        <v>9011</v>
      </c>
      <c r="C1861" t="s">
        <v>9012</v>
      </c>
      <c r="D1861" t="s">
        <v>384</v>
      </c>
      <c r="E1861" t="s">
        <v>341</v>
      </c>
      <c r="F1861" t="s">
        <v>383</v>
      </c>
    </row>
    <row r="1862" spans="1:6" x14ac:dyDescent="0.25">
      <c r="A1862" t="s">
        <v>9013</v>
      </c>
      <c r="B1862" t="s">
        <v>9014</v>
      </c>
      <c r="C1862" t="s">
        <v>9015</v>
      </c>
      <c r="D1862" t="s">
        <v>488</v>
      </c>
      <c r="E1862" t="s">
        <v>271</v>
      </c>
      <c r="F1862" t="s">
        <v>2447</v>
      </c>
    </row>
    <row r="1863" spans="1:6" x14ac:dyDescent="0.25">
      <c r="A1863" t="s">
        <v>9016</v>
      </c>
      <c r="B1863" t="s">
        <v>9017</v>
      </c>
      <c r="C1863" t="s">
        <v>9018</v>
      </c>
      <c r="D1863" t="s">
        <v>0</v>
      </c>
      <c r="E1863" t="s">
        <v>271</v>
      </c>
      <c r="F1863" t="s">
        <v>436</v>
      </c>
    </row>
    <row r="1864" spans="1:6" x14ac:dyDescent="0.25">
      <c r="A1864" t="s">
        <v>9019</v>
      </c>
      <c r="B1864" t="s">
        <v>9020</v>
      </c>
      <c r="C1864" t="s">
        <v>9021</v>
      </c>
      <c r="D1864" t="s">
        <v>0</v>
      </c>
      <c r="E1864" t="s">
        <v>271</v>
      </c>
      <c r="F1864" t="s">
        <v>356</v>
      </c>
    </row>
    <row r="1865" spans="1:6" x14ac:dyDescent="0.25">
      <c r="A1865" t="s">
        <v>9022</v>
      </c>
      <c r="B1865" t="s">
        <v>9023</v>
      </c>
      <c r="C1865" t="s">
        <v>9024</v>
      </c>
      <c r="D1865" t="s">
        <v>0</v>
      </c>
      <c r="E1865" t="s">
        <v>271</v>
      </c>
      <c r="F1865" t="s">
        <v>319</v>
      </c>
    </row>
    <row r="1866" spans="1:6" x14ac:dyDescent="0.25">
      <c r="A1866" t="s">
        <v>9025</v>
      </c>
      <c r="B1866" t="s">
        <v>9026</v>
      </c>
      <c r="C1866" t="s">
        <v>9027</v>
      </c>
      <c r="D1866" t="s">
        <v>0</v>
      </c>
      <c r="E1866" t="s">
        <v>271</v>
      </c>
      <c r="F1866" t="s">
        <v>1321</v>
      </c>
    </row>
    <row r="1867" spans="1:6" x14ac:dyDescent="0.25">
      <c r="A1867" t="s">
        <v>2841</v>
      </c>
      <c r="B1867" t="s">
        <v>2842</v>
      </c>
      <c r="C1867" t="s">
        <v>2843</v>
      </c>
      <c r="D1867" t="s">
        <v>1137</v>
      </c>
      <c r="E1867" t="s">
        <v>269</v>
      </c>
      <c r="F1867" t="s">
        <v>1136</v>
      </c>
    </row>
    <row r="1868" spans="1:6" x14ac:dyDescent="0.25">
      <c r="A1868" t="s">
        <v>9028</v>
      </c>
      <c r="B1868" t="s">
        <v>9029</v>
      </c>
      <c r="C1868" t="s">
        <v>9030</v>
      </c>
      <c r="D1868" t="s">
        <v>9031</v>
      </c>
      <c r="E1868" t="s">
        <v>271</v>
      </c>
      <c r="F1868" t="s">
        <v>1523</v>
      </c>
    </row>
    <row r="1869" spans="1:6" x14ac:dyDescent="0.25">
      <c r="A1869" t="s">
        <v>9032</v>
      </c>
      <c r="B1869" t="s">
        <v>9033</v>
      </c>
      <c r="C1869" t="s">
        <v>9034</v>
      </c>
      <c r="D1869" t="s">
        <v>298</v>
      </c>
      <c r="E1869" t="s">
        <v>271</v>
      </c>
      <c r="F1869" t="s">
        <v>297</v>
      </c>
    </row>
    <row r="1870" spans="1:6" x14ac:dyDescent="0.25">
      <c r="A1870" t="s">
        <v>9035</v>
      </c>
      <c r="B1870" t="s">
        <v>9036</v>
      </c>
      <c r="C1870" t="s">
        <v>9037</v>
      </c>
      <c r="D1870" t="s">
        <v>357</v>
      </c>
      <c r="E1870" t="s">
        <v>271</v>
      </c>
      <c r="F1870" t="s">
        <v>358</v>
      </c>
    </row>
    <row r="1871" spans="1:6" x14ac:dyDescent="0.25">
      <c r="A1871" t="s">
        <v>9038</v>
      </c>
      <c r="B1871" t="s">
        <v>9039</v>
      </c>
      <c r="C1871" t="s">
        <v>9040</v>
      </c>
      <c r="D1871" t="s">
        <v>0</v>
      </c>
      <c r="E1871" t="s">
        <v>271</v>
      </c>
      <c r="F1871" t="s">
        <v>319</v>
      </c>
    </row>
    <row r="1872" spans="1:6" x14ac:dyDescent="0.25">
      <c r="A1872" t="s">
        <v>9041</v>
      </c>
      <c r="B1872" t="s">
        <v>9042</v>
      </c>
      <c r="C1872" t="s">
        <v>9043</v>
      </c>
      <c r="D1872" t="s">
        <v>1137</v>
      </c>
      <c r="E1872" t="s">
        <v>269</v>
      </c>
      <c r="F1872" t="s">
        <v>1136</v>
      </c>
    </row>
    <row r="1873" spans="1:6" x14ac:dyDescent="0.25">
      <c r="A1873" t="s">
        <v>9044</v>
      </c>
      <c r="B1873" t="s">
        <v>9045</v>
      </c>
      <c r="C1873" t="s">
        <v>5542</v>
      </c>
      <c r="D1873" t="s">
        <v>239</v>
      </c>
      <c r="E1873" t="s">
        <v>271</v>
      </c>
      <c r="F1873" t="s">
        <v>544</v>
      </c>
    </row>
    <row r="1874" spans="1:6" x14ac:dyDescent="0.25">
      <c r="A1874" t="s">
        <v>1583</v>
      </c>
      <c r="B1874" t="s">
        <v>1584</v>
      </c>
      <c r="C1874" t="s">
        <v>1585</v>
      </c>
      <c r="D1874" t="s">
        <v>1485</v>
      </c>
      <c r="E1874" t="s">
        <v>271</v>
      </c>
      <c r="F1874" t="s">
        <v>1519</v>
      </c>
    </row>
    <row r="1875" spans="1:6" x14ac:dyDescent="0.25">
      <c r="A1875" t="s">
        <v>9046</v>
      </c>
      <c r="B1875" t="s">
        <v>9047</v>
      </c>
      <c r="C1875" t="s">
        <v>9048</v>
      </c>
      <c r="D1875" t="s">
        <v>0</v>
      </c>
      <c r="E1875" t="s">
        <v>271</v>
      </c>
      <c r="F1875" t="s">
        <v>1534</v>
      </c>
    </row>
    <row r="1876" spans="1:6" x14ac:dyDescent="0.25">
      <c r="A1876" t="s">
        <v>9049</v>
      </c>
      <c r="B1876" t="s">
        <v>9050</v>
      </c>
      <c r="C1876" t="s">
        <v>9051</v>
      </c>
      <c r="D1876" t="s">
        <v>1137</v>
      </c>
      <c r="E1876" t="s">
        <v>269</v>
      </c>
      <c r="F1876" t="s">
        <v>1136</v>
      </c>
    </row>
    <row r="1877" spans="1:6" x14ac:dyDescent="0.25">
      <c r="A1877" t="s">
        <v>9052</v>
      </c>
      <c r="B1877" t="s">
        <v>9053</v>
      </c>
      <c r="C1877" t="s">
        <v>9054</v>
      </c>
      <c r="D1877" t="s">
        <v>1958</v>
      </c>
      <c r="E1877" t="s">
        <v>271</v>
      </c>
      <c r="F1877" t="s">
        <v>1957</v>
      </c>
    </row>
    <row r="1878" spans="1:6" x14ac:dyDescent="0.25">
      <c r="A1878" t="s">
        <v>9055</v>
      </c>
      <c r="B1878" t="s">
        <v>9056</v>
      </c>
      <c r="C1878" t="s">
        <v>4617</v>
      </c>
      <c r="D1878" t="s">
        <v>817</v>
      </c>
      <c r="E1878" t="s">
        <v>271</v>
      </c>
      <c r="F1878" t="s">
        <v>816</v>
      </c>
    </row>
    <row r="1879" spans="1:6" x14ac:dyDescent="0.25">
      <c r="A1879" t="s">
        <v>9057</v>
      </c>
      <c r="B1879" t="s">
        <v>7846</v>
      </c>
      <c r="C1879" t="s">
        <v>7847</v>
      </c>
      <c r="D1879" t="s">
        <v>498</v>
      </c>
      <c r="E1879" t="s">
        <v>271</v>
      </c>
      <c r="F1879" t="s">
        <v>926</v>
      </c>
    </row>
    <row r="1880" spans="1:6" x14ac:dyDescent="0.25">
      <c r="A1880" t="s">
        <v>9058</v>
      </c>
      <c r="B1880" t="s">
        <v>9059</v>
      </c>
      <c r="C1880" t="s">
        <v>9060</v>
      </c>
      <c r="D1880" t="s">
        <v>444</v>
      </c>
      <c r="E1880" t="s">
        <v>271</v>
      </c>
      <c r="F1880" t="s">
        <v>1270</v>
      </c>
    </row>
    <row r="1881" spans="1:6" x14ac:dyDescent="0.25">
      <c r="A1881" t="s">
        <v>9061</v>
      </c>
      <c r="B1881" t="s">
        <v>9062</v>
      </c>
      <c r="C1881" t="s">
        <v>9063</v>
      </c>
      <c r="D1881" t="s">
        <v>793</v>
      </c>
      <c r="E1881" t="s">
        <v>271</v>
      </c>
      <c r="F1881" t="s">
        <v>792</v>
      </c>
    </row>
    <row r="1882" spans="1:6" x14ac:dyDescent="0.25">
      <c r="A1882" t="s">
        <v>1223</v>
      </c>
      <c r="B1882" t="s">
        <v>1224</v>
      </c>
      <c r="C1882" t="s">
        <v>1226</v>
      </c>
      <c r="D1882" t="s">
        <v>0</v>
      </c>
      <c r="E1882" t="s">
        <v>271</v>
      </c>
      <c r="F1882" t="s">
        <v>1225</v>
      </c>
    </row>
    <row r="1883" spans="1:6" x14ac:dyDescent="0.25">
      <c r="A1883" t="s">
        <v>2325</v>
      </c>
      <c r="B1883" t="s">
        <v>2326</v>
      </c>
      <c r="C1883" t="s">
        <v>2327</v>
      </c>
      <c r="D1883" t="s">
        <v>835</v>
      </c>
      <c r="E1883" t="s">
        <v>269</v>
      </c>
      <c r="F1883" t="s">
        <v>834</v>
      </c>
    </row>
    <row r="1884" spans="1:6" x14ac:dyDescent="0.25">
      <c r="A1884" t="s">
        <v>9064</v>
      </c>
      <c r="B1884" t="s">
        <v>9065</v>
      </c>
      <c r="C1884" t="s">
        <v>9066</v>
      </c>
      <c r="D1884" t="s">
        <v>793</v>
      </c>
      <c r="E1884" t="s">
        <v>271</v>
      </c>
      <c r="F1884" t="s">
        <v>860</v>
      </c>
    </row>
    <row r="1885" spans="1:6" x14ac:dyDescent="0.25">
      <c r="A1885" t="s">
        <v>1799</v>
      </c>
      <c r="B1885" t="s">
        <v>1800</v>
      </c>
      <c r="C1885" t="s">
        <v>1802</v>
      </c>
      <c r="D1885" t="s">
        <v>510</v>
      </c>
      <c r="E1885" t="s">
        <v>271</v>
      </c>
      <c r="F1885" t="s">
        <v>437</v>
      </c>
    </row>
    <row r="1886" spans="1:6" x14ac:dyDescent="0.25">
      <c r="A1886" t="s">
        <v>9067</v>
      </c>
      <c r="B1886" t="s">
        <v>9068</v>
      </c>
      <c r="C1886" t="s">
        <v>9069</v>
      </c>
      <c r="D1886" t="s">
        <v>3343</v>
      </c>
      <c r="E1886" t="s">
        <v>271</v>
      </c>
      <c r="F1886" t="s">
        <v>3342</v>
      </c>
    </row>
    <row r="1887" spans="1:6" x14ac:dyDescent="0.25">
      <c r="A1887" t="s">
        <v>9070</v>
      </c>
      <c r="B1887" t="s">
        <v>9071</v>
      </c>
      <c r="C1887" t="s">
        <v>7592</v>
      </c>
      <c r="D1887" t="s">
        <v>0</v>
      </c>
      <c r="E1887" t="s">
        <v>271</v>
      </c>
      <c r="F1887" t="s">
        <v>323</v>
      </c>
    </row>
    <row r="1888" spans="1:6" x14ac:dyDescent="0.25">
      <c r="A1888" t="s">
        <v>9072</v>
      </c>
      <c r="B1888" t="s">
        <v>9073</v>
      </c>
      <c r="C1888" t="s">
        <v>9074</v>
      </c>
      <c r="D1888" t="s">
        <v>0</v>
      </c>
      <c r="E1888" t="s">
        <v>271</v>
      </c>
      <c r="F1888" t="s">
        <v>323</v>
      </c>
    </row>
    <row r="1889" spans="1:6" x14ac:dyDescent="0.25">
      <c r="A1889" t="s">
        <v>9075</v>
      </c>
      <c r="B1889" t="s">
        <v>9076</v>
      </c>
      <c r="C1889" t="s">
        <v>9077</v>
      </c>
      <c r="D1889" t="s">
        <v>0</v>
      </c>
      <c r="E1889" t="s">
        <v>271</v>
      </c>
      <c r="F1889" t="s">
        <v>356</v>
      </c>
    </row>
    <row r="1890" spans="1:6" x14ac:dyDescent="0.25">
      <c r="A1890" t="s">
        <v>9078</v>
      </c>
      <c r="B1890" t="s">
        <v>5147</v>
      </c>
      <c r="C1890" t="s">
        <v>9079</v>
      </c>
      <c r="D1890" t="s">
        <v>6005</v>
      </c>
      <c r="E1890" t="s">
        <v>271</v>
      </c>
      <c r="F1890" t="s">
        <v>4399</v>
      </c>
    </row>
    <row r="1891" spans="1:6" x14ac:dyDescent="0.25">
      <c r="A1891" t="s">
        <v>9080</v>
      </c>
      <c r="B1891" t="s">
        <v>9081</v>
      </c>
      <c r="C1891" t="s">
        <v>9082</v>
      </c>
      <c r="D1891" t="s">
        <v>288</v>
      </c>
      <c r="E1891" t="s">
        <v>271</v>
      </c>
      <c r="F1891" t="s">
        <v>4408</v>
      </c>
    </row>
    <row r="1892" spans="1:6" x14ac:dyDescent="0.25">
      <c r="A1892" t="s">
        <v>9083</v>
      </c>
      <c r="B1892" t="s">
        <v>9084</v>
      </c>
      <c r="C1892" t="s">
        <v>9085</v>
      </c>
      <c r="D1892" t="s">
        <v>830</v>
      </c>
      <c r="E1892" t="s">
        <v>271</v>
      </c>
      <c r="F1892" t="s">
        <v>829</v>
      </c>
    </row>
    <row r="1893" spans="1:6" x14ac:dyDescent="0.25">
      <c r="A1893" t="s">
        <v>9086</v>
      </c>
      <c r="B1893" t="s">
        <v>9087</v>
      </c>
      <c r="C1893" t="s">
        <v>9088</v>
      </c>
      <c r="D1893" t="s">
        <v>7898</v>
      </c>
      <c r="E1893" t="s">
        <v>271</v>
      </c>
      <c r="F1893" t="s">
        <v>4434</v>
      </c>
    </row>
    <row r="1894" spans="1:6" x14ac:dyDescent="0.25">
      <c r="A1894" t="s">
        <v>9089</v>
      </c>
      <c r="B1894" t="s">
        <v>9090</v>
      </c>
      <c r="C1894" t="s">
        <v>9091</v>
      </c>
      <c r="D1894" t="s">
        <v>0</v>
      </c>
      <c r="E1894" t="s">
        <v>271</v>
      </c>
      <c r="F1894" t="s">
        <v>432</v>
      </c>
    </row>
    <row r="1895" spans="1:6" x14ac:dyDescent="0.25">
      <c r="A1895" t="s">
        <v>9092</v>
      </c>
      <c r="B1895" t="s">
        <v>9093</v>
      </c>
      <c r="C1895" t="s">
        <v>9094</v>
      </c>
      <c r="D1895" t="s">
        <v>0</v>
      </c>
      <c r="E1895" t="s">
        <v>271</v>
      </c>
      <c r="F1895" t="s">
        <v>1148</v>
      </c>
    </row>
    <row r="1896" spans="1:6" x14ac:dyDescent="0.25">
      <c r="A1896" t="s">
        <v>1162</v>
      </c>
      <c r="B1896" t="s">
        <v>1163</v>
      </c>
      <c r="C1896" t="s">
        <v>1166</v>
      </c>
      <c r="D1896" t="s">
        <v>1165</v>
      </c>
      <c r="E1896" t="s">
        <v>271</v>
      </c>
      <c r="F1896" t="s">
        <v>1164</v>
      </c>
    </row>
    <row r="1897" spans="1:6" x14ac:dyDescent="0.25">
      <c r="A1897" t="s">
        <v>9095</v>
      </c>
      <c r="B1897" t="s">
        <v>9096</v>
      </c>
      <c r="C1897" t="s">
        <v>9097</v>
      </c>
      <c r="D1897" t="s">
        <v>1665</v>
      </c>
      <c r="E1897" t="s">
        <v>271</v>
      </c>
      <c r="F1897" t="s">
        <v>1664</v>
      </c>
    </row>
    <row r="1898" spans="1:6" x14ac:dyDescent="0.25">
      <c r="A1898" t="s">
        <v>9098</v>
      </c>
      <c r="B1898" t="s">
        <v>9099</v>
      </c>
      <c r="C1898" t="s">
        <v>9100</v>
      </c>
      <c r="D1898" t="s">
        <v>0</v>
      </c>
      <c r="E1898" t="s">
        <v>271</v>
      </c>
      <c r="F1898" t="s">
        <v>731</v>
      </c>
    </row>
    <row r="1899" spans="1:6" x14ac:dyDescent="0.25">
      <c r="A1899" t="s">
        <v>9101</v>
      </c>
      <c r="B1899" t="s">
        <v>9102</v>
      </c>
      <c r="C1899" t="s">
        <v>9103</v>
      </c>
      <c r="D1899" t="s">
        <v>461</v>
      </c>
      <c r="E1899" t="s">
        <v>271</v>
      </c>
      <c r="F1899" t="s">
        <v>336</v>
      </c>
    </row>
    <row r="1900" spans="1:6" x14ac:dyDescent="0.25">
      <c r="A1900" t="s">
        <v>9104</v>
      </c>
      <c r="B1900" t="s">
        <v>577</v>
      </c>
      <c r="C1900" t="s">
        <v>9105</v>
      </c>
      <c r="D1900" t="s">
        <v>1210</v>
      </c>
      <c r="E1900" t="s">
        <v>271</v>
      </c>
      <c r="F1900" t="s">
        <v>2115</v>
      </c>
    </row>
    <row r="1901" spans="1:6" x14ac:dyDescent="0.25">
      <c r="A1901" t="s">
        <v>9106</v>
      </c>
      <c r="B1901" t="s">
        <v>9107</v>
      </c>
      <c r="C1901" t="s">
        <v>9108</v>
      </c>
      <c r="D1901" t="s">
        <v>450</v>
      </c>
      <c r="E1901" t="s">
        <v>271</v>
      </c>
      <c r="F1901" t="s">
        <v>326</v>
      </c>
    </row>
    <row r="1902" spans="1:6" x14ac:dyDescent="0.25">
      <c r="A1902" t="s">
        <v>9109</v>
      </c>
      <c r="B1902" t="s">
        <v>9110</v>
      </c>
      <c r="C1902" t="s">
        <v>9111</v>
      </c>
      <c r="D1902" t="s">
        <v>0</v>
      </c>
      <c r="E1902" t="s">
        <v>271</v>
      </c>
      <c r="F1902" t="s">
        <v>3652</v>
      </c>
    </row>
    <row r="1903" spans="1:6" x14ac:dyDescent="0.25">
      <c r="A1903" t="s">
        <v>9112</v>
      </c>
      <c r="B1903" t="s">
        <v>9113</v>
      </c>
      <c r="C1903" t="s">
        <v>9114</v>
      </c>
      <c r="D1903" t="s">
        <v>0</v>
      </c>
      <c r="E1903" t="s">
        <v>271</v>
      </c>
      <c r="F1903" t="s">
        <v>325</v>
      </c>
    </row>
    <row r="1904" spans="1:6" x14ac:dyDescent="0.25">
      <c r="A1904" t="s">
        <v>9115</v>
      </c>
      <c r="B1904" t="s">
        <v>9116</v>
      </c>
      <c r="C1904" t="s">
        <v>9117</v>
      </c>
      <c r="D1904" t="s">
        <v>718</v>
      </c>
      <c r="E1904" t="s">
        <v>271</v>
      </c>
      <c r="F1904" t="s">
        <v>333</v>
      </c>
    </row>
    <row r="1905" spans="1:6" x14ac:dyDescent="0.25">
      <c r="A1905" t="s">
        <v>3619</v>
      </c>
      <c r="B1905" t="s">
        <v>3620</v>
      </c>
      <c r="C1905" t="s">
        <v>3621</v>
      </c>
      <c r="D1905" t="s">
        <v>239</v>
      </c>
      <c r="E1905" t="s">
        <v>271</v>
      </c>
      <c r="F1905" t="s">
        <v>544</v>
      </c>
    </row>
    <row r="1906" spans="1:6" x14ac:dyDescent="0.25">
      <c r="A1906" t="s">
        <v>9118</v>
      </c>
      <c r="B1906" t="s">
        <v>9119</v>
      </c>
      <c r="C1906" t="s">
        <v>9120</v>
      </c>
      <c r="D1906" t="s">
        <v>7627</v>
      </c>
      <c r="E1906" t="s">
        <v>269</v>
      </c>
      <c r="F1906" t="s">
        <v>7628</v>
      </c>
    </row>
    <row r="1907" spans="1:6" x14ac:dyDescent="0.25">
      <c r="A1907" t="s">
        <v>9121</v>
      </c>
      <c r="B1907" t="s">
        <v>9122</v>
      </c>
      <c r="C1907" t="s">
        <v>9123</v>
      </c>
      <c r="D1907" t="s">
        <v>9124</v>
      </c>
      <c r="E1907" t="s">
        <v>271</v>
      </c>
      <c r="F1907" t="s">
        <v>4406</v>
      </c>
    </row>
    <row r="1908" spans="1:6" x14ac:dyDescent="0.25">
      <c r="A1908" t="s">
        <v>9125</v>
      </c>
      <c r="B1908" t="s">
        <v>9126</v>
      </c>
      <c r="C1908" t="s">
        <v>9127</v>
      </c>
      <c r="D1908" t="s">
        <v>1874</v>
      </c>
      <c r="E1908" t="s">
        <v>271</v>
      </c>
      <c r="F1908" t="s">
        <v>1873</v>
      </c>
    </row>
    <row r="1909" spans="1:6" x14ac:dyDescent="0.25">
      <c r="A1909" t="s">
        <v>9128</v>
      </c>
      <c r="B1909" t="s">
        <v>5181</v>
      </c>
      <c r="C1909" t="s">
        <v>8408</v>
      </c>
      <c r="D1909" t="s">
        <v>0</v>
      </c>
      <c r="E1909" t="s">
        <v>271</v>
      </c>
      <c r="F1909" t="s">
        <v>431</v>
      </c>
    </row>
    <row r="1910" spans="1:6" x14ac:dyDescent="0.25">
      <c r="A1910" t="s">
        <v>1400</v>
      </c>
      <c r="B1910" t="s">
        <v>1401</v>
      </c>
      <c r="C1910" t="s">
        <v>1403</v>
      </c>
      <c r="D1910" t="s">
        <v>1165</v>
      </c>
      <c r="E1910" t="s">
        <v>271</v>
      </c>
      <c r="F1910" t="s">
        <v>1402</v>
      </c>
    </row>
    <row r="1911" spans="1:6" x14ac:dyDescent="0.25">
      <c r="A1911" t="s">
        <v>9129</v>
      </c>
      <c r="B1911" t="s">
        <v>9130</v>
      </c>
      <c r="C1911" t="s">
        <v>9131</v>
      </c>
      <c r="D1911" t="s">
        <v>9132</v>
      </c>
      <c r="E1911" t="s">
        <v>271</v>
      </c>
      <c r="F1911" t="s">
        <v>844</v>
      </c>
    </row>
    <row r="1912" spans="1:6" x14ac:dyDescent="0.25">
      <c r="A1912" t="s">
        <v>1784</v>
      </c>
      <c r="B1912" t="s">
        <v>1785</v>
      </c>
      <c r="C1912" t="s">
        <v>1787</v>
      </c>
      <c r="D1912" t="s">
        <v>377</v>
      </c>
      <c r="E1912" t="s">
        <v>269</v>
      </c>
      <c r="F1912" t="s">
        <v>1786</v>
      </c>
    </row>
    <row r="1913" spans="1:6" x14ac:dyDescent="0.25">
      <c r="A1913" t="s">
        <v>9133</v>
      </c>
      <c r="B1913" t="s">
        <v>9134</v>
      </c>
      <c r="C1913" t="s">
        <v>9135</v>
      </c>
      <c r="D1913" t="s">
        <v>5591</v>
      </c>
      <c r="E1913" t="s">
        <v>269</v>
      </c>
      <c r="F1913" t="s">
        <v>1742</v>
      </c>
    </row>
    <row r="1914" spans="1:6" x14ac:dyDescent="0.25">
      <c r="A1914" t="s">
        <v>9136</v>
      </c>
      <c r="B1914" t="s">
        <v>9137</v>
      </c>
      <c r="C1914" t="s">
        <v>9138</v>
      </c>
      <c r="D1914" t="s">
        <v>492</v>
      </c>
      <c r="E1914" t="s">
        <v>271</v>
      </c>
      <c r="F1914" t="s">
        <v>493</v>
      </c>
    </row>
    <row r="1915" spans="1:6" x14ac:dyDescent="0.25">
      <c r="A1915" t="s">
        <v>3114</v>
      </c>
      <c r="B1915" t="s">
        <v>3115</v>
      </c>
      <c r="C1915" t="s">
        <v>3117</v>
      </c>
      <c r="D1915" t="s">
        <v>3116</v>
      </c>
      <c r="E1915" t="s">
        <v>271</v>
      </c>
      <c r="F1915" t="s">
        <v>428</v>
      </c>
    </row>
    <row r="1916" spans="1:6" x14ac:dyDescent="0.25">
      <c r="A1916" t="s">
        <v>9139</v>
      </c>
      <c r="B1916" t="s">
        <v>9140</v>
      </c>
      <c r="C1916" t="s">
        <v>9141</v>
      </c>
      <c r="D1916" t="s">
        <v>1239</v>
      </c>
      <c r="E1916" t="s">
        <v>271</v>
      </c>
      <c r="F1916" t="s">
        <v>1238</v>
      </c>
    </row>
    <row r="1917" spans="1:6" x14ac:dyDescent="0.25">
      <c r="A1917" t="s">
        <v>9142</v>
      </c>
      <c r="B1917" t="s">
        <v>9143</v>
      </c>
      <c r="C1917" t="s">
        <v>9144</v>
      </c>
      <c r="D1917" t="s">
        <v>0</v>
      </c>
      <c r="E1917" t="s">
        <v>271</v>
      </c>
      <c r="F1917" t="s">
        <v>1141</v>
      </c>
    </row>
    <row r="1918" spans="1:6" x14ac:dyDescent="0.25">
      <c r="A1918" t="s">
        <v>9145</v>
      </c>
      <c r="B1918" t="s">
        <v>9146</v>
      </c>
      <c r="C1918" t="s">
        <v>9147</v>
      </c>
      <c r="D1918" t="s">
        <v>0</v>
      </c>
      <c r="E1918" t="s">
        <v>271</v>
      </c>
      <c r="F1918" t="s">
        <v>4387</v>
      </c>
    </row>
    <row r="1919" spans="1:6" x14ac:dyDescent="0.25">
      <c r="A1919" t="s">
        <v>9148</v>
      </c>
      <c r="B1919" t="s">
        <v>9149</v>
      </c>
      <c r="C1919" t="s">
        <v>9150</v>
      </c>
      <c r="D1919" t="s">
        <v>0</v>
      </c>
      <c r="E1919" t="s">
        <v>271</v>
      </c>
      <c r="F1919" t="s">
        <v>4402</v>
      </c>
    </row>
    <row r="1920" spans="1:6" x14ac:dyDescent="0.25">
      <c r="A1920" t="s">
        <v>2859</v>
      </c>
      <c r="B1920" t="s">
        <v>2860</v>
      </c>
      <c r="C1920" t="s">
        <v>2861</v>
      </c>
      <c r="D1920" t="s">
        <v>1490</v>
      </c>
      <c r="E1920" t="s">
        <v>271</v>
      </c>
      <c r="F1920" t="s">
        <v>816</v>
      </c>
    </row>
    <row r="1921" spans="1:6" x14ac:dyDescent="0.25">
      <c r="A1921" t="s">
        <v>9151</v>
      </c>
      <c r="B1921" t="s">
        <v>9152</v>
      </c>
      <c r="C1921" t="s">
        <v>5210</v>
      </c>
      <c r="D1921" t="s">
        <v>540</v>
      </c>
      <c r="E1921" t="s">
        <v>271</v>
      </c>
      <c r="F1921" t="s">
        <v>339</v>
      </c>
    </row>
    <row r="1922" spans="1:6" x14ac:dyDescent="0.25">
      <c r="A1922" t="s">
        <v>9153</v>
      </c>
      <c r="B1922" t="s">
        <v>9154</v>
      </c>
      <c r="C1922" t="s">
        <v>9155</v>
      </c>
      <c r="D1922" t="s">
        <v>2488</v>
      </c>
      <c r="E1922" t="s">
        <v>269</v>
      </c>
      <c r="F1922" t="s">
        <v>4396</v>
      </c>
    </row>
    <row r="1923" spans="1:6" x14ac:dyDescent="0.25">
      <c r="A1923" t="s">
        <v>9156</v>
      </c>
      <c r="B1923" t="s">
        <v>9157</v>
      </c>
      <c r="C1923" t="s">
        <v>9158</v>
      </c>
      <c r="D1923" t="s">
        <v>4106</v>
      </c>
      <c r="E1923" t="s">
        <v>269</v>
      </c>
      <c r="F1923" t="s">
        <v>4105</v>
      </c>
    </row>
    <row r="1924" spans="1:6" x14ac:dyDescent="0.25">
      <c r="A1924" t="s">
        <v>9159</v>
      </c>
      <c r="B1924" t="s">
        <v>9160</v>
      </c>
      <c r="C1924" t="s">
        <v>9161</v>
      </c>
      <c r="D1924" t="s">
        <v>0</v>
      </c>
      <c r="E1924" t="s">
        <v>271</v>
      </c>
      <c r="F1924" t="s">
        <v>356</v>
      </c>
    </row>
    <row r="1925" spans="1:6" x14ac:dyDescent="0.25">
      <c r="A1925" t="s">
        <v>9162</v>
      </c>
      <c r="B1925" t="s">
        <v>9163</v>
      </c>
      <c r="C1925" t="s">
        <v>9164</v>
      </c>
      <c r="D1925" t="s">
        <v>1370</v>
      </c>
      <c r="E1925" t="s">
        <v>271</v>
      </c>
      <c r="F1925" t="s">
        <v>1369</v>
      </c>
    </row>
    <row r="1926" spans="1:6" x14ac:dyDescent="0.25">
      <c r="A1926" t="s">
        <v>9165</v>
      </c>
      <c r="B1926" t="s">
        <v>9166</v>
      </c>
      <c r="C1926" t="s">
        <v>9167</v>
      </c>
      <c r="D1926" t="s">
        <v>402</v>
      </c>
      <c r="E1926" t="s">
        <v>271</v>
      </c>
      <c r="F1926" t="s">
        <v>401</v>
      </c>
    </row>
    <row r="1927" spans="1:6" x14ac:dyDescent="0.25">
      <c r="A1927" t="s">
        <v>9168</v>
      </c>
      <c r="B1927" t="s">
        <v>9169</v>
      </c>
      <c r="C1927" t="s">
        <v>9170</v>
      </c>
      <c r="D1927" t="s">
        <v>1915</v>
      </c>
      <c r="E1927" t="s">
        <v>269</v>
      </c>
      <c r="F1927" t="s">
        <v>1914</v>
      </c>
    </row>
    <row r="1928" spans="1:6" x14ac:dyDescent="0.25">
      <c r="A1928" t="s">
        <v>9171</v>
      </c>
      <c r="B1928" t="s">
        <v>9172</v>
      </c>
      <c r="C1928" t="s">
        <v>9173</v>
      </c>
      <c r="D1928" t="s">
        <v>361</v>
      </c>
      <c r="E1928" t="s">
        <v>271</v>
      </c>
      <c r="F1928" t="s">
        <v>582</v>
      </c>
    </row>
    <row r="1929" spans="1:6" x14ac:dyDescent="0.25">
      <c r="A1929" t="s">
        <v>9174</v>
      </c>
      <c r="B1929" t="s">
        <v>9175</v>
      </c>
      <c r="C1929" t="s">
        <v>9176</v>
      </c>
      <c r="D1929" t="s">
        <v>598</v>
      </c>
      <c r="E1929" t="s">
        <v>271</v>
      </c>
      <c r="F1929" t="s">
        <v>599</v>
      </c>
    </row>
    <row r="1930" spans="1:6" x14ac:dyDescent="0.25">
      <c r="A1930" t="s">
        <v>9177</v>
      </c>
      <c r="B1930" t="s">
        <v>9178</v>
      </c>
      <c r="C1930" t="s">
        <v>9179</v>
      </c>
      <c r="D1930" t="s">
        <v>0</v>
      </c>
      <c r="E1930" t="s">
        <v>271</v>
      </c>
      <c r="F1930" t="s">
        <v>1321</v>
      </c>
    </row>
    <row r="1931" spans="1:6" x14ac:dyDescent="0.25">
      <c r="A1931" t="s">
        <v>9180</v>
      </c>
      <c r="B1931" t="s">
        <v>9181</v>
      </c>
      <c r="C1931" t="s">
        <v>9182</v>
      </c>
      <c r="D1931" t="s">
        <v>1524</v>
      </c>
      <c r="E1931" t="s">
        <v>271</v>
      </c>
      <c r="F1931" t="s">
        <v>1523</v>
      </c>
    </row>
    <row r="1932" spans="1:6" x14ac:dyDescent="0.25">
      <c r="A1932" t="s">
        <v>9183</v>
      </c>
      <c r="B1932" t="s">
        <v>9184</v>
      </c>
      <c r="C1932" t="s">
        <v>9185</v>
      </c>
      <c r="D1932" t="s">
        <v>1303</v>
      </c>
      <c r="E1932" t="s">
        <v>269</v>
      </c>
      <c r="F1932" t="s">
        <v>1302</v>
      </c>
    </row>
    <row r="1933" spans="1:6" x14ac:dyDescent="0.25">
      <c r="A1933" t="s">
        <v>9186</v>
      </c>
      <c r="B1933" t="s">
        <v>9187</v>
      </c>
      <c r="C1933" t="s">
        <v>9188</v>
      </c>
      <c r="D1933" t="s">
        <v>1915</v>
      </c>
      <c r="E1933" t="s">
        <v>269</v>
      </c>
      <c r="F1933" t="s">
        <v>1914</v>
      </c>
    </row>
    <row r="1934" spans="1:6" x14ac:dyDescent="0.25">
      <c r="A1934" t="s">
        <v>9189</v>
      </c>
      <c r="B1934" t="s">
        <v>9190</v>
      </c>
      <c r="C1934" t="s">
        <v>9191</v>
      </c>
      <c r="D1934" t="s">
        <v>503</v>
      </c>
      <c r="E1934" t="s">
        <v>271</v>
      </c>
      <c r="F1934" t="s">
        <v>504</v>
      </c>
    </row>
    <row r="1935" spans="1:6" x14ac:dyDescent="0.25">
      <c r="A1935" t="s">
        <v>9192</v>
      </c>
      <c r="B1935" t="s">
        <v>9193</v>
      </c>
      <c r="C1935" t="s">
        <v>9194</v>
      </c>
      <c r="D1935" t="s">
        <v>453</v>
      </c>
      <c r="E1935" t="s">
        <v>271</v>
      </c>
      <c r="F1935" t="s">
        <v>454</v>
      </c>
    </row>
    <row r="1936" spans="1:6" x14ac:dyDescent="0.25">
      <c r="A1936" t="s">
        <v>9195</v>
      </c>
      <c r="B1936" t="s">
        <v>9196</v>
      </c>
      <c r="C1936" t="s">
        <v>9197</v>
      </c>
      <c r="D1936" t="s">
        <v>0</v>
      </c>
      <c r="E1936" t="s">
        <v>271</v>
      </c>
      <c r="F1936" t="s">
        <v>881</v>
      </c>
    </row>
    <row r="1937" spans="1:6" x14ac:dyDescent="0.25">
      <c r="A1937" t="s">
        <v>9198</v>
      </c>
      <c r="B1937" t="s">
        <v>9199</v>
      </c>
      <c r="C1937" t="s">
        <v>9200</v>
      </c>
      <c r="D1937" t="s">
        <v>817</v>
      </c>
      <c r="E1937" t="s">
        <v>271</v>
      </c>
      <c r="F1937" t="s">
        <v>816</v>
      </c>
    </row>
    <row r="1938" spans="1:6" x14ac:dyDescent="0.25">
      <c r="A1938" t="s">
        <v>9201</v>
      </c>
      <c r="B1938" t="s">
        <v>9202</v>
      </c>
      <c r="C1938" t="s">
        <v>9203</v>
      </c>
      <c r="D1938" t="s">
        <v>9204</v>
      </c>
      <c r="E1938" t="s">
        <v>269</v>
      </c>
      <c r="F1938" t="s">
        <v>9205</v>
      </c>
    </row>
    <row r="1939" spans="1:6" x14ac:dyDescent="0.25">
      <c r="A1939" t="s">
        <v>9206</v>
      </c>
      <c r="B1939" t="s">
        <v>9207</v>
      </c>
      <c r="C1939" t="s">
        <v>9208</v>
      </c>
      <c r="D1939" t="s">
        <v>1542</v>
      </c>
      <c r="E1939" t="s">
        <v>269</v>
      </c>
      <c r="F1939" t="s">
        <v>1541</v>
      </c>
    </row>
    <row r="1940" spans="1:6" x14ac:dyDescent="0.25">
      <c r="A1940" t="s">
        <v>9209</v>
      </c>
      <c r="B1940" t="s">
        <v>2064</v>
      </c>
      <c r="C1940" t="s">
        <v>9210</v>
      </c>
      <c r="D1940" t="s">
        <v>314</v>
      </c>
      <c r="E1940" t="s">
        <v>271</v>
      </c>
      <c r="F1940" t="s">
        <v>352</v>
      </c>
    </row>
    <row r="1941" spans="1:6" x14ac:dyDescent="0.25">
      <c r="A1941" t="s">
        <v>9211</v>
      </c>
      <c r="B1941" t="s">
        <v>9212</v>
      </c>
      <c r="C1941" t="s">
        <v>9213</v>
      </c>
      <c r="D1941" t="s">
        <v>1601</v>
      </c>
      <c r="E1941" t="s">
        <v>269</v>
      </c>
      <c r="F1941" t="s">
        <v>1600</v>
      </c>
    </row>
    <row r="1942" spans="1:6" x14ac:dyDescent="0.25">
      <c r="A1942" t="s">
        <v>9214</v>
      </c>
      <c r="B1942" t="s">
        <v>539</v>
      </c>
      <c r="C1942" t="s">
        <v>9215</v>
      </c>
      <c r="D1942" t="s">
        <v>0</v>
      </c>
      <c r="E1942" t="s">
        <v>271</v>
      </c>
      <c r="F1942" t="s">
        <v>2641</v>
      </c>
    </row>
    <row r="1943" spans="1:6" x14ac:dyDescent="0.25">
      <c r="A1943" t="s">
        <v>9216</v>
      </c>
      <c r="B1943" t="s">
        <v>9217</v>
      </c>
      <c r="C1943" t="s">
        <v>9218</v>
      </c>
      <c r="D1943" t="s">
        <v>1915</v>
      </c>
      <c r="E1943" t="s">
        <v>269</v>
      </c>
      <c r="F1943" t="s">
        <v>1914</v>
      </c>
    </row>
    <row r="1944" spans="1:6" x14ac:dyDescent="0.25">
      <c r="A1944" t="s">
        <v>9219</v>
      </c>
      <c r="B1944" t="s">
        <v>9220</v>
      </c>
      <c r="C1944" t="s">
        <v>9221</v>
      </c>
      <c r="D1944" t="s">
        <v>3307</v>
      </c>
      <c r="E1944" t="s">
        <v>271</v>
      </c>
      <c r="F1944" t="s">
        <v>2768</v>
      </c>
    </row>
    <row r="1945" spans="1:6" x14ac:dyDescent="0.25">
      <c r="A1945" t="s">
        <v>9222</v>
      </c>
      <c r="B1945" t="s">
        <v>9223</v>
      </c>
      <c r="C1945" t="s">
        <v>9224</v>
      </c>
      <c r="D1945" t="s">
        <v>453</v>
      </c>
      <c r="E1945" t="s">
        <v>271</v>
      </c>
      <c r="F1945" t="s">
        <v>454</v>
      </c>
    </row>
    <row r="1946" spans="1:6" x14ac:dyDescent="0.25">
      <c r="A1946" t="s">
        <v>9225</v>
      </c>
      <c r="B1946" t="s">
        <v>9226</v>
      </c>
      <c r="C1946" t="s">
        <v>9227</v>
      </c>
      <c r="D1946" t="s">
        <v>0</v>
      </c>
      <c r="E1946" t="s">
        <v>271</v>
      </c>
      <c r="F1946" t="s">
        <v>4382</v>
      </c>
    </row>
    <row r="1947" spans="1:6" x14ac:dyDescent="0.25">
      <c r="A1947" t="s">
        <v>9228</v>
      </c>
      <c r="B1947" t="s">
        <v>9229</v>
      </c>
      <c r="C1947" t="s">
        <v>9230</v>
      </c>
      <c r="D1947" t="s">
        <v>490</v>
      </c>
      <c r="E1947" t="s">
        <v>271</v>
      </c>
      <c r="F1947" t="s">
        <v>491</v>
      </c>
    </row>
    <row r="1948" spans="1:6" x14ac:dyDescent="0.25">
      <c r="A1948" t="s">
        <v>9231</v>
      </c>
      <c r="B1948" t="s">
        <v>9232</v>
      </c>
      <c r="C1948" t="s">
        <v>9233</v>
      </c>
      <c r="D1948" t="s">
        <v>5641</v>
      </c>
      <c r="E1948" t="s">
        <v>271</v>
      </c>
      <c r="F1948" t="s">
        <v>1567</v>
      </c>
    </row>
    <row r="1949" spans="1:6" x14ac:dyDescent="0.25">
      <c r="A1949" t="s">
        <v>9234</v>
      </c>
      <c r="B1949" t="s">
        <v>9235</v>
      </c>
      <c r="C1949" t="s">
        <v>9236</v>
      </c>
      <c r="D1949" t="s">
        <v>547</v>
      </c>
      <c r="E1949" t="s">
        <v>271</v>
      </c>
      <c r="F1949" t="s">
        <v>428</v>
      </c>
    </row>
    <row r="1950" spans="1:6" x14ac:dyDescent="0.25">
      <c r="A1950" t="s">
        <v>9237</v>
      </c>
      <c r="B1950" t="s">
        <v>9238</v>
      </c>
      <c r="C1950" t="s">
        <v>9239</v>
      </c>
      <c r="D1950" t="s">
        <v>1915</v>
      </c>
      <c r="E1950" t="s">
        <v>269</v>
      </c>
      <c r="F1950" t="s">
        <v>1914</v>
      </c>
    </row>
    <row r="1951" spans="1:6" x14ac:dyDescent="0.25">
      <c r="A1951" t="s">
        <v>9240</v>
      </c>
      <c r="B1951" t="s">
        <v>4708</v>
      </c>
      <c r="C1951" t="s">
        <v>9241</v>
      </c>
      <c r="D1951" t="s">
        <v>1165</v>
      </c>
      <c r="E1951" t="s">
        <v>271</v>
      </c>
      <c r="F1951" t="s">
        <v>1402</v>
      </c>
    </row>
    <row r="1952" spans="1:6" x14ac:dyDescent="0.25">
      <c r="A1952" t="s">
        <v>9242</v>
      </c>
      <c r="B1952" t="s">
        <v>9243</v>
      </c>
      <c r="C1952" t="s">
        <v>9244</v>
      </c>
      <c r="D1952" t="s">
        <v>793</v>
      </c>
      <c r="E1952" t="s">
        <v>271</v>
      </c>
      <c r="F1952" t="s">
        <v>792</v>
      </c>
    </row>
    <row r="1953" spans="1:6" x14ac:dyDescent="0.25">
      <c r="A1953" t="s">
        <v>9245</v>
      </c>
      <c r="B1953" t="s">
        <v>9246</v>
      </c>
      <c r="C1953" t="s">
        <v>9247</v>
      </c>
      <c r="D1953" t="s">
        <v>0</v>
      </c>
      <c r="E1953" t="s">
        <v>271</v>
      </c>
      <c r="F1953" t="s">
        <v>1679</v>
      </c>
    </row>
    <row r="1954" spans="1:6" x14ac:dyDescent="0.25">
      <c r="A1954" t="s">
        <v>9248</v>
      </c>
      <c r="B1954" t="s">
        <v>594</v>
      </c>
      <c r="C1954" t="s">
        <v>9249</v>
      </c>
      <c r="D1954" t="s">
        <v>466</v>
      </c>
      <c r="E1954" t="s">
        <v>271</v>
      </c>
      <c r="F1954" t="s">
        <v>434</v>
      </c>
    </row>
    <row r="1955" spans="1:6" x14ac:dyDescent="0.25">
      <c r="A1955" t="s">
        <v>9250</v>
      </c>
      <c r="B1955" t="s">
        <v>9251</v>
      </c>
      <c r="C1955" t="s">
        <v>9252</v>
      </c>
      <c r="D1955" t="s">
        <v>347</v>
      </c>
      <c r="E1955" t="s">
        <v>271</v>
      </c>
      <c r="F1955" t="s">
        <v>327</v>
      </c>
    </row>
    <row r="1956" spans="1:6" x14ac:dyDescent="0.25">
      <c r="A1956" t="s">
        <v>9253</v>
      </c>
      <c r="B1956" t="s">
        <v>9254</v>
      </c>
      <c r="C1956" t="s">
        <v>9255</v>
      </c>
      <c r="D1956" t="s">
        <v>1542</v>
      </c>
      <c r="E1956" t="s">
        <v>269</v>
      </c>
      <c r="F1956" t="s">
        <v>1541</v>
      </c>
    </row>
    <row r="1957" spans="1:6" x14ac:dyDescent="0.25">
      <c r="A1957" t="s">
        <v>1892</v>
      </c>
      <c r="B1957" t="s">
        <v>1893</v>
      </c>
      <c r="C1957" t="s">
        <v>1896</v>
      </c>
      <c r="D1957" t="s">
        <v>1895</v>
      </c>
      <c r="E1957" t="s">
        <v>271</v>
      </c>
      <c r="F1957" t="s">
        <v>1894</v>
      </c>
    </row>
    <row r="1958" spans="1:6" x14ac:dyDescent="0.25">
      <c r="A1958" t="s">
        <v>9256</v>
      </c>
      <c r="B1958" t="s">
        <v>9257</v>
      </c>
      <c r="C1958" t="s">
        <v>9258</v>
      </c>
      <c r="D1958" t="s">
        <v>0</v>
      </c>
      <c r="E1958" t="s">
        <v>271</v>
      </c>
      <c r="F1958" t="s">
        <v>531</v>
      </c>
    </row>
    <row r="1959" spans="1:6" x14ac:dyDescent="0.25">
      <c r="A1959" t="s">
        <v>9259</v>
      </c>
      <c r="B1959" t="s">
        <v>9260</v>
      </c>
      <c r="C1959" t="s">
        <v>9261</v>
      </c>
      <c r="D1959" t="s">
        <v>0</v>
      </c>
      <c r="E1959" t="s">
        <v>271</v>
      </c>
      <c r="F1959" t="s">
        <v>355</v>
      </c>
    </row>
    <row r="1960" spans="1:6" x14ac:dyDescent="0.25">
      <c r="A1960" t="s">
        <v>9262</v>
      </c>
      <c r="B1960" t="s">
        <v>518</v>
      </c>
      <c r="C1960" t="s">
        <v>9263</v>
      </c>
      <c r="D1960" t="s">
        <v>0</v>
      </c>
      <c r="E1960" t="s">
        <v>271</v>
      </c>
      <c r="F1960" t="s">
        <v>332</v>
      </c>
    </row>
    <row r="1961" spans="1:6" x14ac:dyDescent="0.25">
      <c r="A1961" t="s">
        <v>9264</v>
      </c>
      <c r="B1961" t="s">
        <v>9265</v>
      </c>
      <c r="C1961" t="s">
        <v>9266</v>
      </c>
      <c r="D1961" t="s">
        <v>9267</v>
      </c>
      <c r="E1961" t="s">
        <v>271</v>
      </c>
      <c r="F1961" t="s">
        <v>1924</v>
      </c>
    </row>
    <row r="1962" spans="1:6" x14ac:dyDescent="0.25">
      <c r="A1962" t="s">
        <v>9268</v>
      </c>
      <c r="B1962" t="s">
        <v>9269</v>
      </c>
      <c r="C1962" t="s">
        <v>7169</v>
      </c>
      <c r="D1962" t="s">
        <v>610</v>
      </c>
      <c r="E1962" t="s">
        <v>271</v>
      </c>
      <c r="F1962" t="s">
        <v>611</v>
      </c>
    </row>
    <row r="1963" spans="1:6" x14ac:dyDescent="0.25">
      <c r="A1963" t="s">
        <v>9270</v>
      </c>
      <c r="B1963" t="s">
        <v>9271</v>
      </c>
      <c r="C1963" t="s">
        <v>9272</v>
      </c>
      <c r="D1963" t="s">
        <v>0</v>
      </c>
      <c r="E1963" t="s">
        <v>271</v>
      </c>
      <c r="F1963" t="s">
        <v>356</v>
      </c>
    </row>
    <row r="1964" spans="1:6" x14ac:dyDescent="0.25">
      <c r="A1964" t="s">
        <v>9273</v>
      </c>
      <c r="B1964" t="s">
        <v>9274</v>
      </c>
      <c r="C1964" t="s">
        <v>9275</v>
      </c>
      <c r="D1964" t="s">
        <v>0</v>
      </c>
      <c r="E1964" t="s">
        <v>271</v>
      </c>
      <c r="F1964" t="s">
        <v>1180</v>
      </c>
    </row>
    <row r="1965" spans="1:6" x14ac:dyDescent="0.25">
      <c r="A1965" t="s">
        <v>9276</v>
      </c>
      <c r="B1965" t="s">
        <v>9277</v>
      </c>
      <c r="C1965" t="s">
        <v>5745</v>
      </c>
      <c r="D1965" t="s">
        <v>492</v>
      </c>
      <c r="E1965" t="s">
        <v>271</v>
      </c>
      <c r="F1965" t="s">
        <v>493</v>
      </c>
    </row>
    <row r="1966" spans="1:6" x14ac:dyDescent="0.25">
      <c r="A1966" t="s">
        <v>9278</v>
      </c>
      <c r="B1966" t="s">
        <v>9279</v>
      </c>
      <c r="C1966" t="s">
        <v>9280</v>
      </c>
      <c r="D1966" t="s">
        <v>0</v>
      </c>
      <c r="E1966" t="s">
        <v>271</v>
      </c>
      <c r="F1966" t="s">
        <v>2349</v>
      </c>
    </row>
    <row r="1967" spans="1:6" x14ac:dyDescent="0.25">
      <c r="A1967" t="s">
        <v>3233</v>
      </c>
      <c r="B1967" t="s">
        <v>3234</v>
      </c>
      <c r="C1967" t="s">
        <v>3235</v>
      </c>
      <c r="D1967" t="s">
        <v>0</v>
      </c>
      <c r="E1967" t="s">
        <v>271</v>
      </c>
      <c r="F1967" t="s">
        <v>562</v>
      </c>
    </row>
    <row r="1968" spans="1:6" x14ac:dyDescent="0.25">
      <c r="A1968" t="s">
        <v>9281</v>
      </c>
      <c r="B1968" t="s">
        <v>9282</v>
      </c>
      <c r="C1968" t="s">
        <v>9283</v>
      </c>
      <c r="D1968" t="s">
        <v>272</v>
      </c>
      <c r="E1968" t="s">
        <v>269</v>
      </c>
      <c r="F1968" t="s">
        <v>907</v>
      </c>
    </row>
    <row r="1969" spans="1:6" x14ac:dyDescent="0.25">
      <c r="A1969" t="s">
        <v>9284</v>
      </c>
      <c r="B1969" t="s">
        <v>9285</v>
      </c>
      <c r="C1969" t="s">
        <v>9286</v>
      </c>
      <c r="D1969" t="s">
        <v>972</v>
      </c>
      <c r="E1969" t="s">
        <v>269</v>
      </c>
      <c r="F1969" t="s">
        <v>971</v>
      </c>
    </row>
    <row r="1970" spans="1:6" x14ac:dyDescent="0.25">
      <c r="A1970" t="s">
        <v>9287</v>
      </c>
      <c r="B1970" t="s">
        <v>9288</v>
      </c>
      <c r="C1970" t="s">
        <v>9289</v>
      </c>
      <c r="D1970" t="s">
        <v>237</v>
      </c>
      <c r="E1970" t="s">
        <v>271</v>
      </c>
      <c r="F1970" t="s">
        <v>427</v>
      </c>
    </row>
    <row r="1971" spans="1:6" x14ac:dyDescent="0.25">
      <c r="A1971" t="s">
        <v>9290</v>
      </c>
      <c r="B1971" t="s">
        <v>9291</v>
      </c>
      <c r="C1971" t="s">
        <v>9292</v>
      </c>
      <c r="D1971" t="s">
        <v>0</v>
      </c>
      <c r="E1971" t="s">
        <v>271</v>
      </c>
      <c r="F1971" t="s">
        <v>2349</v>
      </c>
    </row>
    <row r="1972" spans="1:6" x14ac:dyDescent="0.25">
      <c r="A1972" t="s">
        <v>9293</v>
      </c>
      <c r="B1972" t="s">
        <v>9294</v>
      </c>
      <c r="C1972" t="s">
        <v>9295</v>
      </c>
      <c r="D1972" t="s">
        <v>258</v>
      </c>
      <c r="E1972" t="s">
        <v>271</v>
      </c>
      <c r="F1972" t="s">
        <v>524</v>
      </c>
    </row>
    <row r="1973" spans="1:6" x14ac:dyDescent="0.25">
      <c r="A1973" t="s">
        <v>9296</v>
      </c>
      <c r="B1973" t="s">
        <v>9297</v>
      </c>
      <c r="C1973" t="s">
        <v>9298</v>
      </c>
      <c r="D1973" t="s">
        <v>9299</v>
      </c>
      <c r="E1973" t="s">
        <v>269</v>
      </c>
      <c r="F1973" t="s">
        <v>9300</v>
      </c>
    </row>
    <row r="1974" spans="1:6" x14ac:dyDescent="0.25">
      <c r="A1974" t="s">
        <v>9301</v>
      </c>
      <c r="B1974" t="s">
        <v>9302</v>
      </c>
      <c r="C1974" t="s">
        <v>9303</v>
      </c>
      <c r="D1974" t="s">
        <v>340</v>
      </c>
      <c r="E1974" t="s">
        <v>271</v>
      </c>
      <c r="F1974" t="s">
        <v>317</v>
      </c>
    </row>
    <row r="1975" spans="1:6" x14ac:dyDescent="0.25">
      <c r="A1975" t="s">
        <v>9304</v>
      </c>
      <c r="B1975" t="s">
        <v>9305</v>
      </c>
      <c r="C1975" t="s">
        <v>9306</v>
      </c>
      <c r="D1975" t="s">
        <v>440</v>
      </c>
      <c r="E1975" t="s">
        <v>271</v>
      </c>
      <c r="F1975" t="s">
        <v>441</v>
      </c>
    </row>
    <row r="1976" spans="1:6" x14ac:dyDescent="0.25">
      <c r="A1976" t="s">
        <v>9307</v>
      </c>
      <c r="B1976" t="s">
        <v>9308</v>
      </c>
      <c r="C1976" t="s">
        <v>9309</v>
      </c>
      <c r="D1976" t="s">
        <v>3002</v>
      </c>
      <c r="E1976" t="s">
        <v>269</v>
      </c>
      <c r="F1976" t="s">
        <v>3001</v>
      </c>
    </row>
    <row r="1977" spans="1:6" x14ac:dyDescent="0.25">
      <c r="A1977" t="s">
        <v>9310</v>
      </c>
      <c r="B1977" t="s">
        <v>9311</v>
      </c>
      <c r="C1977" t="s">
        <v>9312</v>
      </c>
      <c r="D1977" t="s">
        <v>578</v>
      </c>
      <c r="E1977" t="s">
        <v>271</v>
      </c>
      <c r="F1977" t="s">
        <v>321</v>
      </c>
    </row>
    <row r="1978" spans="1:6" x14ac:dyDescent="0.25">
      <c r="A1978" t="s">
        <v>9313</v>
      </c>
      <c r="B1978" t="s">
        <v>456</v>
      </c>
      <c r="C1978" t="s">
        <v>9314</v>
      </c>
      <c r="D1978" t="s">
        <v>2471</v>
      </c>
      <c r="E1978" t="s">
        <v>271</v>
      </c>
      <c r="F1978" t="s">
        <v>2470</v>
      </c>
    </row>
    <row r="1979" spans="1:6" x14ac:dyDescent="0.25">
      <c r="A1979" t="s">
        <v>9315</v>
      </c>
      <c r="B1979" t="s">
        <v>9316</v>
      </c>
      <c r="C1979" t="s">
        <v>9317</v>
      </c>
      <c r="D1979" t="s">
        <v>540</v>
      </c>
      <c r="E1979" t="s">
        <v>271</v>
      </c>
      <c r="F1979" t="s">
        <v>339</v>
      </c>
    </row>
    <row r="1980" spans="1:6" x14ac:dyDescent="0.25">
      <c r="A1980" t="s">
        <v>1353</v>
      </c>
      <c r="B1980" t="s">
        <v>484</v>
      </c>
      <c r="C1980" t="s">
        <v>1354</v>
      </c>
      <c r="D1980" t="s">
        <v>237</v>
      </c>
      <c r="E1980" t="s">
        <v>271</v>
      </c>
      <c r="F1980" t="s">
        <v>427</v>
      </c>
    </row>
    <row r="1981" spans="1:6" x14ac:dyDescent="0.25">
      <c r="A1981" t="s">
        <v>9318</v>
      </c>
      <c r="B1981" t="s">
        <v>9319</v>
      </c>
      <c r="C1981" t="s">
        <v>9320</v>
      </c>
      <c r="D1981" t="s">
        <v>492</v>
      </c>
      <c r="E1981" t="s">
        <v>271</v>
      </c>
      <c r="F1981" t="s">
        <v>493</v>
      </c>
    </row>
    <row r="1982" spans="1:6" x14ac:dyDescent="0.25">
      <c r="A1982" t="s">
        <v>9321</v>
      </c>
      <c r="B1982" t="s">
        <v>9322</v>
      </c>
      <c r="C1982" t="s">
        <v>9323</v>
      </c>
      <c r="D1982" t="s">
        <v>0</v>
      </c>
      <c r="E1982" t="s">
        <v>271</v>
      </c>
      <c r="F1982" t="s">
        <v>2447</v>
      </c>
    </row>
    <row r="1983" spans="1:6" x14ac:dyDescent="0.25">
      <c r="A1983" t="s">
        <v>9324</v>
      </c>
      <c r="B1983" t="s">
        <v>9325</v>
      </c>
      <c r="C1983" t="s">
        <v>9326</v>
      </c>
      <c r="D1983" t="s">
        <v>510</v>
      </c>
      <c r="E1983" t="s">
        <v>271</v>
      </c>
      <c r="F1983" t="s">
        <v>1829</v>
      </c>
    </row>
    <row r="1984" spans="1:6" x14ac:dyDescent="0.25">
      <c r="A1984" t="s">
        <v>9327</v>
      </c>
      <c r="B1984" t="s">
        <v>9328</v>
      </c>
      <c r="C1984" t="s">
        <v>9329</v>
      </c>
      <c r="D1984" t="s">
        <v>0</v>
      </c>
      <c r="E1984" t="s">
        <v>271</v>
      </c>
      <c r="F1984" t="s">
        <v>709</v>
      </c>
    </row>
    <row r="1985" spans="1:6" x14ac:dyDescent="0.25">
      <c r="A1985" t="s">
        <v>9330</v>
      </c>
      <c r="B1985" t="s">
        <v>9331</v>
      </c>
      <c r="C1985" t="s">
        <v>9332</v>
      </c>
      <c r="D1985" t="s">
        <v>246</v>
      </c>
      <c r="E1985" t="s">
        <v>271</v>
      </c>
      <c r="F1985" t="s">
        <v>426</v>
      </c>
    </row>
    <row r="1986" spans="1:6" x14ac:dyDescent="0.25">
      <c r="A1986" t="s">
        <v>9333</v>
      </c>
      <c r="B1986" t="s">
        <v>9334</v>
      </c>
      <c r="C1986" t="s">
        <v>9335</v>
      </c>
      <c r="D1986" t="s">
        <v>472</v>
      </c>
      <c r="E1986" t="s">
        <v>271</v>
      </c>
      <c r="F1986" t="s">
        <v>318</v>
      </c>
    </row>
    <row r="1987" spans="1:6" x14ac:dyDescent="0.25">
      <c r="A1987" t="s">
        <v>9336</v>
      </c>
      <c r="B1987" t="s">
        <v>9337</v>
      </c>
      <c r="C1987" t="s">
        <v>9338</v>
      </c>
      <c r="D1987" t="s">
        <v>444</v>
      </c>
      <c r="E1987" t="s">
        <v>271</v>
      </c>
      <c r="F1987" t="s">
        <v>1270</v>
      </c>
    </row>
    <row r="1988" spans="1:6" x14ac:dyDescent="0.25">
      <c r="A1988" t="s">
        <v>9339</v>
      </c>
      <c r="B1988" t="s">
        <v>9340</v>
      </c>
      <c r="C1988" t="s">
        <v>9341</v>
      </c>
      <c r="D1988" t="s">
        <v>0</v>
      </c>
      <c r="E1988" t="s">
        <v>271</v>
      </c>
      <c r="F1988" t="s">
        <v>1148</v>
      </c>
    </row>
    <row r="1989" spans="1:6" x14ac:dyDescent="0.25">
      <c r="A1989" t="s">
        <v>9342</v>
      </c>
      <c r="B1989" t="s">
        <v>9343</v>
      </c>
      <c r="C1989" t="s">
        <v>9344</v>
      </c>
      <c r="D1989" t="s">
        <v>314</v>
      </c>
      <c r="E1989" t="s">
        <v>271</v>
      </c>
      <c r="F1989" t="s">
        <v>352</v>
      </c>
    </row>
    <row r="1990" spans="1:6" x14ac:dyDescent="0.25">
      <c r="A1990" t="s">
        <v>9345</v>
      </c>
      <c r="B1990" t="s">
        <v>9346</v>
      </c>
      <c r="C1990" t="s">
        <v>9347</v>
      </c>
      <c r="D1990" t="s">
        <v>0</v>
      </c>
      <c r="E1990" t="s">
        <v>271</v>
      </c>
      <c r="F1990" t="s">
        <v>881</v>
      </c>
    </row>
    <row r="1991" spans="1:6" x14ac:dyDescent="0.25">
      <c r="A1991" t="s">
        <v>9348</v>
      </c>
      <c r="B1991" t="s">
        <v>9349</v>
      </c>
      <c r="C1991" t="s">
        <v>9350</v>
      </c>
      <c r="D1991" t="s">
        <v>0</v>
      </c>
      <c r="E1991" t="s">
        <v>271</v>
      </c>
      <c r="F1991" t="s">
        <v>1534</v>
      </c>
    </row>
    <row r="1992" spans="1:6" x14ac:dyDescent="0.25">
      <c r="A1992" t="s">
        <v>9351</v>
      </c>
      <c r="B1992" t="s">
        <v>614</v>
      </c>
      <c r="C1992" t="s">
        <v>9352</v>
      </c>
      <c r="D1992" t="s">
        <v>6001</v>
      </c>
      <c r="E1992" t="s">
        <v>271</v>
      </c>
      <c r="F1992" t="s">
        <v>4429</v>
      </c>
    </row>
    <row r="1993" spans="1:6" x14ac:dyDescent="0.25">
      <c r="A1993" t="s">
        <v>9353</v>
      </c>
      <c r="B1993" t="s">
        <v>9354</v>
      </c>
      <c r="C1993" t="s">
        <v>9355</v>
      </c>
      <c r="D1993" t="s">
        <v>0</v>
      </c>
      <c r="E1993" t="s">
        <v>271</v>
      </c>
      <c r="F1993" t="s">
        <v>325</v>
      </c>
    </row>
    <row r="1994" spans="1:6" x14ac:dyDescent="0.25">
      <c r="A1994" t="s">
        <v>9356</v>
      </c>
      <c r="B1994" t="s">
        <v>9357</v>
      </c>
      <c r="C1994" t="s">
        <v>9358</v>
      </c>
      <c r="D1994" t="s">
        <v>1421</v>
      </c>
      <c r="E1994" t="s">
        <v>271</v>
      </c>
      <c r="F1994" t="s">
        <v>1420</v>
      </c>
    </row>
    <row r="1995" spans="1:6" x14ac:dyDescent="0.25">
      <c r="A1995" t="s">
        <v>1687</v>
      </c>
      <c r="B1995" t="s">
        <v>1688</v>
      </c>
      <c r="C1995" t="s">
        <v>1689</v>
      </c>
      <c r="D1995" t="s">
        <v>0</v>
      </c>
      <c r="E1995" t="s">
        <v>271</v>
      </c>
      <c r="F1995" t="s">
        <v>325</v>
      </c>
    </row>
    <row r="1996" spans="1:6" x14ac:dyDescent="0.25">
      <c r="A1996" t="s">
        <v>3366</v>
      </c>
      <c r="B1996" t="s">
        <v>3367</v>
      </c>
      <c r="C1996" t="s">
        <v>3368</v>
      </c>
      <c r="D1996" t="s">
        <v>1601</v>
      </c>
      <c r="E1996" t="s">
        <v>269</v>
      </c>
      <c r="F1996" t="s">
        <v>3126</v>
      </c>
    </row>
    <row r="1997" spans="1:6" x14ac:dyDescent="0.25">
      <c r="A1997" t="s">
        <v>9359</v>
      </c>
      <c r="B1997" t="s">
        <v>9360</v>
      </c>
      <c r="C1997" t="s">
        <v>9361</v>
      </c>
      <c r="D1997" t="s">
        <v>0</v>
      </c>
      <c r="E1997" t="s">
        <v>271</v>
      </c>
      <c r="F1997" t="s">
        <v>3672</v>
      </c>
    </row>
    <row r="1998" spans="1:6" x14ac:dyDescent="0.25">
      <c r="A1998" t="s">
        <v>9362</v>
      </c>
      <c r="B1998" t="s">
        <v>9363</v>
      </c>
      <c r="C1998" t="s">
        <v>2813</v>
      </c>
      <c r="D1998" t="s">
        <v>0</v>
      </c>
      <c r="E1998" t="s">
        <v>271</v>
      </c>
      <c r="F1998" t="s">
        <v>726</v>
      </c>
    </row>
    <row r="1999" spans="1:6" x14ac:dyDescent="0.25">
      <c r="A1999" t="s">
        <v>9364</v>
      </c>
      <c r="B1999" t="s">
        <v>9365</v>
      </c>
      <c r="C1999" t="s">
        <v>9366</v>
      </c>
      <c r="D1999" t="s">
        <v>1186</v>
      </c>
      <c r="E1999" t="s">
        <v>271</v>
      </c>
      <c r="F1999" t="s">
        <v>1185</v>
      </c>
    </row>
    <row r="2000" spans="1:6" x14ac:dyDescent="0.25">
      <c r="A2000" t="s">
        <v>9367</v>
      </c>
      <c r="B2000" t="s">
        <v>9368</v>
      </c>
      <c r="C2000" t="s">
        <v>9369</v>
      </c>
      <c r="D2000" t="s">
        <v>2940</v>
      </c>
      <c r="E2000" t="s">
        <v>271</v>
      </c>
      <c r="F2000" t="s">
        <v>2939</v>
      </c>
    </row>
    <row r="2001" spans="1:6" x14ac:dyDescent="0.25">
      <c r="A2001" t="s">
        <v>9370</v>
      </c>
      <c r="B2001" t="s">
        <v>9371</v>
      </c>
      <c r="C2001" t="s">
        <v>9372</v>
      </c>
      <c r="D2001" t="s">
        <v>510</v>
      </c>
      <c r="E2001" t="s">
        <v>271</v>
      </c>
      <c r="F2001" t="s">
        <v>852</v>
      </c>
    </row>
    <row r="2002" spans="1:6" x14ac:dyDescent="0.25">
      <c r="A2002" t="s">
        <v>9373</v>
      </c>
      <c r="B2002" t="s">
        <v>9374</v>
      </c>
      <c r="C2002" t="s">
        <v>9375</v>
      </c>
      <c r="D2002" t="s">
        <v>1186</v>
      </c>
      <c r="E2002" t="s">
        <v>271</v>
      </c>
      <c r="F2002" t="s">
        <v>1185</v>
      </c>
    </row>
    <row r="2003" spans="1:6" x14ac:dyDescent="0.25">
      <c r="A2003" t="s">
        <v>9376</v>
      </c>
      <c r="B2003" t="s">
        <v>9377</v>
      </c>
      <c r="C2003" t="s">
        <v>9378</v>
      </c>
      <c r="D2003" t="s">
        <v>1019</v>
      </c>
      <c r="E2003" t="s">
        <v>271</v>
      </c>
      <c r="F2003" t="s">
        <v>1018</v>
      </c>
    </row>
    <row r="2004" spans="1:6" x14ac:dyDescent="0.25">
      <c r="A2004" t="s">
        <v>1933</v>
      </c>
      <c r="B2004" t="s">
        <v>1934</v>
      </c>
      <c r="C2004" t="s">
        <v>1935</v>
      </c>
      <c r="D2004" t="s">
        <v>1126</v>
      </c>
      <c r="E2004" t="s">
        <v>271</v>
      </c>
      <c r="F2004" t="s">
        <v>1125</v>
      </c>
    </row>
    <row r="2005" spans="1:6" x14ac:dyDescent="0.25">
      <c r="A2005" t="s">
        <v>9379</v>
      </c>
      <c r="B2005" t="s">
        <v>9380</v>
      </c>
      <c r="C2005" t="s">
        <v>9381</v>
      </c>
      <c r="D2005" t="s">
        <v>9299</v>
      </c>
      <c r="E2005" t="s">
        <v>269</v>
      </c>
      <c r="F2005" t="s">
        <v>9382</v>
      </c>
    </row>
    <row r="2006" spans="1:6" x14ac:dyDescent="0.25">
      <c r="A2006" t="s">
        <v>9383</v>
      </c>
      <c r="B2006" t="s">
        <v>9384</v>
      </c>
      <c r="C2006" t="s">
        <v>9385</v>
      </c>
      <c r="D2006" t="s">
        <v>1609</v>
      </c>
      <c r="E2006" t="s">
        <v>271</v>
      </c>
      <c r="F2006" t="s">
        <v>294</v>
      </c>
    </row>
    <row r="2007" spans="1:6" x14ac:dyDescent="0.25">
      <c r="A2007" t="s">
        <v>3324</v>
      </c>
      <c r="B2007" t="s">
        <v>3325</v>
      </c>
      <c r="C2007" t="s">
        <v>3326</v>
      </c>
      <c r="D2007" t="s">
        <v>1421</v>
      </c>
      <c r="E2007" t="s">
        <v>271</v>
      </c>
      <c r="F2007" t="s">
        <v>1420</v>
      </c>
    </row>
    <row r="2008" spans="1:6" x14ac:dyDescent="0.25">
      <c r="A2008" t="s">
        <v>9386</v>
      </c>
      <c r="B2008" t="s">
        <v>9387</v>
      </c>
      <c r="C2008" t="s">
        <v>9388</v>
      </c>
      <c r="D2008" t="s">
        <v>2908</v>
      </c>
      <c r="E2008" t="s">
        <v>271</v>
      </c>
      <c r="F2008" t="s">
        <v>2470</v>
      </c>
    </row>
    <row r="2009" spans="1:6" x14ac:dyDescent="0.25">
      <c r="A2009" t="s">
        <v>9389</v>
      </c>
      <c r="B2009" t="s">
        <v>9390</v>
      </c>
      <c r="C2009" t="s">
        <v>9391</v>
      </c>
      <c r="D2009" t="s">
        <v>0</v>
      </c>
      <c r="E2009" t="s">
        <v>271</v>
      </c>
      <c r="F2009" t="s">
        <v>356</v>
      </c>
    </row>
    <row r="2010" spans="1:6" x14ac:dyDescent="0.25">
      <c r="A2010" t="s">
        <v>9392</v>
      </c>
      <c r="B2010" t="s">
        <v>9393</v>
      </c>
      <c r="C2010" t="s">
        <v>9394</v>
      </c>
      <c r="D2010" t="s">
        <v>1973</v>
      </c>
      <c r="E2010" t="s">
        <v>271</v>
      </c>
      <c r="F2010" t="s">
        <v>1972</v>
      </c>
    </row>
    <row r="2011" spans="1:6" x14ac:dyDescent="0.25">
      <c r="A2011" t="s">
        <v>9395</v>
      </c>
      <c r="B2011" t="s">
        <v>9396</v>
      </c>
      <c r="C2011" t="s">
        <v>9397</v>
      </c>
      <c r="D2011" t="s">
        <v>793</v>
      </c>
      <c r="E2011" t="s">
        <v>271</v>
      </c>
      <c r="F2011" t="s">
        <v>792</v>
      </c>
    </row>
    <row r="2012" spans="1:6" x14ac:dyDescent="0.25">
      <c r="A2012" t="s">
        <v>9398</v>
      </c>
      <c r="B2012" t="s">
        <v>9399</v>
      </c>
      <c r="C2012" t="s">
        <v>9400</v>
      </c>
      <c r="D2012" t="s">
        <v>986</v>
      </c>
      <c r="E2012" t="s">
        <v>271</v>
      </c>
      <c r="F2012" t="s">
        <v>985</v>
      </c>
    </row>
    <row r="2013" spans="1:6" x14ac:dyDescent="0.25">
      <c r="A2013" t="s">
        <v>9401</v>
      </c>
      <c r="B2013" t="s">
        <v>9402</v>
      </c>
      <c r="C2013" t="s">
        <v>9403</v>
      </c>
      <c r="D2013" t="s">
        <v>0</v>
      </c>
      <c r="E2013" t="s">
        <v>271</v>
      </c>
      <c r="F2013" t="s">
        <v>531</v>
      </c>
    </row>
    <row r="2014" spans="1:6" x14ac:dyDescent="0.25">
      <c r="A2014" t="s">
        <v>9404</v>
      </c>
      <c r="B2014" t="s">
        <v>9405</v>
      </c>
      <c r="C2014" t="s">
        <v>9406</v>
      </c>
      <c r="D2014" t="s">
        <v>1723</v>
      </c>
      <c r="E2014" t="s">
        <v>271</v>
      </c>
      <c r="F2014" t="s">
        <v>1722</v>
      </c>
    </row>
    <row r="2015" spans="1:6" x14ac:dyDescent="0.25">
      <c r="A2015" t="s">
        <v>9407</v>
      </c>
      <c r="B2015" t="s">
        <v>9408</v>
      </c>
      <c r="C2015" t="s">
        <v>9409</v>
      </c>
      <c r="D2015" t="s">
        <v>237</v>
      </c>
      <c r="E2015" t="s">
        <v>271</v>
      </c>
      <c r="F2015" t="s">
        <v>427</v>
      </c>
    </row>
    <row r="2016" spans="1:6" x14ac:dyDescent="0.25">
      <c r="A2016" t="s">
        <v>3478</v>
      </c>
      <c r="B2016" t="s">
        <v>3479</v>
      </c>
      <c r="C2016" t="s">
        <v>3480</v>
      </c>
      <c r="D2016" t="s">
        <v>0</v>
      </c>
      <c r="E2016" t="s">
        <v>271</v>
      </c>
      <c r="F2016" t="s">
        <v>431</v>
      </c>
    </row>
    <row r="2017" spans="1:6" x14ac:dyDescent="0.25">
      <c r="A2017" t="s">
        <v>1305</v>
      </c>
      <c r="B2017" t="s">
        <v>1306</v>
      </c>
      <c r="C2017" t="s">
        <v>1307</v>
      </c>
      <c r="D2017" t="s">
        <v>598</v>
      </c>
      <c r="E2017" t="s">
        <v>271</v>
      </c>
      <c r="F2017" t="s">
        <v>599</v>
      </c>
    </row>
    <row r="2018" spans="1:6" x14ac:dyDescent="0.25">
      <c r="A2018" t="s">
        <v>9410</v>
      </c>
      <c r="B2018" t="s">
        <v>9411</v>
      </c>
      <c r="C2018" t="s">
        <v>9412</v>
      </c>
      <c r="D2018" t="s">
        <v>0</v>
      </c>
      <c r="E2018" t="s">
        <v>271</v>
      </c>
      <c r="F2018" t="s">
        <v>1141</v>
      </c>
    </row>
    <row r="2019" spans="1:6" x14ac:dyDescent="0.25">
      <c r="A2019" t="s">
        <v>9413</v>
      </c>
      <c r="B2019" t="s">
        <v>9414</v>
      </c>
      <c r="C2019" t="s">
        <v>9415</v>
      </c>
      <c r="D2019" t="s">
        <v>506</v>
      </c>
      <c r="E2019" t="s">
        <v>271</v>
      </c>
      <c r="F2019" t="s">
        <v>507</v>
      </c>
    </row>
    <row r="2020" spans="1:6" x14ac:dyDescent="0.25">
      <c r="A2020" t="s">
        <v>9416</v>
      </c>
      <c r="B2020" t="s">
        <v>9417</v>
      </c>
      <c r="C2020" t="s">
        <v>9418</v>
      </c>
      <c r="D2020" t="s">
        <v>232</v>
      </c>
      <c r="E2020" t="s">
        <v>271</v>
      </c>
      <c r="F2020" t="s">
        <v>329</v>
      </c>
    </row>
    <row r="2021" spans="1:6" x14ac:dyDescent="0.25">
      <c r="A2021" t="s">
        <v>9419</v>
      </c>
      <c r="B2021" t="s">
        <v>9420</v>
      </c>
      <c r="C2021" t="s">
        <v>9421</v>
      </c>
      <c r="D2021" t="s">
        <v>2692</v>
      </c>
      <c r="E2021" t="s">
        <v>269</v>
      </c>
      <c r="F2021" t="s">
        <v>2691</v>
      </c>
    </row>
    <row r="2022" spans="1:6" x14ac:dyDescent="0.25">
      <c r="A2022" t="s">
        <v>1073</v>
      </c>
      <c r="B2022" t="s">
        <v>1074</v>
      </c>
      <c r="C2022" t="s">
        <v>1075</v>
      </c>
      <c r="D2022" t="s">
        <v>0</v>
      </c>
      <c r="E2022" t="s">
        <v>271</v>
      </c>
      <c r="F2022" t="s">
        <v>575</v>
      </c>
    </row>
    <row r="2023" spans="1:6" x14ac:dyDescent="0.25">
      <c r="A2023" t="s">
        <v>9422</v>
      </c>
      <c r="B2023" t="s">
        <v>9423</v>
      </c>
      <c r="C2023" t="s">
        <v>9424</v>
      </c>
      <c r="D2023" t="s">
        <v>1421</v>
      </c>
      <c r="E2023" t="s">
        <v>271</v>
      </c>
      <c r="F2023" t="s">
        <v>1420</v>
      </c>
    </row>
    <row r="2024" spans="1:6" x14ac:dyDescent="0.25">
      <c r="A2024" t="s">
        <v>9425</v>
      </c>
      <c r="B2024" t="s">
        <v>9426</v>
      </c>
      <c r="C2024" t="s">
        <v>9427</v>
      </c>
      <c r="D2024" t="s">
        <v>5591</v>
      </c>
      <c r="E2024" t="s">
        <v>269</v>
      </c>
      <c r="F2024" t="s">
        <v>1742</v>
      </c>
    </row>
    <row r="2025" spans="1:6" x14ac:dyDescent="0.25">
      <c r="A2025" t="s">
        <v>9428</v>
      </c>
      <c r="B2025" t="s">
        <v>9429</v>
      </c>
      <c r="C2025" t="s">
        <v>9430</v>
      </c>
      <c r="D2025" t="s">
        <v>503</v>
      </c>
      <c r="E2025" t="s">
        <v>271</v>
      </c>
      <c r="F2025" t="s">
        <v>504</v>
      </c>
    </row>
    <row r="2026" spans="1:6" x14ac:dyDescent="0.25">
      <c r="A2026" t="s">
        <v>9431</v>
      </c>
      <c r="B2026" t="s">
        <v>9432</v>
      </c>
      <c r="C2026" t="s">
        <v>2478</v>
      </c>
      <c r="D2026" t="s">
        <v>0</v>
      </c>
      <c r="E2026" t="s">
        <v>271</v>
      </c>
      <c r="F2026" t="s">
        <v>881</v>
      </c>
    </row>
    <row r="2027" spans="1:6" x14ac:dyDescent="0.25">
      <c r="A2027" t="s">
        <v>9433</v>
      </c>
      <c r="B2027" t="s">
        <v>9434</v>
      </c>
      <c r="C2027" t="s">
        <v>6194</v>
      </c>
      <c r="D2027" t="s">
        <v>0</v>
      </c>
      <c r="E2027" t="s">
        <v>271</v>
      </c>
      <c r="F2027" t="s">
        <v>4437</v>
      </c>
    </row>
    <row r="2028" spans="1:6" x14ac:dyDescent="0.25">
      <c r="A2028" t="s">
        <v>9435</v>
      </c>
      <c r="B2028" t="s">
        <v>9436</v>
      </c>
      <c r="C2028" t="s">
        <v>9437</v>
      </c>
      <c r="D2028" t="s">
        <v>1915</v>
      </c>
      <c r="E2028" t="s">
        <v>269</v>
      </c>
      <c r="F2028" t="s">
        <v>1914</v>
      </c>
    </row>
    <row r="2029" spans="1:6" x14ac:dyDescent="0.25">
      <c r="A2029" t="s">
        <v>9438</v>
      </c>
      <c r="B2029" t="s">
        <v>9439</v>
      </c>
      <c r="C2029" t="s">
        <v>9440</v>
      </c>
      <c r="D2029" t="s">
        <v>0</v>
      </c>
      <c r="E2029" t="s">
        <v>271</v>
      </c>
      <c r="F2029" t="s">
        <v>319</v>
      </c>
    </row>
    <row r="2030" spans="1:6" x14ac:dyDescent="0.25">
      <c r="A2030" t="s">
        <v>9441</v>
      </c>
      <c r="B2030" t="s">
        <v>9442</v>
      </c>
      <c r="C2030" t="s">
        <v>9443</v>
      </c>
      <c r="D2030" t="s">
        <v>0</v>
      </c>
      <c r="E2030" t="s">
        <v>271</v>
      </c>
      <c r="F2030" t="s">
        <v>325</v>
      </c>
    </row>
    <row r="2031" spans="1:6" x14ac:dyDescent="0.25">
      <c r="A2031" t="s">
        <v>9444</v>
      </c>
      <c r="B2031" t="s">
        <v>9445</v>
      </c>
      <c r="C2031" t="s">
        <v>9446</v>
      </c>
      <c r="D2031" t="s">
        <v>510</v>
      </c>
      <c r="E2031" t="s">
        <v>271</v>
      </c>
      <c r="F2031" t="s">
        <v>852</v>
      </c>
    </row>
    <row r="2032" spans="1:6" x14ac:dyDescent="0.25">
      <c r="A2032" t="s">
        <v>9447</v>
      </c>
      <c r="B2032" t="s">
        <v>9448</v>
      </c>
      <c r="C2032" t="s">
        <v>9449</v>
      </c>
      <c r="D2032" t="s">
        <v>361</v>
      </c>
      <c r="E2032" t="s">
        <v>271</v>
      </c>
      <c r="F2032" t="s">
        <v>582</v>
      </c>
    </row>
    <row r="2033" spans="1:6" x14ac:dyDescent="0.25">
      <c r="A2033" t="s">
        <v>2479</v>
      </c>
      <c r="B2033" t="s">
        <v>2480</v>
      </c>
      <c r="C2033" t="s">
        <v>2481</v>
      </c>
      <c r="D2033" t="s">
        <v>1958</v>
      </c>
      <c r="E2033" t="s">
        <v>271</v>
      </c>
      <c r="F2033" t="s">
        <v>1957</v>
      </c>
    </row>
    <row r="2034" spans="1:6" x14ac:dyDescent="0.25">
      <c r="A2034" t="s">
        <v>3357</v>
      </c>
      <c r="B2034" t="s">
        <v>3358</v>
      </c>
      <c r="C2034" t="s">
        <v>3359</v>
      </c>
      <c r="D2034" t="s">
        <v>845</v>
      </c>
      <c r="E2034" t="s">
        <v>271</v>
      </c>
      <c r="F2034" t="s">
        <v>844</v>
      </c>
    </row>
    <row r="2035" spans="1:6" x14ac:dyDescent="0.25">
      <c r="A2035" t="s">
        <v>3534</v>
      </c>
      <c r="B2035" t="s">
        <v>3535</v>
      </c>
      <c r="C2035" t="s">
        <v>3536</v>
      </c>
      <c r="D2035" t="s">
        <v>1973</v>
      </c>
      <c r="E2035" t="s">
        <v>271</v>
      </c>
      <c r="F2035" t="s">
        <v>1972</v>
      </c>
    </row>
    <row r="2036" spans="1:6" x14ac:dyDescent="0.25">
      <c r="A2036" t="s">
        <v>9450</v>
      </c>
      <c r="B2036" t="s">
        <v>9451</v>
      </c>
      <c r="C2036" t="s">
        <v>9452</v>
      </c>
      <c r="D2036" t="s">
        <v>0</v>
      </c>
      <c r="E2036" t="s">
        <v>271</v>
      </c>
      <c r="F2036" t="s">
        <v>688</v>
      </c>
    </row>
    <row r="2037" spans="1:6" x14ac:dyDescent="0.25">
      <c r="A2037" t="s">
        <v>9453</v>
      </c>
      <c r="B2037" t="s">
        <v>9454</v>
      </c>
      <c r="C2037" t="s">
        <v>9455</v>
      </c>
      <c r="D2037" t="s">
        <v>0</v>
      </c>
      <c r="E2037" t="s">
        <v>271</v>
      </c>
      <c r="F2037" t="s">
        <v>325</v>
      </c>
    </row>
    <row r="2038" spans="1:6" x14ac:dyDescent="0.25">
      <c r="A2038" t="s">
        <v>9456</v>
      </c>
      <c r="B2038" t="s">
        <v>9457</v>
      </c>
      <c r="C2038" t="s">
        <v>9458</v>
      </c>
      <c r="D2038" t="s">
        <v>1643</v>
      </c>
      <c r="E2038" t="s">
        <v>271</v>
      </c>
      <c r="F2038" t="s">
        <v>2028</v>
      </c>
    </row>
    <row r="2039" spans="1:6" x14ac:dyDescent="0.25">
      <c r="A2039" t="s">
        <v>9459</v>
      </c>
      <c r="B2039" t="s">
        <v>9460</v>
      </c>
      <c r="C2039" t="s">
        <v>9461</v>
      </c>
      <c r="D2039" t="s">
        <v>0</v>
      </c>
      <c r="E2039" t="s">
        <v>271</v>
      </c>
      <c r="F2039" t="s">
        <v>575</v>
      </c>
    </row>
    <row r="2040" spans="1:6" x14ac:dyDescent="0.25">
      <c r="A2040" t="s">
        <v>9462</v>
      </c>
      <c r="B2040" t="s">
        <v>9463</v>
      </c>
      <c r="C2040" t="s">
        <v>9464</v>
      </c>
      <c r="D2040" t="s">
        <v>1204</v>
      </c>
      <c r="E2040" t="s">
        <v>271</v>
      </c>
      <c r="F2040" t="s">
        <v>1203</v>
      </c>
    </row>
    <row r="2041" spans="1:6" x14ac:dyDescent="0.25">
      <c r="A2041" t="s">
        <v>9465</v>
      </c>
      <c r="B2041" t="s">
        <v>9466</v>
      </c>
      <c r="C2041" t="s">
        <v>9467</v>
      </c>
      <c r="D2041" t="s">
        <v>298</v>
      </c>
      <c r="E2041" t="s">
        <v>271</v>
      </c>
      <c r="F2041" t="s">
        <v>297</v>
      </c>
    </row>
    <row r="2042" spans="1:6" x14ac:dyDescent="0.25">
      <c r="A2042" t="s">
        <v>9468</v>
      </c>
      <c r="B2042" t="s">
        <v>9469</v>
      </c>
      <c r="C2042" t="s">
        <v>9470</v>
      </c>
      <c r="D2042" t="s">
        <v>0</v>
      </c>
      <c r="E2042" t="s">
        <v>271</v>
      </c>
      <c r="F2042" t="s">
        <v>325</v>
      </c>
    </row>
    <row r="2043" spans="1:6" x14ac:dyDescent="0.25">
      <c r="A2043" t="s">
        <v>9471</v>
      </c>
      <c r="B2043" t="s">
        <v>9472</v>
      </c>
      <c r="C2043" t="s">
        <v>9473</v>
      </c>
      <c r="D2043" t="s">
        <v>357</v>
      </c>
      <c r="E2043" t="s">
        <v>271</v>
      </c>
      <c r="F2043" t="s">
        <v>358</v>
      </c>
    </row>
    <row r="2044" spans="1:6" x14ac:dyDescent="0.25">
      <c r="A2044" t="s">
        <v>3179</v>
      </c>
      <c r="B2044" t="s">
        <v>3180</v>
      </c>
      <c r="C2044" t="s">
        <v>3181</v>
      </c>
      <c r="D2044" t="s">
        <v>0</v>
      </c>
      <c r="E2044" t="s">
        <v>271</v>
      </c>
      <c r="F2044" t="s">
        <v>2377</v>
      </c>
    </row>
    <row r="2045" spans="1:6" x14ac:dyDescent="0.25">
      <c r="A2045" t="s">
        <v>9474</v>
      </c>
      <c r="B2045" t="s">
        <v>9475</v>
      </c>
      <c r="C2045" t="s">
        <v>9476</v>
      </c>
      <c r="D2045" t="s">
        <v>314</v>
      </c>
      <c r="E2045" t="s">
        <v>271</v>
      </c>
      <c r="F2045" t="s">
        <v>352</v>
      </c>
    </row>
    <row r="2046" spans="1:6" x14ac:dyDescent="0.25">
      <c r="A2046" t="s">
        <v>9477</v>
      </c>
      <c r="B2046" t="s">
        <v>9478</v>
      </c>
      <c r="C2046" t="s">
        <v>9479</v>
      </c>
      <c r="D2046" t="s">
        <v>446</v>
      </c>
      <c r="E2046" t="s">
        <v>271</v>
      </c>
      <c r="F2046" t="s">
        <v>447</v>
      </c>
    </row>
    <row r="2047" spans="1:6" x14ac:dyDescent="0.25">
      <c r="A2047" t="s">
        <v>9480</v>
      </c>
      <c r="B2047" t="s">
        <v>9481</v>
      </c>
      <c r="C2047" t="s">
        <v>9482</v>
      </c>
      <c r="D2047" t="s">
        <v>498</v>
      </c>
      <c r="E2047" t="s">
        <v>271</v>
      </c>
      <c r="F2047" t="s">
        <v>926</v>
      </c>
    </row>
    <row r="2048" spans="1:6" x14ac:dyDescent="0.25">
      <c r="A2048" t="s">
        <v>9483</v>
      </c>
      <c r="B2048" t="s">
        <v>9484</v>
      </c>
      <c r="C2048" t="s">
        <v>9485</v>
      </c>
      <c r="D2048" t="s">
        <v>822</v>
      </c>
      <c r="E2048" t="s">
        <v>269</v>
      </c>
      <c r="F2048" t="s">
        <v>821</v>
      </c>
    </row>
    <row r="2049" spans="1:6" x14ac:dyDescent="0.25">
      <c r="A2049" t="s">
        <v>9486</v>
      </c>
      <c r="B2049" t="s">
        <v>9487</v>
      </c>
      <c r="C2049" t="s">
        <v>9488</v>
      </c>
      <c r="D2049" t="s">
        <v>1925</v>
      </c>
      <c r="E2049" t="s">
        <v>271</v>
      </c>
      <c r="F2049" t="s">
        <v>1924</v>
      </c>
    </row>
    <row r="2050" spans="1:6" x14ac:dyDescent="0.25">
      <c r="A2050" t="s">
        <v>9489</v>
      </c>
      <c r="B2050" t="s">
        <v>9490</v>
      </c>
      <c r="C2050" t="s">
        <v>9491</v>
      </c>
      <c r="D2050" t="s">
        <v>0</v>
      </c>
      <c r="E2050" t="s">
        <v>271</v>
      </c>
      <c r="F2050" t="s">
        <v>319</v>
      </c>
    </row>
    <row r="2051" spans="1:6" x14ac:dyDescent="0.25">
      <c r="A2051" t="s">
        <v>9492</v>
      </c>
      <c r="B2051" t="s">
        <v>9493</v>
      </c>
      <c r="C2051" t="s">
        <v>9494</v>
      </c>
      <c r="D2051" t="s">
        <v>0</v>
      </c>
      <c r="E2051" t="s">
        <v>271</v>
      </c>
      <c r="F2051" t="s">
        <v>436</v>
      </c>
    </row>
    <row r="2052" spans="1:6" x14ac:dyDescent="0.25">
      <c r="A2052" t="s">
        <v>9495</v>
      </c>
      <c r="B2052" t="s">
        <v>5504</v>
      </c>
      <c r="C2052" t="s">
        <v>9496</v>
      </c>
      <c r="D2052" t="s">
        <v>312</v>
      </c>
      <c r="E2052" t="s">
        <v>271</v>
      </c>
      <c r="F2052" t="s">
        <v>311</v>
      </c>
    </row>
    <row r="2053" spans="1:6" x14ac:dyDescent="0.25">
      <c r="A2053" t="s">
        <v>9497</v>
      </c>
      <c r="B2053" t="s">
        <v>9498</v>
      </c>
      <c r="C2053" t="s">
        <v>9499</v>
      </c>
      <c r="D2053" t="s">
        <v>237</v>
      </c>
      <c r="E2053" t="s">
        <v>271</v>
      </c>
      <c r="F2053" t="s">
        <v>427</v>
      </c>
    </row>
    <row r="2054" spans="1:6" x14ac:dyDescent="0.25">
      <c r="A2054" t="s">
        <v>9500</v>
      </c>
      <c r="B2054" t="s">
        <v>9501</v>
      </c>
      <c r="C2054" t="s">
        <v>9502</v>
      </c>
      <c r="D2054" t="s">
        <v>347</v>
      </c>
      <c r="E2054" t="s">
        <v>271</v>
      </c>
      <c r="F2054" t="s">
        <v>327</v>
      </c>
    </row>
    <row r="2055" spans="1:6" x14ac:dyDescent="0.25">
      <c r="A2055" t="s">
        <v>9503</v>
      </c>
      <c r="B2055" t="s">
        <v>9504</v>
      </c>
      <c r="C2055" t="s">
        <v>9505</v>
      </c>
      <c r="D2055" t="s">
        <v>2940</v>
      </c>
      <c r="E2055" t="s">
        <v>271</v>
      </c>
      <c r="F2055" t="s">
        <v>2939</v>
      </c>
    </row>
    <row r="2056" spans="1:6" x14ac:dyDescent="0.25">
      <c r="A2056" t="s">
        <v>9506</v>
      </c>
      <c r="B2056" t="s">
        <v>9507</v>
      </c>
      <c r="C2056" t="s">
        <v>9508</v>
      </c>
      <c r="D2056" t="s">
        <v>519</v>
      </c>
      <c r="E2056" t="s">
        <v>271</v>
      </c>
      <c r="F2056" t="s">
        <v>324</v>
      </c>
    </row>
    <row r="2057" spans="1:6" x14ac:dyDescent="0.25">
      <c r="A2057" t="s">
        <v>9509</v>
      </c>
      <c r="B2057" t="s">
        <v>9226</v>
      </c>
      <c r="C2057" t="s">
        <v>9227</v>
      </c>
      <c r="D2057" t="s">
        <v>0</v>
      </c>
      <c r="E2057" t="s">
        <v>271</v>
      </c>
      <c r="F2057" t="s">
        <v>4382</v>
      </c>
    </row>
    <row r="2058" spans="1:6" x14ac:dyDescent="0.25">
      <c r="A2058" t="s">
        <v>9510</v>
      </c>
      <c r="B2058" t="s">
        <v>9511</v>
      </c>
      <c r="C2058" t="s">
        <v>9512</v>
      </c>
      <c r="D2058" t="s">
        <v>586</v>
      </c>
      <c r="E2058" t="s">
        <v>271</v>
      </c>
      <c r="F2058" t="s">
        <v>334</v>
      </c>
    </row>
    <row r="2059" spans="1:6" x14ac:dyDescent="0.25">
      <c r="A2059" t="s">
        <v>9513</v>
      </c>
      <c r="B2059" t="s">
        <v>9514</v>
      </c>
      <c r="C2059" t="s">
        <v>9515</v>
      </c>
      <c r="D2059" t="s">
        <v>1079</v>
      </c>
      <c r="E2059" t="s">
        <v>271</v>
      </c>
      <c r="F2059" t="s">
        <v>3880</v>
      </c>
    </row>
    <row r="2060" spans="1:6" x14ac:dyDescent="0.25">
      <c r="A2060" t="s">
        <v>9516</v>
      </c>
      <c r="B2060" t="s">
        <v>9517</v>
      </c>
      <c r="C2060" t="s">
        <v>9518</v>
      </c>
      <c r="D2060" t="s">
        <v>466</v>
      </c>
      <c r="E2060" t="s">
        <v>271</v>
      </c>
      <c r="F2060" t="s">
        <v>434</v>
      </c>
    </row>
    <row r="2061" spans="1:6" x14ac:dyDescent="0.25">
      <c r="A2061" t="s">
        <v>1917</v>
      </c>
      <c r="B2061" t="s">
        <v>1918</v>
      </c>
      <c r="C2061" t="s">
        <v>1921</v>
      </c>
      <c r="D2061" t="s">
        <v>1920</v>
      </c>
      <c r="E2061" t="s">
        <v>271</v>
      </c>
      <c r="F2061" t="s">
        <v>1919</v>
      </c>
    </row>
    <row r="2062" spans="1:6" x14ac:dyDescent="0.25">
      <c r="A2062" t="s">
        <v>3401</v>
      </c>
      <c r="B2062" t="s">
        <v>3402</v>
      </c>
      <c r="C2062" t="s">
        <v>3403</v>
      </c>
      <c r="D2062" t="s">
        <v>314</v>
      </c>
      <c r="E2062" t="s">
        <v>271</v>
      </c>
      <c r="F2062" t="s">
        <v>370</v>
      </c>
    </row>
    <row r="2063" spans="1:6" x14ac:dyDescent="0.25">
      <c r="A2063" t="s">
        <v>9519</v>
      </c>
      <c r="B2063" t="s">
        <v>4751</v>
      </c>
      <c r="C2063" t="s">
        <v>4752</v>
      </c>
      <c r="D2063" t="s">
        <v>2681</v>
      </c>
      <c r="E2063" t="s">
        <v>271</v>
      </c>
      <c r="F2063" t="s">
        <v>2680</v>
      </c>
    </row>
    <row r="2064" spans="1:6" x14ac:dyDescent="0.25">
      <c r="A2064" t="s">
        <v>9520</v>
      </c>
      <c r="B2064" t="s">
        <v>9521</v>
      </c>
      <c r="C2064" t="s">
        <v>9522</v>
      </c>
      <c r="D2064" t="s">
        <v>0</v>
      </c>
      <c r="E2064" t="s">
        <v>271</v>
      </c>
      <c r="F2064" t="s">
        <v>2608</v>
      </c>
    </row>
    <row r="2065" spans="1:6" x14ac:dyDescent="0.25">
      <c r="A2065" t="s">
        <v>9523</v>
      </c>
      <c r="B2065" t="s">
        <v>9524</v>
      </c>
      <c r="C2065" t="s">
        <v>9525</v>
      </c>
      <c r="D2065" t="s">
        <v>5598</v>
      </c>
      <c r="E2065" t="s">
        <v>271</v>
      </c>
      <c r="F2065" t="s">
        <v>4427</v>
      </c>
    </row>
    <row r="2066" spans="1:6" x14ac:dyDescent="0.25">
      <c r="A2066" t="s">
        <v>9526</v>
      </c>
      <c r="B2066" t="s">
        <v>9527</v>
      </c>
      <c r="C2066" t="s">
        <v>9528</v>
      </c>
      <c r="D2066" t="s">
        <v>0</v>
      </c>
      <c r="E2066" t="s">
        <v>271</v>
      </c>
      <c r="F2066" t="s">
        <v>4378</v>
      </c>
    </row>
    <row r="2067" spans="1:6" x14ac:dyDescent="0.25">
      <c r="A2067" t="s">
        <v>9529</v>
      </c>
      <c r="B2067" t="s">
        <v>9530</v>
      </c>
      <c r="C2067" t="s">
        <v>9531</v>
      </c>
      <c r="D2067" t="s">
        <v>440</v>
      </c>
      <c r="E2067" t="s">
        <v>271</v>
      </c>
      <c r="F2067" t="s">
        <v>441</v>
      </c>
    </row>
    <row r="2068" spans="1:6" x14ac:dyDescent="0.25">
      <c r="A2068" t="s">
        <v>9532</v>
      </c>
      <c r="B2068" t="s">
        <v>9533</v>
      </c>
      <c r="C2068" t="s">
        <v>9534</v>
      </c>
      <c r="D2068" t="s">
        <v>510</v>
      </c>
      <c r="E2068" t="s">
        <v>271</v>
      </c>
      <c r="F2068" t="s">
        <v>437</v>
      </c>
    </row>
    <row r="2069" spans="1:6" x14ac:dyDescent="0.25">
      <c r="A2069" t="s">
        <v>9535</v>
      </c>
      <c r="B2069" t="s">
        <v>9536</v>
      </c>
      <c r="C2069" t="s">
        <v>9537</v>
      </c>
      <c r="D2069" t="s">
        <v>0</v>
      </c>
      <c r="E2069" t="s">
        <v>271</v>
      </c>
      <c r="F2069" t="s">
        <v>1141</v>
      </c>
    </row>
    <row r="2070" spans="1:6" x14ac:dyDescent="0.25">
      <c r="A2070" t="s">
        <v>9538</v>
      </c>
      <c r="B2070" t="s">
        <v>9539</v>
      </c>
      <c r="C2070" t="s">
        <v>9540</v>
      </c>
      <c r="D2070" t="s">
        <v>9541</v>
      </c>
      <c r="E2070" t="s">
        <v>269</v>
      </c>
      <c r="F2070" t="s">
        <v>1136</v>
      </c>
    </row>
    <row r="2071" spans="1:6" x14ac:dyDescent="0.25">
      <c r="A2071" t="s">
        <v>9542</v>
      </c>
      <c r="B2071" t="s">
        <v>9543</v>
      </c>
      <c r="C2071" t="s">
        <v>9544</v>
      </c>
      <c r="D2071" t="s">
        <v>586</v>
      </c>
      <c r="E2071" t="s">
        <v>271</v>
      </c>
      <c r="F2071" t="s">
        <v>334</v>
      </c>
    </row>
    <row r="2072" spans="1:6" x14ac:dyDescent="0.25">
      <c r="A2072" t="s">
        <v>9545</v>
      </c>
      <c r="B2072" t="s">
        <v>9546</v>
      </c>
      <c r="C2072" t="s">
        <v>9547</v>
      </c>
      <c r="D2072" t="s">
        <v>0</v>
      </c>
      <c r="E2072" t="s">
        <v>271</v>
      </c>
      <c r="F2072" t="s">
        <v>709</v>
      </c>
    </row>
    <row r="2073" spans="1:6" x14ac:dyDescent="0.25">
      <c r="A2073" t="s">
        <v>1470</v>
      </c>
      <c r="B2073" t="s">
        <v>1471</v>
      </c>
      <c r="C2073" t="s">
        <v>1472</v>
      </c>
      <c r="D2073" t="s">
        <v>353</v>
      </c>
      <c r="E2073" t="s">
        <v>271</v>
      </c>
      <c r="F2073" t="s">
        <v>354</v>
      </c>
    </row>
    <row r="2074" spans="1:6" x14ac:dyDescent="0.25">
      <c r="A2074" t="s">
        <v>9548</v>
      </c>
      <c r="B2074" t="s">
        <v>1735</v>
      </c>
      <c r="C2074" t="s">
        <v>1736</v>
      </c>
      <c r="D2074" t="s">
        <v>237</v>
      </c>
      <c r="E2074" t="s">
        <v>271</v>
      </c>
      <c r="F2074" t="s">
        <v>427</v>
      </c>
    </row>
    <row r="2075" spans="1:6" x14ac:dyDescent="0.25">
      <c r="A2075" t="s">
        <v>9549</v>
      </c>
      <c r="B2075" t="s">
        <v>9550</v>
      </c>
      <c r="C2075" t="s">
        <v>9551</v>
      </c>
      <c r="D2075" t="s">
        <v>0</v>
      </c>
      <c r="E2075" t="s">
        <v>271</v>
      </c>
      <c r="F2075" t="s">
        <v>562</v>
      </c>
    </row>
    <row r="2076" spans="1:6" x14ac:dyDescent="0.25">
      <c r="A2076" t="s">
        <v>9552</v>
      </c>
      <c r="B2076" t="s">
        <v>9553</v>
      </c>
      <c r="C2076" t="s">
        <v>9554</v>
      </c>
      <c r="D2076" t="s">
        <v>2158</v>
      </c>
      <c r="E2076" t="s">
        <v>269</v>
      </c>
      <c r="F2076" t="s">
        <v>2157</v>
      </c>
    </row>
    <row r="2077" spans="1:6" x14ac:dyDescent="0.25">
      <c r="A2077" t="s">
        <v>9555</v>
      </c>
      <c r="B2077" t="s">
        <v>9556</v>
      </c>
      <c r="C2077" t="s">
        <v>9557</v>
      </c>
      <c r="D2077" t="s">
        <v>0</v>
      </c>
      <c r="E2077" t="s">
        <v>271</v>
      </c>
      <c r="F2077" t="s">
        <v>319</v>
      </c>
    </row>
    <row r="2078" spans="1:6" x14ac:dyDescent="0.25">
      <c r="A2078" t="s">
        <v>9558</v>
      </c>
      <c r="B2078" t="s">
        <v>9559</v>
      </c>
      <c r="C2078" t="s">
        <v>9560</v>
      </c>
      <c r="D2078" t="s">
        <v>361</v>
      </c>
      <c r="E2078" t="s">
        <v>271</v>
      </c>
      <c r="F2078" t="s">
        <v>1563</v>
      </c>
    </row>
    <row r="2079" spans="1:6" x14ac:dyDescent="0.25">
      <c r="A2079" t="s">
        <v>9561</v>
      </c>
      <c r="B2079" t="s">
        <v>9562</v>
      </c>
      <c r="C2079" t="s">
        <v>9563</v>
      </c>
      <c r="D2079" t="s">
        <v>5380</v>
      </c>
      <c r="E2079" t="s">
        <v>271</v>
      </c>
      <c r="F2079" t="s">
        <v>4379</v>
      </c>
    </row>
    <row r="2080" spans="1:6" x14ac:dyDescent="0.25">
      <c r="A2080" t="s">
        <v>9564</v>
      </c>
      <c r="B2080" t="s">
        <v>9565</v>
      </c>
      <c r="C2080" t="s">
        <v>9566</v>
      </c>
      <c r="D2080" t="s">
        <v>0</v>
      </c>
      <c r="E2080" t="s">
        <v>271</v>
      </c>
      <c r="F2080" t="s">
        <v>431</v>
      </c>
    </row>
    <row r="2081" spans="1:6" x14ac:dyDescent="0.25">
      <c r="A2081" t="s">
        <v>9567</v>
      </c>
      <c r="B2081" t="s">
        <v>9568</v>
      </c>
      <c r="C2081" t="s">
        <v>9569</v>
      </c>
      <c r="D2081" t="s">
        <v>2093</v>
      </c>
      <c r="E2081" t="s">
        <v>271</v>
      </c>
      <c r="F2081" t="s">
        <v>1058</v>
      </c>
    </row>
    <row r="2082" spans="1:6" x14ac:dyDescent="0.25">
      <c r="A2082" t="s">
        <v>9570</v>
      </c>
      <c r="B2082" t="s">
        <v>9571</v>
      </c>
      <c r="C2082" t="s">
        <v>9572</v>
      </c>
      <c r="D2082" t="s">
        <v>0</v>
      </c>
      <c r="E2082" t="s">
        <v>271</v>
      </c>
      <c r="F2082" t="s">
        <v>881</v>
      </c>
    </row>
    <row r="2083" spans="1:6" x14ac:dyDescent="0.25">
      <c r="A2083" t="s">
        <v>9573</v>
      </c>
      <c r="B2083" t="s">
        <v>9574</v>
      </c>
      <c r="C2083" t="s">
        <v>9575</v>
      </c>
      <c r="D2083" t="s">
        <v>830</v>
      </c>
      <c r="E2083" t="s">
        <v>271</v>
      </c>
      <c r="F2083" t="s">
        <v>829</v>
      </c>
    </row>
    <row r="2084" spans="1:6" x14ac:dyDescent="0.25">
      <c r="A2084" t="s">
        <v>9576</v>
      </c>
      <c r="B2084" t="s">
        <v>9577</v>
      </c>
      <c r="C2084" t="s">
        <v>9578</v>
      </c>
      <c r="D2084" t="s">
        <v>1370</v>
      </c>
      <c r="E2084" t="s">
        <v>271</v>
      </c>
      <c r="F2084" t="s">
        <v>1369</v>
      </c>
    </row>
    <row r="2085" spans="1:6" x14ac:dyDescent="0.25">
      <c r="A2085" t="s">
        <v>9579</v>
      </c>
      <c r="B2085" t="s">
        <v>9580</v>
      </c>
      <c r="C2085" t="s">
        <v>9581</v>
      </c>
      <c r="D2085" t="s">
        <v>503</v>
      </c>
      <c r="E2085" t="s">
        <v>271</v>
      </c>
      <c r="F2085" t="s">
        <v>504</v>
      </c>
    </row>
    <row r="2086" spans="1:6" x14ac:dyDescent="0.25">
      <c r="A2086" t="s">
        <v>9582</v>
      </c>
      <c r="B2086" t="s">
        <v>9583</v>
      </c>
      <c r="C2086" t="s">
        <v>9584</v>
      </c>
      <c r="D2086" t="s">
        <v>0</v>
      </c>
      <c r="E2086" t="s">
        <v>271</v>
      </c>
      <c r="F2086" t="s">
        <v>355</v>
      </c>
    </row>
    <row r="2087" spans="1:6" x14ac:dyDescent="0.25">
      <c r="A2087" t="s">
        <v>2428</v>
      </c>
      <c r="B2087" t="s">
        <v>2429</v>
      </c>
      <c r="C2087" t="s">
        <v>2430</v>
      </c>
      <c r="D2087" t="s">
        <v>0</v>
      </c>
      <c r="E2087" t="s">
        <v>271</v>
      </c>
      <c r="F2087" t="s">
        <v>1148</v>
      </c>
    </row>
    <row r="2088" spans="1:6" x14ac:dyDescent="0.25">
      <c r="A2088" t="s">
        <v>9585</v>
      </c>
      <c r="B2088" t="s">
        <v>9586</v>
      </c>
      <c r="C2088" t="s">
        <v>9587</v>
      </c>
      <c r="D2088" t="s">
        <v>1348</v>
      </c>
      <c r="E2088" t="s">
        <v>271</v>
      </c>
      <c r="F2088" t="s">
        <v>2057</v>
      </c>
    </row>
    <row r="2089" spans="1:6" x14ac:dyDescent="0.25">
      <c r="A2089" t="s">
        <v>9588</v>
      </c>
      <c r="B2089" t="s">
        <v>9589</v>
      </c>
      <c r="C2089" t="s">
        <v>9590</v>
      </c>
      <c r="D2089" t="s">
        <v>1199</v>
      </c>
      <c r="E2089" t="s">
        <v>271</v>
      </c>
      <c r="F2089" t="s">
        <v>1198</v>
      </c>
    </row>
    <row r="2090" spans="1:6" x14ac:dyDescent="0.25">
      <c r="A2090" t="s">
        <v>9591</v>
      </c>
      <c r="B2090" t="s">
        <v>9592</v>
      </c>
      <c r="C2090" t="s">
        <v>9593</v>
      </c>
      <c r="D2090" t="s">
        <v>363</v>
      </c>
      <c r="E2090" t="s">
        <v>271</v>
      </c>
      <c r="F2090" t="s">
        <v>364</v>
      </c>
    </row>
    <row r="2091" spans="1:6" x14ac:dyDescent="0.25">
      <c r="A2091" t="s">
        <v>9594</v>
      </c>
      <c r="B2091" t="s">
        <v>9595</v>
      </c>
      <c r="C2091" t="s">
        <v>9596</v>
      </c>
      <c r="D2091" t="s">
        <v>972</v>
      </c>
      <c r="E2091" t="s">
        <v>269</v>
      </c>
      <c r="F2091" t="s">
        <v>971</v>
      </c>
    </row>
    <row r="2092" spans="1:6" x14ac:dyDescent="0.25">
      <c r="A2092" t="s">
        <v>9597</v>
      </c>
      <c r="B2092" t="s">
        <v>9598</v>
      </c>
      <c r="C2092" t="s">
        <v>9599</v>
      </c>
      <c r="D2092" t="s">
        <v>267</v>
      </c>
      <c r="E2092" t="s">
        <v>271</v>
      </c>
      <c r="F2092" t="s">
        <v>480</v>
      </c>
    </row>
    <row r="2093" spans="1:6" x14ac:dyDescent="0.25">
      <c r="A2093" t="s">
        <v>9600</v>
      </c>
      <c r="B2093" t="s">
        <v>9601</v>
      </c>
      <c r="C2093" t="s">
        <v>9602</v>
      </c>
      <c r="D2093" t="s">
        <v>822</v>
      </c>
      <c r="E2093" t="s">
        <v>269</v>
      </c>
      <c r="F2093" t="s">
        <v>821</v>
      </c>
    </row>
    <row r="2094" spans="1:6" x14ac:dyDescent="0.25">
      <c r="A2094" t="s">
        <v>9603</v>
      </c>
      <c r="B2094" t="s">
        <v>9604</v>
      </c>
      <c r="C2094" t="s">
        <v>9605</v>
      </c>
      <c r="D2094" t="s">
        <v>0</v>
      </c>
      <c r="E2094" t="s">
        <v>271</v>
      </c>
      <c r="F2094" t="s">
        <v>323</v>
      </c>
    </row>
    <row r="2095" spans="1:6" x14ac:dyDescent="0.25">
      <c r="A2095" t="s">
        <v>9606</v>
      </c>
      <c r="B2095" t="s">
        <v>9607</v>
      </c>
      <c r="C2095" t="s">
        <v>9608</v>
      </c>
      <c r="D2095" t="s">
        <v>361</v>
      </c>
      <c r="E2095" t="s">
        <v>271</v>
      </c>
      <c r="F2095" t="s">
        <v>1563</v>
      </c>
    </row>
    <row r="2096" spans="1:6" x14ac:dyDescent="0.25">
      <c r="A2096" t="s">
        <v>9609</v>
      </c>
      <c r="B2096" t="s">
        <v>9610</v>
      </c>
      <c r="C2096" t="s">
        <v>9611</v>
      </c>
      <c r="D2096" t="s">
        <v>0</v>
      </c>
      <c r="E2096" t="s">
        <v>271</v>
      </c>
      <c r="F2096" t="s">
        <v>355</v>
      </c>
    </row>
    <row r="2097" spans="1:6" x14ac:dyDescent="0.25">
      <c r="A2097" t="s">
        <v>9612</v>
      </c>
      <c r="B2097" t="s">
        <v>9613</v>
      </c>
      <c r="C2097" t="s">
        <v>9614</v>
      </c>
      <c r="D2097" t="s">
        <v>0</v>
      </c>
      <c r="E2097" t="s">
        <v>271</v>
      </c>
      <c r="F2097" t="s">
        <v>2377</v>
      </c>
    </row>
    <row r="2098" spans="1:6" x14ac:dyDescent="0.25">
      <c r="A2098" t="s">
        <v>9615</v>
      </c>
      <c r="B2098" t="s">
        <v>9616</v>
      </c>
      <c r="C2098" t="s">
        <v>9617</v>
      </c>
      <c r="D2098" t="s">
        <v>377</v>
      </c>
      <c r="E2098" t="s">
        <v>269</v>
      </c>
      <c r="F2098" t="s">
        <v>1786</v>
      </c>
    </row>
    <row r="2099" spans="1:6" x14ac:dyDescent="0.25">
      <c r="A2099" t="s">
        <v>9618</v>
      </c>
      <c r="B2099" t="s">
        <v>9619</v>
      </c>
      <c r="C2099" t="s">
        <v>9620</v>
      </c>
      <c r="D2099" t="s">
        <v>0</v>
      </c>
      <c r="E2099" t="s">
        <v>271</v>
      </c>
      <c r="F2099" t="s">
        <v>356</v>
      </c>
    </row>
    <row r="2100" spans="1:6" x14ac:dyDescent="0.25">
      <c r="A2100" t="s">
        <v>9621</v>
      </c>
      <c r="B2100" t="s">
        <v>9622</v>
      </c>
      <c r="C2100" t="s">
        <v>9623</v>
      </c>
      <c r="D2100" t="s">
        <v>345</v>
      </c>
      <c r="E2100" t="s">
        <v>269</v>
      </c>
      <c r="F2100" t="s">
        <v>684</v>
      </c>
    </row>
    <row r="2101" spans="1:6" x14ac:dyDescent="0.25">
      <c r="A2101" t="s">
        <v>1053</v>
      </c>
      <c r="B2101" t="s">
        <v>1054</v>
      </c>
      <c r="C2101" t="s">
        <v>1055</v>
      </c>
      <c r="D2101" t="s">
        <v>363</v>
      </c>
      <c r="E2101" t="s">
        <v>271</v>
      </c>
      <c r="F2101" t="s">
        <v>364</v>
      </c>
    </row>
    <row r="2102" spans="1:6" x14ac:dyDescent="0.25">
      <c r="A2102" t="s">
        <v>3446</v>
      </c>
      <c r="B2102" t="s">
        <v>3447</v>
      </c>
      <c r="C2102" t="s">
        <v>3448</v>
      </c>
      <c r="D2102" t="s">
        <v>540</v>
      </c>
      <c r="E2102" t="s">
        <v>271</v>
      </c>
      <c r="F2102" t="s">
        <v>339</v>
      </c>
    </row>
    <row r="2103" spans="1:6" x14ac:dyDescent="0.25">
      <c r="A2103" t="s">
        <v>9624</v>
      </c>
      <c r="B2103" t="s">
        <v>9625</v>
      </c>
      <c r="C2103" t="s">
        <v>9626</v>
      </c>
      <c r="D2103" t="s">
        <v>295</v>
      </c>
      <c r="E2103" t="s">
        <v>271</v>
      </c>
      <c r="F2103" t="s">
        <v>1575</v>
      </c>
    </row>
    <row r="2104" spans="1:6" x14ac:dyDescent="0.25">
      <c r="A2104" t="s">
        <v>9627</v>
      </c>
      <c r="B2104" t="s">
        <v>9628</v>
      </c>
      <c r="C2104" t="s">
        <v>692</v>
      </c>
      <c r="D2104" t="s">
        <v>347</v>
      </c>
      <c r="E2104" t="s">
        <v>271</v>
      </c>
      <c r="F2104" t="s">
        <v>327</v>
      </c>
    </row>
    <row r="2105" spans="1:6" x14ac:dyDescent="0.25">
      <c r="A2105" t="s">
        <v>9629</v>
      </c>
      <c r="B2105" t="s">
        <v>9630</v>
      </c>
      <c r="C2105" t="s">
        <v>9631</v>
      </c>
      <c r="D2105" t="s">
        <v>1126</v>
      </c>
      <c r="E2105" t="s">
        <v>271</v>
      </c>
      <c r="F2105" t="s">
        <v>1125</v>
      </c>
    </row>
    <row r="2106" spans="1:6" x14ac:dyDescent="0.25">
      <c r="A2106" t="s">
        <v>3598</v>
      </c>
      <c r="B2106" t="s">
        <v>3599</v>
      </c>
      <c r="C2106" t="s">
        <v>3600</v>
      </c>
      <c r="D2106" t="s">
        <v>1601</v>
      </c>
      <c r="E2106" t="s">
        <v>269</v>
      </c>
      <c r="F2106" t="s">
        <v>2243</v>
      </c>
    </row>
    <row r="2107" spans="1:6" x14ac:dyDescent="0.25">
      <c r="A2107" t="s">
        <v>9632</v>
      </c>
      <c r="B2107" t="s">
        <v>9633</v>
      </c>
      <c r="C2107" t="s">
        <v>9634</v>
      </c>
      <c r="D2107" t="s">
        <v>1337</v>
      </c>
      <c r="E2107" t="s">
        <v>271</v>
      </c>
      <c r="F2107" t="s">
        <v>1336</v>
      </c>
    </row>
    <row r="2108" spans="1:6" x14ac:dyDescent="0.25">
      <c r="A2108" t="s">
        <v>9635</v>
      </c>
      <c r="B2108" t="s">
        <v>9636</v>
      </c>
      <c r="C2108" t="s">
        <v>9637</v>
      </c>
      <c r="D2108" t="s">
        <v>0</v>
      </c>
      <c r="E2108" t="s">
        <v>271</v>
      </c>
      <c r="F2108" t="s">
        <v>688</v>
      </c>
    </row>
    <row r="2109" spans="1:6" x14ac:dyDescent="0.25">
      <c r="A2109" t="s">
        <v>9638</v>
      </c>
      <c r="B2109" t="s">
        <v>9639</v>
      </c>
      <c r="C2109" t="s">
        <v>9640</v>
      </c>
      <c r="D2109" t="s">
        <v>972</v>
      </c>
      <c r="E2109" t="s">
        <v>269</v>
      </c>
      <c r="F2109" t="s">
        <v>971</v>
      </c>
    </row>
    <row r="2110" spans="1:6" x14ac:dyDescent="0.25">
      <c r="A2110" t="s">
        <v>9641</v>
      </c>
      <c r="B2110" t="s">
        <v>9642</v>
      </c>
      <c r="C2110" t="s">
        <v>9643</v>
      </c>
      <c r="D2110" t="s">
        <v>0</v>
      </c>
      <c r="E2110" t="s">
        <v>271</v>
      </c>
      <c r="F2110" t="s">
        <v>1115</v>
      </c>
    </row>
    <row r="2111" spans="1:6" x14ac:dyDescent="0.25">
      <c r="A2111" t="s">
        <v>9644</v>
      </c>
      <c r="B2111" t="s">
        <v>9645</v>
      </c>
      <c r="C2111" t="s">
        <v>9646</v>
      </c>
      <c r="D2111" t="s">
        <v>0</v>
      </c>
      <c r="E2111" t="s">
        <v>271</v>
      </c>
      <c r="F2111" t="s">
        <v>1321</v>
      </c>
    </row>
    <row r="2112" spans="1:6" x14ac:dyDescent="0.25">
      <c r="A2112" t="s">
        <v>9647</v>
      </c>
      <c r="B2112" t="s">
        <v>9648</v>
      </c>
      <c r="C2112" t="s">
        <v>9649</v>
      </c>
      <c r="D2112" t="s">
        <v>0</v>
      </c>
      <c r="E2112" t="s">
        <v>271</v>
      </c>
      <c r="F2112" t="s">
        <v>881</v>
      </c>
    </row>
    <row r="2113" spans="1:6" x14ac:dyDescent="0.25">
      <c r="A2113" t="s">
        <v>9650</v>
      </c>
      <c r="B2113" t="s">
        <v>9651</v>
      </c>
      <c r="C2113" t="s">
        <v>9652</v>
      </c>
      <c r="D2113" t="s">
        <v>500</v>
      </c>
      <c r="E2113" t="s">
        <v>271</v>
      </c>
      <c r="F2113" t="s">
        <v>501</v>
      </c>
    </row>
    <row r="2114" spans="1:6" x14ac:dyDescent="0.25">
      <c r="A2114" t="s">
        <v>2437</v>
      </c>
      <c r="B2114" t="s">
        <v>256</v>
      </c>
      <c r="C2114" t="s">
        <v>2438</v>
      </c>
      <c r="D2114" t="s">
        <v>1542</v>
      </c>
      <c r="E2114" t="s">
        <v>269</v>
      </c>
      <c r="F2114" t="s">
        <v>1541</v>
      </c>
    </row>
    <row r="2115" spans="1:6" x14ac:dyDescent="0.25">
      <c r="A2115" t="s">
        <v>9653</v>
      </c>
      <c r="B2115" t="s">
        <v>9654</v>
      </c>
      <c r="C2115" t="s">
        <v>7705</v>
      </c>
      <c r="D2115" t="s">
        <v>361</v>
      </c>
      <c r="E2115" t="s">
        <v>271</v>
      </c>
      <c r="F2115" t="s">
        <v>1563</v>
      </c>
    </row>
    <row r="2116" spans="1:6" x14ac:dyDescent="0.25">
      <c r="A2116" t="s">
        <v>9655</v>
      </c>
      <c r="B2116" t="s">
        <v>5834</v>
      </c>
      <c r="C2116" t="s">
        <v>7847</v>
      </c>
      <c r="D2116" t="s">
        <v>498</v>
      </c>
      <c r="E2116" t="s">
        <v>271</v>
      </c>
      <c r="F2116" t="s">
        <v>926</v>
      </c>
    </row>
    <row r="2117" spans="1:6" x14ac:dyDescent="0.25">
      <c r="A2117" t="s">
        <v>9656</v>
      </c>
      <c r="B2117" t="s">
        <v>9657</v>
      </c>
      <c r="C2117" t="s">
        <v>9658</v>
      </c>
      <c r="D2117" t="s">
        <v>1915</v>
      </c>
      <c r="E2117" t="s">
        <v>269</v>
      </c>
      <c r="F2117" t="s">
        <v>1914</v>
      </c>
    </row>
    <row r="2118" spans="1:6" x14ac:dyDescent="0.25">
      <c r="A2118" t="s">
        <v>9659</v>
      </c>
      <c r="B2118" t="s">
        <v>9660</v>
      </c>
      <c r="C2118" t="s">
        <v>4712</v>
      </c>
      <c r="D2118" t="s">
        <v>2093</v>
      </c>
      <c r="E2118" t="s">
        <v>271</v>
      </c>
      <c r="F2118" t="s">
        <v>1058</v>
      </c>
    </row>
    <row r="2119" spans="1:6" x14ac:dyDescent="0.25">
      <c r="A2119" t="s">
        <v>9661</v>
      </c>
      <c r="B2119" t="s">
        <v>9662</v>
      </c>
      <c r="C2119" t="s">
        <v>2454</v>
      </c>
      <c r="D2119" t="s">
        <v>0</v>
      </c>
      <c r="E2119" t="s">
        <v>271</v>
      </c>
      <c r="F2119" t="s">
        <v>881</v>
      </c>
    </row>
    <row r="2120" spans="1:6" x14ac:dyDescent="0.25">
      <c r="A2120" t="s">
        <v>9663</v>
      </c>
      <c r="B2120" t="s">
        <v>9664</v>
      </c>
      <c r="C2120" t="s">
        <v>9665</v>
      </c>
      <c r="D2120" t="s">
        <v>272</v>
      </c>
      <c r="E2120" t="s">
        <v>269</v>
      </c>
      <c r="F2120" t="s">
        <v>907</v>
      </c>
    </row>
    <row r="2121" spans="1:6" x14ac:dyDescent="0.25">
      <c r="A2121" t="s">
        <v>9666</v>
      </c>
      <c r="B2121" t="s">
        <v>9667</v>
      </c>
      <c r="C2121" t="s">
        <v>9668</v>
      </c>
      <c r="D2121" t="s">
        <v>0</v>
      </c>
      <c r="E2121" t="s">
        <v>271</v>
      </c>
      <c r="F2121" t="s">
        <v>562</v>
      </c>
    </row>
    <row r="2122" spans="1:6" x14ac:dyDescent="0.25">
      <c r="A2122" t="s">
        <v>9669</v>
      </c>
      <c r="B2122" t="s">
        <v>9670</v>
      </c>
      <c r="C2122" t="s">
        <v>9671</v>
      </c>
      <c r="D2122" t="s">
        <v>1019</v>
      </c>
      <c r="E2122" t="s">
        <v>271</v>
      </c>
      <c r="F2122" t="s">
        <v>1018</v>
      </c>
    </row>
    <row r="2123" spans="1:6" x14ac:dyDescent="0.25">
      <c r="A2123" t="s">
        <v>9672</v>
      </c>
      <c r="B2123" t="s">
        <v>9673</v>
      </c>
      <c r="C2123" t="s">
        <v>9674</v>
      </c>
      <c r="D2123" t="s">
        <v>9675</v>
      </c>
      <c r="E2123" t="s">
        <v>271</v>
      </c>
      <c r="F2123" t="s">
        <v>4389</v>
      </c>
    </row>
    <row r="2124" spans="1:6" x14ac:dyDescent="0.25">
      <c r="A2124" t="s">
        <v>9676</v>
      </c>
      <c r="B2124" t="s">
        <v>235</v>
      </c>
      <c r="C2124" t="s">
        <v>9677</v>
      </c>
      <c r="D2124" t="s">
        <v>0</v>
      </c>
      <c r="E2124" t="s">
        <v>271</v>
      </c>
      <c r="F2124" t="s">
        <v>785</v>
      </c>
    </row>
    <row r="2125" spans="1:6" x14ac:dyDescent="0.25">
      <c r="A2125" t="s">
        <v>1279</v>
      </c>
      <c r="B2125" t="s">
        <v>1280</v>
      </c>
      <c r="C2125" t="s">
        <v>1281</v>
      </c>
      <c r="D2125" t="s">
        <v>675</v>
      </c>
      <c r="E2125" t="s">
        <v>271</v>
      </c>
      <c r="F2125" t="s">
        <v>674</v>
      </c>
    </row>
    <row r="2126" spans="1:6" x14ac:dyDescent="0.25">
      <c r="A2126" t="s">
        <v>9678</v>
      </c>
      <c r="B2126" t="s">
        <v>9679</v>
      </c>
      <c r="C2126" t="s">
        <v>9680</v>
      </c>
      <c r="D2126" t="s">
        <v>0</v>
      </c>
      <c r="E2126" t="s">
        <v>271</v>
      </c>
      <c r="F2126" t="s">
        <v>323</v>
      </c>
    </row>
    <row r="2127" spans="1:6" x14ac:dyDescent="0.25">
      <c r="A2127" t="s">
        <v>9681</v>
      </c>
      <c r="B2127" t="s">
        <v>9682</v>
      </c>
      <c r="C2127" t="s">
        <v>9683</v>
      </c>
      <c r="D2127" t="s">
        <v>1542</v>
      </c>
      <c r="E2127" t="s">
        <v>269</v>
      </c>
      <c r="F2127" t="s">
        <v>1541</v>
      </c>
    </row>
    <row r="2128" spans="1:6" x14ac:dyDescent="0.25">
      <c r="A2128" t="s">
        <v>9684</v>
      </c>
      <c r="B2128" t="s">
        <v>9685</v>
      </c>
      <c r="C2128" t="s">
        <v>9686</v>
      </c>
      <c r="D2128" t="s">
        <v>0</v>
      </c>
      <c r="E2128" t="s">
        <v>271</v>
      </c>
      <c r="F2128" t="s">
        <v>432</v>
      </c>
    </row>
    <row r="2129" spans="1:6" x14ac:dyDescent="0.25">
      <c r="A2129" t="s">
        <v>9687</v>
      </c>
      <c r="B2129" t="s">
        <v>9688</v>
      </c>
      <c r="C2129" t="s">
        <v>9689</v>
      </c>
      <c r="D2129" t="s">
        <v>1609</v>
      </c>
      <c r="E2129" t="s">
        <v>271</v>
      </c>
      <c r="F2129" t="s">
        <v>1608</v>
      </c>
    </row>
    <row r="2130" spans="1:6" x14ac:dyDescent="0.25">
      <c r="A2130" t="s">
        <v>9690</v>
      </c>
      <c r="B2130" t="s">
        <v>5090</v>
      </c>
      <c r="C2130" t="s">
        <v>9691</v>
      </c>
      <c r="D2130" t="s">
        <v>9692</v>
      </c>
      <c r="E2130" t="s">
        <v>271</v>
      </c>
      <c r="F2130" t="s">
        <v>447</v>
      </c>
    </row>
    <row r="2131" spans="1:6" x14ac:dyDescent="0.25">
      <c r="A2131" t="s">
        <v>9693</v>
      </c>
      <c r="B2131" t="s">
        <v>9694</v>
      </c>
      <c r="C2131" t="s">
        <v>9695</v>
      </c>
      <c r="D2131" t="s">
        <v>0</v>
      </c>
      <c r="E2131" t="s">
        <v>271</v>
      </c>
      <c r="F2131" t="s">
        <v>1148</v>
      </c>
    </row>
    <row r="2132" spans="1:6" x14ac:dyDescent="0.25">
      <c r="A2132" t="s">
        <v>9696</v>
      </c>
      <c r="B2132" t="s">
        <v>9697</v>
      </c>
      <c r="C2132" t="s">
        <v>9698</v>
      </c>
      <c r="D2132" t="s">
        <v>7255</v>
      </c>
      <c r="E2132" t="s">
        <v>269</v>
      </c>
      <c r="F2132" t="s">
        <v>4404</v>
      </c>
    </row>
    <row r="2133" spans="1:6" x14ac:dyDescent="0.25">
      <c r="A2133" t="s">
        <v>9699</v>
      </c>
      <c r="B2133" t="s">
        <v>9700</v>
      </c>
      <c r="C2133" t="s">
        <v>9701</v>
      </c>
      <c r="D2133" t="s">
        <v>510</v>
      </c>
      <c r="E2133" t="s">
        <v>271</v>
      </c>
      <c r="F2133" t="s">
        <v>437</v>
      </c>
    </row>
    <row r="2134" spans="1:6" x14ac:dyDescent="0.25">
      <c r="A2134" t="s">
        <v>9702</v>
      </c>
      <c r="B2134" t="s">
        <v>9703</v>
      </c>
      <c r="C2134" t="s">
        <v>9704</v>
      </c>
      <c r="D2134" t="s">
        <v>2908</v>
      </c>
      <c r="E2134" t="s">
        <v>271</v>
      </c>
      <c r="F2134" t="s">
        <v>2470</v>
      </c>
    </row>
    <row r="2135" spans="1:6" x14ac:dyDescent="0.25">
      <c r="A2135" t="s">
        <v>9705</v>
      </c>
      <c r="B2135" t="s">
        <v>9706</v>
      </c>
      <c r="C2135" t="s">
        <v>9707</v>
      </c>
      <c r="D2135" t="s">
        <v>361</v>
      </c>
      <c r="E2135" t="s">
        <v>271</v>
      </c>
      <c r="F2135" t="s">
        <v>1563</v>
      </c>
    </row>
    <row r="2136" spans="1:6" x14ac:dyDescent="0.25">
      <c r="A2136" t="s">
        <v>3688</v>
      </c>
      <c r="B2136" t="s">
        <v>3689</v>
      </c>
      <c r="C2136" t="s">
        <v>3690</v>
      </c>
      <c r="D2136" t="s">
        <v>2265</v>
      </c>
      <c r="E2136" t="s">
        <v>271</v>
      </c>
      <c r="F2136" t="s">
        <v>2264</v>
      </c>
    </row>
    <row r="2137" spans="1:6" x14ac:dyDescent="0.25">
      <c r="A2137" t="s">
        <v>2987</v>
      </c>
      <c r="B2137" t="s">
        <v>2988</v>
      </c>
      <c r="C2137" t="s">
        <v>2989</v>
      </c>
      <c r="D2137" t="s">
        <v>232</v>
      </c>
      <c r="E2137" t="s">
        <v>271</v>
      </c>
      <c r="F2137" t="s">
        <v>329</v>
      </c>
    </row>
    <row r="2138" spans="1:6" x14ac:dyDescent="0.25">
      <c r="A2138" t="s">
        <v>2954</v>
      </c>
      <c r="B2138" t="s">
        <v>2955</v>
      </c>
      <c r="C2138" t="s">
        <v>2956</v>
      </c>
      <c r="D2138" t="s">
        <v>2471</v>
      </c>
      <c r="E2138" t="s">
        <v>271</v>
      </c>
      <c r="F2138" t="s">
        <v>2470</v>
      </c>
    </row>
    <row r="2139" spans="1:6" x14ac:dyDescent="0.25">
      <c r="A2139" t="s">
        <v>9708</v>
      </c>
      <c r="B2139" t="s">
        <v>9709</v>
      </c>
      <c r="C2139" t="s">
        <v>9710</v>
      </c>
      <c r="D2139" t="s">
        <v>616</v>
      </c>
      <c r="E2139" t="s">
        <v>271</v>
      </c>
      <c r="F2139" t="s">
        <v>1102</v>
      </c>
    </row>
    <row r="2140" spans="1:6" x14ac:dyDescent="0.25">
      <c r="A2140" t="s">
        <v>9711</v>
      </c>
      <c r="B2140" t="s">
        <v>9712</v>
      </c>
      <c r="C2140" t="s">
        <v>9713</v>
      </c>
      <c r="D2140" t="s">
        <v>0</v>
      </c>
      <c r="E2140" t="s">
        <v>271</v>
      </c>
      <c r="F2140" t="s">
        <v>3740</v>
      </c>
    </row>
    <row r="2141" spans="1:6" x14ac:dyDescent="0.25">
      <c r="A2141" t="s">
        <v>9714</v>
      </c>
      <c r="B2141" t="s">
        <v>9715</v>
      </c>
      <c r="C2141" t="s">
        <v>9716</v>
      </c>
      <c r="D2141" t="s">
        <v>668</v>
      </c>
      <c r="E2141" t="s">
        <v>271</v>
      </c>
      <c r="F2141" t="s">
        <v>667</v>
      </c>
    </row>
    <row r="2142" spans="1:6" x14ac:dyDescent="0.25">
      <c r="A2142" t="s">
        <v>9717</v>
      </c>
      <c r="B2142" t="s">
        <v>9718</v>
      </c>
      <c r="C2142" t="s">
        <v>9719</v>
      </c>
      <c r="D2142" t="s">
        <v>9720</v>
      </c>
      <c r="E2142" t="s">
        <v>271</v>
      </c>
      <c r="F2142" t="s">
        <v>1567</v>
      </c>
    </row>
    <row r="2143" spans="1:6" x14ac:dyDescent="0.25">
      <c r="A2143" t="s">
        <v>9721</v>
      </c>
      <c r="B2143" t="s">
        <v>9722</v>
      </c>
      <c r="C2143" t="s">
        <v>9723</v>
      </c>
      <c r="D2143" t="s">
        <v>967</v>
      </c>
      <c r="E2143" t="s">
        <v>271</v>
      </c>
      <c r="F2143" t="s">
        <v>966</v>
      </c>
    </row>
    <row r="2144" spans="1:6" x14ac:dyDescent="0.25">
      <c r="A2144" t="s">
        <v>9724</v>
      </c>
      <c r="B2144" t="s">
        <v>9725</v>
      </c>
      <c r="C2144" t="s">
        <v>9726</v>
      </c>
      <c r="D2144" t="s">
        <v>1806</v>
      </c>
      <c r="E2144" t="s">
        <v>271</v>
      </c>
      <c r="F2144" t="s">
        <v>1805</v>
      </c>
    </row>
    <row r="2145" spans="1:6" x14ac:dyDescent="0.25">
      <c r="A2145" t="s">
        <v>9727</v>
      </c>
      <c r="B2145" t="s">
        <v>9728</v>
      </c>
      <c r="C2145" t="s">
        <v>9729</v>
      </c>
      <c r="D2145" t="s">
        <v>1165</v>
      </c>
      <c r="E2145" t="s">
        <v>271</v>
      </c>
      <c r="F2145" t="s">
        <v>1402</v>
      </c>
    </row>
    <row r="2146" spans="1:6" x14ac:dyDescent="0.25">
      <c r="A2146" t="s">
        <v>9730</v>
      </c>
      <c r="B2146" t="s">
        <v>9731</v>
      </c>
      <c r="C2146" t="s">
        <v>9732</v>
      </c>
      <c r="D2146" t="s">
        <v>742</v>
      </c>
      <c r="E2146" t="s">
        <v>271</v>
      </c>
      <c r="F2146" t="s">
        <v>741</v>
      </c>
    </row>
    <row r="2147" spans="1:6" x14ac:dyDescent="0.25">
      <c r="A2147" t="s">
        <v>9733</v>
      </c>
      <c r="B2147" t="s">
        <v>9734</v>
      </c>
      <c r="C2147" t="s">
        <v>9735</v>
      </c>
      <c r="D2147" t="s">
        <v>4840</v>
      </c>
      <c r="E2147" t="s">
        <v>271</v>
      </c>
      <c r="F2147" t="s">
        <v>593</v>
      </c>
    </row>
    <row r="2148" spans="1:6" x14ac:dyDescent="0.25">
      <c r="A2148" t="s">
        <v>9736</v>
      </c>
      <c r="B2148" t="s">
        <v>9737</v>
      </c>
      <c r="C2148" t="s">
        <v>9738</v>
      </c>
      <c r="D2148" t="s">
        <v>1361</v>
      </c>
      <c r="E2148" t="s">
        <v>271</v>
      </c>
      <c r="F2148" t="s">
        <v>1360</v>
      </c>
    </row>
    <row r="2149" spans="1:6" x14ac:dyDescent="0.25">
      <c r="A2149" t="s">
        <v>3251</v>
      </c>
      <c r="B2149" t="s">
        <v>3252</v>
      </c>
      <c r="C2149" t="s">
        <v>3253</v>
      </c>
      <c r="D2149" t="s">
        <v>0</v>
      </c>
      <c r="E2149" t="s">
        <v>271</v>
      </c>
      <c r="F2149" t="s">
        <v>431</v>
      </c>
    </row>
    <row r="2150" spans="1:6" x14ac:dyDescent="0.25">
      <c r="A2150" t="s">
        <v>9739</v>
      </c>
      <c r="B2150" t="s">
        <v>9740</v>
      </c>
      <c r="C2150" t="s">
        <v>8089</v>
      </c>
      <c r="D2150" t="s">
        <v>0</v>
      </c>
      <c r="E2150" t="s">
        <v>271</v>
      </c>
      <c r="F2150" t="s">
        <v>1141</v>
      </c>
    </row>
    <row r="2151" spans="1:6" x14ac:dyDescent="0.25">
      <c r="A2151" t="s">
        <v>9741</v>
      </c>
      <c r="B2151" t="s">
        <v>9742</v>
      </c>
      <c r="C2151" t="s">
        <v>9743</v>
      </c>
      <c r="D2151" t="s">
        <v>1485</v>
      </c>
      <c r="E2151" t="s">
        <v>271</v>
      </c>
      <c r="F2151" t="s">
        <v>1519</v>
      </c>
    </row>
    <row r="2152" spans="1:6" x14ac:dyDescent="0.25">
      <c r="A2152" t="s">
        <v>9744</v>
      </c>
      <c r="B2152" t="s">
        <v>9745</v>
      </c>
      <c r="C2152" t="s">
        <v>9746</v>
      </c>
      <c r="D2152" t="s">
        <v>492</v>
      </c>
      <c r="E2152" t="s">
        <v>271</v>
      </c>
      <c r="F2152" t="s">
        <v>493</v>
      </c>
    </row>
    <row r="2153" spans="1:6" x14ac:dyDescent="0.25">
      <c r="A2153" t="s">
        <v>9747</v>
      </c>
      <c r="B2153" t="s">
        <v>9748</v>
      </c>
      <c r="C2153" t="s">
        <v>9749</v>
      </c>
      <c r="D2153" t="s">
        <v>2067</v>
      </c>
      <c r="E2153" t="s">
        <v>271</v>
      </c>
      <c r="F2153" t="s">
        <v>2066</v>
      </c>
    </row>
    <row r="2154" spans="1:6" x14ac:dyDescent="0.25">
      <c r="A2154" t="s">
        <v>1388</v>
      </c>
      <c r="B2154" t="s">
        <v>1389</v>
      </c>
      <c r="C2154" t="s">
        <v>1390</v>
      </c>
      <c r="D2154" t="s">
        <v>822</v>
      </c>
      <c r="E2154" t="s">
        <v>269</v>
      </c>
      <c r="F2154" t="s">
        <v>821</v>
      </c>
    </row>
    <row r="2155" spans="1:6" x14ac:dyDescent="0.25">
      <c r="A2155" t="s">
        <v>9750</v>
      </c>
      <c r="B2155" t="s">
        <v>9751</v>
      </c>
      <c r="C2155" t="s">
        <v>9752</v>
      </c>
      <c r="D2155" t="s">
        <v>0</v>
      </c>
      <c r="E2155" t="s">
        <v>271</v>
      </c>
      <c r="F2155" t="s">
        <v>1321</v>
      </c>
    </row>
    <row r="2156" spans="1:6" x14ac:dyDescent="0.25">
      <c r="A2156" t="s">
        <v>9753</v>
      </c>
      <c r="B2156" t="s">
        <v>9754</v>
      </c>
      <c r="C2156" t="s">
        <v>9755</v>
      </c>
      <c r="D2156" t="s">
        <v>5598</v>
      </c>
      <c r="E2156" t="s">
        <v>271</v>
      </c>
      <c r="F2156" t="s">
        <v>4427</v>
      </c>
    </row>
    <row r="2157" spans="1:6" x14ac:dyDescent="0.25">
      <c r="A2157" t="s">
        <v>9756</v>
      </c>
      <c r="B2157" t="s">
        <v>9757</v>
      </c>
      <c r="C2157" t="s">
        <v>9758</v>
      </c>
      <c r="D2157" t="s">
        <v>1199</v>
      </c>
      <c r="E2157" t="s">
        <v>271</v>
      </c>
      <c r="F2157" t="s">
        <v>1198</v>
      </c>
    </row>
    <row r="2158" spans="1:6" x14ac:dyDescent="0.25">
      <c r="A2158" t="s">
        <v>9759</v>
      </c>
      <c r="B2158" t="s">
        <v>9760</v>
      </c>
      <c r="C2158" t="s">
        <v>9761</v>
      </c>
      <c r="D2158" t="s">
        <v>450</v>
      </c>
      <c r="E2158" t="s">
        <v>271</v>
      </c>
      <c r="F2158" t="s">
        <v>2794</v>
      </c>
    </row>
    <row r="2159" spans="1:6" x14ac:dyDescent="0.25">
      <c r="A2159" t="s">
        <v>9762</v>
      </c>
      <c r="B2159" t="s">
        <v>9763</v>
      </c>
      <c r="C2159" t="s">
        <v>9764</v>
      </c>
      <c r="D2159" t="s">
        <v>0</v>
      </c>
      <c r="E2159" t="s">
        <v>271</v>
      </c>
      <c r="F2159" t="s">
        <v>688</v>
      </c>
    </row>
    <row r="2160" spans="1:6" x14ac:dyDescent="0.25">
      <c r="A2160" t="s">
        <v>9765</v>
      </c>
      <c r="B2160" t="s">
        <v>9766</v>
      </c>
      <c r="C2160" t="s">
        <v>6834</v>
      </c>
      <c r="D2160" t="s">
        <v>0</v>
      </c>
      <c r="E2160" t="s">
        <v>271</v>
      </c>
      <c r="F2160" t="s">
        <v>1180</v>
      </c>
    </row>
    <row r="2161" spans="1:6" x14ac:dyDescent="0.25">
      <c r="A2161" t="s">
        <v>9767</v>
      </c>
      <c r="B2161" t="s">
        <v>9768</v>
      </c>
      <c r="C2161" t="s">
        <v>9769</v>
      </c>
      <c r="D2161" t="s">
        <v>314</v>
      </c>
      <c r="E2161" t="s">
        <v>271</v>
      </c>
      <c r="F2161" t="s">
        <v>352</v>
      </c>
    </row>
    <row r="2162" spans="1:6" x14ac:dyDescent="0.25">
      <c r="A2162" t="s">
        <v>9770</v>
      </c>
      <c r="B2162" t="s">
        <v>9771</v>
      </c>
      <c r="C2162" t="s">
        <v>9772</v>
      </c>
      <c r="D2162" t="s">
        <v>1027</v>
      </c>
      <c r="E2162" t="s">
        <v>271</v>
      </c>
      <c r="F2162" t="s">
        <v>1026</v>
      </c>
    </row>
    <row r="2163" spans="1:6" x14ac:dyDescent="0.25">
      <c r="A2163" t="s">
        <v>9773</v>
      </c>
      <c r="B2163" t="s">
        <v>9774</v>
      </c>
      <c r="C2163" t="s">
        <v>9775</v>
      </c>
      <c r="D2163" t="s">
        <v>1297</v>
      </c>
      <c r="E2163" t="s">
        <v>271</v>
      </c>
      <c r="F2163" t="s">
        <v>996</v>
      </c>
    </row>
    <row r="2164" spans="1:6" x14ac:dyDescent="0.25">
      <c r="A2164" t="s">
        <v>2877</v>
      </c>
      <c r="B2164" t="s">
        <v>2878</v>
      </c>
      <c r="C2164" t="s">
        <v>2879</v>
      </c>
      <c r="D2164" t="s">
        <v>0</v>
      </c>
      <c r="E2164" t="s">
        <v>271</v>
      </c>
      <c r="F2164" t="s">
        <v>356</v>
      </c>
    </row>
    <row r="2165" spans="1:6" x14ac:dyDescent="0.25">
      <c r="A2165" t="s">
        <v>2237</v>
      </c>
      <c r="B2165" t="s">
        <v>2238</v>
      </c>
      <c r="C2165" t="s">
        <v>2239</v>
      </c>
      <c r="D2165" t="s">
        <v>295</v>
      </c>
      <c r="E2165" t="s">
        <v>271</v>
      </c>
      <c r="F2165" t="s">
        <v>294</v>
      </c>
    </row>
    <row r="2166" spans="1:6" x14ac:dyDescent="0.25">
      <c r="A2166" t="s">
        <v>9776</v>
      </c>
      <c r="B2166" t="s">
        <v>9777</v>
      </c>
      <c r="C2166" t="s">
        <v>9778</v>
      </c>
      <c r="D2166" t="s">
        <v>442</v>
      </c>
      <c r="E2166" t="s">
        <v>269</v>
      </c>
      <c r="F2166" t="s">
        <v>3077</v>
      </c>
    </row>
    <row r="2167" spans="1:6" x14ac:dyDescent="0.25">
      <c r="A2167" t="s">
        <v>9779</v>
      </c>
      <c r="B2167" t="s">
        <v>9780</v>
      </c>
      <c r="C2167" t="s">
        <v>9781</v>
      </c>
      <c r="D2167" t="s">
        <v>0</v>
      </c>
      <c r="E2167" t="s">
        <v>271</v>
      </c>
      <c r="F2167" t="s">
        <v>325</v>
      </c>
    </row>
    <row r="2168" spans="1:6" x14ac:dyDescent="0.25">
      <c r="A2168" t="s">
        <v>9782</v>
      </c>
      <c r="B2168" t="s">
        <v>9783</v>
      </c>
      <c r="C2168" t="s">
        <v>9784</v>
      </c>
      <c r="D2168" t="s">
        <v>2908</v>
      </c>
      <c r="E2168" t="s">
        <v>271</v>
      </c>
      <c r="F2168" t="s">
        <v>2470</v>
      </c>
    </row>
    <row r="2169" spans="1:6" x14ac:dyDescent="0.25">
      <c r="A2169" t="s">
        <v>9785</v>
      </c>
      <c r="B2169" t="s">
        <v>9786</v>
      </c>
      <c r="C2169" t="s">
        <v>7154</v>
      </c>
      <c r="D2169" t="s">
        <v>272</v>
      </c>
      <c r="E2169" t="s">
        <v>269</v>
      </c>
      <c r="F2169" t="s">
        <v>907</v>
      </c>
    </row>
    <row r="2170" spans="1:6" x14ac:dyDescent="0.25">
      <c r="A2170" t="s">
        <v>9787</v>
      </c>
      <c r="B2170" t="s">
        <v>9788</v>
      </c>
      <c r="C2170" t="s">
        <v>9789</v>
      </c>
      <c r="D2170" t="s">
        <v>363</v>
      </c>
      <c r="E2170" t="s">
        <v>271</v>
      </c>
      <c r="F2170" t="s">
        <v>364</v>
      </c>
    </row>
    <row r="2171" spans="1:6" x14ac:dyDescent="0.25">
      <c r="A2171" t="s">
        <v>9790</v>
      </c>
      <c r="B2171" t="s">
        <v>9791</v>
      </c>
      <c r="C2171" t="s">
        <v>9792</v>
      </c>
      <c r="D2171" t="s">
        <v>314</v>
      </c>
      <c r="E2171" t="s">
        <v>271</v>
      </c>
      <c r="F2171" t="s">
        <v>352</v>
      </c>
    </row>
    <row r="2172" spans="1:6" x14ac:dyDescent="0.25">
      <c r="A2172" t="s">
        <v>9793</v>
      </c>
      <c r="B2172" t="s">
        <v>9794</v>
      </c>
      <c r="C2172" t="s">
        <v>9795</v>
      </c>
      <c r="D2172" t="s">
        <v>742</v>
      </c>
      <c r="E2172" t="s">
        <v>271</v>
      </c>
      <c r="F2172" t="s">
        <v>741</v>
      </c>
    </row>
    <row r="2173" spans="1:6" x14ac:dyDescent="0.25">
      <c r="A2173" t="s">
        <v>2619</v>
      </c>
      <c r="B2173" t="s">
        <v>2620</v>
      </c>
      <c r="C2173" t="s">
        <v>2621</v>
      </c>
      <c r="D2173" t="s">
        <v>0</v>
      </c>
      <c r="E2173" t="s">
        <v>271</v>
      </c>
      <c r="F2173" t="s">
        <v>1321</v>
      </c>
    </row>
    <row r="2174" spans="1:6" x14ac:dyDescent="0.25">
      <c r="A2174" t="s">
        <v>9796</v>
      </c>
      <c r="B2174" t="s">
        <v>9797</v>
      </c>
      <c r="C2174" t="s">
        <v>9798</v>
      </c>
      <c r="D2174" t="s">
        <v>510</v>
      </c>
      <c r="E2174" t="s">
        <v>271</v>
      </c>
      <c r="F2174" t="s">
        <v>437</v>
      </c>
    </row>
    <row r="2175" spans="1:6" x14ac:dyDescent="0.25">
      <c r="A2175" t="s">
        <v>9799</v>
      </c>
      <c r="B2175" t="s">
        <v>9800</v>
      </c>
      <c r="C2175" t="s">
        <v>9801</v>
      </c>
      <c r="D2175" t="s">
        <v>405</v>
      </c>
      <c r="E2175" t="s">
        <v>271</v>
      </c>
      <c r="F2175" t="s">
        <v>404</v>
      </c>
    </row>
    <row r="2176" spans="1:6" x14ac:dyDescent="0.25">
      <c r="A2176" t="s">
        <v>9802</v>
      </c>
      <c r="B2176" t="s">
        <v>3438</v>
      </c>
      <c r="C2176" t="s">
        <v>9803</v>
      </c>
      <c r="D2176" t="s">
        <v>1925</v>
      </c>
      <c r="E2176" t="s">
        <v>271</v>
      </c>
      <c r="F2176" t="s">
        <v>1924</v>
      </c>
    </row>
    <row r="2177" spans="1:6" x14ac:dyDescent="0.25">
      <c r="A2177" t="s">
        <v>9804</v>
      </c>
      <c r="B2177" t="s">
        <v>9805</v>
      </c>
      <c r="C2177" t="s">
        <v>9806</v>
      </c>
      <c r="D2177" t="s">
        <v>237</v>
      </c>
      <c r="E2177" t="s">
        <v>271</v>
      </c>
      <c r="F2177" t="s">
        <v>427</v>
      </c>
    </row>
    <row r="2178" spans="1:6" x14ac:dyDescent="0.25">
      <c r="A2178" t="s">
        <v>9807</v>
      </c>
      <c r="B2178" t="s">
        <v>9808</v>
      </c>
      <c r="C2178" t="s">
        <v>9809</v>
      </c>
      <c r="D2178" t="s">
        <v>246</v>
      </c>
      <c r="E2178" t="s">
        <v>271</v>
      </c>
      <c r="F2178" t="s">
        <v>426</v>
      </c>
    </row>
    <row r="2179" spans="1:6" x14ac:dyDescent="0.25">
      <c r="A2179" t="s">
        <v>9810</v>
      </c>
      <c r="B2179" t="s">
        <v>9811</v>
      </c>
      <c r="C2179" t="s">
        <v>9812</v>
      </c>
      <c r="D2179" t="s">
        <v>4840</v>
      </c>
      <c r="E2179" t="s">
        <v>271</v>
      </c>
      <c r="F2179" t="s">
        <v>593</v>
      </c>
    </row>
    <row r="2180" spans="1:6" x14ac:dyDescent="0.25">
      <c r="A2180" t="s">
        <v>9813</v>
      </c>
      <c r="B2180" t="s">
        <v>9814</v>
      </c>
      <c r="C2180" t="s">
        <v>9815</v>
      </c>
      <c r="D2180" t="s">
        <v>1126</v>
      </c>
      <c r="E2180" t="s">
        <v>271</v>
      </c>
      <c r="F2180" t="s">
        <v>1125</v>
      </c>
    </row>
    <row r="2181" spans="1:6" x14ac:dyDescent="0.25">
      <c r="A2181" t="s">
        <v>9816</v>
      </c>
      <c r="B2181" t="s">
        <v>9817</v>
      </c>
      <c r="C2181" t="s">
        <v>9818</v>
      </c>
      <c r="D2181" t="s">
        <v>586</v>
      </c>
      <c r="E2181" t="s">
        <v>271</v>
      </c>
      <c r="F2181" t="s">
        <v>334</v>
      </c>
    </row>
    <row r="2182" spans="1:6" x14ac:dyDescent="0.25">
      <c r="A2182" t="s">
        <v>9819</v>
      </c>
      <c r="B2182" t="s">
        <v>9820</v>
      </c>
      <c r="C2182" t="s">
        <v>9821</v>
      </c>
      <c r="D2182" t="s">
        <v>0</v>
      </c>
      <c r="E2182" t="s">
        <v>271</v>
      </c>
      <c r="F2182" t="s">
        <v>1115</v>
      </c>
    </row>
    <row r="2183" spans="1:6" x14ac:dyDescent="0.25">
      <c r="A2183" t="s">
        <v>9822</v>
      </c>
      <c r="B2183" t="s">
        <v>9823</v>
      </c>
      <c r="C2183" t="s">
        <v>1271</v>
      </c>
      <c r="D2183" t="s">
        <v>444</v>
      </c>
      <c r="E2183" t="s">
        <v>271</v>
      </c>
      <c r="F2183" t="s">
        <v>1270</v>
      </c>
    </row>
    <row r="2184" spans="1:6" x14ac:dyDescent="0.25">
      <c r="A2184" t="s">
        <v>9824</v>
      </c>
      <c r="B2184" t="s">
        <v>9825</v>
      </c>
      <c r="C2184" t="s">
        <v>9826</v>
      </c>
      <c r="D2184" t="s">
        <v>1490</v>
      </c>
      <c r="E2184" t="s">
        <v>271</v>
      </c>
      <c r="F2184" t="s">
        <v>816</v>
      </c>
    </row>
    <row r="2185" spans="1:6" x14ac:dyDescent="0.25">
      <c r="A2185" t="s">
        <v>9827</v>
      </c>
      <c r="B2185" t="s">
        <v>9828</v>
      </c>
      <c r="C2185" t="s">
        <v>9829</v>
      </c>
      <c r="D2185" t="s">
        <v>490</v>
      </c>
      <c r="E2185" t="s">
        <v>271</v>
      </c>
      <c r="F2185" t="s">
        <v>491</v>
      </c>
    </row>
    <row r="2186" spans="1:6" x14ac:dyDescent="0.25">
      <c r="A2186" t="s">
        <v>9830</v>
      </c>
      <c r="B2186" t="s">
        <v>5596</v>
      </c>
      <c r="C2186" t="s">
        <v>9831</v>
      </c>
      <c r="D2186" t="s">
        <v>272</v>
      </c>
      <c r="E2186" t="s">
        <v>269</v>
      </c>
      <c r="F2186" t="s">
        <v>907</v>
      </c>
    </row>
    <row r="2187" spans="1:6" x14ac:dyDescent="0.25">
      <c r="A2187" t="s">
        <v>9832</v>
      </c>
      <c r="B2187" t="s">
        <v>9833</v>
      </c>
      <c r="C2187" t="s">
        <v>9834</v>
      </c>
      <c r="D2187" t="s">
        <v>1239</v>
      </c>
      <c r="E2187" t="s">
        <v>271</v>
      </c>
      <c r="F2187" t="s">
        <v>1238</v>
      </c>
    </row>
    <row r="2188" spans="1:6" x14ac:dyDescent="0.25">
      <c r="A2188" t="s">
        <v>3164</v>
      </c>
      <c r="B2188" t="s">
        <v>3165</v>
      </c>
      <c r="C2188" t="s">
        <v>3166</v>
      </c>
      <c r="D2188" t="s">
        <v>822</v>
      </c>
      <c r="E2188" t="s">
        <v>269</v>
      </c>
      <c r="F2188" t="s">
        <v>821</v>
      </c>
    </row>
    <row r="2189" spans="1:6" x14ac:dyDescent="0.25">
      <c r="A2189" t="s">
        <v>9835</v>
      </c>
      <c r="B2189" t="s">
        <v>9836</v>
      </c>
      <c r="C2189" t="s">
        <v>9837</v>
      </c>
      <c r="D2189" t="s">
        <v>272</v>
      </c>
      <c r="E2189" t="s">
        <v>269</v>
      </c>
      <c r="F2189" t="s">
        <v>907</v>
      </c>
    </row>
    <row r="2190" spans="1:6" x14ac:dyDescent="0.25">
      <c r="A2190" t="s">
        <v>9838</v>
      </c>
      <c r="B2190" t="s">
        <v>9839</v>
      </c>
      <c r="C2190" t="s">
        <v>9840</v>
      </c>
      <c r="D2190" t="s">
        <v>498</v>
      </c>
      <c r="E2190" t="s">
        <v>271</v>
      </c>
      <c r="F2190" t="s">
        <v>926</v>
      </c>
    </row>
    <row r="2191" spans="1:6" x14ac:dyDescent="0.25">
      <c r="A2191" t="s">
        <v>9841</v>
      </c>
      <c r="B2191" t="s">
        <v>9842</v>
      </c>
      <c r="C2191" t="s">
        <v>9843</v>
      </c>
      <c r="D2191" t="s">
        <v>0</v>
      </c>
      <c r="E2191" t="s">
        <v>271</v>
      </c>
      <c r="F2191" t="s">
        <v>356</v>
      </c>
    </row>
    <row r="2192" spans="1:6" x14ac:dyDescent="0.25">
      <c r="A2192" t="s">
        <v>9844</v>
      </c>
      <c r="B2192" t="s">
        <v>9845</v>
      </c>
      <c r="C2192" t="s">
        <v>9846</v>
      </c>
      <c r="D2192" t="s">
        <v>0</v>
      </c>
      <c r="E2192" t="s">
        <v>271</v>
      </c>
      <c r="F2192" t="s">
        <v>1141</v>
      </c>
    </row>
    <row r="2193" spans="1:6" x14ac:dyDescent="0.25">
      <c r="A2193" t="s">
        <v>9847</v>
      </c>
      <c r="B2193" t="s">
        <v>9848</v>
      </c>
      <c r="C2193" t="s">
        <v>9849</v>
      </c>
      <c r="D2193" t="s">
        <v>0</v>
      </c>
      <c r="E2193" t="s">
        <v>271</v>
      </c>
      <c r="F2193" t="s">
        <v>881</v>
      </c>
    </row>
    <row r="2194" spans="1:6" x14ac:dyDescent="0.25">
      <c r="A2194" t="s">
        <v>9850</v>
      </c>
      <c r="B2194" t="s">
        <v>9851</v>
      </c>
      <c r="C2194" t="s">
        <v>9852</v>
      </c>
      <c r="D2194" t="s">
        <v>6094</v>
      </c>
      <c r="E2194" t="s">
        <v>271</v>
      </c>
      <c r="F2194" t="s">
        <v>4413</v>
      </c>
    </row>
    <row r="2195" spans="1:6" x14ac:dyDescent="0.25">
      <c r="A2195" t="s">
        <v>9853</v>
      </c>
      <c r="B2195" t="s">
        <v>9854</v>
      </c>
      <c r="C2195" t="s">
        <v>9855</v>
      </c>
      <c r="D2195" t="s">
        <v>1286</v>
      </c>
      <c r="E2195" t="s">
        <v>269</v>
      </c>
      <c r="F2195" t="s">
        <v>1285</v>
      </c>
    </row>
    <row r="2196" spans="1:6" x14ac:dyDescent="0.25">
      <c r="A2196" t="s">
        <v>9856</v>
      </c>
      <c r="B2196" t="s">
        <v>9857</v>
      </c>
      <c r="C2196" t="s">
        <v>9858</v>
      </c>
      <c r="D2196" t="s">
        <v>1485</v>
      </c>
      <c r="E2196" t="s">
        <v>271</v>
      </c>
      <c r="F2196" t="s">
        <v>1484</v>
      </c>
    </row>
    <row r="2197" spans="1:6" x14ac:dyDescent="0.25">
      <c r="A2197" t="s">
        <v>832</v>
      </c>
      <c r="B2197" t="s">
        <v>833</v>
      </c>
      <c r="C2197" t="s">
        <v>836</v>
      </c>
      <c r="D2197" t="s">
        <v>835</v>
      </c>
      <c r="E2197" t="s">
        <v>269</v>
      </c>
      <c r="F2197" t="s">
        <v>834</v>
      </c>
    </row>
    <row r="2198" spans="1:6" x14ac:dyDescent="0.25">
      <c r="A2198" t="s">
        <v>9859</v>
      </c>
      <c r="B2198" t="s">
        <v>9860</v>
      </c>
      <c r="C2198" t="s">
        <v>9861</v>
      </c>
      <c r="D2198" t="s">
        <v>1665</v>
      </c>
      <c r="E2198" t="s">
        <v>271</v>
      </c>
      <c r="F2198" t="s">
        <v>1664</v>
      </c>
    </row>
    <row r="2199" spans="1:6" x14ac:dyDescent="0.25">
      <c r="A2199" t="s">
        <v>9862</v>
      </c>
      <c r="B2199" t="s">
        <v>9863</v>
      </c>
      <c r="C2199" t="s">
        <v>9864</v>
      </c>
      <c r="D2199" t="s">
        <v>986</v>
      </c>
      <c r="E2199" t="s">
        <v>271</v>
      </c>
      <c r="F2199" t="s">
        <v>985</v>
      </c>
    </row>
    <row r="2200" spans="1:6" x14ac:dyDescent="0.25">
      <c r="A2200" t="s">
        <v>9865</v>
      </c>
      <c r="B2200" t="s">
        <v>9866</v>
      </c>
      <c r="C2200" t="s">
        <v>9867</v>
      </c>
      <c r="D2200" t="s">
        <v>218</v>
      </c>
      <c r="E2200" t="s">
        <v>341</v>
      </c>
      <c r="F2200" t="s">
        <v>9868</v>
      </c>
    </row>
    <row r="2201" spans="1:6" x14ac:dyDescent="0.25">
      <c r="A2201" t="s">
        <v>3221</v>
      </c>
      <c r="B2201" t="s">
        <v>3222</v>
      </c>
      <c r="C2201" t="s">
        <v>3223</v>
      </c>
      <c r="D2201" t="s">
        <v>617</v>
      </c>
      <c r="E2201" t="s">
        <v>271</v>
      </c>
      <c r="F2201" t="s">
        <v>438</v>
      </c>
    </row>
    <row r="2202" spans="1:6" x14ac:dyDescent="0.25">
      <c r="A2202" t="s">
        <v>9869</v>
      </c>
      <c r="B2202" t="s">
        <v>9870</v>
      </c>
      <c r="C2202" t="s">
        <v>9871</v>
      </c>
      <c r="D2202" t="s">
        <v>314</v>
      </c>
      <c r="E2202" t="s">
        <v>271</v>
      </c>
      <c r="F2202" t="s">
        <v>352</v>
      </c>
    </row>
    <row r="2203" spans="1:6" x14ac:dyDescent="0.25">
      <c r="A2203" t="s">
        <v>9872</v>
      </c>
      <c r="B2203" t="s">
        <v>9873</v>
      </c>
      <c r="C2203" t="s">
        <v>9874</v>
      </c>
      <c r="D2203" t="s">
        <v>218</v>
      </c>
      <c r="E2203" t="s">
        <v>341</v>
      </c>
      <c r="F2203" t="s">
        <v>320</v>
      </c>
    </row>
    <row r="2204" spans="1:6" x14ac:dyDescent="0.25">
      <c r="A2204" t="s">
        <v>9875</v>
      </c>
      <c r="B2204" t="s">
        <v>9876</v>
      </c>
      <c r="C2204" t="s">
        <v>9877</v>
      </c>
      <c r="D2204" t="s">
        <v>1137</v>
      </c>
      <c r="E2204" t="s">
        <v>269</v>
      </c>
      <c r="F2204" t="s">
        <v>1136</v>
      </c>
    </row>
    <row r="2205" spans="1:6" x14ac:dyDescent="0.25">
      <c r="A2205" t="s">
        <v>9878</v>
      </c>
      <c r="B2205" t="s">
        <v>9879</v>
      </c>
      <c r="C2205" t="s">
        <v>9880</v>
      </c>
      <c r="D2205" t="s">
        <v>9881</v>
      </c>
      <c r="E2205" t="s">
        <v>271</v>
      </c>
      <c r="F2205" t="s">
        <v>9882</v>
      </c>
    </row>
    <row r="2206" spans="1:6" x14ac:dyDescent="0.25">
      <c r="A2206" t="s">
        <v>9883</v>
      </c>
      <c r="B2206" t="s">
        <v>9884</v>
      </c>
      <c r="C2206" t="s">
        <v>9885</v>
      </c>
      <c r="D2206" t="s">
        <v>0</v>
      </c>
      <c r="E2206" t="s">
        <v>271</v>
      </c>
      <c r="F2206" t="s">
        <v>881</v>
      </c>
    </row>
    <row r="2207" spans="1:6" x14ac:dyDescent="0.25">
      <c r="A2207" t="s">
        <v>3398</v>
      </c>
      <c r="B2207" t="s">
        <v>3399</v>
      </c>
      <c r="C2207" t="s">
        <v>3400</v>
      </c>
      <c r="D2207" t="s">
        <v>472</v>
      </c>
      <c r="E2207" t="s">
        <v>271</v>
      </c>
      <c r="F2207" t="s">
        <v>318</v>
      </c>
    </row>
    <row r="2208" spans="1:6" x14ac:dyDescent="0.25">
      <c r="A2208" t="s">
        <v>9886</v>
      </c>
      <c r="B2208" t="s">
        <v>9887</v>
      </c>
      <c r="C2208" t="s">
        <v>9888</v>
      </c>
      <c r="D2208" t="s">
        <v>453</v>
      </c>
      <c r="E2208" t="s">
        <v>271</v>
      </c>
      <c r="F2208" t="s">
        <v>454</v>
      </c>
    </row>
    <row r="2209" spans="1:6" x14ac:dyDescent="0.25">
      <c r="A2209" t="s">
        <v>9889</v>
      </c>
      <c r="B2209" t="s">
        <v>9890</v>
      </c>
      <c r="C2209" t="s">
        <v>9891</v>
      </c>
      <c r="D2209" t="s">
        <v>1413</v>
      </c>
      <c r="E2209" t="s">
        <v>271</v>
      </c>
      <c r="F2209" t="s">
        <v>1412</v>
      </c>
    </row>
    <row r="2210" spans="1:6" x14ac:dyDescent="0.25">
      <c r="A2210" t="s">
        <v>9892</v>
      </c>
      <c r="B2210" t="s">
        <v>9893</v>
      </c>
      <c r="C2210" t="s">
        <v>9894</v>
      </c>
      <c r="D2210" t="s">
        <v>450</v>
      </c>
      <c r="E2210" t="s">
        <v>271</v>
      </c>
      <c r="F2210" t="s">
        <v>326</v>
      </c>
    </row>
    <row r="2211" spans="1:6" x14ac:dyDescent="0.25">
      <c r="A2211" t="s">
        <v>9895</v>
      </c>
      <c r="B2211" t="s">
        <v>9896</v>
      </c>
      <c r="C2211" t="s">
        <v>9897</v>
      </c>
      <c r="D2211" t="s">
        <v>0</v>
      </c>
      <c r="E2211" t="s">
        <v>271</v>
      </c>
      <c r="F2211" t="s">
        <v>1141</v>
      </c>
    </row>
    <row r="2212" spans="1:6" x14ac:dyDescent="0.25">
      <c r="A2212" t="s">
        <v>9898</v>
      </c>
      <c r="B2212" t="s">
        <v>9899</v>
      </c>
      <c r="C2212" t="s">
        <v>9900</v>
      </c>
      <c r="D2212" t="s">
        <v>510</v>
      </c>
      <c r="E2212" t="s">
        <v>271</v>
      </c>
      <c r="F2212" t="s">
        <v>852</v>
      </c>
    </row>
    <row r="2213" spans="1:6" x14ac:dyDescent="0.25">
      <c r="A2213" t="s">
        <v>9901</v>
      </c>
      <c r="B2213" t="s">
        <v>9902</v>
      </c>
      <c r="C2213" t="s">
        <v>9903</v>
      </c>
      <c r="D2213" t="s">
        <v>6598</v>
      </c>
      <c r="E2213" t="s">
        <v>271</v>
      </c>
      <c r="F2213" t="s">
        <v>4428</v>
      </c>
    </row>
    <row r="2214" spans="1:6" x14ac:dyDescent="0.25">
      <c r="A2214" t="s">
        <v>9904</v>
      </c>
      <c r="B2214" t="s">
        <v>9905</v>
      </c>
      <c r="C2214" t="s">
        <v>9906</v>
      </c>
      <c r="D2214" t="s">
        <v>0</v>
      </c>
      <c r="E2214" t="s">
        <v>271</v>
      </c>
      <c r="F2214" t="s">
        <v>881</v>
      </c>
    </row>
    <row r="2215" spans="1:6" x14ac:dyDescent="0.25">
      <c r="A2215" t="s">
        <v>9907</v>
      </c>
      <c r="B2215" t="s">
        <v>9908</v>
      </c>
      <c r="C2215" t="s">
        <v>9909</v>
      </c>
      <c r="D2215" t="s">
        <v>6201</v>
      </c>
      <c r="E2215" t="s">
        <v>271</v>
      </c>
      <c r="F2215" t="s">
        <v>4395</v>
      </c>
    </row>
    <row r="2216" spans="1:6" x14ac:dyDescent="0.25">
      <c r="A2216" t="s">
        <v>9910</v>
      </c>
      <c r="B2216" t="s">
        <v>9911</v>
      </c>
      <c r="C2216" t="s">
        <v>9912</v>
      </c>
      <c r="D2216" t="s">
        <v>453</v>
      </c>
      <c r="E2216" t="s">
        <v>271</v>
      </c>
      <c r="F2216" t="s">
        <v>2285</v>
      </c>
    </row>
    <row r="2217" spans="1:6" x14ac:dyDescent="0.25">
      <c r="A2217" t="s">
        <v>9913</v>
      </c>
      <c r="B2217" t="s">
        <v>9914</v>
      </c>
      <c r="C2217" t="s">
        <v>9915</v>
      </c>
      <c r="D2217" t="s">
        <v>361</v>
      </c>
      <c r="E2217" t="s">
        <v>271</v>
      </c>
      <c r="F2217" t="s">
        <v>4420</v>
      </c>
    </row>
    <row r="2218" spans="1:6" x14ac:dyDescent="0.25">
      <c r="A2218" t="s">
        <v>9916</v>
      </c>
      <c r="B2218" t="s">
        <v>9917</v>
      </c>
      <c r="C2218" t="s">
        <v>9918</v>
      </c>
      <c r="D2218" t="s">
        <v>2908</v>
      </c>
      <c r="E2218" t="s">
        <v>271</v>
      </c>
      <c r="F2218" t="s">
        <v>2470</v>
      </c>
    </row>
    <row r="2219" spans="1:6" x14ac:dyDescent="0.25">
      <c r="A2219" t="s">
        <v>1676</v>
      </c>
      <c r="B2219" t="s">
        <v>568</v>
      </c>
      <c r="C2219" t="s">
        <v>569</v>
      </c>
      <c r="D2219" t="s">
        <v>350</v>
      </c>
      <c r="E2219" t="s">
        <v>271</v>
      </c>
      <c r="F2219" t="s">
        <v>351</v>
      </c>
    </row>
    <row r="2220" spans="1:6" x14ac:dyDescent="0.25">
      <c r="A2220" t="s">
        <v>9919</v>
      </c>
      <c r="B2220" t="s">
        <v>9920</v>
      </c>
      <c r="C2220" t="s">
        <v>9921</v>
      </c>
      <c r="D2220" t="s">
        <v>258</v>
      </c>
      <c r="E2220" t="s">
        <v>271</v>
      </c>
      <c r="F2220" t="s">
        <v>524</v>
      </c>
    </row>
    <row r="2221" spans="1:6" x14ac:dyDescent="0.25">
      <c r="A2221" t="s">
        <v>9922</v>
      </c>
      <c r="B2221" t="s">
        <v>9923</v>
      </c>
      <c r="C2221" t="s">
        <v>9924</v>
      </c>
      <c r="D2221" t="s">
        <v>1559</v>
      </c>
      <c r="E2221" t="s">
        <v>271</v>
      </c>
      <c r="F2221" t="s">
        <v>1558</v>
      </c>
    </row>
    <row r="2222" spans="1:6" x14ac:dyDescent="0.25">
      <c r="A2222" t="s">
        <v>9925</v>
      </c>
      <c r="B2222" t="s">
        <v>9926</v>
      </c>
      <c r="C2222" t="s">
        <v>9927</v>
      </c>
      <c r="D2222" t="s">
        <v>1186</v>
      </c>
      <c r="E2222" t="s">
        <v>271</v>
      </c>
      <c r="F2222" t="s">
        <v>1185</v>
      </c>
    </row>
    <row r="2223" spans="1:6" x14ac:dyDescent="0.25">
      <c r="A2223" t="s">
        <v>9928</v>
      </c>
      <c r="B2223" t="s">
        <v>9929</v>
      </c>
      <c r="C2223" t="s">
        <v>9930</v>
      </c>
      <c r="D2223" t="s">
        <v>1874</v>
      </c>
      <c r="E2223" t="s">
        <v>271</v>
      </c>
      <c r="F2223" t="s">
        <v>1873</v>
      </c>
    </row>
    <row r="2224" spans="1:6" x14ac:dyDescent="0.25">
      <c r="A2224" t="s">
        <v>9931</v>
      </c>
      <c r="B2224" t="s">
        <v>8876</v>
      </c>
      <c r="C2224" t="s">
        <v>9932</v>
      </c>
      <c r="D2224" t="s">
        <v>312</v>
      </c>
      <c r="E2224" t="s">
        <v>271</v>
      </c>
      <c r="F2224" t="s">
        <v>311</v>
      </c>
    </row>
    <row r="2225" spans="1:6" x14ac:dyDescent="0.25">
      <c r="A2225" t="s">
        <v>9933</v>
      </c>
      <c r="B2225" t="s">
        <v>9934</v>
      </c>
      <c r="C2225" t="s">
        <v>9935</v>
      </c>
      <c r="D2225" t="s">
        <v>0</v>
      </c>
      <c r="E2225" t="s">
        <v>271</v>
      </c>
      <c r="F2225" t="s">
        <v>432</v>
      </c>
    </row>
    <row r="2226" spans="1:6" x14ac:dyDescent="0.25">
      <c r="A2226" t="s">
        <v>9936</v>
      </c>
      <c r="B2226" t="s">
        <v>9937</v>
      </c>
      <c r="C2226" t="s">
        <v>9938</v>
      </c>
      <c r="D2226" t="s">
        <v>718</v>
      </c>
      <c r="E2226" t="s">
        <v>271</v>
      </c>
      <c r="F2226" t="s">
        <v>333</v>
      </c>
    </row>
    <row r="2227" spans="1:6" x14ac:dyDescent="0.25">
      <c r="A2227" t="s">
        <v>9939</v>
      </c>
      <c r="B2227" t="s">
        <v>9940</v>
      </c>
      <c r="C2227" t="s">
        <v>9941</v>
      </c>
      <c r="D2227" t="s">
        <v>1665</v>
      </c>
      <c r="E2227" t="s">
        <v>271</v>
      </c>
      <c r="F2227" t="s">
        <v>1664</v>
      </c>
    </row>
    <row r="2228" spans="1:6" x14ac:dyDescent="0.25">
      <c r="A2228" t="s">
        <v>9942</v>
      </c>
      <c r="B2228" t="s">
        <v>9943</v>
      </c>
      <c r="C2228" t="s">
        <v>9944</v>
      </c>
      <c r="D2228" t="s">
        <v>0</v>
      </c>
      <c r="E2228" t="s">
        <v>271</v>
      </c>
      <c r="F2228" t="s">
        <v>356</v>
      </c>
    </row>
    <row r="2229" spans="1:6" x14ac:dyDescent="0.25">
      <c r="A2229" t="s">
        <v>3586</v>
      </c>
      <c r="B2229" t="s">
        <v>3587</v>
      </c>
      <c r="C2229" t="s">
        <v>3588</v>
      </c>
      <c r="D2229" t="s">
        <v>578</v>
      </c>
      <c r="E2229" t="s">
        <v>271</v>
      </c>
      <c r="F2229" t="s">
        <v>321</v>
      </c>
    </row>
    <row r="2230" spans="1:6" x14ac:dyDescent="0.25">
      <c r="A2230" t="s">
        <v>9945</v>
      </c>
      <c r="B2230" t="s">
        <v>9946</v>
      </c>
      <c r="C2230" t="s">
        <v>9947</v>
      </c>
      <c r="D2230" t="s">
        <v>0</v>
      </c>
      <c r="E2230" t="s">
        <v>271</v>
      </c>
      <c r="F2230" t="s">
        <v>881</v>
      </c>
    </row>
    <row r="2231" spans="1:6" x14ac:dyDescent="0.25">
      <c r="A2231" t="s">
        <v>9948</v>
      </c>
      <c r="B2231" t="s">
        <v>9949</v>
      </c>
      <c r="C2231" t="s">
        <v>9950</v>
      </c>
      <c r="D2231" t="s">
        <v>4470</v>
      </c>
      <c r="E2231" t="s">
        <v>271</v>
      </c>
      <c r="F2231" t="s">
        <v>4426</v>
      </c>
    </row>
    <row r="2232" spans="1:6" x14ac:dyDescent="0.25">
      <c r="A2232" t="s">
        <v>2079</v>
      </c>
      <c r="B2232" t="s">
        <v>2080</v>
      </c>
      <c r="C2232" t="s">
        <v>2081</v>
      </c>
      <c r="D2232" t="s">
        <v>0</v>
      </c>
      <c r="E2232" t="s">
        <v>271</v>
      </c>
      <c r="F2232" t="s">
        <v>319</v>
      </c>
    </row>
    <row r="2233" spans="1:6" x14ac:dyDescent="0.25">
      <c r="A2233" t="s">
        <v>9951</v>
      </c>
      <c r="B2233" t="s">
        <v>9952</v>
      </c>
      <c r="C2233" t="s">
        <v>9953</v>
      </c>
      <c r="D2233" t="s">
        <v>0</v>
      </c>
      <c r="E2233" t="s">
        <v>271</v>
      </c>
      <c r="F2233" t="s">
        <v>2349</v>
      </c>
    </row>
    <row r="2234" spans="1:6" x14ac:dyDescent="0.25">
      <c r="A2234" t="s">
        <v>9954</v>
      </c>
      <c r="B2234" t="s">
        <v>9955</v>
      </c>
      <c r="C2234" t="s">
        <v>9956</v>
      </c>
      <c r="D2234" t="s">
        <v>845</v>
      </c>
      <c r="E2234" t="s">
        <v>271</v>
      </c>
      <c r="F2234" t="s">
        <v>844</v>
      </c>
    </row>
    <row r="2235" spans="1:6" x14ac:dyDescent="0.25">
      <c r="A2235" t="s">
        <v>9957</v>
      </c>
      <c r="B2235" t="s">
        <v>9958</v>
      </c>
      <c r="C2235" t="s">
        <v>9959</v>
      </c>
      <c r="D2235" t="s">
        <v>2166</v>
      </c>
      <c r="E2235" t="s">
        <v>271</v>
      </c>
      <c r="F2235" t="s">
        <v>2165</v>
      </c>
    </row>
    <row r="2236" spans="1:6" x14ac:dyDescent="0.25">
      <c r="A2236" t="s">
        <v>9960</v>
      </c>
      <c r="B2236" t="s">
        <v>9961</v>
      </c>
      <c r="C2236" t="s">
        <v>9962</v>
      </c>
      <c r="D2236" t="s">
        <v>444</v>
      </c>
      <c r="E2236" t="s">
        <v>271</v>
      </c>
      <c r="F2236" t="s">
        <v>1270</v>
      </c>
    </row>
    <row r="2237" spans="1:6" x14ac:dyDescent="0.25">
      <c r="A2237" t="s">
        <v>9963</v>
      </c>
      <c r="B2237" t="s">
        <v>9964</v>
      </c>
      <c r="C2237" t="s">
        <v>9965</v>
      </c>
      <c r="D2237" t="s">
        <v>986</v>
      </c>
      <c r="E2237" t="s">
        <v>271</v>
      </c>
      <c r="F2237" t="s">
        <v>985</v>
      </c>
    </row>
    <row r="2238" spans="1:6" x14ac:dyDescent="0.25">
      <c r="A2238" t="s">
        <v>9966</v>
      </c>
      <c r="B2238" t="s">
        <v>9967</v>
      </c>
      <c r="C2238" t="s">
        <v>9968</v>
      </c>
      <c r="D2238" t="s">
        <v>1548</v>
      </c>
      <c r="E2238" t="s">
        <v>271</v>
      </c>
      <c r="F2238" t="s">
        <v>1547</v>
      </c>
    </row>
    <row r="2239" spans="1:6" x14ac:dyDescent="0.25">
      <c r="A2239" t="s">
        <v>9969</v>
      </c>
      <c r="B2239" t="s">
        <v>9970</v>
      </c>
      <c r="C2239" t="s">
        <v>9971</v>
      </c>
      <c r="D2239" t="s">
        <v>1348</v>
      </c>
      <c r="E2239" t="s">
        <v>271</v>
      </c>
      <c r="F2239" t="s">
        <v>2057</v>
      </c>
    </row>
    <row r="2240" spans="1:6" x14ac:dyDescent="0.25">
      <c r="A2240" t="s">
        <v>3188</v>
      </c>
      <c r="B2240" t="s">
        <v>3189</v>
      </c>
      <c r="C2240" t="s">
        <v>3190</v>
      </c>
      <c r="D2240" t="s">
        <v>0</v>
      </c>
      <c r="E2240" t="s">
        <v>271</v>
      </c>
      <c r="F2240" t="s">
        <v>1321</v>
      </c>
    </row>
    <row r="2241" spans="1:6" x14ac:dyDescent="0.25">
      <c r="A2241" t="s">
        <v>9972</v>
      </c>
      <c r="B2241" t="s">
        <v>9973</v>
      </c>
      <c r="C2241" t="s">
        <v>9974</v>
      </c>
      <c r="D2241" t="s">
        <v>450</v>
      </c>
      <c r="E2241" t="s">
        <v>271</v>
      </c>
      <c r="F2241" t="s">
        <v>326</v>
      </c>
    </row>
    <row r="2242" spans="1:6" x14ac:dyDescent="0.25">
      <c r="A2242" t="s">
        <v>9975</v>
      </c>
      <c r="B2242" t="s">
        <v>9976</v>
      </c>
      <c r="C2242" t="s">
        <v>9977</v>
      </c>
      <c r="D2242" t="s">
        <v>578</v>
      </c>
      <c r="E2242" t="s">
        <v>271</v>
      </c>
      <c r="F2242" t="s">
        <v>321</v>
      </c>
    </row>
    <row r="2243" spans="1:6" x14ac:dyDescent="0.25">
      <c r="A2243" t="s">
        <v>9978</v>
      </c>
      <c r="B2243" t="s">
        <v>9979</v>
      </c>
      <c r="C2243" t="s">
        <v>9980</v>
      </c>
      <c r="D2243" t="s">
        <v>446</v>
      </c>
      <c r="E2243" t="s">
        <v>271</v>
      </c>
      <c r="F2243" t="s">
        <v>447</v>
      </c>
    </row>
    <row r="2244" spans="1:6" x14ac:dyDescent="0.25">
      <c r="A2244" t="s">
        <v>9981</v>
      </c>
      <c r="B2244" t="s">
        <v>9982</v>
      </c>
      <c r="C2244" t="s">
        <v>9983</v>
      </c>
      <c r="D2244" t="s">
        <v>1165</v>
      </c>
      <c r="E2244" t="s">
        <v>271</v>
      </c>
      <c r="F2244" t="s">
        <v>1402</v>
      </c>
    </row>
    <row r="2245" spans="1:6" x14ac:dyDescent="0.25">
      <c r="A2245" t="s">
        <v>9984</v>
      </c>
      <c r="B2245" t="s">
        <v>9985</v>
      </c>
      <c r="C2245" t="s">
        <v>9986</v>
      </c>
      <c r="D2245" t="s">
        <v>1542</v>
      </c>
      <c r="E2245" t="s">
        <v>269</v>
      </c>
      <c r="F2245" t="s">
        <v>1541</v>
      </c>
    </row>
    <row r="2246" spans="1:6" x14ac:dyDescent="0.25">
      <c r="A2246" t="s">
        <v>9987</v>
      </c>
      <c r="B2246" t="s">
        <v>9988</v>
      </c>
      <c r="C2246" t="s">
        <v>9989</v>
      </c>
      <c r="D2246" t="s">
        <v>510</v>
      </c>
      <c r="E2246" t="s">
        <v>271</v>
      </c>
      <c r="F2246" t="s">
        <v>511</v>
      </c>
    </row>
    <row r="2247" spans="1:6" x14ac:dyDescent="0.25">
      <c r="A2247" t="s">
        <v>2625</v>
      </c>
      <c r="B2247" t="s">
        <v>2626</v>
      </c>
      <c r="C2247" t="s">
        <v>2627</v>
      </c>
      <c r="D2247" t="s">
        <v>972</v>
      </c>
      <c r="E2247" t="s">
        <v>269</v>
      </c>
      <c r="F2247" t="s">
        <v>971</v>
      </c>
    </row>
    <row r="2248" spans="1:6" x14ac:dyDescent="0.25">
      <c r="A2248" t="s">
        <v>9990</v>
      </c>
      <c r="B2248" t="s">
        <v>9991</v>
      </c>
      <c r="C2248" t="s">
        <v>6632</v>
      </c>
      <c r="D2248" t="s">
        <v>2093</v>
      </c>
      <c r="E2248" t="s">
        <v>271</v>
      </c>
      <c r="F2248" t="s">
        <v>1058</v>
      </c>
    </row>
    <row r="2249" spans="1:6" x14ac:dyDescent="0.25">
      <c r="A2249" t="s">
        <v>9992</v>
      </c>
      <c r="B2249" t="s">
        <v>9993</v>
      </c>
      <c r="C2249" t="s">
        <v>9994</v>
      </c>
      <c r="D2249" t="s">
        <v>617</v>
      </c>
      <c r="E2249" t="s">
        <v>271</v>
      </c>
      <c r="F2249" t="s">
        <v>438</v>
      </c>
    </row>
    <row r="2250" spans="1:6" x14ac:dyDescent="0.25">
      <c r="A2250" t="s">
        <v>9995</v>
      </c>
      <c r="B2250" t="s">
        <v>9996</v>
      </c>
      <c r="C2250" t="s">
        <v>9997</v>
      </c>
      <c r="D2250" t="s">
        <v>519</v>
      </c>
      <c r="E2250" t="s">
        <v>271</v>
      </c>
      <c r="F2250" t="s">
        <v>324</v>
      </c>
    </row>
    <row r="2251" spans="1:6" x14ac:dyDescent="0.25">
      <c r="A2251" t="s">
        <v>9998</v>
      </c>
      <c r="B2251" t="s">
        <v>9999</v>
      </c>
      <c r="C2251" t="s">
        <v>10000</v>
      </c>
      <c r="D2251" t="s">
        <v>10001</v>
      </c>
      <c r="E2251" t="s">
        <v>271</v>
      </c>
      <c r="F2251" t="s">
        <v>4388</v>
      </c>
    </row>
    <row r="2252" spans="1:6" x14ac:dyDescent="0.25">
      <c r="A2252" t="s">
        <v>10002</v>
      </c>
      <c r="B2252" t="s">
        <v>10003</v>
      </c>
      <c r="C2252" t="s">
        <v>10004</v>
      </c>
      <c r="D2252" t="s">
        <v>295</v>
      </c>
      <c r="E2252" t="s">
        <v>271</v>
      </c>
      <c r="F2252" t="s">
        <v>1888</v>
      </c>
    </row>
    <row r="2253" spans="1:6" x14ac:dyDescent="0.25">
      <c r="A2253" t="s">
        <v>10005</v>
      </c>
      <c r="B2253" t="s">
        <v>10006</v>
      </c>
      <c r="C2253" t="s">
        <v>10007</v>
      </c>
      <c r="D2253" t="s">
        <v>461</v>
      </c>
      <c r="E2253" t="s">
        <v>271</v>
      </c>
      <c r="F2253" t="s">
        <v>336</v>
      </c>
    </row>
    <row r="2254" spans="1:6" x14ac:dyDescent="0.25">
      <c r="A2254" t="s">
        <v>10008</v>
      </c>
      <c r="B2254" t="s">
        <v>10009</v>
      </c>
      <c r="C2254" t="s">
        <v>10010</v>
      </c>
      <c r="D2254" t="s">
        <v>0</v>
      </c>
      <c r="E2254" t="s">
        <v>271</v>
      </c>
      <c r="F2254" t="s">
        <v>726</v>
      </c>
    </row>
    <row r="2255" spans="1:6" x14ac:dyDescent="0.25">
      <c r="A2255" t="s">
        <v>10011</v>
      </c>
      <c r="B2255" t="s">
        <v>10012</v>
      </c>
      <c r="C2255" t="s">
        <v>4918</v>
      </c>
      <c r="D2255" t="s">
        <v>0</v>
      </c>
      <c r="E2255" t="s">
        <v>271</v>
      </c>
      <c r="F2255" t="s">
        <v>1321</v>
      </c>
    </row>
    <row r="2256" spans="1:6" x14ac:dyDescent="0.25">
      <c r="A2256" t="s">
        <v>10013</v>
      </c>
      <c r="B2256" t="s">
        <v>10014</v>
      </c>
      <c r="C2256" t="s">
        <v>10015</v>
      </c>
      <c r="D2256" t="s">
        <v>586</v>
      </c>
      <c r="E2256" t="s">
        <v>271</v>
      </c>
      <c r="F2256" t="s">
        <v>334</v>
      </c>
    </row>
    <row r="2257" spans="1:6" x14ac:dyDescent="0.25">
      <c r="A2257" t="s">
        <v>10016</v>
      </c>
      <c r="B2257" t="s">
        <v>10017</v>
      </c>
      <c r="C2257" t="s">
        <v>5531</v>
      </c>
      <c r="D2257" t="s">
        <v>1548</v>
      </c>
      <c r="E2257" t="s">
        <v>271</v>
      </c>
      <c r="F2257" t="s">
        <v>1547</v>
      </c>
    </row>
    <row r="2258" spans="1:6" x14ac:dyDescent="0.25">
      <c r="A2258" t="s">
        <v>10018</v>
      </c>
      <c r="B2258" t="s">
        <v>10019</v>
      </c>
      <c r="C2258" t="s">
        <v>10020</v>
      </c>
      <c r="D2258" t="s">
        <v>460</v>
      </c>
      <c r="E2258" t="s">
        <v>271</v>
      </c>
      <c r="F2258" t="s">
        <v>435</v>
      </c>
    </row>
    <row r="2259" spans="1:6" x14ac:dyDescent="0.25">
      <c r="A2259" t="s">
        <v>10021</v>
      </c>
      <c r="B2259" t="s">
        <v>10022</v>
      </c>
      <c r="C2259" t="s">
        <v>10023</v>
      </c>
      <c r="D2259" t="s">
        <v>10024</v>
      </c>
      <c r="E2259" t="s">
        <v>265</v>
      </c>
      <c r="F2259" t="s">
        <v>10025</v>
      </c>
    </row>
    <row r="2260" spans="1:6" x14ac:dyDescent="0.25">
      <c r="A2260" t="s">
        <v>10026</v>
      </c>
      <c r="B2260" t="s">
        <v>10027</v>
      </c>
      <c r="C2260" t="s">
        <v>10028</v>
      </c>
      <c r="D2260" t="s">
        <v>556</v>
      </c>
      <c r="E2260" t="s">
        <v>271</v>
      </c>
      <c r="F2260" t="s">
        <v>1567</v>
      </c>
    </row>
    <row r="2261" spans="1:6" x14ac:dyDescent="0.25">
      <c r="A2261" t="s">
        <v>1100</v>
      </c>
      <c r="B2261" t="s">
        <v>1101</v>
      </c>
      <c r="C2261" t="s">
        <v>1103</v>
      </c>
      <c r="D2261" t="s">
        <v>616</v>
      </c>
      <c r="E2261" t="s">
        <v>271</v>
      </c>
      <c r="F2261" t="s">
        <v>1102</v>
      </c>
    </row>
    <row r="2262" spans="1:6" x14ac:dyDescent="0.25">
      <c r="A2262" t="s">
        <v>10029</v>
      </c>
      <c r="B2262" t="s">
        <v>508</v>
      </c>
      <c r="C2262" t="s">
        <v>10030</v>
      </c>
      <c r="D2262" t="s">
        <v>246</v>
      </c>
      <c r="E2262" t="s">
        <v>271</v>
      </c>
      <c r="F2262" t="s">
        <v>426</v>
      </c>
    </row>
    <row r="2263" spans="1:6" x14ac:dyDescent="0.25">
      <c r="A2263" t="s">
        <v>10031</v>
      </c>
      <c r="B2263" t="s">
        <v>10032</v>
      </c>
      <c r="C2263" t="s">
        <v>10033</v>
      </c>
      <c r="D2263" t="s">
        <v>2681</v>
      </c>
      <c r="E2263" t="s">
        <v>271</v>
      </c>
      <c r="F2263" t="s">
        <v>2680</v>
      </c>
    </row>
    <row r="2264" spans="1:6" x14ac:dyDescent="0.25">
      <c r="A2264" t="s">
        <v>10034</v>
      </c>
      <c r="B2264" t="s">
        <v>10035</v>
      </c>
      <c r="C2264" t="s">
        <v>10036</v>
      </c>
      <c r="D2264" t="s">
        <v>0</v>
      </c>
      <c r="E2264" t="s">
        <v>271</v>
      </c>
      <c r="F2264" t="s">
        <v>436</v>
      </c>
    </row>
    <row r="2265" spans="1:6" x14ac:dyDescent="0.25">
      <c r="A2265" t="s">
        <v>10037</v>
      </c>
      <c r="B2265" t="s">
        <v>10038</v>
      </c>
      <c r="C2265" t="s">
        <v>10039</v>
      </c>
      <c r="D2265" t="s">
        <v>0</v>
      </c>
      <c r="E2265" t="s">
        <v>271</v>
      </c>
      <c r="F2265" t="s">
        <v>355</v>
      </c>
    </row>
    <row r="2266" spans="1:6" x14ac:dyDescent="0.25">
      <c r="A2266" t="s">
        <v>3699</v>
      </c>
      <c r="B2266" t="s">
        <v>3700</v>
      </c>
      <c r="C2266" t="s">
        <v>3701</v>
      </c>
      <c r="D2266" t="s">
        <v>0</v>
      </c>
      <c r="E2266" t="s">
        <v>271</v>
      </c>
      <c r="F2266" t="s">
        <v>688</v>
      </c>
    </row>
    <row r="2267" spans="1:6" x14ac:dyDescent="0.25">
      <c r="A2267" t="s">
        <v>1659</v>
      </c>
      <c r="B2267" t="s">
        <v>1660</v>
      </c>
      <c r="C2267" t="s">
        <v>1661</v>
      </c>
      <c r="D2267" t="s">
        <v>0</v>
      </c>
      <c r="E2267" t="s">
        <v>271</v>
      </c>
      <c r="F2267" t="s">
        <v>688</v>
      </c>
    </row>
    <row r="2268" spans="1:6" x14ac:dyDescent="0.25">
      <c r="A2268" t="s">
        <v>10040</v>
      </c>
      <c r="B2268" t="s">
        <v>10041</v>
      </c>
      <c r="C2268" t="s">
        <v>10042</v>
      </c>
      <c r="D2268" t="s">
        <v>967</v>
      </c>
      <c r="E2268" t="s">
        <v>271</v>
      </c>
      <c r="F2268" t="s">
        <v>966</v>
      </c>
    </row>
    <row r="2269" spans="1:6" x14ac:dyDescent="0.25">
      <c r="A2269" t="s">
        <v>10043</v>
      </c>
      <c r="B2269" t="s">
        <v>10044</v>
      </c>
      <c r="C2269" t="s">
        <v>10045</v>
      </c>
      <c r="D2269" t="s">
        <v>1601</v>
      </c>
      <c r="E2269" t="s">
        <v>269</v>
      </c>
      <c r="F2269" t="s">
        <v>3126</v>
      </c>
    </row>
    <row r="2270" spans="1:6" x14ac:dyDescent="0.25">
      <c r="A2270" t="s">
        <v>10046</v>
      </c>
      <c r="B2270" t="s">
        <v>10047</v>
      </c>
      <c r="C2270" t="s">
        <v>10048</v>
      </c>
      <c r="D2270" t="s">
        <v>2908</v>
      </c>
      <c r="E2270" t="s">
        <v>271</v>
      </c>
      <c r="F2270" t="s">
        <v>2470</v>
      </c>
    </row>
    <row r="2271" spans="1:6" x14ac:dyDescent="0.25">
      <c r="A2271" t="s">
        <v>10049</v>
      </c>
      <c r="B2271" t="s">
        <v>10050</v>
      </c>
      <c r="C2271" t="s">
        <v>10051</v>
      </c>
      <c r="D2271" t="s">
        <v>0</v>
      </c>
      <c r="E2271" t="s">
        <v>271</v>
      </c>
      <c r="F2271" t="s">
        <v>785</v>
      </c>
    </row>
    <row r="2272" spans="1:6" x14ac:dyDescent="0.25">
      <c r="A2272" t="s">
        <v>10052</v>
      </c>
      <c r="B2272" t="s">
        <v>10053</v>
      </c>
      <c r="C2272" t="s">
        <v>3339</v>
      </c>
      <c r="D2272" t="s">
        <v>416</v>
      </c>
      <c r="E2272" t="s">
        <v>271</v>
      </c>
      <c r="F2272" t="s">
        <v>439</v>
      </c>
    </row>
    <row r="2273" spans="1:6" x14ac:dyDescent="0.25">
      <c r="A2273" t="s">
        <v>10054</v>
      </c>
      <c r="B2273" t="s">
        <v>10055</v>
      </c>
      <c r="C2273" t="s">
        <v>10056</v>
      </c>
      <c r="D2273" t="s">
        <v>598</v>
      </c>
      <c r="E2273" t="s">
        <v>271</v>
      </c>
      <c r="F2273" t="s">
        <v>599</v>
      </c>
    </row>
    <row r="2274" spans="1:6" x14ac:dyDescent="0.25">
      <c r="A2274" t="s">
        <v>10057</v>
      </c>
      <c r="B2274" t="s">
        <v>10058</v>
      </c>
      <c r="C2274" t="s">
        <v>10059</v>
      </c>
      <c r="D2274" t="s">
        <v>972</v>
      </c>
      <c r="E2274" t="s">
        <v>269</v>
      </c>
      <c r="F2274" t="s">
        <v>971</v>
      </c>
    </row>
    <row r="2275" spans="1:6" x14ac:dyDescent="0.25">
      <c r="A2275" t="s">
        <v>10060</v>
      </c>
      <c r="B2275" t="s">
        <v>10061</v>
      </c>
      <c r="C2275" t="s">
        <v>10062</v>
      </c>
      <c r="D2275" t="s">
        <v>5641</v>
      </c>
      <c r="E2275" t="s">
        <v>271</v>
      </c>
      <c r="F2275" t="s">
        <v>1567</v>
      </c>
    </row>
    <row r="2276" spans="1:6" x14ac:dyDescent="0.25">
      <c r="A2276" t="s">
        <v>10063</v>
      </c>
      <c r="B2276" t="s">
        <v>10064</v>
      </c>
      <c r="C2276" t="s">
        <v>10065</v>
      </c>
      <c r="D2276" t="s">
        <v>5454</v>
      </c>
      <c r="E2276" t="s">
        <v>271</v>
      </c>
      <c r="F2276" t="s">
        <v>4425</v>
      </c>
    </row>
    <row r="2277" spans="1:6" x14ac:dyDescent="0.25">
      <c r="A2277" t="s">
        <v>2461</v>
      </c>
      <c r="B2277" t="s">
        <v>2462</v>
      </c>
      <c r="C2277" t="s">
        <v>2463</v>
      </c>
      <c r="D2277" t="s">
        <v>510</v>
      </c>
      <c r="E2277" t="s">
        <v>271</v>
      </c>
      <c r="F2277" t="s">
        <v>437</v>
      </c>
    </row>
    <row r="2278" spans="1:6" x14ac:dyDescent="0.25">
      <c r="A2278" t="s">
        <v>10066</v>
      </c>
      <c r="B2278" t="s">
        <v>10067</v>
      </c>
      <c r="C2278" t="s">
        <v>10068</v>
      </c>
      <c r="D2278" t="s">
        <v>1837</v>
      </c>
      <c r="E2278" t="s">
        <v>271</v>
      </c>
      <c r="F2278" t="s">
        <v>1836</v>
      </c>
    </row>
    <row r="2279" spans="1:6" x14ac:dyDescent="0.25">
      <c r="A2279" t="s">
        <v>10069</v>
      </c>
      <c r="B2279" t="s">
        <v>10070</v>
      </c>
      <c r="C2279" t="s">
        <v>10071</v>
      </c>
      <c r="D2279" t="s">
        <v>0</v>
      </c>
      <c r="E2279" t="s">
        <v>271</v>
      </c>
      <c r="F2279" t="s">
        <v>355</v>
      </c>
    </row>
    <row r="2280" spans="1:6" x14ac:dyDescent="0.25">
      <c r="A2280" t="s">
        <v>10072</v>
      </c>
      <c r="B2280" t="s">
        <v>10073</v>
      </c>
      <c r="C2280" t="s">
        <v>10074</v>
      </c>
      <c r="D2280" t="s">
        <v>1643</v>
      </c>
      <c r="E2280" t="s">
        <v>271</v>
      </c>
      <c r="F2280" t="s">
        <v>4416</v>
      </c>
    </row>
    <row r="2281" spans="1:6" x14ac:dyDescent="0.25">
      <c r="A2281" t="s">
        <v>1982</v>
      </c>
      <c r="B2281" t="s">
        <v>1983</v>
      </c>
      <c r="C2281" t="s">
        <v>1984</v>
      </c>
      <c r="D2281" t="s">
        <v>314</v>
      </c>
      <c r="E2281" t="s">
        <v>271</v>
      </c>
      <c r="F2281" t="s">
        <v>352</v>
      </c>
    </row>
    <row r="2282" spans="1:6" x14ac:dyDescent="0.25">
      <c r="A2282" t="s">
        <v>10075</v>
      </c>
      <c r="B2282" t="s">
        <v>10076</v>
      </c>
      <c r="C2282" t="s">
        <v>10077</v>
      </c>
      <c r="D2282" t="s">
        <v>289</v>
      </c>
      <c r="E2282" t="s">
        <v>271</v>
      </c>
      <c r="F2282" t="s">
        <v>10078</v>
      </c>
    </row>
    <row r="2283" spans="1:6" x14ac:dyDescent="0.25">
      <c r="A2283" t="s">
        <v>2597</v>
      </c>
      <c r="B2283" t="s">
        <v>2598</v>
      </c>
      <c r="C2283" t="s">
        <v>2599</v>
      </c>
      <c r="D2283" t="s">
        <v>1665</v>
      </c>
      <c r="E2283" t="s">
        <v>271</v>
      </c>
      <c r="F2283" t="s">
        <v>1664</v>
      </c>
    </row>
    <row r="2284" spans="1:6" x14ac:dyDescent="0.25">
      <c r="A2284" t="s">
        <v>10079</v>
      </c>
      <c r="B2284" t="s">
        <v>10080</v>
      </c>
      <c r="C2284" t="s">
        <v>10081</v>
      </c>
      <c r="D2284" t="s">
        <v>293</v>
      </c>
      <c r="E2284" t="s">
        <v>271</v>
      </c>
      <c r="F2284" t="s">
        <v>292</v>
      </c>
    </row>
    <row r="2285" spans="1:6" x14ac:dyDescent="0.25">
      <c r="A2285" t="s">
        <v>10082</v>
      </c>
      <c r="B2285" t="s">
        <v>10083</v>
      </c>
      <c r="C2285" t="s">
        <v>10084</v>
      </c>
      <c r="D2285" t="s">
        <v>916</v>
      </c>
      <c r="E2285" t="s">
        <v>271</v>
      </c>
      <c r="F2285" t="s">
        <v>915</v>
      </c>
    </row>
    <row r="2286" spans="1:6" x14ac:dyDescent="0.25">
      <c r="A2286" t="s">
        <v>10085</v>
      </c>
      <c r="B2286" t="s">
        <v>10086</v>
      </c>
      <c r="C2286" t="s">
        <v>10087</v>
      </c>
      <c r="D2286" t="s">
        <v>0</v>
      </c>
      <c r="E2286" t="s">
        <v>271</v>
      </c>
      <c r="F2286" t="s">
        <v>319</v>
      </c>
    </row>
    <row r="2287" spans="1:6" x14ac:dyDescent="0.25">
      <c r="A2287" t="s">
        <v>10088</v>
      </c>
      <c r="B2287" t="s">
        <v>10089</v>
      </c>
      <c r="C2287" t="s">
        <v>10090</v>
      </c>
      <c r="D2287" t="s">
        <v>5197</v>
      </c>
      <c r="E2287" t="s">
        <v>271</v>
      </c>
      <c r="F2287" t="s">
        <v>5198</v>
      </c>
    </row>
    <row r="2288" spans="1:6" x14ac:dyDescent="0.25">
      <c r="A2288" t="s">
        <v>10091</v>
      </c>
      <c r="B2288" t="s">
        <v>10092</v>
      </c>
      <c r="C2288" t="s">
        <v>10093</v>
      </c>
      <c r="D2288" t="s">
        <v>616</v>
      </c>
      <c r="E2288" t="s">
        <v>271</v>
      </c>
      <c r="F2288" t="s">
        <v>1102</v>
      </c>
    </row>
    <row r="2289" spans="1:6" x14ac:dyDescent="0.25">
      <c r="A2289" t="s">
        <v>10094</v>
      </c>
      <c r="B2289" t="s">
        <v>10095</v>
      </c>
      <c r="C2289" t="s">
        <v>10096</v>
      </c>
      <c r="D2289" t="s">
        <v>0</v>
      </c>
      <c r="E2289" t="s">
        <v>271</v>
      </c>
      <c r="F2289" t="s">
        <v>1591</v>
      </c>
    </row>
    <row r="2290" spans="1:6" x14ac:dyDescent="0.25">
      <c r="A2290" t="s">
        <v>10097</v>
      </c>
      <c r="B2290" t="s">
        <v>10098</v>
      </c>
      <c r="C2290" t="s">
        <v>10099</v>
      </c>
      <c r="D2290" t="s">
        <v>0</v>
      </c>
      <c r="E2290" t="s">
        <v>271</v>
      </c>
      <c r="F2290" t="s">
        <v>731</v>
      </c>
    </row>
    <row r="2291" spans="1:6" x14ac:dyDescent="0.25">
      <c r="A2291" t="s">
        <v>10100</v>
      </c>
      <c r="B2291" t="s">
        <v>10101</v>
      </c>
      <c r="C2291" t="s">
        <v>10102</v>
      </c>
      <c r="D2291" t="s">
        <v>0</v>
      </c>
      <c r="E2291" t="s">
        <v>271</v>
      </c>
      <c r="F2291" t="s">
        <v>2641</v>
      </c>
    </row>
    <row r="2292" spans="1:6" x14ac:dyDescent="0.25">
      <c r="A2292" t="s">
        <v>2279</v>
      </c>
      <c r="B2292" t="s">
        <v>2280</v>
      </c>
      <c r="C2292" t="s">
        <v>2281</v>
      </c>
      <c r="D2292" t="s">
        <v>0</v>
      </c>
      <c r="E2292" t="s">
        <v>271</v>
      </c>
      <c r="F2292" t="s">
        <v>1534</v>
      </c>
    </row>
    <row r="2293" spans="1:6" x14ac:dyDescent="0.25">
      <c r="A2293" t="s">
        <v>1985</v>
      </c>
      <c r="B2293" t="s">
        <v>1986</v>
      </c>
      <c r="C2293" t="s">
        <v>1987</v>
      </c>
      <c r="D2293" t="s">
        <v>0</v>
      </c>
      <c r="E2293" t="s">
        <v>271</v>
      </c>
      <c r="F2293" t="s">
        <v>688</v>
      </c>
    </row>
    <row r="2294" spans="1:6" x14ac:dyDescent="0.25">
      <c r="A2294" t="s">
        <v>10103</v>
      </c>
      <c r="B2294" t="s">
        <v>10104</v>
      </c>
      <c r="C2294" t="s">
        <v>10105</v>
      </c>
      <c r="D2294" t="s">
        <v>2589</v>
      </c>
      <c r="E2294" t="s">
        <v>271</v>
      </c>
      <c r="F2294" t="s">
        <v>2588</v>
      </c>
    </row>
    <row r="2295" spans="1:6" x14ac:dyDescent="0.25">
      <c r="A2295" t="s">
        <v>10106</v>
      </c>
      <c r="B2295" t="s">
        <v>10107</v>
      </c>
      <c r="C2295" t="s">
        <v>10108</v>
      </c>
      <c r="D2295" t="s">
        <v>0</v>
      </c>
      <c r="E2295" t="s">
        <v>271</v>
      </c>
      <c r="F2295" t="s">
        <v>709</v>
      </c>
    </row>
    <row r="2296" spans="1:6" x14ac:dyDescent="0.25">
      <c r="A2296" t="s">
        <v>3404</v>
      </c>
      <c r="B2296" t="s">
        <v>3405</v>
      </c>
      <c r="C2296" t="s">
        <v>3406</v>
      </c>
      <c r="D2296" t="s">
        <v>446</v>
      </c>
      <c r="E2296" t="s">
        <v>271</v>
      </c>
      <c r="F2296" t="s">
        <v>447</v>
      </c>
    </row>
    <row r="2297" spans="1:6" x14ac:dyDescent="0.25">
      <c r="A2297" t="s">
        <v>3660</v>
      </c>
      <c r="B2297" t="s">
        <v>3661</v>
      </c>
      <c r="C2297" t="s">
        <v>3662</v>
      </c>
      <c r="D2297" t="s">
        <v>1370</v>
      </c>
      <c r="E2297" t="s">
        <v>271</v>
      </c>
      <c r="F2297" t="s">
        <v>1369</v>
      </c>
    </row>
    <row r="2298" spans="1:6" x14ac:dyDescent="0.25">
      <c r="A2298" t="s">
        <v>10109</v>
      </c>
      <c r="B2298" t="s">
        <v>10110</v>
      </c>
      <c r="C2298" t="s">
        <v>10111</v>
      </c>
      <c r="D2298" t="s">
        <v>3767</v>
      </c>
      <c r="E2298" t="s">
        <v>269</v>
      </c>
      <c r="F2298" t="s">
        <v>3766</v>
      </c>
    </row>
    <row r="2299" spans="1:6" x14ac:dyDescent="0.25">
      <c r="A2299" t="s">
        <v>10112</v>
      </c>
      <c r="B2299" t="s">
        <v>10113</v>
      </c>
      <c r="C2299" t="s">
        <v>10114</v>
      </c>
      <c r="D2299" t="s">
        <v>314</v>
      </c>
      <c r="E2299" t="s">
        <v>271</v>
      </c>
      <c r="F2299" t="s">
        <v>3572</v>
      </c>
    </row>
    <row r="2300" spans="1:6" x14ac:dyDescent="0.25">
      <c r="A2300" t="s">
        <v>10115</v>
      </c>
      <c r="B2300" t="s">
        <v>10116</v>
      </c>
      <c r="C2300" t="s">
        <v>10117</v>
      </c>
      <c r="D2300" t="s">
        <v>0</v>
      </c>
      <c r="E2300" t="s">
        <v>271</v>
      </c>
      <c r="F2300" t="s">
        <v>325</v>
      </c>
    </row>
    <row r="2301" spans="1:6" x14ac:dyDescent="0.25">
      <c r="A2301" t="s">
        <v>3428</v>
      </c>
      <c r="B2301" t="s">
        <v>3429</v>
      </c>
      <c r="C2301" t="s">
        <v>3430</v>
      </c>
      <c r="D2301" t="s">
        <v>845</v>
      </c>
      <c r="E2301" t="s">
        <v>271</v>
      </c>
      <c r="F2301" t="s">
        <v>844</v>
      </c>
    </row>
    <row r="2302" spans="1:6" x14ac:dyDescent="0.25">
      <c r="A2302" t="s">
        <v>10118</v>
      </c>
      <c r="B2302" t="s">
        <v>10119</v>
      </c>
      <c r="C2302" t="s">
        <v>10120</v>
      </c>
      <c r="D2302" t="s">
        <v>0</v>
      </c>
      <c r="E2302" t="s">
        <v>271</v>
      </c>
      <c r="F2302" t="s">
        <v>3652</v>
      </c>
    </row>
    <row r="2303" spans="1:6" x14ac:dyDescent="0.25">
      <c r="A2303" t="s">
        <v>10121</v>
      </c>
      <c r="B2303" t="s">
        <v>10122</v>
      </c>
      <c r="C2303" t="s">
        <v>10123</v>
      </c>
      <c r="D2303" t="s">
        <v>972</v>
      </c>
      <c r="E2303" t="s">
        <v>269</v>
      </c>
      <c r="F2303" t="s">
        <v>971</v>
      </c>
    </row>
    <row r="2304" spans="1:6" x14ac:dyDescent="0.25">
      <c r="A2304" t="s">
        <v>1282</v>
      </c>
      <c r="B2304" t="s">
        <v>1283</v>
      </c>
      <c r="C2304" t="s">
        <v>1287</v>
      </c>
      <c r="D2304" t="s">
        <v>1286</v>
      </c>
      <c r="E2304" t="s">
        <v>269</v>
      </c>
      <c r="F2304" t="s">
        <v>1285</v>
      </c>
    </row>
    <row r="2305" spans="1:6" x14ac:dyDescent="0.25">
      <c r="A2305" t="s">
        <v>10124</v>
      </c>
      <c r="B2305" t="s">
        <v>10125</v>
      </c>
      <c r="C2305" t="s">
        <v>7626</v>
      </c>
      <c r="D2305" t="s">
        <v>2009</v>
      </c>
      <c r="E2305" t="s">
        <v>271</v>
      </c>
      <c r="F2305" t="s">
        <v>2008</v>
      </c>
    </row>
    <row r="2306" spans="1:6" x14ac:dyDescent="0.25">
      <c r="A2306" t="s">
        <v>10126</v>
      </c>
      <c r="B2306" t="s">
        <v>10127</v>
      </c>
      <c r="C2306" t="s">
        <v>10128</v>
      </c>
      <c r="D2306" t="s">
        <v>2637</v>
      </c>
      <c r="E2306" t="s">
        <v>271</v>
      </c>
      <c r="F2306" t="s">
        <v>2636</v>
      </c>
    </row>
    <row r="2307" spans="1:6" x14ac:dyDescent="0.25">
      <c r="A2307" t="s">
        <v>10129</v>
      </c>
      <c r="B2307" t="s">
        <v>10130</v>
      </c>
      <c r="C2307" t="s">
        <v>10131</v>
      </c>
      <c r="D2307" t="s">
        <v>742</v>
      </c>
      <c r="E2307" t="s">
        <v>271</v>
      </c>
      <c r="F2307" t="s">
        <v>741</v>
      </c>
    </row>
    <row r="2308" spans="1:6" x14ac:dyDescent="0.25">
      <c r="A2308" t="s">
        <v>10132</v>
      </c>
      <c r="B2308" t="s">
        <v>10133</v>
      </c>
      <c r="C2308" t="s">
        <v>10134</v>
      </c>
      <c r="D2308" t="s">
        <v>450</v>
      </c>
      <c r="E2308" t="s">
        <v>271</v>
      </c>
      <c r="F2308" t="s">
        <v>326</v>
      </c>
    </row>
    <row r="2309" spans="1:6" x14ac:dyDescent="0.25">
      <c r="A2309" t="s">
        <v>10135</v>
      </c>
      <c r="B2309" t="s">
        <v>10136</v>
      </c>
      <c r="C2309" t="s">
        <v>10137</v>
      </c>
      <c r="D2309" t="s">
        <v>258</v>
      </c>
      <c r="E2309" t="s">
        <v>271</v>
      </c>
      <c r="F2309" t="s">
        <v>524</v>
      </c>
    </row>
    <row r="2310" spans="1:6" x14ac:dyDescent="0.25">
      <c r="A2310" t="s">
        <v>1134</v>
      </c>
      <c r="B2310" t="s">
        <v>1135</v>
      </c>
      <c r="C2310" t="s">
        <v>1138</v>
      </c>
      <c r="D2310" t="s">
        <v>1137</v>
      </c>
      <c r="E2310" t="s">
        <v>269</v>
      </c>
      <c r="F2310" t="s">
        <v>1136</v>
      </c>
    </row>
    <row r="2311" spans="1:6" x14ac:dyDescent="0.25">
      <c r="A2311" t="s">
        <v>10138</v>
      </c>
      <c r="B2311" t="s">
        <v>10139</v>
      </c>
      <c r="C2311" t="s">
        <v>10140</v>
      </c>
      <c r="D2311" t="s">
        <v>10141</v>
      </c>
      <c r="E2311" t="s">
        <v>212</v>
      </c>
      <c r="F2311" t="s">
        <v>10142</v>
      </c>
    </row>
    <row r="2312" spans="1:6" x14ac:dyDescent="0.25">
      <c r="A2312" t="s">
        <v>10143</v>
      </c>
      <c r="B2312" t="s">
        <v>10144</v>
      </c>
      <c r="C2312" t="s">
        <v>10145</v>
      </c>
      <c r="D2312" t="s">
        <v>0</v>
      </c>
      <c r="E2312" t="s">
        <v>271</v>
      </c>
      <c r="F2312" t="s">
        <v>1180</v>
      </c>
    </row>
    <row r="2313" spans="1:6" x14ac:dyDescent="0.25">
      <c r="A2313" t="s">
        <v>10146</v>
      </c>
      <c r="B2313" t="s">
        <v>10147</v>
      </c>
      <c r="C2313" t="s">
        <v>10148</v>
      </c>
      <c r="D2313" t="s">
        <v>0</v>
      </c>
      <c r="E2313" t="s">
        <v>271</v>
      </c>
      <c r="F2313" t="s">
        <v>562</v>
      </c>
    </row>
    <row r="2314" spans="1:6" x14ac:dyDescent="0.25">
      <c r="A2314" t="s">
        <v>10149</v>
      </c>
      <c r="B2314" t="s">
        <v>10150</v>
      </c>
      <c r="C2314" t="s">
        <v>10151</v>
      </c>
      <c r="D2314" t="s">
        <v>312</v>
      </c>
      <c r="E2314" t="s">
        <v>271</v>
      </c>
      <c r="F2314" t="s">
        <v>311</v>
      </c>
    </row>
    <row r="2315" spans="1:6" x14ac:dyDescent="0.25">
      <c r="A2315" t="s">
        <v>10152</v>
      </c>
      <c r="B2315" t="s">
        <v>10153</v>
      </c>
      <c r="C2315" t="s">
        <v>10154</v>
      </c>
      <c r="D2315" t="s">
        <v>1297</v>
      </c>
      <c r="E2315" t="s">
        <v>271</v>
      </c>
      <c r="F2315" t="s">
        <v>996</v>
      </c>
    </row>
    <row r="2316" spans="1:6" x14ac:dyDescent="0.25">
      <c r="A2316" t="s">
        <v>10155</v>
      </c>
      <c r="B2316" t="s">
        <v>10156</v>
      </c>
      <c r="C2316" t="s">
        <v>10157</v>
      </c>
      <c r="D2316" t="s">
        <v>340</v>
      </c>
      <c r="E2316" t="s">
        <v>271</v>
      </c>
      <c r="F2316" t="s">
        <v>317</v>
      </c>
    </row>
    <row r="2317" spans="1:6" x14ac:dyDescent="0.25">
      <c r="A2317" t="s">
        <v>10158</v>
      </c>
      <c r="B2317" t="s">
        <v>10159</v>
      </c>
      <c r="C2317" t="s">
        <v>10160</v>
      </c>
      <c r="D2317" t="s">
        <v>500</v>
      </c>
      <c r="E2317" t="s">
        <v>271</v>
      </c>
      <c r="F2317" t="s">
        <v>501</v>
      </c>
    </row>
    <row r="2318" spans="1:6" x14ac:dyDescent="0.25">
      <c r="A2318" t="s">
        <v>10161</v>
      </c>
      <c r="B2318" t="s">
        <v>10162</v>
      </c>
      <c r="C2318" t="s">
        <v>10163</v>
      </c>
      <c r="D2318" t="s">
        <v>472</v>
      </c>
      <c r="E2318" t="s">
        <v>271</v>
      </c>
      <c r="F2318" t="s">
        <v>318</v>
      </c>
    </row>
    <row r="2319" spans="1:6" x14ac:dyDescent="0.25">
      <c r="A2319" t="s">
        <v>10164</v>
      </c>
      <c r="B2319" t="s">
        <v>10165</v>
      </c>
      <c r="C2319" t="s">
        <v>9605</v>
      </c>
      <c r="D2319" t="s">
        <v>0</v>
      </c>
      <c r="E2319" t="s">
        <v>271</v>
      </c>
      <c r="F2319" t="s">
        <v>323</v>
      </c>
    </row>
    <row r="2320" spans="1:6" x14ac:dyDescent="0.25">
      <c r="A2320" t="s">
        <v>1966</v>
      </c>
      <c r="B2320" t="s">
        <v>1967</v>
      </c>
      <c r="C2320" t="s">
        <v>1968</v>
      </c>
      <c r="D2320" t="s">
        <v>822</v>
      </c>
      <c r="E2320" t="s">
        <v>269</v>
      </c>
      <c r="F2320" t="s">
        <v>821</v>
      </c>
    </row>
    <row r="2321" spans="1:6" x14ac:dyDescent="0.25">
      <c r="A2321" t="s">
        <v>10166</v>
      </c>
      <c r="B2321" t="s">
        <v>10167</v>
      </c>
      <c r="C2321" t="s">
        <v>10168</v>
      </c>
      <c r="D2321" t="s">
        <v>402</v>
      </c>
      <c r="E2321" t="s">
        <v>271</v>
      </c>
      <c r="F2321" t="s">
        <v>401</v>
      </c>
    </row>
    <row r="2322" spans="1:6" x14ac:dyDescent="0.25">
      <c r="A2322" t="s">
        <v>10169</v>
      </c>
      <c r="B2322" t="s">
        <v>10170</v>
      </c>
      <c r="C2322" t="s">
        <v>6035</v>
      </c>
      <c r="D2322" t="s">
        <v>10171</v>
      </c>
      <c r="E2322" t="s">
        <v>271</v>
      </c>
      <c r="F2322" t="s">
        <v>2470</v>
      </c>
    </row>
    <row r="2323" spans="1:6" x14ac:dyDescent="0.25">
      <c r="A2323" t="s">
        <v>10172</v>
      </c>
      <c r="B2323" t="s">
        <v>10173</v>
      </c>
      <c r="C2323" t="s">
        <v>10174</v>
      </c>
      <c r="D2323" t="s">
        <v>0</v>
      </c>
      <c r="E2323" t="s">
        <v>271</v>
      </c>
      <c r="F2323" t="s">
        <v>809</v>
      </c>
    </row>
    <row r="2324" spans="1:6" x14ac:dyDescent="0.25">
      <c r="A2324" t="s">
        <v>10175</v>
      </c>
      <c r="B2324" t="s">
        <v>10176</v>
      </c>
      <c r="C2324" t="s">
        <v>10177</v>
      </c>
      <c r="D2324" t="s">
        <v>506</v>
      </c>
      <c r="E2324" t="s">
        <v>271</v>
      </c>
      <c r="F2324" t="s">
        <v>507</v>
      </c>
    </row>
    <row r="2325" spans="1:6" x14ac:dyDescent="0.25">
      <c r="A2325" t="s">
        <v>10178</v>
      </c>
      <c r="B2325" t="s">
        <v>10179</v>
      </c>
      <c r="C2325" t="s">
        <v>10180</v>
      </c>
      <c r="D2325" t="s">
        <v>1079</v>
      </c>
      <c r="E2325" t="s">
        <v>271</v>
      </c>
      <c r="F2325" t="s">
        <v>1078</v>
      </c>
    </row>
    <row r="2326" spans="1:6" x14ac:dyDescent="0.25">
      <c r="A2326" t="s">
        <v>10181</v>
      </c>
      <c r="B2326" t="s">
        <v>10182</v>
      </c>
      <c r="C2326" t="s">
        <v>10183</v>
      </c>
      <c r="D2326" t="s">
        <v>1609</v>
      </c>
      <c r="E2326" t="s">
        <v>271</v>
      </c>
      <c r="F2326" t="s">
        <v>294</v>
      </c>
    </row>
    <row r="2327" spans="1:6" x14ac:dyDescent="0.25">
      <c r="A2327" t="s">
        <v>1593</v>
      </c>
      <c r="B2327" t="s">
        <v>1594</v>
      </c>
      <c r="C2327" t="s">
        <v>1596</v>
      </c>
      <c r="D2327" t="s">
        <v>239</v>
      </c>
      <c r="E2327" t="s">
        <v>271</v>
      </c>
      <c r="F2327" t="s">
        <v>544</v>
      </c>
    </row>
    <row r="2328" spans="1:6" x14ac:dyDescent="0.25">
      <c r="A2328" t="s">
        <v>10184</v>
      </c>
      <c r="B2328" t="s">
        <v>10185</v>
      </c>
      <c r="C2328" t="s">
        <v>10186</v>
      </c>
      <c r="D2328" t="s">
        <v>718</v>
      </c>
      <c r="E2328" t="s">
        <v>271</v>
      </c>
      <c r="F2328" t="s">
        <v>333</v>
      </c>
    </row>
    <row r="2329" spans="1:6" x14ac:dyDescent="0.25">
      <c r="A2329" t="s">
        <v>10187</v>
      </c>
      <c r="B2329" t="s">
        <v>10188</v>
      </c>
      <c r="C2329" t="s">
        <v>10189</v>
      </c>
      <c r="D2329" t="s">
        <v>793</v>
      </c>
      <c r="E2329" t="s">
        <v>271</v>
      </c>
      <c r="F2329" t="s">
        <v>792</v>
      </c>
    </row>
    <row r="2330" spans="1:6" x14ac:dyDescent="0.25">
      <c r="A2330" t="s">
        <v>1024</v>
      </c>
      <c r="B2330" t="s">
        <v>1025</v>
      </c>
      <c r="C2330" t="s">
        <v>1028</v>
      </c>
      <c r="D2330" t="s">
        <v>1027</v>
      </c>
      <c r="E2330" t="s">
        <v>271</v>
      </c>
      <c r="F2330" t="s">
        <v>1026</v>
      </c>
    </row>
    <row r="2331" spans="1:6" x14ac:dyDescent="0.25">
      <c r="A2331" t="s">
        <v>10190</v>
      </c>
      <c r="B2331" t="s">
        <v>10191</v>
      </c>
      <c r="C2331" t="s">
        <v>10192</v>
      </c>
      <c r="D2331" t="s">
        <v>4486</v>
      </c>
      <c r="E2331" t="s">
        <v>271</v>
      </c>
      <c r="F2331" t="s">
        <v>4417</v>
      </c>
    </row>
    <row r="2332" spans="1:6" x14ac:dyDescent="0.25">
      <c r="A2332" t="s">
        <v>10193</v>
      </c>
      <c r="B2332" t="s">
        <v>10194</v>
      </c>
      <c r="C2332" t="s">
        <v>10195</v>
      </c>
      <c r="D2332" t="s">
        <v>0</v>
      </c>
      <c r="E2332" t="s">
        <v>271</v>
      </c>
      <c r="F2332" t="s">
        <v>881</v>
      </c>
    </row>
    <row r="2333" spans="1:6" x14ac:dyDescent="0.25">
      <c r="A2333" t="s">
        <v>10196</v>
      </c>
      <c r="B2333" t="s">
        <v>10197</v>
      </c>
      <c r="C2333" t="s">
        <v>10198</v>
      </c>
      <c r="D2333" t="s">
        <v>378</v>
      </c>
      <c r="E2333" t="s">
        <v>341</v>
      </c>
      <c r="F2333" t="s">
        <v>338</v>
      </c>
    </row>
    <row r="2334" spans="1:6" x14ac:dyDescent="0.25">
      <c r="A2334" t="s">
        <v>10199</v>
      </c>
      <c r="B2334" t="s">
        <v>10200</v>
      </c>
      <c r="C2334" t="s">
        <v>10201</v>
      </c>
      <c r="D2334" t="s">
        <v>0</v>
      </c>
      <c r="E2334" t="s">
        <v>271</v>
      </c>
      <c r="F2334" t="s">
        <v>562</v>
      </c>
    </row>
    <row r="2335" spans="1:6" x14ac:dyDescent="0.25">
      <c r="A2335" t="s">
        <v>10202</v>
      </c>
      <c r="B2335" t="s">
        <v>10203</v>
      </c>
      <c r="C2335" t="s">
        <v>5514</v>
      </c>
      <c r="D2335" t="s">
        <v>0</v>
      </c>
      <c r="E2335" t="s">
        <v>271</v>
      </c>
      <c r="F2335" t="s">
        <v>323</v>
      </c>
    </row>
    <row r="2336" spans="1:6" x14ac:dyDescent="0.25">
      <c r="A2336" t="s">
        <v>10204</v>
      </c>
      <c r="B2336" t="s">
        <v>588</v>
      </c>
      <c r="C2336" t="s">
        <v>10205</v>
      </c>
      <c r="D2336" t="s">
        <v>0</v>
      </c>
      <c r="E2336" t="s">
        <v>271</v>
      </c>
      <c r="F2336" t="s">
        <v>1321</v>
      </c>
    </row>
    <row r="2337" spans="1:6" x14ac:dyDescent="0.25">
      <c r="A2337" t="s">
        <v>10206</v>
      </c>
      <c r="B2337" t="s">
        <v>10207</v>
      </c>
      <c r="C2337" t="s">
        <v>10208</v>
      </c>
      <c r="D2337" t="s">
        <v>0</v>
      </c>
      <c r="E2337" t="s">
        <v>271</v>
      </c>
      <c r="F2337" t="s">
        <v>356</v>
      </c>
    </row>
    <row r="2338" spans="1:6" x14ac:dyDescent="0.25">
      <c r="A2338" t="s">
        <v>10209</v>
      </c>
      <c r="B2338" t="s">
        <v>10210</v>
      </c>
      <c r="C2338" t="s">
        <v>10211</v>
      </c>
      <c r="D2338" t="s">
        <v>377</v>
      </c>
      <c r="E2338" t="s">
        <v>269</v>
      </c>
      <c r="F2338" t="s">
        <v>1786</v>
      </c>
    </row>
    <row r="2339" spans="1:6" x14ac:dyDescent="0.25">
      <c r="A2339" t="s">
        <v>10212</v>
      </c>
      <c r="B2339" t="s">
        <v>10213</v>
      </c>
      <c r="C2339" t="s">
        <v>10214</v>
      </c>
      <c r="D2339" t="s">
        <v>578</v>
      </c>
      <c r="E2339" t="s">
        <v>271</v>
      </c>
      <c r="F2339" t="s">
        <v>321</v>
      </c>
    </row>
    <row r="2340" spans="1:6" x14ac:dyDescent="0.25">
      <c r="A2340" t="s">
        <v>10215</v>
      </c>
      <c r="B2340" t="s">
        <v>10216</v>
      </c>
      <c r="C2340" t="s">
        <v>9716</v>
      </c>
      <c r="D2340" t="s">
        <v>668</v>
      </c>
      <c r="E2340" t="s">
        <v>271</v>
      </c>
      <c r="F2340" t="s">
        <v>667</v>
      </c>
    </row>
    <row r="2341" spans="1:6" x14ac:dyDescent="0.25">
      <c r="A2341" t="s">
        <v>10217</v>
      </c>
      <c r="B2341" t="s">
        <v>10218</v>
      </c>
      <c r="C2341" t="s">
        <v>10219</v>
      </c>
      <c r="D2341" t="s">
        <v>519</v>
      </c>
      <c r="E2341" t="s">
        <v>271</v>
      </c>
      <c r="F2341" t="s">
        <v>324</v>
      </c>
    </row>
    <row r="2342" spans="1:6" x14ac:dyDescent="0.25">
      <c r="A2342" t="s">
        <v>10220</v>
      </c>
      <c r="B2342" t="s">
        <v>10221</v>
      </c>
      <c r="C2342" t="s">
        <v>10222</v>
      </c>
      <c r="D2342" t="s">
        <v>0</v>
      </c>
      <c r="E2342" t="s">
        <v>271</v>
      </c>
      <c r="F2342" t="s">
        <v>325</v>
      </c>
    </row>
    <row r="2343" spans="1:6" x14ac:dyDescent="0.25">
      <c r="A2343" t="s">
        <v>10223</v>
      </c>
      <c r="B2343" t="s">
        <v>6625</v>
      </c>
      <c r="C2343" t="s">
        <v>10224</v>
      </c>
      <c r="D2343" t="s">
        <v>5424</v>
      </c>
      <c r="E2343" t="s">
        <v>230</v>
      </c>
      <c r="F2343" t="s">
        <v>10225</v>
      </c>
    </row>
    <row r="2344" spans="1:6" x14ac:dyDescent="0.25">
      <c r="A2344" t="s">
        <v>10226</v>
      </c>
      <c r="B2344" t="s">
        <v>10227</v>
      </c>
      <c r="C2344" t="s">
        <v>10228</v>
      </c>
      <c r="D2344" t="s">
        <v>10229</v>
      </c>
      <c r="E2344" t="s">
        <v>271</v>
      </c>
      <c r="F2344" t="s">
        <v>10230</v>
      </c>
    </row>
    <row r="2345" spans="1:6" x14ac:dyDescent="0.25">
      <c r="A2345" t="s">
        <v>10231</v>
      </c>
      <c r="B2345" t="s">
        <v>10232</v>
      </c>
      <c r="C2345" t="s">
        <v>10233</v>
      </c>
      <c r="D2345" t="s">
        <v>236</v>
      </c>
      <c r="E2345" t="s">
        <v>271</v>
      </c>
      <c r="F2345" t="s">
        <v>306</v>
      </c>
    </row>
    <row r="2346" spans="1:6" x14ac:dyDescent="0.25">
      <c r="A2346" t="s">
        <v>10234</v>
      </c>
      <c r="B2346" t="s">
        <v>10235</v>
      </c>
      <c r="C2346" t="s">
        <v>10236</v>
      </c>
      <c r="D2346" t="s">
        <v>1643</v>
      </c>
      <c r="E2346" t="s">
        <v>271</v>
      </c>
      <c r="F2346" t="s">
        <v>2028</v>
      </c>
    </row>
    <row r="2347" spans="1:6" x14ac:dyDescent="0.25">
      <c r="A2347" t="s">
        <v>10237</v>
      </c>
      <c r="B2347" t="s">
        <v>10238</v>
      </c>
      <c r="C2347" t="s">
        <v>10239</v>
      </c>
      <c r="D2347" t="s">
        <v>586</v>
      </c>
      <c r="E2347" t="s">
        <v>271</v>
      </c>
      <c r="F2347" t="s">
        <v>662</v>
      </c>
    </row>
    <row r="2348" spans="1:6" x14ac:dyDescent="0.25">
      <c r="A2348" t="s">
        <v>10240</v>
      </c>
      <c r="B2348" t="s">
        <v>456</v>
      </c>
      <c r="C2348" t="s">
        <v>10241</v>
      </c>
      <c r="D2348" t="s">
        <v>2471</v>
      </c>
      <c r="E2348" t="s">
        <v>271</v>
      </c>
      <c r="F2348" t="s">
        <v>2470</v>
      </c>
    </row>
    <row r="2349" spans="1:6" x14ac:dyDescent="0.25">
      <c r="A2349" t="s">
        <v>10242</v>
      </c>
      <c r="B2349" t="s">
        <v>10243</v>
      </c>
      <c r="C2349" t="s">
        <v>10244</v>
      </c>
      <c r="D2349" t="s">
        <v>506</v>
      </c>
      <c r="E2349" t="s">
        <v>271</v>
      </c>
      <c r="F2349" t="s">
        <v>507</v>
      </c>
    </row>
    <row r="2350" spans="1:6" x14ac:dyDescent="0.25">
      <c r="A2350" t="s">
        <v>10245</v>
      </c>
      <c r="B2350" t="s">
        <v>10246</v>
      </c>
      <c r="C2350" t="s">
        <v>10247</v>
      </c>
      <c r="D2350" t="s">
        <v>1601</v>
      </c>
      <c r="E2350" t="s">
        <v>269</v>
      </c>
      <c r="F2350" t="s">
        <v>2243</v>
      </c>
    </row>
    <row r="2351" spans="1:6" x14ac:dyDescent="0.25">
      <c r="A2351" t="s">
        <v>10248</v>
      </c>
      <c r="B2351" t="s">
        <v>10249</v>
      </c>
      <c r="C2351" t="s">
        <v>10250</v>
      </c>
      <c r="D2351" t="s">
        <v>1542</v>
      </c>
      <c r="E2351" t="s">
        <v>269</v>
      </c>
      <c r="F2351" t="s">
        <v>4412</v>
      </c>
    </row>
    <row r="2352" spans="1:6" x14ac:dyDescent="0.25">
      <c r="A2352" t="s">
        <v>1457</v>
      </c>
      <c r="B2352" t="s">
        <v>1458</v>
      </c>
      <c r="C2352" t="s">
        <v>1459</v>
      </c>
      <c r="D2352" t="s">
        <v>0</v>
      </c>
      <c r="E2352" t="s">
        <v>271</v>
      </c>
      <c r="F2352" t="s">
        <v>1321</v>
      </c>
    </row>
    <row r="2353" spans="1:6" x14ac:dyDescent="0.25">
      <c r="A2353" t="s">
        <v>10251</v>
      </c>
      <c r="B2353" t="s">
        <v>10252</v>
      </c>
      <c r="C2353" t="s">
        <v>10253</v>
      </c>
      <c r="D2353" t="s">
        <v>2962</v>
      </c>
      <c r="E2353" t="s">
        <v>271</v>
      </c>
      <c r="F2353" t="s">
        <v>860</v>
      </c>
    </row>
    <row r="2354" spans="1:6" x14ac:dyDescent="0.25">
      <c r="A2354" t="s">
        <v>2639</v>
      </c>
      <c r="B2354" t="s">
        <v>2640</v>
      </c>
      <c r="C2354" t="s">
        <v>2642</v>
      </c>
      <c r="D2354" t="s">
        <v>0</v>
      </c>
      <c r="E2354" t="s">
        <v>271</v>
      </c>
      <c r="F2354" t="s">
        <v>2641</v>
      </c>
    </row>
    <row r="2355" spans="1:6" x14ac:dyDescent="0.25">
      <c r="A2355" t="s">
        <v>10254</v>
      </c>
      <c r="B2355" t="s">
        <v>10255</v>
      </c>
      <c r="C2355" t="s">
        <v>10256</v>
      </c>
      <c r="D2355" t="s">
        <v>0</v>
      </c>
      <c r="E2355" t="s">
        <v>271</v>
      </c>
      <c r="F2355" t="s">
        <v>562</v>
      </c>
    </row>
    <row r="2356" spans="1:6" x14ac:dyDescent="0.25">
      <c r="A2356" t="s">
        <v>10257</v>
      </c>
      <c r="B2356" t="s">
        <v>10258</v>
      </c>
      <c r="C2356" t="s">
        <v>10259</v>
      </c>
      <c r="D2356" t="s">
        <v>0</v>
      </c>
      <c r="E2356" t="s">
        <v>271</v>
      </c>
      <c r="F2356" t="s">
        <v>575</v>
      </c>
    </row>
    <row r="2357" spans="1:6" x14ac:dyDescent="0.25">
      <c r="A2357" t="s">
        <v>3475</v>
      </c>
      <c r="B2357" t="s">
        <v>3476</v>
      </c>
      <c r="C2357" t="s">
        <v>3477</v>
      </c>
      <c r="D2357" t="s">
        <v>237</v>
      </c>
      <c r="E2357" t="s">
        <v>271</v>
      </c>
      <c r="F2357" t="s">
        <v>427</v>
      </c>
    </row>
    <row r="2358" spans="1:6" x14ac:dyDescent="0.25">
      <c r="A2358" t="s">
        <v>767</v>
      </c>
      <c r="B2358" t="s">
        <v>768</v>
      </c>
      <c r="C2358" t="s">
        <v>772</v>
      </c>
      <c r="D2358" t="s">
        <v>0</v>
      </c>
      <c r="E2358" t="s">
        <v>271</v>
      </c>
      <c r="F2358" t="s">
        <v>319</v>
      </c>
    </row>
    <row r="2359" spans="1:6" x14ac:dyDescent="0.25">
      <c r="A2359" t="s">
        <v>10260</v>
      </c>
      <c r="B2359" t="s">
        <v>10261</v>
      </c>
      <c r="C2359" t="s">
        <v>10262</v>
      </c>
      <c r="D2359" t="s">
        <v>503</v>
      </c>
      <c r="E2359" t="s">
        <v>271</v>
      </c>
      <c r="F2359" t="s">
        <v>504</v>
      </c>
    </row>
    <row r="2360" spans="1:6" x14ac:dyDescent="0.25">
      <c r="A2360" t="s">
        <v>10263</v>
      </c>
      <c r="B2360" t="s">
        <v>10264</v>
      </c>
      <c r="C2360" t="s">
        <v>10265</v>
      </c>
      <c r="D2360" t="s">
        <v>237</v>
      </c>
      <c r="E2360" t="s">
        <v>271</v>
      </c>
      <c r="F2360" t="s">
        <v>427</v>
      </c>
    </row>
    <row r="2361" spans="1:6" x14ac:dyDescent="0.25">
      <c r="A2361" t="s">
        <v>10266</v>
      </c>
      <c r="B2361" t="s">
        <v>10267</v>
      </c>
      <c r="C2361" t="s">
        <v>10268</v>
      </c>
      <c r="D2361" t="s">
        <v>556</v>
      </c>
      <c r="E2361" t="s">
        <v>271</v>
      </c>
      <c r="F2361" t="s">
        <v>1567</v>
      </c>
    </row>
    <row r="2362" spans="1:6" x14ac:dyDescent="0.25">
      <c r="A2362" t="s">
        <v>991</v>
      </c>
      <c r="B2362" t="s">
        <v>992</v>
      </c>
      <c r="C2362" t="s">
        <v>993</v>
      </c>
      <c r="D2362" t="s">
        <v>0</v>
      </c>
      <c r="E2362" t="s">
        <v>271</v>
      </c>
      <c r="F2362" t="s">
        <v>356</v>
      </c>
    </row>
    <row r="2363" spans="1:6" x14ac:dyDescent="0.25">
      <c r="A2363" t="s">
        <v>10269</v>
      </c>
      <c r="B2363" t="s">
        <v>10270</v>
      </c>
      <c r="C2363" t="s">
        <v>10271</v>
      </c>
      <c r="D2363" t="s">
        <v>2681</v>
      </c>
      <c r="E2363" t="s">
        <v>271</v>
      </c>
      <c r="F2363" t="s">
        <v>2680</v>
      </c>
    </row>
    <row r="2364" spans="1:6" x14ac:dyDescent="0.25">
      <c r="A2364" t="s">
        <v>10272</v>
      </c>
      <c r="B2364" t="s">
        <v>10273</v>
      </c>
      <c r="C2364" t="s">
        <v>10274</v>
      </c>
      <c r="D2364" t="s">
        <v>0</v>
      </c>
      <c r="E2364" t="s">
        <v>271</v>
      </c>
      <c r="F2364" t="s">
        <v>731</v>
      </c>
    </row>
    <row r="2365" spans="1:6" x14ac:dyDescent="0.25">
      <c r="A2365" t="s">
        <v>10275</v>
      </c>
      <c r="B2365" t="s">
        <v>10276</v>
      </c>
      <c r="C2365" t="s">
        <v>10277</v>
      </c>
      <c r="D2365" t="s">
        <v>314</v>
      </c>
      <c r="E2365" t="s">
        <v>271</v>
      </c>
      <c r="F2365" t="s">
        <v>352</v>
      </c>
    </row>
    <row r="2366" spans="1:6" x14ac:dyDescent="0.25">
      <c r="A2366" t="s">
        <v>10278</v>
      </c>
      <c r="B2366" t="s">
        <v>10279</v>
      </c>
      <c r="C2366" t="s">
        <v>10280</v>
      </c>
      <c r="D2366" t="s">
        <v>498</v>
      </c>
      <c r="E2366" t="s">
        <v>271</v>
      </c>
      <c r="F2366" t="s">
        <v>926</v>
      </c>
    </row>
    <row r="2367" spans="1:6" x14ac:dyDescent="0.25">
      <c r="A2367" t="s">
        <v>1206</v>
      </c>
      <c r="B2367" t="s">
        <v>1207</v>
      </c>
      <c r="C2367" t="s">
        <v>1211</v>
      </c>
      <c r="D2367" t="s">
        <v>1210</v>
      </c>
      <c r="E2367" t="s">
        <v>271</v>
      </c>
      <c r="F2367" t="s">
        <v>1209</v>
      </c>
    </row>
    <row r="2368" spans="1:6" x14ac:dyDescent="0.25">
      <c r="A2368" t="s">
        <v>10281</v>
      </c>
      <c r="B2368" t="s">
        <v>10282</v>
      </c>
      <c r="C2368" t="s">
        <v>10283</v>
      </c>
      <c r="D2368" t="s">
        <v>506</v>
      </c>
      <c r="E2368" t="s">
        <v>271</v>
      </c>
      <c r="F2368" t="s">
        <v>507</v>
      </c>
    </row>
    <row r="2369" spans="1:6" x14ac:dyDescent="0.25">
      <c r="A2369" t="s">
        <v>10284</v>
      </c>
      <c r="B2369" t="s">
        <v>10285</v>
      </c>
      <c r="C2369" t="s">
        <v>10286</v>
      </c>
      <c r="D2369" t="s">
        <v>0</v>
      </c>
      <c r="E2369" t="s">
        <v>271</v>
      </c>
      <c r="F2369" t="s">
        <v>325</v>
      </c>
    </row>
    <row r="2370" spans="1:6" x14ac:dyDescent="0.25">
      <c r="A2370" t="s">
        <v>10287</v>
      </c>
      <c r="B2370" t="s">
        <v>10288</v>
      </c>
      <c r="C2370" t="s">
        <v>10289</v>
      </c>
      <c r="D2370" t="s">
        <v>1286</v>
      </c>
      <c r="E2370" t="s">
        <v>269</v>
      </c>
      <c r="F2370" t="s">
        <v>1285</v>
      </c>
    </row>
    <row r="2371" spans="1:6" x14ac:dyDescent="0.25">
      <c r="A2371" t="s">
        <v>10290</v>
      </c>
      <c r="B2371" t="s">
        <v>10291</v>
      </c>
      <c r="C2371" t="s">
        <v>10292</v>
      </c>
      <c r="D2371" t="s">
        <v>0</v>
      </c>
      <c r="E2371" t="s">
        <v>271</v>
      </c>
      <c r="F2371" t="s">
        <v>562</v>
      </c>
    </row>
    <row r="2372" spans="1:6" x14ac:dyDescent="0.25">
      <c r="A2372" t="s">
        <v>10293</v>
      </c>
      <c r="B2372" t="s">
        <v>10294</v>
      </c>
      <c r="C2372" t="s">
        <v>10295</v>
      </c>
      <c r="D2372" t="s">
        <v>0</v>
      </c>
      <c r="E2372" t="s">
        <v>271</v>
      </c>
      <c r="F2372" t="s">
        <v>1011</v>
      </c>
    </row>
    <row r="2373" spans="1:6" x14ac:dyDescent="0.25">
      <c r="A2373" t="s">
        <v>3595</v>
      </c>
      <c r="B2373" t="s">
        <v>3596</v>
      </c>
      <c r="C2373" t="s">
        <v>3597</v>
      </c>
      <c r="D2373" t="s">
        <v>453</v>
      </c>
      <c r="E2373" t="s">
        <v>271</v>
      </c>
      <c r="F2373" t="s">
        <v>2285</v>
      </c>
    </row>
    <row r="2374" spans="1:6" x14ac:dyDescent="0.25">
      <c r="A2374" t="s">
        <v>1394</v>
      </c>
      <c r="B2374" t="s">
        <v>1395</v>
      </c>
      <c r="C2374" t="s">
        <v>1396</v>
      </c>
      <c r="D2374" t="s">
        <v>0</v>
      </c>
      <c r="E2374" t="s">
        <v>271</v>
      </c>
      <c r="F2374" t="s">
        <v>355</v>
      </c>
    </row>
    <row r="2375" spans="1:6" x14ac:dyDescent="0.25">
      <c r="A2375" t="s">
        <v>918</v>
      </c>
      <c r="B2375" t="s">
        <v>919</v>
      </c>
      <c r="C2375" t="s">
        <v>920</v>
      </c>
      <c r="D2375" t="s">
        <v>0</v>
      </c>
      <c r="E2375" t="s">
        <v>271</v>
      </c>
      <c r="F2375" t="s">
        <v>325</v>
      </c>
    </row>
    <row r="2376" spans="1:6" x14ac:dyDescent="0.25">
      <c r="A2376" t="s">
        <v>10296</v>
      </c>
      <c r="B2376" t="s">
        <v>10297</v>
      </c>
      <c r="C2376" t="s">
        <v>10298</v>
      </c>
      <c r="D2376" t="s">
        <v>0</v>
      </c>
      <c r="E2376" t="s">
        <v>271</v>
      </c>
      <c r="F2376" t="s">
        <v>1148</v>
      </c>
    </row>
    <row r="2377" spans="1:6" x14ac:dyDescent="0.25">
      <c r="A2377" t="s">
        <v>10299</v>
      </c>
      <c r="B2377" t="s">
        <v>10300</v>
      </c>
      <c r="C2377" t="s">
        <v>10301</v>
      </c>
      <c r="D2377" t="s">
        <v>2009</v>
      </c>
      <c r="E2377" t="s">
        <v>271</v>
      </c>
      <c r="F2377" t="s">
        <v>2008</v>
      </c>
    </row>
    <row r="2378" spans="1:6" x14ac:dyDescent="0.25">
      <c r="A2378" t="s">
        <v>10302</v>
      </c>
      <c r="B2378" t="s">
        <v>10303</v>
      </c>
      <c r="C2378" t="s">
        <v>10304</v>
      </c>
      <c r="D2378" t="s">
        <v>0</v>
      </c>
      <c r="E2378" t="s">
        <v>271</v>
      </c>
      <c r="F2378" t="s">
        <v>881</v>
      </c>
    </row>
    <row r="2379" spans="1:6" x14ac:dyDescent="0.25">
      <c r="A2379" t="s">
        <v>10305</v>
      </c>
      <c r="B2379" t="s">
        <v>10306</v>
      </c>
      <c r="C2379" t="s">
        <v>10307</v>
      </c>
      <c r="D2379" t="s">
        <v>492</v>
      </c>
      <c r="E2379" t="s">
        <v>271</v>
      </c>
      <c r="F2379" t="s">
        <v>493</v>
      </c>
    </row>
    <row r="2380" spans="1:6" x14ac:dyDescent="0.25">
      <c r="A2380" t="s">
        <v>10308</v>
      </c>
      <c r="B2380" t="s">
        <v>10309</v>
      </c>
      <c r="C2380" t="s">
        <v>10310</v>
      </c>
      <c r="D2380" t="s">
        <v>1303</v>
      </c>
      <c r="E2380" t="s">
        <v>269</v>
      </c>
      <c r="F2380" t="s">
        <v>1302</v>
      </c>
    </row>
    <row r="2381" spans="1:6" x14ac:dyDescent="0.25">
      <c r="A2381" t="s">
        <v>10311</v>
      </c>
      <c r="B2381" t="s">
        <v>10312</v>
      </c>
      <c r="C2381" t="s">
        <v>10313</v>
      </c>
      <c r="D2381" t="s">
        <v>1032</v>
      </c>
      <c r="E2381" t="s">
        <v>271</v>
      </c>
      <c r="F2381" t="s">
        <v>1031</v>
      </c>
    </row>
    <row r="2382" spans="1:6" x14ac:dyDescent="0.25">
      <c r="A2382" t="s">
        <v>10314</v>
      </c>
      <c r="B2382" t="s">
        <v>10315</v>
      </c>
      <c r="C2382" t="s">
        <v>10316</v>
      </c>
      <c r="D2382" t="s">
        <v>1542</v>
      </c>
      <c r="E2382" t="s">
        <v>269</v>
      </c>
      <c r="F2382" t="s">
        <v>1541</v>
      </c>
    </row>
    <row r="2383" spans="1:6" x14ac:dyDescent="0.25">
      <c r="A2383" t="s">
        <v>10317</v>
      </c>
      <c r="B2383" t="s">
        <v>10318</v>
      </c>
      <c r="C2383" t="s">
        <v>10319</v>
      </c>
      <c r="D2383" t="s">
        <v>1433</v>
      </c>
      <c r="E2383" t="s">
        <v>271</v>
      </c>
      <c r="F2383" t="s">
        <v>1432</v>
      </c>
    </row>
    <row r="2384" spans="1:6" x14ac:dyDescent="0.25">
      <c r="A2384" t="s">
        <v>10320</v>
      </c>
      <c r="B2384" t="s">
        <v>10321</v>
      </c>
      <c r="C2384" t="s">
        <v>10322</v>
      </c>
      <c r="D2384" t="s">
        <v>986</v>
      </c>
      <c r="E2384" t="s">
        <v>271</v>
      </c>
      <c r="F2384" t="s">
        <v>3275</v>
      </c>
    </row>
    <row r="2385" spans="1:6" x14ac:dyDescent="0.25">
      <c r="A2385" t="s">
        <v>988</v>
      </c>
      <c r="B2385" t="s">
        <v>989</v>
      </c>
      <c r="C2385" t="s">
        <v>990</v>
      </c>
      <c r="D2385" t="s">
        <v>416</v>
      </c>
      <c r="E2385" t="s">
        <v>271</v>
      </c>
      <c r="F2385" t="s">
        <v>439</v>
      </c>
    </row>
    <row r="2386" spans="1:6" x14ac:dyDescent="0.25">
      <c r="A2386" t="s">
        <v>842</v>
      </c>
      <c r="B2386" t="s">
        <v>843</v>
      </c>
      <c r="C2386" t="s">
        <v>846</v>
      </c>
      <c r="D2386" t="s">
        <v>845</v>
      </c>
      <c r="E2386" t="s">
        <v>271</v>
      </c>
      <c r="F2386" t="s">
        <v>844</v>
      </c>
    </row>
    <row r="2387" spans="1:6" x14ac:dyDescent="0.25">
      <c r="A2387" t="s">
        <v>10323</v>
      </c>
      <c r="B2387" t="s">
        <v>10324</v>
      </c>
      <c r="C2387" t="s">
        <v>10325</v>
      </c>
      <c r="D2387" t="s">
        <v>238</v>
      </c>
      <c r="E2387" t="s">
        <v>271</v>
      </c>
      <c r="F2387" t="s">
        <v>470</v>
      </c>
    </row>
    <row r="2388" spans="1:6" x14ac:dyDescent="0.25">
      <c r="A2388" t="s">
        <v>10326</v>
      </c>
      <c r="B2388" t="s">
        <v>10327</v>
      </c>
      <c r="C2388" t="s">
        <v>10328</v>
      </c>
      <c r="D2388" t="s">
        <v>972</v>
      </c>
      <c r="E2388" t="s">
        <v>269</v>
      </c>
      <c r="F2388" t="s">
        <v>971</v>
      </c>
    </row>
    <row r="2389" spans="1:6" x14ac:dyDescent="0.25">
      <c r="A2389" t="s">
        <v>3455</v>
      </c>
      <c r="B2389" t="s">
        <v>3456</v>
      </c>
      <c r="C2389" t="s">
        <v>3458</v>
      </c>
      <c r="D2389" t="s">
        <v>3457</v>
      </c>
      <c r="E2389" t="s">
        <v>271</v>
      </c>
      <c r="F2389" t="s">
        <v>1432</v>
      </c>
    </row>
    <row r="2390" spans="1:6" x14ac:dyDescent="0.25">
      <c r="A2390" t="s">
        <v>10329</v>
      </c>
      <c r="B2390" t="s">
        <v>10330</v>
      </c>
      <c r="C2390" t="s">
        <v>10331</v>
      </c>
      <c r="D2390" t="s">
        <v>1743</v>
      </c>
      <c r="E2390" t="s">
        <v>269</v>
      </c>
      <c r="F2390" t="s">
        <v>1742</v>
      </c>
    </row>
    <row r="2391" spans="1:6" x14ac:dyDescent="0.25">
      <c r="A2391" t="s">
        <v>2516</v>
      </c>
      <c r="B2391" t="s">
        <v>2517</v>
      </c>
      <c r="C2391" t="s">
        <v>2520</v>
      </c>
      <c r="D2391" t="s">
        <v>2519</v>
      </c>
      <c r="E2391" t="s">
        <v>271</v>
      </c>
      <c r="F2391" t="s">
        <v>2518</v>
      </c>
    </row>
    <row r="2392" spans="1:6" x14ac:dyDescent="0.25">
      <c r="A2392" t="s">
        <v>10332</v>
      </c>
      <c r="B2392" t="s">
        <v>10333</v>
      </c>
      <c r="C2392" t="s">
        <v>10334</v>
      </c>
      <c r="D2392" t="s">
        <v>0</v>
      </c>
      <c r="E2392" t="s">
        <v>271</v>
      </c>
      <c r="F2392" t="s">
        <v>562</v>
      </c>
    </row>
    <row r="2393" spans="1:6" x14ac:dyDescent="0.25">
      <c r="A2393" t="s">
        <v>10335</v>
      </c>
      <c r="B2393" t="s">
        <v>10336</v>
      </c>
      <c r="C2393" t="s">
        <v>10337</v>
      </c>
      <c r="D2393" t="s">
        <v>1317</v>
      </c>
      <c r="E2393" t="s">
        <v>271</v>
      </c>
      <c r="F2393" t="s">
        <v>1316</v>
      </c>
    </row>
    <row r="2394" spans="1:6" x14ac:dyDescent="0.25">
      <c r="A2394" t="s">
        <v>10338</v>
      </c>
      <c r="B2394" t="s">
        <v>10339</v>
      </c>
      <c r="C2394" t="s">
        <v>10340</v>
      </c>
      <c r="D2394" t="s">
        <v>343</v>
      </c>
      <c r="E2394" t="s">
        <v>271</v>
      </c>
      <c r="F2394" t="s">
        <v>331</v>
      </c>
    </row>
    <row r="2395" spans="1:6" x14ac:dyDescent="0.25">
      <c r="A2395" t="s">
        <v>10341</v>
      </c>
      <c r="B2395" t="s">
        <v>10342</v>
      </c>
      <c r="C2395" t="s">
        <v>10343</v>
      </c>
      <c r="D2395" t="s">
        <v>651</v>
      </c>
      <c r="E2395" t="s">
        <v>271</v>
      </c>
      <c r="F2395" t="s">
        <v>650</v>
      </c>
    </row>
    <row r="2396" spans="1:6" x14ac:dyDescent="0.25">
      <c r="A2396" t="s">
        <v>10344</v>
      </c>
      <c r="B2396" t="s">
        <v>10345</v>
      </c>
      <c r="C2396" t="s">
        <v>10346</v>
      </c>
      <c r="D2396" t="s">
        <v>498</v>
      </c>
      <c r="E2396" t="s">
        <v>271</v>
      </c>
      <c r="F2396" t="s">
        <v>926</v>
      </c>
    </row>
    <row r="2397" spans="1:6" x14ac:dyDescent="0.25">
      <c r="A2397" t="s">
        <v>10347</v>
      </c>
      <c r="B2397" t="s">
        <v>10348</v>
      </c>
      <c r="C2397" t="s">
        <v>6679</v>
      </c>
      <c r="D2397" t="s">
        <v>967</v>
      </c>
      <c r="E2397" t="s">
        <v>271</v>
      </c>
      <c r="F2397" t="s">
        <v>966</v>
      </c>
    </row>
    <row r="2398" spans="1:6" x14ac:dyDescent="0.25">
      <c r="A2398" t="s">
        <v>10349</v>
      </c>
      <c r="B2398" t="s">
        <v>10350</v>
      </c>
      <c r="C2398" t="s">
        <v>10351</v>
      </c>
      <c r="D2398" t="s">
        <v>0</v>
      </c>
      <c r="E2398" t="s">
        <v>271</v>
      </c>
      <c r="F2398" t="s">
        <v>323</v>
      </c>
    </row>
    <row r="2399" spans="1:6" x14ac:dyDescent="0.25">
      <c r="A2399" t="s">
        <v>10352</v>
      </c>
      <c r="B2399" t="s">
        <v>10353</v>
      </c>
      <c r="C2399" t="s">
        <v>10354</v>
      </c>
      <c r="D2399" t="s">
        <v>0</v>
      </c>
      <c r="E2399" t="s">
        <v>271</v>
      </c>
      <c r="F2399" t="s">
        <v>1437</v>
      </c>
    </row>
    <row r="2400" spans="1:6" x14ac:dyDescent="0.25">
      <c r="A2400" t="s">
        <v>10355</v>
      </c>
      <c r="B2400" t="s">
        <v>10356</v>
      </c>
      <c r="C2400" t="s">
        <v>10357</v>
      </c>
      <c r="D2400" t="s">
        <v>1915</v>
      </c>
      <c r="E2400" t="s">
        <v>269</v>
      </c>
      <c r="F2400" t="s">
        <v>1914</v>
      </c>
    </row>
    <row r="2401" spans="1:6" x14ac:dyDescent="0.25">
      <c r="A2401" t="s">
        <v>723</v>
      </c>
      <c r="B2401" t="s">
        <v>724</v>
      </c>
      <c r="C2401" t="s">
        <v>727</v>
      </c>
      <c r="D2401" t="s">
        <v>0</v>
      </c>
      <c r="E2401" t="s">
        <v>271</v>
      </c>
      <c r="F2401" t="s">
        <v>726</v>
      </c>
    </row>
    <row r="2402" spans="1:6" x14ac:dyDescent="0.25">
      <c r="A2402" t="s">
        <v>1880</v>
      </c>
      <c r="B2402" t="s">
        <v>1881</v>
      </c>
      <c r="C2402" t="s">
        <v>1882</v>
      </c>
      <c r="D2402" t="s">
        <v>0</v>
      </c>
      <c r="E2402" t="s">
        <v>271</v>
      </c>
      <c r="F2402" t="s">
        <v>575</v>
      </c>
    </row>
    <row r="2403" spans="1:6" x14ac:dyDescent="0.25">
      <c r="A2403" t="s">
        <v>10358</v>
      </c>
      <c r="B2403" t="s">
        <v>5443</v>
      </c>
      <c r="C2403" t="s">
        <v>5444</v>
      </c>
      <c r="D2403" t="s">
        <v>500</v>
      </c>
      <c r="E2403" t="s">
        <v>271</v>
      </c>
      <c r="F2403" t="s">
        <v>501</v>
      </c>
    </row>
    <row r="2404" spans="1:6" x14ac:dyDescent="0.25">
      <c r="A2404" t="s">
        <v>10359</v>
      </c>
      <c r="B2404" t="s">
        <v>10360</v>
      </c>
      <c r="C2404" t="s">
        <v>10361</v>
      </c>
      <c r="D2404" t="s">
        <v>586</v>
      </c>
      <c r="E2404" t="s">
        <v>271</v>
      </c>
      <c r="F2404" t="s">
        <v>334</v>
      </c>
    </row>
    <row r="2405" spans="1:6" x14ac:dyDescent="0.25">
      <c r="A2405" t="s">
        <v>10362</v>
      </c>
      <c r="B2405" t="s">
        <v>10363</v>
      </c>
      <c r="C2405" t="s">
        <v>10364</v>
      </c>
      <c r="D2405" t="s">
        <v>461</v>
      </c>
      <c r="E2405" t="s">
        <v>271</v>
      </c>
      <c r="F2405" t="s">
        <v>336</v>
      </c>
    </row>
    <row r="2406" spans="1:6" x14ac:dyDescent="0.25">
      <c r="A2406" t="s">
        <v>10365</v>
      </c>
      <c r="B2406" t="s">
        <v>10366</v>
      </c>
      <c r="C2406" t="s">
        <v>10367</v>
      </c>
      <c r="D2406" t="s">
        <v>0</v>
      </c>
      <c r="E2406" t="s">
        <v>271</v>
      </c>
      <c r="F2406" t="s">
        <v>436</v>
      </c>
    </row>
    <row r="2407" spans="1:6" x14ac:dyDescent="0.25">
      <c r="A2407" t="s">
        <v>1764</v>
      </c>
      <c r="B2407" t="s">
        <v>579</v>
      </c>
      <c r="C2407" t="s">
        <v>1765</v>
      </c>
      <c r="D2407" t="s">
        <v>0</v>
      </c>
      <c r="E2407" t="s">
        <v>271</v>
      </c>
      <c r="F2407" t="s">
        <v>726</v>
      </c>
    </row>
    <row r="2408" spans="1:6" x14ac:dyDescent="0.25">
      <c r="A2408" t="s">
        <v>10368</v>
      </c>
      <c r="B2408" t="s">
        <v>10369</v>
      </c>
      <c r="C2408" t="s">
        <v>10370</v>
      </c>
      <c r="D2408" t="s">
        <v>498</v>
      </c>
      <c r="E2408" t="s">
        <v>271</v>
      </c>
      <c r="F2408" t="s">
        <v>926</v>
      </c>
    </row>
    <row r="2409" spans="1:6" x14ac:dyDescent="0.25">
      <c r="A2409" t="s">
        <v>10371</v>
      </c>
      <c r="B2409" t="s">
        <v>10372</v>
      </c>
      <c r="C2409" t="s">
        <v>10373</v>
      </c>
      <c r="D2409" t="s">
        <v>586</v>
      </c>
      <c r="E2409" t="s">
        <v>271</v>
      </c>
      <c r="F2409" t="s">
        <v>334</v>
      </c>
    </row>
    <row r="2410" spans="1:6" x14ac:dyDescent="0.25">
      <c r="A2410" t="s">
        <v>10374</v>
      </c>
      <c r="B2410" t="s">
        <v>10375</v>
      </c>
      <c r="C2410" t="s">
        <v>10376</v>
      </c>
      <c r="D2410" t="s">
        <v>1079</v>
      </c>
      <c r="E2410" t="s">
        <v>271</v>
      </c>
      <c r="F2410" t="s">
        <v>1078</v>
      </c>
    </row>
    <row r="2411" spans="1:6" x14ac:dyDescent="0.25">
      <c r="A2411" t="s">
        <v>10377</v>
      </c>
      <c r="B2411" t="s">
        <v>10378</v>
      </c>
      <c r="C2411" t="s">
        <v>10379</v>
      </c>
      <c r="D2411" t="s">
        <v>0</v>
      </c>
      <c r="E2411" t="s">
        <v>271</v>
      </c>
      <c r="F2411" t="s">
        <v>355</v>
      </c>
    </row>
    <row r="2412" spans="1:6" x14ac:dyDescent="0.25">
      <c r="A2412" t="s">
        <v>10380</v>
      </c>
      <c r="B2412" t="s">
        <v>10381</v>
      </c>
      <c r="C2412" t="s">
        <v>10382</v>
      </c>
      <c r="D2412" t="s">
        <v>519</v>
      </c>
      <c r="E2412" t="s">
        <v>271</v>
      </c>
      <c r="F2412" t="s">
        <v>324</v>
      </c>
    </row>
    <row r="2413" spans="1:6" x14ac:dyDescent="0.25">
      <c r="A2413" t="s">
        <v>10383</v>
      </c>
      <c r="B2413" t="s">
        <v>10384</v>
      </c>
      <c r="C2413" t="s">
        <v>10385</v>
      </c>
      <c r="D2413" t="s">
        <v>232</v>
      </c>
      <c r="E2413" t="s">
        <v>271</v>
      </c>
      <c r="F2413" t="s">
        <v>329</v>
      </c>
    </row>
    <row r="2414" spans="1:6" x14ac:dyDescent="0.25">
      <c r="A2414" t="s">
        <v>10386</v>
      </c>
      <c r="B2414" t="s">
        <v>10387</v>
      </c>
      <c r="C2414" t="s">
        <v>10388</v>
      </c>
      <c r="D2414" t="s">
        <v>1199</v>
      </c>
      <c r="E2414" t="s">
        <v>271</v>
      </c>
      <c r="F2414" t="s">
        <v>1198</v>
      </c>
    </row>
    <row r="2415" spans="1:6" x14ac:dyDescent="0.25">
      <c r="A2415" t="s">
        <v>10389</v>
      </c>
      <c r="B2415" t="s">
        <v>10390</v>
      </c>
      <c r="C2415" t="s">
        <v>10391</v>
      </c>
      <c r="D2415" t="s">
        <v>1165</v>
      </c>
      <c r="E2415" t="s">
        <v>271</v>
      </c>
      <c r="F2415" t="s">
        <v>1402</v>
      </c>
    </row>
    <row r="2416" spans="1:6" x14ac:dyDescent="0.25">
      <c r="A2416" t="s">
        <v>3261</v>
      </c>
      <c r="B2416" t="s">
        <v>3262</v>
      </c>
      <c r="C2416" t="s">
        <v>3263</v>
      </c>
      <c r="D2416" t="s">
        <v>0</v>
      </c>
      <c r="E2416" t="s">
        <v>271</v>
      </c>
      <c r="F2416" t="s">
        <v>356</v>
      </c>
    </row>
    <row r="2417" spans="1:6" x14ac:dyDescent="0.25">
      <c r="A2417" t="s">
        <v>10392</v>
      </c>
      <c r="B2417" t="s">
        <v>10393</v>
      </c>
      <c r="C2417" t="s">
        <v>10394</v>
      </c>
      <c r="D2417" t="s">
        <v>871</v>
      </c>
      <c r="E2417" t="s">
        <v>271</v>
      </c>
      <c r="F2417" t="s">
        <v>870</v>
      </c>
    </row>
    <row r="2418" spans="1:6" x14ac:dyDescent="0.25">
      <c r="A2418" t="s">
        <v>10395</v>
      </c>
      <c r="B2418" t="s">
        <v>10396</v>
      </c>
      <c r="C2418" t="s">
        <v>10397</v>
      </c>
      <c r="D2418" t="s">
        <v>0</v>
      </c>
      <c r="E2418" t="s">
        <v>271</v>
      </c>
      <c r="F2418" t="s">
        <v>319</v>
      </c>
    </row>
    <row r="2419" spans="1:6" x14ac:dyDescent="0.25">
      <c r="A2419" t="s">
        <v>10398</v>
      </c>
      <c r="B2419" t="s">
        <v>10399</v>
      </c>
      <c r="C2419" t="s">
        <v>10400</v>
      </c>
      <c r="D2419" t="s">
        <v>2681</v>
      </c>
      <c r="E2419" t="s">
        <v>271</v>
      </c>
      <c r="F2419" t="s">
        <v>2680</v>
      </c>
    </row>
    <row r="2420" spans="1:6" x14ac:dyDescent="0.25">
      <c r="A2420" t="s">
        <v>2675</v>
      </c>
      <c r="B2420" t="s">
        <v>2676</v>
      </c>
      <c r="C2420" t="s">
        <v>2677</v>
      </c>
      <c r="D2420" t="s">
        <v>1559</v>
      </c>
      <c r="E2420" t="s">
        <v>271</v>
      </c>
      <c r="F2420" t="s">
        <v>1558</v>
      </c>
    </row>
    <row r="2421" spans="1:6" x14ac:dyDescent="0.25">
      <c r="A2421" t="s">
        <v>10401</v>
      </c>
      <c r="B2421" t="s">
        <v>10402</v>
      </c>
      <c r="C2421" t="s">
        <v>10403</v>
      </c>
      <c r="D2421" t="s">
        <v>0</v>
      </c>
      <c r="E2421" t="s">
        <v>271</v>
      </c>
      <c r="F2421" t="s">
        <v>3941</v>
      </c>
    </row>
    <row r="2422" spans="1:6" x14ac:dyDescent="0.25">
      <c r="A2422" t="s">
        <v>527</v>
      </c>
      <c r="B2422" t="s">
        <v>528</v>
      </c>
      <c r="C2422" t="s">
        <v>529</v>
      </c>
      <c r="D2422" t="s">
        <v>357</v>
      </c>
      <c r="E2422" t="s">
        <v>271</v>
      </c>
      <c r="F2422" t="s">
        <v>358</v>
      </c>
    </row>
    <row r="2423" spans="1:6" x14ac:dyDescent="0.25">
      <c r="A2423" t="s">
        <v>10404</v>
      </c>
      <c r="B2423" t="s">
        <v>10405</v>
      </c>
      <c r="C2423" t="s">
        <v>10406</v>
      </c>
      <c r="D2423" t="s">
        <v>466</v>
      </c>
      <c r="E2423" t="s">
        <v>271</v>
      </c>
      <c r="F2423" t="s">
        <v>434</v>
      </c>
    </row>
    <row r="2424" spans="1:6" x14ac:dyDescent="0.25">
      <c r="A2424" t="s">
        <v>10407</v>
      </c>
      <c r="B2424" t="s">
        <v>10408</v>
      </c>
      <c r="C2424" t="s">
        <v>10409</v>
      </c>
      <c r="D2424" t="s">
        <v>461</v>
      </c>
      <c r="E2424" t="s">
        <v>271</v>
      </c>
      <c r="F2424" t="s">
        <v>336</v>
      </c>
    </row>
    <row r="2425" spans="1:6" x14ac:dyDescent="0.25">
      <c r="A2425" t="s">
        <v>3537</v>
      </c>
      <c r="B2425" t="s">
        <v>3538</v>
      </c>
      <c r="C2425" t="s">
        <v>3539</v>
      </c>
      <c r="D2425" t="s">
        <v>972</v>
      </c>
      <c r="E2425" t="s">
        <v>269</v>
      </c>
      <c r="F2425" t="s">
        <v>971</v>
      </c>
    </row>
    <row r="2426" spans="1:6" x14ac:dyDescent="0.25">
      <c r="A2426" t="s">
        <v>10410</v>
      </c>
      <c r="B2426" t="s">
        <v>10411</v>
      </c>
      <c r="C2426" t="s">
        <v>10412</v>
      </c>
      <c r="D2426" t="s">
        <v>3291</v>
      </c>
      <c r="E2426" t="s">
        <v>271</v>
      </c>
      <c r="F2426" t="s">
        <v>3290</v>
      </c>
    </row>
    <row r="2427" spans="1:6" x14ac:dyDescent="0.25">
      <c r="A2427" t="s">
        <v>10413</v>
      </c>
      <c r="B2427" t="s">
        <v>10414</v>
      </c>
      <c r="C2427" t="s">
        <v>10415</v>
      </c>
      <c r="D2427" t="s">
        <v>718</v>
      </c>
      <c r="E2427" t="s">
        <v>271</v>
      </c>
      <c r="F2427" t="s">
        <v>333</v>
      </c>
    </row>
    <row r="2428" spans="1:6" x14ac:dyDescent="0.25">
      <c r="A2428" t="s">
        <v>10416</v>
      </c>
      <c r="B2428" t="s">
        <v>10417</v>
      </c>
      <c r="C2428" t="s">
        <v>10418</v>
      </c>
      <c r="D2428" t="s">
        <v>616</v>
      </c>
      <c r="E2428" t="s">
        <v>271</v>
      </c>
      <c r="F2428" t="s">
        <v>1102</v>
      </c>
    </row>
    <row r="2429" spans="1:6" x14ac:dyDescent="0.25">
      <c r="A2429" t="s">
        <v>10419</v>
      </c>
      <c r="B2429" t="s">
        <v>10420</v>
      </c>
      <c r="C2429" t="s">
        <v>10421</v>
      </c>
      <c r="D2429" t="s">
        <v>0</v>
      </c>
      <c r="E2429" t="s">
        <v>271</v>
      </c>
      <c r="F2429" t="s">
        <v>325</v>
      </c>
    </row>
    <row r="2430" spans="1:6" x14ac:dyDescent="0.25">
      <c r="A2430" t="s">
        <v>10422</v>
      </c>
      <c r="B2430" t="s">
        <v>10423</v>
      </c>
      <c r="C2430" t="s">
        <v>10424</v>
      </c>
      <c r="D2430" t="s">
        <v>340</v>
      </c>
      <c r="E2430" t="s">
        <v>271</v>
      </c>
      <c r="F2430" t="s">
        <v>317</v>
      </c>
    </row>
    <row r="2431" spans="1:6" x14ac:dyDescent="0.25">
      <c r="A2431" t="s">
        <v>10425</v>
      </c>
      <c r="B2431" t="s">
        <v>10426</v>
      </c>
      <c r="C2431" t="s">
        <v>10427</v>
      </c>
      <c r="D2431" t="s">
        <v>0</v>
      </c>
      <c r="E2431" t="s">
        <v>271</v>
      </c>
      <c r="F2431" t="s">
        <v>575</v>
      </c>
    </row>
    <row r="2432" spans="1:6" x14ac:dyDescent="0.25">
      <c r="A2432" t="s">
        <v>10428</v>
      </c>
      <c r="B2432" t="s">
        <v>10429</v>
      </c>
      <c r="C2432" t="s">
        <v>10430</v>
      </c>
      <c r="D2432" t="s">
        <v>1643</v>
      </c>
      <c r="E2432" t="s">
        <v>271</v>
      </c>
      <c r="F2432" t="s">
        <v>1642</v>
      </c>
    </row>
    <row r="2433" spans="1:6" x14ac:dyDescent="0.25">
      <c r="A2433" t="s">
        <v>10431</v>
      </c>
      <c r="B2433" t="s">
        <v>10432</v>
      </c>
      <c r="C2433" t="s">
        <v>10433</v>
      </c>
      <c r="D2433" t="s">
        <v>0</v>
      </c>
      <c r="E2433" t="s">
        <v>271</v>
      </c>
      <c r="F2433" t="s">
        <v>881</v>
      </c>
    </row>
    <row r="2434" spans="1:6" x14ac:dyDescent="0.25">
      <c r="A2434" t="s">
        <v>10434</v>
      </c>
      <c r="B2434" t="s">
        <v>10435</v>
      </c>
      <c r="C2434" t="s">
        <v>10436</v>
      </c>
      <c r="D2434" t="s">
        <v>1455</v>
      </c>
      <c r="E2434" t="s">
        <v>271</v>
      </c>
      <c r="F2434" t="s">
        <v>1454</v>
      </c>
    </row>
    <row r="2435" spans="1:6" x14ac:dyDescent="0.25">
      <c r="A2435" t="s">
        <v>10437</v>
      </c>
      <c r="B2435" t="s">
        <v>10438</v>
      </c>
      <c r="C2435" t="s">
        <v>10439</v>
      </c>
      <c r="D2435" t="s">
        <v>0</v>
      </c>
      <c r="E2435" t="s">
        <v>271</v>
      </c>
      <c r="F2435" t="s">
        <v>4382</v>
      </c>
    </row>
    <row r="2436" spans="1:6" x14ac:dyDescent="0.25">
      <c r="A2436" t="s">
        <v>10440</v>
      </c>
      <c r="B2436" t="s">
        <v>10441</v>
      </c>
      <c r="C2436" t="s">
        <v>10442</v>
      </c>
      <c r="D2436" t="s">
        <v>0</v>
      </c>
      <c r="E2436" t="s">
        <v>271</v>
      </c>
      <c r="F2436" t="s">
        <v>3941</v>
      </c>
    </row>
    <row r="2437" spans="1:6" x14ac:dyDescent="0.25">
      <c r="A2437" t="s">
        <v>10443</v>
      </c>
      <c r="B2437" t="s">
        <v>10444</v>
      </c>
      <c r="C2437" t="s">
        <v>10445</v>
      </c>
      <c r="D2437" t="s">
        <v>0</v>
      </c>
      <c r="E2437" t="s">
        <v>271</v>
      </c>
      <c r="F2437" t="s">
        <v>575</v>
      </c>
    </row>
    <row r="2438" spans="1:6" x14ac:dyDescent="0.25">
      <c r="A2438" t="s">
        <v>10446</v>
      </c>
      <c r="B2438" t="s">
        <v>10447</v>
      </c>
      <c r="C2438" t="s">
        <v>10448</v>
      </c>
      <c r="D2438" t="s">
        <v>0</v>
      </c>
      <c r="E2438" t="s">
        <v>271</v>
      </c>
      <c r="F2438" t="s">
        <v>436</v>
      </c>
    </row>
    <row r="2439" spans="1:6" x14ac:dyDescent="0.25">
      <c r="A2439" t="s">
        <v>10449</v>
      </c>
      <c r="B2439" t="s">
        <v>10450</v>
      </c>
      <c r="C2439" t="s">
        <v>10451</v>
      </c>
      <c r="D2439" t="s">
        <v>506</v>
      </c>
      <c r="E2439" t="s">
        <v>271</v>
      </c>
      <c r="F2439" t="s">
        <v>507</v>
      </c>
    </row>
    <row r="2440" spans="1:6" x14ac:dyDescent="0.25">
      <c r="A2440" t="s">
        <v>2334</v>
      </c>
      <c r="B2440" t="s">
        <v>2335</v>
      </c>
      <c r="C2440" t="s">
        <v>2336</v>
      </c>
      <c r="D2440" t="s">
        <v>1455</v>
      </c>
      <c r="E2440" t="s">
        <v>271</v>
      </c>
      <c r="F2440" t="s">
        <v>1454</v>
      </c>
    </row>
    <row r="2441" spans="1:6" x14ac:dyDescent="0.25">
      <c r="A2441" t="s">
        <v>10452</v>
      </c>
      <c r="B2441" t="s">
        <v>10453</v>
      </c>
      <c r="C2441" t="s">
        <v>10454</v>
      </c>
      <c r="D2441" t="s">
        <v>0</v>
      </c>
      <c r="E2441" t="s">
        <v>271</v>
      </c>
      <c r="F2441" t="s">
        <v>562</v>
      </c>
    </row>
    <row r="2442" spans="1:6" x14ac:dyDescent="0.25">
      <c r="A2442" t="s">
        <v>10455</v>
      </c>
      <c r="B2442" t="s">
        <v>10456</v>
      </c>
      <c r="C2442" t="s">
        <v>10457</v>
      </c>
      <c r="D2442" t="s">
        <v>0</v>
      </c>
      <c r="E2442" t="s">
        <v>271</v>
      </c>
      <c r="F2442" t="s">
        <v>562</v>
      </c>
    </row>
    <row r="2443" spans="1:6" x14ac:dyDescent="0.25">
      <c r="A2443" t="s">
        <v>10458</v>
      </c>
      <c r="B2443" t="s">
        <v>10459</v>
      </c>
      <c r="C2443" t="s">
        <v>10460</v>
      </c>
      <c r="D2443" t="s">
        <v>668</v>
      </c>
      <c r="E2443" t="s">
        <v>271</v>
      </c>
      <c r="F2443" t="s">
        <v>667</v>
      </c>
    </row>
    <row r="2444" spans="1:6" x14ac:dyDescent="0.25">
      <c r="A2444" t="s">
        <v>10461</v>
      </c>
      <c r="B2444" t="s">
        <v>10462</v>
      </c>
      <c r="C2444" t="s">
        <v>10463</v>
      </c>
      <c r="D2444" t="s">
        <v>616</v>
      </c>
      <c r="E2444" t="s">
        <v>271</v>
      </c>
      <c r="F2444" t="s">
        <v>333</v>
      </c>
    </row>
    <row r="2445" spans="1:6" x14ac:dyDescent="0.25">
      <c r="A2445" t="s">
        <v>10464</v>
      </c>
      <c r="B2445" t="s">
        <v>10465</v>
      </c>
      <c r="C2445" t="s">
        <v>10466</v>
      </c>
      <c r="D2445" t="s">
        <v>1915</v>
      </c>
      <c r="E2445" t="s">
        <v>269</v>
      </c>
      <c r="F2445" t="s">
        <v>1914</v>
      </c>
    </row>
    <row r="2446" spans="1:6" x14ac:dyDescent="0.25">
      <c r="A2446" t="s">
        <v>10467</v>
      </c>
      <c r="B2446" t="s">
        <v>10468</v>
      </c>
      <c r="C2446" t="s">
        <v>10469</v>
      </c>
      <c r="D2446" t="s">
        <v>314</v>
      </c>
      <c r="E2446" t="s">
        <v>271</v>
      </c>
      <c r="F2446" t="s">
        <v>352</v>
      </c>
    </row>
    <row r="2447" spans="1:6" x14ac:dyDescent="0.25">
      <c r="A2447" t="s">
        <v>10470</v>
      </c>
      <c r="B2447" t="s">
        <v>10471</v>
      </c>
      <c r="C2447" t="s">
        <v>10472</v>
      </c>
      <c r="D2447" t="s">
        <v>506</v>
      </c>
      <c r="E2447" t="s">
        <v>271</v>
      </c>
      <c r="F2447" t="s">
        <v>507</v>
      </c>
    </row>
    <row r="2448" spans="1:6" x14ac:dyDescent="0.25">
      <c r="A2448" t="s">
        <v>10473</v>
      </c>
      <c r="B2448" t="s">
        <v>10474</v>
      </c>
      <c r="C2448" t="s">
        <v>10475</v>
      </c>
      <c r="D2448" t="s">
        <v>472</v>
      </c>
      <c r="E2448" t="s">
        <v>271</v>
      </c>
      <c r="F2448" t="s">
        <v>318</v>
      </c>
    </row>
    <row r="2449" spans="1:6" x14ac:dyDescent="0.25">
      <c r="A2449" t="s">
        <v>10476</v>
      </c>
      <c r="B2449" t="s">
        <v>10477</v>
      </c>
      <c r="C2449" t="s">
        <v>10478</v>
      </c>
      <c r="D2449" t="s">
        <v>0</v>
      </c>
      <c r="E2449" t="s">
        <v>271</v>
      </c>
      <c r="F2449" t="s">
        <v>319</v>
      </c>
    </row>
    <row r="2450" spans="1:6" x14ac:dyDescent="0.25">
      <c r="A2450" t="s">
        <v>10479</v>
      </c>
      <c r="B2450" t="s">
        <v>10480</v>
      </c>
      <c r="C2450" t="s">
        <v>998</v>
      </c>
      <c r="D2450" t="s">
        <v>997</v>
      </c>
      <c r="E2450" t="s">
        <v>271</v>
      </c>
      <c r="F2450" t="s">
        <v>996</v>
      </c>
    </row>
    <row r="2451" spans="1:6" x14ac:dyDescent="0.25">
      <c r="A2451" t="s">
        <v>10481</v>
      </c>
      <c r="B2451" t="s">
        <v>10482</v>
      </c>
      <c r="C2451" t="s">
        <v>10483</v>
      </c>
      <c r="D2451" t="s">
        <v>1110</v>
      </c>
      <c r="E2451" t="s">
        <v>271</v>
      </c>
      <c r="F2451" t="s">
        <v>1109</v>
      </c>
    </row>
    <row r="2452" spans="1:6" x14ac:dyDescent="0.25">
      <c r="A2452" t="s">
        <v>10484</v>
      </c>
      <c r="B2452" t="s">
        <v>10485</v>
      </c>
      <c r="C2452" t="s">
        <v>10486</v>
      </c>
      <c r="D2452" t="s">
        <v>492</v>
      </c>
      <c r="E2452" t="s">
        <v>271</v>
      </c>
      <c r="F2452" t="s">
        <v>493</v>
      </c>
    </row>
    <row r="2453" spans="1:6" x14ac:dyDescent="0.25">
      <c r="A2453" t="s">
        <v>10487</v>
      </c>
      <c r="B2453" t="s">
        <v>10488</v>
      </c>
      <c r="C2453" t="s">
        <v>10489</v>
      </c>
      <c r="D2453" t="s">
        <v>0</v>
      </c>
      <c r="E2453" t="s">
        <v>271</v>
      </c>
      <c r="F2453" t="s">
        <v>4402</v>
      </c>
    </row>
    <row r="2454" spans="1:6" x14ac:dyDescent="0.25">
      <c r="A2454" t="s">
        <v>10490</v>
      </c>
      <c r="B2454" t="s">
        <v>10491</v>
      </c>
      <c r="C2454" t="s">
        <v>10492</v>
      </c>
      <c r="D2454" t="s">
        <v>0</v>
      </c>
      <c r="E2454" t="s">
        <v>271</v>
      </c>
      <c r="F2454" t="s">
        <v>881</v>
      </c>
    </row>
    <row r="2455" spans="1:6" x14ac:dyDescent="0.25">
      <c r="A2455" t="s">
        <v>10493</v>
      </c>
      <c r="B2455" t="s">
        <v>10494</v>
      </c>
      <c r="C2455" t="s">
        <v>10495</v>
      </c>
      <c r="D2455" t="s">
        <v>0</v>
      </c>
      <c r="E2455" t="s">
        <v>271</v>
      </c>
      <c r="F2455" t="s">
        <v>881</v>
      </c>
    </row>
    <row r="2456" spans="1:6" x14ac:dyDescent="0.25">
      <c r="A2456" t="s">
        <v>10496</v>
      </c>
      <c r="B2456" t="s">
        <v>10497</v>
      </c>
      <c r="C2456" t="s">
        <v>10498</v>
      </c>
      <c r="D2456" t="s">
        <v>0</v>
      </c>
      <c r="E2456" t="s">
        <v>271</v>
      </c>
      <c r="F2456" t="s">
        <v>3652</v>
      </c>
    </row>
    <row r="2457" spans="1:6" x14ac:dyDescent="0.25">
      <c r="A2457" t="s">
        <v>10499</v>
      </c>
      <c r="B2457" t="s">
        <v>10500</v>
      </c>
      <c r="C2457" t="s">
        <v>10501</v>
      </c>
      <c r="D2457" t="s">
        <v>293</v>
      </c>
      <c r="E2457" t="s">
        <v>271</v>
      </c>
      <c r="F2457" t="s">
        <v>1575</v>
      </c>
    </row>
    <row r="2458" spans="1:6" x14ac:dyDescent="0.25">
      <c r="A2458" t="s">
        <v>982</v>
      </c>
      <c r="B2458" t="s">
        <v>983</v>
      </c>
      <c r="C2458" t="s">
        <v>987</v>
      </c>
      <c r="D2458" t="s">
        <v>986</v>
      </c>
      <c r="E2458" t="s">
        <v>271</v>
      </c>
      <c r="F2458" t="s">
        <v>985</v>
      </c>
    </row>
    <row r="2459" spans="1:6" x14ac:dyDescent="0.25">
      <c r="A2459" t="s">
        <v>2088</v>
      </c>
      <c r="B2459" t="s">
        <v>2089</v>
      </c>
      <c r="C2459" t="s">
        <v>2090</v>
      </c>
      <c r="D2459" t="s">
        <v>314</v>
      </c>
      <c r="E2459" t="s">
        <v>271</v>
      </c>
      <c r="F2459" t="s">
        <v>370</v>
      </c>
    </row>
    <row r="2460" spans="1:6" x14ac:dyDescent="0.25">
      <c r="A2460" t="s">
        <v>10502</v>
      </c>
      <c r="B2460" t="s">
        <v>10503</v>
      </c>
      <c r="C2460" t="s">
        <v>10504</v>
      </c>
      <c r="D2460" t="s">
        <v>1244</v>
      </c>
      <c r="E2460" t="s">
        <v>271</v>
      </c>
      <c r="F2460" t="s">
        <v>1243</v>
      </c>
    </row>
    <row r="2461" spans="1:6" x14ac:dyDescent="0.25">
      <c r="A2461" t="s">
        <v>3513</v>
      </c>
      <c r="B2461" t="s">
        <v>3514</v>
      </c>
      <c r="C2461" t="s">
        <v>3515</v>
      </c>
      <c r="D2461" t="s">
        <v>498</v>
      </c>
      <c r="E2461" t="s">
        <v>271</v>
      </c>
      <c r="F2461" t="s">
        <v>926</v>
      </c>
    </row>
    <row r="2462" spans="1:6" x14ac:dyDescent="0.25">
      <c r="A2462" t="s">
        <v>2622</v>
      </c>
      <c r="B2462" t="s">
        <v>2623</v>
      </c>
      <c r="C2462" t="s">
        <v>2624</v>
      </c>
      <c r="D2462" t="s">
        <v>2116</v>
      </c>
      <c r="E2462" t="s">
        <v>271</v>
      </c>
      <c r="F2462" t="s">
        <v>2115</v>
      </c>
    </row>
    <row r="2463" spans="1:6" x14ac:dyDescent="0.25">
      <c r="A2463" t="s">
        <v>2973</v>
      </c>
      <c r="B2463" t="s">
        <v>2974</v>
      </c>
      <c r="C2463" t="s">
        <v>2975</v>
      </c>
      <c r="D2463" t="s">
        <v>0</v>
      </c>
      <c r="E2463" t="s">
        <v>271</v>
      </c>
      <c r="F2463" t="s">
        <v>355</v>
      </c>
    </row>
    <row r="2464" spans="1:6" x14ac:dyDescent="0.25">
      <c r="A2464" t="s">
        <v>10505</v>
      </c>
      <c r="B2464" t="s">
        <v>10506</v>
      </c>
      <c r="C2464" t="s">
        <v>10507</v>
      </c>
      <c r="D2464" t="s">
        <v>0</v>
      </c>
      <c r="E2464" t="s">
        <v>271</v>
      </c>
      <c r="F2464" t="s">
        <v>809</v>
      </c>
    </row>
    <row r="2465" spans="1:6" x14ac:dyDescent="0.25">
      <c r="A2465" t="s">
        <v>10508</v>
      </c>
      <c r="B2465" t="s">
        <v>10509</v>
      </c>
      <c r="C2465" t="s">
        <v>10510</v>
      </c>
      <c r="D2465" t="s">
        <v>1925</v>
      </c>
      <c r="E2465" t="s">
        <v>271</v>
      </c>
      <c r="F2465" t="s">
        <v>1924</v>
      </c>
    </row>
    <row r="2466" spans="1:6" x14ac:dyDescent="0.25">
      <c r="A2466" t="s">
        <v>10511</v>
      </c>
      <c r="B2466" t="s">
        <v>10512</v>
      </c>
      <c r="C2466" t="s">
        <v>10513</v>
      </c>
      <c r="D2466" t="s">
        <v>0</v>
      </c>
      <c r="E2466" t="s">
        <v>271</v>
      </c>
      <c r="F2466" t="s">
        <v>356</v>
      </c>
    </row>
    <row r="2467" spans="1:6" x14ac:dyDescent="0.25">
      <c r="A2467" t="s">
        <v>10514</v>
      </c>
      <c r="B2467" t="s">
        <v>10515</v>
      </c>
      <c r="C2467" t="s">
        <v>10516</v>
      </c>
      <c r="D2467" t="s">
        <v>616</v>
      </c>
      <c r="E2467" t="s">
        <v>271</v>
      </c>
      <c r="F2467" t="s">
        <v>1102</v>
      </c>
    </row>
    <row r="2468" spans="1:6" x14ac:dyDescent="0.25">
      <c r="A2468" t="s">
        <v>10517</v>
      </c>
      <c r="B2468" t="s">
        <v>10518</v>
      </c>
      <c r="C2468" t="s">
        <v>10519</v>
      </c>
      <c r="D2468" t="s">
        <v>0</v>
      </c>
      <c r="E2468" t="s">
        <v>271</v>
      </c>
      <c r="F2468" t="s">
        <v>10520</v>
      </c>
    </row>
    <row r="2469" spans="1:6" x14ac:dyDescent="0.25">
      <c r="A2469" t="s">
        <v>1577</v>
      </c>
      <c r="B2469" t="s">
        <v>1578</v>
      </c>
      <c r="C2469" t="s">
        <v>1579</v>
      </c>
      <c r="D2469" t="s">
        <v>498</v>
      </c>
      <c r="E2469" t="s">
        <v>271</v>
      </c>
      <c r="F2469" t="s">
        <v>926</v>
      </c>
    </row>
    <row r="2470" spans="1:6" x14ac:dyDescent="0.25">
      <c r="A2470" t="s">
        <v>10521</v>
      </c>
      <c r="B2470" t="s">
        <v>7585</v>
      </c>
      <c r="C2470" t="s">
        <v>7586</v>
      </c>
      <c r="D2470" t="s">
        <v>1601</v>
      </c>
      <c r="E2470" t="s">
        <v>269</v>
      </c>
      <c r="F2470" t="s">
        <v>1600</v>
      </c>
    </row>
    <row r="2471" spans="1:6" x14ac:dyDescent="0.25">
      <c r="A2471" t="s">
        <v>10522</v>
      </c>
      <c r="B2471" t="s">
        <v>10523</v>
      </c>
      <c r="C2471" t="s">
        <v>10524</v>
      </c>
      <c r="D2471" t="s">
        <v>0</v>
      </c>
      <c r="E2471" t="s">
        <v>271</v>
      </c>
      <c r="F2471" t="s">
        <v>323</v>
      </c>
    </row>
    <row r="2472" spans="1:6" x14ac:dyDescent="0.25">
      <c r="A2472" t="s">
        <v>10525</v>
      </c>
      <c r="B2472" t="s">
        <v>279</v>
      </c>
      <c r="C2472" t="s">
        <v>9060</v>
      </c>
      <c r="D2472" t="s">
        <v>444</v>
      </c>
      <c r="E2472" t="s">
        <v>271</v>
      </c>
      <c r="F2472" t="s">
        <v>1270</v>
      </c>
    </row>
    <row r="2473" spans="1:6" x14ac:dyDescent="0.25">
      <c r="A2473" t="s">
        <v>10526</v>
      </c>
      <c r="B2473" t="s">
        <v>10527</v>
      </c>
      <c r="C2473" t="s">
        <v>10528</v>
      </c>
      <c r="D2473" t="s">
        <v>241</v>
      </c>
      <c r="E2473" t="s">
        <v>271</v>
      </c>
      <c r="F2473" t="s">
        <v>548</v>
      </c>
    </row>
    <row r="2474" spans="1:6" x14ac:dyDescent="0.25">
      <c r="A2474" t="s">
        <v>10529</v>
      </c>
      <c r="B2474" t="s">
        <v>10530</v>
      </c>
      <c r="C2474" t="s">
        <v>10531</v>
      </c>
      <c r="D2474" t="s">
        <v>498</v>
      </c>
      <c r="E2474" t="s">
        <v>271</v>
      </c>
      <c r="F2474" t="s">
        <v>926</v>
      </c>
    </row>
    <row r="2475" spans="1:6" x14ac:dyDescent="0.25">
      <c r="A2475" t="s">
        <v>2633</v>
      </c>
      <c r="B2475" t="s">
        <v>2634</v>
      </c>
      <c r="C2475" t="s">
        <v>2638</v>
      </c>
      <c r="D2475" t="s">
        <v>2637</v>
      </c>
      <c r="E2475" t="s">
        <v>271</v>
      </c>
      <c r="F2475" t="s">
        <v>2636</v>
      </c>
    </row>
    <row r="2476" spans="1:6" x14ac:dyDescent="0.25">
      <c r="A2476" t="s">
        <v>10532</v>
      </c>
      <c r="B2476" t="s">
        <v>10533</v>
      </c>
      <c r="C2476" t="s">
        <v>10534</v>
      </c>
      <c r="D2476" t="s">
        <v>6005</v>
      </c>
      <c r="E2476" t="s">
        <v>271</v>
      </c>
      <c r="F2476" t="s">
        <v>4399</v>
      </c>
    </row>
    <row r="2477" spans="1:6" x14ac:dyDescent="0.25">
      <c r="A2477" t="s">
        <v>10535</v>
      </c>
      <c r="B2477" t="s">
        <v>10536</v>
      </c>
      <c r="C2477" t="s">
        <v>10537</v>
      </c>
      <c r="D2477" t="s">
        <v>498</v>
      </c>
      <c r="E2477" t="s">
        <v>271</v>
      </c>
      <c r="F2477" t="s">
        <v>926</v>
      </c>
    </row>
    <row r="2478" spans="1:6" x14ac:dyDescent="0.25">
      <c r="A2478" t="s">
        <v>10538</v>
      </c>
      <c r="B2478" t="s">
        <v>10539</v>
      </c>
      <c r="C2478" t="s">
        <v>10540</v>
      </c>
      <c r="D2478" t="s">
        <v>556</v>
      </c>
      <c r="E2478" t="s">
        <v>271</v>
      </c>
      <c r="F2478" t="s">
        <v>1567</v>
      </c>
    </row>
    <row r="2479" spans="1:6" x14ac:dyDescent="0.25">
      <c r="A2479" t="s">
        <v>10541</v>
      </c>
      <c r="B2479" t="s">
        <v>10542</v>
      </c>
      <c r="C2479" t="s">
        <v>10543</v>
      </c>
      <c r="D2479" t="s">
        <v>817</v>
      </c>
      <c r="E2479" t="s">
        <v>271</v>
      </c>
      <c r="F2479" t="s">
        <v>816</v>
      </c>
    </row>
    <row r="2480" spans="1:6" x14ac:dyDescent="0.25">
      <c r="A2480" t="s">
        <v>10544</v>
      </c>
      <c r="B2480" t="s">
        <v>10545</v>
      </c>
      <c r="C2480" t="s">
        <v>10546</v>
      </c>
      <c r="D2480" t="s">
        <v>506</v>
      </c>
      <c r="E2480" t="s">
        <v>271</v>
      </c>
      <c r="F2480" t="s">
        <v>507</v>
      </c>
    </row>
    <row r="2481" spans="1:6" x14ac:dyDescent="0.25">
      <c r="A2481" t="s">
        <v>10547</v>
      </c>
      <c r="B2481" t="s">
        <v>10548</v>
      </c>
      <c r="C2481" t="s">
        <v>10549</v>
      </c>
      <c r="D2481" t="s">
        <v>0</v>
      </c>
      <c r="E2481" t="s">
        <v>271</v>
      </c>
      <c r="F2481" t="s">
        <v>1141</v>
      </c>
    </row>
    <row r="2482" spans="1:6" x14ac:dyDescent="0.25">
      <c r="A2482" t="s">
        <v>3224</v>
      </c>
      <c r="B2482" t="s">
        <v>3225</v>
      </c>
      <c r="C2482" t="s">
        <v>3226</v>
      </c>
      <c r="D2482" t="s">
        <v>0</v>
      </c>
      <c r="E2482" t="s">
        <v>271</v>
      </c>
      <c r="F2482" t="s">
        <v>436</v>
      </c>
    </row>
    <row r="2483" spans="1:6" x14ac:dyDescent="0.25">
      <c r="A2483" t="s">
        <v>10550</v>
      </c>
      <c r="B2483" t="s">
        <v>10551</v>
      </c>
      <c r="C2483" t="s">
        <v>10552</v>
      </c>
      <c r="D2483" t="s">
        <v>972</v>
      </c>
      <c r="E2483" t="s">
        <v>269</v>
      </c>
      <c r="F2483" t="s">
        <v>971</v>
      </c>
    </row>
    <row r="2484" spans="1:6" x14ac:dyDescent="0.25">
      <c r="A2484" t="s">
        <v>10553</v>
      </c>
      <c r="B2484" t="s">
        <v>10554</v>
      </c>
      <c r="C2484" t="s">
        <v>10555</v>
      </c>
      <c r="D2484" t="s">
        <v>498</v>
      </c>
      <c r="E2484" t="s">
        <v>271</v>
      </c>
      <c r="F2484" t="s">
        <v>926</v>
      </c>
    </row>
    <row r="2485" spans="1:6" x14ac:dyDescent="0.25">
      <c r="A2485" t="s">
        <v>1334</v>
      </c>
      <c r="B2485" t="s">
        <v>1335</v>
      </c>
      <c r="C2485" t="s">
        <v>1338</v>
      </c>
      <c r="D2485" t="s">
        <v>1337</v>
      </c>
      <c r="E2485" t="s">
        <v>271</v>
      </c>
      <c r="F2485" t="s">
        <v>1336</v>
      </c>
    </row>
    <row r="2486" spans="1:6" x14ac:dyDescent="0.25">
      <c r="A2486" t="s">
        <v>10556</v>
      </c>
      <c r="B2486" t="s">
        <v>10557</v>
      </c>
      <c r="C2486" t="s">
        <v>10558</v>
      </c>
      <c r="D2486" t="s">
        <v>363</v>
      </c>
      <c r="E2486" t="s">
        <v>271</v>
      </c>
      <c r="F2486" t="s">
        <v>364</v>
      </c>
    </row>
    <row r="2487" spans="1:6" x14ac:dyDescent="0.25">
      <c r="A2487" t="s">
        <v>10559</v>
      </c>
      <c r="B2487" t="s">
        <v>359</v>
      </c>
      <c r="C2487" t="s">
        <v>5399</v>
      </c>
      <c r="D2487" t="s">
        <v>793</v>
      </c>
      <c r="E2487" t="s">
        <v>271</v>
      </c>
      <c r="F2487" t="s">
        <v>792</v>
      </c>
    </row>
    <row r="2488" spans="1:6" x14ac:dyDescent="0.25">
      <c r="A2488" t="s">
        <v>10560</v>
      </c>
      <c r="B2488" t="s">
        <v>10561</v>
      </c>
      <c r="C2488" t="s">
        <v>10562</v>
      </c>
      <c r="D2488" t="s">
        <v>668</v>
      </c>
      <c r="E2488" t="s">
        <v>271</v>
      </c>
      <c r="F2488" t="s">
        <v>667</v>
      </c>
    </row>
    <row r="2489" spans="1:6" x14ac:dyDescent="0.25">
      <c r="A2489" t="s">
        <v>10563</v>
      </c>
      <c r="B2489" t="s">
        <v>10564</v>
      </c>
      <c r="C2489" t="s">
        <v>10565</v>
      </c>
      <c r="D2489" t="s">
        <v>0</v>
      </c>
      <c r="E2489" t="s">
        <v>271</v>
      </c>
      <c r="F2489" t="s">
        <v>1011</v>
      </c>
    </row>
    <row r="2490" spans="1:6" x14ac:dyDescent="0.25">
      <c r="A2490" t="s">
        <v>10566</v>
      </c>
      <c r="B2490" t="s">
        <v>10567</v>
      </c>
      <c r="C2490" t="s">
        <v>10568</v>
      </c>
      <c r="D2490" t="s">
        <v>0</v>
      </c>
      <c r="E2490" t="s">
        <v>271</v>
      </c>
      <c r="F2490" t="s">
        <v>881</v>
      </c>
    </row>
    <row r="2491" spans="1:6" x14ac:dyDescent="0.25">
      <c r="A2491" t="s">
        <v>1681</v>
      </c>
      <c r="B2491" t="s">
        <v>1682</v>
      </c>
      <c r="C2491" t="s">
        <v>1684</v>
      </c>
      <c r="D2491" t="s">
        <v>1683</v>
      </c>
      <c r="E2491" t="s">
        <v>271</v>
      </c>
      <c r="F2491" t="s">
        <v>996</v>
      </c>
    </row>
    <row r="2492" spans="1:6" x14ac:dyDescent="0.25">
      <c r="A2492" t="s">
        <v>10569</v>
      </c>
      <c r="B2492" t="s">
        <v>10570</v>
      </c>
      <c r="C2492" t="s">
        <v>10571</v>
      </c>
      <c r="D2492" t="s">
        <v>510</v>
      </c>
      <c r="E2492" t="s">
        <v>271</v>
      </c>
      <c r="F2492" t="s">
        <v>437</v>
      </c>
    </row>
    <row r="2493" spans="1:6" x14ac:dyDescent="0.25">
      <c r="A2493" t="s">
        <v>10572</v>
      </c>
      <c r="B2493" t="s">
        <v>10573</v>
      </c>
      <c r="C2493" t="s">
        <v>10574</v>
      </c>
      <c r="D2493" t="s">
        <v>448</v>
      </c>
      <c r="E2493" t="s">
        <v>271</v>
      </c>
      <c r="F2493" t="s">
        <v>449</v>
      </c>
    </row>
    <row r="2494" spans="1:6" x14ac:dyDescent="0.25">
      <c r="A2494" t="s">
        <v>858</v>
      </c>
      <c r="B2494" t="s">
        <v>859</v>
      </c>
      <c r="C2494" t="s">
        <v>861</v>
      </c>
      <c r="D2494" t="s">
        <v>793</v>
      </c>
      <c r="E2494" t="s">
        <v>271</v>
      </c>
      <c r="F2494" t="s">
        <v>860</v>
      </c>
    </row>
    <row r="2495" spans="1:6" x14ac:dyDescent="0.25">
      <c r="A2495" t="s">
        <v>10575</v>
      </c>
      <c r="B2495" t="s">
        <v>10576</v>
      </c>
      <c r="C2495" t="s">
        <v>10577</v>
      </c>
      <c r="D2495" t="s">
        <v>0</v>
      </c>
      <c r="E2495" t="s">
        <v>271</v>
      </c>
      <c r="F2495" t="s">
        <v>1321</v>
      </c>
    </row>
    <row r="2496" spans="1:6" x14ac:dyDescent="0.25">
      <c r="A2496" t="s">
        <v>10578</v>
      </c>
      <c r="B2496" t="s">
        <v>10579</v>
      </c>
      <c r="C2496" t="s">
        <v>10580</v>
      </c>
      <c r="D2496" t="s">
        <v>0</v>
      </c>
      <c r="E2496" t="s">
        <v>271</v>
      </c>
      <c r="F2496" t="s">
        <v>562</v>
      </c>
    </row>
    <row r="2497" spans="1:6" x14ac:dyDescent="0.25">
      <c r="A2497" t="s">
        <v>10581</v>
      </c>
      <c r="B2497" t="s">
        <v>10582</v>
      </c>
      <c r="C2497" t="s">
        <v>10583</v>
      </c>
      <c r="D2497" t="s">
        <v>0</v>
      </c>
      <c r="E2497" t="s">
        <v>271</v>
      </c>
      <c r="F2497" t="s">
        <v>319</v>
      </c>
    </row>
    <row r="2498" spans="1:6" x14ac:dyDescent="0.25">
      <c r="A2498" t="s">
        <v>10584</v>
      </c>
      <c r="B2498" t="s">
        <v>10585</v>
      </c>
      <c r="C2498" t="s">
        <v>10586</v>
      </c>
      <c r="D2498" t="s">
        <v>282</v>
      </c>
      <c r="E2498" t="s">
        <v>341</v>
      </c>
      <c r="F2498" t="s">
        <v>396</v>
      </c>
    </row>
    <row r="2499" spans="1:6" x14ac:dyDescent="0.25">
      <c r="A2499" t="s">
        <v>10587</v>
      </c>
      <c r="B2499" t="s">
        <v>10588</v>
      </c>
      <c r="C2499" t="s">
        <v>10589</v>
      </c>
      <c r="D2499" t="s">
        <v>1490</v>
      </c>
      <c r="E2499" t="s">
        <v>271</v>
      </c>
      <c r="F2499" t="s">
        <v>816</v>
      </c>
    </row>
    <row r="2500" spans="1:6" x14ac:dyDescent="0.25">
      <c r="A2500" t="s">
        <v>10590</v>
      </c>
      <c r="B2500" t="s">
        <v>10591</v>
      </c>
      <c r="C2500" t="s">
        <v>10592</v>
      </c>
      <c r="D2500" t="s">
        <v>0</v>
      </c>
      <c r="E2500" t="s">
        <v>271</v>
      </c>
      <c r="F2500" t="s">
        <v>1225</v>
      </c>
    </row>
    <row r="2501" spans="1:6" x14ac:dyDescent="0.25">
      <c r="A2501" t="s">
        <v>10593</v>
      </c>
      <c r="B2501" t="s">
        <v>10594</v>
      </c>
      <c r="C2501" t="s">
        <v>10595</v>
      </c>
      <c r="D2501" t="s">
        <v>0</v>
      </c>
      <c r="E2501" t="s">
        <v>271</v>
      </c>
      <c r="F2501" t="s">
        <v>356</v>
      </c>
    </row>
    <row r="2502" spans="1:6" x14ac:dyDescent="0.25">
      <c r="A2502" t="s">
        <v>10596</v>
      </c>
      <c r="B2502" t="s">
        <v>10597</v>
      </c>
      <c r="C2502" t="s">
        <v>5444</v>
      </c>
      <c r="D2502" t="s">
        <v>500</v>
      </c>
      <c r="E2502" t="s">
        <v>271</v>
      </c>
      <c r="F2502" t="s">
        <v>501</v>
      </c>
    </row>
    <row r="2503" spans="1:6" x14ac:dyDescent="0.25">
      <c r="A2503" t="s">
        <v>10598</v>
      </c>
      <c r="B2503" t="s">
        <v>10599</v>
      </c>
      <c r="C2503" t="s">
        <v>10600</v>
      </c>
      <c r="D2503" t="s">
        <v>0</v>
      </c>
      <c r="E2503" t="s">
        <v>271</v>
      </c>
      <c r="F2503" t="s">
        <v>575</v>
      </c>
    </row>
    <row r="2504" spans="1:6" x14ac:dyDescent="0.25">
      <c r="A2504" t="s">
        <v>10601</v>
      </c>
      <c r="B2504" t="s">
        <v>10602</v>
      </c>
      <c r="C2504" t="s">
        <v>10603</v>
      </c>
      <c r="D2504" t="s">
        <v>10604</v>
      </c>
      <c r="E2504" t="s">
        <v>269</v>
      </c>
      <c r="F2504" t="s">
        <v>10605</v>
      </c>
    </row>
    <row r="2505" spans="1:6" x14ac:dyDescent="0.25">
      <c r="A2505" t="s">
        <v>2389</v>
      </c>
      <c r="B2505" t="s">
        <v>2390</v>
      </c>
      <c r="C2505" t="s">
        <v>2391</v>
      </c>
      <c r="D2505" t="s">
        <v>1601</v>
      </c>
      <c r="E2505" t="s">
        <v>269</v>
      </c>
      <c r="F2505" t="s">
        <v>2243</v>
      </c>
    </row>
    <row r="2506" spans="1:6" x14ac:dyDescent="0.25">
      <c r="A2506" t="s">
        <v>10606</v>
      </c>
      <c r="B2506" t="s">
        <v>10607</v>
      </c>
      <c r="C2506" t="s">
        <v>10608</v>
      </c>
      <c r="D2506" t="s">
        <v>1874</v>
      </c>
      <c r="E2506" t="s">
        <v>271</v>
      </c>
      <c r="F2506" t="s">
        <v>1873</v>
      </c>
    </row>
    <row r="2507" spans="1:6" x14ac:dyDescent="0.25">
      <c r="A2507" t="s">
        <v>10609</v>
      </c>
      <c r="B2507" t="s">
        <v>10610</v>
      </c>
      <c r="C2507" t="s">
        <v>10611</v>
      </c>
      <c r="D2507" t="s">
        <v>0</v>
      </c>
      <c r="E2507" t="s">
        <v>271</v>
      </c>
      <c r="F2507" t="s">
        <v>531</v>
      </c>
    </row>
    <row r="2508" spans="1:6" x14ac:dyDescent="0.25">
      <c r="A2508" t="s">
        <v>10612</v>
      </c>
      <c r="B2508" t="s">
        <v>10613</v>
      </c>
      <c r="C2508" t="s">
        <v>10614</v>
      </c>
      <c r="D2508" t="s">
        <v>0</v>
      </c>
      <c r="E2508" t="s">
        <v>271</v>
      </c>
      <c r="F2508" t="s">
        <v>1534</v>
      </c>
    </row>
    <row r="2509" spans="1:6" x14ac:dyDescent="0.25">
      <c r="A2509" t="s">
        <v>10615</v>
      </c>
      <c r="B2509" t="s">
        <v>10616</v>
      </c>
      <c r="C2509" t="s">
        <v>10617</v>
      </c>
      <c r="D2509" t="s">
        <v>0</v>
      </c>
      <c r="E2509" t="s">
        <v>271</v>
      </c>
      <c r="F2509" t="s">
        <v>436</v>
      </c>
    </row>
    <row r="2510" spans="1:6" x14ac:dyDescent="0.25">
      <c r="A2510" t="s">
        <v>3118</v>
      </c>
      <c r="B2510" t="s">
        <v>3119</v>
      </c>
      <c r="C2510" t="s">
        <v>3120</v>
      </c>
      <c r="D2510" t="s">
        <v>0</v>
      </c>
      <c r="E2510" t="s">
        <v>271</v>
      </c>
      <c r="F2510" t="s">
        <v>809</v>
      </c>
    </row>
    <row r="2511" spans="1:6" x14ac:dyDescent="0.25">
      <c r="A2511" t="s">
        <v>10618</v>
      </c>
      <c r="B2511" t="s">
        <v>10619</v>
      </c>
      <c r="C2511" t="s">
        <v>10620</v>
      </c>
      <c r="D2511" t="s">
        <v>4089</v>
      </c>
      <c r="E2511" t="s">
        <v>271</v>
      </c>
      <c r="F2511" t="s">
        <v>480</v>
      </c>
    </row>
    <row r="2512" spans="1:6" x14ac:dyDescent="0.25">
      <c r="A2512" t="s">
        <v>10621</v>
      </c>
      <c r="B2512" t="s">
        <v>10622</v>
      </c>
      <c r="C2512" t="s">
        <v>10623</v>
      </c>
      <c r="D2512" t="s">
        <v>1723</v>
      </c>
      <c r="E2512" t="s">
        <v>271</v>
      </c>
      <c r="F2512" t="s">
        <v>1722</v>
      </c>
    </row>
    <row r="2513" spans="1:6" x14ac:dyDescent="0.25">
      <c r="A2513" t="s">
        <v>10624</v>
      </c>
      <c r="B2513" t="s">
        <v>10625</v>
      </c>
      <c r="C2513" t="s">
        <v>10626</v>
      </c>
      <c r="D2513" t="s">
        <v>0</v>
      </c>
      <c r="E2513" t="s">
        <v>271</v>
      </c>
      <c r="F2513" t="s">
        <v>1115</v>
      </c>
    </row>
    <row r="2514" spans="1:6" x14ac:dyDescent="0.25">
      <c r="A2514" t="s">
        <v>10627</v>
      </c>
      <c r="B2514" t="s">
        <v>284</v>
      </c>
      <c r="C2514" t="s">
        <v>10628</v>
      </c>
      <c r="D2514" t="s">
        <v>530</v>
      </c>
      <c r="E2514" t="s">
        <v>271</v>
      </c>
      <c r="F2514" t="s">
        <v>368</v>
      </c>
    </row>
    <row r="2515" spans="1:6" x14ac:dyDescent="0.25">
      <c r="A2515" t="s">
        <v>10629</v>
      </c>
      <c r="B2515" t="s">
        <v>10630</v>
      </c>
      <c r="C2515" t="s">
        <v>10631</v>
      </c>
      <c r="D2515" t="s">
        <v>0</v>
      </c>
      <c r="E2515" t="s">
        <v>271</v>
      </c>
      <c r="F2515" t="s">
        <v>323</v>
      </c>
    </row>
    <row r="2516" spans="1:6" x14ac:dyDescent="0.25">
      <c r="A2516" t="s">
        <v>10632</v>
      </c>
      <c r="B2516" t="s">
        <v>10633</v>
      </c>
      <c r="C2516" t="s">
        <v>10634</v>
      </c>
      <c r="D2516" t="s">
        <v>3831</v>
      </c>
      <c r="E2516" t="s">
        <v>271</v>
      </c>
      <c r="F2516" t="s">
        <v>3830</v>
      </c>
    </row>
    <row r="2517" spans="1:6" x14ac:dyDescent="0.25">
      <c r="A2517" t="s">
        <v>10635</v>
      </c>
      <c r="B2517" t="s">
        <v>10636</v>
      </c>
      <c r="C2517" t="s">
        <v>10637</v>
      </c>
      <c r="D2517" t="s">
        <v>0</v>
      </c>
      <c r="E2517" t="s">
        <v>271</v>
      </c>
      <c r="F2517" t="s">
        <v>688</v>
      </c>
    </row>
    <row r="2518" spans="1:6" x14ac:dyDescent="0.25">
      <c r="A2518" t="s">
        <v>10638</v>
      </c>
      <c r="B2518" t="s">
        <v>10639</v>
      </c>
      <c r="C2518" t="s">
        <v>10640</v>
      </c>
      <c r="D2518" t="s">
        <v>0</v>
      </c>
      <c r="E2518" t="s">
        <v>271</v>
      </c>
      <c r="F2518" t="s">
        <v>4382</v>
      </c>
    </row>
    <row r="2519" spans="1:6" x14ac:dyDescent="0.25">
      <c r="A2519" t="s">
        <v>2175</v>
      </c>
      <c r="B2519" t="s">
        <v>2176</v>
      </c>
      <c r="C2519" t="s">
        <v>2177</v>
      </c>
      <c r="D2519" t="s">
        <v>1643</v>
      </c>
      <c r="E2519" t="s">
        <v>271</v>
      </c>
      <c r="F2519" t="s">
        <v>1642</v>
      </c>
    </row>
    <row r="2520" spans="1:6" x14ac:dyDescent="0.25">
      <c r="A2520" t="s">
        <v>10641</v>
      </c>
      <c r="B2520" t="s">
        <v>10642</v>
      </c>
      <c r="C2520" t="s">
        <v>10643</v>
      </c>
      <c r="D2520" t="s">
        <v>0</v>
      </c>
      <c r="E2520" t="s">
        <v>271</v>
      </c>
      <c r="F2520" t="s">
        <v>809</v>
      </c>
    </row>
    <row r="2521" spans="1:6" x14ac:dyDescent="0.25">
      <c r="A2521" t="s">
        <v>10644</v>
      </c>
      <c r="B2521" t="s">
        <v>10645</v>
      </c>
      <c r="C2521" t="s">
        <v>10646</v>
      </c>
      <c r="D2521" t="s">
        <v>8047</v>
      </c>
      <c r="E2521" t="s">
        <v>271</v>
      </c>
      <c r="F2521" t="s">
        <v>3830</v>
      </c>
    </row>
    <row r="2522" spans="1:6" x14ac:dyDescent="0.25">
      <c r="A2522" t="s">
        <v>1372</v>
      </c>
      <c r="B2522" t="s">
        <v>1373</v>
      </c>
      <c r="C2522" t="s">
        <v>1375</v>
      </c>
      <c r="D2522" t="s">
        <v>440</v>
      </c>
      <c r="E2522" t="s">
        <v>271</v>
      </c>
      <c r="F2522" t="s">
        <v>441</v>
      </c>
    </row>
    <row r="2523" spans="1:6" x14ac:dyDescent="0.25">
      <c r="A2523" t="s">
        <v>10647</v>
      </c>
      <c r="B2523" t="s">
        <v>10648</v>
      </c>
      <c r="C2523" t="s">
        <v>10649</v>
      </c>
      <c r="D2523" t="s">
        <v>0</v>
      </c>
      <c r="E2523" t="s">
        <v>271</v>
      </c>
      <c r="F2523" t="s">
        <v>356</v>
      </c>
    </row>
    <row r="2524" spans="1:6" x14ac:dyDescent="0.25">
      <c r="A2524" t="s">
        <v>10650</v>
      </c>
      <c r="B2524" t="s">
        <v>10651</v>
      </c>
      <c r="C2524" t="s">
        <v>8000</v>
      </c>
      <c r="D2524" t="s">
        <v>0</v>
      </c>
      <c r="E2524" t="s">
        <v>271</v>
      </c>
      <c r="F2524" t="s">
        <v>658</v>
      </c>
    </row>
    <row r="2525" spans="1:6" x14ac:dyDescent="0.25">
      <c r="A2525" t="s">
        <v>3641</v>
      </c>
      <c r="B2525" t="s">
        <v>3642</v>
      </c>
      <c r="C2525" t="s">
        <v>3643</v>
      </c>
      <c r="D2525" t="s">
        <v>498</v>
      </c>
      <c r="E2525" t="s">
        <v>271</v>
      </c>
      <c r="F2525" t="s">
        <v>926</v>
      </c>
    </row>
    <row r="2526" spans="1:6" x14ac:dyDescent="0.25">
      <c r="A2526" t="s">
        <v>10652</v>
      </c>
      <c r="B2526" t="s">
        <v>10653</v>
      </c>
      <c r="C2526" t="s">
        <v>10654</v>
      </c>
      <c r="D2526" t="s">
        <v>972</v>
      </c>
      <c r="E2526" t="s">
        <v>269</v>
      </c>
      <c r="F2526" t="s">
        <v>971</v>
      </c>
    </row>
    <row r="2527" spans="1:6" x14ac:dyDescent="0.25">
      <c r="A2527" t="s">
        <v>2043</v>
      </c>
      <c r="B2527" t="s">
        <v>2044</v>
      </c>
      <c r="C2527" t="s">
        <v>2045</v>
      </c>
      <c r="D2527" t="s">
        <v>0</v>
      </c>
      <c r="E2527" t="s">
        <v>271</v>
      </c>
      <c r="F2527" t="s">
        <v>319</v>
      </c>
    </row>
    <row r="2528" spans="1:6" x14ac:dyDescent="0.25">
      <c r="A2528" t="s">
        <v>10655</v>
      </c>
      <c r="B2528" t="s">
        <v>10656</v>
      </c>
      <c r="C2528" t="s">
        <v>10657</v>
      </c>
      <c r="D2528" t="s">
        <v>4470</v>
      </c>
      <c r="E2528" t="s">
        <v>271</v>
      </c>
      <c r="F2528" t="s">
        <v>4426</v>
      </c>
    </row>
    <row r="2529" spans="1:6" x14ac:dyDescent="0.25">
      <c r="A2529" t="s">
        <v>10658</v>
      </c>
      <c r="B2529" t="s">
        <v>10659</v>
      </c>
      <c r="C2529" t="s">
        <v>2005</v>
      </c>
      <c r="D2529" t="s">
        <v>1665</v>
      </c>
      <c r="E2529" t="s">
        <v>271</v>
      </c>
      <c r="F2529" t="s">
        <v>1664</v>
      </c>
    </row>
    <row r="2530" spans="1:6" x14ac:dyDescent="0.25">
      <c r="A2530" t="s">
        <v>10660</v>
      </c>
      <c r="B2530" t="s">
        <v>10661</v>
      </c>
      <c r="C2530" t="s">
        <v>10662</v>
      </c>
      <c r="D2530" t="s">
        <v>8593</v>
      </c>
      <c r="E2530" t="s">
        <v>271</v>
      </c>
      <c r="F2530" t="s">
        <v>4385</v>
      </c>
    </row>
    <row r="2531" spans="1:6" x14ac:dyDescent="0.25">
      <c r="A2531" t="s">
        <v>10663</v>
      </c>
      <c r="B2531" t="s">
        <v>10664</v>
      </c>
      <c r="C2531" t="s">
        <v>10665</v>
      </c>
      <c r="D2531" t="s">
        <v>972</v>
      </c>
      <c r="E2531" t="s">
        <v>269</v>
      </c>
      <c r="F2531" t="s">
        <v>971</v>
      </c>
    </row>
    <row r="2532" spans="1:6" x14ac:dyDescent="0.25">
      <c r="A2532" t="s">
        <v>10666</v>
      </c>
      <c r="B2532" t="s">
        <v>10667</v>
      </c>
      <c r="C2532" t="s">
        <v>10668</v>
      </c>
      <c r="D2532" t="s">
        <v>2009</v>
      </c>
      <c r="E2532" t="s">
        <v>271</v>
      </c>
      <c r="F2532" t="s">
        <v>2008</v>
      </c>
    </row>
    <row r="2533" spans="1:6" x14ac:dyDescent="0.25">
      <c r="A2533" t="s">
        <v>1979</v>
      </c>
      <c r="B2533" t="s">
        <v>1980</v>
      </c>
      <c r="C2533" t="s">
        <v>1981</v>
      </c>
      <c r="D2533" t="s">
        <v>1665</v>
      </c>
      <c r="E2533" t="s">
        <v>271</v>
      </c>
      <c r="F2533" t="s">
        <v>1664</v>
      </c>
    </row>
    <row r="2534" spans="1:6" x14ac:dyDescent="0.25">
      <c r="A2534" t="s">
        <v>10669</v>
      </c>
      <c r="B2534" t="s">
        <v>10670</v>
      </c>
      <c r="C2534" t="s">
        <v>10671</v>
      </c>
      <c r="D2534" t="s">
        <v>0</v>
      </c>
      <c r="E2534" t="s">
        <v>271</v>
      </c>
      <c r="F2534" t="s">
        <v>1679</v>
      </c>
    </row>
    <row r="2535" spans="1:6" x14ac:dyDescent="0.25">
      <c r="A2535" t="s">
        <v>10672</v>
      </c>
      <c r="B2535" t="s">
        <v>10673</v>
      </c>
      <c r="C2535" t="s">
        <v>10674</v>
      </c>
      <c r="D2535" t="s">
        <v>1126</v>
      </c>
      <c r="E2535" t="s">
        <v>271</v>
      </c>
      <c r="F2535" t="s">
        <v>1125</v>
      </c>
    </row>
    <row r="2536" spans="1:6" x14ac:dyDescent="0.25">
      <c r="A2536" t="s">
        <v>10675</v>
      </c>
      <c r="B2536" t="s">
        <v>10676</v>
      </c>
      <c r="C2536" t="s">
        <v>10677</v>
      </c>
      <c r="D2536" t="s">
        <v>0</v>
      </c>
      <c r="E2536" t="s">
        <v>271</v>
      </c>
      <c r="F2536" t="s">
        <v>562</v>
      </c>
    </row>
    <row r="2537" spans="1:6" x14ac:dyDescent="0.25">
      <c r="A2537" t="s">
        <v>10678</v>
      </c>
      <c r="B2537" t="s">
        <v>10679</v>
      </c>
      <c r="C2537" t="s">
        <v>10680</v>
      </c>
      <c r="D2537" t="s">
        <v>1137</v>
      </c>
      <c r="E2537" t="s">
        <v>269</v>
      </c>
      <c r="F2537" t="s">
        <v>1136</v>
      </c>
    </row>
    <row r="2538" spans="1:6" x14ac:dyDescent="0.25">
      <c r="A2538" t="s">
        <v>10681</v>
      </c>
      <c r="B2538" t="s">
        <v>10682</v>
      </c>
      <c r="C2538" t="s">
        <v>10683</v>
      </c>
      <c r="D2538" t="s">
        <v>0</v>
      </c>
      <c r="E2538" t="s">
        <v>271</v>
      </c>
      <c r="F2538" t="s">
        <v>356</v>
      </c>
    </row>
    <row r="2539" spans="1:6" x14ac:dyDescent="0.25">
      <c r="A2539" t="s">
        <v>10684</v>
      </c>
      <c r="B2539" t="s">
        <v>10685</v>
      </c>
      <c r="C2539" t="s">
        <v>10686</v>
      </c>
      <c r="D2539" t="s">
        <v>1079</v>
      </c>
      <c r="E2539" t="s">
        <v>271</v>
      </c>
      <c r="F2539" t="s">
        <v>1078</v>
      </c>
    </row>
    <row r="2540" spans="1:6" x14ac:dyDescent="0.25">
      <c r="A2540" t="s">
        <v>2722</v>
      </c>
      <c r="B2540" t="s">
        <v>2723</v>
      </c>
      <c r="C2540" t="s">
        <v>2724</v>
      </c>
      <c r="D2540" t="s">
        <v>2093</v>
      </c>
      <c r="E2540" t="s">
        <v>271</v>
      </c>
      <c r="F2540" t="s">
        <v>1058</v>
      </c>
    </row>
    <row r="2541" spans="1:6" x14ac:dyDescent="0.25">
      <c r="A2541" t="s">
        <v>10687</v>
      </c>
      <c r="B2541" t="s">
        <v>10688</v>
      </c>
      <c r="C2541" t="s">
        <v>10689</v>
      </c>
      <c r="D2541" t="s">
        <v>668</v>
      </c>
      <c r="E2541" t="s">
        <v>271</v>
      </c>
      <c r="F2541" t="s">
        <v>667</v>
      </c>
    </row>
    <row r="2542" spans="1:6" x14ac:dyDescent="0.25">
      <c r="A2542" t="s">
        <v>10690</v>
      </c>
      <c r="B2542" t="s">
        <v>10691</v>
      </c>
      <c r="C2542" t="s">
        <v>10692</v>
      </c>
      <c r="D2542" t="s">
        <v>2116</v>
      </c>
      <c r="E2542" t="s">
        <v>271</v>
      </c>
      <c r="F2542" t="s">
        <v>2115</v>
      </c>
    </row>
    <row r="2543" spans="1:6" x14ac:dyDescent="0.25">
      <c r="A2543" t="s">
        <v>10693</v>
      </c>
      <c r="B2543" t="s">
        <v>10694</v>
      </c>
      <c r="C2543" t="s">
        <v>10695</v>
      </c>
      <c r="D2543" t="s">
        <v>0</v>
      </c>
      <c r="E2543" t="s">
        <v>271</v>
      </c>
      <c r="F2543" t="s">
        <v>731</v>
      </c>
    </row>
    <row r="2544" spans="1:6" x14ac:dyDescent="0.25">
      <c r="A2544" t="s">
        <v>2560</v>
      </c>
      <c r="B2544" t="s">
        <v>2561</v>
      </c>
      <c r="C2544" t="s">
        <v>2562</v>
      </c>
      <c r="D2544" t="s">
        <v>0</v>
      </c>
      <c r="E2544" t="s">
        <v>271</v>
      </c>
      <c r="F2544" t="s">
        <v>356</v>
      </c>
    </row>
    <row r="2545" spans="1:6" x14ac:dyDescent="0.25">
      <c r="A2545" t="s">
        <v>10696</v>
      </c>
      <c r="B2545" t="s">
        <v>10697</v>
      </c>
      <c r="C2545" t="s">
        <v>10698</v>
      </c>
      <c r="D2545" t="s">
        <v>0</v>
      </c>
      <c r="E2545" t="s">
        <v>271</v>
      </c>
      <c r="F2545" t="s">
        <v>3672</v>
      </c>
    </row>
    <row r="2546" spans="1:6" x14ac:dyDescent="0.25">
      <c r="A2546" t="s">
        <v>10699</v>
      </c>
      <c r="B2546" t="s">
        <v>10700</v>
      </c>
      <c r="C2546" t="s">
        <v>10701</v>
      </c>
      <c r="D2546" t="s">
        <v>1542</v>
      </c>
      <c r="E2546" t="s">
        <v>269</v>
      </c>
      <c r="F2546" t="s">
        <v>4412</v>
      </c>
    </row>
    <row r="2547" spans="1:6" x14ac:dyDescent="0.25">
      <c r="A2547" t="s">
        <v>10702</v>
      </c>
      <c r="B2547" t="s">
        <v>10703</v>
      </c>
      <c r="C2547" t="s">
        <v>10704</v>
      </c>
      <c r="D2547" t="s">
        <v>980</v>
      </c>
      <c r="E2547" t="s">
        <v>271</v>
      </c>
      <c r="F2547" t="s">
        <v>979</v>
      </c>
    </row>
    <row r="2548" spans="1:6" x14ac:dyDescent="0.25">
      <c r="A2548" t="s">
        <v>10705</v>
      </c>
      <c r="B2548" t="s">
        <v>10706</v>
      </c>
      <c r="C2548" t="s">
        <v>10707</v>
      </c>
      <c r="D2548" t="s">
        <v>466</v>
      </c>
      <c r="E2548" t="s">
        <v>271</v>
      </c>
      <c r="F2548" t="s">
        <v>434</v>
      </c>
    </row>
    <row r="2549" spans="1:6" x14ac:dyDescent="0.25">
      <c r="A2549" t="s">
        <v>10708</v>
      </c>
      <c r="B2549" t="s">
        <v>10709</v>
      </c>
      <c r="C2549" t="s">
        <v>10710</v>
      </c>
      <c r="D2549" t="s">
        <v>986</v>
      </c>
      <c r="E2549" t="s">
        <v>271</v>
      </c>
      <c r="F2549" t="s">
        <v>3275</v>
      </c>
    </row>
    <row r="2550" spans="1:6" x14ac:dyDescent="0.25">
      <c r="A2550" t="s">
        <v>10711</v>
      </c>
      <c r="B2550" t="s">
        <v>8974</v>
      </c>
      <c r="C2550" t="s">
        <v>10712</v>
      </c>
      <c r="D2550" t="s">
        <v>503</v>
      </c>
      <c r="E2550" t="s">
        <v>271</v>
      </c>
      <c r="F2550" t="s">
        <v>504</v>
      </c>
    </row>
    <row r="2551" spans="1:6" x14ac:dyDescent="0.25">
      <c r="A2551" t="s">
        <v>10713</v>
      </c>
      <c r="B2551" t="s">
        <v>10714</v>
      </c>
      <c r="C2551" t="s">
        <v>10715</v>
      </c>
      <c r="D2551" t="s">
        <v>498</v>
      </c>
      <c r="E2551" t="s">
        <v>271</v>
      </c>
      <c r="F2551" t="s">
        <v>926</v>
      </c>
    </row>
    <row r="2552" spans="1:6" x14ac:dyDescent="0.25">
      <c r="A2552" t="s">
        <v>10716</v>
      </c>
      <c r="B2552" t="s">
        <v>10717</v>
      </c>
      <c r="C2552" t="s">
        <v>10718</v>
      </c>
      <c r="D2552" t="s">
        <v>450</v>
      </c>
      <c r="E2552" t="s">
        <v>271</v>
      </c>
      <c r="F2552" t="s">
        <v>2794</v>
      </c>
    </row>
    <row r="2553" spans="1:6" x14ac:dyDescent="0.25">
      <c r="A2553" t="s">
        <v>10719</v>
      </c>
      <c r="B2553" t="s">
        <v>551</v>
      </c>
      <c r="C2553" t="s">
        <v>374</v>
      </c>
      <c r="D2553" t="s">
        <v>232</v>
      </c>
      <c r="E2553" t="s">
        <v>271</v>
      </c>
      <c r="F2553" t="s">
        <v>329</v>
      </c>
    </row>
    <row r="2554" spans="1:6" x14ac:dyDescent="0.25">
      <c r="A2554" t="s">
        <v>10720</v>
      </c>
      <c r="B2554" t="s">
        <v>10721</v>
      </c>
      <c r="C2554" t="s">
        <v>10722</v>
      </c>
      <c r="D2554" t="s">
        <v>1064</v>
      </c>
      <c r="E2554" t="s">
        <v>269</v>
      </c>
      <c r="F2554" t="s">
        <v>1063</v>
      </c>
    </row>
    <row r="2555" spans="1:6" x14ac:dyDescent="0.25">
      <c r="A2555" t="s">
        <v>10723</v>
      </c>
      <c r="B2555" t="s">
        <v>10724</v>
      </c>
      <c r="C2555" t="s">
        <v>5514</v>
      </c>
      <c r="D2555" t="s">
        <v>0</v>
      </c>
      <c r="E2555" t="s">
        <v>271</v>
      </c>
      <c r="F2555" t="s">
        <v>323</v>
      </c>
    </row>
    <row r="2556" spans="1:6" x14ac:dyDescent="0.25">
      <c r="A2556" t="s">
        <v>10725</v>
      </c>
      <c r="B2556" t="s">
        <v>10726</v>
      </c>
      <c r="C2556" t="s">
        <v>10727</v>
      </c>
      <c r="D2556" t="s">
        <v>3457</v>
      </c>
      <c r="E2556" t="s">
        <v>271</v>
      </c>
      <c r="F2556" t="s">
        <v>1316</v>
      </c>
    </row>
    <row r="2557" spans="1:6" x14ac:dyDescent="0.25">
      <c r="A2557" t="s">
        <v>10728</v>
      </c>
      <c r="B2557" t="s">
        <v>10729</v>
      </c>
      <c r="C2557" t="s">
        <v>10730</v>
      </c>
      <c r="D2557" t="s">
        <v>1559</v>
      </c>
      <c r="E2557" t="s">
        <v>271</v>
      </c>
      <c r="F2557" t="s">
        <v>1558</v>
      </c>
    </row>
    <row r="2558" spans="1:6" x14ac:dyDescent="0.25">
      <c r="A2558" t="s">
        <v>10731</v>
      </c>
      <c r="B2558" t="s">
        <v>10732</v>
      </c>
      <c r="C2558" t="s">
        <v>10733</v>
      </c>
      <c r="D2558" t="s">
        <v>272</v>
      </c>
      <c r="E2558" t="s">
        <v>269</v>
      </c>
      <c r="F2558" t="s">
        <v>907</v>
      </c>
    </row>
    <row r="2559" spans="1:6" x14ac:dyDescent="0.25">
      <c r="A2559" t="s">
        <v>10734</v>
      </c>
      <c r="B2559" t="s">
        <v>10735</v>
      </c>
      <c r="C2559" t="s">
        <v>10736</v>
      </c>
      <c r="D2559" t="s">
        <v>1059</v>
      </c>
      <c r="E2559" t="s">
        <v>271</v>
      </c>
      <c r="F2559" t="s">
        <v>1058</v>
      </c>
    </row>
    <row r="2560" spans="1:6" x14ac:dyDescent="0.25">
      <c r="A2560" t="s">
        <v>3570</v>
      </c>
      <c r="B2560" t="s">
        <v>3571</v>
      </c>
      <c r="C2560" t="s">
        <v>3573</v>
      </c>
      <c r="D2560" t="s">
        <v>314</v>
      </c>
      <c r="E2560" t="s">
        <v>271</v>
      </c>
      <c r="F2560" t="s">
        <v>3572</v>
      </c>
    </row>
    <row r="2561" spans="1:6" x14ac:dyDescent="0.25">
      <c r="A2561" t="s">
        <v>10737</v>
      </c>
      <c r="B2561" t="s">
        <v>10738</v>
      </c>
      <c r="C2561" t="s">
        <v>10739</v>
      </c>
      <c r="D2561" t="s">
        <v>2009</v>
      </c>
      <c r="E2561" t="s">
        <v>271</v>
      </c>
      <c r="F2561" t="s">
        <v>2008</v>
      </c>
    </row>
    <row r="2562" spans="1:6" x14ac:dyDescent="0.25">
      <c r="A2562" t="s">
        <v>10740</v>
      </c>
      <c r="B2562" t="s">
        <v>10741</v>
      </c>
      <c r="C2562" t="s">
        <v>10742</v>
      </c>
      <c r="D2562" t="s">
        <v>314</v>
      </c>
      <c r="E2562" t="s">
        <v>271</v>
      </c>
      <c r="F2562" t="s">
        <v>3081</v>
      </c>
    </row>
    <row r="2563" spans="1:6" x14ac:dyDescent="0.25">
      <c r="A2563" t="s">
        <v>10743</v>
      </c>
      <c r="B2563" t="s">
        <v>10744</v>
      </c>
      <c r="C2563" t="s">
        <v>10745</v>
      </c>
      <c r="D2563" t="s">
        <v>0</v>
      </c>
      <c r="E2563" t="s">
        <v>271</v>
      </c>
      <c r="F2563" t="s">
        <v>319</v>
      </c>
    </row>
    <row r="2564" spans="1:6" x14ac:dyDescent="0.25">
      <c r="A2564" t="s">
        <v>10746</v>
      </c>
      <c r="B2564" t="s">
        <v>10747</v>
      </c>
      <c r="C2564" t="s">
        <v>10748</v>
      </c>
      <c r="D2564" t="s">
        <v>510</v>
      </c>
      <c r="E2564" t="s">
        <v>271</v>
      </c>
      <c r="F2564" t="s">
        <v>511</v>
      </c>
    </row>
    <row r="2565" spans="1:6" x14ac:dyDescent="0.25">
      <c r="A2565" t="s">
        <v>10749</v>
      </c>
      <c r="B2565" t="s">
        <v>10750</v>
      </c>
      <c r="C2565" t="s">
        <v>10751</v>
      </c>
      <c r="D2565" t="s">
        <v>314</v>
      </c>
      <c r="E2565" t="s">
        <v>271</v>
      </c>
      <c r="F2565" t="s">
        <v>3572</v>
      </c>
    </row>
    <row r="2566" spans="1:6" x14ac:dyDescent="0.25">
      <c r="A2566" t="s">
        <v>10752</v>
      </c>
      <c r="B2566" t="s">
        <v>10753</v>
      </c>
      <c r="C2566" t="s">
        <v>10754</v>
      </c>
      <c r="D2566" t="s">
        <v>289</v>
      </c>
      <c r="E2566" t="s">
        <v>271</v>
      </c>
      <c r="F2566" t="s">
        <v>4440</v>
      </c>
    </row>
    <row r="2567" spans="1:6" x14ac:dyDescent="0.25">
      <c r="A2567" t="s">
        <v>10755</v>
      </c>
      <c r="B2567" t="s">
        <v>10756</v>
      </c>
      <c r="C2567" t="s">
        <v>10757</v>
      </c>
      <c r="D2567" t="s">
        <v>1186</v>
      </c>
      <c r="E2567" t="s">
        <v>271</v>
      </c>
      <c r="F2567" t="s">
        <v>1185</v>
      </c>
    </row>
    <row r="2568" spans="1:6" x14ac:dyDescent="0.25">
      <c r="A2568" t="s">
        <v>10758</v>
      </c>
      <c r="B2568" t="s">
        <v>10759</v>
      </c>
      <c r="C2568" t="s">
        <v>10760</v>
      </c>
      <c r="D2568" t="s">
        <v>6005</v>
      </c>
      <c r="E2568" t="s">
        <v>271</v>
      </c>
      <c r="F2568" t="s">
        <v>4399</v>
      </c>
    </row>
    <row r="2569" spans="1:6" x14ac:dyDescent="0.25">
      <c r="A2569" t="s">
        <v>10761</v>
      </c>
      <c r="B2569" t="s">
        <v>10762</v>
      </c>
      <c r="C2569" t="s">
        <v>10763</v>
      </c>
      <c r="D2569" t="s">
        <v>295</v>
      </c>
      <c r="E2569" t="s">
        <v>271</v>
      </c>
      <c r="F2569" t="s">
        <v>294</v>
      </c>
    </row>
    <row r="2570" spans="1:6" x14ac:dyDescent="0.25">
      <c r="A2570" t="s">
        <v>10764</v>
      </c>
      <c r="B2570" t="s">
        <v>10765</v>
      </c>
      <c r="C2570" t="s">
        <v>10766</v>
      </c>
      <c r="D2570" t="s">
        <v>586</v>
      </c>
      <c r="E2570" t="s">
        <v>271</v>
      </c>
      <c r="F2570" t="s">
        <v>334</v>
      </c>
    </row>
    <row r="2571" spans="1:6" x14ac:dyDescent="0.25">
      <c r="A2571" t="s">
        <v>10767</v>
      </c>
      <c r="B2571" t="s">
        <v>10768</v>
      </c>
      <c r="C2571" t="s">
        <v>10769</v>
      </c>
      <c r="D2571" t="s">
        <v>2578</v>
      </c>
      <c r="E2571" t="s">
        <v>271</v>
      </c>
      <c r="F2571" t="s">
        <v>2577</v>
      </c>
    </row>
    <row r="2572" spans="1:6" x14ac:dyDescent="0.25">
      <c r="A2572" t="s">
        <v>10770</v>
      </c>
      <c r="B2572" t="s">
        <v>10771</v>
      </c>
      <c r="C2572" t="s">
        <v>10772</v>
      </c>
      <c r="D2572" t="s">
        <v>0</v>
      </c>
      <c r="E2572" t="s">
        <v>271</v>
      </c>
      <c r="F2572" t="s">
        <v>562</v>
      </c>
    </row>
    <row r="2573" spans="1:6" x14ac:dyDescent="0.25">
      <c r="A2573" t="s">
        <v>10773</v>
      </c>
      <c r="B2573" t="s">
        <v>10774</v>
      </c>
      <c r="C2573" t="s">
        <v>10775</v>
      </c>
      <c r="D2573" t="s">
        <v>0</v>
      </c>
      <c r="E2573" t="s">
        <v>271</v>
      </c>
      <c r="F2573" t="s">
        <v>319</v>
      </c>
    </row>
    <row r="2574" spans="1:6" x14ac:dyDescent="0.25">
      <c r="A2574" t="s">
        <v>10776</v>
      </c>
      <c r="B2574" t="s">
        <v>10777</v>
      </c>
      <c r="C2574" t="s">
        <v>10778</v>
      </c>
      <c r="D2574" t="s">
        <v>0</v>
      </c>
      <c r="E2574" t="s">
        <v>271</v>
      </c>
      <c r="F2574" t="s">
        <v>323</v>
      </c>
    </row>
    <row r="2575" spans="1:6" x14ac:dyDescent="0.25">
      <c r="A2575" t="s">
        <v>2817</v>
      </c>
      <c r="B2575" t="s">
        <v>2818</v>
      </c>
      <c r="C2575" t="s">
        <v>2819</v>
      </c>
      <c r="D2575" t="s">
        <v>222</v>
      </c>
      <c r="E2575" t="s">
        <v>271</v>
      </c>
      <c r="F2575" t="s">
        <v>313</v>
      </c>
    </row>
    <row r="2576" spans="1:6" x14ac:dyDescent="0.25">
      <c r="A2576" t="s">
        <v>2127</v>
      </c>
      <c r="B2576" t="s">
        <v>2128</v>
      </c>
      <c r="C2576" t="s">
        <v>2129</v>
      </c>
      <c r="D2576" t="s">
        <v>222</v>
      </c>
      <c r="E2576" t="s">
        <v>271</v>
      </c>
      <c r="F2576" t="s">
        <v>313</v>
      </c>
    </row>
    <row r="2577" spans="1:6" x14ac:dyDescent="0.25">
      <c r="A2577" t="s">
        <v>10779</v>
      </c>
      <c r="B2577" t="s">
        <v>10780</v>
      </c>
      <c r="C2577" t="s">
        <v>10577</v>
      </c>
      <c r="D2577" t="s">
        <v>0</v>
      </c>
      <c r="E2577" t="s">
        <v>271</v>
      </c>
      <c r="F2577" t="s">
        <v>1321</v>
      </c>
    </row>
    <row r="2578" spans="1:6" x14ac:dyDescent="0.25">
      <c r="A2578" t="s">
        <v>10781</v>
      </c>
      <c r="B2578" t="s">
        <v>10782</v>
      </c>
      <c r="C2578" t="s">
        <v>10783</v>
      </c>
      <c r="D2578" t="s">
        <v>822</v>
      </c>
      <c r="E2578" t="s">
        <v>269</v>
      </c>
      <c r="F2578" t="s">
        <v>821</v>
      </c>
    </row>
    <row r="2579" spans="1:6" x14ac:dyDescent="0.25">
      <c r="A2579" t="s">
        <v>10784</v>
      </c>
      <c r="B2579" t="s">
        <v>10785</v>
      </c>
      <c r="C2579" t="s">
        <v>10786</v>
      </c>
      <c r="D2579" t="s">
        <v>289</v>
      </c>
      <c r="E2579" t="s">
        <v>271</v>
      </c>
      <c r="F2579" t="s">
        <v>10787</v>
      </c>
    </row>
    <row r="2580" spans="1:6" x14ac:dyDescent="0.25">
      <c r="A2580" t="s">
        <v>10788</v>
      </c>
      <c r="B2580" t="s">
        <v>10789</v>
      </c>
      <c r="C2580" t="s">
        <v>10790</v>
      </c>
      <c r="D2580" t="s">
        <v>1413</v>
      </c>
      <c r="E2580" t="s">
        <v>271</v>
      </c>
      <c r="F2580" t="s">
        <v>1412</v>
      </c>
    </row>
    <row r="2581" spans="1:6" x14ac:dyDescent="0.25">
      <c r="A2581" t="s">
        <v>10791</v>
      </c>
      <c r="B2581" t="s">
        <v>10792</v>
      </c>
      <c r="C2581" t="s">
        <v>10793</v>
      </c>
      <c r="D2581" t="s">
        <v>616</v>
      </c>
      <c r="E2581" t="s">
        <v>271</v>
      </c>
      <c r="F2581" t="s">
        <v>333</v>
      </c>
    </row>
    <row r="2582" spans="1:6" x14ac:dyDescent="0.25">
      <c r="A2582" t="s">
        <v>10794</v>
      </c>
      <c r="B2582" t="s">
        <v>10795</v>
      </c>
      <c r="C2582" t="s">
        <v>10796</v>
      </c>
      <c r="D2582" t="s">
        <v>0</v>
      </c>
      <c r="E2582" t="s">
        <v>271</v>
      </c>
      <c r="F2582" t="s">
        <v>319</v>
      </c>
    </row>
    <row r="2583" spans="1:6" x14ac:dyDescent="0.25">
      <c r="A2583" t="s">
        <v>10797</v>
      </c>
      <c r="B2583" t="s">
        <v>10798</v>
      </c>
      <c r="C2583" t="s">
        <v>10799</v>
      </c>
      <c r="D2583" t="s">
        <v>0</v>
      </c>
      <c r="E2583" t="s">
        <v>271</v>
      </c>
      <c r="F2583" t="s">
        <v>436</v>
      </c>
    </row>
    <row r="2584" spans="1:6" x14ac:dyDescent="0.25">
      <c r="A2584" t="s">
        <v>10800</v>
      </c>
      <c r="B2584" t="s">
        <v>10801</v>
      </c>
      <c r="C2584" t="s">
        <v>10802</v>
      </c>
      <c r="D2584" t="s">
        <v>1126</v>
      </c>
      <c r="E2584" t="s">
        <v>271</v>
      </c>
      <c r="F2584" t="s">
        <v>1125</v>
      </c>
    </row>
    <row r="2585" spans="1:6" x14ac:dyDescent="0.25">
      <c r="A2585" t="s">
        <v>10803</v>
      </c>
      <c r="B2585" t="s">
        <v>10804</v>
      </c>
      <c r="C2585" t="s">
        <v>10805</v>
      </c>
      <c r="D2585" t="s">
        <v>2493</v>
      </c>
      <c r="E2585" t="s">
        <v>271</v>
      </c>
      <c r="F2585" t="s">
        <v>2492</v>
      </c>
    </row>
    <row r="2586" spans="1:6" x14ac:dyDescent="0.25">
      <c r="A2586" t="s">
        <v>10806</v>
      </c>
      <c r="B2586" t="s">
        <v>10807</v>
      </c>
      <c r="C2586" t="s">
        <v>10808</v>
      </c>
      <c r="D2586" t="s">
        <v>314</v>
      </c>
      <c r="E2586" t="s">
        <v>271</v>
      </c>
      <c r="F2586" t="s">
        <v>370</v>
      </c>
    </row>
    <row r="2587" spans="1:6" x14ac:dyDescent="0.25">
      <c r="A2587" t="s">
        <v>10809</v>
      </c>
      <c r="B2587" t="s">
        <v>10810</v>
      </c>
      <c r="C2587" t="s">
        <v>10811</v>
      </c>
      <c r="D2587" t="s">
        <v>0</v>
      </c>
      <c r="E2587" t="s">
        <v>271</v>
      </c>
      <c r="F2587" t="s">
        <v>319</v>
      </c>
    </row>
    <row r="2588" spans="1:6" x14ac:dyDescent="0.25">
      <c r="A2588" t="s">
        <v>10812</v>
      </c>
      <c r="B2588" t="s">
        <v>10813</v>
      </c>
      <c r="C2588" t="s">
        <v>10814</v>
      </c>
      <c r="D2588" t="s">
        <v>0</v>
      </c>
      <c r="E2588" t="s">
        <v>271</v>
      </c>
      <c r="F2588" t="s">
        <v>436</v>
      </c>
    </row>
    <row r="2589" spans="1:6" x14ac:dyDescent="0.25">
      <c r="A2589" t="s">
        <v>10815</v>
      </c>
      <c r="B2589" t="s">
        <v>10816</v>
      </c>
      <c r="C2589" t="s">
        <v>10056</v>
      </c>
      <c r="D2589" t="s">
        <v>598</v>
      </c>
      <c r="E2589" t="s">
        <v>271</v>
      </c>
      <c r="F2589" t="s">
        <v>599</v>
      </c>
    </row>
    <row r="2590" spans="1:6" x14ac:dyDescent="0.25">
      <c r="A2590" t="s">
        <v>2225</v>
      </c>
      <c r="B2590" t="s">
        <v>2226</v>
      </c>
      <c r="C2590" t="s">
        <v>2227</v>
      </c>
      <c r="D2590" t="s">
        <v>0</v>
      </c>
      <c r="E2590" t="s">
        <v>271</v>
      </c>
      <c r="F2590" t="s">
        <v>1148</v>
      </c>
    </row>
    <row r="2591" spans="1:6" x14ac:dyDescent="0.25">
      <c r="A2591" t="s">
        <v>10817</v>
      </c>
      <c r="B2591" t="s">
        <v>10818</v>
      </c>
      <c r="C2591" t="s">
        <v>10819</v>
      </c>
      <c r="D2591" t="s">
        <v>0</v>
      </c>
      <c r="E2591" t="s">
        <v>271</v>
      </c>
      <c r="F2591" t="s">
        <v>1115</v>
      </c>
    </row>
    <row r="2592" spans="1:6" x14ac:dyDescent="0.25">
      <c r="A2592" t="s">
        <v>10820</v>
      </c>
      <c r="B2592" t="s">
        <v>10821</v>
      </c>
      <c r="C2592" t="s">
        <v>10822</v>
      </c>
      <c r="D2592" t="s">
        <v>0</v>
      </c>
      <c r="E2592" t="s">
        <v>271</v>
      </c>
      <c r="F2592" t="s">
        <v>323</v>
      </c>
    </row>
    <row r="2593" spans="1:6" x14ac:dyDescent="0.25">
      <c r="A2593" t="s">
        <v>2155</v>
      </c>
      <c r="B2593" t="s">
        <v>2156</v>
      </c>
      <c r="C2593" t="s">
        <v>2159</v>
      </c>
      <c r="D2593" t="s">
        <v>2158</v>
      </c>
      <c r="E2593" t="s">
        <v>269</v>
      </c>
      <c r="F2593" t="s">
        <v>2157</v>
      </c>
    </row>
    <row r="2594" spans="1:6" x14ac:dyDescent="0.25">
      <c r="A2594" t="s">
        <v>10823</v>
      </c>
      <c r="B2594" t="s">
        <v>10824</v>
      </c>
      <c r="C2594" t="s">
        <v>10825</v>
      </c>
      <c r="D2594" t="s">
        <v>584</v>
      </c>
      <c r="E2594" t="s">
        <v>271</v>
      </c>
      <c r="F2594" t="s">
        <v>585</v>
      </c>
    </row>
    <row r="2595" spans="1:6" x14ac:dyDescent="0.25">
      <c r="A2595" t="s">
        <v>10826</v>
      </c>
      <c r="B2595" t="s">
        <v>10827</v>
      </c>
      <c r="C2595" t="s">
        <v>10828</v>
      </c>
      <c r="D2595" t="s">
        <v>0</v>
      </c>
      <c r="E2595" t="s">
        <v>271</v>
      </c>
      <c r="F2595" t="s">
        <v>1321</v>
      </c>
    </row>
    <row r="2596" spans="1:6" x14ac:dyDescent="0.25">
      <c r="A2596" t="s">
        <v>10829</v>
      </c>
      <c r="B2596" t="s">
        <v>10830</v>
      </c>
      <c r="C2596" t="s">
        <v>10831</v>
      </c>
      <c r="D2596" t="s">
        <v>0</v>
      </c>
      <c r="E2596" t="s">
        <v>271</v>
      </c>
      <c r="F2596" t="s">
        <v>325</v>
      </c>
    </row>
    <row r="2597" spans="1:6" x14ac:dyDescent="0.25">
      <c r="A2597" t="s">
        <v>10832</v>
      </c>
      <c r="B2597" t="s">
        <v>10833</v>
      </c>
      <c r="C2597" t="s">
        <v>10834</v>
      </c>
      <c r="D2597" t="s">
        <v>0</v>
      </c>
      <c r="E2597" t="s">
        <v>271</v>
      </c>
      <c r="F2597" t="s">
        <v>1011</v>
      </c>
    </row>
    <row r="2598" spans="1:6" x14ac:dyDescent="0.25">
      <c r="A2598" t="s">
        <v>2003</v>
      </c>
      <c r="B2598" t="s">
        <v>2004</v>
      </c>
      <c r="C2598" t="s">
        <v>2005</v>
      </c>
      <c r="D2598" t="s">
        <v>1665</v>
      </c>
      <c r="E2598" t="s">
        <v>271</v>
      </c>
      <c r="F2598" t="s">
        <v>1664</v>
      </c>
    </row>
    <row r="2599" spans="1:6" x14ac:dyDescent="0.25">
      <c r="A2599" t="s">
        <v>10835</v>
      </c>
      <c r="B2599" t="s">
        <v>10836</v>
      </c>
      <c r="C2599" t="s">
        <v>10837</v>
      </c>
      <c r="D2599" t="s">
        <v>2116</v>
      </c>
      <c r="E2599" t="s">
        <v>271</v>
      </c>
      <c r="F2599" t="s">
        <v>2115</v>
      </c>
    </row>
    <row r="2600" spans="1:6" x14ac:dyDescent="0.25">
      <c r="A2600" t="s">
        <v>10838</v>
      </c>
      <c r="B2600" t="s">
        <v>10839</v>
      </c>
      <c r="C2600" t="s">
        <v>10840</v>
      </c>
      <c r="D2600" t="s">
        <v>314</v>
      </c>
      <c r="E2600" t="s">
        <v>271</v>
      </c>
      <c r="F2600" t="s">
        <v>370</v>
      </c>
    </row>
    <row r="2601" spans="1:6" x14ac:dyDescent="0.25">
      <c r="A2601" t="s">
        <v>10841</v>
      </c>
      <c r="B2601" t="s">
        <v>10842</v>
      </c>
      <c r="C2601" t="s">
        <v>10843</v>
      </c>
      <c r="D2601" t="s">
        <v>0</v>
      </c>
      <c r="E2601" t="s">
        <v>271</v>
      </c>
      <c r="F2601" t="s">
        <v>436</v>
      </c>
    </row>
    <row r="2602" spans="1:6" x14ac:dyDescent="0.25">
      <c r="A2602" t="s">
        <v>10844</v>
      </c>
      <c r="B2602" t="s">
        <v>10845</v>
      </c>
      <c r="C2602" t="s">
        <v>10846</v>
      </c>
      <c r="D2602" t="s">
        <v>0</v>
      </c>
      <c r="E2602" t="s">
        <v>271</v>
      </c>
      <c r="F2602" t="s">
        <v>436</v>
      </c>
    </row>
    <row r="2603" spans="1:6" x14ac:dyDescent="0.25">
      <c r="A2603" t="s">
        <v>10847</v>
      </c>
      <c r="B2603" t="s">
        <v>10848</v>
      </c>
      <c r="C2603" t="s">
        <v>10849</v>
      </c>
      <c r="D2603" t="s">
        <v>7627</v>
      </c>
      <c r="E2603" t="s">
        <v>269</v>
      </c>
      <c r="F2603" t="s">
        <v>7628</v>
      </c>
    </row>
    <row r="2604" spans="1:6" x14ac:dyDescent="0.25">
      <c r="A2604" t="s">
        <v>10850</v>
      </c>
      <c r="B2604" t="s">
        <v>10851</v>
      </c>
      <c r="C2604" t="s">
        <v>10852</v>
      </c>
      <c r="D2604" t="s">
        <v>409</v>
      </c>
      <c r="E2604" t="s">
        <v>341</v>
      </c>
      <c r="F2604" t="s">
        <v>414</v>
      </c>
    </row>
    <row r="2605" spans="1:6" x14ac:dyDescent="0.25">
      <c r="A2605" t="s">
        <v>10853</v>
      </c>
      <c r="B2605" t="s">
        <v>10854</v>
      </c>
      <c r="C2605" t="s">
        <v>10855</v>
      </c>
      <c r="D2605" t="s">
        <v>482</v>
      </c>
      <c r="E2605" t="s">
        <v>271</v>
      </c>
      <c r="F2605" t="s">
        <v>483</v>
      </c>
    </row>
    <row r="2606" spans="1:6" x14ac:dyDescent="0.25">
      <c r="A2606" t="s">
        <v>10856</v>
      </c>
      <c r="B2606" t="s">
        <v>10857</v>
      </c>
      <c r="C2606" t="s">
        <v>10858</v>
      </c>
      <c r="D2606" t="s">
        <v>916</v>
      </c>
      <c r="E2606" t="s">
        <v>271</v>
      </c>
      <c r="F2606" t="s">
        <v>915</v>
      </c>
    </row>
    <row r="2607" spans="1:6" x14ac:dyDescent="0.25">
      <c r="A2607" t="s">
        <v>10859</v>
      </c>
      <c r="B2607" t="s">
        <v>10860</v>
      </c>
      <c r="C2607" t="s">
        <v>10861</v>
      </c>
      <c r="D2607" t="s">
        <v>1958</v>
      </c>
      <c r="E2607" t="s">
        <v>271</v>
      </c>
      <c r="F2607" t="s">
        <v>1957</v>
      </c>
    </row>
    <row r="2608" spans="1:6" x14ac:dyDescent="0.25">
      <c r="A2608" t="s">
        <v>3501</v>
      </c>
      <c r="B2608" t="s">
        <v>3502</v>
      </c>
      <c r="C2608" t="s">
        <v>3503</v>
      </c>
      <c r="D2608" t="s">
        <v>742</v>
      </c>
      <c r="E2608" t="s">
        <v>271</v>
      </c>
      <c r="F2608" t="s">
        <v>741</v>
      </c>
    </row>
    <row r="2609" spans="1:6" x14ac:dyDescent="0.25">
      <c r="A2609" t="s">
        <v>10862</v>
      </c>
      <c r="B2609" t="s">
        <v>10863</v>
      </c>
      <c r="C2609" t="s">
        <v>10864</v>
      </c>
      <c r="D2609" t="s">
        <v>239</v>
      </c>
      <c r="E2609" t="s">
        <v>271</v>
      </c>
      <c r="F2609" t="s">
        <v>544</v>
      </c>
    </row>
    <row r="2610" spans="1:6" x14ac:dyDescent="0.25">
      <c r="A2610" t="s">
        <v>1294</v>
      </c>
      <c r="B2610" t="s">
        <v>1295</v>
      </c>
      <c r="C2610" t="s">
        <v>1298</v>
      </c>
      <c r="D2610" t="s">
        <v>1297</v>
      </c>
      <c r="E2610" t="s">
        <v>271</v>
      </c>
      <c r="F2610" t="s">
        <v>996</v>
      </c>
    </row>
    <row r="2611" spans="1:6" x14ac:dyDescent="0.25">
      <c r="A2611" t="s">
        <v>10865</v>
      </c>
      <c r="B2611" t="s">
        <v>10866</v>
      </c>
      <c r="C2611" t="s">
        <v>10867</v>
      </c>
      <c r="D2611" t="s">
        <v>835</v>
      </c>
      <c r="E2611" t="s">
        <v>269</v>
      </c>
      <c r="F2611" t="s">
        <v>834</v>
      </c>
    </row>
    <row r="2612" spans="1:6" x14ac:dyDescent="0.25">
      <c r="A2612" t="s">
        <v>3589</v>
      </c>
      <c r="B2612" t="s">
        <v>3590</v>
      </c>
      <c r="C2612" t="s">
        <v>3591</v>
      </c>
      <c r="D2612" t="s">
        <v>0</v>
      </c>
      <c r="E2612" t="s">
        <v>271</v>
      </c>
      <c r="F2612" t="s">
        <v>881</v>
      </c>
    </row>
    <row r="2613" spans="1:6" x14ac:dyDescent="0.25">
      <c r="A2613" t="s">
        <v>10868</v>
      </c>
      <c r="B2613" t="s">
        <v>10869</v>
      </c>
      <c r="C2613" t="s">
        <v>10870</v>
      </c>
      <c r="D2613" t="s">
        <v>0</v>
      </c>
      <c r="E2613" t="s">
        <v>271</v>
      </c>
      <c r="F2613" t="s">
        <v>436</v>
      </c>
    </row>
    <row r="2614" spans="1:6" x14ac:dyDescent="0.25">
      <c r="A2614" t="s">
        <v>10871</v>
      </c>
      <c r="B2614" t="s">
        <v>10872</v>
      </c>
      <c r="C2614" t="s">
        <v>10873</v>
      </c>
      <c r="D2614" t="s">
        <v>510</v>
      </c>
      <c r="E2614" t="s">
        <v>271</v>
      </c>
      <c r="F2614" t="s">
        <v>852</v>
      </c>
    </row>
    <row r="2615" spans="1:6" x14ac:dyDescent="0.25">
      <c r="A2615" t="s">
        <v>10874</v>
      </c>
      <c r="B2615" t="s">
        <v>10875</v>
      </c>
      <c r="C2615" t="s">
        <v>10876</v>
      </c>
      <c r="D2615" t="s">
        <v>0</v>
      </c>
      <c r="E2615" t="s">
        <v>271</v>
      </c>
      <c r="F2615" t="s">
        <v>531</v>
      </c>
    </row>
    <row r="2616" spans="1:6" x14ac:dyDescent="0.25">
      <c r="A2616" t="s">
        <v>10877</v>
      </c>
      <c r="B2616" t="s">
        <v>10878</v>
      </c>
      <c r="C2616" t="s">
        <v>10879</v>
      </c>
      <c r="D2616" t="s">
        <v>4089</v>
      </c>
      <c r="E2616" t="s">
        <v>271</v>
      </c>
      <c r="F2616" t="s">
        <v>480</v>
      </c>
    </row>
    <row r="2617" spans="1:6" x14ac:dyDescent="0.25">
      <c r="A2617" t="s">
        <v>10880</v>
      </c>
      <c r="B2617" t="s">
        <v>10881</v>
      </c>
      <c r="C2617" t="s">
        <v>10882</v>
      </c>
      <c r="D2617" t="s">
        <v>361</v>
      </c>
      <c r="E2617" t="s">
        <v>271</v>
      </c>
      <c r="F2617" t="s">
        <v>582</v>
      </c>
    </row>
    <row r="2618" spans="1:6" x14ac:dyDescent="0.25">
      <c r="A2618" t="s">
        <v>2369</v>
      </c>
      <c r="B2618" t="s">
        <v>2370</v>
      </c>
      <c r="C2618" t="s">
        <v>2371</v>
      </c>
      <c r="D2618" t="s">
        <v>1542</v>
      </c>
      <c r="E2618" t="s">
        <v>269</v>
      </c>
      <c r="F2618" t="s">
        <v>1541</v>
      </c>
    </row>
    <row r="2619" spans="1:6" x14ac:dyDescent="0.25">
      <c r="A2619" t="s">
        <v>10883</v>
      </c>
      <c r="B2619" t="s">
        <v>10884</v>
      </c>
      <c r="C2619" t="s">
        <v>10885</v>
      </c>
      <c r="D2619" t="s">
        <v>361</v>
      </c>
      <c r="E2619" t="s">
        <v>271</v>
      </c>
      <c r="F2619" t="s">
        <v>1563</v>
      </c>
    </row>
    <row r="2620" spans="1:6" x14ac:dyDescent="0.25">
      <c r="A2620" t="s">
        <v>10886</v>
      </c>
      <c r="B2620" t="s">
        <v>10887</v>
      </c>
      <c r="C2620" t="s">
        <v>10888</v>
      </c>
      <c r="D2620" t="s">
        <v>2488</v>
      </c>
      <c r="E2620" t="s">
        <v>269</v>
      </c>
      <c r="F2620" t="s">
        <v>2487</v>
      </c>
    </row>
    <row r="2621" spans="1:6" x14ac:dyDescent="0.25">
      <c r="A2621" t="s">
        <v>10889</v>
      </c>
      <c r="B2621" t="s">
        <v>10890</v>
      </c>
      <c r="C2621" t="s">
        <v>10891</v>
      </c>
      <c r="D2621" t="s">
        <v>361</v>
      </c>
      <c r="E2621" t="s">
        <v>271</v>
      </c>
      <c r="F2621" t="s">
        <v>582</v>
      </c>
    </row>
    <row r="2622" spans="1:6" x14ac:dyDescent="0.25">
      <c r="A2622" t="s">
        <v>10892</v>
      </c>
      <c r="B2622" t="s">
        <v>10893</v>
      </c>
      <c r="C2622" t="s">
        <v>10894</v>
      </c>
      <c r="D2622" t="s">
        <v>223</v>
      </c>
      <c r="E2622" t="s">
        <v>271</v>
      </c>
      <c r="F2622" t="s">
        <v>478</v>
      </c>
    </row>
    <row r="2623" spans="1:6" x14ac:dyDescent="0.25">
      <c r="A2623" t="s">
        <v>10895</v>
      </c>
      <c r="B2623" t="s">
        <v>10896</v>
      </c>
      <c r="C2623" t="s">
        <v>10897</v>
      </c>
      <c r="D2623" t="s">
        <v>340</v>
      </c>
      <c r="E2623" t="s">
        <v>271</v>
      </c>
      <c r="F2623" t="s">
        <v>317</v>
      </c>
    </row>
    <row r="2624" spans="1:6" x14ac:dyDescent="0.25">
      <c r="A2624" t="s">
        <v>10898</v>
      </c>
      <c r="B2624" t="s">
        <v>10899</v>
      </c>
      <c r="C2624" t="s">
        <v>10900</v>
      </c>
      <c r="D2624" t="s">
        <v>0</v>
      </c>
      <c r="E2624" t="s">
        <v>271</v>
      </c>
      <c r="F2624" t="s">
        <v>355</v>
      </c>
    </row>
    <row r="2625" spans="1:6" x14ac:dyDescent="0.25">
      <c r="A2625" t="s">
        <v>10901</v>
      </c>
      <c r="B2625" t="s">
        <v>10902</v>
      </c>
      <c r="C2625" t="s">
        <v>10903</v>
      </c>
      <c r="D2625" t="s">
        <v>0</v>
      </c>
      <c r="E2625" t="s">
        <v>271</v>
      </c>
      <c r="F2625" t="s">
        <v>3740</v>
      </c>
    </row>
    <row r="2626" spans="1:6" x14ac:dyDescent="0.25">
      <c r="A2626" t="s">
        <v>10904</v>
      </c>
      <c r="B2626" t="s">
        <v>10905</v>
      </c>
      <c r="C2626" t="s">
        <v>10906</v>
      </c>
      <c r="D2626" t="s">
        <v>9299</v>
      </c>
      <c r="E2626" t="s">
        <v>269</v>
      </c>
      <c r="F2626" t="s">
        <v>10907</v>
      </c>
    </row>
    <row r="2627" spans="1:6" x14ac:dyDescent="0.25">
      <c r="A2627" t="s">
        <v>10908</v>
      </c>
      <c r="B2627" t="s">
        <v>7353</v>
      </c>
      <c r="C2627" t="s">
        <v>10909</v>
      </c>
      <c r="D2627" t="s">
        <v>0</v>
      </c>
      <c r="E2627" t="s">
        <v>271</v>
      </c>
      <c r="F2627" t="s">
        <v>1180</v>
      </c>
    </row>
    <row r="2628" spans="1:6" x14ac:dyDescent="0.25">
      <c r="A2628" t="s">
        <v>10910</v>
      </c>
      <c r="B2628" t="s">
        <v>10911</v>
      </c>
      <c r="C2628" t="s">
        <v>10912</v>
      </c>
      <c r="D2628" t="s">
        <v>651</v>
      </c>
      <c r="E2628" t="s">
        <v>271</v>
      </c>
      <c r="F2628" t="s">
        <v>650</v>
      </c>
    </row>
    <row r="2629" spans="1:6" x14ac:dyDescent="0.25">
      <c r="A2629" t="s">
        <v>10913</v>
      </c>
      <c r="B2629" t="s">
        <v>10914</v>
      </c>
      <c r="C2629" t="s">
        <v>10915</v>
      </c>
      <c r="D2629" t="s">
        <v>845</v>
      </c>
      <c r="E2629" t="s">
        <v>271</v>
      </c>
      <c r="F2629" t="s">
        <v>844</v>
      </c>
    </row>
    <row r="2630" spans="1:6" x14ac:dyDescent="0.25">
      <c r="A2630" t="s">
        <v>10916</v>
      </c>
      <c r="B2630" t="s">
        <v>10917</v>
      </c>
      <c r="C2630" t="s">
        <v>10918</v>
      </c>
      <c r="D2630" t="s">
        <v>1683</v>
      </c>
      <c r="E2630" t="s">
        <v>271</v>
      </c>
      <c r="F2630" t="s">
        <v>996</v>
      </c>
    </row>
    <row r="2631" spans="1:6" x14ac:dyDescent="0.25">
      <c r="A2631" t="s">
        <v>10919</v>
      </c>
      <c r="B2631" t="s">
        <v>10920</v>
      </c>
      <c r="C2631" t="s">
        <v>10921</v>
      </c>
      <c r="D2631" t="s">
        <v>0</v>
      </c>
      <c r="E2631" t="s">
        <v>271</v>
      </c>
      <c r="F2631" t="s">
        <v>323</v>
      </c>
    </row>
    <row r="2632" spans="1:6" x14ac:dyDescent="0.25">
      <c r="A2632" t="s">
        <v>10922</v>
      </c>
      <c r="B2632" t="s">
        <v>10923</v>
      </c>
      <c r="C2632" t="s">
        <v>10924</v>
      </c>
      <c r="D2632" t="s">
        <v>1027</v>
      </c>
      <c r="E2632" t="s">
        <v>271</v>
      </c>
      <c r="F2632" t="s">
        <v>1026</v>
      </c>
    </row>
    <row r="2633" spans="1:6" x14ac:dyDescent="0.25">
      <c r="A2633" t="s">
        <v>10925</v>
      </c>
      <c r="B2633" t="s">
        <v>10926</v>
      </c>
      <c r="C2633" t="s">
        <v>10927</v>
      </c>
      <c r="D2633" t="s">
        <v>0</v>
      </c>
      <c r="E2633" t="s">
        <v>271</v>
      </c>
      <c r="F2633" t="s">
        <v>1591</v>
      </c>
    </row>
    <row r="2634" spans="1:6" x14ac:dyDescent="0.25">
      <c r="A2634" t="s">
        <v>10928</v>
      </c>
      <c r="B2634" t="s">
        <v>10929</v>
      </c>
      <c r="C2634" t="s">
        <v>10930</v>
      </c>
      <c r="D2634" t="s">
        <v>0</v>
      </c>
      <c r="E2634" t="s">
        <v>271</v>
      </c>
      <c r="F2634" t="s">
        <v>881</v>
      </c>
    </row>
    <row r="2635" spans="1:6" x14ac:dyDescent="0.25">
      <c r="A2635" t="s">
        <v>10931</v>
      </c>
      <c r="B2635" t="s">
        <v>10932</v>
      </c>
      <c r="C2635" t="s">
        <v>10933</v>
      </c>
      <c r="D2635" t="s">
        <v>0</v>
      </c>
      <c r="E2635" t="s">
        <v>271</v>
      </c>
      <c r="F2635" t="s">
        <v>1180</v>
      </c>
    </row>
    <row r="2636" spans="1:6" x14ac:dyDescent="0.25">
      <c r="A2636" t="s">
        <v>3321</v>
      </c>
      <c r="B2636" t="s">
        <v>3322</v>
      </c>
      <c r="C2636" t="s">
        <v>3323</v>
      </c>
      <c r="D2636" t="s">
        <v>0</v>
      </c>
      <c r="E2636" t="s">
        <v>271</v>
      </c>
      <c r="F2636" t="s">
        <v>562</v>
      </c>
    </row>
    <row r="2637" spans="1:6" x14ac:dyDescent="0.25">
      <c r="A2637" t="s">
        <v>1611</v>
      </c>
      <c r="B2637" t="s">
        <v>1612</v>
      </c>
      <c r="C2637" t="s">
        <v>1613</v>
      </c>
      <c r="D2637" t="s">
        <v>699</v>
      </c>
      <c r="E2637" t="s">
        <v>269</v>
      </c>
      <c r="F2637" t="s">
        <v>698</v>
      </c>
    </row>
    <row r="2638" spans="1:6" x14ac:dyDescent="0.25">
      <c r="A2638" t="s">
        <v>10934</v>
      </c>
      <c r="B2638" t="s">
        <v>10935</v>
      </c>
      <c r="C2638" t="s">
        <v>10936</v>
      </c>
      <c r="D2638" t="s">
        <v>822</v>
      </c>
      <c r="E2638" t="s">
        <v>269</v>
      </c>
      <c r="F2638" t="s">
        <v>821</v>
      </c>
    </row>
    <row r="2639" spans="1:6" x14ac:dyDescent="0.25">
      <c r="A2639" t="s">
        <v>10937</v>
      </c>
      <c r="B2639" t="s">
        <v>10938</v>
      </c>
      <c r="C2639" t="s">
        <v>10939</v>
      </c>
      <c r="D2639" t="s">
        <v>1361</v>
      </c>
      <c r="E2639" t="s">
        <v>271</v>
      </c>
      <c r="F2639" t="s">
        <v>2260</v>
      </c>
    </row>
    <row r="2640" spans="1:6" x14ac:dyDescent="0.25">
      <c r="A2640" t="s">
        <v>10940</v>
      </c>
      <c r="B2640" t="s">
        <v>10941</v>
      </c>
      <c r="C2640" t="s">
        <v>2324</v>
      </c>
      <c r="D2640" t="s">
        <v>1165</v>
      </c>
      <c r="E2640" t="s">
        <v>271</v>
      </c>
      <c r="F2640" t="s">
        <v>1164</v>
      </c>
    </row>
    <row r="2641" spans="1:6" x14ac:dyDescent="0.25">
      <c r="A2641" t="s">
        <v>10942</v>
      </c>
      <c r="B2641" t="s">
        <v>10943</v>
      </c>
      <c r="C2641" t="s">
        <v>10646</v>
      </c>
      <c r="D2641" t="s">
        <v>8047</v>
      </c>
      <c r="E2641" t="s">
        <v>271</v>
      </c>
      <c r="F2641" t="s">
        <v>3830</v>
      </c>
    </row>
    <row r="2642" spans="1:6" x14ac:dyDescent="0.25">
      <c r="A2642" t="s">
        <v>10944</v>
      </c>
      <c r="B2642" t="s">
        <v>10945</v>
      </c>
      <c r="C2642" t="s">
        <v>8627</v>
      </c>
      <c r="D2642" t="s">
        <v>1126</v>
      </c>
      <c r="E2642" t="s">
        <v>271</v>
      </c>
      <c r="F2642" t="s">
        <v>1125</v>
      </c>
    </row>
    <row r="2643" spans="1:6" x14ac:dyDescent="0.25">
      <c r="A2643" t="s">
        <v>10946</v>
      </c>
      <c r="B2643" t="s">
        <v>10947</v>
      </c>
      <c r="C2643" t="s">
        <v>10948</v>
      </c>
      <c r="D2643" t="s">
        <v>967</v>
      </c>
      <c r="E2643" t="s">
        <v>271</v>
      </c>
      <c r="F2643" t="s">
        <v>966</v>
      </c>
    </row>
    <row r="2644" spans="1:6" x14ac:dyDescent="0.25">
      <c r="A2644" t="s">
        <v>10949</v>
      </c>
      <c r="B2644" t="s">
        <v>10950</v>
      </c>
      <c r="C2644" t="s">
        <v>10951</v>
      </c>
      <c r="D2644" t="s">
        <v>0</v>
      </c>
      <c r="E2644" t="s">
        <v>271</v>
      </c>
      <c r="F2644" t="s">
        <v>562</v>
      </c>
    </row>
    <row r="2645" spans="1:6" x14ac:dyDescent="0.25">
      <c r="A2645" t="s">
        <v>10952</v>
      </c>
      <c r="B2645" t="s">
        <v>10953</v>
      </c>
      <c r="C2645" t="s">
        <v>10954</v>
      </c>
      <c r="D2645" t="s">
        <v>0</v>
      </c>
      <c r="E2645" t="s">
        <v>271</v>
      </c>
      <c r="F2645" t="s">
        <v>562</v>
      </c>
    </row>
    <row r="2646" spans="1:6" x14ac:dyDescent="0.25">
      <c r="A2646" t="s">
        <v>10955</v>
      </c>
      <c r="B2646" t="s">
        <v>10956</v>
      </c>
      <c r="C2646" t="s">
        <v>10957</v>
      </c>
      <c r="D2646" t="s">
        <v>1925</v>
      </c>
      <c r="E2646" t="s">
        <v>271</v>
      </c>
      <c r="F2646" t="s">
        <v>1924</v>
      </c>
    </row>
    <row r="2647" spans="1:6" x14ac:dyDescent="0.25">
      <c r="A2647" t="s">
        <v>10958</v>
      </c>
      <c r="B2647" t="s">
        <v>10959</v>
      </c>
      <c r="C2647" t="s">
        <v>10960</v>
      </c>
      <c r="D2647" t="s">
        <v>482</v>
      </c>
      <c r="E2647" t="s">
        <v>271</v>
      </c>
      <c r="F2647" t="s">
        <v>483</v>
      </c>
    </row>
    <row r="2648" spans="1:6" x14ac:dyDescent="0.25">
      <c r="A2648" t="s">
        <v>3775</v>
      </c>
      <c r="B2648" t="s">
        <v>3756</v>
      </c>
      <c r="C2648" t="s">
        <v>3776</v>
      </c>
      <c r="D2648" t="s">
        <v>0</v>
      </c>
      <c r="E2648" t="s">
        <v>271</v>
      </c>
      <c r="F2648" t="s">
        <v>1148</v>
      </c>
    </row>
    <row r="2649" spans="1:6" x14ac:dyDescent="0.25">
      <c r="A2649" t="s">
        <v>10961</v>
      </c>
      <c r="B2649" t="s">
        <v>10962</v>
      </c>
      <c r="C2649" t="s">
        <v>10963</v>
      </c>
      <c r="D2649" t="s">
        <v>1559</v>
      </c>
      <c r="E2649" t="s">
        <v>271</v>
      </c>
      <c r="F2649" t="s">
        <v>1558</v>
      </c>
    </row>
    <row r="2650" spans="1:6" x14ac:dyDescent="0.25">
      <c r="A2650" t="s">
        <v>10964</v>
      </c>
      <c r="B2650" t="s">
        <v>10965</v>
      </c>
      <c r="C2650" t="s">
        <v>10966</v>
      </c>
      <c r="D2650" t="s">
        <v>361</v>
      </c>
      <c r="E2650" t="s">
        <v>271</v>
      </c>
      <c r="F2650" t="s">
        <v>582</v>
      </c>
    </row>
    <row r="2651" spans="1:6" x14ac:dyDescent="0.25">
      <c r="A2651" t="s">
        <v>10967</v>
      </c>
      <c r="B2651" t="s">
        <v>10968</v>
      </c>
      <c r="C2651" t="s">
        <v>10969</v>
      </c>
      <c r="D2651" t="s">
        <v>6005</v>
      </c>
      <c r="E2651" t="s">
        <v>271</v>
      </c>
      <c r="F2651" t="s">
        <v>4399</v>
      </c>
    </row>
    <row r="2652" spans="1:6" x14ac:dyDescent="0.25">
      <c r="A2652" t="s">
        <v>10970</v>
      </c>
      <c r="B2652" t="s">
        <v>10971</v>
      </c>
      <c r="C2652" t="s">
        <v>10972</v>
      </c>
      <c r="D2652" t="s">
        <v>347</v>
      </c>
      <c r="E2652" t="s">
        <v>271</v>
      </c>
      <c r="F2652" t="s">
        <v>327</v>
      </c>
    </row>
    <row r="2653" spans="1:6" x14ac:dyDescent="0.25">
      <c r="A2653" t="s">
        <v>10973</v>
      </c>
      <c r="B2653" t="s">
        <v>462</v>
      </c>
      <c r="C2653" t="s">
        <v>10974</v>
      </c>
      <c r="D2653" t="s">
        <v>295</v>
      </c>
      <c r="E2653" t="s">
        <v>271</v>
      </c>
      <c r="F2653" t="s">
        <v>1888</v>
      </c>
    </row>
    <row r="2654" spans="1:6" x14ac:dyDescent="0.25">
      <c r="A2654" t="s">
        <v>10975</v>
      </c>
      <c r="B2654" t="s">
        <v>10976</v>
      </c>
      <c r="C2654" t="s">
        <v>10977</v>
      </c>
      <c r="D2654" t="s">
        <v>0</v>
      </c>
      <c r="E2654" t="s">
        <v>271</v>
      </c>
      <c r="F2654" t="s">
        <v>436</v>
      </c>
    </row>
    <row r="2655" spans="1:6" x14ac:dyDescent="0.25">
      <c r="A2655" t="s">
        <v>3124</v>
      </c>
      <c r="B2655" t="s">
        <v>3125</v>
      </c>
      <c r="C2655" t="s">
        <v>3127</v>
      </c>
      <c r="D2655" t="s">
        <v>1601</v>
      </c>
      <c r="E2655" t="s">
        <v>269</v>
      </c>
      <c r="F2655" t="s">
        <v>3126</v>
      </c>
    </row>
    <row r="2656" spans="1:6" x14ac:dyDescent="0.25">
      <c r="A2656" t="s">
        <v>10978</v>
      </c>
      <c r="B2656" t="s">
        <v>10979</v>
      </c>
      <c r="C2656" t="s">
        <v>10980</v>
      </c>
      <c r="D2656" t="s">
        <v>0</v>
      </c>
      <c r="E2656" t="s">
        <v>271</v>
      </c>
      <c r="F2656" t="s">
        <v>4382</v>
      </c>
    </row>
    <row r="2657" spans="1:6" x14ac:dyDescent="0.25">
      <c r="A2657" t="s">
        <v>10981</v>
      </c>
      <c r="B2657" t="s">
        <v>10982</v>
      </c>
      <c r="C2657" t="s">
        <v>4918</v>
      </c>
      <c r="D2657" t="s">
        <v>0</v>
      </c>
      <c r="E2657" t="s">
        <v>271</v>
      </c>
      <c r="F2657" t="s">
        <v>1321</v>
      </c>
    </row>
    <row r="2658" spans="1:6" x14ac:dyDescent="0.25">
      <c r="A2658" t="s">
        <v>10983</v>
      </c>
      <c r="B2658" t="s">
        <v>10984</v>
      </c>
      <c r="C2658" t="s">
        <v>10985</v>
      </c>
      <c r="D2658" t="s">
        <v>342</v>
      </c>
      <c r="E2658" t="s">
        <v>265</v>
      </c>
      <c r="F2658" t="s">
        <v>344</v>
      </c>
    </row>
    <row r="2659" spans="1:6" x14ac:dyDescent="0.25">
      <c r="A2659" t="s">
        <v>10986</v>
      </c>
      <c r="B2659" t="s">
        <v>10987</v>
      </c>
      <c r="C2659" t="s">
        <v>10988</v>
      </c>
      <c r="D2659" t="s">
        <v>1199</v>
      </c>
      <c r="E2659" t="s">
        <v>271</v>
      </c>
      <c r="F2659" t="s">
        <v>1198</v>
      </c>
    </row>
    <row r="2660" spans="1:6" x14ac:dyDescent="0.25">
      <c r="A2660" t="s">
        <v>10989</v>
      </c>
      <c r="B2660" t="s">
        <v>10990</v>
      </c>
      <c r="C2660" t="s">
        <v>10991</v>
      </c>
      <c r="D2660" t="s">
        <v>361</v>
      </c>
      <c r="E2660" t="s">
        <v>271</v>
      </c>
      <c r="F2660" t="s">
        <v>582</v>
      </c>
    </row>
    <row r="2661" spans="1:6" x14ac:dyDescent="0.25">
      <c r="A2661" t="s">
        <v>10992</v>
      </c>
      <c r="B2661" t="s">
        <v>10993</v>
      </c>
      <c r="C2661" t="s">
        <v>10994</v>
      </c>
      <c r="D2661" t="s">
        <v>340</v>
      </c>
      <c r="E2661" t="s">
        <v>271</v>
      </c>
      <c r="F2661" t="s">
        <v>317</v>
      </c>
    </row>
    <row r="2662" spans="1:6" x14ac:dyDescent="0.25">
      <c r="A2662" t="s">
        <v>10995</v>
      </c>
      <c r="B2662" t="s">
        <v>10996</v>
      </c>
      <c r="C2662" t="s">
        <v>10997</v>
      </c>
      <c r="D2662" t="s">
        <v>5598</v>
      </c>
      <c r="E2662" t="s">
        <v>271</v>
      </c>
      <c r="F2662" t="s">
        <v>4427</v>
      </c>
    </row>
    <row r="2663" spans="1:6" x14ac:dyDescent="0.25">
      <c r="A2663" t="s">
        <v>10998</v>
      </c>
      <c r="B2663" t="s">
        <v>10999</v>
      </c>
      <c r="C2663" t="s">
        <v>11000</v>
      </c>
      <c r="D2663" t="s">
        <v>0</v>
      </c>
      <c r="E2663" t="s">
        <v>271</v>
      </c>
      <c r="F2663" t="s">
        <v>4381</v>
      </c>
    </row>
    <row r="2664" spans="1:6" x14ac:dyDescent="0.25">
      <c r="A2664" t="s">
        <v>11001</v>
      </c>
      <c r="B2664" t="s">
        <v>11002</v>
      </c>
      <c r="C2664" t="s">
        <v>11003</v>
      </c>
      <c r="D2664" t="s">
        <v>2488</v>
      </c>
      <c r="E2664" t="s">
        <v>269</v>
      </c>
      <c r="F2664" t="s">
        <v>4390</v>
      </c>
    </row>
    <row r="2665" spans="1:6" x14ac:dyDescent="0.25">
      <c r="A2665" t="s">
        <v>11004</v>
      </c>
      <c r="B2665" t="s">
        <v>11005</v>
      </c>
      <c r="C2665" t="s">
        <v>11006</v>
      </c>
      <c r="D2665" t="s">
        <v>972</v>
      </c>
      <c r="E2665" t="s">
        <v>269</v>
      </c>
      <c r="F2665" t="s">
        <v>971</v>
      </c>
    </row>
    <row r="2666" spans="1:6" x14ac:dyDescent="0.25">
      <c r="A2666" t="s">
        <v>2672</v>
      </c>
      <c r="B2666" t="s">
        <v>2673</v>
      </c>
      <c r="C2666" t="s">
        <v>2674</v>
      </c>
      <c r="D2666" t="s">
        <v>460</v>
      </c>
      <c r="E2666" t="s">
        <v>271</v>
      </c>
      <c r="F2666" t="s">
        <v>435</v>
      </c>
    </row>
    <row r="2667" spans="1:6" x14ac:dyDescent="0.25">
      <c r="A2667" t="s">
        <v>2835</v>
      </c>
      <c r="B2667" t="s">
        <v>2836</v>
      </c>
      <c r="C2667" t="s">
        <v>2837</v>
      </c>
      <c r="D2667" t="s">
        <v>0</v>
      </c>
      <c r="E2667" t="s">
        <v>271</v>
      </c>
      <c r="F2667" t="s">
        <v>1534</v>
      </c>
    </row>
    <row r="2668" spans="1:6" x14ac:dyDescent="0.25">
      <c r="A2668" t="s">
        <v>3197</v>
      </c>
      <c r="B2668" t="s">
        <v>3198</v>
      </c>
      <c r="C2668" t="s">
        <v>3199</v>
      </c>
      <c r="D2668" t="s">
        <v>446</v>
      </c>
      <c r="E2668" t="s">
        <v>271</v>
      </c>
      <c r="F2668" t="s">
        <v>447</v>
      </c>
    </row>
    <row r="2669" spans="1:6" x14ac:dyDescent="0.25">
      <c r="A2669" t="s">
        <v>11007</v>
      </c>
      <c r="B2669" t="s">
        <v>11008</v>
      </c>
      <c r="C2669" t="s">
        <v>11009</v>
      </c>
      <c r="D2669" t="s">
        <v>461</v>
      </c>
      <c r="E2669" t="s">
        <v>271</v>
      </c>
      <c r="F2669" t="s">
        <v>336</v>
      </c>
    </row>
    <row r="2670" spans="1:6" x14ac:dyDescent="0.25">
      <c r="A2670" t="s">
        <v>11010</v>
      </c>
      <c r="B2670" t="s">
        <v>11011</v>
      </c>
      <c r="C2670" t="s">
        <v>11012</v>
      </c>
      <c r="D2670" t="s">
        <v>540</v>
      </c>
      <c r="E2670" t="s">
        <v>271</v>
      </c>
      <c r="F2670" t="s">
        <v>339</v>
      </c>
    </row>
    <row r="2671" spans="1:6" x14ac:dyDescent="0.25">
      <c r="A2671" t="s">
        <v>11013</v>
      </c>
      <c r="B2671" t="s">
        <v>11014</v>
      </c>
      <c r="C2671" t="s">
        <v>11015</v>
      </c>
      <c r="D2671" t="s">
        <v>450</v>
      </c>
      <c r="E2671" t="s">
        <v>271</v>
      </c>
      <c r="F2671" t="s">
        <v>2794</v>
      </c>
    </row>
    <row r="2672" spans="1:6" x14ac:dyDescent="0.25">
      <c r="A2672" t="s">
        <v>11016</v>
      </c>
      <c r="B2672" t="s">
        <v>11017</v>
      </c>
      <c r="C2672" t="s">
        <v>11018</v>
      </c>
      <c r="D2672" t="s">
        <v>1643</v>
      </c>
      <c r="E2672" t="s">
        <v>271</v>
      </c>
      <c r="F2672" t="s">
        <v>1642</v>
      </c>
    </row>
    <row r="2673" spans="1:6" x14ac:dyDescent="0.25">
      <c r="A2673" t="s">
        <v>11019</v>
      </c>
      <c r="B2673" t="s">
        <v>11020</v>
      </c>
      <c r="C2673" t="s">
        <v>11021</v>
      </c>
      <c r="D2673" t="s">
        <v>530</v>
      </c>
      <c r="E2673" t="s">
        <v>271</v>
      </c>
      <c r="F2673" t="s">
        <v>368</v>
      </c>
    </row>
    <row r="2674" spans="1:6" x14ac:dyDescent="0.25">
      <c r="A2674" t="s">
        <v>11022</v>
      </c>
      <c r="B2674" t="s">
        <v>11023</v>
      </c>
      <c r="C2674" t="s">
        <v>11024</v>
      </c>
      <c r="D2674" t="s">
        <v>616</v>
      </c>
      <c r="E2674" t="s">
        <v>271</v>
      </c>
      <c r="F2674" t="s">
        <v>333</v>
      </c>
    </row>
    <row r="2675" spans="1:6" x14ac:dyDescent="0.25">
      <c r="A2675" t="s">
        <v>11025</v>
      </c>
      <c r="B2675" t="s">
        <v>11026</v>
      </c>
      <c r="C2675" t="s">
        <v>11027</v>
      </c>
      <c r="D2675" t="s">
        <v>0</v>
      </c>
      <c r="E2675" t="s">
        <v>271</v>
      </c>
      <c r="F2675" t="s">
        <v>436</v>
      </c>
    </row>
    <row r="2676" spans="1:6" x14ac:dyDescent="0.25">
      <c r="A2676" t="s">
        <v>11028</v>
      </c>
      <c r="B2676" t="s">
        <v>11029</v>
      </c>
      <c r="C2676" t="s">
        <v>11030</v>
      </c>
      <c r="D2676" t="s">
        <v>0</v>
      </c>
      <c r="E2676" t="s">
        <v>271</v>
      </c>
      <c r="F2676" t="s">
        <v>688</v>
      </c>
    </row>
    <row r="2677" spans="1:6" x14ac:dyDescent="0.25">
      <c r="A2677" t="s">
        <v>11031</v>
      </c>
      <c r="B2677" t="s">
        <v>11032</v>
      </c>
      <c r="C2677" t="s">
        <v>3461</v>
      </c>
      <c r="D2677" t="s">
        <v>314</v>
      </c>
      <c r="E2677" t="s">
        <v>271</v>
      </c>
      <c r="F2677" t="s">
        <v>370</v>
      </c>
    </row>
    <row r="2678" spans="1:6" x14ac:dyDescent="0.25">
      <c r="A2678" t="s">
        <v>11033</v>
      </c>
      <c r="B2678" t="s">
        <v>11034</v>
      </c>
      <c r="C2678" t="s">
        <v>11035</v>
      </c>
      <c r="D2678" t="s">
        <v>1806</v>
      </c>
      <c r="E2678" t="s">
        <v>271</v>
      </c>
      <c r="F2678" t="s">
        <v>1805</v>
      </c>
    </row>
    <row r="2679" spans="1:6" x14ac:dyDescent="0.25">
      <c r="A2679" t="s">
        <v>11036</v>
      </c>
      <c r="B2679" t="s">
        <v>11037</v>
      </c>
      <c r="C2679" t="s">
        <v>11038</v>
      </c>
      <c r="D2679" t="s">
        <v>972</v>
      </c>
      <c r="E2679" t="s">
        <v>269</v>
      </c>
      <c r="F2679" t="s">
        <v>971</v>
      </c>
    </row>
    <row r="2680" spans="1:6" x14ac:dyDescent="0.25">
      <c r="A2680" t="s">
        <v>11039</v>
      </c>
      <c r="B2680" t="s">
        <v>11040</v>
      </c>
      <c r="C2680" t="s">
        <v>11041</v>
      </c>
      <c r="D2680" t="s">
        <v>4486</v>
      </c>
      <c r="E2680" t="s">
        <v>271</v>
      </c>
      <c r="F2680" t="s">
        <v>4417</v>
      </c>
    </row>
    <row r="2681" spans="1:6" x14ac:dyDescent="0.25">
      <c r="A2681" t="s">
        <v>11042</v>
      </c>
      <c r="B2681" t="s">
        <v>11043</v>
      </c>
      <c r="C2681" t="s">
        <v>11044</v>
      </c>
      <c r="D2681" t="s">
        <v>0</v>
      </c>
      <c r="E2681" t="s">
        <v>271</v>
      </c>
      <c r="F2681" t="s">
        <v>575</v>
      </c>
    </row>
    <row r="2682" spans="1:6" x14ac:dyDescent="0.25">
      <c r="A2682" t="s">
        <v>11045</v>
      </c>
      <c r="B2682" t="s">
        <v>11046</v>
      </c>
      <c r="C2682" t="s">
        <v>11047</v>
      </c>
      <c r="D2682" t="s">
        <v>0</v>
      </c>
      <c r="E2682" t="s">
        <v>271</v>
      </c>
      <c r="F2682" t="s">
        <v>356</v>
      </c>
    </row>
    <row r="2683" spans="1:6" x14ac:dyDescent="0.25">
      <c r="A2683" t="s">
        <v>11048</v>
      </c>
      <c r="B2683" t="s">
        <v>11049</v>
      </c>
      <c r="C2683" t="s">
        <v>11050</v>
      </c>
      <c r="D2683" t="s">
        <v>793</v>
      </c>
      <c r="E2683" t="s">
        <v>271</v>
      </c>
      <c r="F2683" t="s">
        <v>792</v>
      </c>
    </row>
    <row r="2684" spans="1:6" x14ac:dyDescent="0.25">
      <c r="A2684" t="s">
        <v>11051</v>
      </c>
      <c r="B2684" t="s">
        <v>11052</v>
      </c>
      <c r="C2684" t="s">
        <v>11053</v>
      </c>
      <c r="D2684" t="s">
        <v>0</v>
      </c>
      <c r="E2684" t="s">
        <v>271</v>
      </c>
      <c r="F2684" t="s">
        <v>688</v>
      </c>
    </row>
    <row r="2685" spans="1:6" x14ac:dyDescent="0.25">
      <c r="A2685" t="s">
        <v>11054</v>
      </c>
      <c r="B2685" t="s">
        <v>11055</v>
      </c>
      <c r="C2685" t="s">
        <v>11056</v>
      </c>
      <c r="D2685" t="s">
        <v>793</v>
      </c>
      <c r="E2685" t="s">
        <v>271</v>
      </c>
      <c r="F2685" t="s">
        <v>792</v>
      </c>
    </row>
    <row r="2686" spans="1:6" x14ac:dyDescent="0.25">
      <c r="A2686" t="s">
        <v>11057</v>
      </c>
      <c r="B2686" t="s">
        <v>11058</v>
      </c>
      <c r="C2686" t="s">
        <v>8832</v>
      </c>
      <c r="D2686" t="s">
        <v>972</v>
      </c>
      <c r="E2686" t="s">
        <v>269</v>
      </c>
      <c r="F2686" t="s">
        <v>971</v>
      </c>
    </row>
    <row r="2687" spans="1:6" x14ac:dyDescent="0.25">
      <c r="A2687" t="s">
        <v>11059</v>
      </c>
      <c r="B2687" t="s">
        <v>522</v>
      </c>
      <c r="C2687" t="s">
        <v>11060</v>
      </c>
      <c r="D2687" t="s">
        <v>822</v>
      </c>
      <c r="E2687" t="s">
        <v>269</v>
      </c>
      <c r="F2687" t="s">
        <v>821</v>
      </c>
    </row>
    <row r="2688" spans="1:6" x14ac:dyDescent="0.25">
      <c r="A2688" t="s">
        <v>11061</v>
      </c>
      <c r="B2688" t="s">
        <v>11062</v>
      </c>
      <c r="C2688" t="s">
        <v>11063</v>
      </c>
      <c r="D2688" t="s">
        <v>453</v>
      </c>
      <c r="E2688" t="s">
        <v>271</v>
      </c>
      <c r="F2688" t="s">
        <v>454</v>
      </c>
    </row>
    <row r="2689" spans="1:6" x14ac:dyDescent="0.25">
      <c r="A2689" t="s">
        <v>11064</v>
      </c>
      <c r="B2689" t="s">
        <v>11065</v>
      </c>
      <c r="C2689" t="s">
        <v>11066</v>
      </c>
      <c r="D2689" t="s">
        <v>2589</v>
      </c>
      <c r="E2689" t="s">
        <v>271</v>
      </c>
      <c r="F2689" t="s">
        <v>2588</v>
      </c>
    </row>
    <row r="2690" spans="1:6" x14ac:dyDescent="0.25">
      <c r="A2690" t="s">
        <v>11067</v>
      </c>
      <c r="B2690" t="s">
        <v>11068</v>
      </c>
      <c r="C2690" t="s">
        <v>11069</v>
      </c>
      <c r="D2690" t="s">
        <v>586</v>
      </c>
      <c r="E2690" t="s">
        <v>271</v>
      </c>
      <c r="F2690" t="s">
        <v>662</v>
      </c>
    </row>
    <row r="2691" spans="1:6" x14ac:dyDescent="0.25">
      <c r="A2691" t="s">
        <v>11070</v>
      </c>
      <c r="B2691" t="s">
        <v>11071</v>
      </c>
      <c r="C2691" t="s">
        <v>11072</v>
      </c>
      <c r="D2691" t="s">
        <v>0</v>
      </c>
      <c r="E2691" t="s">
        <v>271</v>
      </c>
      <c r="F2691" t="s">
        <v>323</v>
      </c>
    </row>
    <row r="2692" spans="1:6" x14ac:dyDescent="0.25">
      <c r="A2692" t="s">
        <v>11073</v>
      </c>
      <c r="B2692" t="s">
        <v>11074</v>
      </c>
      <c r="C2692" t="s">
        <v>11075</v>
      </c>
      <c r="D2692" t="s">
        <v>566</v>
      </c>
      <c r="E2692" t="s">
        <v>271</v>
      </c>
      <c r="F2692" t="s">
        <v>567</v>
      </c>
    </row>
    <row r="2693" spans="1:6" x14ac:dyDescent="0.25">
      <c r="A2693" t="s">
        <v>11076</v>
      </c>
      <c r="B2693" t="s">
        <v>11077</v>
      </c>
      <c r="C2693" t="s">
        <v>11078</v>
      </c>
      <c r="D2693" t="s">
        <v>0</v>
      </c>
      <c r="E2693" t="s">
        <v>271</v>
      </c>
      <c r="F2693" t="s">
        <v>355</v>
      </c>
    </row>
    <row r="2694" spans="1:6" x14ac:dyDescent="0.25">
      <c r="A2694" t="s">
        <v>11079</v>
      </c>
      <c r="B2694" t="s">
        <v>11080</v>
      </c>
      <c r="C2694" t="s">
        <v>11081</v>
      </c>
      <c r="D2694" t="s">
        <v>1051</v>
      </c>
      <c r="E2694" t="s">
        <v>271</v>
      </c>
      <c r="F2694" t="s">
        <v>1050</v>
      </c>
    </row>
    <row r="2695" spans="1:6" x14ac:dyDescent="0.25">
      <c r="A2695" t="s">
        <v>11082</v>
      </c>
      <c r="B2695" t="s">
        <v>11083</v>
      </c>
      <c r="C2695" t="s">
        <v>11084</v>
      </c>
      <c r="D2695" t="s">
        <v>312</v>
      </c>
      <c r="E2695" t="s">
        <v>271</v>
      </c>
      <c r="F2695" t="s">
        <v>311</v>
      </c>
    </row>
    <row r="2696" spans="1:6" x14ac:dyDescent="0.25">
      <c r="A2696" t="s">
        <v>11085</v>
      </c>
      <c r="B2696" t="s">
        <v>11086</v>
      </c>
      <c r="C2696" t="s">
        <v>11087</v>
      </c>
      <c r="D2696" t="s">
        <v>2488</v>
      </c>
      <c r="E2696" t="s">
        <v>269</v>
      </c>
      <c r="F2696" t="s">
        <v>4396</v>
      </c>
    </row>
    <row r="2697" spans="1:6" x14ac:dyDescent="0.25">
      <c r="A2697" t="s">
        <v>11088</v>
      </c>
      <c r="B2697" t="s">
        <v>11089</v>
      </c>
      <c r="C2697" t="s">
        <v>11090</v>
      </c>
      <c r="D2697" t="s">
        <v>1199</v>
      </c>
      <c r="E2697" t="s">
        <v>271</v>
      </c>
      <c r="F2697" t="s">
        <v>1198</v>
      </c>
    </row>
    <row r="2698" spans="1:6" x14ac:dyDescent="0.25">
      <c r="A2698" t="s">
        <v>11091</v>
      </c>
      <c r="B2698" t="s">
        <v>11092</v>
      </c>
      <c r="C2698" t="s">
        <v>11093</v>
      </c>
      <c r="D2698" t="s">
        <v>0</v>
      </c>
      <c r="E2698" t="s">
        <v>271</v>
      </c>
      <c r="F2698" t="s">
        <v>1225</v>
      </c>
    </row>
    <row r="2699" spans="1:6" x14ac:dyDescent="0.25">
      <c r="A2699" t="s">
        <v>2575</v>
      </c>
      <c r="B2699" t="s">
        <v>2576</v>
      </c>
      <c r="C2699" t="s">
        <v>2579</v>
      </c>
      <c r="D2699" t="s">
        <v>2578</v>
      </c>
      <c r="E2699" t="s">
        <v>271</v>
      </c>
      <c r="F2699" t="s">
        <v>2577</v>
      </c>
    </row>
    <row r="2700" spans="1:6" x14ac:dyDescent="0.25">
      <c r="A2700" t="s">
        <v>1350</v>
      </c>
      <c r="B2700" t="s">
        <v>1351</v>
      </c>
      <c r="C2700" t="s">
        <v>1352</v>
      </c>
      <c r="D2700" t="s">
        <v>0</v>
      </c>
      <c r="E2700" t="s">
        <v>271</v>
      </c>
      <c r="F2700" t="s">
        <v>355</v>
      </c>
    </row>
    <row r="2701" spans="1:6" x14ac:dyDescent="0.25">
      <c r="A2701" t="s">
        <v>2337</v>
      </c>
      <c r="B2701" t="s">
        <v>2338</v>
      </c>
      <c r="C2701" t="s">
        <v>2340</v>
      </c>
      <c r="D2701" t="s">
        <v>2166</v>
      </c>
      <c r="E2701" t="s">
        <v>271</v>
      </c>
      <c r="F2701" t="s">
        <v>2165</v>
      </c>
    </row>
    <row r="2702" spans="1:6" x14ac:dyDescent="0.25">
      <c r="A2702" t="s">
        <v>11094</v>
      </c>
      <c r="B2702" t="s">
        <v>11095</v>
      </c>
      <c r="C2702" t="s">
        <v>11096</v>
      </c>
      <c r="D2702" t="s">
        <v>0</v>
      </c>
      <c r="E2702" t="s">
        <v>271</v>
      </c>
      <c r="F2702" t="s">
        <v>432</v>
      </c>
    </row>
    <row r="2703" spans="1:6" x14ac:dyDescent="0.25">
      <c r="A2703" t="s">
        <v>11097</v>
      </c>
      <c r="B2703" t="s">
        <v>7884</v>
      </c>
      <c r="C2703" t="s">
        <v>7885</v>
      </c>
      <c r="D2703" t="s">
        <v>1665</v>
      </c>
      <c r="E2703" t="s">
        <v>271</v>
      </c>
      <c r="F2703" t="s">
        <v>1664</v>
      </c>
    </row>
    <row r="2704" spans="1:6" x14ac:dyDescent="0.25">
      <c r="A2704" t="s">
        <v>11098</v>
      </c>
      <c r="B2704" t="s">
        <v>11099</v>
      </c>
      <c r="C2704" t="s">
        <v>11100</v>
      </c>
      <c r="D2704" t="s">
        <v>0</v>
      </c>
      <c r="E2704" t="s">
        <v>271</v>
      </c>
      <c r="F2704" t="s">
        <v>3652</v>
      </c>
    </row>
    <row r="2705" spans="1:6" x14ac:dyDescent="0.25">
      <c r="A2705" t="s">
        <v>11101</v>
      </c>
      <c r="B2705" t="s">
        <v>11102</v>
      </c>
      <c r="C2705" t="s">
        <v>11103</v>
      </c>
      <c r="D2705" t="s">
        <v>675</v>
      </c>
      <c r="E2705" t="s">
        <v>271</v>
      </c>
      <c r="F2705" t="s">
        <v>674</v>
      </c>
    </row>
    <row r="2706" spans="1:6" x14ac:dyDescent="0.25">
      <c r="A2706" t="s">
        <v>11104</v>
      </c>
      <c r="B2706" t="s">
        <v>4475</v>
      </c>
      <c r="C2706" t="s">
        <v>11105</v>
      </c>
      <c r="D2706" t="s">
        <v>312</v>
      </c>
      <c r="E2706" t="s">
        <v>271</v>
      </c>
      <c r="F2706" t="s">
        <v>311</v>
      </c>
    </row>
    <row r="2707" spans="1:6" x14ac:dyDescent="0.25">
      <c r="A2707" t="s">
        <v>11106</v>
      </c>
      <c r="B2707" t="s">
        <v>11107</v>
      </c>
      <c r="C2707" t="s">
        <v>11108</v>
      </c>
      <c r="D2707" t="s">
        <v>485</v>
      </c>
      <c r="E2707" t="s">
        <v>341</v>
      </c>
      <c r="F2707" t="s">
        <v>430</v>
      </c>
    </row>
    <row r="2708" spans="1:6" x14ac:dyDescent="0.25">
      <c r="A2708" t="s">
        <v>11109</v>
      </c>
      <c r="B2708" t="s">
        <v>11110</v>
      </c>
      <c r="C2708" t="s">
        <v>11111</v>
      </c>
      <c r="D2708" t="s">
        <v>793</v>
      </c>
      <c r="E2708" t="s">
        <v>271</v>
      </c>
      <c r="F2708" t="s">
        <v>792</v>
      </c>
    </row>
    <row r="2709" spans="1:6" x14ac:dyDescent="0.25">
      <c r="A2709" t="s">
        <v>11112</v>
      </c>
      <c r="B2709" t="s">
        <v>11113</v>
      </c>
      <c r="C2709" t="s">
        <v>11114</v>
      </c>
      <c r="D2709" t="s">
        <v>0</v>
      </c>
      <c r="E2709" t="s">
        <v>271</v>
      </c>
      <c r="F2709" t="s">
        <v>658</v>
      </c>
    </row>
    <row r="2710" spans="1:6" x14ac:dyDescent="0.25">
      <c r="A2710" t="s">
        <v>11115</v>
      </c>
      <c r="B2710" t="s">
        <v>11116</v>
      </c>
      <c r="C2710" t="s">
        <v>11117</v>
      </c>
      <c r="D2710" t="s">
        <v>845</v>
      </c>
      <c r="E2710" t="s">
        <v>271</v>
      </c>
      <c r="F2710" t="s">
        <v>844</v>
      </c>
    </row>
    <row r="2711" spans="1:6" x14ac:dyDescent="0.25">
      <c r="A2711" t="s">
        <v>11118</v>
      </c>
      <c r="B2711" t="s">
        <v>11119</v>
      </c>
      <c r="C2711" t="s">
        <v>11120</v>
      </c>
      <c r="D2711" t="s">
        <v>440</v>
      </c>
      <c r="E2711" t="s">
        <v>271</v>
      </c>
      <c r="F2711" t="s">
        <v>441</v>
      </c>
    </row>
    <row r="2712" spans="1:6" x14ac:dyDescent="0.25">
      <c r="A2712" t="s">
        <v>11121</v>
      </c>
      <c r="B2712" t="s">
        <v>11122</v>
      </c>
      <c r="C2712" t="s">
        <v>11123</v>
      </c>
      <c r="D2712" t="s">
        <v>453</v>
      </c>
      <c r="E2712" t="s">
        <v>271</v>
      </c>
      <c r="F2712" t="s">
        <v>454</v>
      </c>
    </row>
    <row r="2713" spans="1:6" x14ac:dyDescent="0.25">
      <c r="A2713" t="s">
        <v>11124</v>
      </c>
      <c r="B2713" t="s">
        <v>11125</v>
      </c>
      <c r="C2713" t="s">
        <v>11126</v>
      </c>
      <c r="D2713" t="s">
        <v>0</v>
      </c>
      <c r="E2713" t="s">
        <v>271</v>
      </c>
      <c r="F2713" t="s">
        <v>709</v>
      </c>
    </row>
    <row r="2714" spans="1:6" x14ac:dyDescent="0.25">
      <c r="A2714" t="s">
        <v>11127</v>
      </c>
      <c r="B2714" t="s">
        <v>11128</v>
      </c>
      <c r="C2714" t="s">
        <v>11129</v>
      </c>
      <c r="D2714" t="s">
        <v>1643</v>
      </c>
      <c r="E2714" t="s">
        <v>271</v>
      </c>
      <c r="F2714" t="s">
        <v>2028</v>
      </c>
    </row>
    <row r="2715" spans="1:6" x14ac:dyDescent="0.25">
      <c r="A2715" t="s">
        <v>2669</v>
      </c>
      <c r="B2715" t="s">
        <v>2670</v>
      </c>
      <c r="C2715" t="s">
        <v>2671</v>
      </c>
      <c r="D2715" t="s">
        <v>0</v>
      </c>
      <c r="E2715" t="s">
        <v>271</v>
      </c>
      <c r="F2715" t="s">
        <v>709</v>
      </c>
    </row>
    <row r="2716" spans="1:6" x14ac:dyDescent="0.25">
      <c r="A2716" t="s">
        <v>11130</v>
      </c>
      <c r="B2716" t="s">
        <v>11131</v>
      </c>
      <c r="C2716" t="s">
        <v>11132</v>
      </c>
      <c r="D2716" t="s">
        <v>0</v>
      </c>
      <c r="E2716" t="s">
        <v>271</v>
      </c>
      <c r="F2716" t="s">
        <v>2447</v>
      </c>
    </row>
    <row r="2717" spans="1:6" x14ac:dyDescent="0.25">
      <c r="A2717" t="s">
        <v>11133</v>
      </c>
      <c r="B2717" t="s">
        <v>574</v>
      </c>
      <c r="C2717" t="s">
        <v>11134</v>
      </c>
      <c r="D2717" t="s">
        <v>2714</v>
      </c>
      <c r="E2717" t="s">
        <v>271</v>
      </c>
      <c r="F2717" t="s">
        <v>2713</v>
      </c>
    </row>
    <row r="2718" spans="1:6" x14ac:dyDescent="0.25">
      <c r="A2718" t="s">
        <v>11135</v>
      </c>
      <c r="B2718" t="s">
        <v>11136</v>
      </c>
      <c r="C2718" t="s">
        <v>11137</v>
      </c>
      <c r="D2718" t="s">
        <v>651</v>
      </c>
      <c r="E2718" t="s">
        <v>271</v>
      </c>
      <c r="F2718" t="s">
        <v>650</v>
      </c>
    </row>
    <row r="2719" spans="1:6" x14ac:dyDescent="0.25">
      <c r="A2719" t="s">
        <v>11138</v>
      </c>
      <c r="B2719" t="s">
        <v>11139</v>
      </c>
      <c r="C2719" t="s">
        <v>11140</v>
      </c>
      <c r="D2719" t="s">
        <v>3002</v>
      </c>
      <c r="E2719" t="s">
        <v>269</v>
      </c>
      <c r="F2719" t="s">
        <v>3001</v>
      </c>
    </row>
    <row r="2720" spans="1:6" x14ac:dyDescent="0.25">
      <c r="A2720" t="s">
        <v>893</v>
      </c>
      <c r="B2720" t="s">
        <v>894</v>
      </c>
      <c r="C2720" t="s">
        <v>896</v>
      </c>
      <c r="D2720" t="s">
        <v>0</v>
      </c>
      <c r="E2720" t="s">
        <v>271</v>
      </c>
      <c r="F2720" t="s">
        <v>895</v>
      </c>
    </row>
    <row r="2721" spans="1:6" x14ac:dyDescent="0.25">
      <c r="A2721" t="s">
        <v>11141</v>
      </c>
      <c r="B2721" t="s">
        <v>11142</v>
      </c>
      <c r="C2721" t="s">
        <v>11143</v>
      </c>
      <c r="D2721" t="s">
        <v>0</v>
      </c>
      <c r="E2721" t="s">
        <v>271</v>
      </c>
      <c r="F2721" t="s">
        <v>356</v>
      </c>
    </row>
    <row r="2722" spans="1:6" x14ac:dyDescent="0.25">
      <c r="A2722" t="s">
        <v>11144</v>
      </c>
      <c r="B2722" t="s">
        <v>11145</v>
      </c>
      <c r="C2722" t="s">
        <v>11146</v>
      </c>
      <c r="D2722" t="s">
        <v>30</v>
      </c>
      <c r="E2722" t="s">
        <v>11147</v>
      </c>
      <c r="F2722" t="s">
        <v>11148</v>
      </c>
    </row>
    <row r="2723" spans="1:6" x14ac:dyDescent="0.25">
      <c r="A2723" t="s">
        <v>11149</v>
      </c>
      <c r="B2723" t="s">
        <v>11150</v>
      </c>
      <c r="C2723" t="s">
        <v>11151</v>
      </c>
      <c r="D2723" t="s">
        <v>0</v>
      </c>
      <c r="E2723" t="s">
        <v>271</v>
      </c>
      <c r="F2723" t="s">
        <v>1321</v>
      </c>
    </row>
    <row r="2724" spans="1:6" x14ac:dyDescent="0.25">
      <c r="A2724" t="s">
        <v>11152</v>
      </c>
      <c r="B2724" t="s">
        <v>11153</v>
      </c>
      <c r="C2724" t="s">
        <v>11154</v>
      </c>
      <c r="D2724" t="s">
        <v>0</v>
      </c>
      <c r="E2724" t="s">
        <v>271</v>
      </c>
      <c r="F2724" t="s">
        <v>562</v>
      </c>
    </row>
    <row r="2725" spans="1:6" x14ac:dyDescent="0.25">
      <c r="A2725" t="s">
        <v>2498</v>
      </c>
      <c r="B2725" t="s">
        <v>2499</v>
      </c>
      <c r="C2725" t="s">
        <v>2500</v>
      </c>
      <c r="D2725" t="s">
        <v>845</v>
      </c>
      <c r="E2725" t="s">
        <v>271</v>
      </c>
      <c r="F2725" t="s">
        <v>844</v>
      </c>
    </row>
    <row r="2726" spans="1:6" x14ac:dyDescent="0.25">
      <c r="A2726" t="s">
        <v>3495</v>
      </c>
      <c r="B2726" t="s">
        <v>3496</v>
      </c>
      <c r="C2726" t="s">
        <v>3497</v>
      </c>
      <c r="D2726" t="s">
        <v>1210</v>
      </c>
      <c r="E2726" t="s">
        <v>271</v>
      </c>
      <c r="F2726" t="s">
        <v>1209</v>
      </c>
    </row>
    <row r="2727" spans="1:6" x14ac:dyDescent="0.25">
      <c r="A2727" t="s">
        <v>11155</v>
      </c>
      <c r="B2727" t="s">
        <v>11156</v>
      </c>
      <c r="C2727" t="s">
        <v>6732</v>
      </c>
      <c r="D2727" t="s">
        <v>0</v>
      </c>
      <c r="E2727" t="s">
        <v>271</v>
      </c>
      <c r="F2727" t="s">
        <v>1321</v>
      </c>
    </row>
    <row r="2728" spans="1:6" x14ac:dyDescent="0.25">
      <c r="A2728" t="s">
        <v>11157</v>
      </c>
      <c r="B2728" t="s">
        <v>11158</v>
      </c>
      <c r="C2728" t="s">
        <v>11159</v>
      </c>
      <c r="D2728" t="s">
        <v>482</v>
      </c>
      <c r="E2728" t="s">
        <v>271</v>
      </c>
      <c r="F2728" t="s">
        <v>483</v>
      </c>
    </row>
    <row r="2729" spans="1:6" x14ac:dyDescent="0.25">
      <c r="A2729" t="s">
        <v>11160</v>
      </c>
      <c r="B2729" t="s">
        <v>11161</v>
      </c>
      <c r="C2729" t="s">
        <v>11162</v>
      </c>
      <c r="D2729" t="s">
        <v>2116</v>
      </c>
      <c r="E2729" t="s">
        <v>271</v>
      </c>
      <c r="F2729" t="s">
        <v>2115</v>
      </c>
    </row>
    <row r="2730" spans="1:6" x14ac:dyDescent="0.25">
      <c r="A2730" t="s">
        <v>11163</v>
      </c>
      <c r="B2730" t="s">
        <v>11164</v>
      </c>
      <c r="C2730" t="s">
        <v>11165</v>
      </c>
      <c r="D2730" t="s">
        <v>1027</v>
      </c>
      <c r="E2730" t="s">
        <v>271</v>
      </c>
      <c r="F2730" t="s">
        <v>1026</v>
      </c>
    </row>
    <row r="2731" spans="1:6" x14ac:dyDescent="0.25">
      <c r="A2731" t="s">
        <v>11166</v>
      </c>
      <c r="B2731" t="s">
        <v>11167</v>
      </c>
      <c r="C2731" t="s">
        <v>11168</v>
      </c>
      <c r="D2731" t="s">
        <v>450</v>
      </c>
      <c r="E2731" t="s">
        <v>271</v>
      </c>
      <c r="F2731" t="s">
        <v>326</v>
      </c>
    </row>
    <row r="2732" spans="1:6" x14ac:dyDescent="0.25">
      <c r="A2732" t="s">
        <v>11169</v>
      </c>
      <c r="B2732" t="s">
        <v>11170</v>
      </c>
      <c r="C2732" t="s">
        <v>11171</v>
      </c>
      <c r="D2732" t="s">
        <v>506</v>
      </c>
      <c r="E2732" t="s">
        <v>271</v>
      </c>
      <c r="F2732" t="s">
        <v>507</v>
      </c>
    </row>
    <row r="2733" spans="1:6" x14ac:dyDescent="0.25">
      <c r="A2733" t="s">
        <v>11172</v>
      </c>
      <c r="B2733" t="s">
        <v>11173</v>
      </c>
      <c r="C2733" t="s">
        <v>11174</v>
      </c>
      <c r="D2733" t="s">
        <v>1643</v>
      </c>
      <c r="E2733" t="s">
        <v>271</v>
      </c>
      <c r="F2733" t="s">
        <v>2028</v>
      </c>
    </row>
    <row r="2734" spans="1:6" x14ac:dyDescent="0.25">
      <c r="A2734" t="s">
        <v>11175</v>
      </c>
      <c r="B2734" t="s">
        <v>11176</v>
      </c>
      <c r="C2734" t="s">
        <v>8955</v>
      </c>
      <c r="D2734" t="s">
        <v>0</v>
      </c>
      <c r="E2734" t="s">
        <v>271</v>
      </c>
      <c r="F2734" t="s">
        <v>1321</v>
      </c>
    </row>
    <row r="2735" spans="1:6" x14ac:dyDescent="0.25">
      <c r="A2735" t="s">
        <v>2190</v>
      </c>
      <c r="B2735" t="s">
        <v>2191</v>
      </c>
      <c r="C2735" t="s">
        <v>2192</v>
      </c>
      <c r="D2735" t="s">
        <v>598</v>
      </c>
      <c r="E2735" t="s">
        <v>271</v>
      </c>
      <c r="F2735" t="s">
        <v>599</v>
      </c>
    </row>
    <row r="2736" spans="1:6" x14ac:dyDescent="0.25">
      <c r="A2736" t="s">
        <v>11177</v>
      </c>
      <c r="B2736" t="s">
        <v>11178</v>
      </c>
      <c r="C2736" t="s">
        <v>11179</v>
      </c>
      <c r="D2736" t="s">
        <v>0</v>
      </c>
      <c r="E2736" t="s">
        <v>271</v>
      </c>
      <c r="F2736" t="s">
        <v>1011</v>
      </c>
    </row>
    <row r="2737" spans="1:6" x14ac:dyDescent="0.25">
      <c r="A2737" t="s">
        <v>11180</v>
      </c>
      <c r="B2737" t="s">
        <v>11181</v>
      </c>
      <c r="C2737" t="s">
        <v>4476</v>
      </c>
      <c r="D2737" t="s">
        <v>540</v>
      </c>
      <c r="E2737" t="s">
        <v>271</v>
      </c>
      <c r="F2737" t="s">
        <v>339</v>
      </c>
    </row>
    <row r="2738" spans="1:6" x14ac:dyDescent="0.25">
      <c r="A2738" t="s">
        <v>11182</v>
      </c>
      <c r="B2738" t="s">
        <v>11183</v>
      </c>
      <c r="C2738" t="s">
        <v>11184</v>
      </c>
      <c r="D2738" t="s">
        <v>0</v>
      </c>
      <c r="E2738" t="s">
        <v>271</v>
      </c>
      <c r="F2738" t="s">
        <v>3652</v>
      </c>
    </row>
    <row r="2739" spans="1:6" x14ac:dyDescent="0.25">
      <c r="A2739" t="s">
        <v>11185</v>
      </c>
      <c r="B2739" t="s">
        <v>11186</v>
      </c>
      <c r="C2739" t="s">
        <v>11187</v>
      </c>
      <c r="D2739" t="s">
        <v>502</v>
      </c>
      <c r="E2739" t="s">
        <v>271</v>
      </c>
      <c r="F2739" t="s">
        <v>425</v>
      </c>
    </row>
    <row r="2740" spans="1:6" x14ac:dyDescent="0.25">
      <c r="A2740" t="s">
        <v>11188</v>
      </c>
      <c r="B2740" t="s">
        <v>11189</v>
      </c>
      <c r="C2740" t="s">
        <v>11190</v>
      </c>
      <c r="D2740" t="s">
        <v>699</v>
      </c>
      <c r="E2740" t="s">
        <v>269</v>
      </c>
      <c r="F2740" t="s">
        <v>698</v>
      </c>
    </row>
    <row r="2741" spans="1:6" x14ac:dyDescent="0.25">
      <c r="A2741" t="s">
        <v>11191</v>
      </c>
      <c r="B2741" t="s">
        <v>11192</v>
      </c>
      <c r="C2741" t="s">
        <v>11193</v>
      </c>
      <c r="D2741" t="s">
        <v>617</v>
      </c>
      <c r="E2741" t="s">
        <v>271</v>
      </c>
      <c r="F2741" t="s">
        <v>438</v>
      </c>
    </row>
    <row r="2742" spans="1:6" x14ac:dyDescent="0.25">
      <c r="A2742" t="s">
        <v>11194</v>
      </c>
      <c r="B2742" t="s">
        <v>11195</v>
      </c>
      <c r="C2742" t="s">
        <v>11196</v>
      </c>
      <c r="D2742" t="s">
        <v>530</v>
      </c>
      <c r="E2742" t="s">
        <v>271</v>
      </c>
      <c r="F2742" t="s">
        <v>368</v>
      </c>
    </row>
    <row r="2743" spans="1:6" x14ac:dyDescent="0.25">
      <c r="A2743" t="s">
        <v>11197</v>
      </c>
      <c r="B2743" t="s">
        <v>11198</v>
      </c>
      <c r="C2743" t="s">
        <v>11199</v>
      </c>
      <c r="D2743" t="s">
        <v>342</v>
      </c>
      <c r="E2743" t="s">
        <v>265</v>
      </c>
      <c r="F2743" t="s">
        <v>344</v>
      </c>
    </row>
    <row r="2744" spans="1:6" x14ac:dyDescent="0.25">
      <c r="A2744" t="s">
        <v>11200</v>
      </c>
      <c r="B2744" t="s">
        <v>11201</v>
      </c>
      <c r="C2744" t="s">
        <v>11202</v>
      </c>
      <c r="D2744" t="s">
        <v>312</v>
      </c>
      <c r="E2744" t="s">
        <v>271</v>
      </c>
      <c r="F2744" t="s">
        <v>311</v>
      </c>
    </row>
    <row r="2745" spans="1:6" x14ac:dyDescent="0.25">
      <c r="A2745" t="s">
        <v>11203</v>
      </c>
      <c r="B2745" t="s">
        <v>10429</v>
      </c>
      <c r="C2745" t="s">
        <v>11204</v>
      </c>
      <c r="D2745" t="s">
        <v>0</v>
      </c>
      <c r="E2745" t="s">
        <v>271</v>
      </c>
      <c r="F2745" t="s">
        <v>319</v>
      </c>
    </row>
    <row r="2746" spans="1:6" x14ac:dyDescent="0.25">
      <c r="A2746" t="s">
        <v>3486</v>
      </c>
      <c r="B2746" t="s">
        <v>3487</v>
      </c>
      <c r="C2746" t="s">
        <v>3488</v>
      </c>
      <c r="D2746" t="s">
        <v>1485</v>
      </c>
      <c r="E2746" t="s">
        <v>271</v>
      </c>
      <c r="F2746" t="s">
        <v>1519</v>
      </c>
    </row>
    <row r="2747" spans="1:6" x14ac:dyDescent="0.25">
      <c r="A2747" t="s">
        <v>11205</v>
      </c>
      <c r="B2747" t="s">
        <v>11206</v>
      </c>
      <c r="C2747" t="s">
        <v>11207</v>
      </c>
      <c r="D2747" t="s">
        <v>450</v>
      </c>
      <c r="E2747" t="s">
        <v>271</v>
      </c>
      <c r="F2747" t="s">
        <v>326</v>
      </c>
    </row>
    <row r="2748" spans="1:6" x14ac:dyDescent="0.25">
      <c r="A2748" t="s">
        <v>11208</v>
      </c>
      <c r="B2748" t="s">
        <v>11209</v>
      </c>
      <c r="C2748" t="s">
        <v>11210</v>
      </c>
      <c r="D2748" t="s">
        <v>510</v>
      </c>
      <c r="E2748" t="s">
        <v>271</v>
      </c>
      <c r="F2748" t="s">
        <v>852</v>
      </c>
    </row>
    <row r="2749" spans="1:6" x14ac:dyDescent="0.25">
      <c r="A2749" t="s">
        <v>11211</v>
      </c>
      <c r="B2749" t="s">
        <v>11212</v>
      </c>
      <c r="C2749" t="s">
        <v>11213</v>
      </c>
      <c r="D2749" t="s">
        <v>0</v>
      </c>
      <c r="E2749" t="s">
        <v>271</v>
      </c>
      <c r="F2749" t="s">
        <v>356</v>
      </c>
    </row>
    <row r="2750" spans="1:6" x14ac:dyDescent="0.25">
      <c r="A2750" t="s">
        <v>11214</v>
      </c>
      <c r="B2750" t="s">
        <v>11215</v>
      </c>
      <c r="C2750" t="s">
        <v>11216</v>
      </c>
      <c r="D2750" t="s">
        <v>0</v>
      </c>
      <c r="E2750" t="s">
        <v>271</v>
      </c>
      <c r="F2750" t="s">
        <v>431</v>
      </c>
    </row>
    <row r="2751" spans="1:6" x14ac:dyDescent="0.25">
      <c r="A2751" t="s">
        <v>11217</v>
      </c>
      <c r="B2751" t="s">
        <v>11218</v>
      </c>
      <c r="C2751" t="s">
        <v>11219</v>
      </c>
      <c r="D2751" t="s">
        <v>1064</v>
      </c>
      <c r="E2751" t="s">
        <v>269</v>
      </c>
      <c r="F2751" t="s">
        <v>1063</v>
      </c>
    </row>
    <row r="2752" spans="1:6" x14ac:dyDescent="0.25">
      <c r="A2752" t="s">
        <v>11220</v>
      </c>
      <c r="B2752" t="s">
        <v>11221</v>
      </c>
      <c r="C2752" t="s">
        <v>11222</v>
      </c>
      <c r="D2752" t="s">
        <v>0</v>
      </c>
      <c r="E2752" t="s">
        <v>271</v>
      </c>
      <c r="F2752" t="s">
        <v>3941</v>
      </c>
    </row>
    <row r="2753" spans="1:6" x14ac:dyDescent="0.25">
      <c r="A2753" t="s">
        <v>11223</v>
      </c>
      <c r="B2753" t="s">
        <v>11224</v>
      </c>
      <c r="C2753" t="s">
        <v>11225</v>
      </c>
      <c r="D2753" t="s">
        <v>793</v>
      </c>
      <c r="E2753" t="s">
        <v>271</v>
      </c>
      <c r="F2753" t="s">
        <v>792</v>
      </c>
    </row>
    <row r="2754" spans="1:6" x14ac:dyDescent="0.25">
      <c r="A2754" t="s">
        <v>11226</v>
      </c>
      <c r="B2754" t="s">
        <v>11227</v>
      </c>
      <c r="C2754" t="s">
        <v>11228</v>
      </c>
      <c r="D2754" t="s">
        <v>0</v>
      </c>
      <c r="E2754" t="s">
        <v>271</v>
      </c>
      <c r="F2754" t="s">
        <v>356</v>
      </c>
    </row>
    <row r="2755" spans="1:6" x14ac:dyDescent="0.25">
      <c r="A2755" t="s">
        <v>11229</v>
      </c>
      <c r="B2755" t="s">
        <v>11230</v>
      </c>
      <c r="C2755" t="s">
        <v>6784</v>
      </c>
      <c r="D2755" t="s">
        <v>2681</v>
      </c>
      <c r="E2755" t="s">
        <v>271</v>
      </c>
      <c r="F2755" t="s">
        <v>2680</v>
      </c>
    </row>
    <row r="2756" spans="1:6" x14ac:dyDescent="0.25">
      <c r="A2756" t="s">
        <v>11231</v>
      </c>
      <c r="B2756" t="s">
        <v>11232</v>
      </c>
      <c r="C2756" t="s">
        <v>11233</v>
      </c>
      <c r="D2756" t="s">
        <v>461</v>
      </c>
      <c r="E2756" t="s">
        <v>271</v>
      </c>
      <c r="F2756" t="s">
        <v>336</v>
      </c>
    </row>
    <row r="2757" spans="1:6" x14ac:dyDescent="0.25">
      <c r="A2757" t="s">
        <v>11234</v>
      </c>
      <c r="B2757" t="s">
        <v>11235</v>
      </c>
      <c r="C2757" t="s">
        <v>11236</v>
      </c>
      <c r="D2757" t="s">
        <v>11237</v>
      </c>
      <c r="E2757" t="s">
        <v>269</v>
      </c>
      <c r="F2757" t="s">
        <v>11238</v>
      </c>
    </row>
    <row r="2758" spans="1:6" x14ac:dyDescent="0.25">
      <c r="A2758" t="s">
        <v>11239</v>
      </c>
      <c r="B2758" t="s">
        <v>11240</v>
      </c>
      <c r="C2758" t="s">
        <v>11241</v>
      </c>
      <c r="D2758" t="s">
        <v>0</v>
      </c>
      <c r="E2758" t="s">
        <v>271</v>
      </c>
      <c r="F2758" t="s">
        <v>431</v>
      </c>
    </row>
    <row r="2759" spans="1:6" x14ac:dyDescent="0.25">
      <c r="A2759" t="s">
        <v>11242</v>
      </c>
      <c r="B2759" t="s">
        <v>11243</v>
      </c>
      <c r="C2759" t="s">
        <v>11244</v>
      </c>
      <c r="D2759" t="s">
        <v>453</v>
      </c>
      <c r="E2759" t="s">
        <v>271</v>
      </c>
      <c r="F2759" t="s">
        <v>454</v>
      </c>
    </row>
    <row r="2760" spans="1:6" x14ac:dyDescent="0.25">
      <c r="A2760" t="s">
        <v>1963</v>
      </c>
      <c r="B2760" t="s">
        <v>1964</v>
      </c>
      <c r="C2760" t="s">
        <v>1965</v>
      </c>
      <c r="D2760" t="s">
        <v>586</v>
      </c>
      <c r="E2760" t="s">
        <v>271</v>
      </c>
      <c r="F2760" t="s">
        <v>662</v>
      </c>
    </row>
    <row r="2761" spans="1:6" x14ac:dyDescent="0.25">
      <c r="A2761" t="s">
        <v>11245</v>
      </c>
      <c r="B2761" t="s">
        <v>11246</v>
      </c>
      <c r="C2761" t="s">
        <v>11247</v>
      </c>
      <c r="D2761" t="s">
        <v>453</v>
      </c>
      <c r="E2761" t="s">
        <v>271</v>
      </c>
      <c r="F2761" t="s">
        <v>2285</v>
      </c>
    </row>
    <row r="2762" spans="1:6" x14ac:dyDescent="0.25">
      <c r="A2762" t="s">
        <v>11248</v>
      </c>
      <c r="B2762" t="s">
        <v>11249</v>
      </c>
      <c r="C2762" t="s">
        <v>11250</v>
      </c>
      <c r="D2762" t="s">
        <v>510</v>
      </c>
      <c r="E2762" t="s">
        <v>271</v>
      </c>
      <c r="F2762" t="s">
        <v>437</v>
      </c>
    </row>
    <row r="2763" spans="1:6" x14ac:dyDescent="0.25">
      <c r="A2763" t="s">
        <v>11251</v>
      </c>
      <c r="B2763" t="s">
        <v>11252</v>
      </c>
      <c r="C2763" t="s">
        <v>2120</v>
      </c>
      <c r="D2763" t="s">
        <v>586</v>
      </c>
      <c r="E2763" t="s">
        <v>271</v>
      </c>
      <c r="F2763" t="s">
        <v>334</v>
      </c>
    </row>
    <row r="2764" spans="1:6" x14ac:dyDescent="0.25">
      <c r="A2764" t="s">
        <v>11253</v>
      </c>
      <c r="B2764" t="s">
        <v>11254</v>
      </c>
      <c r="C2764" t="s">
        <v>11255</v>
      </c>
      <c r="D2764" t="s">
        <v>2404</v>
      </c>
      <c r="E2764" t="s">
        <v>269</v>
      </c>
      <c r="F2764" t="s">
        <v>2403</v>
      </c>
    </row>
    <row r="2765" spans="1:6" x14ac:dyDescent="0.25">
      <c r="A2765" t="s">
        <v>11256</v>
      </c>
      <c r="B2765" t="s">
        <v>11257</v>
      </c>
      <c r="C2765" t="s">
        <v>11258</v>
      </c>
      <c r="D2765" t="s">
        <v>2714</v>
      </c>
      <c r="E2765" t="s">
        <v>271</v>
      </c>
      <c r="F2765" t="s">
        <v>2713</v>
      </c>
    </row>
    <row r="2766" spans="1:6" x14ac:dyDescent="0.25">
      <c r="A2766" t="s">
        <v>11259</v>
      </c>
      <c r="B2766" t="s">
        <v>11260</v>
      </c>
      <c r="C2766" t="s">
        <v>9769</v>
      </c>
      <c r="D2766" t="s">
        <v>314</v>
      </c>
      <c r="E2766" t="s">
        <v>271</v>
      </c>
      <c r="F2766" t="s">
        <v>352</v>
      </c>
    </row>
    <row r="2767" spans="1:6" x14ac:dyDescent="0.25">
      <c r="A2767" t="s">
        <v>11261</v>
      </c>
      <c r="B2767" t="s">
        <v>11262</v>
      </c>
      <c r="C2767" t="s">
        <v>11263</v>
      </c>
      <c r="D2767" t="s">
        <v>0</v>
      </c>
      <c r="E2767" t="s">
        <v>271</v>
      </c>
      <c r="F2767" t="s">
        <v>1115</v>
      </c>
    </row>
    <row r="2768" spans="1:6" x14ac:dyDescent="0.25">
      <c r="A2768" t="s">
        <v>11264</v>
      </c>
      <c r="B2768" t="s">
        <v>11265</v>
      </c>
      <c r="C2768" t="s">
        <v>11266</v>
      </c>
      <c r="D2768" t="s">
        <v>11267</v>
      </c>
      <c r="E2768" t="s">
        <v>269</v>
      </c>
      <c r="F2768" t="s">
        <v>11268</v>
      </c>
    </row>
    <row r="2769" spans="1:6" x14ac:dyDescent="0.25">
      <c r="A2769" t="s">
        <v>11269</v>
      </c>
      <c r="B2769" t="s">
        <v>11270</v>
      </c>
      <c r="C2769" t="s">
        <v>11271</v>
      </c>
      <c r="D2769" t="s">
        <v>357</v>
      </c>
      <c r="E2769" t="s">
        <v>271</v>
      </c>
      <c r="F2769" t="s">
        <v>358</v>
      </c>
    </row>
    <row r="2770" spans="1:6" x14ac:dyDescent="0.25">
      <c r="A2770" t="s">
        <v>11272</v>
      </c>
      <c r="B2770" t="s">
        <v>11273</v>
      </c>
      <c r="C2770" t="s">
        <v>11274</v>
      </c>
      <c r="D2770" t="s">
        <v>1064</v>
      </c>
      <c r="E2770" t="s">
        <v>269</v>
      </c>
      <c r="F2770" t="s">
        <v>1063</v>
      </c>
    </row>
    <row r="2771" spans="1:6" x14ac:dyDescent="0.25">
      <c r="A2771" t="s">
        <v>11275</v>
      </c>
      <c r="B2771" t="s">
        <v>11276</v>
      </c>
      <c r="C2771" t="s">
        <v>11277</v>
      </c>
      <c r="D2771" t="s">
        <v>510</v>
      </c>
      <c r="E2771" t="s">
        <v>271</v>
      </c>
      <c r="F2771" t="s">
        <v>511</v>
      </c>
    </row>
    <row r="2772" spans="1:6" x14ac:dyDescent="0.25">
      <c r="A2772" t="s">
        <v>11278</v>
      </c>
      <c r="B2772" t="s">
        <v>11279</v>
      </c>
      <c r="C2772" t="s">
        <v>11280</v>
      </c>
      <c r="D2772" t="s">
        <v>980</v>
      </c>
      <c r="E2772" t="s">
        <v>271</v>
      </c>
      <c r="F2772" t="s">
        <v>979</v>
      </c>
    </row>
    <row r="2773" spans="1:6" x14ac:dyDescent="0.25">
      <c r="A2773" t="s">
        <v>11281</v>
      </c>
      <c r="B2773" t="s">
        <v>5317</v>
      </c>
      <c r="C2773" t="s">
        <v>11282</v>
      </c>
      <c r="D2773" t="s">
        <v>668</v>
      </c>
      <c r="E2773" t="s">
        <v>271</v>
      </c>
      <c r="F2773" t="s">
        <v>667</v>
      </c>
    </row>
    <row r="2774" spans="1:6" x14ac:dyDescent="0.25">
      <c r="A2774" t="s">
        <v>960</v>
      </c>
      <c r="B2774" t="s">
        <v>961</v>
      </c>
      <c r="C2774" t="s">
        <v>963</v>
      </c>
      <c r="D2774" t="s">
        <v>363</v>
      </c>
      <c r="E2774" t="s">
        <v>271</v>
      </c>
      <c r="F2774" t="s">
        <v>327</v>
      </c>
    </row>
    <row r="2775" spans="1:6" x14ac:dyDescent="0.25">
      <c r="A2775" t="s">
        <v>11283</v>
      </c>
      <c r="B2775" t="s">
        <v>11284</v>
      </c>
      <c r="C2775" t="s">
        <v>11285</v>
      </c>
      <c r="D2775" t="s">
        <v>0</v>
      </c>
      <c r="E2775" t="s">
        <v>271</v>
      </c>
      <c r="F2775" t="s">
        <v>562</v>
      </c>
    </row>
    <row r="2776" spans="1:6" x14ac:dyDescent="0.25">
      <c r="A2776" t="s">
        <v>11286</v>
      </c>
      <c r="B2776" t="s">
        <v>11287</v>
      </c>
      <c r="C2776" t="s">
        <v>11288</v>
      </c>
      <c r="D2776" t="s">
        <v>845</v>
      </c>
      <c r="E2776" t="s">
        <v>271</v>
      </c>
      <c r="F2776" t="s">
        <v>844</v>
      </c>
    </row>
    <row r="2777" spans="1:6" x14ac:dyDescent="0.25">
      <c r="A2777" t="s">
        <v>11289</v>
      </c>
      <c r="B2777" t="s">
        <v>11290</v>
      </c>
      <c r="C2777" t="s">
        <v>11291</v>
      </c>
      <c r="D2777" t="s">
        <v>1126</v>
      </c>
      <c r="E2777" t="s">
        <v>271</v>
      </c>
      <c r="F2777" t="s">
        <v>1125</v>
      </c>
    </row>
    <row r="2778" spans="1:6" x14ac:dyDescent="0.25">
      <c r="A2778" t="s">
        <v>11292</v>
      </c>
      <c r="B2778" t="s">
        <v>11293</v>
      </c>
      <c r="C2778" t="s">
        <v>11294</v>
      </c>
      <c r="D2778" t="s">
        <v>1165</v>
      </c>
      <c r="E2778" t="s">
        <v>271</v>
      </c>
      <c r="F2778" t="s">
        <v>1164</v>
      </c>
    </row>
    <row r="2779" spans="1:6" x14ac:dyDescent="0.25">
      <c r="A2779" t="s">
        <v>11295</v>
      </c>
      <c r="B2779" t="s">
        <v>11296</v>
      </c>
      <c r="C2779" t="s">
        <v>11297</v>
      </c>
      <c r="D2779" t="s">
        <v>3307</v>
      </c>
      <c r="E2779" t="s">
        <v>271</v>
      </c>
      <c r="F2779" t="s">
        <v>2768</v>
      </c>
    </row>
    <row r="2780" spans="1:6" x14ac:dyDescent="0.25">
      <c r="A2780" t="s">
        <v>11298</v>
      </c>
      <c r="B2780" t="s">
        <v>11299</v>
      </c>
      <c r="C2780" t="s">
        <v>11300</v>
      </c>
      <c r="D2780" t="s">
        <v>2116</v>
      </c>
      <c r="E2780" t="s">
        <v>271</v>
      </c>
      <c r="F2780" t="s">
        <v>2115</v>
      </c>
    </row>
    <row r="2781" spans="1:6" x14ac:dyDescent="0.25">
      <c r="A2781" t="s">
        <v>11301</v>
      </c>
      <c r="B2781" t="s">
        <v>11302</v>
      </c>
      <c r="C2781" t="s">
        <v>11303</v>
      </c>
      <c r="D2781" t="s">
        <v>1806</v>
      </c>
      <c r="E2781" t="s">
        <v>271</v>
      </c>
      <c r="F2781" t="s">
        <v>1805</v>
      </c>
    </row>
    <row r="2782" spans="1:6" x14ac:dyDescent="0.25">
      <c r="A2782" t="s">
        <v>11304</v>
      </c>
      <c r="B2782" t="s">
        <v>11305</v>
      </c>
      <c r="C2782" t="s">
        <v>11306</v>
      </c>
      <c r="D2782" t="s">
        <v>0</v>
      </c>
      <c r="E2782" t="s">
        <v>271</v>
      </c>
      <c r="F2782" t="s">
        <v>325</v>
      </c>
    </row>
    <row r="2783" spans="1:6" x14ac:dyDescent="0.25">
      <c r="A2783" t="s">
        <v>11307</v>
      </c>
      <c r="B2783" t="s">
        <v>11308</v>
      </c>
      <c r="C2783" t="s">
        <v>11309</v>
      </c>
      <c r="D2783" t="s">
        <v>0</v>
      </c>
      <c r="E2783" t="s">
        <v>271</v>
      </c>
      <c r="F2783" t="s">
        <v>688</v>
      </c>
    </row>
    <row r="2784" spans="1:6" x14ac:dyDescent="0.25">
      <c r="A2784" t="s">
        <v>11310</v>
      </c>
      <c r="B2784" t="s">
        <v>11311</v>
      </c>
      <c r="C2784" t="s">
        <v>11312</v>
      </c>
      <c r="D2784" t="s">
        <v>510</v>
      </c>
      <c r="E2784" t="s">
        <v>271</v>
      </c>
      <c r="F2784" t="s">
        <v>437</v>
      </c>
    </row>
    <row r="2785" spans="1:6" x14ac:dyDescent="0.25">
      <c r="A2785" t="s">
        <v>11313</v>
      </c>
      <c r="B2785" t="s">
        <v>11314</v>
      </c>
      <c r="C2785" t="s">
        <v>11315</v>
      </c>
      <c r="D2785" t="s">
        <v>503</v>
      </c>
      <c r="E2785" t="s">
        <v>271</v>
      </c>
      <c r="F2785" t="s">
        <v>504</v>
      </c>
    </row>
    <row r="2786" spans="1:6" x14ac:dyDescent="0.25">
      <c r="A2786" t="s">
        <v>2046</v>
      </c>
      <c r="B2786" t="s">
        <v>2047</v>
      </c>
      <c r="C2786" t="s">
        <v>2048</v>
      </c>
      <c r="D2786" t="s">
        <v>0</v>
      </c>
      <c r="E2786" t="s">
        <v>271</v>
      </c>
      <c r="F2786" t="s">
        <v>436</v>
      </c>
    </row>
    <row r="2787" spans="1:6" x14ac:dyDescent="0.25">
      <c r="A2787" t="s">
        <v>1107</v>
      </c>
      <c r="B2787" t="s">
        <v>1108</v>
      </c>
      <c r="C2787" t="s">
        <v>1111</v>
      </c>
      <c r="D2787" t="s">
        <v>1110</v>
      </c>
      <c r="E2787" t="s">
        <v>271</v>
      </c>
      <c r="F2787" t="s">
        <v>1109</v>
      </c>
    </row>
    <row r="2788" spans="1:6" x14ac:dyDescent="0.25">
      <c r="A2788" t="s">
        <v>3242</v>
      </c>
      <c r="B2788" t="s">
        <v>3243</v>
      </c>
      <c r="C2788" t="s">
        <v>3244</v>
      </c>
      <c r="D2788" t="s">
        <v>377</v>
      </c>
      <c r="E2788" t="s">
        <v>269</v>
      </c>
      <c r="F2788" t="s">
        <v>1786</v>
      </c>
    </row>
    <row r="2789" spans="1:6" x14ac:dyDescent="0.25">
      <c r="A2789" t="s">
        <v>11316</v>
      </c>
      <c r="B2789" t="s">
        <v>11317</v>
      </c>
      <c r="C2789" t="s">
        <v>11318</v>
      </c>
      <c r="D2789" t="s">
        <v>246</v>
      </c>
      <c r="E2789" t="s">
        <v>271</v>
      </c>
      <c r="F2789" t="s">
        <v>426</v>
      </c>
    </row>
    <row r="2790" spans="1:6" x14ac:dyDescent="0.25">
      <c r="A2790" t="s">
        <v>11319</v>
      </c>
      <c r="B2790" t="s">
        <v>11320</v>
      </c>
      <c r="C2790" t="s">
        <v>3707</v>
      </c>
      <c r="D2790" t="s">
        <v>1925</v>
      </c>
      <c r="E2790" t="s">
        <v>271</v>
      </c>
      <c r="F2790" t="s">
        <v>3332</v>
      </c>
    </row>
    <row r="2791" spans="1:6" x14ac:dyDescent="0.25">
      <c r="A2791" t="s">
        <v>11321</v>
      </c>
      <c r="B2791" t="s">
        <v>11322</v>
      </c>
      <c r="C2791" t="s">
        <v>11323</v>
      </c>
      <c r="D2791" t="s">
        <v>444</v>
      </c>
      <c r="E2791" t="s">
        <v>271</v>
      </c>
      <c r="F2791" t="s">
        <v>1270</v>
      </c>
    </row>
    <row r="2792" spans="1:6" x14ac:dyDescent="0.25">
      <c r="A2792" t="s">
        <v>11324</v>
      </c>
      <c r="B2792" t="s">
        <v>11325</v>
      </c>
      <c r="C2792" t="s">
        <v>11326</v>
      </c>
      <c r="D2792" t="s">
        <v>450</v>
      </c>
      <c r="E2792" t="s">
        <v>271</v>
      </c>
      <c r="F2792" t="s">
        <v>326</v>
      </c>
    </row>
    <row r="2793" spans="1:6" x14ac:dyDescent="0.25">
      <c r="A2793" t="s">
        <v>11327</v>
      </c>
      <c r="B2793" t="s">
        <v>11328</v>
      </c>
      <c r="C2793" t="s">
        <v>11329</v>
      </c>
      <c r="D2793" t="s">
        <v>11330</v>
      </c>
      <c r="E2793" t="s">
        <v>271</v>
      </c>
      <c r="F2793" t="s">
        <v>11331</v>
      </c>
    </row>
    <row r="2794" spans="1:6" x14ac:dyDescent="0.25">
      <c r="A2794" t="s">
        <v>3764</v>
      </c>
      <c r="B2794" t="s">
        <v>3765</v>
      </c>
      <c r="C2794" t="s">
        <v>3768</v>
      </c>
      <c r="D2794" t="s">
        <v>3767</v>
      </c>
      <c r="E2794" t="s">
        <v>269</v>
      </c>
      <c r="F2794" t="s">
        <v>3766</v>
      </c>
    </row>
    <row r="2795" spans="1:6" x14ac:dyDescent="0.25">
      <c r="A2795" t="s">
        <v>11332</v>
      </c>
      <c r="B2795" t="s">
        <v>11333</v>
      </c>
      <c r="C2795" t="s">
        <v>11334</v>
      </c>
      <c r="D2795" t="s">
        <v>1027</v>
      </c>
      <c r="E2795" t="s">
        <v>271</v>
      </c>
      <c r="F2795" t="s">
        <v>1026</v>
      </c>
    </row>
    <row r="2796" spans="1:6" x14ac:dyDescent="0.25">
      <c r="A2796" t="s">
        <v>11335</v>
      </c>
      <c r="B2796" t="s">
        <v>11336</v>
      </c>
      <c r="C2796" t="s">
        <v>11337</v>
      </c>
      <c r="D2796" t="s">
        <v>1485</v>
      </c>
      <c r="E2796" t="s">
        <v>271</v>
      </c>
      <c r="F2796" t="s">
        <v>1519</v>
      </c>
    </row>
    <row r="2797" spans="1:6" x14ac:dyDescent="0.25">
      <c r="A2797" t="s">
        <v>11338</v>
      </c>
      <c r="B2797" t="s">
        <v>11339</v>
      </c>
      <c r="C2797" t="s">
        <v>5109</v>
      </c>
      <c r="D2797" t="s">
        <v>1079</v>
      </c>
      <c r="E2797" t="s">
        <v>271</v>
      </c>
      <c r="F2797" t="s">
        <v>1747</v>
      </c>
    </row>
    <row r="2798" spans="1:6" x14ac:dyDescent="0.25">
      <c r="A2798" t="s">
        <v>11340</v>
      </c>
      <c r="B2798" t="s">
        <v>11341</v>
      </c>
      <c r="C2798" t="s">
        <v>11342</v>
      </c>
      <c r="D2798" t="s">
        <v>0</v>
      </c>
      <c r="E2798" t="s">
        <v>271</v>
      </c>
      <c r="F2798" t="s">
        <v>436</v>
      </c>
    </row>
    <row r="2799" spans="1:6" x14ac:dyDescent="0.25">
      <c r="A2799" t="s">
        <v>11343</v>
      </c>
      <c r="B2799" t="s">
        <v>11344</v>
      </c>
      <c r="C2799" t="s">
        <v>11345</v>
      </c>
      <c r="D2799" t="s">
        <v>675</v>
      </c>
      <c r="E2799" t="s">
        <v>271</v>
      </c>
      <c r="F2799" t="s">
        <v>674</v>
      </c>
    </row>
    <row r="2800" spans="1:6" x14ac:dyDescent="0.25">
      <c r="A2800" t="s">
        <v>2734</v>
      </c>
      <c r="B2800" t="s">
        <v>2735</v>
      </c>
      <c r="C2800" t="s">
        <v>2736</v>
      </c>
      <c r="D2800" t="s">
        <v>0</v>
      </c>
      <c r="E2800" t="s">
        <v>271</v>
      </c>
      <c r="F2800" t="s">
        <v>325</v>
      </c>
    </row>
    <row r="2801" spans="1:6" x14ac:dyDescent="0.25">
      <c r="A2801" t="s">
        <v>11346</v>
      </c>
      <c r="B2801" t="s">
        <v>11347</v>
      </c>
      <c r="C2801" t="s">
        <v>7847</v>
      </c>
      <c r="D2801" t="s">
        <v>498</v>
      </c>
      <c r="E2801" t="s">
        <v>271</v>
      </c>
      <c r="F2801" t="s">
        <v>926</v>
      </c>
    </row>
    <row r="2802" spans="1:6" x14ac:dyDescent="0.25">
      <c r="A2802" t="s">
        <v>11348</v>
      </c>
      <c r="B2802" t="s">
        <v>11349</v>
      </c>
      <c r="C2802" t="s">
        <v>11350</v>
      </c>
      <c r="D2802" t="s">
        <v>0</v>
      </c>
      <c r="E2802" t="s">
        <v>271</v>
      </c>
      <c r="F2802" t="s">
        <v>325</v>
      </c>
    </row>
    <row r="2803" spans="1:6" x14ac:dyDescent="0.25">
      <c r="A2803" t="s">
        <v>11351</v>
      </c>
      <c r="B2803" t="s">
        <v>11352</v>
      </c>
      <c r="C2803" t="s">
        <v>11353</v>
      </c>
      <c r="D2803" t="s">
        <v>0</v>
      </c>
      <c r="E2803" t="s">
        <v>271</v>
      </c>
      <c r="F2803" t="s">
        <v>4382</v>
      </c>
    </row>
    <row r="2804" spans="1:6" x14ac:dyDescent="0.25">
      <c r="A2804" t="s">
        <v>11354</v>
      </c>
      <c r="B2804" t="s">
        <v>11355</v>
      </c>
      <c r="C2804" t="s">
        <v>11356</v>
      </c>
      <c r="D2804" t="s">
        <v>0</v>
      </c>
      <c r="E2804" t="s">
        <v>271</v>
      </c>
      <c r="F2804" t="s">
        <v>785</v>
      </c>
    </row>
    <row r="2805" spans="1:6" x14ac:dyDescent="0.25">
      <c r="A2805" t="s">
        <v>11357</v>
      </c>
      <c r="B2805" t="s">
        <v>262</v>
      </c>
      <c r="C2805" t="s">
        <v>11358</v>
      </c>
      <c r="D2805" t="s">
        <v>492</v>
      </c>
      <c r="E2805" t="s">
        <v>271</v>
      </c>
      <c r="F2805" t="s">
        <v>493</v>
      </c>
    </row>
    <row r="2806" spans="1:6" x14ac:dyDescent="0.25">
      <c r="A2806" t="s">
        <v>11359</v>
      </c>
      <c r="B2806" t="s">
        <v>11360</v>
      </c>
      <c r="C2806" t="s">
        <v>11361</v>
      </c>
      <c r="D2806" t="s">
        <v>0</v>
      </c>
      <c r="E2806" t="s">
        <v>271</v>
      </c>
      <c r="F2806" t="s">
        <v>575</v>
      </c>
    </row>
    <row r="2807" spans="1:6" x14ac:dyDescent="0.25">
      <c r="A2807" t="s">
        <v>1085</v>
      </c>
      <c r="B2807" t="s">
        <v>1086</v>
      </c>
      <c r="C2807" t="s">
        <v>1087</v>
      </c>
      <c r="D2807" t="s">
        <v>506</v>
      </c>
      <c r="E2807" t="s">
        <v>271</v>
      </c>
      <c r="F2807" t="s">
        <v>507</v>
      </c>
    </row>
    <row r="2808" spans="1:6" x14ac:dyDescent="0.25">
      <c r="A2808" t="s">
        <v>11362</v>
      </c>
      <c r="B2808" t="s">
        <v>11363</v>
      </c>
      <c r="C2808" t="s">
        <v>11364</v>
      </c>
      <c r="D2808" t="s">
        <v>2697</v>
      </c>
      <c r="E2808" t="s">
        <v>271</v>
      </c>
      <c r="F2808" t="s">
        <v>2696</v>
      </c>
    </row>
    <row r="2809" spans="1:6" x14ac:dyDescent="0.25">
      <c r="A2809" t="s">
        <v>2152</v>
      </c>
      <c r="B2809" t="s">
        <v>2153</v>
      </c>
      <c r="C2809" t="s">
        <v>2154</v>
      </c>
      <c r="D2809" t="s">
        <v>361</v>
      </c>
      <c r="E2809" t="s">
        <v>271</v>
      </c>
      <c r="F2809" t="s">
        <v>582</v>
      </c>
    </row>
    <row r="2810" spans="1:6" x14ac:dyDescent="0.25">
      <c r="A2810" t="s">
        <v>11365</v>
      </c>
      <c r="B2810" t="s">
        <v>11366</v>
      </c>
      <c r="C2810" t="s">
        <v>6846</v>
      </c>
      <c r="D2810" t="s">
        <v>986</v>
      </c>
      <c r="E2810" t="s">
        <v>271</v>
      </c>
      <c r="F2810" t="s">
        <v>985</v>
      </c>
    </row>
    <row r="2811" spans="1:6" x14ac:dyDescent="0.25">
      <c r="A2811" t="s">
        <v>11367</v>
      </c>
      <c r="B2811" t="s">
        <v>11368</v>
      </c>
      <c r="C2811" t="s">
        <v>11369</v>
      </c>
      <c r="D2811" t="s">
        <v>617</v>
      </c>
      <c r="E2811" t="s">
        <v>271</v>
      </c>
      <c r="F2811" t="s">
        <v>438</v>
      </c>
    </row>
    <row r="2812" spans="1:6" x14ac:dyDescent="0.25">
      <c r="A2812" t="s">
        <v>11370</v>
      </c>
      <c r="B2812" t="s">
        <v>11371</v>
      </c>
      <c r="C2812" t="s">
        <v>11372</v>
      </c>
      <c r="D2812" t="s">
        <v>793</v>
      </c>
      <c r="E2812" t="s">
        <v>271</v>
      </c>
      <c r="F2812" t="s">
        <v>792</v>
      </c>
    </row>
    <row r="2813" spans="1:6" x14ac:dyDescent="0.25">
      <c r="A2813" t="s">
        <v>2140</v>
      </c>
      <c r="B2813" t="s">
        <v>2141</v>
      </c>
      <c r="C2813" t="s">
        <v>2143</v>
      </c>
      <c r="D2813" t="s">
        <v>1925</v>
      </c>
      <c r="E2813" t="s">
        <v>271</v>
      </c>
      <c r="F2813" t="s">
        <v>1924</v>
      </c>
    </row>
    <row r="2814" spans="1:6" x14ac:dyDescent="0.25">
      <c r="A2814" t="s">
        <v>2686</v>
      </c>
      <c r="B2814" t="s">
        <v>2687</v>
      </c>
      <c r="C2814" t="s">
        <v>2688</v>
      </c>
      <c r="D2814" t="s">
        <v>0</v>
      </c>
      <c r="E2814" t="s">
        <v>271</v>
      </c>
      <c r="F2814" t="s">
        <v>1534</v>
      </c>
    </row>
    <row r="2815" spans="1:6" x14ac:dyDescent="0.25">
      <c r="A2815" t="s">
        <v>11373</v>
      </c>
      <c r="B2815" t="s">
        <v>581</v>
      </c>
      <c r="C2815" t="s">
        <v>11374</v>
      </c>
      <c r="D2815" t="s">
        <v>718</v>
      </c>
      <c r="E2815" t="s">
        <v>271</v>
      </c>
      <c r="F2815" t="s">
        <v>333</v>
      </c>
    </row>
    <row r="2816" spans="1:6" x14ac:dyDescent="0.25">
      <c r="A2816" t="s">
        <v>11375</v>
      </c>
      <c r="B2816" t="s">
        <v>11376</v>
      </c>
      <c r="C2816" t="s">
        <v>10367</v>
      </c>
      <c r="D2816" t="s">
        <v>0</v>
      </c>
      <c r="E2816" t="s">
        <v>271</v>
      </c>
      <c r="F2816" t="s">
        <v>436</v>
      </c>
    </row>
    <row r="2817" spans="1:6" x14ac:dyDescent="0.25">
      <c r="A2817" t="s">
        <v>11377</v>
      </c>
      <c r="B2817" t="s">
        <v>11378</v>
      </c>
      <c r="C2817" t="s">
        <v>11379</v>
      </c>
      <c r="D2817" t="s">
        <v>2093</v>
      </c>
      <c r="E2817" t="s">
        <v>271</v>
      </c>
      <c r="F2817" t="s">
        <v>1058</v>
      </c>
    </row>
    <row r="2818" spans="1:6" x14ac:dyDescent="0.25">
      <c r="A2818" t="s">
        <v>11380</v>
      </c>
      <c r="B2818" t="s">
        <v>11381</v>
      </c>
      <c r="C2818" t="s">
        <v>11382</v>
      </c>
      <c r="D2818" t="s">
        <v>699</v>
      </c>
      <c r="E2818" t="s">
        <v>269</v>
      </c>
      <c r="F2818" t="s">
        <v>698</v>
      </c>
    </row>
    <row r="2819" spans="1:6" x14ac:dyDescent="0.25">
      <c r="A2819" t="s">
        <v>11383</v>
      </c>
      <c r="B2819" t="s">
        <v>11384</v>
      </c>
      <c r="C2819" t="s">
        <v>11385</v>
      </c>
      <c r="D2819" t="s">
        <v>1648</v>
      </c>
      <c r="E2819" t="s">
        <v>271</v>
      </c>
      <c r="F2819" t="s">
        <v>1647</v>
      </c>
    </row>
    <row r="2820" spans="1:6" x14ac:dyDescent="0.25">
      <c r="A2820" t="s">
        <v>11386</v>
      </c>
      <c r="B2820" t="s">
        <v>2399</v>
      </c>
      <c r="C2820" t="s">
        <v>2400</v>
      </c>
      <c r="D2820" t="s">
        <v>314</v>
      </c>
      <c r="E2820" t="s">
        <v>271</v>
      </c>
      <c r="F2820" t="s">
        <v>352</v>
      </c>
    </row>
    <row r="2821" spans="1:6" x14ac:dyDescent="0.25">
      <c r="A2821" t="s">
        <v>11387</v>
      </c>
      <c r="B2821" t="s">
        <v>11388</v>
      </c>
      <c r="C2821" t="s">
        <v>11389</v>
      </c>
      <c r="D2821" t="s">
        <v>0</v>
      </c>
      <c r="E2821" t="s">
        <v>271</v>
      </c>
      <c r="F2821" t="s">
        <v>726</v>
      </c>
    </row>
    <row r="2822" spans="1:6" x14ac:dyDescent="0.25">
      <c r="A2822" t="s">
        <v>11390</v>
      </c>
      <c r="B2822" t="s">
        <v>11391</v>
      </c>
      <c r="C2822" t="s">
        <v>11392</v>
      </c>
      <c r="D2822" t="s">
        <v>218</v>
      </c>
      <c r="E2822" t="s">
        <v>341</v>
      </c>
      <c r="F2822" t="s">
        <v>382</v>
      </c>
    </row>
    <row r="2823" spans="1:6" x14ac:dyDescent="0.25">
      <c r="A2823" t="s">
        <v>11393</v>
      </c>
      <c r="B2823" t="s">
        <v>11394</v>
      </c>
      <c r="C2823" t="s">
        <v>11395</v>
      </c>
      <c r="D2823" t="s">
        <v>0</v>
      </c>
      <c r="E2823" t="s">
        <v>271</v>
      </c>
      <c r="F2823" t="s">
        <v>325</v>
      </c>
    </row>
    <row r="2824" spans="1:6" x14ac:dyDescent="0.25">
      <c r="A2824" t="s">
        <v>11396</v>
      </c>
      <c r="B2824" t="s">
        <v>11397</v>
      </c>
      <c r="C2824" t="s">
        <v>2362</v>
      </c>
      <c r="D2824" t="s">
        <v>237</v>
      </c>
      <c r="E2824" t="s">
        <v>271</v>
      </c>
      <c r="F2824" t="s">
        <v>427</v>
      </c>
    </row>
    <row r="2825" spans="1:6" x14ac:dyDescent="0.25">
      <c r="A2825" t="s">
        <v>11398</v>
      </c>
      <c r="B2825" t="s">
        <v>11399</v>
      </c>
      <c r="C2825" t="s">
        <v>11400</v>
      </c>
      <c r="D2825" t="s">
        <v>453</v>
      </c>
      <c r="E2825" t="s">
        <v>271</v>
      </c>
      <c r="F2825" t="s">
        <v>2285</v>
      </c>
    </row>
    <row r="2826" spans="1:6" x14ac:dyDescent="0.25">
      <c r="A2826" t="s">
        <v>11401</v>
      </c>
      <c r="B2826" t="s">
        <v>11402</v>
      </c>
      <c r="C2826" t="s">
        <v>11403</v>
      </c>
      <c r="D2826" t="s">
        <v>0</v>
      </c>
      <c r="E2826" t="s">
        <v>271</v>
      </c>
      <c r="F2826" t="s">
        <v>356</v>
      </c>
    </row>
    <row r="2827" spans="1:6" x14ac:dyDescent="0.25">
      <c r="A2827" t="s">
        <v>11404</v>
      </c>
      <c r="B2827" t="s">
        <v>11405</v>
      </c>
      <c r="C2827" t="s">
        <v>11406</v>
      </c>
      <c r="D2827" t="s">
        <v>2908</v>
      </c>
      <c r="E2827" t="s">
        <v>271</v>
      </c>
      <c r="F2827" t="s">
        <v>2470</v>
      </c>
    </row>
    <row r="2828" spans="1:6" x14ac:dyDescent="0.25">
      <c r="A2828" t="s">
        <v>11407</v>
      </c>
      <c r="B2828" t="s">
        <v>11408</v>
      </c>
      <c r="C2828" t="s">
        <v>11409</v>
      </c>
      <c r="D2828" t="s">
        <v>357</v>
      </c>
      <c r="E2828" t="s">
        <v>271</v>
      </c>
      <c r="F2828" t="s">
        <v>358</v>
      </c>
    </row>
    <row r="2829" spans="1:6" x14ac:dyDescent="0.25">
      <c r="A2829" t="s">
        <v>11410</v>
      </c>
      <c r="B2829" t="s">
        <v>11411</v>
      </c>
      <c r="C2829" t="s">
        <v>11412</v>
      </c>
      <c r="D2829" t="s">
        <v>510</v>
      </c>
      <c r="E2829" t="s">
        <v>271</v>
      </c>
      <c r="F2829" t="s">
        <v>437</v>
      </c>
    </row>
    <row r="2830" spans="1:6" x14ac:dyDescent="0.25">
      <c r="A2830" t="s">
        <v>11413</v>
      </c>
      <c r="B2830" t="s">
        <v>11414</v>
      </c>
      <c r="C2830" t="s">
        <v>11415</v>
      </c>
      <c r="D2830" t="s">
        <v>510</v>
      </c>
      <c r="E2830" t="s">
        <v>271</v>
      </c>
      <c r="F2830" t="s">
        <v>511</v>
      </c>
    </row>
    <row r="2831" spans="1:6" x14ac:dyDescent="0.25">
      <c r="A2831" t="s">
        <v>11416</v>
      </c>
      <c r="B2831" t="s">
        <v>11417</v>
      </c>
      <c r="C2831" t="s">
        <v>11418</v>
      </c>
      <c r="D2831" t="s">
        <v>0</v>
      </c>
      <c r="E2831" t="s">
        <v>271</v>
      </c>
      <c r="F2831" t="s">
        <v>323</v>
      </c>
    </row>
    <row r="2832" spans="1:6" x14ac:dyDescent="0.25">
      <c r="A2832" t="s">
        <v>11419</v>
      </c>
      <c r="B2832" t="s">
        <v>11420</v>
      </c>
      <c r="C2832" t="s">
        <v>11421</v>
      </c>
      <c r="D2832" t="s">
        <v>871</v>
      </c>
      <c r="E2832" t="s">
        <v>271</v>
      </c>
      <c r="F2832" t="s">
        <v>870</v>
      </c>
    </row>
    <row r="2833" spans="1:6" x14ac:dyDescent="0.25">
      <c r="A2833" t="s">
        <v>2014</v>
      </c>
      <c r="B2833" t="s">
        <v>2015</v>
      </c>
      <c r="C2833" t="s">
        <v>2016</v>
      </c>
      <c r="D2833" t="s">
        <v>0</v>
      </c>
      <c r="E2833" t="s">
        <v>271</v>
      </c>
      <c r="F2833" t="s">
        <v>1141</v>
      </c>
    </row>
    <row r="2834" spans="1:6" x14ac:dyDescent="0.25">
      <c r="A2834" t="s">
        <v>11422</v>
      </c>
      <c r="B2834" t="s">
        <v>11423</v>
      </c>
      <c r="C2834" t="s">
        <v>11424</v>
      </c>
      <c r="D2834" t="s">
        <v>1370</v>
      </c>
      <c r="E2834" t="s">
        <v>271</v>
      </c>
      <c r="F2834" t="s">
        <v>1369</v>
      </c>
    </row>
    <row r="2835" spans="1:6" x14ac:dyDescent="0.25">
      <c r="A2835" t="s">
        <v>11425</v>
      </c>
      <c r="B2835" t="s">
        <v>11426</v>
      </c>
      <c r="C2835" t="s">
        <v>11427</v>
      </c>
      <c r="D2835" t="s">
        <v>391</v>
      </c>
      <c r="E2835" t="s">
        <v>341</v>
      </c>
      <c r="F2835" t="s">
        <v>412</v>
      </c>
    </row>
    <row r="2836" spans="1:6" x14ac:dyDescent="0.25">
      <c r="A2836" t="s">
        <v>11428</v>
      </c>
      <c r="B2836" t="s">
        <v>11429</v>
      </c>
      <c r="C2836" t="s">
        <v>11430</v>
      </c>
      <c r="D2836" t="s">
        <v>1973</v>
      </c>
      <c r="E2836" t="s">
        <v>271</v>
      </c>
      <c r="F2836" t="s">
        <v>1972</v>
      </c>
    </row>
    <row r="2837" spans="1:6" x14ac:dyDescent="0.25">
      <c r="A2837" t="s">
        <v>11431</v>
      </c>
      <c r="B2837" t="s">
        <v>11432</v>
      </c>
      <c r="C2837" t="s">
        <v>11433</v>
      </c>
      <c r="D2837" t="s">
        <v>461</v>
      </c>
      <c r="E2837" t="s">
        <v>271</v>
      </c>
      <c r="F2837" t="s">
        <v>336</v>
      </c>
    </row>
    <row r="2838" spans="1:6" x14ac:dyDescent="0.25">
      <c r="A2838" t="s">
        <v>11434</v>
      </c>
      <c r="B2838" t="s">
        <v>11435</v>
      </c>
      <c r="C2838" t="s">
        <v>11436</v>
      </c>
      <c r="D2838" t="s">
        <v>2493</v>
      </c>
      <c r="E2838" t="s">
        <v>271</v>
      </c>
      <c r="F2838" t="s">
        <v>2492</v>
      </c>
    </row>
    <row r="2839" spans="1:6" x14ac:dyDescent="0.25">
      <c r="A2839" t="s">
        <v>11437</v>
      </c>
      <c r="B2839" t="s">
        <v>11438</v>
      </c>
      <c r="C2839" t="s">
        <v>11439</v>
      </c>
      <c r="D2839" t="s">
        <v>0</v>
      </c>
      <c r="E2839" t="s">
        <v>271</v>
      </c>
      <c r="F2839" t="s">
        <v>431</v>
      </c>
    </row>
    <row r="2840" spans="1:6" x14ac:dyDescent="0.25">
      <c r="A2840" t="s">
        <v>11440</v>
      </c>
      <c r="B2840" t="s">
        <v>11441</v>
      </c>
      <c r="C2840" t="s">
        <v>11442</v>
      </c>
      <c r="D2840" t="s">
        <v>1186</v>
      </c>
      <c r="E2840" t="s">
        <v>271</v>
      </c>
      <c r="F2840" t="s">
        <v>1185</v>
      </c>
    </row>
    <row r="2841" spans="1:6" x14ac:dyDescent="0.25">
      <c r="A2841" t="s">
        <v>11443</v>
      </c>
      <c r="B2841" t="s">
        <v>11444</v>
      </c>
      <c r="C2841" t="s">
        <v>11445</v>
      </c>
      <c r="D2841" t="s">
        <v>0</v>
      </c>
      <c r="E2841" t="s">
        <v>271</v>
      </c>
      <c r="F2841" t="s">
        <v>4402</v>
      </c>
    </row>
    <row r="2842" spans="1:6" x14ac:dyDescent="0.25">
      <c r="A2842" t="s">
        <v>11446</v>
      </c>
      <c r="B2842" t="s">
        <v>11447</v>
      </c>
      <c r="C2842" t="s">
        <v>11448</v>
      </c>
      <c r="D2842" t="s">
        <v>510</v>
      </c>
      <c r="E2842" t="s">
        <v>271</v>
      </c>
      <c r="F2842" t="s">
        <v>437</v>
      </c>
    </row>
    <row r="2843" spans="1:6" x14ac:dyDescent="0.25">
      <c r="A2843" t="s">
        <v>11449</v>
      </c>
      <c r="B2843" t="s">
        <v>11450</v>
      </c>
      <c r="C2843" t="s">
        <v>11451</v>
      </c>
      <c r="D2843" t="s">
        <v>0</v>
      </c>
      <c r="E2843" t="s">
        <v>271</v>
      </c>
      <c r="F2843" t="s">
        <v>1141</v>
      </c>
    </row>
    <row r="2844" spans="1:6" x14ac:dyDescent="0.25">
      <c r="A2844" t="s">
        <v>11452</v>
      </c>
      <c r="B2844" t="s">
        <v>11453</v>
      </c>
      <c r="C2844" t="s">
        <v>11454</v>
      </c>
      <c r="D2844" t="s">
        <v>0</v>
      </c>
      <c r="E2844" t="s">
        <v>271</v>
      </c>
      <c r="F2844" t="s">
        <v>1141</v>
      </c>
    </row>
    <row r="2845" spans="1:6" x14ac:dyDescent="0.25">
      <c r="A2845" t="s">
        <v>1104</v>
      </c>
      <c r="B2845" t="s">
        <v>1105</v>
      </c>
      <c r="C2845" t="s">
        <v>1106</v>
      </c>
      <c r="D2845" t="s">
        <v>986</v>
      </c>
      <c r="E2845" t="s">
        <v>271</v>
      </c>
      <c r="F2845" t="s">
        <v>985</v>
      </c>
    </row>
    <row r="2846" spans="1:6" x14ac:dyDescent="0.25">
      <c r="A2846" t="s">
        <v>11455</v>
      </c>
      <c r="B2846" t="s">
        <v>11456</v>
      </c>
      <c r="C2846" t="s">
        <v>11457</v>
      </c>
      <c r="D2846" t="s">
        <v>0</v>
      </c>
      <c r="E2846" t="s">
        <v>271</v>
      </c>
      <c r="F2846" t="s">
        <v>726</v>
      </c>
    </row>
    <row r="2847" spans="1:6" x14ac:dyDescent="0.25">
      <c r="A2847" t="s">
        <v>11458</v>
      </c>
      <c r="B2847" t="s">
        <v>11459</v>
      </c>
      <c r="C2847" t="s">
        <v>11460</v>
      </c>
      <c r="D2847" t="s">
        <v>967</v>
      </c>
      <c r="E2847" t="s">
        <v>271</v>
      </c>
      <c r="F2847" t="s">
        <v>966</v>
      </c>
    </row>
    <row r="2848" spans="1:6" x14ac:dyDescent="0.25">
      <c r="A2848" t="s">
        <v>11461</v>
      </c>
      <c r="B2848" t="s">
        <v>11462</v>
      </c>
      <c r="C2848" t="s">
        <v>11463</v>
      </c>
      <c r="D2848" t="s">
        <v>377</v>
      </c>
      <c r="E2848" t="s">
        <v>269</v>
      </c>
      <c r="F2848" t="s">
        <v>1786</v>
      </c>
    </row>
    <row r="2849" spans="1:6" x14ac:dyDescent="0.25">
      <c r="A2849" t="s">
        <v>11464</v>
      </c>
      <c r="B2849" t="s">
        <v>11465</v>
      </c>
      <c r="C2849" t="s">
        <v>11466</v>
      </c>
      <c r="D2849" t="s">
        <v>0</v>
      </c>
      <c r="E2849" t="s">
        <v>271</v>
      </c>
      <c r="F2849" t="s">
        <v>731</v>
      </c>
    </row>
    <row r="2850" spans="1:6" x14ac:dyDescent="0.25">
      <c r="A2850" t="s">
        <v>11467</v>
      </c>
      <c r="B2850" t="s">
        <v>11468</v>
      </c>
      <c r="C2850" t="s">
        <v>11469</v>
      </c>
      <c r="D2850" t="s">
        <v>0</v>
      </c>
      <c r="E2850" t="s">
        <v>271</v>
      </c>
      <c r="F2850" t="s">
        <v>709</v>
      </c>
    </row>
    <row r="2851" spans="1:6" x14ac:dyDescent="0.25">
      <c r="A2851" t="s">
        <v>11470</v>
      </c>
      <c r="B2851" t="s">
        <v>11471</v>
      </c>
      <c r="C2851" t="s">
        <v>11472</v>
      </c>
      <c r="D2851" t="s">
        <v>0</v>
      </c>
      <c r="E2851" t="s">
        <v>271</v>
      </c>
      <c r="F2851" t="s">
        <v>562</v>
      </c>
    </row>
    <row r="2852" spans="1:6" x14ac:dyDescent="0.25">
      <c r="A2852" t="s">
        <v>11473</v>
      </c>
      <c r="B2852" t="s">
        <v>11474</v>
      </c>
      <c r="C2852" t="s">
        <v>11475</v>
      </c>
      <c r="D2852" t="s">
        <v>1317</v>
      </c>
      <c r="E2852" t="s">
        <v>271</v>
      </c>
      <c r="F2852" t="s">
        <v>1316</v>
      </c>
    </row>
    <row r="2853" spans="1:6" x14ac:dyDescent="0.25">
      <c r="A2853" t="s">
        <v>11476</v>
      </c>
      <c r="B2853" t="s">
        <v>11477</v>
      </c>
      <c r="C2853" t="s">
        <v>11478</v>
      </c>
      <c r="D2853" t="s">
        <v>1601</v>
      </c>
      <c r="E2853" t="s">
        <v>269</v>
      </c>
      <c r="F2853" t="s">
        <v>3126</v>
      </c>
    </row>
    <row r="2854" spans="1:6" x14ac:dyDescent="0.25">
      <c r="A2854" t="s">
        <v>11479</v>
      </c>
      <c r="B2854" t="s">
        <v>11480</v>
      </c>
      <c r="C2854" t="s">
        <v>11481</v>
      </c>
      <c r="D2854" t="s">
        <v>1542</v>
      </c>
      <c r="E2854" t="s">
        <v>269</v>
      </c>
      <c r="F2854" t="s">
        <v>1541</v>
      </c>
    </row>
    <row r="2855" spans="1:6" x14ac:dyDescent="0.25">
      <c r="A2855" t="s">
        <v>11482</v>
      </c>
      <c r="B2855" t="s">
        <v>11483</v>
      </c>
      <c r="C2855" t="s">
        <v>11484</v>
      </c>
      <c r="D2855" t="s">
        <v>0</v>
      </c>
      <c r="E2855" t="s">
        <v>271</v>
      </c>
      <c r="F2855" t="s">
        <v>726</v>
      </c>
    </row>
    <row r="2856" spans="1:6" x14ac:dyDescent="0.25">
      <c r="A2856" t="s">
        <v>3711</v>
      </c>
      <c r="B2856" t="s">
        <v>3712</v>
      </c>
      <c r="C2856" t="s">
        <v>3713</v>
      </c>
      <c r="D2856" t="s">
        <v>453</v>
      </c>
      <c r="E2856" t="s">
        <v>271</v>
      </c>
      <c r="F2856" t="s">
        <v>2285</v>
      </c>
    </row>
    <row r="2857" spans="1:6" x14ac:dyDescent="0.25">
      <c r="A2857" t="s">
        <v>11485</v>
      </c>
      <c r="B2857" t="s">
        <v>11486</v>
      </c>
      <c r="C2857" t="s">
        <v>11487</v>
      </c>
      <c r="D2857" t="s">
        <v>0</v>
      </c>
      <c r="E2857" t="s">
        <v>271</v>
      </c>
      <c r="F2857" t="s">
        <v>562</v>
      </c>
    </row>
    <row r="2858" spans="1:6" x14ac:dyDescent="0.25">
      <c r="A2858" t="s">
        <v>11488</v>
      </c>
      <c r="B2858" t="s">
        <v>11489</v>
      </c>
      <c r="C2858" t="s">
        <v>11490</v>
      </c>
      <c r="D2858" t="s">
        <v>1337</v>
      </c>
      <c r="E2858" t="s">
        <v>271</v>
      </c>
      <c r="F2858" t="s">
        <v>1336</v>
      </c>
    </row>
    <row r="2859" spans="1:6" x14ac:dyDescent="0.25">
      <c r="A2859" t="s">
        <v>11491</v>
      </c>
      <c r="B2859" t="s">
        <v>11492</v>
      </c>
      <c r="C2859" t="s">
        <v>11493</v>
      </c>
      <c r="D2859" t="s">
        <v>0</v>
      </c>
      <c r="E2859" t="s">
        <v>271</v>
      </c>
      <c r="F2859" t="s">
        <v>895</v>
      </c>
    </row>
    <row r="2860" spans="1:6" x14ac:dyDescent="0.25">
      <c r="A2860" t="s">
        <v>11494</v>
      </c>
      <c r="B2860" t="s">
        <v>11495</v>
      </c>
      <c r="C2860" t="s">
        <v>11496</v>
      </c>
      <c r="D2860" t="s">
        <v>11497</v>
      </c>
      <c r="E2860" t="s">
        <v>457</v>
      </c>
      <c r="F2860" t="s">
        <v>11498</v>
      </c>
    </row>
    <row r="2861" spans="1:6" x14ac:dyDescent="0.25">
      <c r="A2861" t="s">
        <v>11499</v>
      </c>
      <c r="B2861" t="s">
        <v>11500</v>
      </c>
      <c r="C2861" t="s">
        <v>11501</v>
      </c>
      <c r="D2861" t="s">
        <v>0</v>
      </c>
      <c r="E2861" t="s">
        <v>271</v>
      </c>
      <c r="F2861" t="s">
        <v>356</v>
      </c>
    </row>
    <row r="2862" spans="1:6" x14ac:dyDescent="0.25">
      <c r="A2862" t="s">
        <v>11502</v>
      </c>
      <c r="B2862" t="s">
        <v>11503</v>
      </c>
      <c r="C2862" t="s">
        <v>11504</v>
      </c>
      <c r="D2862" t="s">
        <v>1165</v>
      </c>
      <c r="E2862" t="s">
        <v>271</v>
      </c>
      <c r="F2862" t="s">
        <v>1402</v>
      </c>
    </row>
    <row r="2863" spans="1:6" x14ac:dyDescent="0.25">
      <c r="A2863" t="s">
        <v>11505</v>
      </c>
      <c r="B2863" t="s">
        <v>11506</v>
      </c>
      <c r="C2863" t="s">
        <v>7176</v>
      </c>
      <c r="D2863" t="s">
        <v>0</v>
      </c>
      <c r="E2863" t="s">
        <v>271</v>
      </c>
      <c r="F2863" t="s">
        <v>319</v>
      </c>
    </row>
    <row r="2864" spans="1:6" x14ac:dyDescent="0.25">
      <c r="A2864" t="s">
        <v>11507</v>
      </c>
      <c r="B2864" t="s">
        <v>11508</v>
      </c>
      <c r="C2864" t="s">
        <v>11509</v>
      </c>
      <c r="D2864" t="s">
        <v>498</v>
      </c>
      <c r="E2864" t="s">
        <v>271</v>
      </c>
      <c r="F2864" t="s">
        <v>926</v>
      </c>
    </row>
    <row r="2865" spans="1:6" x14ac:dyDescent="0.25">
      <c r="A2865" t="s">
        <v>11510</v>
      </c>
      <c r="B2865" t="s">
        <v>11511</v>
      </c>
      <c r="C2865" t="s">
        <v>11512</v>
      </c>
      <c r="D2865" t="s">
        <v>0</v>
      </c>
      <c r="E2865" t="s">
        <v>271</v>
      </c>
      <c r="F2865" t="s">
        <v>531</v>
      </c>
    </row>
    <row r="2866" spans="1:6" x14ac:dyDescent="0.25">
      <c r="A2866" t="s">
        <v>11513</v>
      </c>
      <c r="B2866" t="s">
        <v>8826</v>
      </c>
      <c r="C2866" t="s">
        <v>11514</v>
      </c>
      <c r="D2866" t="s">
        <v>1638</v>
      </c>
      <c r="E2866" t="s">
        <v>271</v>
      </c>
      <c r="F2866" t="s">
        <v>1637</v>
      </c>
    </row>
    <row r="2867" spans="1:6" x14ac:dyDescent="0.25">
      <c r="A2867" t="s">
        <v>11515</v>
      </c>
      <c r="B2867" t="s">
        <v>11516</v>
      </c>
      <c r="C2867" t="s">
        <v>11517</v>
      </c>
      <c r="D2867" t="s">
        <v>0</v>
      </c>
      <c r="E2867" t="s">
        <v>271</v>
      </c>
      <c r="F2867" t="s">
        <v>319</v>
      </c>
    </row>
    <row r="2868" spans="1:6" x14ac:dyDescent="0.25">
      <c r="A2868" t="s">
        <v>11518</v>
      </c>
      <c r="B2868" t="s">
        <v>11519</v>
      </c>
      <c r="C2868" t="s">
        <v>11520</v>
      </c>
      <c r="D2868" t="s">
        <v>0</v>
      </c>
      <c r="E2868" t="s">
        <v>271</v>
      </c>
      <c r="F2868" t="s">
        <v>1148</v>
      </c>
    </row>
    <row r="2869" spans="1:6" x14ac:dyDescent="0.25">
      <c r="A2869" t="s">
        <v>11521</v>
      </c>
      <c r="B2869" t="s">
        <v>11522</v>
      </c>
      <c r="C2869" t="s">
        <v>11523</v>
      </c>
      <c r="D2869" t="s">
        <v>598</v>
      </c>
      <c r="E2869" t="s">
        <v>271</v>
      </c>
      <c r="F2869" t="s">
        <v>599</v>
      </c>
    </row>
    <row r="2870" spans="1:6" x14ac:dyDescent="0.25">
      <c r="A2870" t="s">
        <v>11524</v>
      </c>
      <c r="B2870" t="s">
        <v>9071</v>
      </c>
      <c r="C2870" t="s">
        <v>11525</v>
      </c>
      <c r="D2870" t="s">
        <v>0</v>
      </c>
      <c r="E2870" t="s">
        <v>271</v>
      </c>
      <c r="F2870" t="s">
        <v>319</v>
      </c>
    </row>
    <row r="2871" spans="1:6" x14ac:dyDescent="0.25">
      <c r="A2871" t="s">
        <v>11526</v>
      </c>
      <c r="B2871" t="s">
        <v>11527</v>
      </c>
      <c r="C2871" t="s">
        <v>11528</v>
      </c>
      <c r="D2871" t="s">
        <v>1925</v>
      </c>
      <c r="E2871" t="s">
        <v>271</v>
      </c>
      <c r="F2871" t="s">
        <v>1924</v>
      </c>
    </row>
    <row r="2872" spans="1:6" x14ac:dyDescent="0.25">
      <c r="A2872" t="s">
        <v>11529</v>
      </c>
      <c r="B2872" t="s">
        <v>11530</v>
      </c>
      <c r="C2872" t="s">
        <v>11531</v>
      </c>
      <c r="D2872" t="s">
        <v>3291</v>
      </c>
      <c r="E2872" t="s">
        <v>271</v>
      </c>
      <c r="F2872" t="s">
        <v>3290</v>
      </c>
    </row>
    <row r="2873" spans="1:6" x14ac:dyDescent="0.25">
      <c r="A2873" t="s">
        <v>11532</v>
      </c>
      <c r="B2873" t="s">
        <v>11533</v>
      </c>
      <c r="C2873" t="s">
        <v>11534</v>
      </c>
      <c r="D2873" t="s">
        <v>1915</v>
      </c>
      <c r="E2873" t="s">
        <v>269</v>
      </c>
      <c r="F2873" t="s">
        <v>1914</v>
      </c>
    </row>
    <row r="2874" spans="1:6" x14ac:dyDescent="0.25">
      <c r="A2874" t="s">
        <v>11535</v>
      </c>
      <c r="B2874" t="s">
        <v>11536</v>
      </c>
      <c r="C2874" t="s">
        <v>11537</v>
      </c>
      <c r="D2874" t="s">
        <v>312</v>
      </c>
      <c r="E2874" t="s">
        <v>271</v>
      </c>
      <c r="F2874" t="s">
        <v>311</v>
      </c>
    </row>
    <row r="2875" spans="1:6" x14ac:dyDescent="0.25">
      <c r="A2875" t="s">
        <v>11538</v>
      </c>
      <c r="B2875" t="s">
        <v>11539</v>
      </c>
      <c r="C2875" t="s">
        <v>11540</v>
      </c>
      <c r="D2875" t="s">
        <v>440</v>
      </c>
      <c r="E2875" t="s">
        <v>271</v>
      </c>
      <c r="F2875" t="s">
        <v>441</v>
      </c>
    </row>
    <row r="2876" spans="1:6" x14ac:dyDescent="0.25">
      <c r="A2876" t="s">
        <v>11541</v>
      </c>
      <c r="B2876" t="s">
        <v>11542</v>
      </c>
      <c r="C2876" t="s">
        <v>11543</v>
      </c>
      <c r="D2876" t="s">
        <v>1317</v>
      </c>
      <c r="E2876" t="s">
        <v>271</v>
      </c>
      <c r="F2876" t="s">
        <v>1316</v>
      </c>
    </row>
    <row r="2877" spans="1:6" x14ac:dyDescent="0.25">
      <c r="A2877" t="s">
        <v>11544</v>
      </c>
      <c r="B2877" t="s">
        <v>10515</v>
      </c>
      <c r="C2877" t="s">
        <v>11545</v>
      </c>
      <c r="D2877" t="s">
        <v>0</v>
      </c>
      <c r="E2877" t="s">
        <v>271</v>
      </c>
      <c r="F2877" t="s">
        <v>325</v>
      </c>
    </row>
    <row r="2878" spans="1:6" x14ac:dyDescent="0.25">
      <c r="A2878" t="s">
        <v>11546</v>
      </c>
      <c r="B2878" t="s">
        <v>11547</v>
      </c>
      <c r="C2878" t="s">
        <v>11548</v>
      </c>
      <c r="D2878" t="s">
        <v>871</v>
      </c>
      <c r="E2878" t="s">
        <v>271</v>
      </c>
      <c r="F2878" t="s">
        <v>870</v>
      </c>
    </row>
    <row r="2879" spans="1:6" x14ac:dyDescent="0.25">
      <c r="A2879" t="s">
        <v>11549</v>
      </c>
      <c r="B2879" t="s">
        <v>11550</v>
      </c>
      <c r="C2879" t="s">
        <v>11551</v>
      </c>
      <c r="D2879" t="s">
        <v>0</v>
      </c>
      <c r="E2879" t="s">
        <v>271</v>
      </c>
      <c r="F2879" t="s">
        <v>323</v>
      </c>
    </row>
    <row r="2880" spans="1:6" x14ac:dyDescent="0.25">
      <c r="A2880" t="s">
        <v>11552</v>
      </c>
      <c r="B2880" t="s">
        <v>11553</v>
      </c>
      <c r="C2880" t="s">
        <v>11554</v>
      </c>
      <c r="D2880" t="s">
        <v>578</v>
      </c>
      <c r="E2880" t="s">
        <v>271</v>
      </c>
      <c r="F2880" t="s">
        <v>321</v>
      </c>
    </row>
    <row r="2881" spans="1:6" x14ac:dyDescent="0.25">
      <c r="A2881" t="s">
        <v>11555</v>
      </c>
      <c r="B2881" t="s">
        <v>11556</v>
      </c>
      <c r="C2881" t="s">
        <v>11557</v>
      </c>
      <c r="D2881" t="s">
        <v>1079</v>
      </c>
      <c r="E2881" t="s">
        <v>271</v>
      </c>
      <c r="F2881" t="s">
        <v>1078</v>
      </c>
    </row>
    <row r="2882" spans="1:6" x14ac:dyDescent="0.25">
      <c r="A2882" t="s">
        <v>11558</v>
      </c>
      <c r="B2882" t="s">
        <v>11559</v>
      </c>
      <c r="C2882" t="s">
        <v>11560</v>
      </c>
      <c r="D2882" t="s">
        <v>461</v>
      </c>
      <c r="E2882" t="s">
        <v>271</v>
      </c>
      <c r="F2882" t="s">
        <v>336</v>
      </c>
    </row>
    <row r="2883" spans="1:6" x14ac:dyDescent="0.25">
      <c r="A2883" t="s">
        <v>1749</v>
      </c>
      <c r="B2883" t="s">
        <v>1750</v>
      </c>
      <c r="C2883" t="s">
        <v>1751</v>
      </c>
      <c r="D2883" t="s">
        <v>0</v>
      </c>
      <c r="E2883" t="s">
        <v>271</v>
      </c>
      <c r="F2883" t="s">
        <v>881</v>
      </c>
    </row>
    <row r="2884" spans="1:6" x14ac:dyDescent="0.25">
      <c r="A2884" t="s">
        <v>11561</v>
      </c>
      <c r="B2884" t="s">
        <v>11562</v>
      </c>
      <c r="C2884" t="s">
        <v>2147</v>
      </c>
      <c r="D2884" t="s">
        <v>2146</v>
      </c>
      <c r="E2884" t="s">
        <v>271</v>
      </c>
      <c r="F2884" t="s">
        <v>844</v>
      </c>
    </row>
    <row r="2885" spans="1:6" x14ac:dyDescent="0.25">
      <c r="A2885" t="s">
        <v>11563</v>
      </c>
      <c r="B2885" t="s">
        <v>11564</v>
      </c>
      <c r="C2885" t="s">
        <v>11565</v>
      </c>
      <c r="D2885" t="s">
        <v>7898</v>
      </c>
      <c r="E2885" t="s">
        <v>271</v>
      </c>
      <c r="F2885" t="s">
        <v>4434</v>
      </c>
    </row>
    <row r="2886" spans="1:6" x14ac:dyDescent="0.25">
      <c r="A2886" t="s">
        <v>11566</v>
      </c>
      <c r="B2886" t="s">
        <v>11567</v>
      </c>
      <c r="C2886" t="s">
        <v>11568</v>
      </c>
      <c r="D2886" t="s">
        <v>0</v>
      </c>
      <c r="E2886" t="s">
        <v>271</v>
      </c>
      <c r="F2886" t="s">
        <v>575</v>
      </c>
    </row>
    <row r="2887" spans="1:6" x14ac:dyDescent="0.25">
      <c r="A2887" t="s">
        <v>11569</v>
      </c>
      <c r="B2887" t="s">
        <v>11570</v>
      </c>
      <c r="C2887" t="s">
        <v>11571</v>
      </c>
      <c r="D2887" t="s">
        <v>616</v>
      </c>
      <c r="E2887" t="s">
        <v>271</v>
      </c>
      <c r="F2887" t="s">
        <v>1102</v>
      </c>
    </row>
    <row r="2888" spans="1:6" x14ac:dyDescent="0.25">
      <c r="A2888" t="s">
        <v>11572</v>
      </c>
      <c r="B2888" t="s">
        <v>11573</v>
      </c>
      <c r="C2888" t="s">
        <v>11574</v>
      </c>
      <c r="D2888" t="s">
        <v>0</v>
      </c>
      <c r="E2888" t="s">
        <v>271</v>
      </c>
      <c r="F2888" t="s">
        <v>562</v>
      </c>
    </row>
    <row r="2889" spans="1:6" x14ac:dyDescent="0.25">
      <c r="A2889" t="s">
        <v>693</v>
      </c>
      <c r="B2889" t="s">
        <v>694</v>
      </c>
      <c r="C2889" t="s">
        <v>695</v>
      </c>
      <c r="D2889" t="s">
        <v>519</v>
      </c>
      <c r="E2889" t="s">
        <v>271</v>
      </c>
      <c r="F2889" t="s">
        <v>324</v>
      </c>
    </row>
    <row r="2890" spans="1:6" x14ac:dyDescent="0.25">
      <c r="A2890" t="s">
        <v>2049</v>
      </c>
      <c r="B2890" t="s">
        <v>2050</v>
      </c>
      <c r="C2890" t="s">
        <v>2051</v>
      </c>
      <c r="D2890" t="s">
        <v>1925</v>
      </c>
      <c r="E2890" t="s">
        <v>271</v>
      </c>
      <c r="F2890" t="s">
        <v>1924</v>
      </c>
    </row>
    <row r="2891" spans="1:6" x14ac:dyDescent="0.25">
      <c r="A2891" t="s">
        <v>11575</v>
      </c>
      <c r="B2891" t="s">
        <v>11576</v>
      </c>
      <c r="C2891" t="s">
        <v>11577</v>
      </c>
      <c r="D2891" t="s">
        <v>1601</v>
      </c>
      <c r="E2891" t="s">
        <v>269</v>
      </c>
      <c r="F2891" t="s">
        <v>1600</v>
      </c>
    </row>
    <row r="2892" spans="1:6" x14ac:dyDescent="0.25">
      <c r="A2892" t="s">
        <v>11578</v>
      </c>
      <c r="B2892" t="s">
        <v>11579</v>
      </c>
      <c r="C2892" t="s">
        <v>11580</v>
      </c>
      <c r="D2892" t="s">
        <v>1286</v>
      </c>
      <c r="E2892" t="s">
        <v>269</v>
      </c>
      <c r="F2892" t="s">
        <v>1285</v>
      </c>
    </row>
    <row r="2893" spans="1:6" x14ac:dyDescent="0.25">
      <c r="A2893" t="s">
        <v>2761</v>
      </c>
      <c r="B2893" t="s">
        <v>2762</v>
      </c>
      <c r="C2893" t="s">
        <v>2763</v>
      </c>
      <c r="D2893" t="s">
        <v>450</v>
      </c>
      <c r="E2893" t="s">
        <v>271</v>
      </c>
      <c r="F2893" t="s">
        <v>326</v>
      </c>
    </row>
    <row r="2894" spans="1:6" x14ac:dyDescent="0.25">
      <c r="A2894" t="s">
        <v>11581</v>
      </c>
      <c r="B2894" t="s">
        <v>11582</v>
      </c>
      <c r="C2894" t="s">
        <v>11583</v>
      </c>
      <c r="D2894" t="s">
        <v>2637</v>
      </c>
      <c r="E2894" t="s">
        <v>271</v>
      </c>
      <c r="F2894" t="s">
        <v>2636</v>
      </c>
    </row>
    <row r="2895" spans="1:6" x14ac:dyDescent="0.25">
      <c r="A2895" t="s">
        <v>1021</v>
      </c>
      <c r="B2895" t="s">
        <v>1022</v>
      </c>
      <c r="C2895" t="s">
        <v>1023</v>
      </c>
      <c r="D2895" t="s">
        <v>492</v>
      </c>
      <c r="E2895" t="s">
        <v>271</v>
      </c>
      <c r="F2895" t="s">
        <v>493</v>
      </c>
    </row>
    <row r="2896" spans="1:6" x14ac:dyDescent="0.25">
      <c r="A2896" t="s">
        <v>11584</v>
      </c>
      <c r="B2896" t="s">
        <v>11585</v>
      </c>
      <c r="C2896" t="s">
        <v>11586</v>
      </c>
      <c r="D2896" t="s">
        <v>0</v>
      </c>
      <c r="E2896" t="s">
        <v>271</v>
      </c>
      <c r="F2896" t="s">
        <v>325</v>
      </c>
    </row>
    <row r="2897" spans="1:6" x14ac:dyDescent="0.25">
      <c r="A2897" t="s">
        <v>3239</v>
      </c>
      <c r="B2897" t="s">
        <v>3240</v>
      </c>
      <c r="C2897" t="s">
        <v>3241</v>
      </c>
      <c r="D2897" t="s">
        <v>498</v>
      </c>
      <c r="E2897" t="s">
        <v>271</v>
      </c>
      <c r="F2897" t="s">
        <v>926</v>
      </c>
    </row>
    <row r="2898" spans="1:6" x14ac:dyDescent="0.25">
      <c r="A2898" t="s">
        <v>11587</v>
      </c>
      <c r="B2898" t="s">
        <v>11588</v>
      </c>
      <c r="C2898" t="s">
        <v>11589</v>
      </c>
      <c r="D2898" t="s">
        <v>472</v>
      </c>
      <c r="E2898" t="s">
        <v>271</v>
      </c>
      <c r="F2898" t="s">
        <v>318</v>
      </c>
    </row>
    <row r="2899" spans="1:6" x14ac:dyDescent="0.25">
      <c r="A2899" t="s">
        <v>11590</v>
      </c>
      <c r="B2899" t="s">
        <v>11591</v>
      </c>
      <c r="C2899" t="s">
        <v>11592</v>
      </c>
      <c r="D2899" t="s">
        <v>0</v>
      </c>
      <c r="E2899" t="s">
        <v>271</v>
      </c>
      <c r="F2899" t="s">
        <v>1141</v>
      </c>
    </row>
    <row r="2900" spans="1:6" x14ac:dyDescent="0.25">
      <c r="A2900" t="s">
        <v>11593</v>
      </c>
      <c r="B2900" t="s">
        <v>11594</v>
      </c>
      <c r="C2900" t="s">
        <v>11595</v>
      </c>
      <c r="D2900" t="s">
        <v>0</v>
      </c>
      <c r="E2900" t="s">
        <v>271</v>
      </c>
      <c r="F2900" t="s">
        <v>1679</v>
      </c>
    </row>
    <row r="2901" spans="1:6" x14ac:dyDescent="0.25">
      <c r="A2901" t="s">
        <v>11596</v>
      </c>
      <c r="B2901" t="s">
        <v>11597</v>
      </c>
      <c r="C2901" t="s">
        <v>11598</v>
      </c>
      <c r="D2901" t="s">
        <v>295</v>
      </c>
      <c r="E2901" t="s">
        <v>271</v>
      </c>
      <c r="F2901" t="s">
        <v>294</v>
      </c>
    </row>
    <row r="2902" spans="1:6" x14ac:dyDescent="0.25">
      <c r="A2902" t="s">
        <v>11599</v>
      </c>
      <c r="B2902" t="s">
        <v>11600</v>
      </c>
      <c r="C2902" t="s">
        <v>11601</v>
      </c>
      <c r="D2902" t="s">
        <v>1485</v>
      </c>
      <c r="E2902" t="s">
        <v>271</v>
      </c>
      <c r="F2902" t="s">
        <v>1519</v>
      </c>
    </row>
    <row r="2903" spans="1:6" x14ac:dyDescent="0.25">
      <c r="A2903" t="s">
        <v>11602</v>
      </c>
      <c r="B2903" t="s">
        <v>11603</v>
      </c>
      <c r="C2903" t="s">
        <v>11604</v>
      </c>
      <c r="D2903" t="s">
        <v>2265</v>
      </c>
      <c r="E2903" t="s">
        <v>271</v>
      </c>
      <c r="F2903" t="s">
        <v>2264</v>
      </c>
    </row>
    <row r="2904" spans="1:6" x14ac:dyDescent="0.25">
      <c r="A2904" t="s">
        <v>11605</v>
      </c>
      <c r="B2904" t="s">
        <v>11606</v>
      </c>
      <c r="C2904" t="s">
        <v>11607</v>
      </c>
      <c r="D2904" t="s">
        <v>530</v>
      </c>
      <c r="E2904" t="s">
        <v>271</v>
      </c>
      <c r="F2904" t="s">
        <v>332</v>
      </c>
    </row>
    <row r="2905" spans="1:6" x14ac:dyDescent="0.25">
      <c r="A2905" t="s">
        <v>11608</v>
      </c>
      <c r="B2905" t="s">
        <v>11609</v>
      </c>
      <c r="C2905" t="s">
        <v>11610</v>
      </c>
      <c r="D2905" t="s">
        <v>490</v>
      </c>
      <c r="E2905" t="s">
        <v>271</v>
      </c>
      <c r="F2905" t="s">
        <v>491</v>
      </c>
    </row>
    <row r="2906" spans="1:6" x14ac:dyDescent="0.25">
      <c r="A2906" t="s">
        <v>2148</v>
      </c>
      <c r="B2906" t="s">
        <v>2149</v>
      </c>
      <c r="C2906" t="s">
        <v>2151</v>
      </c>
      <c r="D2906" t="s">
        <v>347</v>
      </c>
      <c r="E2906" t="s">
        <v>271</v>
      </c>
      <c r="F2906" t="s">
        <v>2150</v>
      </c>
    </row>
    <row r="2907" spans="1:6" x14ac:dyDescent="0.25">
      <c r="A2907" t="s">
        <v>800</v>
      </c>
      <c r="B2907" t="s">
        <v>801</v>
      </c>
      <c r="C2907" t="s">
        <v>803</v>
      </c>
      <c r="D2907" t="s">
        <v>0</v>
      </c>
      <c r="E2907" t="s">
        <v>271</v>
      </c>
      <c r="F2907" t="s">
        <v>319</v>
      </c>
    </row>
    <row r="2908" spans="1:6" x14ac:dyDescent="0.25">
      <c r="A2908" t="s">
        <v>11611</v>
      </c>
      <c r="B2908" t="s">
        <v>11612</v>
      </c>
      <c r="C2908" t="s">
        <v>11613</v>
      </c>
      <c r="D2908" t="s">
        <v>1915</v>
      </c>
      <c r="E2908" t="s">
        <v>269</v>
      </c>
      <c r="F2908" t="s">
        <v>1914</v>
      </c>
    </row>
    <row r="2909" spans="1:6" x14ac:dyDescent="0.25">
      <c r="A2909" t="s">
        <v>11614</v>
      </c>
      <c r="B2909" t="s">
        <v>11615</v>
      </c>
      <c r="C2909" t="s">
        <v>11616</v>
      </c>
      <c r="D2909" t="s">
        <v>1559</v>
      </c>
      <c r="E2909" t="s">
        <v>271</v>
      </c>
      <c r="F2909" t="s">
        <v>1558</v>
      </c>
    </row>
    <row r="2910" spans="1:6" x14ac:dyDescent="0.25">
      <c r="A2910" t="s">
        <v>11617</v>
      </c>
      <c r="B2910" t="s">
        <v>11618</v>
      </c>
      <c r="C2910" t="s">
        <v>11619</v>
      </c>
      <c r="D2910" t="s">
        <v>282</v>
      </c>
      <c r="E2910" t="s">
        <v>271</v>
      </c>
      <c r="F2910" t="s">
        <v>1191</v>
      </c>
    </row>
    <row r="2911" spans="1:6" x14ac:dyDescent="0.25">
      <c r="A2911" t="s">
        <v>11620</v>
      </c>
      <c r="B2911" t="s">
        <v>11621</v>
      </c>
      <c r="C2911" t="s">
        <v>5640</v>
      </c>
      <c r="D2911" t="s">
        <v>5641</v>
      </c>
      <c r="E2911" t="s">
        <v>271</v>
      </c>
      <c r="F2911" t="s">
        <v>1567</v>
      </c>
    </row>
    <row r="2912" spans="1:6" x14ac:dyDescent="0.25">
      <c r="A2912" t="s">
        <v>11622</v>
      </c>
      <c r="B2912" t="s">
        <v>11623</v>
      </c>
      <c r="C2912" t="s">
        <v>11624</v>
      </c>
      <c r="D2912" t="s">
        <v>0</v>
      </c>
      <c r="E2912" t="s">
        <v>271</v>
      </c>
      <c r="F2912" t="s">
        <v>726</v>
      </c>
    </row>
    <row r="2913" spans="1:6" x14ac:dyDescent="0.25">
      <c r="A2913" t="s">
        <v>11625</v>
      </c>
      <c r="B2913" t="s">
        <v>11626</v>
      </c>
      <c r="C2913" t="s">
        <v>11627</v>
      </c>
      <c r="D2913" t="s">
        <v>237</v>
      </c>
      <c r="E2913" t="s">
        <v>271</v>
      </c>
      <c r="F2913" t="s">
        <v>427</v>
      </c>
    </row>
    <row r="2914" spans="1:6" x14ac:dyDescent="0.25">
      <c r="A2914" t="s">
        <v>11628</v>
      </c>
      <c r="B2914" t="s">
        <v>11629</v>
      </c>
      <c r="C2914" t="s">
        <v>11630</v>
      </c>
      <c r="D2914" t="s">
        <v>0</v>
      </c>
      <c r="E2914" t="s">
        <v>271</v>
      </c>
      <c r="F2914" t="s">
        <v>1148</v>
      </c>
    </row>
    <row r="2915" spans="1:6" x14ac:dyDescent="0.25">
      <c r="A2915" t="s">
        <v>11631</v>
      </c>
      <c r="B2915" t="s">
        <v>11632</v>
      </c>
      <c r="C2915" t="s">
        <v>11633</v>
      </c>
      <c r="D2915" t="s">
        <v>0</v>
      </c>
      <c r="E2915" t="s">
        <v>271</v>
      </c>
      <c r="F2915" t="s">
        <v>319</v>
      </c>
    </row>
    <row r="2916" spans="1:6" x14ac:dyDescent="0.25">
      <c r="A2916" t="s">
        <v>11634</v>
      </c>
      <c r="B2916" t="s">
        <v>11635</v>
      </c>
      <c r="C2916" t="s">
        <v>477</v>
      </c>
      <c r="D2916" t="s">
        <v>357</v>
      </c>
      <c r="E2916" t="s">
        <v>271</v>
      </c>
      <c r="F2916" t="s">
        <v>358</v>
      </c>
    </row>
    <row r="2917" spans="1:6" x14ac:dyDescent="0.25">
      <c r="A2917" t="s">
        <v>11636</v>
      </c>
      <c r="B2917" t="s">
        <v>11637</v>
      </c>
      <c r="C2917" t="s">
        <v>11638</v>
      </c>
      <c r="D2917" t="s">
        <v>510</v>
      </c>
      <c r="E2917" t="s">
        <v>271</v>
      </c>
      <c r="F2917" t="s">
        <v>437</v>
      </c>
    </row>
    <row r="2918" spans="1:6" x14ac:dyDescent="0.25">
      <c r="A2918" t="s">
        <v>11639</v>
      </c>
      <c r="B2918" t="s">
        <v>11640</v>
      </c>
      <c r="C2918" t="s">
        <v>11641</v>
      </c>
      <c r="D2918" t="s">
        <v>1059</v>
      </c>
      <c r="E2918" t="s">
        <v>271</v>
      </c>
      <c r="F2918" t="s">
        <v>1058</v>
      </c>
    </row>
    <row r="2919" spans="1:6" x14ac:dyDescent="0.25">
      <c r="A2919" t="s">
        <v>11642</v>
      </c>
      <c r="B2919" t="s">
        <v>11643</v>
      </c>
      <c r="C2919" t="s">
        <v>11644</v>
      </c>
      <c r="D2919" t="s">
        <v>668</v>
      </c>
      <c r="E2919" t="s">
        <v>271</v>
      </c>
      <c r="F2919" t="s">
        <v>667</v>
      </c>
    </row>
    <row r="2920" spans="1:6" x14ac:dyDescent="0.25">
      <c r="A2920" t="s">
        <v>11645</v>
      </c>
      <c r="B2920" t="s">
        <v>11646</v>
      </c>
      <c r="C2920" t="s">
        <v>11647</v>
      </c>
      <c r="D2920" t="s">
        <v>461</v>
      </c>
      <c r="E2920" t="s">
        <v>271</v>
      </c>
      <c r="F2920" t="s">
        <v>336</v>
      </c>
    </row>
    <row r="2921" spans="1:6" x14ac:dyDescent="0.25">
      <c r="A2921" t="s">
        <v>11648</v>
      </c>
      <c r="B2921" t="s">
        <v>11649</v>
      </c>
      <c r="C2921" t="s">
        <v>11650</v>
      </c>
      <c r="D2921" t="s">
        <v>0</v>
      </c>
      <c r="E2921" t="s">
        <v>271</v>
      </c>
      <c r="F2921" t="s">
        <v>355</v>
      </c>
    </row>
    <row r="2922" spans="1:6" x14ac:dyDescent="0.25">
      <c r="A2922" t="s">
        <v>1955</v>
      </c>
      <c r="B2922" t="s">
        <v>1956</v>
      </c>
      <c r="C2922" t="s">
        <v>1959</v>
      </c>
      <c r="D2922" t="s">
        <v>1958</v>
      </c>
      <c r="E2922" t="s">
        <v>271</v>
      </c>
      <c r="F2922" t="s">
        <v>1957</v>
      </c>
    </row>
    <row r="2923" spans="1:6" x14ac:dyDescent="0.25">
      <c r="A2923" t="s">
        <v>11651</v>
      </c>
      <c r="B2923" t="s">
        <v>11652</v>
      </c>
      <c r="C2923" t="s">
        <v>11653</v>
      </c>
      <c r="D2923" t="s">
        <v>314</v>
      </c>
      <c r="E2923" t="s">
        <v>271</v>
      </c>
      <c r="F2923" t="s">
        <v>352</v>
      </c>
    </row>
    <row r="2924" spans="1:6" x14ac:dyDescent="0.25">
      <c r="A2924" t="s">
        <v>11654</v>
      </c>
      <c r="B2924" t="s">
        <v>11655</v>
      </c>
      <c r="C2924" t="s">
        <v>9494</v>
      </c>
      <c r="D2924" t="s">
        <v>0</v>
      </c>
      <c r="E2924" t="s">
        <v>271</v>
      </c>
      <c r="F2924" t="s">
        <v>436</v>
      </c>
    </row>
    <row r="2925" spans="1:6" x14ac:dyDescent="0.25">
      <c r="A2925" t="s">
        <v>11656</v>
      </c>
      <c r="B2925" t="s">
        <v>11657</v>
      </c>
      <c r="C2925" t="s">
        <v>11658</v>
      </c>
      <c r="D2925" t="s">
        <v>1019</v>
      </c>
      <c r="E2925" t="s">
        <v>271</v>
      </c>
      <c r="F2925" t="s">
        <v>1018</v>
      </c>
    </row>
    <row r="2926" spans="1:6" x14ac:dyDescent="0.25">
      <c r="A2926" t="s">
        <v>2527</v>
      </c>
      <c r="B2926" t="s">
        <v>2528</v>
      </c>
      <c r="C2926" t="s">
        <v>2529</v>
      </c>
      <c r="D2926" t="s">
        <v>0</v>
      </c>
      <c r="E2926" t="s">
        <v>271</v>
      </c>
      <c r="F2926" t="s">
        <v>325</v>
      </c>
    </row>
    <row r="2927" spans="1:6" x14ac:dyDescent="0.25">
      <c r="A2927" t="s">
        <v>11659</v>
      </c>
      <c r="B2927" t="s">
        <v>11660</v>
      </c>
      <c r="C2927" t="s">
        <v>11661</v>
      </c>
      <c r="D2927" t="s">
        <v>417</v>
      </c>
      <c r="E2927" t="s">
        <v>341</v>
      </c>
      <c r="F2927" t="s">
        <v>411</v>
      </c>
    </row>
    <row r="2928" spans="1:6" x14ac:dyDescent="0.25">
      <c r="A2928" t="s">
        <v>11662</v>
      </c>
      <c r="B2928" t="s">
        <v>11663</v>
      </c>
      <c r="C2928" t="s">
        <v>11664</v>
      </c>
      <c r="D2928" t="s">
        <v>1064</v>
      </c>
      <c r="E2928" t="s">
        <v>269</v>
      </c>
      <c r="F2928" t="s">
        <v>1063</v>
      </c>
    </row>
    <row r="2929" spans="1:6" x14ac:dyDescent="0.25">
      <c r="A2929" t="s">
        <v>11665</v>
      </c>
      <c r="B2929" t="s">
        <v>11666</v>
      </c>
      <c r="C2929" t="s">
        <v>11667</v>
      </c>
      <c r="D2929" t="s">
        <v>1244</v>
      </c>
      <c r="E2929" t="s">
        <v>271</v>
      </c>
      <c r="F2929" t="s">
        <v>2115</v>
      </c>
    </row>
    <row r="2930" spans="1:6" x14ac:dyDescent="0.25">
      <c r="A2930" t="s">
        <v>11668</v>
      </c>
      <c r="B2930" t="s">
        <v>7406</v>
      </c>
      <c r="C2930" t="s">
        <v>11669</v>
      </c>
      <c r="D2930" t="s">
        <v>295</v>
      </c>
      <c r="E2930" t="s">
        <v>271</v>
      </c>
      <c r="F2930" t="s">
        <v>294</v>
      </c>
    </row>
    <row r="2931" spans="1:6" x14ac:dyDescent="0.25">
      <c r="A2931" t="s">
        <v>11670</v>
      </c>
      <c r="B2931" t="s">
        <v>11671</v>
      </c>
      <c r="C2931" t="s">
        <v>11672</v>
      </c>
      <c r="D2931" t="s">
        <v>0</v>
      </c>
      <c r="E2931" t="s">
        <v>271</v>
      </c>
      <c r="F2931" t="s">
        <v>325</v>
      </c>
    </row>
    <row r="2932" spans="1:6" x14ac:dyDescent="0.25">
      <c r="A2932" t="s">
        <v>11673</v>
      </c>
      <c r="B2932" t="s">
        <v>11674</v>
      </c>
      <c r="C2932" t="s">
        <v>11675</v>
      </c>
      <c r="D2932" t="s">
        <v>997</v>
      </c>
      <c r="E2932" t="s">
        <v>271</v>
      </c>
      <c r="F2932" t="s">
        <v>996</v>
      </c>
    </row>
    <row r="2933" spans="1:6" x14ac:dyDescent="0.25">
      <c r="A2933" t="s">
        <v>11676</v>
      </c>
      <c r="B2933" t="s">
        <v>11677</v>
      </c>
      <c r="C2933" t="s">
        <v>11678</v>
      </c>
      <c r="D2933" t="s">
        <v>1079</v>
      </c>
      <c r="E2933" t="s">
        <v>271</v>
      </c>
      <c r="F2933" t="s">
        <v>3880</v>
      </c>
    </row>
    <row r="2934" spans="1:6" x14ac:dyDescent="0.25">
      <c r="A2934" t="s">
        <v>11679</v>
      </c>
      <c r="B2934" t="s">
        <v>11680</v>
      </c>
      <c r="C2934" t="s">
        <v>11681</v>
      </c>
      <c r="D2934" t="s">
        <v>1638</v>
      </c>
      <c r="E2934" t="s">
        <v>271</v>
      </c>
      <c r="F2934" t="s">
        <v>1637</v>
      </c>
    </row>
    <row r="2935" spans="1:6" x14ac:dyDescent="0.25">
      <c r="A2935" t="s">
        <v>11682</v>
      </c>
      <c r="B2935" t="s">
        <v>11683</v>
      </c>
      <c r="C2935" t="s">
        <v>11684</v>
      </c>
      <c r="D2935" t="s">
        <v>314</v>
      </c>
      <c r="E2935" t="s">
        <v>271</v>
      </c>
      <c r="F2935" t="s">
        <v>352</v>
      </c>
    </row>
    <row r="2936" spans="1:6" x14ac:dyDescent="0.25">
      <c r="A2936" t="s">
        <v>2990</v>
      </c>
      <c r="B2936" t="s">
        <v>2991</v>
      </c>
      <c r="C2936" t="s">
        <v>2992</v>
      </c>
      <c r="D2936" t="s">
        <v>2265</v>
      </c>
      <c r="E2936" t="s">
        <v>271</v>
      </c>
      <c r="F2936" t="s">
        <v>2264</v>
      </c>
    </row>
    <row r="2937" spans="1:6" x14ac:dyDescent="0.25">
      <c r="A2937" t="s">
        <v>11685</v>
      </c>
      <c r="B2937" t="s">
        <v>583</v>
      </c>
      <c r="C2937" t="s">
        <v>7667</v>
      </c>
      <c r="D2937" t="s">
        <v>492</v>
      </c>
      <c r="E2937" t="s">
        <v>271</v>
      </c>
      <c r="F2937" t="s">
        <v>493</v>
      </c>
    </row>
    <row r="2938" spans="1:6" x14ac:dyDescent="0.25">
      <c r="A2938" t="s">
        <v>11686</v>
      </c>
      <c r="B2938" t="s">
        <v>11687</v>
      </c>
      <c r="C2938" t="s">
        <v>11688</v>
      </c>
      <c r="D2938" t="s">
        <v>11689</v>
      </c>
      <c r="E2938" t="s">
        <v>269</v>
      </c>
      <c r="F2938" t="s">
        <v>4392</v>
      </c>
    </row>
    <row r="2939" spans="1:6" x14ac:dyDescent="0.25">
      <c r="A2939" t="s">
        <v>11690</v>
      </c>
      <c r="B2939" t="s">
        <v>11691</v>
      </c>
      <c r="C2939" t="s">
        <v>11692</v>
      </c>
      <c r="D2939" t="s">
        <v>1806</v>
      </c>
      <c r="E2939" t="s">
        <v>271</v>
      </c>
      <c r="F2939" t="s">
        <v>1805</v>
      </c>
    </row>
    <row r="2940" spans="1:6" x14ac:dyDescent="0.25">
      <c r="A2940" t="s">
        <v>1088</v>
      </c>
      <c r="B2940" t="s">
        <v>1089</v>
      </c>
      <c r="C2940" t="s">
        <v>1090</v>
      </c>
      <c r="D2940" t="s">
        <v>272</v>
      </c>
      <c r="E2940" t="s">
        <v>269</v>
      </c>
      <c r="F2940" t="s">
        <v>907</v>
      </c>
    </row>
    <row r="2941" spans="1:6" x14ac:dyDescent="0.25">
      <c r="A2941" t="s">
        <v>11693</v>
      </c>
      <c r="B2941" t="s">
        <v>7846</v>
      </c>
      <c r="C2941" t="s">
        <v>7847</v>
      </c>
      <c r="D2941" t="s">
        <v>498</v>
      </c>
      <c r="E2941" t="s">
        <v>271</v>
      </c>
      <c r="F2941" t="s">
        <v>499</v>
      </c>
    </row>
    <row r="2942" spans="1:6" x14ac:dyDescent="0.25">
      <c r="A2942" t="s">
        <v>11694</v>
      </c>
      <c r="B2942" t="s">
        <v>11695</v>
      </c>
      <c r="C2942" t="s">
        <v>11696</v>
      </c>
      <c r="D2942" t="s">
        <v>556</v>
      </c>
      <c r="E2942" t="s">
        <v>271</v>
      </c>
      <c r="F2942" t="s">
        <v>1567</v>
      </c>
    </row>
    <row r="2943" spans="1:6" x14ac:dyDescent="0.25">
      <c r="A2943" t="s">
        <v>11697</v>
      </c>
      <c r="B2943" t="s">
        <v>11698</v>
      </c>
      <c r="C2943" t="s">
        <v>11699</v>
      </c>
      <c r="D2943" t="s">
        <v>0</v>
      </c>
      <c r="E2943" t="s">
        <v>271</v>
      </c>
      <c r="F2943" t="s">
        <v>356</v>
      </c>
    </row>
    <row r="2944" spans="1:6" x14ac:dyDescent="0.25">
      <c r="A2944" t="s">
        <v>11700</v>
      </c>
      <c r="B2944" t="s">
        <v>7353</v>
      </c>
      <c r="C2944" t="s">
        <v>11701</v>
      </c>
      <c r="D2944" t="s">
        <v>1326</v>
      </c>
      <c r="E2944" t="s">
        <v>271</v>
      </c>
      <c r="F2944" t="s">
        <v>1325</v>
      </c>
    </row>
    <row r="2945" spans="1:6" x14ac:dyDescent="0.25">
      <c r="A2945" t="s">
        <v>11702</v>
      </c>
      <c r="B2945" t="s">
        <v>11703</v>
      </c>
      <c r="C2945" t="s">
        <v>11704</v>
      </c>
      <c r="D2945" t="s">
        <v>1239</v>
      </c>
      <c r="E2945" t="s">
        <v>271</v>
      </c>
      <c r="F2945" t="s">
        <v>1238</v>
      </c>
    </row>
    <row r="2946" spans="1:6" x14ac:dyDescent="0.25">
      <c r="A2946" t="s">
        <v>11705</v>
      </c>
      <c r="B2946" t="s">
        <v>11706</v>
      </c>
      <c r="C2946" t="s">
        <v>11707</v>
      </c>
      <c r="D2946" t="s">
        <v>472</v>
      </c>
      <c r="E2946" t="s">
        <v>271</v>
      </c>
      <c r="F2946" t="s">
        <v>318</v>
      </c>
    </row>
    <row r="2947" spans="1:6" x14ac:dyDescent="0.25">
      <c r="A2947" t="s">
        <v>11708</v>
      </c>
      <c r="B2947" t="s">
        <v>11709</v>
      </c>
      <c r="C2947" t="s">
        <v>11710</v>
      </c>
      <c r="D2947" t="s">
        <v>498</v>
      </c>
      <c r="E2947" t="s">
        <v>271</v>
      </c>
      <c r="F2947" t="s">
        <v>926</v>
      </c>
    </row>
    <row r="2948" spans="1:6" x14ac:dyDescent="0.25">
      <c r="A2948" t="s">
        <v>11711</v>
      </c>
      <c r="B2948" t="s">
        <v>11712</v>
      </c>
      <c r="C2948" t="s">
        <v>11713</v>
      </c>
      <c r="D2948" t="s">
        <v>5591</v>
      </c>
      <c r="E2948" t="s">
        <v>269</v>
      </c>
      <c r="F2948" t="s">
        <v>1742</v>
      </c>
    </row>
    <row r="2949" spans="1:6" x14ac:dyDescent="0.25">
      <c r="A2949" t="s">
        <v>11714</v>
      </c>
      <c r="B2949" t="s">
        <v>11715</v>
      </c>
      <c r="C2949" t="s">
        <v>11716</v>
      </c>
      <c r="D2949" t="s">
        <v>1165</v>
      </c>
      <c r="E2949" t="s">
        <v>271</v>
      </c>
      <c r="F2949" t="s">
        <v>1164</v>
      </c>
    </row>
    <row r="2950" spans="1:6" x14ac:dyDescent="0.25">
      <c r="A2950" t="s">
        <v>11717</v>
      </c>
      <c r="B2950" t="s">
        <v>11718</v>
      </c>
      <c r="C2950" t="s">
        <v>11719</v>
      </c>
      <c r="D2950" t="s">
        <v>3457</v>
      </c>
      <c r="E2950" t="s">
        <v>271</v>
      </c>
      <c r="F2950" t="s">
        <v>1432</v>
      </c>
    </row>
    <row r="2951" spans="1:6" x14ac:dyDescent="0.25">
      <c r="A2951" t="s">
        <v>11720</v>
      </c>
      <c r="B2951" t="s">
        <v>11721</v>
      </c>
      <c r="C2951" t="s">
        <v>11722</v>
      </c>
      <c r="D2951" t="s">
        <v>314</v>
      </c>
      <c r="E2951" t="s">
        <v>271</v>
      </c>
      <c r="F2951" t="s">
        <v>3081</v>
      </c>
    </row>
    <row r="2952" spans="1:6" x14ac:dyDescent="0.25">
      <c r="A2952" t="s">
        <v>11723</v>
      </c>
      <c r="B2952" t="s">
        <v>11724</v>
      </c>
      <c r="C2952" t="s">
        <v>11725</v>
      </c>
      <c r="D2952" t="s">
        <v>0</v>
      </c>
      <c r="E2952" t="s">
        <v>271</v>
      </c>
      <c r="F2952" t="s">
        <v>4382</v>
      </c>
    </row>
    <row r="2953" spans="1:6" x14ac:dyDescent="0.25">
      <c r="A2953" t="s">
        <v>11726</v>
      </c>
      <c r="B2953" t="s">
        <v>11727</v>
      </c>
      <c r="C2953" t="s">
        <v>11728</v>
      </c>
      <c r="D2953" t="s">
        <v>0</v>
      </c>
      <c r="E2953" t="s">
        <v>271</v>
      </c>
      <c r="F2953" t="s">
        <v>688</v>
      </c>
    </row>
    <row r="2954" spans="1:6" x14ac:dyDescent="0.25">
      <c r="A2954" t="s">
        <v>11729</v>
      </c>
      <c r="B2954" t="s">
        <v>11730</v>
      </c>
      <c r="C2954" t="s">
        <v>11731</v>
      </c>
      <c r="D2954" t="s">
        <v>234</v>
      </c>
      <c r="E2954" t="s">
        <v>271</v>
      </c>
      <c r="F2954" t="s">
        <v>875</v>
      </c>
    </row>
    <row r="2955" spans="1:6" x14ac:dyDescent="0.25">
      <c r="A2955" t="s">
        <v>11732</v>
      </c>
      <c r="B2955" t="s">
        <v>11733</v>
      </c>
      <c r="C2955" t="s">
        <v>11734</v>
      </c>
      <c r="D2955" t="s">
        <v>0</v>
      </c>
      <c r="E2955" t="s">
        <v>271</v>
      </c>
      <c r="F2955" t="s">
        <v>1148</v>
      </c>
    </row>
    <row r="2956" spans="1:6" x14ac:dyDescent="0.25">
      <c r="A2956" t="s">
        <v>11735</v>
      </c>
      <c r="B2956" t="s">
        <v>11736</v>
      </c>
      <c r="C2956" t="s">
        <v>11737</v>
      </c>
      <c r="D2956" t="s">
        <v>0</v>
      </c>
      <c r="E2956" t="s">
        <v>271</v>
      </c>
      <c r="F2956" t="s">
        <v>319</v>
      </c>
    </row>
    <row r="2957" spans="1:6" x14ac:dyDescent="0.25">
      <c r="A2957" t="s">
        <v>1328</v>
      </c>
      <c r="B2957" t="s">
        <v>1329</v>
      </c>
      <c r="C2957" t="s">
        <v>1330</v>
      </c>
      <c r="D2957" t="s">
        <v>490</v>
      </c>
      <c r="E2957" t="s">
        <v>271</v>
      </c>
      <c r="F2957" t="s">
        <v>491</v>
      </c>
    </row>
    <row r="2958" spans="1:6" x14ac:dyDescent="0.25">
      <c r="A2958" t="s">
        <v>11738</v>
      </c>
      <c r="B2958" t="s">
        <v>11739</v>
      </c>
      <c r="C2958" t="s">
        <v>11740</v>
      </c>
      <c r="D2958" t="s">
        <v>3002</v>
      </c>
      <c r="E2958" t="s">
        <v>269</v>
      </c>
      <c r="F2958" t="s">
        <v>3001</v>
      </c>
    </row>
    <row r="2959" spans="1:6" x14ac:dyDescent="0.25">
      <c r="A2959" t="s">
        <v>11741</v>
      </c>
      <c r="B2959" t="s">
        <v>11742</v>
      </c>
      <c r="C2959" t="s">
        <v>11743</v>
      </c>
      <c r="D2959" t="s">
        <v>232</v>
      </c>
      <c r="E2959" t="s">
        <v>271</v>
      </c>
      <c r="F2959" t="s">
        <v>329</v>
      </c>
    </row>
    <row r="2960" spans="1:6" x14ac:dyDescent="0.25">
      <c r="A2960" t="s">
        <v>11744</v>
      </c>
      <c r="B2960" t="s">
        <v>11745</v>
      </c>
      <c r="C2960" t="s">
        <v>11746</v>
      </c>
      <c r="D2960" t="s">
        <v>312</v>
      </c>
      <c r="E2960" t="s">
        <v>271</v>
      </c>
      <c r="F2960" t="s">
        <v>311</v>
      </c>
    </row>
    <row r="2961" spans="1:6" x14ac:dyDescent="0.25">
      <c r="A2961" t="s">
        <v>11747</v>
      </c>
      <c r="B2961" t="s">
        <v>11748</v>
      </c>
      <c r="C2961" t="s">
        <v>11749</v>
      </c>
      <c r="D2961" t="s">
        <v>6201</v>
      </c>
      <c r="E2961" t="s">
        <v>271</v>
      </c>
      <c r="F2961" t="s">
        <v>4395</v>
      </c>
    </row>
    <row r="2962" spans="1:6" x14ac:dyDescent="0.25">
      <c r="A2962" t="s">
        <v>11750</v>
      </c>
      <c r="B2962" t="s">
        <v>11751</v>
      </c>
      <c r="C2962" t="s">
        <v>11752</v>
      </c>
      <c r="D2962" t="s">
        <v>461</v>
      </c>
      <c r="E2962" t="s">
        <v>271</v>
      </c>
      <c r="F2962" t="s">
        <v>336</v>
      </c>
    </row>
    <row r="2963" spans="1:6" x14ac:dyDescent="0.25">
      <c r="A2963" t="s">
        <v>11753</v>
      </c>
      <c r="B2963" t="s">
        <v>11754</v>
      </c>
      <c r="C2963" t="s">
        <v>11755</v>
      </c>
      <c r="D2963" t="s">
        <v>0</v>
      </c>
      <c r="E2963" t="s">
        <v>271</v>
      </c>
      <c r="F2963" t="s">
        <v>1321</v>
      </c>
    </row>
    <row r="2964" spans="1:6" x14ac:dyDescent="0.25">
      <c r="A2964" t="s">
        <v>11756</v>
      </c>
      <c r="B2964" t="s">
        <v>11757</v>
      </c>
      <c r="C2964" t="s">
        <v>11758</v>
      </c>
      <c r="D2964" t="s">
        <v>0</v>
      </c>
      <c r="E2964" t="s">
        <v>271</v>
      </c>
      <c r="F2964" t="s">
        <v>325</v>
      </c>
    </row>
    <row r="2965" spans="1:6" x14ac:dyDescent="0.25">
      <c r="A2965" t="s">
        <v>11759</v>
      </c>
      <c r="B2965" t="s">
        <v>8664</v>
      </c>
      <c r="C2965" t="s">
        <v>11760</v>
      </c>
      <c r="D2965" t="s">
        <v>0</v>
      </c>
      <c r="E2965" t="s">
        <v>271</v>
      </c>
      <c r="F2965" t="s">
        <v>1148</v>
      </c>
    </row>
    <row r="2966" spans="1:6" x14ac:dyDescent="0.25">
      <c r="A2966" t="s">
        <v>11761</v>
      </c>
      <c r="B2966" t="s">
        <v>11762</v>
      </c>
      <c r="C2966" t="s">
        <v>11763</v>
      </c>
      <c r="D2966" t="s">
        <v>0</v>
      </c>
      <c r="E2966" t="s">
        <v>271</v>
      </c>
      <c r="F2966" t="s">
        <v>895</v>
      </c>
    </row>
    <row r="2967" spans="1:6" x14ac:dyDescent="0.25">
      <c r="A2967" t="s">
        <v>11764</v>
      </c>
      <c r="B2967" t="s">
        <v>11765</v>
      </c>
      <c r="C2967" t="s">
        <v>11766</v>
      </c>
      <c r="D2967" t="s">
        <v>0</v>
      </c>
      <c r="E2967" t="s">
        <v>271</v>
      </c>
      <c r="F2967" t="s">
        <v>575</v>
      </c>
    </row>
    <row r="2968" spans="1:6" x14ac:dyDescent="0.25">
      <c r="A2968" t="s">
        <v>11767</v>
      </c>
      <c r="B2968" t="s">
        <v>11768</v>
      </c>
      <c r="C2968" t="s">
        <v>11769</v>
      </c>
      <c r="D2968" t="s">
        <v>793</v>
      </c>
      <c r="E2968" t="s">
        <v>271</v>
      </c>
      <c r="F2968" t="s">
        <v>792</v>
      </c>
    </row>
    <row r="2969" spans="1:6" x14ac:dyDescent="0.25">
      <c r="A2969" t="s">
        <v>11770</v>
      </c>
      <c r="B2969" t="s">
        <v>11771</v>
      </c>
      <c r="C2969" t="s">
        <v>11772</v>
      </c>
      <c r="D2969" t="s">
        <v>3307</v>
      </c>
      <c r="E2969" t="s">
        <v>271</v>
      </c>
      <c r="F2969" t="s">
        <v>2768</v>
      </c>
    </row>
    <row r="2970" spans="1:6" x14ac:dyDescent="0.25">
      <c r="A2970" t="s">
        <v>11773</v>
      </c>
      <c r="B2970" t="s">
        <v>11774</v>
      </c>
      <c r="C2970" t="s">
        <v>11775</v>
      </c>
      <c r="D2970" t="s">
        <v>0</v>
      </c>
      <c r="E2970" t="s">
        <v>271</v>
      </c>
      <c r="F2970" t="s">
        <v>531</v>
      </c>
    </row>
    <row r="2971" spans="1:6" x14ac:dyDescent="0.25">
      <c r="A2971" t="s">
        <v>11776</v>
      </c>
      <c r="B2971" t="s">
        <v>11777</v>
      </c>
      <c r="C2971" t="s">
        <v>11778</v>
      </c>
      <c r="D2971" t="s">
        <v>363</v>
      </c>
      <c r="E2971" t="s">
        <v>271</v>
      </c>
      <c r="F2971" t="s">
        <v>364</v>
      </c>
    </row>
    <row r="2972" spans="1:6" x14ac:dyDescent="0.25">
      <c r="A2972" t="s">
        <v>11779</v>
      </c>
      <c r="B2972" t="s">
        <v>11780</v>
      </c>
      <c r="C2972" t="s">
        <v>11781</v>
      </c>
      <c r="D2972" t="s">
        <v>10001</v>
      </c>
      <c r="E2972" t="s">
        <v>271</v>
      </c>
      <c r="F2972" t="s">
        <v>4388</v>
      </c>
    </row>
    <row r="2973" spans="1:6" x14ac:dyDescent="0.25">
      <c r="A2973" t="s">
        <v>11782</v>
      </c>
      <c r="B2973" t="s">
        <v>11783</v>
      </c>
      <c r="C2973" t="s">
        <v>11784</v>
      </c>
      <c r="D2973" t="s">
        <v>972</v>
      </c>
      <c r="E2973" t="s">
        <v>269</v>
      </c>
      <c r="F2973" t="s">
        <v>971</v>
      </c>
    </row>
    <row r="2974" spans="1:6" x14ac:dyDescent="0.25">
      <c r="A2974" t="s">
        <v>1553</v>
      </c>
      <c r="B2974" t="s">
        <v>1554</v>
      </c>
      <c r="C2974" t="s">
        <v>1555</v>
      </c>
      <c r="D2974" t="s">
        <v>0</v>
      </c>
      <c r="E2974" t="s">
        <v>271</v>
      </c>
      <c r="F2974" t="s">
        <v>1534</v>
      </c>
    </row>
    <row r="2975" spans="1:6" x14ac:dyDescent="0.25">
      <c r="A2975" t="s">
        <v>11785</v>
      </c>
      <c r="B2975" t="s">
        <v>11786</v>
      </c>
      <c r="C2975" t="s">
        <v>11787</v>
      </c>
      <c r="D2975" t="s">
        <v>0</v>
      </c>
      <c r="E2975" t="s">
        <v>271</v>
      </c>
      <c r="F2975" t="s">
        <v>4402</v>
      </c>
    </row>
    <row r="2976" spans="1:6" x14ac:dyDescent="0.25">
      <c r="A2976" t="s">
        <v>11788</v>
      </c>
      <c r="B2976" t="s">
        <v>2659</v>
      </c>
      <c r="C2976" t="s">
        <v>11789</v>
      </c>
      <c r="D2976" t="s">
        <v>0</v>
      </c>
      <c r="E2976" t="s">
        <v>271</v>
      </c>
      <c r="F2976" t="s">
        <v>1011</v>
      </c>
    </row>
    <row r="2977" spans="1:6" x14ac:dyDescent="0.25">
      <c r="A2977" t="s">
        <v>1994</v>
      </c>
      <c r="B2977" t="s">
        <v>1995</v>
      </c>
      <c r="C2977" t="s">
        <v>1996</v>
      </c>
      <c r="D2977" t="s">
        <v>340</v>
      </c>
      <c r="E2977" t="s">
        <v>271</v>
      </c>
      <c r="F2977" t="s">
        <v>317</v>
      </c>
    </row>
    <row r="2978" spans="1:6" x14ac:dyDescent="0.25">
      <c r="A2978" t="s">
        <v>11790</v>
      </c>
      <c r="B2978" t="s">
        <v>11791</v>
      </c>
      <c r="C2978" t="s">
        <v>11792</v>
      </c>
      <c r="D2978" t="s">
        <v>11793</v>
      </c>
      <c r="E2978" t="s">
        <v>271</v>
      </c>
      <c r="F2978" t="s">
        <v>401</v>
      </c>
    </row>
    <row r="2979" spans="1:6" x14ac:dyDescent="0.25">
      <c r="A2979" t="s">
        <v>11794</v>
      </c>
      <c r="B2979" t="s">
        <v>11795</v>
      </c>
      <c r="C2979" t="s">
        <v>11796</v>
      </c>
      <c r="D2979" t="s">
        <v>8653</v>
      </c>
      <c r="E2979" t="s">
        <v>271</v>
      </c>
      <c r="F2979" t="s">
        <v>3635</v>
      </c>
    </row>
    <row r="2980" spans="1:6" x14ac:dyDescent="0.25">
      <c r="A2980" t="s">
        <v>11797</v>
      </c>
      <c r="B2980" t="s">
        <v>11798</v>
      </c>
      <c r="C2980" t="s">
        <v>11799</v>
      </c>
      <c r="D2980" t="s">
        <v>1110</v>
      </c>
      <c r="E2980" t="s">
        <v>271</v>
      </c>
      <c r="F2980" t="s">
        <v>1109</v>
      </c>
    </row>
    <row r="2981" spans="1:6" x14ac:dyDescent="0.25">
      <c r="A2981" t="s">
        <v>11800</v>
      </c>
      <c r="B2981" t="s">
        <v>11801</v>
      </c>
      <c r="C2981" t="s">
        <v>11802</v>
      </c>
      <c r="D2981" t="s">
        <v>347</v>
      </c>
      <c r="E2981" t="s">
        <v>271</v>
      </c>
      <c r="F2981" t="s">
        <v>327</v>
      </c>
    </row>
    <row r="2982" spans="1:6" x14ac:dyDescent="0.25">
      <c r="A2982" t="s">
        <v>11803</v>
      </c>
      <c r="B2982" t="s">
        <v>11804</v>
      </c>
      <c r="C2982" t="s">
        <v>11805</v>
      </c>
      <c r="D2982" t="s">
        <v>0</v>
      </c>
      <c r="E2982" t="s">
        <v>271</v>
      </c>
      <c r="F2982" t="s">
        <v>809</v>
      </c>
    </row>
    <row r="2983" spans="1:6" x14ac:dyDescent="0.25">
      <c r="A2983" t="s">
        <v>11806</v>
      </c>
      <c r="B2983" t="s">
        <v>11807</v>
      </c>
      <c r="C2983" t="s">
        <v>11808</v>
      </c>
      <c r="D2983" t="s">
        <v>450</v>
      </c>
      <c r="E2983" t="s">
        <v>271</v>
      </c>
      <c r="F2983" t="s">
        <v>326</v>
      </c>
    </row>
    <row r="2984" spans="1:6" x14ac:dyDescent="0.25">
      <c r="A2984" t="s">
        <v>11809</v>
      </c>
      <c r="B2984" t="s">
        <v>11810</v>
      </c>
      <c r="C2984" t="s">
        <v>11811</v>
      </c>
      <c r="D2984" t="s">
        <v>972</v>
      </c>
      <c r="E2984" t="s">
        <v>269</v>
      </c>
      <c r="F2984" t="s">
        <v>971</v>
      </c>
    </row>
    <row r="2985" spans="1:6" x14ac:dyDescent="0.25">
      <c r="A2985" t="s">
        <v>11812</v>
      </c>
      <c r="B2985" t="s">
        <v>11813</v>
      </c>
      <c r="C2985" t="s">
        <v>11814</v>
      </c>
      <c r="D2985" t="s">
        <v>0</v>
      </c>
      <c r="E2985" t="s">
        <v>271</v>
      </c>
      <c r="F2985" t="s">
        <v>2608</v>
      </c>
    </row>
    <row r="2986" spans="1:6" x14ac:dyDescent="0.25">
      <c r="A2986" t="s">
        <v>11815</v>
      </c>
      <c r="B2986" t="s">
        <v>602</v>
      </c>
      <c r="C2986" t="s">
        <v>11816</v>
      </c>
      <c r="D2986" t="s">
        <v>450</v>
      </c>
      <c r="E2986" t="s">
        <v>271</v>
      </c>
      <c r="F2986" t="s">
        <v>2794</v>
      </c>
    </row>
    <row r="2987" spans="1:6" x14ac:dyDescent="0.25">
      <c r="A2987" t="s">
        <v>11817</v>
      </c>
      <c r="B2987" t="s">
        <v>5344</v>
      </c>
      <c r="C2987" t="s">
        <v>11818</v>
      </c>
      <c r="D2987" t="s">
        <v>616</v>
      </c>
      <c r="E2987" t="s">
        <v>271</v>
      </c>
      <c r="F2987" t="s">
        <v>333</v>
      </c>
    </row>
    <row r="2988" spans="1:6" x14ac:dyDescent="0.25">
      <c r="A2988" t="s">
        <v>11819</v>
      </c>
      <c r="B2988" t="s">
        <v>11820</v>
      </c>
      <c r="C2988" t="s">
        <v>11821</v>
      </c>
      <c r="D2988" t="s">
        <v>572</v>
      </c>
      <c r="E2988" t="s">
        <v>271</v>
      </c>
      <c r="F2988" t="s">
        <v>335</v>
      </c>
    </row>
    <row r="2989" spans="1:6" x14ac:dyDescent="0.25">
      <c r="A2989" t="s">
        <v>11822</v>
      </c>
      <c r="B2989" t="s">
        <v>11823</v>
      </c>
      <c r="C2989" t="s">
        <v>11824</v>
      </c>
      <c r="D2989" t="s">
        <v>1643</v>
      </c>
      <c r="E2989" t="s">
        <v>271</v>
      </c>
      <c r="F2989" t="s">
        <v>1642</v>
      </c>
    </row>
    <row r="2990" spans="1:6" x14ac:dyDescent="0.25">
      <c r="A2990" t="s">
        <v>11825</v>
      </c>
      <c r="B2990" t="s">
        <v>11826</v>
      </c>
      <c r="C2990" t="s">
        <v>11827</v>
      </c>
      <c r="D2990" t="s">
        <v>0</v>
      </c>
      <c r="E2990" t="s">
        <v>271</v>
      </c>
      <c r="F2990" t="s">
        <v>531</v>
      </c>
    </row>
    <row r="2991" spans="1:6" x14ac:dyDescent="0.25">
      <c r="A2991" t="s">
        <v>11828</v>
      </c>
      <c r="B2991" t="s">
        <v>11829</v>
      </c>
      <c r="C2991" t="s">
        <v>11830</v>
      </c>
      <c r="D2991" t="s">
        <v>1303</v>
      </c>
      <c r="E2991" t="s">
        <v>269</v>
      </c>
      <c r="F2991" t="s">
        <v>1302</v>
      </c>
    </row>
    <row r="2992" spans="1:6" x14ac:dyDescent="0.25">
      <c r="A2992" t="s">
        <v>11831</v>
      </c>
      <c r="B2992" t="s">
        <v>11832</v>
      </c>
      <c r="C2992" t="s">
        <v>11833</v>
      </c>
      <c r="D2992" t="s">
        <v>1806</v>
      </c>
      <c r="E2992" t="s">
        <v>271</v>
      </c>
      <c r="F2992" t="s">
        <v>1805</v>
      </c>
    </row>
    <row r="2993" spans="1:6" x14ac:dyDescent="0.25">
      <c r="A2993" t="s">
        <v>11834</v>
      </c>
      <c r="B2993" t="s">
        <v>11835</v>
      </c>
      <c r="C2993" t="s">
        <v>11836</v>
      </c>
      <c r="D2993" t="s">
        <v>357</v>
      </c>
      <c r="E2993" t="s">
        <v>271</v>
      </c>
      <c r="F2993" t="s">
        <v>358</v>
      </c>
    </row>
    <row r="2994" spans="1:6" x14ac:dyDescent="0.25">
      <c r="A2994" t="s">
        <v>11837</v>
      </c>
      <c r="B2994" t="s">
        <v>11838</v>
      </c>
      <c r="C2994" t="s">
        <v>11839</v>
      </c>
      <c r="D2994" t="s">
        <v>492</v>
      </c>
      <c r="E2994" t="s">
        <v>271</v>
      </c>
      <c r="F2994" t="s">
        <v>493</v>
      </c>
    </row>
    <row r="2995" spans="1:6" x14ac:dyDescent="0.25">
      <c r="A2995" t="s">
        <v>2643</v>
      </c>
      <c r="B2995" t="s">
        <v>2644</v>
      </c>
      <c r="C2995" t="s">
        <v>2645</v>
      </c>
      <c r="D2995" t="s">
        <v>1915</v>
      </c>
      <c r="E2995" t="s">
        <v>269</v>
      </c>
      <c r="F2995" t="s">
        <v>1914</v>
      </c>
    </row>
    <row r="2996" spans="1:6" x14ac:dyDescent="0.25">
      <c r="A2996" t="s">
        <v>2976</v>
      </c>
      <c r="B2996" t="s">
        <v>2977</v>
      </c>
      <c r="C2996" t="s">
        <v>2978</v>
      </c>
      <c r="D2996" t="s">
        <v>246</v>
      </c>
      <c r="E2996" t="s">
        <v>271</v>
      </c>
      <c r="F2996" t="s">
        <v>426</v>
      </c>
    </row>
    <row r="2997" spans="1:6" x14ac:dyDescent="0.25">
      <c r="A2997" t="s">
        <v>2979</v>
      </c>
      <c r="B2997" t="s">
        <v>7</v>
      </c>
      <c r="C2997" t="s">
        <v>2980</v>
      </c>
      <c r="D2997" t="s">
        <v>0</v>
      </c>
      <c r="E2997" t="s">
        <v>271</v>
      </c>
      <c r="F2997" t="s">
        <v>658</v>
      </c>
    </row>
    <row r="2998" spans="1:6" x14ac:dyDescent="0.25">
      <c r="A2998" t="s">
        <v>2073</v>
      </c>
      <c r="B2998" t="s">
        <v>2074</v>
      </c>
      <c r="C2998" t="s">
        <v>2075</v>
      </c>
      <c r="D2998" t="s">
        <v>718</v>
      </c>
      <c r="E2998" t="s">
        <v>271</v>
      </c>
      <c r="F2998" t="s">
        <v>333</v>
      </c>
    </row>
    <row r="2999" spans="1:6" x14ac:dyDescent="0.25">
      <c r="A2999" t="s">
        <v>11840</v>
      </c>
      <c r="B2999" t="s">
        <v>11841</v>
      </c>
      <c r="C2999" t="s">
        <v>11842</v>
      </c>
      <c r="D2999" t="s">
        <v>2885</v>
      </c>
      <c r="E2999" t="s">
        <v>271</v>
      </c>
      <c r="F2999" t="s">
        <v>1523</v>
      </c>
    </row>
    <row r="3000" spans="1:6" x14ac:dyDescent="0.25">
      <c r="A3000" t="s">
        <v>11843</v>
      </c>
      <c r="B3000" t="s">
        <v>11844</v>
      </c>
      <c r="C3000" t="s">
        <v>11845</v>
      </c>
      <c r="D3000" t="s">
        <v>0</v>
      </c>
      <c r="E3000" t="s">
        <v>271</v>
      </c>
      <c r="F3000" t="s">
        <v>809</v>
      </c>
    </row>
    <row r="3001" spans="1:6" x14ac:dyDescent="0.25">
      <c r="A3001" t="s">
        <v>11846</v>
      </c>
      <c r="B3001" t="s">
        <v>11847</v>
      </c>
      <c r="C3001" t="s">
        <v>11848</v>
      </c>
      <c r="D3001" t="s">
        <v>1165</v>
      </c>
      <c r="E3001" t="s">
        <v>271</v>
      </c>
      <c r="F3001" t="s">
        <v>1402</v>
      </c>
    </row>
    <row r="3002" spans="1:6" x14ac:dyDescent="0.25">
      <c r="A3002" t="s">
        <v>11849</v>
      </c>
      <c r="B3002" t="s">
        <v>11850</v>
      </c>
      <c r="C3002" t="s">
        <v>11851</v>
      </c>
      <c r="D3002" t="s">
        <v>246</v>
      </c>
      <c r="E3002" t="s">
        <v>271</v>
      </c>
      <c r="F3002" t="s">
        <v>426</v>
      </c>
    </row>
    <row r="3003" spans="1:6" x14ac:dyDescent="0.25">
      <c r="A3003" t="s">
        <v>11852</v>
      </c>
      <c r="B3003" t="s">
        <v>11853</v>
      </c>
      <c r="C3003" t="s">
        <v>11854</v>
      </c>
      <c r="D3003" t="s">
        <v>246</v>
      </c>
      <c r="E3003" t="s">
        <v>271</v>
      </c>
      <c r="F3003" t="s">
        <v>426</v>
      </c>
    </row>
    <row r="3004" spans="1:6" x14ac:dyDescent="0.25">
      <c r="A3004" t="s">
        <v>11855</v>
      </c>
      <c r="B3004" t="s">
        <v>11856</v>
      </c>
      <c r="C3004" t="s">
        <v>872</v>
      </c>
      <c r="D3004" t="s">
        <v>871</v>
      </c>
      <c r="E3004" t="s">
        <v>271</v>
      </c>
      <c r="F3004" t="s">
        <v>870</v>
      </c>
    </row>
    <row r="3005" spans="1:6" x14ac:dyDescent="0.25">
      <c r="A3005" t="s">
        <v>1193</v>
      </c>
      <c r="B3005" t="s">
        <v>1194</v>
      </c>
      <c r="C3005" t="s">
        <v>1195</v>
      </c>
      <c r="D3005" t="s">
        <v>0</v>
      </c>
      <c r="E3005" t="s">
        <v>271</v>
      </c>
      <c r="F3005" t="s">
        <v>731</v>
      </c>
    </row>
    <row r="3006" spans="1:6" x14ac:dyDescent="0.25">
      <c r="A3006" t="s">
        <v>11857</v>
      </c>
      <c r="B3006" t="s">
        <v>11858</v>
      </c>
      <c r="C3006" t="s">
        <v>11859</v>
      </c>
      <c r="D3006" t="s">
        <v>2488</v>
      </c>
      <c r="E3006" t="s">
        <v>269</v>
      </c>
      <c r="F3006" t="s">
        <v>4419</v>
      </c>
    </row>
    <row r="3007" spans="1:6" x14ac:dyDescent="0.25">
      <c r="A3007" t="s">
        <v>2101</v>
      </c>
      <c r="B3007" t="s">
        <v>261</v>
      </c>
      <c r="C3007" t="s">
        <v>2103</v>
      </c>
      <c r="D3007" t="s">
        <v>0</v>
      </c>
      <c r="E3007" t="s">
        <v>271</v>
      </c>
      <c r="F3007" t="s">
        <v>355</v>
      </c>
    </row>
    <row r="3008" spans="1:6" x14ac:dyDescent="0.25">
      <c r="A3008" t="s">
        <v>11860</v>
      </c>
      <c r="B3008" t="s">
        <v>11861</v>
      </c>
      <c r="C3008" t="s">
        <v>11862</v>
      </c>
      <c r="D3008" t="s">
        <v>0</v>
      </c>
      <c r="E3008" t="s">
        <v>271</v>
      </c>
      <c r="F3008" t="s">
        <v>4378</v>
      </c>
    </row>
    <row r="3009" spans="1:6" x14ac:dyDescent="0.25">
      <c r="A3009" t="s">
        <v>11863</v>
      </c>
      <c r="B3009" t="s">
        <v>11864</v>
      </c>
      <c r="C3009" t="s">
        <v>11865</v>
      </c>
      <c r="D3009" t="s">
        <v>0</v>
      </c>
      <c r="E3009" t="s">
        <v>271</v>
      </c>
      <c r="F3009" t="s">
        <v>1321</v>
      </c>
    </row>
    <row r="3010" spans="1:6" x14ac:dyDescent="0.25">
      <c r="A3010" t="s">
        <v>11866</v>
      </c>
      <c r="B3010" t="s">
        <v>11867</v>
      </c>
      <c r="C3010" t="s">
        <v>11868</v>
      </c>
      <c r="D3010" t="s">
        <v>0</v>
      </c>
      <c r="E3010" t="s">
        <v>271</v>
      </c>
      <c r="F3010" t="s">
        <v>726</v>
      </c>
    </row>
    <row r="3011" spans="1:6" x14ac:dyDescent="0.25">
      <c r="A3011" t="s">
        <v>11869</v>
      </c>
      <c r="B3011" t="s">
        <v>11870</v>
      </c>
      <c r="C3011" t="s">
        <v>11871</v>
      </c>
      <c r="D3011" t="s">
        <v>0</v>
      </c>
      <c r="E3011" t="s">
        <v>271</v>
      </c>
      <c r="F3011" t="s">
        <v>323</v>
      </c>
    </row>
    <row r="3012" spans="1:6" x14ac:dyDescent="0.25">
      <c r="A3012" t="s">
        <v>11872</v>
      </c>
      <c r="B3012" t="s">
        <v>11873</v>
      </c>
      <c r="C3012" t="s">
        <v>11874</v>
      </c>
      <c r="D3012" t="s">
        <v>0</v>
      </c>
      <c r="E3012" t="s">
        <v>271</v>
      </c>
      <c r="F3012" t="s">
        <v>1141</v>
      </c>
    </row>
    <row r="3013" spans="1:6" x14ac:dyDescent="0.25">
      <c r="A3013" t="s">
        <v>11875</v>
      </c>
      <c r="B3013" t="s">
        <v>8386</v>
      </c>
      <c r="C3013" t="s">
        <v>11876</v>
      </c>
      <c r="D3013" t="s">
        <v>0</v>
      </c>
      <c r="E3013" t="s">
        <v>271</v>
      </c>
      <c r="F3013" t="s">
        <v>4421</v>
      </c>
    </row>
    <row r="3014" spans="1:6" x14ac:dyDescent="0.25">
      <c r="A3014" t="s">
        <v>11877</v>
      </c>
      <c r="B3014" t="s">
        <v>11878</v>
      </c>
      <c r="C3014" t="s">
        <v>11879</v>
      </c>
      <c r="D3014" t="s">
        <v>556</v>
      </c>
      <c r="E3014" t="s">
        <v>271</v>
      </c>
      <c r="F3014" t="s">
        <v>1567</v>
      </c>
    </row>
    <row r="3015" spans="1:6" x14ac:dyDescent="0.25">
      <c r="A3015" t="s">
        <v>11880</v>
      </c>
      <c r="B3015" t="s">
        <v>11881</v>
      </c>
      <c r="C3015" t="s">
        <v>11882</v>
      </c>
      <c r="D3015" t="s">
        <v>0</v>
      </c>
      <c r="E3015" t="s">
        <v>271</v>
      </c>
      <c r="F3015" t="s">
        <v>1534</v>
      </c>
    </row>
    <row r="3016" spans="1:6" x14ac:dyDescent="0.25">
      <c r="A3016" t="s">
        <v>11883</v>
      </c>
      <c r="B3016" t="s">
        <v>11884</v>
      </c>
      <c r="C3016" t="s">
        <v>11885</v>
      </c>
      <c r="D3016" t="s">
        <v>1303</v>
      </c>
      <c r="E3016" t="s">
        <v>269</v>
      </c>
      <c r="F3016" t="s">
        <v>1302</v>
      </c>
    </row>
    <row r="3017" spans="1:6" x14ac:dyDescent="0.25">
      <c r="A3017" t="s">
        <v>11886</v>
      </c>
      <c r="B3017" t="s">
        <v>11887</v>
      </c>
      <c r="C3017" t="s">
        <v>11888</v>
      </c>
      <c r="D3017" t="s">
        <v>0</v>
      </c>
      <c r="E3017" t="s">
        <v>271</v>
      </c>
      <c r="F3017" t="s">
        <v>731</v>
      </c>
    </row>
    <row r="3018" spans="1:6" x14ac:dyDescent="0.25">
      <c r="A3018" t="s">
        <v>11889</v>
      </c>
      <c r="B3018" t="s">
        <v>11890</v>
      </c>
      <c r="C3018" t="s">
        <v>11891</v>
      </c>
      <c r="D3018" t="s">
        <v>222</v>
      </c>
      <c r="E3018" t="s">
        <v>271</v>
      </c>
      <c r="F3018" t="s">
        <v>4414</v>
      </c>
    </row>
    <row r="3019" spans="1:6" x14ac:dyDescent="0.25">
      <c r="A3019" t="s">
        <v>11892</v>
      </c>
      <c r="B3019" t="s">
        <v>11893</v>
      </c>
      <c r="C3019" t="s">
        <v>11894</v>
      </c>
      <c r="D3019" t="s">
        <v>616</v>
      </c>
      <c r="E3019" t="s">
        <v>271</v>
      </c>
      <c r="F3019" t="s">
        <v>1102</v>
      </c>
    </row>
    <row r="3020" spans="1:6" x14ac:dyDescent="0.25">
      <c r="A3020" t="s">
        <v>11895</v>
      </c>
      <c r="B3020" t="s">
        <v>242</v>
      </c>
      <c r="C3020" t="s">
        <v>11896</v>
      </c>
      <c r="D3020" t="s">
        <v>547</v>
      </c>
      <c r="E3020" t="s">
        <v>271</v>
      </c>
      <c r="F3020" t="s">
        <v>428</v>
      </c>
    </row>
    <row r="3021" spans="1:6" x14ac:dyDescent="0.25">
      <c r="A3021" t="s">
        <v>11897</v>
      </c>
      <c r="B3021" t="s">
        <v>11898</v>
      </c>
      <c r="C3021" t="s">
        <v>11899</v>
      </c>
      <c r="D3021" t="s">
        <v>1137</v>
      </c>
      <c r="E3021" t="s">
        <v>269</v>
      </c>
      <c r="F3021" t="s">
        <v>1136</v>
      </c>
    </row>
    <row r="3022" spans="1:6" x14ac:dyDescent="0.25">
      <c r="A3022" t="s">
        <v>11900</v>
      </c>
      <c r="B3022" t="s">
        <v>11901</v>
      </c>
      <c r="C3022" t="s">
        <v>11902</v>
      </c>
      <c r="D3022" t="s">
        <v>3378</v>
      </c>
      <c r="E3022" t="s">
        <v>271</v>
      </c>
      <c r="F3022" t="s">
        <v>3377</v>
      </c>
    </row>
    <row r="3023" spans="1:6" x14ac:dyDescent="0.25">
      <c r="A3023" t="s">
        <v>11903</v>
      </c>
      <c r="B3023" t="s">
        <v>11904</v>
      </c>
      <c r="C3023" t="s">
        <v>11905</v>
      </c>
      <c r="D3023" t="s">
        <v>0</v>
      </c>
      <c r="E3023" t="s">
        <v>271</v>
      </c>
      <c r="F3023" t="s">
        <v>319</v>
      </c>
    </row>
    <row r="3024" spans="1:6" x14ac:dyDescent="0.25">
      <c r="A3024" t="s">
        <v>2328</v>
      </c>
      <c r="B3024" t="s">
        <v>2329</v>
      </c>
      <c r="C3024" t="s">
        <v>2330</v>
      </c>
      <c r="D3024" t="s">
        <v>1064</v>
      </c>
      <c r="E3024" t="s">
        <v>269</v>
      </c>
      <c r="F3024" t="s">
        <v>1063</v>
      </c>
    </row>
    <row r="3025" spans="1:6" x14ac:dyDescent="0.25">
      <c r="A3025" t="s">
        <v>11906</v>
      </c>
      <c r="B3025" t="s">
        <v>11907</v>
      </c>
      <c r="C3025" t="s">
        <v>11908</v>
      </c>
      <c r="D3025" t="s">
        <v>11909</v>
      </c>
      <c r="E3025" t="s">
        <v>271</v>
      </c>
      <c r="F3025" t="s">
        <v>4433</v>
      </c>
    </row>
    <row r="3026" spans="1:6" x14ac:dyDescent="0.25">
      <c r="A3026" t="s">
        <v>11910</v>
      </c>
      <c r="B3026" t="s">
        <v>11911</v>
      </c>
      <c r="C3026" t="s">
        <v>912</v>
      </c>
      <c r="D3026" t="s">
        <v>340</v>
      </c>
      <c r="E3026" t="s">
        <v>271</v>
      </c>
      <c r="F3026" t="s">
        <v>317</v>
      </c>
    </row>
    <row r="3027" spans="1:6" x14ac:dyDescent="0.25">
      <c r="A3027" t="s">
        <v>744</v>
      </c>
      <c r="B3027" t="s">
        <v>745</v>
      </c>
      <c r="C3027" t="s">
        <v>747</v>
      </c>
      <c r="D3027" t="s">
        <v>503</v>
      </c>
      <c r="E3027" t="s">
        <v>271</v>
      </c>
      <c r="F3027" t="s">
        <v>504</v>
      </c>
    </row>
    <row r="3028" spans="1:6" x14ac:dyDescent="0.25">
      <c r="A3028" t="s">
        <v>3558</v>
      </c>
      <c r="B3028" t="s">
        <v>3559</v>
      </c>
      <c r="C3028" t="s">
        <v>3560</v>
      </c>
      <c r="D3028" t="s">
        <v>232</v>
      </c>
      <c r="E3028" t="s">
        <v>271</v>
      </c>
      <c r="F3028" t="s">
        <v>329</v>
      </c>
    </row>
    <row r="3029" spans="1:6" x14ac:dyDescent="0.25">
      <c r="A3029" t="s">
        <v>11912</v>
      </c>
      <c r="B3029" t="s">
        <v>11913</v>
      </c>
      <c r="C3029" t="s">
        <v>11914</v>
      </c>
      <c r="D3029" t="s">
        <v>1559</v>
      </c>
      <c r="E3029" t="s">
        <v>271</v>
      </c>
      <c r="F3029" t="s">
        <v>1558</v>
      </c>
    </row>
    <row r="3030" spans="1:6" x14ac:dyDescent="0.25">
      <c r="A3030" t="s">
        <v>1154</v>
      </c>
      <c r="B3030" t="s">
        <v>1155</v>
      </c>
      <c r="C3030" t="s">
        <v>1156</v>
      </c>
      <c r="D3030" t="s">
        <v>222</v>
      </c>
      <c r="E3030" t="s">
        <v>271</v>
      </c>
      <c r="F3030" t="s">
        <v>313</v>
      </c>
    </row>
    <row r="3031" spans="1:6" x14ac:dyDescent="0.25">
      <c r="A3031" t="s">
        <v>11915</v>
      </c>
      <c r="B3031" t="s">
        <v>11916</v>
      </c>
      <c r="C3031" t="s">
        <v>11917</v>
      </c>
      <c r="D3031" t="s">
        <v>0</v>
      </c>
      <c r="E3031" t="s">
        <v>271</v>
      </c>
      <c r="F3031" t="s">
        <v>1011</v>
      </c>
    </row>
    <row r="3032" spans="1:6" x14ac:dyDescent="0.25">
      <c r="A3032" t="s">
        <v>11918</v>
      </c>
      <c r="B3032" t="s">
        <v>11919</v>
      </c>
      <c r="C3032" t="s">
        <v>11920</v>
      </c>
      <c r="D3032" t="s">
        <v>357</v>
      </c>
      <c r="E3032" t="s">
        <v>271</v>
      </c>
      <c r="F3032" t="s">
        <v>358</v>
      </c>
    </row>
    <row r="3033" spans="1:6" x14ac:dyDescent="0.25">
      <c r="A3033" t="s">
        <v>11921</v>
      </c>
      <c r="B3033" t="s">
        <v>11922</v>
      </c>
      <c r="C3033" t="s">
        <v>11923</v>
      </c>
      <c r="D3033" t="s">
        <v>1643</v>
      </c>
      <c r="E3033" t="s">
        <v>271</v>
      </c>
      <c r="F3033" t="s">
        <v>2028</v>
      </c>
    </row>
    <row r="3034" spans="1:6" x14ac:dyDescent="0.25">
      <c r="A3034" t="s">
        <v>11924</v>
      </c>
      <c r="B3034" t="s">
        <v>11925</v>
      </c>
      <c r="C3034" t="s">
        <v>11926</v>
      </c>
      <c r="D3034" t="s">
        <v>11927</v>
      </c>
      <c r="E3034" t="s">
        <v>271</v>
      </c>
      <c r="F3034" t="s">
        <v>11928</v>
      </c>
    </row>
    <row r="3035" spans="1:6" x14ac:dyDescent="0.25">
      <c r="A3035" t="s">
        <v>11929</v>
      </c>
      <c r="B3035" t="s">
        <v>11930</v>
      </c>
      <c r="C3035" t="s">
        <v>11931</v>
      </c>
      <c r="D3035" t="s">
        <v>556</v>
      </c>
      <c r="E3035" t="s">
        <v>271</v>
      </c>
      <c r="F3035" t="s">
        <v>1567</v>
      </c>
    </row>
    <row r="3036" spans="1:6" x14ac:dyDescent="0.25">
      <c r="A3036" t="s">
        <v>11932</v>
      </c>
      <c r="B3036" t="s">
        <v>11933</v>
      </c>
      <c r="C3036" t="s">
        <v>11934</v>
      </c>
      <c r="D3036" t="s">
        <v>4815</v>
      </c>
      <c r="E3036" t="s">
        <v>271</v>
      </c>
      <c r="F3036" t="s">
        <v>2713</v>
      </c>
    </row>
    <row r="3037" spans="1:6" x14ac:dyDescent="0.25">
      <c r="A3037" t="s">
        <v>11935</v>
      </c>
      <c r="B3037" t="s">
        <v>11936</v>
      </c>
      <c r="C3037" t="s">
        <v>11937</v>
      </c>
      <c r="D3037" t="s">
        <v>1079</v>
      </c>
      <c r="E3037" t="s">
        <v>271</v>
      </c>
      <c r="F3037" t="s">
        <v>1176</v>
      </c>
    </row>
    <row r="3038" spans="1:6" x14ac:dyDescent="0.25">
      <c r="A3038" t="s">
        <v>11938</v>
      </c>
      <c r="B3038" t="s">
        <v>11939</v>
      </c>
      <c r="C3038" t="s">
        <v>11940</v>
      </c>
      <c r="D3038" t="s">
        <v>586</v>
      </c>
      <c r="E3038" t="s">
        <v>271</v>
      </c>
      <c r="F3038" t="s">
        <v>334</v>
      </c>
    </row>
    <row r="3039" spans="1:6" x14ac:dyDescent="0.25">
      <c r="A3039" t="s">
        <v>11941</v>
      </c>
      <c r="B3039" t="s">
        <v>11942</v>
      </c>
      <c r="C3039" t="s">
        <v>11943</v>
      </c>
      <c r="D3039" t="s">
        <v>2311</v>
      </c>
      <c r="E3039" t="s">
        <v>271</v>
      </c>
      <c r="F3039" t="s">
        <v>424</v>
      </c>
    </row>
    <row r="3040" spans="1:6" x14ac:dyDescent="0.25">
      <c r="A3040" t="s">
        <v>11944</v>
      </c>
      <c r="B3040" t="s">
        <v>11945</v>
      </c>
      <c r="C3040" t="s">
        <v>11946</v>
      </c>
      <c r="D3040" t="s">
        <v>2471</v>
      </c>
      <c r="E3040" t="s">
        <v>271</v>
      </c>
      <c r="F3040" t="s">
        <v>2470</v>
      </c>
    </row>
    <row r="3041" spans="1:6" x14ac:dyDescent="0.25">
      <c r="A3041" t="s">
        <v>3315</v>
      </c>
      <c r="B3041" t="s">
        <v>3316</v>
      </c>
      <c r="C3041" t="s">
        <v>3317</v>
      </c>
      <c r="D3041" t="s">
        <v>0</v>
      </c>
      <c r="E3041" t="s">
        <v>271</v>
      </c>
      <c r="F3041" t="s">
        <v>881</v>
      </c>
    </row>
    <row r="3042" spans="1:6" x14ac:dyDescent="0.25">
      <c r="A3042" t="s">
        <v>11947</v>
      </c>
      <c r="B3042" t="s">
        <v>11948</v>
      </c>
      <c r="C3042" t="s">
        <v>11949</v>
      </c>
      <c r="D3042" t="s">
        <v>566</v>
      </c>
      <c r="E3042" t="s">
        <v>271</v>
      </c>
      <c r="F3042" t="s">
        <v>567</v>
      </c>
    </row>
    <row r="3043" spans="1:6" x14ac:dyDescent="0.25">
      <c r="A3043" t="s">
        <v>11950</v>
      </c>
      <c r="B3043" t="s">
        <v>11951</v>
      </c>
      <c r="C3043" t="s">
        <v>11952</v>
      </c>
      <c r="D3043" t="s">
        <v>492</v>
      </c>
      <c r="E3043" t="s">
        <v>271</v>
      </c>
      <c r="F3043" t="s">
        <v>493</v>
      </c>
    </row>
    <row r="3044" spans="1:6" x14ac:dyDescent="0.25">
      <c r="A3044" t="s">
        <v>11953</v>
      </c>
      <c r="B3044" t="s">
        <v>11954</v>
      </c>
      <c r="C3044" t="s">
        <v>11955</v>
      </c>
      <c r="D3044" t="s">
        <v>2714</v>
      </c>
      <c r="E3044" t="s">
        <v>271</v>
      </c>
      <c r="F3044" t="s">
        <v>2713</v>
      </c>
    </row>
    <row r="3045" spans="1:6" x14ac:dyDescent="0.25">
      <c r="A3045" t="s">
        <v>1379</v>
      </c>
      <c r="B3045" t="s">
        <v>1380</v>
      </c>
      <c r="C3045" t="s">
        <v>1381</v>
      </c>
      <c r="D3045" t="s">
        <v>617</v>
      </c>
      <c r="E3045" t="s">
        <v>271</v>
      </c>
      <c r="F3045" t="s">
        <v>438</v>
      </c>
    </row>
    <row r="3046" spans="1:6" x14ac:dyDescent="0.25">
      <c r="A3046" t="s">
        <v>11956</v>
      </c>
      <c r="B3046" t="s">
        <v>11957</v>
      </c>
      <c r="C3046" t="s">
        <v>11958</v>
      </c>
      <c r="D3046" t="s">
        <v>453</v>
      </c>
      <c r="E3046" t="s">
        <v>271</v>
      </c>
      <c r="F3046" t="s">
        <v>2285</v>
      </c>
    </row>
    <row r="3047" spans="1:6" x14ac:dyDescent="0.25">
      <c r="A3047" t="s">
        <v>3769</v>
      </c>
      <c r="B3047" t="s">
        <v>3770</v>
      </c>
      <c r="C3047" t="s">
        <v>3771</v>
      </c>
      <c r="D3047" t="s">
        <v>0</v>
      </c>
      <c r="E3047" t="s">
        <v>271</v>
      </c>
      <c r="F3047" t="s">
        <v>726</v>
      </c>
    </row>
    <row r="3048" spans="1:6" x14ac:dyDescent="0.25">
      <c r="A3048" t="s">
        <v>11959</v>
      </c>
      <c r="B3048" t="s">
        <v>11960</v>
      </c>
      <c r="C3048" t="s">
        <v>11961</v>
      </c>
      <c r="D3048" t="s">
        <v>373</v>
      </c>
      <c r="E3048" t="s">
        <v>271</v>
      </c>
      <c r="F3048" t="s">
        <v>1523</v>
      </c>
    </row>
    <row r="3049" spans="1:6" x14ac:dyDescent="0.25">
      <c r="A3049" t="s">
        <v>11962</v>
      </c>
      <c r="B3049" t="s">
        <v>11963</v>
      </c>
      <c r="C3049" t="s">
        <v>11964</v>
      </c>
      <c r="D3049" t="s">
        <v>0</v>
      </c>
      <c r="E3049" t="s">
        <v>271</v>
      </c>
      <c r="F3049" t="s">
        <v>323</v>
      </c>
    </row>
    <row r="3050" spans="1:6" x14ac:dyDescent="0.25">
      <c r="A3050" t="s">
        <v>11965</v>
      </c>
      <c r="B3050" t="s">
        <v>11966</v>
      </c>
      <c r="C3050" t="s">
        <v>11967</v>
      </c>
      <c r="D3050" t="s">
        <v>0</v>
      </c>
      <c r="E3050" t="s">
        <v>271</v>
      </c>
      <c r="F3050" t="s">
        <v>355</v>
      </c>
    </row>
    <row r="3051" spans="1:6" x14ac:dyDescent="0.25">
      <c r="A3051" t="s">
        <v>11968</v>
      </c>
      <c r="B3051" t="s">
        <v>11969</v>
      </c>
      <c r="C3051" t="s">
        <v>11970</v>
      </c>
      <c r="D3051" t="s">
        <v>492</v>
      </c>
      <c r="E3051" t="s">
        <v>271</v>
      </c>
      <c r="F3051" t="s">
        <v>493</v>
      </c>
    </row>
    <row r="3052" spans="1:6" x14ac:dyDescent="0.25">
      <c r="A3052" t="s">
        <v>11971</v>
      </c>
      <c r="B3052" t="s">
        <v>11972</v>
      </c>
      <c r="C3052" t="s">
        <v>11973</v>
      </c>
      <c r="D3052" t="s">
        <v>506</v>
      </c>
      <c r="E3052" t="s">
        <v>271</v>
      </c>
      <c r="F3052" t="s">
        <v>507</v>
      </c>
    </row>
    <row r="3053" spans="1:6" x14ac:dyDescent="0.25">
      <c r="A3053" t="s">
        <v>11974</v>
      </c>
      <c r="B3053" t="s">
        <v>11975</v>
      </c>
      <c r="C3053" t="s">
        <v>11976</v>
      </c>
      <c r="D3053" t="s">
        <v>11977</v>
      </c>
      <c r="E3053" t="s">
        <v>271</v>
      </c>
      <c r="F3053" t="s">
        <v>11978</v>
      </c>
    </row>
    <row r="3054" spans="1:6" x14ac:dyDescent="0.25">
      <c r="A3054" t="s">
        <v>11979</v>
      </c>
      <c r="B3054" t="s">
        <v>11980</v>
      </c>
      <c r="C3054" t="s">
        <v>11981</v>
      </c>
      <c r="D3054" t="s">
        <v>586</v>
      </c>
      <c r="E3054" t="s">
        <v>271</v>
      </c>
      <c r="F3054" t="s">
        <v>662</v>
      </c>
    </row>
    <row r="3055" spans="1:6" x14ac:dyDescent="0.25">
      <c r="A3055" t="s">
        <v>11982</v>
      </c>
      <c r="B3055" t="s">
        <v>11983</v>
      </c>
      <c r="C3055" t="s">
        <v>11984</v>
      </c>
      <c r="D3055" t="s">
        <v>239</v>
      </c>
      <c r="E3055" t="s">
        <v>271</v>
      </c>
      <c r="F3055" t="s">
        <v>544</v>
      </c>
    </row>
    <row r="3056" spans="1:6" x14ac:dyDescent="0.25">
      <c r="A3056" t="s">
        <v>11985</v>
      </c>
      <c r="B3056" t="s">
        <v>11986</v>
      </c>
      <c r="C3056" t="s">
        <v>609</v>
      </c>
      <c r="D3056" t="s">
        <v>252</v>
      </c>
      <c r="E3056" t="s">
        <v>341</v>
      </c>
      <c r="F3056" t="s">
        <v>418</v>
      </c>
    </row>
    <row r="3057" spans="1:6" x14ac:dyDescent="0.25">
      <c r="A3057" t="s">
        <v>11987</v>
      </c>
      <c r="B3057" t="s">
        <v>11988</v>
      </c>
      <c r="C3057" t="s">
        <v>11989</v>
      </c>
      <c r="D3057" t="s">
        <v>845</v>
      </c>
      <c r="E3057" t="s">
        <v>271</v>
      </c>
      <c r="F3057" t="s">
        <v>844</v>
      </c>
    </row>
    <row r="3058" spans="1:6" x14ac:dyDescent="0.25">
      <c r="A3058" t="s">
        <v>11990</v>
      </c>
      <c r="B3058" t="s">
        <v>11991</v>
      </c>
      <c r="C3058" t="s">
        <v>11992</v>
      </c>
      <c r="D3058" t="s">
        <v>1548</v>
      </c>
      <c r="E3058" t="s">
        <v>271</v>
      </c>
      <c r="F3058" t="s">
        <v>1547</v>
      </c>
    </row>
    <row r="3059" spans="1:6" x14ac:dyDescent="0.25">
      <c r="A3059" t="s">
        <v>11993</v>
      </c>
      <c r="B3059" t="s">
        <v>11994</v>
      </c>
      <c r="C3059" t="s">
        <v>11995</v>
      </c>
      <c r="D3059" t="s">
        <v>453</v>
      </c>
      <c r="E3059" t="s">
        <v>271</v>
      </c>
      <c r="F3059" t="s">
        <v>454</v>
      </c>
    </row>
    <row r="3060" spans="1:6" x14ac:dyDescent="0.25">
      <c r="A3060" t="s">
        <v>11996</v>
      </c>
      <c r="B3060" t="s">
        <v>11997</v>
      </c>
      <c r="C3060" t="s">
        <v>11998</v>
      </c>
      <c r="D3060" t="s">
        <v>7898</v>
      </c>
      <c r="E3060" t="s">
        <v>271</v>
      </c>
      <c r="F3060" t="s">
        <v>4434</v>
      </c>
    </row>
    <row r="3061" spans="1:6" x14ac:dyDescent="0.25">
      <c r="A3061" t="s">
        <v>11999</v>
      </c>
      <c r="B3061" t="s">
        <v>12000</v>
      </c>
      <c r="C3061" t="s">
        <v>12001</v>
      </c>
      <c r="D3061" t="s">
        <v>442</v>
      </c>
      <c r="E3061" t="s">
        <v>269</v>
      </c>
      <c r="F3061" t="s">
        <v>3077</v>
      </c>
    </row>
    <row r="3062" spans="1:6" x14ac:dyDescent="0.25">
      <c r="A3062" t="s">
        <v>12002</v>
      </c>
      <c r="B3062" t="s">
        <v>12003</v>
      </c>
      <c r="C3062" t="s">
        <v>12004</v>
      </c>
      <c r="D3062" t="s">
        <v>1303</v>
      </c>
      <c r="E3062" t="s">
        <v>269</v>
      </c>
      <c r="F3062" t="s">
        <v>1302</v>
      </c>
    </row>
    <row r="3063" spans="1:6" x14ac:dyDescent="0.25">
      <c r="A3063" t="s">
        <v>12005</v>
      </c>
      <c r="B3063" t="s">
        <v>12006</v>
      </c>
      <c r="C3063" t="s">
        <v>12007</v>
      </c>
      <c r="D3063" t="s">
        <v>2493</v>
      </c>
      <c r="E3063" t="s">
        <v>271</v>
      </c>
      <c r="F3063" t="s">
        <v>2492</v>
      </c>
    </row>
    <row r="3064" spans="1:6" x14ac:dyDescent="0.25">
      <c r="A3064" t="s">
        <v>1936</v>
      </c>
      <c r="B3064" t="s">
        <v>1937</v>
      </c>
      <c r="C3064" t="s">
        <v>1939</v>
      </c>
      <c r="D3064" t="s">
        <v>1938</v>
      </c>
      <c r="E3064" t="s">
        <v>269</v>
      </c>
      <c r="F3064" t="s">
        <v>1136</v>
      </c>
    </row>
    <row r="3065" spans="1:6" x14ac:dyDescent="0.25">
      <c r="A3065" t="s">
        <v>12008</v>
      </c>
      <c r="B3065" t="s">
        <v>12009</v>
      </c>
      <c r="C3065" t="s">
        <v>12010</v>
      </c>
      <c r="D3065" t="s">
        <v>0</v>
      </c>
      <c r="E3065" t="s">
        <v>271</v>
      </c>
      <c r="F3065" t="s">
        <v>575</v>
      </c>
    </row>
    <row r="3066" spans="1:6" x14ac:dyDescent="0.25">
      <c r="A3066" t="s">
        <v>12011</v>
      </c>
      <c r="B3066" t="s">
        <v>12012</v>
      </c>
      <c r="C3066" t="s">
        <v>12013</v>
      </c>
      <c r="D3066" t="s">
        <v>0</v>
      </c>
      <c r="E3066" t="s">
        <v>271</v>
      </c>
      <c r="F3066" t="s">
        <v>785</v>
      </c>
    </row>
    <row r="3067" spans="1:6" x14ac:dyDescent="0.25">
      <c r="A3067" t="s">
        <v>12014</v>
      </c>
      <c r="B3067" t="s">
        <v>12015</v>
      </c>
      <c r="C3067" t="s">
        <v>12016</v>
      </c>
      <c r="D3067" t="s">
        <v>237</v>
      </c>
      <c r="E3067" t="s">
        <v>271</v>
      </c>
      <c r="F3067" t="s">
        <v>427</v>
      </c>
    </row>
    <row r="3068" spans="1:6" x14ac:dyDescent="0.25">
      <c r="A3068" t="s">
        <v>12017</v>
      </c>
      <c r="B3068" t="s">
        <v>563</v>
      </c>
      <c r="C3068" t="s">
        <v>12018</v>
      </c>
      <c r="D3068" t="s">
        <v>718</v>
      </c>
      <c r="E3068" t="s">
        <v>271</v>
      </c>
      <c r="F3068" t="s">
        <v>333</v>
      </c>
    </row>
    <row r="3069" spans="1:6" x14ac:dyDescent="0.25">
      <c r="A3069" t="s">
        <v>12019</v>
      </c>
      <c r="B3069" t="s">
        <v>12020</v>
      </c>
      <c r="C3069" t="s">
        <v>12021</v>
      </c>
      <c r="D3069" t="s">
        <v>222</v>
      </c>
      <c r="E3069" t="s">
        <v>271</v>
      </c>
      <c r="F3069" t="s">
        <v>313</v>
      </c>
    </row>
    <row r="3070" spans="1:6" x14ac:dyDescent="0.25">
      <c r="A3070" t="s">
        <v>3137</v>
      </c>
      <c r="B3070" t="s">
        <v>3138</v>
      </c>
      <c r="C3070" t="s">
        <v>3139</v>
      </c>
      <c r="D3070" t="s">
        <v>0</v>
      </c>
      <c r="E3070" t="s">
        <v>271</v>
      </c>
      <c r="F3070" t="s">
        <v>809</v>
      </c>
    </row>
    <row r="3071" spans="1:6" x14ac:dyDescent="0.25">
      <c r="A3071" t="s">
        <v>12022</v>
      </c>
      <c r="B3071" t="s">
        <v>12023</v>
      </c>
      <c r="C3071" t="s">
        <v>12024</v>
      </c>
      <c r="D3071" t="s">
        <v>1542</v>
      </c>
      <c r="E3071" t="s">
        <v>269</v>
      </c>
      <c r="F3071" t="s">
        <v>1541</v>
      </c>
    </row>
    <row r="3072" spans="1:6" x14ac:dyDescent="0.25">
      <c r="A3072" t="s">
        <v>3270</v>
      </c>
      <c r="B3072" t="s">
        <v>3271</v>
      </c>
      <c r="C3072" t="s">
        <v>3272</v>
      </c>
      <c r="D3072" t="s">
        <v>361</v>
      </c>
      <c r="E3072" t="s">
        <v>271</v>
      </c>
      <c r="F3072" t="s">
        <v>1563</v>
      </c>
    </row>
    <row r="3073" spans="1:6" x14ac:dyDescent="0.25">
      <c r="A3073" t="s">
        <v>3048</v>
      </c>
      <c r="B3073" t="s">
        <v>3049</v>
      </c>
      <c r="C3073" t="s">
        <v>3050</v>
      </c>
      <c r="D3073" t="s">
        <v>237</v>
      </c>
      <c r="E3073" t="s">
        <v>271</v>
      </c>
      <c r="F3073" t="s">
        <v>427</v>
      </c>
    </row>
    <row r="3074" spans="1:6" x14ac:dyDescent="0.25">
      <c r="A3074" t="s">
        <v>1366</v>
      </c>
      <c r="B3074" t="s">
        <v>1367</v>
      </c>
      <c r="C3074" t="s">
        <v>1371</v>
      </c>
      <c r="D3074" t="s">
        <v>1370</v>
      </c>
      <c r="E3074" t="s">
        <v>271</v>
      </c>
      <c r="F3074" t="s">
        <v>1369</v>
      </c>
    </row>
    <row r="3075" spans="1:6" x14ac:dyDescent="0.25">
      <c r="A3075" t="s">
        <v>3654</v>
      </c>
      <c r="B3075" t="s">
        <v>3655</v>
      </c>
      <c r="C3075" t="s">
        <v>3656</v>
      </c>
      <c r="D3075" t="s">
        <v>0</v>
      </c>
      <c r="E3075" t="s">
        <v>271</v>
      </c>
      <c r="F3075" t="s">
        <v>436</v>
      </c>
    </row>
    <row r="3076" spans="1:6" x14ac:dyDescent="0.25">
      <c r="A3076" t="s">
        <v>1781</v>
      </c>
      <c r="B3076" t="s">
        <v>1782</v>
      </c>
      <c r="C3076" t="s">
        <v>1783</v>
      </c>
      <c r="D3076" t="s">
        <v>519</v>
      </c>
      <c r="E3076" t="s">
        <v>271</v>
      </c>
      <c r="F3076" t="s">
        <v>324</v>
      </c>
    </row>
    <row r="3077" spans="1:6" x14ac:dyDescent="0.25">
      <c r="A3077" t="s">
        <v>12025</v>
      </c>
      <c r="B3077" t="s">
        <v>12026</v>
      </c>
      <c r="C3077" t="s">
        <v>12027</v>
      </c>
      <c r="D3077" t="s">
        <v>0</v>
      </c>
      <c r="E3077" t="s">
        <v>271</v>
      </c>
      <c r="F3077" t="s">
        <v>688</v>
      </c>
    </row>
    <row r="3078" spans="1:6" x14ac:dyDescent="0.25">
      <c r="A3078" t="s">
        <v>12028</v>
      </c>
      <c r="B3078" t="s">
        <v>12029</v>
      </c>
      <c r="C3078" t="s">
        <v>12030</v>
      </c>
      <c r="D3078" t="s">
        <v>1723</v>
      </c>
      <c r="E3078" t="s">
        <v>271</v>
      </c>
      <c r="F3078" t="s">
        <v>1722</v>
      </c>
    </row>
    <row r="3079" spans="1:6" x14ac:dyDescent="0.25">
      <c r="A3079" t="s">
        <v>12031</v>
      </c>
      <c r="B3079" t="s">
        <v>12032</v>
      </c>
      <c r="C3079" t="s">
        <v>12033</v>
      </c>
      <c r="D3079" t="s">
        <v>287</v>
      </c>
      <c r="E3079" t="s">
        <v>271</v>
      </c>
      <c r="F3079" t="s">
        <v>4403</v>
      </c>
    </row>
    <row r="3080" spans="1:6" x14ac:dyDescent="0.25">
      <c r="A3080" t="s">
        <v>12034</v>
      </c>
      <c r="B3080" t="s">
        <v>12035</v>
      </c>
      <c r="C3080" t="s">
        <v>12036</v>
      </c>
      <c r="D3080" t="s">
        <v>246</v>
      </c>
      <c r="E3080" t="s">
        <v>271</v>
      </c>
      <c r="F3080" t="s">
        <v>426</v>
      </c>
    </row>
    <row r="3081" spans="1:6" x14ac:dyDescent="0.25">
      <c r="A3081" t="s">
        <v>12037</v>
      </c>
      <c r="B3081" t="s">
        <v>12038</v>
      </c>
      <c r="C3081" t="s">
        <v>12039</v>
      </c>
      <c r="D3081" t="s">
        <v>222</v>
      </c>
      <c r="E3081" t="s">
        <v>271</v>
      </c>
      <c r="F3081" t="s">
        <v>8352</v>
      </c>
    </row>
    <row r="3082" spans="1:6" x14ac:dyDescent="0.25">
      <c r="A3082" t="s">
        <v>12040</v>
      </c>
      <c r="B3082" t="s">
        <v>12041</v>
      </c>
      <c r="C3082" t="s">
        <v>12042</v>
      </c>
      <c r="D3082" t="s">
        <v>1542</v>
      </c>
      <c r="E3082" t="s">
        <v>269</v>
      </c>
      <c r="F3082" t="s">
        <v>4412</v>
      </c>
    </row>
    <row r="3083" spans="1:6" x14ac:dyDescent="0.25">
      <c r="A3083" t="s">
        <v>12043</v>
      </c>
      <c r="B3083" t="s">
        <v>12044</v>
      </c>
      <c r="C3083" t="s">
        <v>12045</v>
      </c>
      <c r="D3083" t="s">
        <v>0</v>
      </c>
      <c r="E3083" t="s">
        <v>271</v>
      </c>
      <c r="F3083" t="s">
        <v>658</v>
      </c>
    </row>
    <row r="3084" spans="1:6" x14ac:dyDescent="0.25">
      <c r="A3084" t="s">
        <v>12046</v>
      </c>
      <c r="B3084" t="s">
        <v>12047</v>
      </c>
      <c r="C3084" t="s">
        <v>12048</v>
      </c>
      <c r="D3084" t="s">
        <v>450</v>
      </c>
      <c r="E3084" t="s">
        <v>271</v>
      </c>
      <c r="F3084" t="s">
        <v>326</v>
      </c>
    </row>
    <row r="3085" spans="1:6" x14ac:dyDescent="0.25">
      <c r="A3085" t="s">
        <v>12049</v>
      </c>
      <c r="B3085" t="s">
        <v>12050</v>
      </c>
      <c r="C3085" t="s">
        <v>12051</v>
      </c>
      <c r="D3085" t="s">
        <v>616</v>
      </c>
      <c r="E3085" t="s">
        <v>271</v>
      </c>
      <c r="F3085" t="s">
        <v>1102</v>
      </c>
    </row>
    <row r="3086" spans="1:6" x14ac:dyDescent="0.25">
      <c r="A3086" t="s">
        <v>12052</v>
      </c>
      <c r="B3086" t="s">
        <v>12053</v>
      </c>
      <c r="C3086" t="s">
        <v>12054</v>
      </c>
      <c r="D3086" t="s">
        <v>0</v>
      </c>
      <c r="E3086" t="s">
        <v>271</v>
      </c>
      <c r="F3086" t="s">
        <v>356</v>
      </c>
    </row>
    <row r="3087" spans="1:6" x14ac:dyDescent="0.25">
      <c r="A3087" t="s">
        <v>12055</v>
      </c>
      <c r="B3087" t="s">
        <v>12056</v>
      </c>
      <c r="C3087" t="s">
        <v>12057</v>
      </c>
      <c r="D3087" t="s">
        <v>510</v>
      </c>
      <c r="E3087" t="s">
        <v>271</v>
      </c>
      <c r="F3087" t="s">
        <v>511</v>
      </c>
    </row>
    <row r="3088" spans="1:6" x14ac:dyDescent="0.25">
      <c r="A3088" t="s">
        <v>12058</v>
      </c>
      <c r="B3088" t="s">
        <v>12059</v>
      </c>
      <c r="C3088" t="s">
        <v>12060</v>
      </c>
      <c r="D3088" t="s">
        <v>578</v>
      </c>
      <c r="E3088" t="s">
        <v>271</v>
      </c>
      <c r="F3088" t="s">
        <v>321</v>
      </c>
    </row>
    <row r="3089" spans="1:6" x14ac:dyDescent="0.25">
      <c r="A3089" t="s">
        <v>12061</v>
      </c>
      <c r="B3089" t="s">
        <v>12062</v>
      </c>
      <c r="C3089" t="s">
        <v>12063</v>
      </c>
      <c r="D3089" t="s">
        <v>0</v>
      </c>
      <c r="E3089" t="s">
        <v>271</v>
      </c>
      <c r="F3089" t="s">
        <v>809</v>
      </c>
    </row>
    <row r="3090" spans="1:6" x14ac:dyDescent="0.25">
      <c r="A3090" t="s">
        <v>12064</v>
      </c>
      <c r="B3090" t="s">
        <v>12065</v>
      </c>
      <c r="C3090" t="s">
        <v>12066</v>
      </c>
      <c r="D3090" t="s">
        <v>616</v>
      </c>
      <c r="E3090" t="s">
        <v>271</v>
      </c>
      <c r="F3090" t="s">
        <v>1102</v>
      </c>
    </row>
    <row r="3091" spans="1:6" x14ac:dyDescent="0.25">
      <c r="A3091" t="s">
        <v>12067</v>
      </c>
      <c r="B3091" t="s">
        <v>2903</v>
      </c>
      <c r="C3091" t="s">
        <v>12068</v>
      </c>
      <c r="D3091" t="s">
        <v>1165</v>
      </c>
      <c r="E3091" t="s">
        <v>271</v>
      </c>
      <c r="F3091" t="s">
        <v>1164</v>
      </c>
    </row>
    <row r="3092" spans="1:6" x14ac:dyDescent="0.25">
      <c r="A3092" t="s">
        <v>12069</v>
      </c>
      <c r="B3092" t="s">
        <v>12070</v>
      </c>
      <c r="C3092" t="s">
        <v>12071</v>
      </c>
      <c r="D3092" t="s">
        <v>0</v>
      </c>
      <c r="E3092" t="s">
        <v>271</v>
      </c>
      <c r="F3092" t="s">
        <v>3941</v>
      </c>
    </row>
    <row r="3093" spans="1:6" x14ac:dyDescent="0.25">
      <c r="A3093" t="s">
        <v>12072</v>
      </c>
      <c r="B3093" t="s">
        <v>12073</v>
      </c>
      <c r="C3093" t="s">
        <v>12074</v>
      </c>
      <c r="D3093" t="s">
        <v>586</v>
      </c>
      <c r="E3093" t="s">
        <v>271</v>
      </c>
      <c r="F3093" t="s">
        <v>334</v>
      </c>
    </row>
    <row r="3094" spans="1:6" x14ac:dyDescent="0.25">
      <c r="A3094" t="s">
        <v>12075</v>
      </c>
      <c r="B3094" t="s">
        <v>12076</v>
      </c>
      <c r="C3094" t="s">
        <v>12077</v>
      </c>
      <c r="D3094" t="s">
        <v>510</v>
      </c>
      <c r="E3094" t="s">
        <v>271</v>
      </c>
      <c r="F3094" t="s">
        <v>511</v>
      </c>
    </row>
    <row r="3095" spans="1:6" x14ac:dyDescent="0.25">
      <c r="A3095" t="s">
        <v>12078</v>
      </c>
      <c r="B3095" t="s">
        <v>12079</v>
      </c>
      <c r="C3095" t="s">
        <v>12080</v>
      </c>
      <c r="D3095" t="s">
        <v>0</v>
      </c>
      <c r="E3095" t="s">
        <v>271</v>
      </c>
      <c r="F3095" t="s">
        <v>436</v>
      </c>
    </row>
    <row r="3096" spans="1:6" x14ac:dyDescent="0.25">
      <c r="A3096" t="s">
        <v>12081</v>
      </c>
      <c r="B3096" t="s">
        <v>12082</v>
      </c>
      <c r="C3096" t="s">
        <v>3339</v>
      </c>
      <c r="D3096" t="s">
        <v>416</v>
      </c>
      <c r="E3096" t="s">
        <v>271</v>
      </c>
      <c r="F3096" t="s">
        <v>439</v>
      </c>
    </row>
    <row r="3097" spans="1:6" x14ac:dyDescent="0.25">
      <c r="A3097" t="s">
        <v>12083</v>
      </c>
      <c r="B3097" t="s">
        <v>12084</v>
      </c>
      <c r="C3097" t="s">
        <v>10790</v>
      </c>
      <c r="D3097" t="s">
        <v>1413</v>
      </c>
      <c r="E3097" t="s">
        <v>271</v>
      </c>
      <c r="F3097" t="s">
        <v>1412</v>
      </c>
    </row>
    <row r="3098" spans="1:6" x14ac:dyDescent="0.25">
      <c r="A3098" t="s">
        <v>12085</v>
      </c>
      <c r="B3098" t="s">
        <v>12086</v>
      </c>
      <c r="C3098" t="s">
        <v>12087</v>
      </c>
      <c r="D3098" t="s">
        <v>1433</v>
      </c>
      <c r="E3098" t="s">
        <v>271</v>
      </c>
      <c r="F3098" t="s">
        <v>1432</v>
      </c>
    </row>
    <row r="3099" spans="1:6" x14ac:dyDescent="0.25">
      <c r="A3099" t="s">
        <v>12088</v>
      </c>
      <c r="B3099" t="s">
        <v>12089</v>
      </c>
      <c r="C3099" t="s">
        <v>12090</v>
      </c>
      <c r="D3099" t="s">
        <v>2493</v>
      </c>
      <c r="E3099" t="s">
        <v>271</v>
      </c>
      <c r="F3099" t="s">
        <v>2492</v>
      </c>
    </row>
    <row r="3100" spans="1:6" x14ac:dyDescent="0.25">
      <c r="A3100" t="s">
        <v>12091</v>
      </c>
      <c r="B3100" t="s">
        <v>12092</v>
      </c>
      <c r="C3100" t="s">
        <v>12093</v>
      </c>
      <c r="D3100" t="s">
        <v>1126</v>
      </c>
      <c r="E3100" t="s">
        <v>271</v>
      </c>
      <c r="F3100" t="s">
        <v>1125</v>
      </c>
    </row>
    <row r="3101" spans="1:6" x14ac:dyDescent="0.25">
      <c r="A3101" t="s">
        <v>12094</v>
      </c>
      <c r="B3101" t="s">
        <v>12095</v>
      </c>
      <c r="C3101" t="s">
        <v>7390</v>
      </c>
      <c r="D3101" t="s">
        <v>0</v>
      </c>
      <c r="E3101" t="s">
        <v>271</v>
      </c>
      <c r="F3101" t="s">
        <v>356</v>
      </c>
    </row>
    <row r="3102" spans="1:6" x14ac:dyDescent="0.25">
      <c r="A3102" t="s">
        <v>12096</v>
      </c>
      <c r="B3102" t="s">
        <v>12097</v>
      </c>
      <c r="C3102" t="s">
        <v>12098</v>
      </c>
      <c r="D3102" t="s">
        <v>0</v>
      </c>
      <c r="E3102" t="s">
        <v>271</v>
      </c>
      <c r="F3102" t="s">
        <v>436</v>
      </c>
    </row>
    <row r="3103" spans="1:6" x14ac:dyDescent="0.25">
      <c r="A3103" t="s">
        <v>12099</v>
      </c>
      <c r="B3103" t="s">
        <v>12100</v>
      </c>
      <c r="C3103" t="s">
        <v>12101</v>
      </c>
      <c r="D3103" t="s">
        <v>0</v>
      </c>
      <c r="E3103" t="s">
        <v>271</v>
      </c>
      <c r="F3103" t="s">
        <v>575</v>
      </c>
    </row>
    <row r="3104" spans="1:6" x14ac:dyDescent="0.25">
      <c r="A3104" t="s">
        <v>12102</v>
      </c>
      <c r="B3104" t="s">
        <v>12103</v>
      </c>
      <c r="C3104" t="s">
        <v>12104</v>
      </c>
      <c r="D3104" t="s">
        <v>314</v>
      </c>
      <c r="E3104" t="s">
        <v>271</v>
      </c>
      <c r="F3104" t="s">
        <v>352</v>
      </c>
    </row>
    <row r="3105" spans="1:6" x14ac:dyDescent="0.25">
      <c r="A3105" t="s">
        <v>12105</v>
      </c>
      <c r="B3105" t="s">
        <v>12106</v>
      </c>
      <c r="C3105" t="s">
        <v>12107</v>
      </c>
      <c r="D3105" t="s">
        <v>503</v>
      </c>
      <c r="E3105" t="s">
        <v>271</v>
      </c>
      <c r="F3105" t="s">
        <v>504</v>
      </c>
    </row>
    <row r="3106" spans="1:6" x14ac:dyDescent="0.25">
      <c r="A3106" t="s">
        <v>12108</v>
      </c>
      <c r="B3106" t="s">
        <v>12109</v>
      </c>
      <c r="C3106" t="s">
        <v>12110</v>
      </c>
      <c r="D3106" t="s">
        <v>0</v>
      </c>
      <c r="E3106" t="s">
        <v>271</v>
      </c>
      <c r="F3106" t="s">
        <v>575</v>
      </c>
    </row>
    <row r="3107" spans="1:6" x14ac:dyDescent="0.25">
      <c r="A3107" t="s">
        <v>12111</v>
      </c>
      <c r="B3107" t="s">
        <v>12112</v>
      </c>
      <c r="C3107" t="s">
        <v>12113</v>
      </c>
      <c r="D3107" t="s">
        <v>0</v>
      </c>
      <c r="E3107" t="s">
        <v>271</v>
      </c>
      <c r="F3107" t="s">
        <v>325</v>
      </c>
    </row>
    <row r="3108" spans="1:6" x14ac:dyDescent="0.25">
      <c r="A3108" t="s">
        <v>12114</v>
      </c>
      <c r="B3108" t="s">
        <v>12115</v>
      </c>
      <c r="C3108" t="s">
        <v>12116</v>
      </c>
      <c r="D3108" t="s">
        <v>4089</v>
      </c>
      <c r="E3108" t="s">
        <v>271</v>
      </c>
      <c r="F3108" t="s">
        <v>480</v>
      </c>
    </row>
    <row r="3109" spans="1:6" x14ac:dyDescent="0.25">
      <c r="A3109" t="s">
        <v>12117</v>
      </c>
      <c r="B3109" t="s">
        <v>12118</v>
      </c>
      <c r="C3109" t="s">
        <v>12119</v>
      </c>
      <c r="D3109" t="s">
        <v>361</v>
      </c>
      <c r="E3109" t="s">
        <v>271</v>
      </c>
      <c r="F3109" t="s">
        <v>582</v>
      </c>
    </row>
    <row r="3110" spans="1:6" x14ac:dyDescent="0.25">
      <c r="A3110" t="s">
        <v>1505</v>
      </c>
      <c r="B3110" t="s">
        <v>1506</v>
      </c>
      <c r="C3110" t="s">
        <v>1507</v>
      </c>
      <c r="D3110" t="s">
        <v>0</v>
      </c>
      <c r="E3110" t="s">
        <v>271</v>
      </c>
      <c r="F3110" t="s">
        <v>356</v>
      </c>
    </row>
    <row r="3111" spans="1:6" x14ac:dyDescent="0.25">
      <c r="A3111" t="s">
        <v>1653</v>
      </c>
      <c r="B3111" t="s">
        <v>1654</v>
      </c>
      <c r="C3111" t="s">
        <v>1655</v>
      </c>
      <c r="D3111" t="s">
        <v>0</v>
      </c>
      <c r="E3111" t="s">
        <v>271</v>
      </c>
      <c r="F3111" t="s">
        <v>325</v>
      </c>
    </row>
    <row r="3112" spans="1:6" x14ac:dyDescent="0.25">
      <c r="A3112" t="s">
        <v>12120</v>
      </c>
      <c r="B3112" t="s">
        <v>4625</v>
      </c>
      <c r="C3112" t="s">
        <v>4626</v>
      </c>
      <c r="D3112" t="s">
        <v>0</v>
      </c>
      <c r="E3112" t="s">
        <v>271</v>
      </c>
      <c r="F3112" t="s">
        <v>355</v>
      </c>
    </row>
    <row r="3113" spans="1:6" x14ac:dyDescent="0.25">
      <c r="A3113" t="s">
        <v>12121</v>
      </c>
      <c r="B3113" t="s">
        <v>12122</v>
      </c>
      <c r="C3113" t="s">
        <v>12123</v>
      </c>
      <c r="D3113" t="s">
        <v>1186</v>
      </c>
      <c r="E3113" t="s">
        <v>271</v>
      </c>
      <c r="F3113" t="s">
        <v>1185</v>
      </c>
    </row>
    <row r="3114" spans="1:6" x14ac:dyDescent="0.25">
      <c r="A3114" t="s">
        <v>12124</v>
      </c>
      <c r="B3114" t="s">
        <v>12125</v>
      </c>
      <c r="C3114" t="s">
        <v>12126</v>
      </c>
      <c r="D3114" t="s">
        <v>2681</v>
      </c>
      <c r="E3114" t="s">
        <v>271</v>
      </c>
      <c r="F3114" t="s">
        <v>2680</v>
      </c>
    </row>
    <row r="3115" spans="1:6" x14ac:dyDescent="0.25">
      <c r="A3115" t="s">
        <v>12127</v>
      </c>
      <c r="B3115" t="s">
        <v>12128</v>
      </c>
      <c r="C3115" t="s">
        <v>12129</v>
      </c>
      <c r="D3115" t="s">
        <v>0</v>
      </c>
      <c r="E3115" t="s">
        <v>271</v>
      </c>
      <c r="F3115" t="s">
        <v>1011</v>
      </c>
    </row>
    <row r="3116" spans="1:6" x14ac:dyDescent="0.25">
      <c r="A3116" t="s">
        <v>12130</v>
      </c>
      <c r="B3116" t="s">
        <v>12131</v>
      </c>
      <c r="C3116" t="s">
        <v>12132</v>
      </c>
      <c r="D3116" t="s">
        <v>0</v>
      </c>
      <c r="E3116" t="s">
        <v>271</v>
      </c>
      <c r="F3116" t="s">
        <v>895</v>
      </c>
    </row>
    <row r="3117" spans="1:6" x14ac:dyDescent="0.25">
      <c r="A3117" t="s">
        <v>12133</v>
      </c>
      <c r="B3117" t="s">
        <v>12134</v>
      </c>
      <c r="C3117" t="s">
        <v>12135</v>
      </c>
      <c r="D3117" t="s">
        <v>0</v>
      </c>
      <c r="E3117" t="s">
        <v>271</v>
      </c>
      <c r="F3117" t="s">
        <v>1214</v>
      </c>
    </row>
    <row r="3118" spans="1:6" x14ac:dyDescent="0.25">
      <c r="A3118" t="s">
        <v>12136</v>
      </c>
      <c r="B3118" t="s">
        <v>12137</v>
      </c>
      <c r="C3118" t="s">
        <v>12138</v>
      </c>
      <c r="D3118" t="s">
        <v>506</v>
      </c>
      <c r="E3118" t="s">
        <v>271</v>
      </c>
      <c r="F3118" t="s">
        <v>507</v>
      </c>
    </row>
    <row r="3119" spans="1:6" x14ac:dyDescent="0.25">
      <c r="A3119" t="s">
        <v>12139</v>
      </c>
      <c r="B3119" t="s">
        <v>12140</v>
      </c>
      <c r="C3119" t="s">
        <v>12141</v>
      </c>
      <c r="D3119" t="s">
        <v>1648</v>
      </c>
      <c r="E3119" t="s">
        <v>271</v>
      </c>
      <c r="F3119" t="s">
        <v>1647</v>
      </c>
    </row>
    <row r="3120" spans="1:6" x14ac:dyDescent="0.25">
      <c r="A3120" t="s">
        <v>2743</v>
      </c>
      <c r="B3120" t="s">
        <v>2744</v>
      </c>
      <c r="C3120" t="s">
        <v>2745</v>
      </c>
      <c r="D3120" t="s">
        <v>822</v>
      </c>
      <c r="E3120" t="s">
        <v>269</v>
      </c>
      <c r="F3120" t="s">
        <v>821</v>
      </c>
    </row>
    <row r="3121" spans="1:6" x14ac:dyDescent="0.25">
      <c r="A3121" t="s">
        <v>12142</v>
      </c>
      <c r="B3121" t="s">
        <v>532</v>
      </c>
      <c r="C3121" t="s">
        <v>12143</v>
      </c>
      <c r="D3121" t="s">
        <v>519</v>
      </c>
      <c r="E3121" t="s">
        <v>271</v>
      </c>
      <c r="F3121" t="s">
        <v>324</v>
      </c>
    </row>
    <row r="3122" spans="1:6" x14ac:dyDescent="0.25">
      <c r="A3122" t="s">
        <v>12144</v>
      </c>
      <c r="B3122" t="s">
        <v>12145</v>
      </c>
      <c r="C3122" t="s">
        <v>12146</v>
      </c>
      <c r="D3122" t="s">
        <v>0</v>
      </c>
      <c r="E3122" t="s">
        <v>271</v>
      </c>
      <c r="F3122" t="s">
        <v>1321</v>
      </c>
    </row>
    <row r="3123" spans="1:6" x14ac:dyDescent="0.25">
      <c r="A3123" t="s">
        <v>12147</v>
      </c>
      <c r="B3123" t="s">
        <v>12148</v>
      </c>
      <c r="C3123" t="s">
        <v>12149</v>
      </c>
      <c r="D3123" t="s">
        <v>461</v>
      </c>
      <c r="E3123" t="s">
        <v>271</v>
      </c>
      <c r="F3123" t="s">
        <v>336</v>
      </c>
    </row>
    <row r="3124" spans="1:6" x14ac:dyDescent="0.25">
      <c r="A3124" t="s">
        <v>12150</v>
      </c>
      <c r="B3124" t="s">
        <v>12151</v>
      </c>
      <c r="C3124" t="s">
        <v>12152</v>
      </c>
      <c r="D3124" t="s">
        <v>0</v>
      </c>
      <c r="E3124" t="s">
        <v>271</v>
      </c>
      <c r="F3124" t="s">
        <v>785</v>
      </c>
    </row>
    <row r="3125" spans="1:6" x14ac:dyDescent="0.25">
      <c r="A3125" t="s">
        <v>12153</v>
      </c>
      <c r="B3125" t="s">
        <v>12154</v>
      </c>
      <c r="C3125" t="s">
        <v>12155</v>
      </c>
      <c r="D3125" t="s">
        <v>1665</v>
      </c>
      <c r="E3125" t="s">
        <v>271</v>
      </c>
      <c r="F3125" t="s">
        <v>1664</v>
      </c>
    </row>
    <row r="3126" spans="1:6" x14ac:dyDescent="0.25">
      <c r="A3126" t="s">
        <v>12156</v>
      </c>
      <c r="B3126" t="s">
        <v>12157</v>
      </c>
      <c r="C3126" t="s">
        <v>12158</v>
      </c>
      <c r="D3126" t="s">
        <v>239</v>
      </c>
      <c r="E3126" t="s">
        <v>271</v>
      </c>
      <c r="F3126" t="s">
        <v>544</v>
      </c>
    </row>
    <row r="3127" spans="1:6" x14ac:dyDescent="0.25">
      <c r="A3127" t="s">
        <v>12159</v>
      </c>
      <c r="B3127" t="s">
        <v>9639</v>
      </c>
      <c r="C3127" t="s">
        <v>12160</v>
      </c>
      <c r="D3127" t="s">
        <v>972</v>
      </c>
      <c r="E3127" t="s">
        <v>269</v>
      </c>
      <c r="F3127" t="s">
        <v>971</v>
      </c>
    </row>
    <row r="3128" spans="1:6" x14ac:dyDescent="0.25">
      <c r="A3128" t="s">
        <v>12161</v>
      </c>
      <c r="B3128" t="s">
        <v>10315</v>
      </c>
      <c r="C3128" t="s">
        <v>12162</v>
      </c>
      <c r="D3128" t="s">
        <v>668</v>
      </c>
      <c r="E3128" t="s">
        <v>271</v>
      </c>
      <c r="F3128" t="s">
        <v>667</v>
      </c>
    </row>
    <row r="3129" spans="1:6" x14ac:dyDescent="0.25">
      <c r="A3129" t="s">
        <v>12163</v>
      </c>
      <c r="B3129" t="s">
        <v>12164</v>
      </c>
      <c r="C3129" t="s">
        <v>12165</v>
      </c>
      <c r="D3129" t="s">
        <v>0</v>
      </c>
      <c r="E3129" t="s">
        <v>271</v>
      </c>
      <c r="F3129" t="s">
        <v>323</v>
      </c>
    </row>
    <row r="3130" spans="1:6" x14ac:dyDescent="0.25">
      <c r="A3130" t="s">
        <v>1005</v>
      </c>
      <c r="B3130" t="s">
        <v>1006</v>
      </c>
      <c r="C3130" t="s">
        <v>1007</v>
      </c>
      <c r="D3130" t="s">
        <v>469</v>
      </c>
      <c r="E3130" t="s">
        <v>271</v>
      </c>
      <c r="F3130" t="s">
        <v>470</v>
      </c>
    </row>
    <row r="3131" spans="1:6" x14ac:dyDescent="0.25">
      <c r="A3131" t="s">
        <v>12166</v>
      </c>
      <c r="B3131" t="s">
        <v>12167</v>
      </c>
      <c r="C3131" t="s">
        <v>12168</v>
      </c>
      <c r="D3131" t="s">
        <v>506</v>
      </c>
      <c r="E3131" t="s">
        <v>271</v>
      </c>
      <c r="F3131" t="s">
        <v>507</v>
      </c>
    </row>
    <row r="3132" spans="1:6" x14ac:dyDescent="0.25">
      <c r="A3132" t="s">
        <v>12169</v>
      </c>
      <c r="B3132" t="s">
        <v>12170</v>
      </c>
      <c r="C3132" t="s">
        <v>12171</v>
      </c>
      <c r="D3132" t="s">
        <v>361</v>
      </c>
      <c r="E3132" t="s">
        <v>271</v>
      </c>
      <c r="F3132" t="s">
        <v>1563</v>
      </c>
    </row>
    <row r="3133" spans="1:6" x14ac:dyDescent="0.25">
      <c r="A3133" t="s">
        <v>12172</v>
      </c>
      <c r="B3133" t="s">
        <v>12173</v>
      </c>
      <c r="C3133" t="s">
        <v>12174</v>
      </c>
      <c r="D3133" t="s">
        <v>1165</v>
      </c>
      <c r="E3133" t="s">
        <v>271</v>
      </c>
      <c r="F3133" t="s">
        <v>1164</v>
      </c>
    </row>
    <row r="3134" spans="1:6" x14ac:dyDescent="0.25">
      <c r="A3134" t="s">
        <v>12175</v>
      </c>
      <c r="B3134" t="s">
        <v>12176</v>
      </c>
      <c r="C3134" t="s">
        <v>12177</v>
      </c>
      <c r="D3134" t="s">
        <v>1303</v>
      </c>
      <c r="E3134" t="s">
        <v>269</v>
      </c>
      <c r="F3134" t="s">
        <v>1302</v>
      </c>
    </row>
    <row r="3135" spans="1:6" x14ac:dyDescent="0.25">
      <c r="A3135" t="s">
        <v>12178</v>
      </c>
      <c r="B3135" t="s">
        <v>12179</v>
      </c>
      <c r="C3135" t="s">
        <v>12180</v>
      </c>
      <c r="D3135" t="s">
        <v>0</v>
      </c>
      <c r="E3135" t="s">
        <v>271</v>
      </c>
      <c r="F3135" t="s">
        <v>325</v>
      </c>
    </row>
    <row r="3136" spans="1:6" x14ac:dyDescent="0.25">
      <c r="A3136" t="s">
        <v>12181</v>
      </c>
      <c r="B3136" t="s">
        <v>12182</v>
      </c>
      <c r="C3136" t="s">
        <v>12183</v>
      </c>
      <c r="D3136" t="s">
        <v>1973</v>
      </c>
      <c r="E3136" t="s">
        <v>271</v>
      </c>
      <c r="F3136" t="s">
        <v>1972</v>
      </c>
    </row>
    <row r="3137" spans="1:6" x14ac:dyDescent="0.25">
      <c r="A3137" t="s">
        <v>12184</v>
      </c>
      <c r="B3137" t="s">
        <v>12185</v>
      </c>
      <c r="C3137" t="s">
        <v>9605</v>
      </c>
      <c r="D3137" t="s">
        <v>0</v>
      </c>
      <c r="E3137" t="s">
        <v>271</v>
      </c>
      <c r="F3137" t="s">
        <v>323</v>
      </c>
    </row>
    <row r="3138" spans="1:6" x14ac:dyDescent="0.25">
      <c r="A3138" t="s">
        <v>12186</v>
      </c>
      <c r="B3138" t="s">
        <v>590</v>
      </c>
      <c r="C3138" t="s">
        <v>12187</v>
      </c>
      <c r="D3138" t="s">
        <v>1915</v>
      </c>
      <c r="E3138" t="s">
        <v>269</v>
      </c>
      <c r="F3138" t="s">
        <v>1914</v>
      </c>
    </row>
    <row r="3139" spans="1:6" x14ac:dyDescent="0.25">
      <c r="A3139" t="s">
        <v>12188</v>
      </c>
      <c r="B3139" t="s">
        <v>12189</v>
      </c>
      <c r="C3139" t="s">
        <v>12190</v>
      </c>
      <c r="D3139" t="s">
        <v>6005</v>
      </c>
      <c r="E3139" t="s">
        <v>271</v>
      </c>
      <c r="F3139" t="s">
        <v>4399</v>
      </c>
    </row>
    <row r="3140" spans="1:6" x14ac:dyDescent="0.25">
      <c r="A3140" t="s">
        <v>12191</v>
      </c>
      <c r="B3140" t="s">
        <v>12192</v>
      </c>
      <c r="C3140" t="s">
        <v>12193</v>
      </c>
      <c r="D3140" t="s">
        <v>0</v>
      </c>
      <c r="E3140" t="s">
        <v>271</v>
      </c>
      <c r="F3140" t="s">
        <v>575</v>
      </c>
    </row>
    <row r="3141" spans="1:6" x14ac:dyDescent="0.25">
      <c r="A3141" t="s">
        <v>3351</v>
      </c>
      <c r="B3141" t="s">
        <v>3352</v>
      </c>
      <c r="C3141" t="s">
        <v>3353</v>
      </c>
      <c r="D3141" t="s">
        <v>0</v>
      </c>
      <c r="E3141" t="s">
        <v>271</v>
      </c>
      <c r="F3141" t="s">
        <v>531</v>
      </c>
    </row>
    <row r="3142" spans="1:6" x14ac:dyDescent="0.25">
      <c r="A3142" t="s">
        <v>12194</v>
      </c>
      <c r="B3142" t="s">
        <v>12195</v>
      </c>
      <c r="C3142" t="s">
        <v>12196</v>
      </c>
      <c r="D3142" t="s">
        <v>1524</v>
      </c>
      <c r="E3142" t="s">
        <v>271</v>
      </c>
      <c r="F3142" t="s">
        <v>1523</v>
      </c>
    </row>
    <row r="3143" spans="1:6" x14ac:dyDescent="0.25">
      <c r="A3143" t="s">
        <v>12197</v>
      </c>
      <c r="B3143" t="s">
        <v>12198</v>
      </c>
      <c r="C3143" t="s">
        <v>12199</v>
      </c>
      <c r="D3143" t="s">
        <v>472</v>
      </c>
      <c r="E3143" t="s">
        <v>271</v>
      </c>
      <c r="F3143" t="s">
        <v>318</v>
      </c>
    </row>
    <row r="3144" spans="1:6" x14ac:dyDescent="0.25">
      <c r="A3144" t="s">
        <v>12200</v>
      </c>
      <c r="B3144" t="s">
        <v>7846</v>
      </c>
      <c r="C3144" t="s">
        <v>7847</v>
      </c>
      <c r="D3144" t="s">
        <v>498</v>
      </c>
      <c r="E3144" t="s">
        <v>271</v>
      </c>
      <c r="F3144" t="s">
        <v>926</v>
      </c>
    </row>
    <row r="3145" spans="1:6" x14ac:dyDescent="0.25">
      <c r="A3145" t="s">
        <v>12201</v>
      </c>
      <c r="B3145" t="s">
        <v>12202</v>
      </c>
      <c r="C3145" t="s">
        <v>12203</v>
      </c>
      <c r="D3145" t="s">
        <v>357</v>
      </c>
      <c r="E3145" t="s">
        <v>271</v>
      </c>
      <c r="F3145" t="s">
        <v>358</v>
      </c>
    </row>
    <row r="3146" spans="1:6" x14ac:dyDescent="0.25">
      <c r="A3146" t="s">
        <v>12204</v>
      </c>
      <c r="B3146" t="s">
        <v>12205</v>
      </c>
      <c r="C3146" t="s">
        <v>12206</v>
      </c>
      <c r="D3146" t="s">
        <v>3378</v>
      </c>
      <c r="E3146" t="s">
        <v>271</v>
      </c>
      <c r="F3146" t="s">
        <v>3377</v>
      </c>
    </row>
    <row r="3147" spans="1:6" x14ac:dyDescent="0.25">
      <c r="A3147" t="s">
        <v>12207</v>
      </c>
      <c r="B3147" t="s">
        <v>12208</v>
      </c>
      <c r="C3147" t="s">
        <v>12209</v>
      </c>
      <c r="D3147" t="s">
        <v>0</v>
      </c>
      <c r="E3147" t="s">
        <v>271</v>
      </c>
      <c r="F3147" t="s">
        <v>1277</v>
      </c>
    </row>
    <row r="3148" spans="1:6" x14ac:dyDescent="0.25">
      <c r="A3148" t="s">
        <v>12210</v>
      </c>
      <c r="B3148" t="s">
        <v>12211</v>
      </c>
      <c r="C3148" t="s">
        <v>12212</v>
      </c>
      <c r="D3148" t="s">
        <v>402</v>
      </c>
      <c r="E3148" t="s">
        <v>271</v>
      </c>
      <c r="F3148" t="s">
        <v>401</v>
      </c>
    </row>
    <row r="3149" spans="1:6" x14ac:dyDescent="0.25">
      <c r="A3149" t="s">
        <v>12213</v>
      </c>
      <c r="B3149" t="s">
        <v>12214</v>
      </c>
      <c r="C3149" t="s">
        <v>12215</v>
      </c>
      <c r="D3149" t="s">
        <v>1413</v>
      </c>
      <c r="E3149" t="s">
        <v>271</v>
      </c>
      <c r="F3149" t="s">
        <v>1412</v>
      </c>
    </row>
    <row r="3150" spans="1:6" x14ac:dyDescent="0.25">
      <c r="A3150" t="s">
        <v>2069</v>
      </c>
      <c r="B3150" t="s">
        <v>2070</v>
      </c>
      <c r="C3150" t="s">
        <v>2072</v>
      </c>
      <c r="D3150" t="s">
        <v>1665</v>
      </c>
      <c r="E3150" t="s">
        <v>271</v>
      </c>
      <c r="F3150" t="s">
        <v>1664</v>
      </c>
    </row>
    <row r="3151" spans="1:6" x14ac:dyDescent="0.25">
      <c r="A3151" t="s">
        <v>12216</v>
      </c>
      <c r="B3151" t="s">
        <v>12217</v>
      </c>
      <c r="C3151" t="s">
        <v>12218</v>
      </c>
      <c r="D3151" t="s">
        <v>450</v>
      </c>
      <c r="E3151" t="s">
        <v>271</v>
      </c>
      <c r="F3151" t="s">
        <v>326</v>
      </c>
    </row>
    <row r="3152" spans="1:6" x14ac:dyDescent="0.25">
      <c r="A3152" t="s">
        <v>2716</v>
      </c>
      <c r="B3152" t="s">
        <v>2717</v>
      </c>
      <c r="C3152" t="s">
        <v>2718</v>
      </c>
      <c r="D3152" t="s">
        <v>0</v>
      </c>
      <c r="E3152" t="s">
        <v>271</v>
      </c>
      <c r="F3152" t="s">
        <v>1225</v>
      </c>
    </row>
    <row r="3153" spans="1:6" x14ac:dyDescent="0.25">
      <c r="A3153" t="s">
        <v>12219</v>
      </c>
      <c r="B3153" t="s">
        <v>12220</v>
      </c>
      <c r="C3153" t="s">
        <v>12221</v>
      </c>
      <c r="D3153" t="s">
        <v>453</v>
      </c>
      <c r="E3153" t="s">
        <v>271</v>
      </c>
      <c r="F3153" t="s">
        <v>2285</v>
      </c>
    </row>
    <row r="3154" spans="1:6" x14ac:dyDescent="0.25">
      <c r="A3154" t="s">
        <v>12222</v>
      </c>
      <c r="B3154" t="s">
        <v>12223</v>
      </c>
      <c r="C3154" t="s">
        <v>12224</v>
      </c>
      <c r="D3154" t="s">
        <v>460</v>
      </c>
      <c r="E3154" t="s">
        <v>271</v>
      </c>
      <c r="F3154" t="s">
        <v>424</v>
      </c>
    </row>
    <row r="3155" spans="1:6" x14ac:dyDescent="0.25">
      <c r="A3155" t="s">
        <v>12225</v>
      </c>
      <c r="B3155" t="s">
        <v>12226</v>
      </c>
      <c r="C3155" t="s">
        <v>12227</v>
      </c>
      <c r="D3155" t="s">
        <v>0</v>
      </c>
      <c r="E3155" t="s">
        <v>271</v>
      </c>
      <c r="F3155" t="s">
        <v>1141</v>
      </c>
    </row>
    <row r="3156" spans="1:6" x14ac:dyDescent="0.25">
      <c r="A3156" t="s">
        <v>670</v>
      </c>
      <c r="B3156" t="s">
        <v>671</v>
      </c>
      <c r="C3156" t="s">
        <v>676</v>
      </c>
      <c r="D3156" t="s">
        <v>675</v>
      </c>
      <c r="E3156" t="s">
        <v>271</v>
      </c>
      <c r="F3156" t="s">
        <v>674</v>
      </c>
    </row>
    <row r="3157" spans="1:6" x14ac:dyDescent="0.25">
      <c r="A3157" t="s">
        <v>12228</v>
      </c>
      <c r="B3157" t="s">
        <v>12229</v>
      </c>
      <c r="C3157" t="s">
        <v>12230</v>
      </c>
      <c r="D3157" t="s">
        <v>2146</v>
      </c>
      <c r="E3157" t="s">
        <v>271</v>
      </c>
      <c r="F3157" t="s">
        <v>844</v>
      </c>
    </row>
    <row r="3158" spans="1:6" x14ac:dyDescent="0.25">
      <c r="A3158" t="s">
        <v>12231</v>
      </c>
      <c r="B3158" t="s">
        <v>589</v>
      </c>
      <c r="C3158" t="s">
        <v>12232</v>
      </c>
      <c r="D3158" t="s">
        <v>1199</v>
      </c>
      <c r="E3158" t="s">
        <v>271</v>
      </c>
      <c r="F3158" t="s">
        <v>1198</v>
      </c>
    </row>
    <row r="3159" spans="1:6" x14ac:dyDescent="0.25">
      <c r="A3159" t="s">
        <v>12233</v>
      </c>
      <c r="B3159" t="s">
        <v>12234</v>
      </c>
      <c r="C3159" t="s">
        <v>12235</v>
      </c>
      <c r="D3159" t="s">
        <v>1370</v>
      </c>
      <c r="E3159" t="s">
        <v>271</v>
      </c>
      <c r="F3159" t="s">
        <v>1369</v>
      </c>
    </row>
    <row r="3160" spans="1:6" x14ac:dyDescent="0.25">
      <c r="A3160" t="s">
        <v>12236</v>
      </c>
      <c r="B3160" t="s">
        <v>12237</v>
      </c>
      <c r="C3160" t="s">
        <v>12238</v>
      </c>
      <c r="D3160" t="s">
        <v>0</v>
      </c>
      <c r="E3160" t="s">
        <v>271</v>
      </c>
      <c r="F3160" t="s">
        <v>431</v>
      </c>
    </row>
    <row r="3161" spans="1:6" x14ac:dyDescent="0.25">
      <c r="A3161" t="s">
        <v>3285</v>
      </c>
      <c r="B3161" t="s">
        <v>3286</v>
      </c>
      <c r="C3161" t="s">
        <v>3287</v>
      </c>
      <c r="D3161" t="s">
        <v>1286</v>
      </c>
      <c r="E3161" t="s">
        <v>269</v>
      </c>
      <c r="F3161" t="s">
        <v>1285</v>
      </c>
    </row>
    <row r="3162" spans="1:6" x14ac:dyDescent="0.25">
      <c r="A3162" t="s">
        <v>12239</v>
      </c>
      <c r="B3162" t="s">
        <v>12240</v>
      </c>
      <c r="C3162" t="s">
        <v>12241</v>
      </c>
      <c r="D3162" t="s">
        <v>1601</v>
      </c>
      <c r="E3162" t="s">
        <v>269</v>
      </c>
      <c r="F3162" t="s">
        <v>3126</v>
      </c>
    </row>
    <row r="3163" spans="1:6" x14ac:dyDescent="0.25">
      <c r="A3163" t="s">
        <v>12242</v>
      </c>
      <c r="B3163" t="s">
        <v>12243</v>
      </c>
      <c r="C3163" t="s">
        <v>12244</v>
      </c>
      <c r="D3163" t="s">
        <v>238</v>
      </c>
      <c r="E3163" t="s">
        <v>271</v>
      </c>
      <c r="F3163" t="s">
        <v>470</v>
      </c>
    </row>
    <row r="3164" spans="1:6" x14ac:dyDescent="0.25">
      <c r="A3164" t="s">
        <v>12245</v>
      </c>
      <c r="B3164" t="s">
        <v>12246</v>
      </c>
      <c r="C3164" t="s">
        <v>12247</v>
      </c>
      <c r="D3164" t="s">
        <v>0</v>
      </c>
      <c r="E3164" t="s">
        <v>271</v>
      </c>
      <c r="F3164" t="s">
        <v>1679</v>
      </c>
    </row>
    <row r="3165" spans="1:6" x14ac:dyDescent="0.25">
      <c r="A3165" t="s">
        <v>12248</v>
      </c>
      <c r="B3165" t="s">
        <v>12249</v>
      </c>
      <c r="C3165" t="s">
        <v>12250</v>
      </c>
      <c r="D3165" t="s">
        <v>510</v>
      </c>
      <c r="E3165" t="s">
        <v>271</v>
      </c>
      <c r="F3165" t="s">
        <v>1829</v>
      </c>
    </row>
    <row r="3166" spans="1:6" x14ac:dyDescent="0.25">
      <c r="A3166" t="s">
        <v>12251</v>
      </c>
      <c r="B3166" t="s">
        <v>9604</v>
      </c>
      <c r="C3166" t="s">
        <v>12252</v>
      </c>
      <c r="D3166" t="s">
        <v>1485</v>
      </c>
      <c r="E3166" t="s">
        <v>271</v>
      </c>
      <c r="F3166" t="s">
        <v>1484</v>
      </c>
    </row>
    <row r="3167" spans="1:6" x14ac:dyDescent="0.25">
      <c r="A3167" t="s">
        <v>12253</v>
      </c>
      <c r="B3167" t="s">
        <v>12254</v>
      </c>
      <c r="C3167" t="s">
        <v>12255</v>
      </c>
      <c r="D3167" t="s">
        <v>616</v>
      </c>
      <c r="E3167" t="s">
        <v>271</v>
      </c>
      <c r="F3167" t="s">
        <v>1102</v>
      </c>
    </row>
    <row r="3168" spans="1:6" x14ac:dyDescent="0.25">
      <c r="A3168" t="s">
        <v>12256</v>
      </c>
      <c r="B3168" t="s">
        <v>12257</v>
      </c>
      <c r="C3168" t="s">
        <v>12258</v>
      </c>
      <c r="D3168" t="s">
        <v>0</v>
      </c>
      <c r="E3168" t="s">
        <v>271</v>
      </c>
      <c r="F3168" t="s">
        <v>1534</v>
      </c>
    </row>
    <row r="3169" spans="1:6" x14ac:dyDescent="0.25">
      <c r="A3169" t="s">
        <v>12259</v>
      </c>
      <c r="B3169" t="s">
        <v>12260</v>
      </c>
      <c r="C3169" t="s">
        <v>12261</v>
      </c>
      <c r="D3169" t="s">
        <v>446</v>
      </c>
      <c r="E3169" t="s">
        <v>271</v>
      </c>
      <c r="F3169" t="s">
        <v>447</v>
      </c>
    </row>
    <row r="3170" spans="1:6" x14ac:dyDescent="0.25">
      <c r="A3170" t="s">
        <v>12262</v>
      </c>
      <c r="B3170" t="s">
        <v>12263</v>
      </c>
      <c r="C3170" t="s">
        <v>12264</v>
      </c>
      <c r="D3170" t="s">
        <v>0</v>
      </c>
      <c r="E3170" t="s">
        <v>271</v>
      </c>
      <c r="F3170" t="s">
        <v>1141</v>
      </c>
    </row>
    <row r="3171" spans="1:6" x14ac:dyDescent="0.25">
      <c r="A3171" t="s">
        <v>12265</v>
      </c>
      <c r="B3171" t="s">
        <v>12266</v>
      </c>
      <c r="C3171" t="s">
        <v>12267</v>
      </c>
      <c r="D3171" t="s">
        <v>616</v>
      </c>
      <c r="E3171" t="s">
        <v>271</v>
      </c>
      <c r="F3171" t="s">
        <v>1102</v>
      </c>
    </row>
    <row r="3172" spans="1:6" x14ac:dyDescent="0.25">
      <c r="A3172" t="s">
        <v>12268</v>
      </c>
      <c r="B3172" t="s">
        <v>12269</v>
      </c>
      <c r="C3172" t="s">
        <v>12270</v>
      </c>
      <c r="D3172" t="s">
        <v>566</v>
      </c>
      <c r="E3172" t="s">
        <v>271</v>
      </c>
      <c r="F3172" t="s">
        <v>567</v>
      </c>
    </row>
    <row r="3173" spans="1:6" x14ac:dyDescent="0.25">
      <c r="A3173" t="s">
        <v>3146</v>
      </c>
      <c r="B3173" t="s">
        <v>3147</v>
      </c>
      <c r="C3173" t="s">
        <v>3148</v>
      </c>
      <c r="D3173" t="s">
        <v>519</v>
      </c>
      <c r="E3173" t="s">
        <v>271</v>
      </c>
      <c r="F3173" t="s">
        <v>324</v>
      </c>
    </row>
    <row r="3174" spans="1:6" x14ac:dyDescent="0.25">
      <c r="A3174" t="s">
        <v>12271</v>
      </c>
      <c r="B3174" t="s">
        <v>12272</v>
      </c>
      <c r="C3174" t="s">
        <v>12273</v>
      </c>
      <c r="D3174" t="s">
        <v>980</v>
      </c>
      <c r="E3174" t="s">
        <v>271</v>
      </c>
      <c r="F3174" t="s">
        <v>979</v>
      </c>
    </row>
    <row r="3175" spans="1:6" x14ac:dyDescent="0.25">
      <c r="A3175" t="s">
        <v>12274</v>
      </c>
      <c r="B3175" t="s">
        <v>12275</v>
      </c>
      <c r="C3175" t="s">
        <v>12276</v>
      </c>
      <c r="D3175" t="s">
        <v>12277</v>
      </c>
      <c r="E3175" t="s">
        <v>12278</v>
      </c>
      <c r="F3175" t="s">
        <v>12279</v>
      </c>
    </row>
    <row r="3176" spans="1:6" x14ac:dyDescent="0.25">
      <c r="A3176" t="s">
        <v>12280</v>
      </c>
      <c r="B3176" t="s">
        <v>12281</v>
      </c>
      <c r="C3176" t="s">
        <v>12282</v>
      </c>
      <c r="D3176" t="s">
        <v>1370</v>
      </c>
      <c r="E3176" t="s">
        <v>271</v>
      </c>
      <c r="F3176" t="s">
        <v>1369</v>
      </c>
    </row>
    <row r="3177" spans="1:6" x14ac:dyDescent="0.25">
      <c r="A3177" t="s">
        <v>12283</v>
      </c>
      <c r="B3177" t="s">
        <v>12284</v>
      </c>
      <c r="C3177" t="s">
        <v>12285</v>
      </c>
      <c r="D3177" t="s">
        <v>1542</v>
      </c>
      <c r="E3177" t="s">
        <v>269</v>
      </c>
      <c r="F3177" t="s">
        <v>12286</v>
      </c>
    </row>
    <row r="3178" spans="1:6" x14ac:dyDescent="0.25">
      <c r="A3178" t="s">
        <v>12287</v>
      </c>
      <c r="B3178" t="s">
        <v>12288</v>
      </c>
      <c r="C3178" t="s">
        <v>12289</v>
      </c>
      <c r="D3178" t="s">
        <v>5598</v>
      </c>
      <c r="E3178" t="s">
        <v>271</v>
      </c>
      <c r="F3178" t="s">
        <v>4427</v>
      </c>
    </row>
    <row r="3179" spans="1:6" x14ac:dyDescent="0.25">
      <c r="A3179" t="s">
        <v>12290</v>
      </c>
      <c r="B3179" t="s">
        <v>12291</v>
      </c>
      <c r="C3179" t="s">
        <v>12292</v>
      </c>
      <c r="D3179" t="s">
        <v>0</v>
      </c>
      <c r="E3179" t="s">
        <v>271</v>
      </c>
      <c r="F3179" t="s">
        <v>531</v>
      </c>
    </row>
    <row r="3180" spans="1:6" x14ac:dyDescent="0.25">
      <c r="A3180" t="s">
        <v>12293</v>
      </c>
      <c r="B3180" t="s">
        <v>12294</v>
      </c>
      <c r="C3180" t="s">
        <v>12295</v>
      </c>
      <c r="D3180" t="s">
        <v>0</v>
      </c>
      <c r="E3180" t="s">
        <v>271</v>
      </c>
      <c r="F3180" t="s">
        <v>1225</v>
      </c>
    </row>
    <row r="3181" spans="1:6" x14ac:dyDescent="0.25">
      <c r="A3181" t="s">
        <v>12296</v>
      </c>
      <c r="B3181" t="s">
        <v>12297</v>
      </c>
      <c r="C3181" t="s">
        <v>12298</v>
      </c>
      <c r="D3181" t="s">
        <v>0</v>
      </c>
      <c r="E3181" t="s">
        <v>271</v>
      </c>
      <c r="F3181" t="s">
        <v>809</v>
      </c>
    </row>
    <row r="3182" spans="1:6" x14ac:dyDescent="0.25">
      <c r="A3182" t="s">
        <v>12299</v>
      </c>
      <c r="B3182" t="s">
        <v>12300</v>
      </c>
      <c r="C3182" t="s">
        <v>12301</v>
      </c>
      <c r="D3182" t="s">
        <v>2265</v>
      </c>
      <c r="E3182" t="s">
        <v>271</v>
      </c>
      <c r="F3182" t="s">
        <v>2264</v>
      </c>
    </row>
    <row r="3183" spans="1:6" x14ac:dyDescent="0.25">
      <c r="A3183" t="s">
        <v>12302</v>
      </c>
      <c r="B3183" t="s">
        <v>12303</v>
      </c>
      <c r="C3183" t="s">
        <v>12304</v>
      </c>
      <c r="D3183" t="s">
        <v>1559</v>
      </c>
      <c r="E3183" t="s">
        <v>271</v>
      </c>
      <c r="F3183" t="s">
        <v>1558</v>
      </c>
    </row>
    <row r="3184" spans="1:6" x14ac:dyDescent="0.25">
      <c r="A3184" t="s">
        <v>3108</v>
      </c>
      <c r="B3184" t="s">
        <v>3109</v>
      </c>
      <c r="C3184" t="s">
        <v>3110</v>
      </c>
      <c r="D3184" t="s">
        <v>835</v>
      </c>
      <c r="E3184" t="s">
        <v>269</v>
      </c>
      <c r="F3184" t="s">
        <v>834</v>
      </c>
    </row>
    <row r="3185" spans="1:6" x14ac:dyDescent="0.25">
      <c r="A3185" t="s">
        <v>12305</v>
      </c>
      <c r="B3185" t="s">
        <v>12306</v>
      </c>
      <c r="C3185" t="s">
        <v>12307</v>
      </c>
      <c r="D3185" t="s">
        <v>377</v>
      </c>
      <c r="E3185" t="s">
        <v>269</v>
      </c>
      <c r="F3185" t="s">
        <v>1786</v>
      </c>
    </row>
    <row r="3186" spans="1:6" x14ac:dyDescent="0.25">
      <c r="A3186" t="s">
        <v>12308</v>
      </c>
      <c r="B3186" t="s">
        <v>12309</v>
      </c>
      <c r="C3186" t="s">
        <v>12310</v>
      </c>
      <c r="D3186" t="s">
        <v>1027</v>
      </c>
      <c r="E3186" t="s">
        <v>271</v>
      </c>
      <c r="F3186" t="s">
        <v>1026</v>
      </c>
    </row>
    <row r="3187" spans="1:6" x14ac:dyDescent="0.25">
      <c r="A3187" t="s">
        <v>1850</v>
      </c>
      <c r="B3187" t="s">
        <v>1851</v>
      </c>
      <c r="C3187" t="s">
        <v>1852</v>
      </c>
      <c r="D3187" t="s">
        <v>0</v>
      </c>
      <c r="E3187" t="s">
        <v>271</v>
      </c>
      <c r="F3187" t="s">
        <v>436</v>
      </c>
    </row>
    <row r="3188" spans="1:6" x14ac:dyDescent="0.25">
      <c r="A3188" t="s">
        <v>12311</v>
      </c>
      <c r="B3188" t="s">
        <v>12312</v>
      </c>
      <c r="C3188" t="s">
        <v>12313</v>
      </c>
      <c r="D3188" t="s">
        <v>668</v>
      </c>
      <c r="E3188" t="s">
        <v>271</v>
      </c>
      <c r="F3188" t="s">
        <v>667</v>
      </c>
    </row>
    <row r="3189" spans="1:6" x14ac:dyDescent="0.25">
      <c r="A3189" t="s">
        <v>12314</v>
      </c>
      <c r="B3189" t="s">
        <v>12315</v>
      </c>
      <c r="C3189" t="s">
        <v>12316</v>
      </c>
      <c r="D3189" t="s">
        <v>460</v>
      </c>
      <c r="E3189" t="s">
        <v>271</v>
      </c>
      <c r="F3189" t="s">
        <v>424</v>
      </c>
    </row>
    <row r="3190" spans="1:6" x14ac:dyDescent="0.25">
      <c r="A3190" t="s">
        <v>12317</v>
      </c>
      <c r="B3190" t="s">
        <v>12318</v>
      </c>
      <c r="C3190" t="s">
        <v>12319</v>
      </c>
      <c r="D3190" t="s">
        <v>492</v>
      </c>
      <c r="E3190" t="s">
        <v>271</v>
      </c>
      <c r="F3190" t="s">
        <v>493</v>
      </c>
    </row>
    <row r="3191" spans="1:6" x14ac:dyDescent="0.25">
      <c r="A3191" t="s">
        <v>12320</v>
      </c>
      <c r="B3191" t="s">
        <v>12321</v>
      </c>
      <c r="C3191" t="s">
        <v>12322</v>
      </c>
      <c r="D3191" t="s">
        <v>1723</v>
      </c>
      <c r="E3191" t="s">
        <v>271</v>
      </c>
      <c r="F3191" t="s">
        <v>1722</v>
      </c>
    </row>
    <row r="3192" spans="1:6" x14ac:dyDescent="0.25">
      <c r="A3192" t="s">
        <v>12323</v>
      </c>
      <c r="B3192" t="s">
        <v>12324</v>
      </c>
      <c r="C3192" t="s">
        <v>12325</v>
      </c>
      <c r="D3192" t="s">
        <v>0</v>
      </c>
      <c r="E3192" t="s">
        <v>271</v>
      </c>
      <c r="F3192" t="s">
        <v>436</v>
      </c>
    </row>
    <row r="3193" spans="1:6" x14ac:dyDescent="0.25">
      <c r="A3193" t="s">
        <v>12326</v>
      </c>
      <c r="B3193" t="s">
        <v>12327</v>
      </c>
      <c r="C3193" t="s">
        <v>12328</v>
      </c>
      <c r="D3193" t="s">
        <v>455</v>
      </c>
      <c r="E3193" t="s">
        <v>341</v>
      </c>
      <c r="F3193" t="s">
        <v>422</v>
      </c>
    </row>
    <row r="3194" spans="1:6" x14ac:dyDescent="0.25">
      <c r="A3194" t="s">
        <v>12329</v>
      </c>
      <c r="B3194" t="s">
        <v>12330</v>
      </c>
      <c r="C3194" t="s">
        <v>8174</v>
      </c>
      <c r="D3194" t="s">
        <v>578</v>
      </c>
      <c r="E3194" t="s">
        <v>271</v>
      </c>
      <c r="F3194" t="s">
        <v>321</v>
      </c>
    </row>
    <row r="3195" spans="1:6" x14ac:dyDescent="0.25">
      <c r="A3195" t="s">
        <v>12331</v>
      </c>
      <c r="B3195" t="s">
        <v>12332</v>
      </c>
      <c r="C3195" t="s">
        <v>12333</v>
      </c>
      <c r="D3195" t="s">
        <v>1059</v>
      </c>
      <c r="E3195" t="s">
        <v>271</v>
      </c>
      <c r="F3195" t="s">
        <v>1058</v>
      </c>
    </row>
    <row r="3196" spans="1:6" x14ac:dyDescent="0.25">
      <c r="A3196" t="s">
        <v>12334</v>
      </c>
      <c r="B3196" t="s">
        <v>12335</v>
      </c>
      <c r="C3196" t="s">
        <v>12336</v>
      </c>
      <c r="D3196" t="s">
        <v>0</v>
      </c>
      <c r="E3196" t="s">
        <v>271</v>
      </c>
      <c r="F3196" t="s">
        <v>881</v>
      </c>
    </row>
    <row r="3197" spans="1:6" x14ac:dyDescent="0.25">
      <c r="A3197" t="s">
        <v>12337</v>
      </c>
      <c r="B3197" t="s">
        <v>12338</v>
      </c>
      <c r="C3197" t="s">
        <v>12339</v>
      </c>
      <c r="D3197" t="s">
        <v>718</v>
      </c>
      <c r="E3197" t="s">
        <v>271</v>
      </c>
      <c r="F3197" t="s">
        <v>333</v>
      </c>
    </row>
    <row r="3198" spans="1:6" x14ac:dyDescent="0.25">
      <c r="A3198" t="s">
        <v>12340</v>
      </c>
      <c r="B3198" t="s">
        <v>12341</v>
      </c>
      <c r="C3198" t="s">
        <v>12342</v>
      </c>
      <c r="D3198" t="s">
        <v>239</v>
      </c>
      <c r="E3198" t="s">
        <v>271</v>
      </c>
      <c r="F3198" t="s">
        <v>544</v>
      </c>
    </row>
    <row r="3199" spans="1:6" x14ac:dyDescent="0.25">
      <c r="A3199" t="s">
        <v>12343</v>
      </c>
      <c r="B3199" t="s">
        <v>12344</v>
      </c>
      <c r="C3199" t="s">
        <v>12345</v>
      </c>
      <c r="D3199" t="s">
        <v>0</v>
      </c>
      <c r="E3199" t="s">
        <v>271</v>
      </c>
      <c r="F3199" t="s">
        <v>325</v>
      </c>
    </row>
    <row r="3200" spans="1:6" x14ac:dyDescent="0.25">
      <c r="A3200" t="s">
        <v>1890</v>
      </c>
      <c r="B3200" t="s">
        <v>1025</v>
      </c>
      <c r="C3200" t="s">
        <v>1891</v>
      </c>
      <c r="D3200" t="s">
        <v>222</v>
      </c>
      <c r="E3200" t="s">
        <v>271</v>
      </c>
      <c r="F3200" t="s">
        <v>313</v>
      </c>
    </row>
    <row r="3201" spans="1:6" x14ac:dyDescent="0.25">
      <c r="A3201" t="s">
        <v>12346</v>
      </c>
      <c r="B3201" t="s">
        <v>12347</v>
      </c>
      <c r="C3201" t="s">
        <v>12348</v>
      </c>
      <c r="D3201" t="s">
        <v>0</v>
      </c>
      <c r="E3201" t="s">
        <v>271</v>
      </c>
      <c r="F3201" t="s">
        <v>3672</v>
      </c>
    </row>
    <row r="3202" spans="1:6" x14ac:dyDescent="0.25">
      <c r="A3202" t="s">
        <v>12349</v>
      </c>
      <c r="B3202" t="s">
        <v>12350</v>
      </c>
      <c r="C3202" t="s">
        <v>12351</v>
      </c>
      <c r="D3202" t="s">
        <v>461</v>
      </c>
      <c r="E3202" t="s">
        <v>271</v>
      </c>
      <c r="F3202" t="s">
        <v>336</v>
      </c>
    </row>
    <row r="3203" spans="1:6" x14ac:dyDescent="0.25">
      <c r="A3203" t="s">
        <v>12352</v>
      </c>
      <c r="B3203" t="s">
        <v>12353</v>
      </c>
      <c r="C3203" t="s">
        <v>12354</v>
      </c>
      <c r="D3203" t="s">
        <v>556</v>
      </c>
      <c r="E3203" t="s">
        <v>271</v>
      </c>
      <c r="F3203" t="s">
        <v>1567</v>
      </c>
    </row>
    <row r="3204" spans="1:6" x14ac:dyDescent="0.25">
      <c r="A3204" t="s">
        <v>12355</v>
      </c>
      <c r="B3204" t="s">
        <v>12356</v>
      </c>
      <c r="C3204" t="s">
        <v>12357</v>
      </c>
      <c r="D3204" t="s">
        <v>0</v>
      </c>
      <c r="E3204" t="s">
        <v>271</v>
      </c>
      <c r="F3204" t="s">
        <v>731</v>
      </c>
    </row>
    <row r="3205" spans="1:6" x14ac:dyDescent="0.25">
      <c r="A3205" t="s">
        <v>12358</v>
      </c>
      <c r="B3205" t="s">
        <v>12359</v>
      </c>
      <c r="C3205" t="s">
        <v>12360</v>
      </c>
      <c r="D3205" t="s">
        <v>2493</v>
      </c>
      <c r="E3205" t="s">
        <v>271</v>
      </c>
      <c r="F3205" t="s">
        <v>2492</v>
      </c>
    </row>
    <row r="3206" spans="1:6" x14ac:dyDescent="0.25">
      <c r="A3206" t="s">
        <v>1029</v>
      </c>
      <c r="B3206" t="s">
        <v>1030</v>
      </c>
      <c r="C3206" t="s">
        <v>1033</v>
      </c>
      <c r="D3206" t="s">
        <v>1032</v>
      </c>
      <c r="E3206" t="s">
        <v>271</v>
      </c>
      <c r="F3206" t="s">
        <v>1031</v>
      </c>
    </row>
    <row r="3207" spans="1:6" x14ac:dyDescent="0.25">
      <c r="A3207" t="s">
        <v>1331</v>
      </c>
      <c r="B3207" t="s">
        <v>1332</v>
      </c>
      <c r="C3207" t="s">
        <v>1333</v>
      </c>
      <c r="D3207" t="s">
        <v>0</v>
      </c>
      <c r="E3207" t="s">
        <v>271</v>
      </c>
      <c r="F3207" t="s">
        <v>1225</v>
      </c>
    </row>
    <row r="3208" spans="1:6" x14ac:dyDescent="0.25">
      <c r="A3208" t="s">
        <v>1842</v>
      </c>
      <c r="B3208" t="s">
        <v>1843</v>
      </c>
      <c r="C3208" t="s">
        <v>1844</v>
      </c>
      <c r="D3208" t="s">
        <v>0</v>
      </c>
      <c r="E3208" t="s">
        <v>271</v>
      </c>
      <c r="F3208" t="s">
        <v>1225</v>
      </c>
    </row>
    <row r="3209" spans="1:6" x14ac:dyDescent="0.25">
      <c r="A3209" t="s">
        <v>1139</v>
      </c>
      <c r="B3209" t="s">
        <v>1140</v>
      </c>
      <c r="C3209" t="s">
        <v>1142</v>
      </c>
      <c r="D3209" t="s">
        <v>0</v>
      </c>
      <c r="E3209" t="s">
        <v>271</v>
      </c>
      <c r="F3209" t="s">
        <v>1141</v>
      </c>
    </row>
    <row r="3210" spans="1:6" x14ac:dyDescent="0.25">
      <c r="A3210" t="s">
        <v>12361</v>
      </c>
      <c r="B3210" t="s">
        <v>505</v>
      </c>
      <c r="C3210" t="s">
        <v>12362</v>
      </c>
      <c r="D3210" t="s">
        <v>506</v>
      </c>
      <c r="E3210" t="s">
        <v>271</v>
      </c>
      <c r="F3210" t="s">
        <v>507</v>
      </c>
    </row>
    <row r="3211" spans="1:6" x14ac:dyDescent="0.25">
      <c r="A3211" t="s">
        <v>12363</v>
      </c>
      <c r="B3211" t="s">
        <v>12364</v>
      </c>
      <c r="C3211" t="s">
        <v>8624</v>
      </c>
      <c r="D3211" t="s">
        <v>469</v>
      </c>
      <c r="E3211" t="s">
        <v>271</v>
      </c>
      <c r="F3211" t="s">
        <v>470</v>
      </c>
    </row>
    <row r="3212" spans="1:6" x14ac:dyDescent="0.25">
      <c r="A3212" t="s">
        <v>12365</v>
      </c>
      <c r="B3212" t="s">
        <v>12366</v>
      </c>
      <c r="C3212" t="s">
        <v>12367</v>
      </c>
      <c r="D3212" t="s">
        <v>0</v>
      </c>
      <c r="E3212" t="s">
        <v>271</v>
      </c>
      <c r="F3212" t="s">
        <v>575</v>
      </c>
    </row>
    <row r="3213" spans="1:6" x14ac:dyDescent="0.25">
      <c r="A3213" t="s">
        <v>12368</v>
      </c>
      <c r="B3213" t="s">
        <v>12369</v>
      </c>
      <c r="C3213" t="s">
        <v>12370</v>
      </c>
      <c r="D3213" t="s">
        <v>241</v>
      </c>
      <c r="E3213" t="s">
        <v>271</v>
      </c>
      <c r="F3213" t="s">
        <v>548</v>
      </c>
    </row>
    <row r="3214" spans="1:6" x14ac:dyDescent="0.25">
      <c r="A3214" t="s">
        <v>12371</v>
      </c>
      <c r="B3214" t="s">
        <v>12372</v>
      </c>
      <c r="C3214" t="s">
        <v>12373</v>
      </c>
      <c r="D3214" t="s">
        <v>453</v>
      </c>
      <c r="E3214" t="s">
        <v>271</v>
      </c>
      <c r="F3214" t="s">
        <v>2285</v>
      </c>
    </row>
    <row r="3215" spans="1:6" x14ac:dyDescent="0.25">
      <c r="A3215" t="s">
        <v>12374</v>
      </c>
      <c r="B3215" t="s">
        <v>12375</v>
      </c>
      <c r="C3215" t="s">
        <v>12376</v>
      </c>
      <c r="D3215" t="s">
        <v>1601</v>
      </c>
      <c r="E3215" t="s">
        <v>269</v>
      </c>
      <c r="F3215" t="s">
        <v>4424</v>
      </c>
    </row>
    <row r="3216" spans="1:6" x14ac:dyDescent="0.25">
      <c r="A3216" t="s">
        <v>12377</v>
      </c>
      <c r="B3216" t="s">
        <v>12378</v>
      </c>
      <c r="C3216" t="s">
        <v>7847</v>
      </c>
      <c r="D3216" t="s">
        <v>498</v>
      </c>
      <c r="E3216" t="s">
        <v>271</v>
      </c>
      <c r="F3216" t="s">
        <v>926</v>
      </c>
    </row>
    <row r="3217" spans="1:6" x14ac:dyDescent="0.25">
      <c r="A3217" t="s">
        <v>12379</v>
      </c>
      <c r="B3217" t="s">
        <v>12380</v>
      </c>
      <c r="C3217" t="s">
        <v>12381</v>
      </c>
      <c r="D3217" t="s">
        <v>0</v>
      </c>
      <c r="E3217" t="s">
        <v>271</v>
      </c>
      <c r="F3217" t="s">
        <v>1321</v>
      </c>
    </row>
    <row r="3218" spans="1:6" x14ac:dyDescent="0.25">
      <c r="A3218" t="s">
        <v>12382</v>
      </c>
      <c r="B3218" t="s">
        <v>12383</v>
      </c>
      <c r="C3218" t="s">
        <v>12384</v>
      </c>
      <c r="D3218" t="s">
        <v>237</v>
      </c>
      <c r="E3218" t="s">
        <v>271</v>
      </c>
      <c r="F3218" t="s">
        <v>427</v>
      </c>
    </row>
    <row r="3219" spans="1:6" x14ac:dyDescent="0.25">
      <c r="A3219" t="s">
        <v>12385</v>
      </c>
      <c r="B3219" t="s">
        <v>12386</v>
      </c>
      <c r="C3219" t="s">
        <v>12387</v>
      </c>
      <c r="D3219" t="s">
        <v>312</v>
      </c>
      <c r="E3219" t="s">
        <v>271</v>
      </c>
      <c r="F3219" t="s">
        <v>311</v>
      </c>
    </row>
    <row r="3220" spans="1:6" x14ac:dyDescent="0.25">
      <c r="A3220" t="s">
        <v>12388</v>
      </c>
      <c r="B3220" t="s">
        <v>12389</v>
      </c>
      <c r="C3220" t="s">
        <v>12390</v>
      </c>
      <c r="D3220" t="s">
        <v>492</v>
      </c>
      <c r="E3220" t="s">
        <v>271</v>
      </c>
      <c r="F3220" t="s">
        <v>493</v>
      </c>
    </row>
    <row r="3221" spans="1:6" x14ac:dyDescent="0.25">
      <c r="A3221" t="s">
        <v>12391</v>
      </c>
      <c r="B3221" t="s">
        <v>12392</v>
      </c>
      <c r="C3221" t="s">
        <v>12393</v>
      </c>
      <c r="D3221" t="s">
        <v>0</v>
      </c>
      <c r="E3221" t="s">
        <v>271</v>
      </c>
      <c r="F3221" t="s">
        <v>731</v>
      </c>
    </row>
    <row r="3222" spans="1:6" x14ac:dyDescent="0.25">
      <c r="A3222" t="s">
        <v>12394</v>
      </c>
      <c r="B3222" t="s">
        <v>12395</v>
      </c>
      <c r="C3222" t="s">
        <v>12396</v>
      </c>
      <c r="D3222" t="s">
        <v>6897</v>
      </c>
      <c r="E3222" t="s">
        <v>269</v>
      </c>
      <c r="F3222" t="s">
        <v>4394</v>
      </c>
    </row>
    <row r="3223" spans="1:6" x14ac:dyDescent="0.25">
      <c r="A3223" t="s">
        <v>12397</v>
      </c>
      <c r="B3223" t="s">
        <v>12398</v>
      </c>
      <c r="C3223" t="s">
        <v>12399</v>
      </c>
      <c r="D3223" t="s">
        <v>1210</v>
      </c>
      <c r="E3223" t="s">
        <v>271</v>
      </c>
      <c r="F3223" t="s">
        <v>1209</v>
      </c>
    </row>
    <row r="3224" spans="1:6" x14ac:dyDescent="0.25">
      <c r="A3224" t="s">
        <v>12400</v>
      </c>
      <c r="B3224" t="s">
        <v>12401</v>
      </c>
      <c r="C3224" t="s">
        <v>12402</v>
      </c>
      <c r="D3224" t="s">
        <v>289</v>
      </c>
      <c r="E3224" t="s">
        <v>271</v>
      </c>
      <c r="F3224" t="s">
        <v>4440</v>
      </c>
    </row>
    <row r="3225" spans="1:6" x14ac:dyDescent="0.25">
      <c r="A3225" t="s">
        <v>12403</v>
      </c>
      <c r="B3225" t="s">
        <v>12404</v>
      </c>
      <c r="C3225" t="s">
        <v>12405</v>
      </c>
      <c r="D3225" t="s">
        <v>2692</v>
      </c>
      <c r="E3225" t="s">
        <v>269</v>
      </c>
      <c r="F3225" t="s">
        <v>2691</v>
      </c>
    </row>
    <row r="3226" spans="1:6" x14ac:dyDescent="0.25">
      <c r="A3226" t="s">
        <v>12406</v>
      </c>
      <c r="B3226" t="s">
        <v>12407</v>
      </c>
      <c r="C3226" t="s">
        <v>12408</v>
      </c>
      <c r="D3226" t="s">
        <v>0</v>
      </c>
      <c r="E3226" t="s">
        <v>271</v>
      </c>
      <c r="F3226" t="s">
        <v>575</v>
      </c>
    </row>
    <row r="3227" spans="1:6" x14ac:dyDescent="0.25">
      <c r="A3227" t="s">
        <v>12409</v>
      </c>
      <c r="B3227" t="s">
        <v>12410</v>
      </c>
      <c r="C3227" t="s">
        <v>12411</v>
      </c>
      <c r="D3227" t="s">
        <v>2009</v>
      </c>
      <c r="E3227" t="s">
        <v>271</v>
      </c>
      <c r="F3227" t="s">
        <v>2008</v>
      </c>
    </row>
    <row r="3228" spans="1:6" x14ac:dyDescent="0.25">
      <c r="A3228" t="s">
        <v>12412</v>
      </c>
      <c r="B3228" t="s">
        <v>12413</v>
      </c>
      <c r="C3228" t="s">
        <v>12414</v>
      </c>
      <c r="D3228" t="s">
        <v>0</v>
      </c>
      <c r="E3228" t="s">
        <v>271</v>
      </c>
      <c r="F3228" t="s">
        <v>355</v>
      </c>
    </row>
    <row r="3229" spans="1:6" x14ac:dyDescent="0.25">
      <c r="A3229" t="s">
        <v>12415</v>
      </c>
      <c r="B3229" t="s">
        <v>12416</v>
      </c>
      <c r="C3229" t="s">
        <v>12417</v>
      </c>
      <c r="D3229" t="s">
        <v>453</v>
      </c>
      <c r="E3229" t="s">
        <v>271</v>
      </c>
      <c r="F3229" t="s">
        <v>454</v>
      </c>
    </row>
    <row r="3230" spans="1:6" x14ac:dyDescent="0.25">
      <c r="A3230" t="s">
        <v>12418</v>
      </c>
      <c r="B3230" t="s">
        <v>12419</v>
      </c>
      <c r="C3230" t="s">
        <v>12420</v>
      </c>
      <c r="D3230" t="s">
        <v>967</v>
      </c>
      <c r="E3230" t="s">
        <v>271</v>
      </c>
      <c r="F3230" t="s">
        <v>966</v>
      </c>
    </row>
    <row r="3231" spans="1:6" x14ac:dyDescent="0.25">
      <c r="A3231" t="s">
        <v>12421</v>
      </c>
      <c r="B3231" t="s">
        <v>12422</v>
      </c>
      <c r="C3231" t="s">
        <v>12423</v>
      </c>
      <c r="D3231" t="s">
        <v>540</v>
      </c>
      <c r="E3231" t="s">
        <v>271</v>
      </c>
      <c r="F3231" t="s">
        <v>339</v>
      </c>
    </row>
    <row r="3232" spans="1:6" x14ac:dyDescent="0.25">
      <c r="A3232" t="s">
        <v>12424</v>
      </c>
      <c r="B3232" t="s">
        <v>12425</v>
      </c>
      <c r="C3232" t="s">
        <v>12426</v>
      </c>
      <c r="D3232" t="s">
        <v>0</v>
      </c>
      <c r="E3232" t="s">
        <v>271</v>
      </c>
      <c r="F3232" t="s">
        <v>319</v>
      </c>
    </row>
    <row r="3233" spans="1:6" x14ac:dyDescent="0.25">
      <c r="A3233" t="s">
        <v>12427</v>
      </c>
      <c r="B3233" t="s">
        <v>12428</v>
      </c>
      <c r="C3233" t="s">
        <v>12429</v>
      </c>
      <c r="D3233" t="s">
        <v>314</v>
      </c>
      <c r="E3233" t="s">
        <v>271</v>
      </c>
      <c r="F3233" t="s">
        <v>352</v>
      </c>
    </row>
    <row r="3234" spans="1:6" x14ac:dyDescent="0.25">
      <c r="A3234" t="s">
        <v>12430</v>
      </c>
      <c r="B3234" t="s">
        <v>12431</v>
      </c>
      <c r="C3234" t="s">
        <v>12432</v>
      </c>
      <c r="D3234" t="s">
        <v>0</v>
      </c>
      <c r="E3234" t="s">
        <v>271</v>
      </c>
      <c r="F3234" t="s">
        <v>562</v>
      </c>
    </row>
    <row r="3235" spans="1:6" x14ac:dyDescent="0.25">
      <c r="A3235" t="s">
        <v>1969</v>
      </c>
      <c r="B3235" t="s">
        <v>1970</v>
      </c>
      <c r="C3235" t="s">
        <v>1974</v>
      </c>
      <c r="D3235" t="s">
        <v>1973</v>
      </c>
      <c r="E3235" t="s">
        <v>271</v>
      </c>
      <c r="F3235" t="s">
        <v>1972</v>
      </c>
    </row>
    <row r="3236" spans="1:6" x14ac:dyDescent="0.25">
      <c r="A3236" t="s">
        <v>12433</v>
      </c>
      <c r="B3236" t="s">
        <v>12434</v>
      </c>
      <c r="C3236" t="s">
        <v>12435</v>
      </c>
      <c r="D3236" t="s">
        <v>0</v>
      </c>
      <c r="E3236" t="s">
        <v>271</v>
      </c>
      <c r="F3236" t="s">
        <v>658</v>
      </c>
    </row>
    <row r="3237" spans="1:6" x14ac:dyDescent="0.25">
      <c r="A3237" t="s">
        <v>2820</v>
      </c>
      <c r="B3237" t="s">
        <v>2821</v>
      </c>
      <c r="C3237" t="s">
        <v>2822</v>
      </c>
      <c r="D3237" t="s">
        <v>0</v>
      </c>
      <c r="E3237" t="s">
        <v>271</v>
      </c>
      <c r="F3237" t="s">
        <v>809</v>
      </c>
    </row>
    <row r="3238" spans="1:6" x14ac:dyDescent="0.25">
      <c r="A3238" t="s">
        <v>12436</v>
      </c>
      <c r="B3238" t="s">
        <v>12437</v>
      </c>
      <c r="C3238" t="s">
        <v>12438</v>
      </c>
      <c r="D3238" t="s">
        <v>1079</v>
      </c>
      <c r="E3238" t="s">
        <v>271</v>
      </c>
      <c r="F3238" t="s">
        <v>3880</v>
      </c>
    </row>
    <row r="3239" spans="1:6" x14ac:dyDescent="0.25">
      <c r="A3239" t="s">
        <v>12439</v>
      </c>
      <c r="B3239" t="s">
        <v>12440</v>
      </c>
      <c r="C3239" t="s">
        <v>12441</v>
      </c>
      <c r="D3239" t="s">
        <v>278</v>
      </c>
      <c r="E3239" t="s">
        <v>271</v>
      </c>
      <c r="F3239" t="s">
        <v>512</v>
      </c>
    </row>
    <row r="3240" spans="1:6" x14ac:dyDescent="0.25">
      <c r="A3240" t="s">
        <v>12442</v>
      </c>
      <c r="B3240" t="s">
        <v>12443</v>
      </c>
      <c r="C3240" t="s">
        <v>12444</v>
      </c>
      <c r="D3240" t="s">
        <v>0</v>
      </c>
      <c r="E3240" t="s">
        <v>271</v>
      </c>
      <c r="F3240" t="s">
        <v>436</v>
      </c>
    </row>
    <row r="3241" spans="1:6" x14ac:dyDescent="0.25">
      <c r="A3241" t="s">
        <v>3152</v>
      </c>
      <c r="B3241" t="s">
        <v>3153</v>
      </c>
      <c r="C3241" t="s">
        <v>3154</v>
      </c>
      <c r="D3241" t="s">
        <v>1463</v>
      </c>
      <c r="E3241" t="s">
        <v>271</v>
      </c>
      <c r="F3241" t="s">
        <v>1462</v>
      </c>
    </row>
    <row r="3242" spans="1:6" x14ac:dyDescent="0.25">
      <c r="A3242" t="s">
        <v>12445</v>
      </c>
      <c r="B3242" t="s">
        <v>12446</v>
      </c>
      <c r="C3242" t="s">
        <v>12447</v>
      </c>
      <c r="D3242" t="s">
        <v>1542</v>
      </c>
      <c r="E3242" t="s">
        <v>269</v>
      </c>
      <c r="F3242" t="s">
        <v>1541</v>
      </c>
    </row>
    <row r="3243" spans="1:6" x14ac:dyDescent="0.25">
      <c r="A3243" t="s">
        <v>12448</v>
      </c>
      <c r="B3243" t="s">
        <v>10642</v>
      </c>
      <c r="C3243" t="s">
        <v>10643</v>
      </c>
      <c r="D3243" t="s">
        <v>0</v>
      </c>
      <c r="E3243" t="s">
        <v>271</v>
      </c>
      <c r="F3243" t="s">
        <v>809</v>
      </c>
    </row>
    <row r="3244" spans="1:6" x14ac:dyDescent="0.25">
      <c r="A3244" t="s">
        <v>12449</v>
      </c>
      <c r="B3244" t="s">
        <v>12450</v>
      </c>
      <c r="C3244" t="s">
        <v>12451</v>
      </c>
      <c r="D3244" t="s">
        <v>0</v>
      </c>
      <c r="E3244" t="s">
        <v>271</v>
      </c>
      <c r="F3244" t="s">
        <v>356</v>
      </c>
    </row>
    <row r="3245" spans="1:6" x14ac:dyDescent="0.25">
      <c r="A3245" t="s">
        <v>12452</v>
      </c>
      <c r="B3245" t="s">
        <v>11939</v>
      </c>
      <c r="C3245" t="s">
        <v>12453</v>
      </c>
      <c r="D3245" t="s">
        <v>586</v>
      </c>
      <c r="E3245" t="s">
        <v>271</v>
      </c>
      <c r="F3245" t="s">
        <v>334</v>
      </c>
    </row>
    <row r="3246" spans="1:6" x14ac:dyDescent="0.25">
      <c r="A3246" t="s">
        <v>12454</v>
      </c>
      <c r="B3246" t="s">
        <v>12455</v>
      </c>
      <c r="C3246" t="s">
        <v>12456</v>
      </c>
      <c r="D3246" t="s">
        <v>488</v>
      </c>
      <c r="E3246" t="s">
        <v>271</v>
      </c>
      <c r="F3246" t="s">
        <v>489</v>
      </c>
    </row>
    <row r="3247" spans="1:6" x14ac:dyDescent="0.25">
      <c r="A3247" t="s">
        <v>12457</v>
      </c>
      <c r="B3247" t="s">
        <v>12458</v>
      </c>
      <c r="C3247" t="s">
        <v>12459</v>
      </c>
      <c r="D3247" t="s">
        <v>1723</v>
      </c>
      <c r="E3247" t="s">
        <v>271</v>
      </c>
      <c r="F3247" t="s">
        <v>2066</v>
      </c>
    </row>
    <row r="3248" spans="1:6" x14ac:dyDescent="0.25">
      <c r="A3248" t="s">
        <v>12460</v>
      </c>
      <c r="B3248" t="s">
        <v>12461</v>
      </c>
      <c r="C3248" t="s">
        <v>12462</v>
      </c>
      <c r="D3248" t="s">
        <v>1623</v>
      </c>
      <c r="E3248" t="s">
        <v>271</v>
      </c>
      <c r="F3248" t="s">
        <v>1622</v>
      </c>
    </row>
    <row r="3249" spans="1:6" x14ac:dyDescent="0.25">
      <c r="A3249" t="s">
        <v>12463</v>
      </c>
      <c r="B3249" t="s">
        <v>463</v>
      </c>
      <c r="C3249" t="s">
        <v>464</v>
      </c>
      <c r="D3249" t="s">
        <v>232</v>
      </c>
      <c r="E3249" t="s">
        <v>271</v>
      </c>
      <c r="F3249" t="s">
        <v>329</v>
      </c>
    </row>
    <row r="3250" spans="1:6" x14ac:dyDescent="0.25">
      <c r="A3250" t="s">
        <v>12464</v>
      </c>
      <c r="B3250" t="s">
        <v>12465</v>
      </c>
      <c r="C3250" t="s">
        <v>12466</v>
      </c>
      <c r="D3250" t="s">
        <v>0</v>
      </c>
      <c r="E3250" t="s">
        <v>271</v>
      </c>
      <c r="F3250" t="s">
        <v>1534</v>
      </c>
    </row>
    <row r="3251" spans="1:6" x14ac:dyDescent="0.25">
      <c r="A3251" t="s">
        <v>12467</v>
      </c>
      <c r="B3251" t="s">
        <v>12468</v>
      </c>
      <c r="C3251" t="s">
        <v>5932</v>
      </c>
      <c r="D3251" t="s">
        <v>0</v>
      </c>
      <c r="E3251" t="s">
        <v>271</v>
      </c>
      <c r="F3251" t="s">
        <v>325</v>
      </c>
    </row>
    <row r="3252" spans="1:6" x14ac:dyDescent="0.25">
      <c r="A3252" t="s">
        <v>12469</v>
      </c>
      <c r="B3252" t="s">
        <v>12470</v>
      </c>
      <c r="C3252" t="s">
        <v>12471</v>
      </c>
      <c r="D3252" t="s">
        <v>1210</v>
      </c>
      <c r="E3252" t="s">
        <v>271</v>
      </c>
      <c r="F3252" t="s">
        <v>1209</v>
      </c>
    </row>
    <row r="3253" spans="1:6" x14ac:dyDescent="0.25">
      <c r="A3253" t="s">
        <v>12472</v>
      </c>
      <c r="B3253" t="s">
        <v>12473</v>
      </c>
      <c r="C3253" t="s">
        <v>12474</v>
      </c>
      <c r="D3253" t="s">
        <v>0</v>
      </c>
      <c r="E3253" t="s">
        <v>271</v>
      </c>
      <c r="F3253" t="s">
        <v>431</v>
      </c>
    </row>
    <row r="3254" spans="1:6" x14ac:dyDescent="0.25">
      <c r="A3254" t="s">
        <v>12475</v>
      </c>
      <c r="B3254" t="s">
        <v>9274</v>
      </c>
      <c r="C3254" t="s">
        <v>8273</v>
      </c>
      <c r="D3254" t="s">
        <v>0</v>
      </c>
      <c r="E3254" t="s">
        <v>271</v>
      </c>
      <c r="F3254" t="s">
        <v>319</v>
      </c>
    </row>
    <row r="3255" spans="1:6" x14ac:dyDescent="0.25">
      <c r="A3255" t="s">
        <v>12476</v>
      </c>
      <c r="B3255" t="s">
        <v>12477</v>
      </c>
      <c r="C3255" t="s">
        <v>12478</v>
      </c>
      <c r="D3255" t="s">
        <v>1079</v>
      </c>
      <c r="E3255" t="s">
        <v>271</v>
      </c>
      <c r="F3255" t="s">
        <v>3880</v>
      </c>
    </row>
    <row r="3256" spans="1:6" x14ac:dyDescent="0.25">
      <c r="A3256" t="s">
        <v>12479</v>
      </c>
      <c r="B3256" t="s">
        <v>12480</v>
      </c>
      <c r="C3256" t="s">
        <v>12481</v>
      </c>
      <c r="D3256" t="s">
        <v>1199</v>
      </c>
      <c r="E3256" t="s">
        <v>271</v>
      </c>
      <c r="F3256" t="s">
        <v>1198</v>
      </c>
    </row>
    <row r="3257" spans="1:6" x14ac:dyDescent="0.25">
      <c r="A3257" t="s">
        <v>12482</v>
      </c>
      <c r="B3257" t="s">
        <v>12483</v>
      </c>
      <c r="C3257" t="s">
        <v>12484</v>
      </c>
      <c r="D3257" t="s">
        <v>616</v>
      </c>
      <c r="E3257" t="s">
        <v>271</v>
      </c>
      <c r="F3257" t="s">
        <v>333</v>
      </c>
    </row>
    <row r="3258" spans="1:6" x14ac:dyDescent="0.25">
      <c r="A3258" t="s">
        <v>12485</v>
      </c>
      <c r="B3258" t="s">
        <v>12486</v>
      </c>
      <c r="C3258" t="s">
        <v>10760</v>
      </c>
      <c r="D3258" t="s">
        <v>6005</v>
      </c>
      <c r="E3258" t="s">
        <v>271</v>
      </c>
      <c r="F3258" t="s">
        <v>4399</v>
      </c>
    </row>
    <row r="3259" spans="1:6" x14ac:dyDescent="0.25">
      <c r="A3259" t="s">
        <v>12487</v>
      </c>
      <c r="B3259" t="s">
        <v>12488</v>
      </c>
      <c r="C3259" t="s">
        <v>12489</v>
      </c>
      <c r="D3259" t="s">
        <v>0</v>
      </c>
      <c r="E3259" t="s">
        <v>271</v>
      </c>
      <c r="F3259" t="s">
        <v>325</v>
      </c>
    </row>
    <row r="3260" spans="1:6" x14ac:dyDescent="0.25">
      <c r="A3260" t="s">
        <v>12490</v>
      </c>
      <c r="B3260" t="s">
        <v>12491</v>
      </c>
      <c r="C3260" t="s">
        <v>12492</v>
      </c>
      <c r="D3260" t="s">
        <v>237</v>
      </c>
      <c r="E3260" t="s">
        <v>271</v>
      </c>
      <c r="F3260" t="s">
        <v>427</v>
      </c>
    </row>
    <row r="3261" spans="1:6" x14ac:dyDescent="0.25">
      <c r="A3261" t="s">
        <v>12493</v>
      </c>
      <c r="B3261" t="s">
        <v>12494</v>
      </c>
      <c r="C3261" t="s">
        <v>12495</v>
      </c>
      <c r="D3261" t="s">
        <v>490</v>
      </c>
      <c r="E3261" t="s">
        <v>271</v>
      </c>
      <c r="F3261" t="s">
        <v>491</v>
      </c>
    </row>
    <row r="3262" spans="1:6" x14ac:dyDescent="0.25">
      <c r="A3262" t="s">
        <v>12496</v>
      </c>
      <c r="B3262" t="s">
        <v>12497</v>
      </c>
      <c r="C3262" t="s">
        <v>12498</v>
      </c>
      <c r="D3262" t="s">
        <v>793</v>
      </c>
      <c r="E3262" t="s">
        <v>271</v>
      </c>
      <c r="F3262" t="s">
        <v>792</v>
      </c>
    </row>
    <row r="3263" spans="1:6" x14ac:dyDescent="0.25">
      <c r="A3263" t="s">
        <v>12499</v>
      </c>
      <c r="B3263" t="s">
        <v>12500</v>
      </c>
      <c r="C3263" t="s">
        <v>8483</v>
      </c>
      <c r="D3263" t="s">
        <v>1064</v>
      </c>
      <c r="E3263" t="s">
        <v>269</v>
      </c>
      <c r="F3263" t="s">
        <v>1063</v>
      </c>
    </row>
    <row r="3264" spans="1:6" x14ac:dyDescent="0.25">
      <c r="A3264" t="s">
        <v>12501</v>
      </c>
      <c r="B3264" t="s">
        <v>12502</v>
      </c>
      <c r="C3264" t="s">
        <v>12503</v>
      </c>
      <c r="D3264" t="s">
        <v>1524</v>
      </c>
      <c r="E3264" t="s">
        <v>271</v>
      </c>
      <c r="F3264" t="s">
        <v>1523</v>
      </c>
    </row>
    <row r="3265" spans="1:6" x14ac:dyDescent="0.25">
      <c r="A3265" t="s">
        <v>12504</v>
      </c>
      <c r="B3265" t="s">
        <v>12505</v>
      </c>
      <c r="C3265" t="s">
        <v>12506</v>
      </c>
      <c r="D3265" t="s">
        <v>222</v>
      </c>
      <c r="E3265" t="s">
        <v>271</v>
      </c>
      <c r="F3265" t="s">
        <v>313</v>
      </c>
    </row>
    <row r="3266" spans="1:6" x14ac:dyDescent="0.25">
      <c r="A3266" t="s">
        <v>12507</v>
      </c>
      <c r="B3266" t="s">
        <v>12508</v>
      </c>
      <c r="C3266" t="s">
        <v>12509</v>
      </c>
      <c r="D3266" t="s">
        <v>1648</v>
      </c>
      <c r="E3266" t="s">
        <v>271</v>
      </c>
      <c r="F3266" t="s">
        <v>1647</v>
      </c>
    </row>
    <row r="3267" spans="1:6" x14ac:dyDescent="0.25">
      <c r="A3267" t="s">
        <v>12510</v>
      </c>
      <c r="B3267" t="s">
        <v>12511</v>
      </c>
      <c r="C3267" t="s">
        <v>12512</v>
      </c>
      <c r="D3267" t="s">
        <v>1925</v>
      </c>
      <c r="E3267" t="s">
        <v>271</v>
      </c>
      <c r="F3267" t="s">
        <v>1924</v>
      </c>
    </row>
    <row r="3268" spans="1:6" x14ac:dyDescent="0.25">
      <c r="A3268" t="s">
        <v>3210</v>
      </c>
      <c r="B3268" t="s">
        <v>3211</v>
      </c>
      <c r="C3268" t="s">
        <v>3212</v>
      </c>
      <c r="D3268" t="s">
        <v>598</v>
      </c>
      <c r="E3268" t="s">
        <v>271</v>
      </c>
      <c r="F3268" t="s">
        <v>599</v>
      </c>
    </row>
    <row r="3269" spans="1:6" x14ac:dyDescent="0.25">
      <c r="A3269" t="s">
        <v>873</v>
      </c>
      <c r="B3269" t="s">
        <v>874</v>
      </c>
      <c r="C3269" t="s">
        <v>877</v>
      </c>
      <c r="D3269" t="s">
        <v>876</v>
      </c>
      <c r="E3269" t="s">
        <v>271</v>
      </c>
      <c r="F3269" t="s">
        <v>875</v>
      </c>
    </row>
    <row r="3270" spans="1:6" x14ac:dyDescent="0.25">
      <c r="A3270" t="s">
        <v>12513</v>
      </c>
      <c r="B3270" t="s">
        <v>12514</v>
      </c>
      <c r="C3270" t="s">
        <v>861</v>
      </c>
      <c r="D3270" t="s">
        <v>793</v>
      </c>
      <c r="E3270" t="s">
        <v>271</v>
      </c>
      <c r="F3270" t="s">
        <v>860</v>
      </c>
    </row>
    <row r="3271" spans="1:6" x14ac:dyDescent="0.25">
      <c r="A3271" t="s">
        <v>12515</v>
      </c>
      <c r="B3271" t="s">
        <v>12516</v>
      </c>
      <c r="C3271" t="s">
        <v>12168</v>
      </c>
      <c r="D3271" t="s">
        <v>506</v>
      </c>
      <c r="E3271" t="s">
        <v>271</v>
      </c>
      <c r="F3271" t="s">
        <v>507</v>
      </c>
    </row>
    <row r="3272" spans="1:6" x14ac:dyDescent="0.25">
      <c r="A3272" t="s">
        <v>12517</v>
      </c>
      <c r="B3272" t="s">
        <v>12518</v>
      </c>
      <c r="C3272" t="s">
        <v>12519</v>
      </c>
      <c r="D3272" t="s">
        <v>0</v>
      </c>
      <c r="E3272" t="s">
        <v>271</v>
      </c>
      <c r="F3272" t="s">
        <v>575</v>
      </c>
    </row>
    <row r="3273" spans="1:6" x14ac:dyDescent="0.25">
      <c r="A3273" t="s">
        <v>12520</v>
      </c>
      <c r="B3273" t="s">
        <v>12521</v>
      </c>
      <c r="C3273" t="s">
        <v>12522</v>
      </c>
      <c r="D3273" t="s">
        <v>1165</v>
      </c>
      <c r="E3273" t="s">
        <v>271</v>
      </c>
      <c r="F3273" t="s">
        <v>1402</v>
      </c>
    </row>
    <row r="3274" spans="1:6" x14ac:dyDescent="0.25">
      <c r="A3274" t="s">
        <v>3613</v>
      </c>
      <c r="B3274" t="s">
        <v>3614</v>
      </c>
      <c r="C3274" t="s">
        <v>3615</v>
      </c>
      <c r="D3274" t="s">
        <v>0</v>
      </c>
      <c r="E3274" t="s">
        <v>271</v>
      </c>
      <c r="F3274" t="s">
        <v>1152</v>
      </c>
    </row>
    <row r="3275" spans="1:6" x14ac:dyDescent="0.25">
      <c r="A3275" t="s">
        <v>12523</v>
      </c>
      <c r="B3275" t="s">
        <v>12524</v>
      </c>
      <c r="C3275" t="s">
        <v>12525</v>
      </c>
      <c r="D3275" t="s">
        <v>972</v>
      </c>
      <c r="E3275" t="s">
        <v>269</v>
      </c>
      <c r="F3275" t="s">
        <v>971</v>
      </c>
    </row>
    <row r="3276" spans="1:6" x14ac:dyDescent="0.25">
      <c r="A3276" t="s">
        <v>12526</v>
      </c>
      <c r="B3276" t="s">
        <v>12527</v>
      </c>
      <c r="C3276" t="s">
        <v>12528</v>
      </c>
      <c r="D3276" t="s">
        <v>1126</v>
      </c>
      <c r="E3276" t="s">
        <v>271</v>
      </c>
      <c r="F3276" t="s">
        <v>1125</v>
      </c>
    </row>
    <row r="3277" spans="1:6" x14ac:dyDescent="0.25">
      <c r="A3277" t="s">
        <v>12529</v>
      </c>
      <c r="B3277" t="s">
        <v>12530</v>
      </c>
      <c r="C3277" t="s">
        <v>12531</v>
      </c>
      <c r="D3277" t="s">
        <v>1361</v>
      </c>
      <c r="E3277" t="s">
        <v>271</v>
      </c>
      <c r="F3277" t="s">
        <v>1829</v>
      </c>
    </row>
    <row r="3278" spans="1:6" x14ac:dyDescent="0.25">
      <c r="A3278" t="s">
        <v>1731</v>
      </c>
      <c r="B3278" t="s">
        <v>1732</v>
      </c>
      <c r="C3278" t="s">
        <v>1733</v>
      </c>
      <c r="D3278" t="s">
        <v>1433</v>
      </c>
      <c r="E3278" t="s">
        <v>271</v>
      </c>
      <c r="F3278" t="s">
        <v>1432</v>
      </c>
    </row>
    <row r="3279" spans="1:6" x14ac:dyDescent="0.25">
      <c r="A3279" t="s">
        <v>12532</v>
      </c>
      <c r="B3279" t="s">
        <v>12533</v>
      </c>
      <c r="C3279" t="s">
        <v>12534</v>
      </c>
      <c r="D3279" t="s">
        <v>0</v>
      </c>
      <c r="E3279" t="s">
        <v>271</v>
      </c>
      <c r="F3279" t="s">
        <v>1534</v>
      </c>
    </row>
    <row r="3280" spans="1:6" x14ac:dyDescent="0.25">
      <c r="A3280" t="s">
        <v>12535</v>
      </c>
      <c r="B3280" t="s">
        <v>12536</v>
      </c>
      <c r="C3280" t="s">
        <v>12537</v>
      </c>
      <c r="D3280" t="s">
        <v>510</v>
      </c>
      <c r="E3280" t="s">
        <v>271</v>
      </c>
      <c r="F3280" t="s">
        <v>437</v>
      </c>
    </row>
    <row r="3281" spans="1:6" x14ac:dyDescent="0.25">
      <c r="A3281" t="s">
        <v>12538</v>
      </c>
      <c r="B3281" t="s">
        <v>12539</v>
      </c>
      <c r="C3281" t="s">
        <v>12540</v>
      </c>
      <c r="D3281" t="s">
        <v>1723</v>
      </c>
      <c r="E3281" t="s">
        <v>271</v>
      </c>
      <c r="F3281" t="s">
        <v>1722</v>
      </c>
    </row>
    <row r="3282" spans="1:6" x14ac:dyDescent="0.25">
      <c r="A3282" t="s">
        <v>12541</v>
      </c>
      <c r="B3282" t="s">
        <v>12542</v>
      </c>
      <c r="C3282" t="s">
        <v>12543</v>
      </c>
      <c r="D3282" t="s">
        <v>1743</v>
      </c>
      <c r="E3282" t="s">
        <v>269</v>
      </c>
      <c r="F3282" t="s">
        <v>1742</v>
      </c>
    </row>
    <row r="3283" spans="1:6" x14ac:dyDescent="0.25">
      <c r="A3283" t="s">
        <v>3312</v>
      </c>
      <c r="B3283" t="s">
        <v>3313</v>
      </c>
      <c r="C3283" t="s">
        <v>3314</v>
      </c>
      <c r="D3283" t="s">
        <v>1638</v>
      </c>
      <c r="E3283" t="s">
        <v>271</v>
      </c>
      <c r="F3283" t="s">
        <v>1637</v>
      </c>
    </row>
    <row r="3284" spans="1:6" x14ac:dyDescent="0.25">
      <c r="A3284" t="s">
        <v>12544</v>
      </c>
      <c r="B3284" t="s">
        <v>12545</v>
      </c>
      <c r="C3284" t="s">
        <v>12546</v>
      </c>
      <c r="D3284" t="s">
        <v>0</v>
      </c>
      <c r="E3284" t="s">
        <v>271</v>
      </c>
      <c r="F3284" t="s">
        <v>325</v>
      </c>
    </row>
    <row r="3285" spans="1:6" x14ac:dyDescent="0.25">
      <c r="A3285" t="s">
        <v>12547</v>
      </c>
      <c r="B3285" t="s">
        <v>12548</v>
      </c>
      <c r="C3285" t="s">
        <v>12549</v>
      </c>
      <c r="D3285" t="s">
        <v>986</v>
      </c>
      <c r="E3285" t="s">
        <v>271</v>
      </c>
      <c r="F3285" t="s">
        <v>985</v>
      </c>
    </row>
    <row r="3286" spans="1:6" x14ac:dyDescent="0.25">
      <c r="A3286" t="s">
        <v>2392</v>
      </c>
      <c r="B3286" t="s">
        <v>2393</v>
      </c>
      <c r="C3286" t="s">
        <v>2394</v>
      </c>
      <c r="D3286" t="s">
        <v>0</v>
      </c>
      <c r="E3286" t="s">
        <v>271</v>
      </c>
      <c r="F3286" t="s">
        <v>323</v>
      </c>
    </row>
    <row r="3287" spans="1:6" x14ac:dyDescent="0.25">
      <c r="A3287" t="s">
        <v>12550</v>
      </c>
      <c r="B3287" t="s">
        <v>12551</v>
      </c>
      <c r="C3287" t="s">
        <v>2553</v>
      </c>
      <c r="D3287" t="s">
        <v>675</v>
      </c>
      <c r="E3287" t="s">
        <v>271</v>
      </c>
      <c r="F3287" t="s">
        <v>674</v>
      </c>
    </row>
    <row r="3288" spans="1:6" x14ac:dyDescent="0.25">
      <c r="A3288" t="s">
        <v>12552</v>
      </c>
      <c r="B3288" t="s">
        <v>12553</v>
      </c>
      <c r="C3288" t="s">
        <v>12554</v>
      </c>
      <c r="D3288" t="s">
        <v>7898</v>
      </c>
      <c r="E3288" t="s">
        <v>271</v>
      </c>
      <c r="F3288" t="s">
        <v>4434</v>
      </c>
    </row>
    <row r="3289" spans="1:6" x14ac:dyDescent="0.25">
      <c r="A3289" t="s">
        <v>12555</v>
      </c>
      <c r="B3289" t="s">
        <v>12556</v>
      </c>
      <c r="C3289" t="s">
        <v>12557</v>
      </c>
      <c r="D3289" t="s">
        <v>0</v>
      </c>
      <c r="E3289" t="s">
        <v>271</v>
      </c>
      <c r="F3289" t="s">
        <v>325</v>
      </c>
    </row>
    <row r="3290" spans="1:6" x14ac:dyDescent="0.25">
      <c r="A3290" t="s">
        <v>12558</v>
      </c>
      <c r="B3290" t="s">
        <v>12559</v>
      </c>
      <c r="C3290" t="s">
        <v>12560</v>
      </c>
      <c r="D3290" t="s">
        <v>4019</v>
      </c>
      <c r="E3290" t="s">
        <v>271</v>
      </c>
      <c r="F3290" t="s">
        <v>4018</v>
      </c>
    </row>
    <row r="3291" spans="1:6" x14ac:dyDescent="0.25">
      <c r="A3291" t="s">
        <v>12561</v>
      </c>
      <c r="B3291" t="s">
        <v>12562</v>
      </c>
      <c r="C3291" t="s">
        <v>12563</v>
      </c>
      <c r="D3291" t="s">
        <v>997</v>
      </c>
      <c r="E3291" t="s">
        <v>271</v>
      </c>
      <c r="F3291" t="s">
        <v>996</v>
      </c>
    </row>
    <row r="3292" spans="1:6" x14ac:dyDescent="0.25">
      <c r="A3292" t="s">
        <v>12564</v>
      </c>
      <c r="B3292" t="s">
        <v>12565</v>
      </c>
      <c r="C3292" t="s">
        <v>12566</v>
      </c>
      <c r="D3292" t="s">
        <v>1683</v>
      </c>
      <c r="E3292" t="s">
        <v>271</v>
      </c>
      <c r="F3292" t="s">
        <v>996</v>
      </c>
    </row>
    <row r="3293" spans="1:6" x14ac:dyDescent="0.25">
      <c r="A3293" t="s">
        <v>12567</v>
      </c>
      <c r="B3293" t="s">
        <v>12568</v>
      </c>
      <c r="C3293" t="s">
        <v>274</v>
      </c>
      <c r="D3293" t="s">
        <v>598</v>
      </c>
      <c r="E3293" t="s">
        <v>271</v>
      </c>
      <c r="F3293" t="s">
        <v>599</v>
      </c>
    </row>
    <row r="3294" spans="1:6" x14ac:dyDescent="0.25">
      <c r="A3294" t="s">
        <v>12569</v>
      </c>
      <c r="B3294" t="s">
        <v>12570</v>
      </c>
      <c r="C3294" t="s">
        <v>12571</v>
      </c>
      <c r="D3294" t="s">
        <v>0</v>
      </c>
      <c r="E3294" t="s">
        <v>271</v>
      </c>
      <c r="F3294" t="s">
        <v>325</v>
      </c>
    </row>
    <row r="3295" spans="1:6" x14ac:dyDescent="0.25">
      <c r="A3295" t="s">
        <v>3161</v>
      </c>
      <c r="B3295" t="s">
        <v>3162</v>
      </c>
      <c r="C3295" t="s">
        <v>3163</v>
      </c>
      <c r="D3295" t="s">
        <v>0</v>
      </c>
      <c r="E3295" t="s">
        <v>271</v>
      </c>
      <c r="F3295" t="s">
        <v>319</v>
      </c>
    </row>
    <row r="3296" spans="1:6" x14ac:dyDescent="0.25">
      <c r="A3296" t="s">
        <v>12572</v>
      </c>
      <c r="B3296" t="s">
        <v>12573</v>
      </c>
      <c r="C3296" t="s">
        <v>12574</v>
      </c>
      <c r="D3296" t="s">
        <v>2908</v>
      </c>
      <c r="E3296" t="s">
        <v>271</v>
      </c>
      <c r="F3296" t="s">
        <v>2470</v>
      </c>
    </row>
    <row r="3297" spans="1:6" x14ac:dyDescent="0.25">
      <c r="A3297" t="s">
        <v>12575</v>
      </c>
      <c r="B3297" t="s">
        <v>12576</v>
      </c>
      <c r="C3297" t="s">
        <v>12577</v>
      </c>
      <c r="D3297" t="s">
        <v>0</v>
      </c>
      <c r="E3297" t="s">
        <v>271</v>
      </c>
      <c r="F3297" t="s">
        <v>688</v>
      </c>
    </row>
    <row r="3298" spans="1:6" x14ac:dyDescent="0.25">
      <c r="A3298" t="s">
        <v>12578</v>
      </c>
      <c r="B3298" t="s">
        <v>12579</v>
      </c>
      <c r="C3298" t="s">
        <v>12580</v>
      </c>
      <c r="D3298" t="s">
        <v>0</v>
      </c>
      <c r="E3298" t="s">
        <v>271</v>
      </c>
      <c r="F3298" t="s">
        <v>881</v>
      </c>
    </row>
    <row r="3299" spans="1:6" x14ac:dyDescent="0.25">
      <c r="A3299" t="s">
        <v>12581</v>
      </c>
      <c r="B3299" t="s">
        <v>12582</v>
      </c>
      <c r="C3299" t="s">
        <v>12583</v>
      </c>
      <c r="D3299" t="s">
        <v>2488</v>
      </c>
      <c r="E3299" t="s">
        <v>269</v>
      </c>
      <c r="F3299" t="s">
        <v>4397</v>
      </c>
    </row>
    <row r="3300" spans="1:6" x14ac:dyDescent="0.25">
      <c r="A3300" t="s">
        <v>12584</v>
      </c>
      <c r="B3300" t="s">
        <v>12585</v>
      </c>
      <c r="C3300" t="s">
        <v>12586</v>
      </c>
      <c r="D3300" t="s">
        <v>1925</v>
      </c>
      <c r="E3300" t="s">
        <v>271</v>
      </c>
      <c r="F3300" t="s">
        <v>1924</v>
      </c>
    </row>
    <row r="3301" spans="1:6" x14ac:dyDescent="0.25">
      <c r="A3301" t="s">
        <v>12587</v>
      </c>
      <c r="B3301" t="s">
        <v>12588</v>
      </c>
      <c r="C3301" t="s">
        <v>12589</v>
      </c>
      <c r="D3301" t="s">
        <v>0</v>
      </c>
      <c r="E3301" t="s">
        <v>271</v>
      </c>
      <c r="F3301" t="s">
        <v>881</v>
      </c>
    </row>
    <row r="3302" spans="1:6" x14ac:dyDescent="0.25">
      <c r="A3302" t="s">
        <v>12590</v>
      </c>
      <c r="B3302" t="s">
        <v>12591</v>
      </c>
      <c r="C3302" t="s">
        <v>12592</v>
      </c>
      <c r="D3302" t="s">
        <v>651</v>
      </c>
      <c r="E3302" t="s">
        <v>271</v>
      </c>
      <c r="F3302" t="s">
        <v>650</v>
      </c>
    </row>
    <row r="3303" spans="1:6" x14ac:dyDescent="0.25">
      <c r="A3303" t="s">
        <v>12593</v>
      </c>
      <c r="B3303" t="s">
        <v>12594</v>
      </c>
      <c r="C3303" t="s">
        <v>486</v>
      </c>
      <c r="D3303" t="s">
        <v>450</v>
      </c>
      <c r="E3303" t="s">
        <v>271</v>
      </c>
      <c r="F3303" t="s">
        <v>326</v>
      </c>
    </row>
    <row r="3304" spans="1:6" x14ac:dyDescent="0.25">
      <c r="A3304" t="s">
        <v>12595</v>
      </c>
      <c r="B3304" t="s">
        <v>12596</v>
      </c>
      <c r="C3304" t="s">
        <v>12597</v>
      </c>
      <c r="D3304" t="s">
        <v>817</v>
      </c>
      <c r="E3304" t="s">
        <v>271</v>
      </c>
      <c r="F3304" t="s">
        <v>816</v>
      </c>
    </row>
    <row r="3305" spans="1:6" x14ac:dyDescent="0.25">
      <c r="A3305" t="s">
        <v>12598</v>
      </c>
      <c r="B3305" t="s">
        <v>12599</v>
      </c>
      <c r="C3305" t="s">
        <v>12600</v>
      </c>
      <c r="D3305" t="s">
        <v>469</v>
      </c>
      <c r="E3305" t="s">
        <v>271</v>
      </c>
      <c r="F3305" t="s">
        <v>470</v>
      </c>
    </row>
    <row r="3306" spans="1:6" x14ac:dyDescent="0.25">
      <c r="A3306" t="s">
        <v>12601</v>
      </c>
      <c r="B3306" t="s">
        <v>12602</v>
      </c>
      <c r="C3306" t="s">
        <v>12603</v>
      </c>
      <c r="D3306" t="s">
        <v>0</v>
      </c>
      <c r="E3306" t="s">
        <v>271</v>
      </c>
      <c r="F3306" t="s">
        <v>531</v>
      </c>
    </row>
    <row r="3307" spans="1:6" x14ac:dyDescent="0.25">
      <c r="A3307" t="s">
        <v>3472</v>
      </c>
      <c r="B3307" t="s">
        <v>3473</v>
      </c>
      <c r="C3307" t="s">
        <v>3474</v>
      </c>
      <c r="D3307" t="s">
        <v>0</v>
      </c>
      <c r="E3307" t="s">
        <v>271</v>
      </c>
      <c r="F3307" t="s">
        <v>325</v>
      </c>
    </row>
    <row r="3308" spans="1:6" x14ac:dyDescent="0.25">
      <c r="A3308" t="s">
        <v>12604</v>
      </c>
      <c r="B3308" t="s">
        <v>12605</v>
      </c>
      <c r="C3308" t="s">
        <v>12606</v>
      </c>
      <c r="D3308" t="s">
        <v>1609</v>
      </c>
      <c r="E3308" t="s">
        <v>271</v>
      </c>
      <c r="F3308" t="s">
        <v>1608</v>
      </c>
    </row>
    <row r="3309" spans="1:6" x14ac:dyDescent="0.25">
      <c r="A3309" t="s">
        <v>1975</v>
      </c>
      <c r="B3309" t="s">
        <v>1976</v>
      </c>
      <c r="C3309" t="s">
        <v>1978</v>
      </c>
      <c r="D3309" t="s">
        <v>1977</v>
      </c>
      <c r="E3309" t="s">
        <v>271</v>
      </c>
      <c r="F3309" t="s">
        <v>428</v>
      </c>
    </row>
    <row r="3310" spans="1:6" x14ac:dyDescent="0.25">
      <c r="A3310" t="s">
        <v>2942</v>
      </c>
      <c r="B3310" t="s">
        <v>2943</v>
      </c>
      <c r="C3310" t="s">
        <v>2944</v>
      </c>
      <c r="D3310" t="s">
        <v>8</v>
      </c>
      <c r="E3310" t="s">
        <v>271</v>
      </c>
      <c r="F3310" t="s">
        <v>753</v>
      </c>
    </row>
    <row r="3311" spans="1:6" x14ac:dyDescent="0.25">
      <c r="A3311" t="s">
        <v>12607</v>
      </c>
      <c r="B3311" t="s">
        <v>12608</v>
      </c>
      <c r="C3311" t="s">
        <v>12609</v>
      </c>
      <c r="D3311" t="s">
        <v>492</v>
      </c>
      <c r="E3311" t="s">
        <v>271</v>
      </c>
      <c r="F3311" t="s">
        <v>493</v>
      </c>
    </row>
    <row r="3312" spans="1:6" x14ac:dyDescent="0.25">
      <c r="A3312" t="s">
        <v>12610</v>
      </c>
      <c r="B3312" t="s">
        <v>12611</v>
      </c>
      <c r="C3312" t="s">
        <v>12612</v>
      </c>
      <c r="D3312" t="s">
        <v>0</v>
      </c>
      <c r="E3312" t="s">
        <v>271</v>
      </c>
      <c r="F3312" t="s">
        <v>323</v>
      </c>
    </row>
    <row r="3313" spans="1:6" x14ac:dyDescent="0.25">
      <c r="A3313" t="s">
        <v>12613</v>
      </c>
      <c r="B3313" t="s">
        <v>12614</v>
      </c>
      <c r="C3313" t="s">
        <v>12615</v>
      </c>
      <c r="D3313" t="s">
        <v>362</v>
      </c>
      <c r="E3313" t="s">
        <v>265</v>
      </c>
      <c r="F3313" t="s">
        <v>12616</v>
      </c>
    </row>
    <row r="3314" spans="1:6" x14ac:dyDescent="0.25">
      <c r="A3314" t="s">
        <v>12617</v>
      </c>
      <c r="B3314" t="s">
        <v>12618</v>
      </c>
      <c r="C3314" t="s">
        <v>12619</v>
      </c>
      <c r="D3314" t="s">
        <v>278</v>
      </c>
      <c r="E3314" t="s">
        <v>271</v>
      </c>
      <c r="F3314" t="s">
        <v>512</v>
      </c>
    </row>
    <row r="3315" spans="1:6" x14ac:dyDescent="0.25">
      <c r="A3315" t="s">
        <v>12620</v>
      </c>
      <c r="B3315" t="s">
        <v>9964</v>
      </c>
      <c r="C3315" t="s">
        <v>9965</v>
      </c>
      <c r="D3315" t="s">
        <v>986</v>
      </c>
      <c r="E3315" t="s">
        <v>271</v>
      </c>
      <c r="F3315" t="s">
        <v>985</v>
      </c>
    </row>
    <row r="3316" spans="1:6" x14ac:dyDescent="0.25">
      <c r="A3316" t="s">
        <v>12621</v>
      </c>
      <c r="B3316" t="s">
        <v>12622</v>
      </c>
      <c r="C3316" t="s">
        <v>12623</v>
      </c>
      <c r="D3316" t="s">
        <v>4089</v>
      </c>
      <c r="E3316" t="s">
        <v>271</v>
      </c>
      <c r="F3316" t="s">
        <v>480</v>
      </c>
    </row>
    <row r="3317" spans="1:6" x14ac:dyDescent="0.25">
      <c r="A3317" t="s">
        <v>12624</v>
      </c>
      <c r="B3317" t="s">
        <v>12625</v>
      </c>
      <c r="C3317" t="s">
        <v>12626</v>
      </c>
      <c r="D3317" t="s">
        <v>1848</v>
      </c>
      <c r="E3317" t="s">
        <v>269</v>
      </c>
      <c r="F3317" t="s">
        <v>1847</v>
      </c>
    </row>
    <row r="3318" spans="1:6" x14ac:dyDescent="0.25">
      <c r="A3318" t="s">
        <v>1845</v>
      </c>
      <c r="B3318" t="s">
        <v>1846</v>
      </c>
      <c r="C3318" t="s">
        <v>1849</v>
      </c>
      <c r="D3318" t="s">
        <v>1848</v>
      </c>
      <c r="E3318" t="s">
        <v>269</v>
      </c>
      <c r="F3318" t="s">
        <v>1847</v>
      </c>
    </row>
    <row r="3319" spans="1:6" x14ac:dyDescent="0.25">
      <c r="A3319" t="s">
        <v>12627</v>
      </c>
      <c r="B3319" t="s">
        <v>12628</v>
      </c>
      <c r="C3319" t="s">
        <v>12629</v>
      </c>
      <c r="D3319" t="s">
        <v>0</v>
      </c>
      <c r="E3319" t="s">
        <v>271</v>
      </c>
      <c r="F3319" t="s">
        <v>809</v>
      </c>
    </row>
    <row r="3320" spans="1:6" x14ac:dyDescent="0.25">
      <c r="A3320" t="s">
        <v>12630</v>
      </c>
      <c r="B3320" t="s">
        <v>12631</v>
      </c>
      <c r="C3320" t="s">
        <v>12632</v>
      </c>
      <c r="D3320" t="s">
        <v>2009</v>
      </c>
      <c r="E3320" t="s">
        <v>271</v>
      </c>
      <c r="F3320" t="s">
        <v>2008</v>
      </c>
    </row>
    <row r="3321" spans="1:6" x14ac:dyDescent="0.25">
      <c r="A3321" t="s">
        <v>12633</v>
      </c>
      <c r="B3321" t="s">
        <v>12634</v>
      </c>
      <c r="C3321" t="s">
        <v>12635</v>
      </c>
      <c r="D3321" t="s">
        <v>1186</v>
      </c>
      <c r="E3321" t="s">
        <v>271</v>
      </c>
      <c r="F3321" t="s">
        <v>1185</v>
      </c>
    </row>
    <row r="3322" spans="1:6" x14ac:dyDescent="0.25">
      <c r="A3322" t="s">
        <v>1123</v>
      </c>
      <c r="B3322" t="s">
        <v>1124</v>
      </c>
      <c r="C3322" t="s">
        <v>1127</v>
      </c>
      <c r="D3322" t="s">
        <v>1126</v>
      </c>
      <c r="E3322" t="s">
        <v>271</v>
      </c>
      <c r="F3322" t="s">
        <v>1125</v>
      </c>
    </row>
    <row r="3323" spans="1:6" x14ac:dyDescent="0.25">
      <c r="A3323" t="s">
        <v>1696</v>
      </c>
      <c r="B3323" t="s">
        <v>1697</v>
      </c>
      <c r="C3323" t="s">
        <v>1698</v>
      </c>
      <c r="D3323" t="s">
        <v>578</v>
      </c>
      <c r="E3323" t="s">
        <v>271</v>
      </c>
      <c r="F3323" t="s">
        <v>321</v>
      </c>
    </row>
    <row r="3324" spans="1:6" x14ac:dyDescent="0.25">
      <c r="A3324" t="s">
        <v>12636</v>
      </c>
      <c r="B3324" t="s">
        <v>12637</v>
      </c>
      <c r="C3324" t="s">
        <v>12638</v>
      </c>
      <c r="D3324" t="s">
        <v>0</v>
      </c>
      <c r="E3324" t="s">
        <v>271</v>
      </c>
      <c r="F3324" t="s">
        <v>881</v>
      </c>
    </row>
    <row r="3325" spans="1:6" x14ac:dyDescent="0.25">
      <c r="A3325" t="s">
        <v>12639</v>
      </c>
      <c r="B3325" t="s">
        <v>12640</v>
      </c>
      <c r="C3325" t="s">
        <v>12641</v>
      </c>
      <c r="D3325" t="s">
        <v>0</v>
      </c>
      <c r="E3325" t="s">
        <v>271</v>
      </c>
      <c r="F3325" t="s">
        <v>575</v>
      </c>
    </row>
    <row r="3326" spans="1:6" x14ac:dyDescent="0.25">
      <c r="A3326" t="s">
        <v>12642</v>
      </c>
      <c r="B3326" t="s">
        <v>12643</v>
      </c>
      <c r="C3326" t="s">
        <v>12644</v>
      </c>
      <c r="D3326" t="s">
        <v>312</v>
      </c>
      <c r="E3326" t="s">
        <v>271</v>
      </c>
      <c r="F3326" t="s">
        <v>311</v>
      </c>
    </row>
    <row r="3327" spans="1:6" x14ac:dyDescent="0.25">
      <c r="A3327" t="s">
        <v>12645</v>
      </c>
      <c r="B3327" t="s">
        <v>12646</v>
      </c>
      <c r="C3327" t="s">
        <v>12647</v>
      </c>
      <c r="D3327" t="s">
        <v>2404</v>
      </c>
      <c r="E3327" t="s">
        <v>269</v>
      </c>
      <c r="F3327" t="s">
        <v>2403</v>
      </c>
    </row>
    <row r="3328" spans="1:6" x14ac:dyDescent="0.25">
      <c r="A3328" t="s">
        <v>12648</v>
      </c>
      <c r="B3328" t="s">
        <v>12649</v>
      </c>
      <c r="C3328" t="s">
        <v>12650</v>
      </c>
      <c r="D3328" t="s">
        <v>1165</v>
      </c>
      <c r="E3328" t="s">
        <v>271</v>
      </c>
      <c r="F3328" t="s">
        <v>1402</v>
      </c>
    </row>
    <row r="3329" spans="1:6" x14ac:dyDescent="0.25">
      <c r="A3329" t="s">
        <v>12651</v>
      </c>
      <c r="B3329" t="s">
        <v>12652</v>
      </c>
      <c r="C3329" t="s">
        <v>8136</v>
      </c>
      <c r="D3329" t="s">
        <v>0</v>
      </c>
      <c r="E3329" t="s">
        <v>271</v>
      </c>
      <c r="F3329" t="s">
        <v>575</v>
      </c>
    </row>
    <row r="3330" spans="1:6" x14ac:dyDescent="0.25">
      <c r="A3330" t="s">
        <v>12653</v>
      </c>
      <c r="B3330" t="s">
        <v>12654</v>
      </c>
      <c r="C3330" t="s">
        <v>5342</v>
      </c>
      <c r="D3330" t="s">
        <v>222</v>
      </c>
      <c r="E3330" t="s">
        <v>271</v>
      </c>
      <c r="F3330" t="s">
        <v>313</v>
      </c>
    </row>
    <row r="3331" spans="1:6" x14ac:dyDescent="0.25">
      <c r="A3331" t="s">
        <v>1550</v>
      </c>
      <c r="B3331" t="s">
        <v>1551</v>
      </c>
      <c r="C3331" t="s">
        <v>1552</v>
      </c>
      <c r="D3331" t="s">
        <v>0</v>
      </c>
      <c r="E3331" t="s">
        <v>271</v>
      </c>
      <c r="F3331" t="s">
        <v>356</v>
      </c>
    </row>
    <row r="3332" spans="1:6" x14ac:dyDescent="0.25">
      <c r="A3332" t="s">
        <v>12655</v>
      </c>
      <c r="B3332" t="s">
        <v>12656</v>
      </c>
      <c r="C3332" t="s">
        <v>12657</v>
      </c>
      <c r="D3332" t="s">
        <v>2681</v>
      </c>
      <c r="E3332" t="s">
        <v>271</v>
      </c>
      <c r="F3332" t="s">
        <v>2680</v>
      </c>
    </row>
    <row r="3333" spans="1:6" x14ac:dyDescent="0.25">
      <c r="A3333" t="s">
        <v>12658</v>
      </c>
      <c r="B3333" t="s">
        <v>12659</v>
      </c>
      <c r="C3333" t="s">
        <v>12660</v>
      </c>
      <c r="D3333" t="s">
        <v>0</v>
      </c>
      <c r="E3333" t="s">
        <v>271</v>
      </c>
      <c r="F3333" t="s">
        <v>355</v>
      </c>
    </row>
    <row r="3334" spans="1:6" x14ac:dyDescent="0.25">
      <c r="A3334" t="s">
        <v>12661</v>
      </c>
      <c r="B3334" t="s">
        <v>12662</v>
      </c>
      <c r="C3334" t="s">
        <v>12663</v>
      </c>
      <c r="D3334" t="s">
        <v>7027</v>
      </c>
      <c r="E3334" t="s">
        <v>271</v>
      </c>
      <c r="F3334" t="s">
        <v>4384</v>
      </c>
    </row>
    <row r="3335" spans="1:6" x14ac:dyDescent="0.25">
      <c r="A3335" t="s">
        <v>12664</v>
      </c>
      <c r="B3335" t="s">
        <v>12665</v>
      </c>
      <c r="C3335" t="s">
        <v>12666</v>
      </c>
      <c r="D3335" t="s">
        <v>556</v>
      </c>
      <c r="E3335" t="s">
        <v>271</v>
      </c>
      <c r="F3335" t="s">
        <v>1567</v>
      </c>
    </row>
    <row r="3336" spans="1:6" x14ac:dyDescent="0.25">
      <c r="A3336" t="s">
        <v>12667</v>
      </c>
      <c r="B3336" t="s">
        <v>6915</v>
      </c>
      <c r="C3336" t="s">
        <v>6916</v>
      </c>
      <c r="D3336" t="s">
        <v>0</v>
      </c>
      <c r="E3336" t="s">
        <v>271</v>
      </c>
      <c r="F3336" t="s">
        <v>881</v>
      </c>
    </row>
    <row r="3337" spans="1:6" x14ac:dyDescent="0.25">
      <c r="A3337" t="s">
        <v>12668</v>
      </c>
      <c r="B3337" t="s">
        <v>12669</v>
      </c>
      <c r="C3337" t="s">
        <v>12670</v>
      </c>
      <c r="D3337" t="s">
        <v>0</v>
      </c>
      <c r="E3337" t="s">
        <v>271</v>
      </c>
      <c r="F3337" t="s">
        <v>436</v>
      </c>
    </row>
    <row r="3338" spans="1:6" x14ac:dyDescent="0.25">
      <c r="A3338" t="s">
        <v>12671</v>
      </c>
      <c r="B3338" t="s">
        <v>12672</v>
      </c>
      <c r="C3338" t="s">
        <v>2921</v>
      </c>
      <c r="D3338" t="s">
        <v>0</v>
      </c>
      <c r="E3338" t="s">
        <v>271</v>
      </c>
      <c r="F3338" t="s">
        <v>688</v>
      </c>
    </row>
    <row r="3339" spans="1:6" x14ac:dyDescent="0.25">
      <c r="A3339" t="s">
        <v>12673</v>
      </c>
      <c r="B3339" t="s">
        <v>12674</v>
      </c>
      <c r="C3339" t="s">
        <v>12675</v>
      </c>
      <c r="D3339" t="s">
        <v>498</v>
      </c>
      <c r="E3339" t="s">
        <v>271</v>
      </c>
      <c r="F3339" t="s">
        <v>499</v>
      </c>
    </row>
    <row r="3340" spans="1:6" x14ac:dyDescent="0.25">
      <c r="A3340" t="s">
        <v>3607</v>
      </c>
      <c r="B3340" t="s">
        <v>3608</v>
      </c>
      <c r="C3340" t="s">
        <v>3609</v>
      </c>
      <c r="D3340" t="s">
        <v>1165</v>
      </c>
      <c r="E3340" t="s">
        <v>271</v>
      </c>
      <c r="F3340" t="s">
        <v>1164</v>
      </c>
    </row>
    <row r="3341" spans="1:6" x14ac:dyDescent="0.25">
      <c r="A3341" t="s">
        <v>12676</v>
      </c>
      <c r="B3341" t="s">
        <v>12677</v>
      </c>
      <c r="C3341" t="s">
        <v>12678</v>
      </c>
      <c r="D3341" t="s">
        <v>0</v>
      </c>
      <c r="E3341" t="s">
        <v>271</v>
      </c>
      <c r="F3341" t="s">
        <v>1011</v>
      </c>
    </row>
    <row r="3342" spans="1:6" x14ac:dyDescent="0.25">
      <c r="A3342" t="s">
        <v>12679</v>
      </c>
      <c r="B3342" t="s">
        <v>12680</v>
      </c>
      <c r="C3342" t="s">
        <v>12681</v>
      </c>
      <c r="D3342" t="s">
        <v>12682</v>
      </c>
      <c r="E3342" t="s">
        <v>271</v>
      </c>
      <c r="F3342" t="s">
        <v>325</v>
      </c>
    </row>
    <row r="3343" spans="1:6" x14ac:dyDescent="0.25">
      <c r="A3343" t="s">
        <v>3616</v>
      </c>
      <c r="B3343" t="s">
        <v>3617</v>
      </c>
      <c r="C3343" t="s">
        <v>3618</v>
      </c>
      <c r="D3343" t="s">
        <v>363</v>
      </c>
      <c r="E3343" t="s">
        <v>271</v>
      </c>
      <c r="F3343" t="s">
        <v>364</v>
      </c>
    </row>
    <row r="3344" spans="1:6" x14ac:dyDescent="0.25">
      <c r="A3344" t="s">
        <v>12683</v>
      </c>
      <c r="B3344" t="s">
        <v>12684</v>
      </c>
      <c r="C3344" t="s">
        <v>12685</v>
      </c>
      <c r="D3344" t="s">
        <v>0</v>
      </c>
      <c r="E3344" t="s">
        <v>271</v>
      </c>
      <c r="F3344" t="s">
        <v>809</v>
      </c>
    </row>
    <row r="3345" spans="1:6" x14ac:dyDescent="0.25">
      <c r="A3345" t="s">
        <v>12686</v>
      </c>
      <c r="B3345" t="s">
        <v>12687</v>
      </c>
      <c r="C3345" t="s">
        <v>12688</v>
      </c>
      <c r="D3345" t="s">
        <v>1303</v>
      </c>
      <c r="E3345" t="s">
        <v>269</v>
      </c>
      <c r="F3345" t="s">
        <v>1302</v>
      </c>
    </row>
    <row r="3346" spans="1:6" x14ac:dyDescent="0.25">
      <c r="A3346" t="s">
        <v>12689</v>
      </c>
      <c r="B3346" t="s">
        <v>12690</v>
      </c>
      <c r="C3346" t="s">
        <v>12691</v>
      </c>
      <c r="D3346" t="s">
        <v>610</v>
      </c>
      <c r="E3346" t="s">
        <v>271</v>
      </c>
      <c r="F3346" t="s">
        <v>611</v>
      </c>
    </row>
    <row r="3347" spans="1:6" x14ac:dyDescent="0.25">
      <c r="A3347" t="s">
        <v>12692</v>
      </c>
      <c r="B3347" t="s">
        <v>12693</v>
      </c>
      <c r="C3347" t="s">
        <v>12694</v>
      </c>
      <c r="D3347" t="s">
        <v>2058</v>
      </c>
      <c r="E3347" t="s">
        <v>271</v>
      </c>
      <c r="F3347" t="s">
        <v>2057</v>
      </c>
    </row>
    <row r="3348" spans="1:6" x14ac:dyDescent="0.25">
      <c r="A3348" t="s">
        <v>12695</v>
      </c>
      <c r="B3348" t="s">
        <v>12696</v>
      </c>
      <c r="C3348" t="s">
        <v>12697</v>
      </c>
      <c r="D3348" t="s">
        <v>1542</v>
      </c>
      <c r="E3348" t="s">
        <v>269</v>
      </c>
      <c r="F3348" t="s">
        <v>1541</v>
      </c>
    </row>
    <row r="3349" spans="1:6" x14ac:dyDescent="0.25">
      <c r="A3349" t="s">
        <v>12698</v>
      </c>
      <c r="B3349" t="s">
        <v>12699</v>
      </c>
      <c r="C3349" t="s">
        <v>12700</v>
      </c>
      <c r="D3349" t="s">
        <v>0</v>
      </c>
      <c r="E3349" t="s">
        <v>271</v>
      </c>
      <c r="F3349" t="s">
        <v>355</v>
      </c>
    </row>
    <row r="3350" spans="1:6" x14ac:dyDescent="0.25">
      <c r="A3350" t="s">
        <v>12701</v>
      </c>
      <c r="B3350" t="s">
        <v>12702</v>
      </c>
      <c r="C3350" t="s">
        <v>4059</v>
      </c>
      <c r="D3350" t="s">
        <v>282</v>
      </c>
      <c r="E3350" t="s">
        <v>271</v>
      </c>
      <c r="F3350" t="s">
        <v>1191</v>
      </c>
    </row>
    <row r="3351" spans="1:6" x14ac:dyDescent="0.25">
      <c r="A3351" t="s">
        <v>12703</v>
      </c>
      <c r="B3351" t="s">
        <v>12704</v>
      </c>
      <c r="C3351" t="s">
        <v>12705</v>
      </c>
      <c r="D3351" t="s">
        <v>1297</v>
      </c>
      <c r="E3351" t="s">
        <v>271</v>
      </c>
      <c r="F3351" t="s">
        <v>996</v>
      </c>
    </row>
    <row r="3352" spans="1:6" x14ac:dyDescent="0.25">
      <c r="A3352" t="s">
        <v>1150</v>
      </c>
      <c r="B3352" t="s">
        <v>1151</v>
      </c>
      <c r="C3352" t="s">
        <v>1153</v>
      </c>
      <c r="D3352" t="s">
        <v>0</v>
      </c>
      <c r="E3352" t="s">
        <v>271</v>
      </c>
      <c r="F3352" t="s">
        <v>1152</v>
      </c>
    </row>
    <row r="3353" spans="1:6" x14ac:dyDescent="0.25">
      <c r="A3353" t="s">
        <v>12706</v>
      </c>
      <c r="B3353" t="s">
        <v>12707</v>
      </c>
      <c r="C3353" t="s">
        <v>12708</v>
      </c>
      <c r="D3353" t="s">
        <v>598</v>
      </c>
      <c r="E3353" t="s">
        <v>271</v>
      </c>
      <c r="F3353" t="s">
        <v>599</v>
      </c>
    </row>
    <row r="3354" spans="1:6" x14ac:dyDescent="0.25">
      <c r="A3354" t="s">
        <v>12709</v>
      </c>
      <c r="B3354" t="s">
        <v>12710</v>
      </c>
      <c r="C3354" t="s">
        <v>12711</v>
      </c>
      <c r="D3354" t="s">
        <v>3002</v>
      </c>
      <c r="E3354" t="s">
        <v>269</v>
      </c>
      <c r="F3354" t="s">
        <v>3001</v>
      </c>
    </row>
    <row r="3355" spans="1:6" x14ac:dyDescent="0.25">
      <c r="A3355" t="s">
        <v>2725</v>
      </c>
      <c r="B3355" t="s">
        <v>2726</v>
      </c>
      <c r="C3355" t="s">
        <v>2727</v>
      </c>
      <c r="D3355" t="s">
        <v>2009</v>
      </c>
      <c r="E3355" t="s">
        <v>271</v>
      </c>
      <c r="F3355" t="s">
        <v>2008</v>
      </c>
    </row>
    <row r="3356" spans="1:6" x14ac:dyDescent="0.25">
      <c r="A3356" t="s">
        <v>12712</v>
      </c>
      <c r="B3356" t="s">
        <v>12713</v>
      </c>
      <c r="C3356" t="s">
        <v>12714</v>
      </c>
      <c r="D3356" t="s">
        <v>0</v>
      </c>
      <c r="E3356" t="s">
        <v>271</v>
      </c>
      <c r="F3356" t="s">
        <v>881</v>
      </c>
    </row>
    <row r="3357" spans="1:6" x14ac:dyDescent="0.25">
      <c r="A3357" t="s">
        <v>12715</v>
      </c>
      <c r="B3357" t="s">
        <v>12716</v>
      </c>
      <c r="C3357" t="s">
        <v>12717</v>
      </c>
      <c r="D3357" t="s">
        <v>0</v>
      </c>
      <c r="E3357" t="s">
        <v>271</v>
      </c>
      <c r="F3357" t="s">
        <v>593</v>
      </c>
    </row>
    <row r="3358" spans="1:6" x14ac:dyDescent="0.25">
      <c r="A3358" t="s">
        <v>12718</v>
      </c>
      <c r="B3358" t="s">
        <v>12719</v>
      </c>
      <c r="C3358" t="s">
        <v>12720</v>
      </c>
      <c r="D3358" t="s">
        <v>361</v>
      </c>
      <c r="E3358" t="s">
        <v>271</v>
      </c>
      <c r="F3358" t="s">
        <v>1563</v>
      </c>
    </row>
    <row r="3359" spans="1:6" x14ac:dyDescent="0.25">
      <c r="A3359" t="s">
        <v>12721</v>
      </c>
      <c r="B3359" t="s">
        <v>12722</v>
      </c>
      <c r="C3359" t="s">
        <v>12723</v>
      </c>
      <c r="D3359" t="s">
        <v>272</v>
      </c>
      <c r="E3359" t="s">
        <v>269</v>
      </c>
      <c r="F3359" t="s">
        <v>907</v>
      </c>
    </row>
    <row r="3360" spans="1:6" x14ac:dyDescent="0.25">
      <c r="A3360" t="s">
        <v>12724</v>
      </c>
      <c r="B3360" t="s">
        <v>12725</v>
      </c>
      <c r="C3360" t="s">
        <v>12726</v>
      </c>
      <c r="D3360" t="s">
        <v>0</v>
      </c>
      <c r="E3360" t="s">
        <v>271</v>
      </c>
      <c r="F3360" t="s">
        <v>658</v>
      </c>
    </row>
    <row r="3361" spans="1:6" x14ac:dyDescent="0.25">
      <c r="A3361" t="s">
        <v>3173</v>
      </c>
      <c r="B3361" t="s">
        <v>3174</v>
      </c>
      <c r="C3361" t="s">
        <v>3175</v>
      </c>
      <c r="D3361" t="s">
        <v>1239</v>
      </c>
      <c r="E3361" t="s">
        <v>271</v>
      </c>
      <c r="F3361" t="s">
        <v>1238</v>
      </c>
    </row>
    <row r="3362" spans="1:6" x14ac:dyDescent="0.25">
      <c r="A3362" t="s">
        <v>12727</v>
      </c>
      <c r="B3362" t="s">
        <v>12728</v>
      </c>
      <c r="C3362" t="s">
        <v>12729</v>
      </c>
      <c r="D3362" t="s">
        <v>556</v>
      </c>
      <c r="E3362" t="s">
        <v>271</v>
      </c>
      <c r="F3362" t="s">
        <v>1567</v>
      </c>
    </row>
    <row r="3363" spans="1:6" x14ac:dyDescent="0.25">
      <c r="A3363" t="s">
        <v>12730</v>
      </c>
      <c r="B3363" t="s">
        <v>10009</v>
      </c>
      <c r="C3363" t="s">
        <v>10010</v>
      </c>
      <c r="D3363" t="s">
        <v>0</v>
      </c>
      <c r="E3363" t="s">
        <v>271</v>
      </c>
      <c r="F3363" t="s">
        <v>726</v>
      </c>
    </row>
    <row r="3364" spans="1:6" x14ac:dyDescent="0.25">
      <c r="A3364" t="s">
        <v>12731</v>
      </c>
      <c r="B3364" t="s">
        <v>12732</v>
      </c>
      <c r="C3364" t="s">
        <v>12733</v>
      </c>
      <c r="D3364" t="s">
        <v>357</v>
      </c>
      <c r="E3364" t="s">
        <v>271</v>
      </c>
      <c r="F3364" t="s">
        <v>452</v>
      </c>
    </row>
    <row r="3365" spans="1:6" x14ac:dyDescent="0.25">
      <c r="A3365" t="s">
        <v>1589</v>
      </c>
      <c r="B3365" t="s">
        <v>1590</v>
      </c>
      <c r="C3365" t="s">
        <v>1592</v>
      </c>
      <c r="D3365" t="s">
        <v>0</v>
      </c>
      <c r="E3365" t="s">
        <v>271</v>
      </c>
      <c r="F3365" t="s">
        <v>1591</v>
      </c>
    </row>
    <row r="3366" spans="1:6" x14ac:dyDescent="0.25">
      <c r="A3366" t="s">
        <v>1673</v>
      </c>
      <c r="B3366" t="s">
        <v>1674</v>
      </c>
      <c r="C3366" t="s">
        <v>1675</v>
      </c>
      <c r="D3366" t="s">
        <v>0</v>
      </c>
      <c r="E3366" t="s">
        <v>271</v>
      </c>
      <c r="F3366" t="s">
        <v>332</v>
      </c>
    </row>
    <row r="3367" spans="1:6" x14ac:dyDescent="0.25">
      <c r="A3367" t="s">
        <v>12734</v>
      </c>
      <c r="B3367" t="s">
        <v>597</v>
      </c>
      <c r="C3367" t="s">
        <v>12735</v>
      </c>
      <c r="D3367" t="s">
        <v>0</v>
      </c>
      <c r="E3367" t="s">
        <v>271</v>
      </c>
      <c r="F3367" t="s">
        <v>1011</v>
      </c>
    </row>
    <row r="3368" spans="1:6" x14ac:dyDescent="0.25">
      <c r="A3368" t="s">
        <v>12736</v>
      </c>
      <c r="B3368" t="s">
        <v>12737</v>
      </c>
      <c r="C3368" t="s">
        <v>12738</v>
      </c>
      <c r="D3368" t="s">
        <v>0</v>
      </c>
      <c r="E3368" t="s">
        <v>271</v>
      </c>
      <c r="F3368" t="s">
        <v>325</v>
      </c>
    </row>
    <row r="3369" spans="1:6" x14ac:dyDescent="0.25">
      <c r="A3369" t="s">
        <v>12739</v>
      </c>
      <c r="B3369" t="s">
        <v>615</v>
      </c>
      <c r="C3369" t="s">
        <v>12740</v>
      </c>
      <c r="D3369" t="s">
        <v>817</v>
      </c>
      <c r="E3369" t="s">
        <v>271</v>
      </c>
      <c r="F3369" t="s">
        <v>816</v>
      </c>
    </row>
    <row r="3370" spans="1:6" x14ac:dyDescent="0.25">
      <c r="A3370" t="s">
        <v>12741</v>
      </c>
      <c r="B3370" t="s">
        <v>12742</v>
      </c>
      <c r="C3370" t="s">
        <v>12743</v>
      </c>
      <c r="D3370" t="s">
        <v>793</v>
      </c>
      <c r="E3370" t="s">
        <v>271</v>
      </c>
      <c r="F3370" t="s">
        <v>792</v>
      </c>
    </row>
    <row r="3371" spans="1:6" x14ac:dyDescent="0.25">
      <c r="A3371" t="s">
        <v>12744</v>
      </c>
      <c r="B3371" t="s">
        <v>12745</v>
      </c>
      <c r="C3371" t="s">
        <v>1258</v>
      </c>
      <c r="D3371" t="s">
        <v>0</v>
      </c>
      <c r="E3371" t="s">
        <v>271</v>
      </c>
      <c r="F3371" t="s">
        <v>562</v>
      </c>
    </row>
    <row r="3372" spans="1:6" x14ac:dyDescent="0.25">
      <c r="A3372" t="s">
        <v>12746</v>
      </c>
      <c r="B3372" t="s">
        <v>12747</v>
      </c>
      <c r="C3372" t="s">
        <v>12748</v>
      </c>
      <c r="D3372" t="s">
        <v>5591</v>
      </c>
      <c r="E3372" t="s">
        <v>269</v>
      </c>
      <c r="F3372" t="s">
        <v>1742</v>
      </c>
    </row>
    <row r="3373" spans="1:6" x14ac:dyDescent="0.25">
      <c r="A3373" t="s">
        <v>12749</v>
      </c>
      <c r="B3373" t="s">
        <v>12750</v>
      </c>
      <c r="C3373" t="s">
        <v>12751</v>
      </c>
      <c r="D3373" t="s">
        <v>0</v>
      </c>
      <c r="E3373" t="s">
        <v>271</v>
      </c>
      <c r="F3373" t="s">
        <v>881</v>
      </c>
    </row>
    <row r="3374" spans="1:6" x14ac:dyDescent="0.25">
      <c r="A3374" t="s">
        <v>12752</v>
      </c>
      <c r="B3374" t="s">
        <v>603</v>
      </c>
      <c r="C3374" t="s">
        <v>5210</v>
      </c>
      <c r="D3374" t="s">
        <v>540</v>
      </c>
      <c r="E3374" t="s">
        <v>271</v>
      </c>
      <c r="F3374" t="s">
        <v>339</v>
      </c>
    </row>
    <row r="3375" spans="1:6" x14ac:dyDescent="0.25">
      <c r="A3375" t="s">
        <v>12753</v>
      </c>
      <c r="B3375" t="s">
        <v>12754</v>
      </c>
      <c r="C3375" t="s">
        <v>12755</v>
      </c>
      <c r="D3375" t="s">
        <v>363</v>
      </c>
      <c r="E3375" t="s">
        <v>271</v>
      </c>
      <c r="F3375" t="s">
        <v>4410</v>
      </c>
    </row>
    <row r="3376" spans="1:6" x14ac:dyDescent="0.25">
      <c r="A3376" t="s">
        <v>12756</v>
      </c>
      <c r="B3376" t="s">
        <v>12757</v>
      </c>
      <c r="C3376" t="s">
        <v>12758</v>
      </c>
      <c r="D3376" t="s">
        <v>1915</v>
      </c>
      <c r="E3376" t="s">
        <v>269</v>
      </c>
      <c r="F3376" t="s">
        <v>1914</v>
      </c>
    </row>
    <row r="3377" spans="1:6" x14ac:dyDescent="0.25">
      <c r="A3377" t="s">
        <v>12759</v>
      </c>
      <c r="B3377" t="s">
        <v>12760</v>
      </c>
      <c r="C3377" t="s">
        <v>12761</v>
      </c>
      <c r="D3377" t="s">
        <v>0</v>
      </c>
      <c r="E3377" t="s">
        <v>271</v>
      </c>
      <c r="F3377" t="s">
        <v>1011</v>
      </c>
    </row>
    <row r="3378" spans="1:6" x14ac:dyDescent="0.25">
      <c r="A3378" t="s">
        <v>12762</v>
      </c>
      <c r="B3378" t="s">
        <v>12763</v>
      </c>
      <c r="C3378" t="s">
        <v>12764</v>
      </c>
      <c r="D3378" t="s">
        <v>0</v>
      </c>
      <c r="E3378" t="s">
        <v>271</v>
      </c>
      <c r="F3378" t="s">
        <v>1679</v>
      </c>
    </row>
    <row r="3379" spans="1:6" x14ac:dyDescent="0.25">
      <c r="A3379" t="s">
        <v>12765</v>
      </c>
      <c r="B3379" t="s">
        <v>12766</v>
      </c>
      <c r="C3379" t="s">
        <v>12767</v>
      </c>
      <c r="D3379" t="s">
        <v>0</v>
      </c>
      <c r="E3379" t="s">
        <v>271</v>
      </c>
      <c r="F3379" t="s">
        <v>1115</v>
      </c>
    </row>
    <row r="3380" spans="1:6" x14ac:dyDescent="0.25">
      <c r="A3380" t="s">
        <v>2240</v>
      </c>
      <c r="B3380" t="s">
        <v>2241</v>
      </c>
      <c r="C3380" t="s">
        <v>2244</v>
      </c>
      <c r="D3380" t="s">
        <v>1601</v>
      </c>
      <c r="E3380" t="s">
        <v>269</v>
      </c>
      <c r="F3380" t="s">
        <v>2243</v>
      </c>
    </row>
    <row r="3381" spans="1:6" x14ac:dyDescent="0.25">
      <c r="A3381" t="s">
        <v>12768</v>
      </c>
      <c r="B3381" t="s">
        <v>12769</v>
      </c>
      <c r="C3381" t="s">
        <v>12770</v>
      </c>
      <c r="D3381" t="s">
        <v>282</v>
      </c>
      <c r="E3381" t="s">
        <v>271</v>
      </c>
      <c r="F3381" t="s">
        <v>1191</v>
      </c>
    </row>
    <row r="3382" spans="1:6" x14ac:dyDescent="0.25">
      <c r="A3382" t="s">
        <v>12771</v>
      </c>
      <c r="B3382" t="s">
        <v>12772</v>
      </c>
      <c r="C3382" t="s">
        <v>12773</v>
      </c>
      <c r="D3382" t="s">
        <v>0</v>
      </c>
      <c r="E3382" t="s">
        <v>271</v>
      </c>
      <c r="F3382" t="s">
        <v>785</v>
      </c>
    </row>
    <row r="3383" spans="1:6" x14ac:dyDescent="0.25">
      <c r="A3383" t="s">
        <v>12774</v>
      </c>
      <c r="B3383" t="s">
        <v>12775</v>
      </c>
      <c r="C3383" t="s">
        <v>12776</v>
      </c>
      <c r="D3383" t="s">
        <v>980</v>
      </c>
      <c r="E3383" t="s">
        <v>271</v>
      </c>
      <c r="F3383" t="s">
        <v>979</v>
      </c>
    </row>
    <row r="3384" spans="1:6" x14ac:dyDescent="0.25">
      <c r="A3384" t="s">
        <v>12777</v>
      </c>
      <c r="B3384" t="s">
        <v>12100</v>
      </c>
      <c r="C3384" t="s">
        <v>12778</v>
      </c>
      <c r="D3384" t="s">
        <v>453</v>
      </c>
      <c r="E3384" t="s">
        <v>271</v>
      </c>
      <c r="F3384" t="s">
        <v>2285</v>
      </c>
    </row>
    <row r="3385" spans="1:6" x14ac:dyDescent="0.25">
      <c r="A3385" t="s">
        <v>12779</v>
      </c>
      <c r="B3385" t="s">
        <v>12780</v>
      </c>
      <c r="C3385" t="s">
        <v>514</v>
      </c>
      <c r="D3385" t="s">
        <v>2488</v>
      </c>
      <c r="E3385" t="s">
        <v>269</v>
      </c>
      <c r="F3385" t="s">
        <v>4396</v>
      </c>
    </row>
    <row r="3386" spans="1:6" x14ac:dyDescent="0.25">
      <c r="A3386" t="s">
        <v>3738</v>
      </c>
      <c r="B3386" t="s">
        <v>3739</v>
      </c>
      <c r="C3386" t="s">
        <v>3741</v>
      </c>
      <c r="D3386" t="s">
        <v>0</v>
      </c>
      <c r="E3386" t="s">
        <v>271</v>
      </c>
      <c r="F3386" t="s">
        <v>3740</v>
      </c>
    </row>
    <row r="3387" spans="1:6" x14ac:dyDescent="0.25">
      <c r="A3387" t="s">
        <v>12781</v>
      </c>
      <c r="B3387" t="s">
        <v>12782</v>
      </c>
      <c r="C3387" t="s">
        <v>12783</v>
      </c>
      <c r="D3387" t="s">
        <v>519</v>
      </c>
      <c r="E3387" t="s">
        <v>271</v>
      </c>
      <c r="F3387" t="s">
        <v>324</v>
      </c>
    </row>
    <row r="3388" spans="1:6" x14ac:dyDescent="0.25">
      <c r="A3388" t="s">
        <v>12784</v>
      </c>
      <c r="B3388" t="s">
        <v>12785</v>
      </c>
      <c r="C3388" t="s">
        <v>12786</v>
      </c>
      <c r="D3388" t="s">
        <v>347</v>
      </c>
      <c r="E3388" t="s">
        <v>271</v>
      </c>
      <c r="F3388" t="s">
        <v>327</v>
      </c>
    </row>
    <row r="3389" spans="1:6" x14ac:dyDescent="0.25">
      <c r="A3389" t="s">
        <v>12787</v>
      </c>
      <c r="B3389" t="s">
        <v>12788</v>
      </c>
      <c r="C3389" t="s">
        <v>12789</v>
      </c>
      <c r="D3389" t="s">
        <v>340</v>
      </c>
      <c r="E3389" t="s">
        <v>271</v>
      </c>
      <c r="F3389" t="s">
        <v>317</v>
      </c>
    </row>
    <row r="3390" spans="1:6" x14ac:dyDescent="0.25">
      <c r="A3390" t="s">
        <v>12790</v>
      </c>
      <c r="B3390" t="s">
        <v>12791</v>
      </c>
      <c r="C3390" t="s">
        <v>6166</v>
      </c>
      <c r="D3390" t="s">
        <v>1286</v>
      </c>
      <c r="E3390" t="s">
        <v>269</v>
      </c>
      <c r="F3390" t="s">
        <v>1285</v>
      </c>
    </row>
    <row r="3391" spans="1:6" x14ac:dyDescent="0.25">
      <c r="A3391" t="s">
        <v>12792</v>
      </c>
      <c r="B3391" t="s">
        <v>12793</v>
      </c>
      <c r="C3391" t="s">
        <v>12794</v>
      </c>
      <c r="D3391" t="s">
        <v>469</v>
      </c>
      <c r="E3391" t="s">
        <v>271</v>
      </c>
      <c r="F3391" t="s">
        <v>470</v>
      </c>
    </row>
    <row r="3392" spans="1:6" x14ac:dyDescent="0.25">
      <c r="A3392" t="s">
        <v>12795</v>
      </c>
      <c r="B3392" t="s">
        <v>12796</v>
      </c>
      <c r="C3392" t="s">
        <v>12797</v>
      </c>
      <c r="D3392" t="s">
        <v>492</v>
      </c>
      <c r="E3392" t="s">
        <v>271</v>
      </c>
      <c r="F3392" t="s">
        <v>493</v>
      </c>
    </row>
    <row r="3393" spans="1:6" x14ac:dyDescent="0.25">
      <c r="A3393" t="s">
        <v>12798</v>
      </c>
      <c r="B3393" t="s">
        <v>12799</v>
      </c>
      <c r="C3393" t="s">
        <v>12800</v>
      </c>
      <c r="D3393" t="s">
        <v>232</v>
      </c>
      <c r="E3393" t="s">
        <v>271</v>
      </c>
      <c r="F3393" t="s">
        <v>329</v>
      </c>
    </row>
    <row r="3394" spans="1:6" x14ac:dyDescent="0.25">
      <c r="A3394" t="s">
        <v>12801</v>
      </c>
      <c r="B3394" t="s">
        <v>12802</v>
      </c>
      <c r="C3394" t="s">
        <v>12803</v>
      </c>
      <c r="D3394" t="s">
        <v>0</v>
      </c>
      <c r="E3394" t="s">
        <v>271</v>
      </c>
      <c r="F3394" t="s">
        <v>731</v>
      </c>
    </row>
    <row r="3395" spans="1:6" x14ac:dyDescent="0.25">
      <c r="A3395" t="s">
        <v>12804</v>
      </c>
      <c r="B3395" t="s">
        <v>5016</v>
      </c>
      <c r="C3395" t="s">
        <v>5017</v>
      </c>
      <c r="D3395" t="s">
        <v>498</v>
      </c>
      <c r="E3395" t="s">
        <v>271</v>
      </c>
      <c r="F3395" t="s">
        <v>499</v>
      </c>
    </row>
    <row r="3396" spans="1:6" x14ac:dyDescent="0.25">
      <c r="A3396" t="s">
        <v>1775</v>
      </c>
      <c r="B3396" t="s">
        <v>1776</v>
      </c>
      <c r="C3396" t="s">
        <v>1777</v>
      </c>
      <c r="D3396" t="s">
        <v>0</v>
      </c>
      <c r="E3396" t="s">
        <v>271</v>
      </c>
      <c r="F3396" t="s">
        <v>658</v>
      </c>
    </row>
    <row r="3397" spans="1:6" x14ac:dyDescent="0.25">
      <c r="A3397" t="s">
        <v>12805</v>
      </c>
      <c r="B3397" t="s">
        <v>12806</v>
      </c>
      <c r="C3397" t="s">
        <v>12807</v>
      </c>
      <c r="D3397" t="s">
        <v>610</v>
      </c>
      <c r="E3397" t="s">
        <v>271</v>
      </c>
      <c r="F3397" t="s">
        <v>611</v>
      </c>
    </row>
    <row r="3398" spans="1:6" x14ac:dyDescent="0.25">
      <c r="A3398" t="s">
        <v>12808</v>
      </c>
      <c r="B3398" t="s">
        <v>12809</v>
      </c>
      <c r="C3398" t="s">
        <v>12810</v>
      </c>
      <c r="D3398" t="s">
        <v>0</v>
      </c>
      <c r="E3398" t="s">
        <v>271</v>
      </c>
      <c r="F3398" t="s">
        <v>1534</v>
      </c>
    </row>
    <row r="3399" spans="1:6" x14ac:dyDescent="0.25">
      <c r="A3399" t="s">
        <v>12811</v>
      </c>
      <c r="B3399" t="s">
        <v>12812</v>
      </c>
      <c r="C3399" t="s">
        <v>12813</v>
      </c>
      <c r="D3399" t="s">
        <v>461</v>
      </c>
      <c r="E3399" t="s">
        <v>271</v>
      </c>
      <c r="F3399" t="s">
        <v>336</v>
      </c>
    </row>
    <row r="3400" spans="1:6" x14ac:dyDescent="0.25">
      <c r="A3400" t="s">
        <v>12814</v>
      </c>
      <c r="B3400" t="s">
        <v>12815</v>
      </c>
      <c r="C3400" t="s">
        <v>12816</v>
      </c>
      <c r="D3400" t="s">
        <v>239</v>
      </c>
      <c r="E3400" t="s">
        <v>271</v>
      </c>
      <c r="F3400" t="s">
        <v>544</v>
      </c>
    </row>
    <row r="3401" spans="1:6" x14ac:dyDescent="0.25">
      <c r="A3401" t="s">
        <v>12817</v>
      </c>
      <c r="B3401" t="s">
        <v>12818</v>
      </c>
      <c r="C3401" t="s">
        <v>12819</v>
      </c>
      <c r="D3401" t="s">
        <v>0</v>
      </c>
      <c r="E3401" t="s">
        <v>271</v>
      </c>
      <c r="F3401" t="s">
        <v>562</v>
      </c>
    </row>
    <row r="3402" spans="1:6" x14ac:dyDescent="0.25">
      <c r="A3402" t="s">
        <v>12820</v>
      </c>
      <c r="B3402" t="s">
        <v>12821</v>
      </c>
      <c r="C3402" t="s">
        <v>12822</v>
      </c>
      <c r="D3402" t="s">
        <v>1643</v>
      </c>
      <c r="E3402" t="s">
        <v>271</v>
      </c>
      <c r="F3402" t="s">
        <v>2028</v>
      </c>
    </row>
    <row r="3403" spans="1:6" x14ac:dyDescent="0.25">
      <c r="A3403" t="s">
        <v>12823</v>
      </c>
      <c r="B3403" t="s">
        <v>12824</v>
      </c>
      <c r="C3403" t="s">
        <v>12825</v>
      </c>
      <c r="D3403" t="s">
        <v>0</v>
      </c>
      <c r="E3403" t="s">
        <v>271</v>
      </c>
      <c r="F3403" t="s">
        <v>1180</v>
      </c>
    </row>
    <row r="3404" spans="1:6" x14ac:dyDescent="0.25">
      <c r="A3404" t="s">
        <v>12826</v>
      </c>
      <c r="B3404" t="s">
        <v>12827</v>
      </c>
      <c r="C3404" t="s">
        <v>12828</v>
      </c>
      <c r="D3404" t="s">
        <v>4486</v>
      </c>
      <c r="E3404" t="s">
        <v>271</v>
      </c>
      <c r="F3404" t="s">
        <v>4417</v>
      </c>
    </row>
    <row r="3405" spans="1:6" x14ac:dyDescent="0.25">
      <c r="A3405" t="s">
        <v>12829</v>
      </c>
      <c r="B3405" t="s">
        <v>12830</v>
      </c>
      <c r="C3405" t="s">
        <v>12831</v>
      </c>
      <c r="D3405" t="s">
        <v>1915</v>
      </c>
      <c r="E3405" t="s">
        <v>269</v>
      </c>
      <c r="F3405" t="s">
        <v>1914</v>
      </c>
    </row>
    <row r="3406" spans="1:6" x14ac:dyDescent="0.25">
      <c r="A3406" t="s">
        <v>12832</v>
      </c>
      <c r="B3406" t="s">
        <v>12833</v>
      </c>
      <c r="C3406" t="s">
        <v>12834</v>
      </c>
      <c r="D3406" t="s">
        <v>482</v>
      </c>
      <c r="E3406" t="s">
        <v>271</v>
      </c>
      <c r="F3406" t="s">
        <v>483</v>
      </c>
    </row>
    <row r="3407" spans="1:6" x14ac:dyDescent="0.25">
      <c r="A3407" t="s">
        <v>720</v>
      </c>
      <c r="B3407" t="s">
        <v>721</v>
      </c>
      <c r="C3407" t="s">
        <v>722</v>
      </c>
      <c r="D3407" t="s">
        <v>718</v>
      </c>
      <c r="E3407" t="s">
        <v>271</v>
      </c>
      <c r="F3407" t="s">
        <v>333</v>
      </c>
    </row>
    <row r="3408" spans="1:6" x14ac:dyDescent="0.25">
      <c r="A3408" t="s">
        <v>12835</v>
      </c>
      <c r="B3408" t="s">
        <v>12836</v>
      </c>
      <c r="C3408" t="s">
        <v>12837</v>
      </c>
      <c r="D3408" t="s">
        <v>572</v>
      </c>
      <c r="E3408" t="s">
        <v>271</v>
      </c>
      <c r="F3408" t="s">
        <v>335</v>
      </c>
    </row>
    <row r="3409" spans="1:6" x14ac:dyDescent="0.25">
      <c r="A3409" t="s">
        <v>12838</v>
      </c>
      <c r="B3409" t="s">
        <v>12839</v>
      </c>
      <c r="C3409" t="s">
        <v>12840</v>
      </c>
      <c r="D3409" t="s">
        <v>0</v>
      </c>
      <c r="E3409" t="s">
        <v>271</v>
      </c>
      <c r="F3409" t="s">
        <v>1148</v>
      </c>
    </row>
    <row r="3410" spans="1:6" x14ac:dyDescent="0.25">
      <c r="A3410" t="s">
        <v>12841</v>
      </c>
      <c r="B3410" t="s">
        <v>12842</v>
      </c>
      <c r="C3410" t="s">
        <v>12843</v>
      </c>
      <c r="D3410" t="s">
        <v>5591</v>
      </c>
      <c r="E3410" t="s">
        <v>269</v>
      </c>
      <c r="F3410" t="s">
        <v>1742</v>
      </c>
    </row>
    <row r="3411" spans="1:6" x14ac:dyDescent="0.25">
      <c r="A3411" t="s">
        <v>12844</v>
      </c>
      <c r="B3411" t="s">
        <v>12845</v>
      </c>
      <c r="C3411" t="s">
        <v>12846</v>
      </c>
      <c r="D3411" t="s">
        <v>314</v>
      </c>
      <c r="E3411" t="s">
        <v>271</v>
      </c>
      <c r="F3411" t="s">
        <v>352</v>
      </c>
    </row>
    <row r="3412" spans="1:6" x14ac:dyDescent="0.25">
      <c r="A3412" t="s">
        <v>12847</v>
      </c>
      <c r="B3412" t="s">
        <v>12848</v>
      </c>
      <c r="C3412" t="s">
        <v>12849</v>
      </c>
      <c r="D3412" t="s">
        <v>3002</v>
      </c>
      <c r="E3412" t="s">
        <v>269</v>
      </c>
      <c r="F3412" t="s">
        <v>3001</v>
      </c>
    </row>
    <row r="3413" spans="1:6" x14ac:dyDescent="0.25">
      <c r="A3413" t="s">
        <v>12850</v>
      </c>
      <c r="B3413" t="s">
        <v>12851</v>
      </c>
      <c r="C3413" t="s">
        <v>12852</v>
      </c>
      <c r="D3413" t="s">
        <v>0</v>
      </c>
      <c r="E3413" t="s">
        <v>271</v>
      </c>
      <c r="F3413" t="s">
        <v>323</v>
      </c>
    </row>
    <row r="3414" spans="1:6" x14ac:dyDescent="0.25">
      <c r="A3414" t="s">
        <v>12853</v>
      </c>
      <c r="B3414" t="s">
        <v>8775</v>
      </c>
      <c r="C3414" t="s">
        <v>12854</v>
      </c>
      <c r="D3414" t="s">
        <v>0</v>
      </c>
      <c r="E3414" t="s">
        <v>271</v>
      </c>
      <c r="F3414" t="s">
        <v>356</v>
      </c>
    </row>
    <row r="3415" spans="1:6" x14ac:dyDescent="0.25">
      <c r="A3415" t="s">
        <v>12855</v>
      </c>
      <c r="B3415" t="s">
        <v>12856</v>
      </c>
      <c r="C3415" t="s">
        <v>12857</v>
      </c>
      <c r="D3415" t="s">
        <v>1648</v>
      </c>
      <c r="E3415" t="s">
        <v>271</v>
      </c>
      <c r="F3415" t="s">
        <v>1647</v>
      </c>
    </row>
    <row r="3416" spans="1:6" x14ac:dyDescent="0.25">
      <c r="A3416" t="s">
        <v>969</v>
      </c>
      <c r="B3416" t="s">
        <v>970</v>
      </c>
      <c r="C3416" t="s">
        <v>973</v>
      </c>
      <c r="D3416" t="s">
        <v>972</v>
      </c>
      <c r="E3416" t="s">
        <v>269</v>
      </c>
      <c r="F3416" t="s">
        <v>971</v>
      </c>
    </row>
    <row r="3417" spans="1:6" x14ac:dyDescent="0.25">
      <c r="A3417" t="s">
        <v>12858</v>
      </c>
      <c r="B3417" t="s">
        <v>12859</v>
      </c>
      <c r="C3417" t="s">
        <v>12860</v>
      </c>
      <c r="D3417" t="s">
        <v>2681</v>
      </c>
      <c r="E3417" t="s">
        <v>271</v>
      </c>
      <c r="F3417" t="s">
        <v>2680</v>
      </c>
    </row>
    <row r="3418" spans="1:6" x14ac:dyDescent="0.25">
      <c r="A3418" t="s">
        <v>12861</v>
      </c>
      <c r="B3418" t="s">
        <v>12862</v>
      </c>
      <c r="C3418" t="s">
        <v>12863</v>
      </c>
      <c r="D3418" t="s">
        <v>1239</v>
      </c>
      <c r="E3418" t="s">
        <v>271</v>
      </c>
      <c r="F3418" t="s">
        <v>1238</v>
      </c>
    </row>
    <row r="3419" spans="1:6" x14ac:dyDescent="0.25">
      <c r="A3419" t="s">
        <v>3354</v>
      </c>
      <c r="B3419" t="s">
        <v>3355</v>
      </c>
      <c r="C3419" t="s">
        <v>3356</v>
      </c>
      <c r="D3419" t="s">
        <v>222</v>
      </c>
      <c r="E3419" t="s">
        <v>271</v>
      </c>
      <c r="F3419" t="s">
        <v>313</v>
      </c>
    </row>
    <row r="3420" spans="1:6" x14ac:dyDescent="0.25">
      <c r="A3420" t="s">
        <v>12864</v>
      </c>
      <c r="B3420" t="s">
        <v>12865</v>
      </c>
      <c r="C3420" t="s">
        <v>12866</v>
      </c>
      <c r="D3420" t="s">
        <v>272</v>
      </c>
      <c r="E3420" t="s">
        <v>269</v>
      </c>
      <c r="F3420" t="s">
        <v>907</v>
      </c>
    </row>
    <row r="3421" spans="1:6" x14ac:dyDescent="0.25">
      <c r="A3421" t="s">
        <v>12867</v>
      </c>
      <c r="B3421" t="s">
        <v>12868</v>
      </c>
      <c r="C3421" t="s">
        <v>12869</v>
      </c>
      <c r="D3421" t="s">
        <v>1019</v>
      </c>
      <c r="E3421" t="s">
        <v>271</v>
      </c>
      <c r="F3421" t="s">
        <v>1018</v>
      </c>
    </row>
    <row r="3422" spans="1:6" x14ac:dyDescent="0.25">
      <c r="A3422" t="s">
        <v>12870</v>
      </c>
      <c r="B3422" t="s">
        <v>12871</v>
      </c>
      <c r="C3422" t="s">
        <v>12872</v>
      </c>
      <c r="D3422" t="s">
        <v>0</v>
      </c>
      <c r="E3422" t="s">
        <v>271</v>
      </c>
      <c r="F3422" t="s">
        <v>785</v>
      </c>
    </row>
    <row r="3423" spans="1:6" x14ac:dyDescent="0.25">
      <c r="A3423" t="s">
        <v>715</v>
      </c>
      <c r="B3423" t="s">
        <v>716</v>
      </c>
      <c r="C3423" t="s">
        <v>719</v>
      </c>
      <c r="D3423" t="s">
        <v>718</v>
      </c>
      <c r="E3423" t="s">
        <v>271</v>
      </c>
      <c r="F3423" t="s">
        <v>333</v>
      </c>
    </row>
    <row r="3424" spans="1:6" x14ac:dyDescent="0.25">
      <c r="A3424" t="s">
        <v>1013</v>
      </c>
      <c r="B3424" t="s">
        <v>1014</v>
      </c>
      <c r="C3424" t="s">
        <v>1015</v>
      </c>
      <c r="D3424" t="s">
        <v>0</v>
      </c>
      <c r="E3424" t="s">
        <v>271</v>
      </c>
      <c r="F3424" t="s">
        <v>431</v>
      </c>
    </row>
    <row r="3425" spans="1:6" x14ac:dyDescent="0.25">
      <c r="A3425" t="s">
        <v>12873</v>
      </c>
      <c r="B3425" t="s">
        <v>12874</v>
      </c>
      <c r="C3425" t="s">
        <v>8151</v>
      </c>
      <c r="D3425" t="s">
        <v>450</v>
      </c>
      <c r="E3425" t="s">
        <v>271</v>
      </c>
      <c r="F3425" t="s">
        <v>326</v>
      </c>
    </row>
    <row r="3426" spans="1:6" x14ac:dyDescent="0.25">
      <c r="A3426" t="s">
        <v>12875</v>
      </c>
      <c r="B3426" t="s">
        <v>12876</v>
      </c>
      <c r="C3426" t="s">
        <v>12877</v>
      </c>
      <c r="D3426" t="s">
        <v>0</v>
      </c>
      <c r="E3426" t="s">
        <v>271</v>
      </c>
      <c r="F3426" t="s">
        <v>1321</v>
      </c>
    </row>
    <row r="3427" spans="1:6" x14ac:dyDescent="0.25">
      <c r="A3427" t="s">
        <v>12878</v>
      </c>
      <c r="B3427" t="s">
        <v>12879</v>
      </c>
      <c r="C3427" t="s">
        <v>12880</v>
      </c>
      <c r="D3427" t="s">
        <v>0</v>
      </c>
      <c r="E3427" t="s">
        <v>271</v>
      </c>
      <c r="F3427" t="s">
        <v>1534</v>
      </c>
    </row>
    <row r="3428" spans="1:6" x14ac:dyDescent="0.25">
      <c r="A3428" t="s">
        <v>12881</v>
      </c>
      <c r="B3428" t="s">
        <v>12882</v>
      </c>
      <c r="C3428" t="s">
        <v>11250</v>
      </c>
      <c r="D3428" t="s">
        <v>510</v>
      </c>
      <c r="E3428" t="s">
        <v>271</v>
      </c>
      <c r="F3428" t="s">
        <v>437</v>
      </c>
    </row>
    <row r="3429" spans="1:6" x14ac:dyDescent="0.25">
      <c r="A3429" t="s">
        <v>12883</v>
      </c>
      <c r="B3429" t="s">
        <v>12884</v>
      </c>
      <c r="C3429" t="s">
        <v>12885</v>
      </c>
      <c r="D3429" t="s">
        <v>314</v>
      </c>
      <c r="E3429" t="s">
        <v>271</v>
      </c>
      <c r="F3429" t="s">
        <v>352</v>
      </c>
    </row>
    <row r="3430" spans="1:6" x14ac:dyDescent="0.25">
      <c r="A3430" t="s">
        <v>12886</v>
      </c>
      <c r="B3430" t="s">
        <v>12887</v>
      </c>
      <c r="C3430" t="s">
        <v>12888</v>
      </c>
      <c r="D3430" t="s">
        <v>363</v>
      </c>
      <c r="E3430" t="s">
        <v>271</v>
      </c>
      <c r="F3430" t="s">
        <v>4410</v>
      </c>
    </row>
    <row r="3431" spans="1:6" x14ac:dyDescent="0.25">
      <c r="A3431" t="s">
        <v>12889</v>
      </c>
      <c r="B3431" t="s">
        <v>12890</v>
      </c>
      <c r="C3431" t="s">
        <v>12891</v>
      </c>
      <c r="D3431" t="s">
        <v>245</v>
      </c>
      <c r="E3431" t="s">
        <v>271</v>
      </c>
      <c r="F3431" t="s">
        <v>413</v>
      </c>
    </row>
    <row r="3432" spans="1:6" x14ac:dyDescent="0.25">
      <c r="A3432" t="s">
        <v>12892</v>
      </c>
      <c r="B3432" t="s">
        <v>12893</v>
      </c>
      <c r="C3432" t="s">
        <v>12894</v>
      </c>
      <c r="D3432" t="s">
        <v>1337</v>
      </c>
      <c r="E3432" t="s">
        <v>271</v>
      </c>
      <c r="F3432" t="s">
        <v>1336</v>
      </c>
    </row>
    <row r="3433" spans="1:6" x14ac:dyDescent="0.25">
      <c r="A3433" t="s">
        <v>12895</v>
      </c>
      <c r="B3433" t="s">
        <v>12896</v>
      </c>
      <c r="C3433" t="s">
        <v>12897</v>
      </c>
      <c r="D3433" t="s">
        <v>12898</v>
      </c>
      <c r="E3433" t="s">
        <v>271</v>
      </c>
      <c r="F3433" t="s">
        <v>4400</v>
      </c>
    </row>
    <row r="3434" spans="1:6" x14ac:dyDescent="0.25">
      <c r="A3434" t="s">
        <v>12899</v>
      </c>
      <c r="B3434" t="s">
        <v>12900</v>
      </c>
      <c r="C3434" t="s">
        <v>12901</v>
      </c>
      <c r="D3434" t="s">
        <v>453</v>
      </c>
      <c r="E3434" t="s">
        <v>271</v>
      </c>
      <c r="F3434" t="s">
        <v>454</v>
      </c>
    </row>
    <row r="3435" spans="1:6" x14ac:dyDescent="0.25">
      <c r="A3435" t="s">
        <v>12902</v>
      </c>
      <c r="B3435" t="s">
        <v>12903</v>
      </c>
      <c r="C3435" t="s">
        <v>12904</v>
      </c>
      <c r="D3435" t="s">
        <v>234</v>
      </c>
      <c r="E3435" t="s">
        <v>271</v>
      </c>
      <c r="F3435" t="s">
        <v>875</v>
      </c>
    </row>
    <row r="3436" spans="1:6" x14ac:dyDescent="0.25">
      <c r="A3436" t="s">
        <v>12905</v>
      </c>
      <c r="B3436" t="s">
        <v>12906</v>
      </c>
      <c r="C3436" t="s">
        <v>12907</v>
      </c>
      <c r="D3436" t="s">
        <v>448</v>
      </c>
      <c r="E3436" t="s">
        <v>271</v>
      </c>
      <c r="F3436" t="s">
        <v>449</v>
      </c>
    </row>
    <row r="3437" spans="1:6" x14ac:dyDescent="0.25">
      <c r="A3437" t="s">
        <v>12908</v>
      </c>
      <c r="B3437" t="s">
        <v>12909</v>
      </c>
      <c r="C3437" t="s">
        <v>12910</v>
      </c>
      <c r="D3437" t="s">
        <v>450</v>
      </c>
      <c r="E3437" t="s">
        <v>271</v>
      </c>
      <c r="F3437" t="s">
        <v>326</v>
      </c>
    </row>
    <row r="3438" spans="1:6" x14ac:dyDescent="0.25">
      <c r="A3438" t="s">
        <v>12911</v>
      </c>
      <c r="B3438" t="s">
        <v>12912</v>
      </c>
      <c r="C3438" t="s">
        <v>12913</v>
      </c>
      <c r="D3438" t="s">
        <v>2493</v>
      </c>
      <c r="E3438" t="s">
        <v>271</v>
      </c>
      <c r="F3438" t="s">
        <v>2492</v>
      </c>
    </row>
    <row r="3439" spans="1:6" x14ac:dyDescent="0.25">
      <c r="A3439" t="s">
        <v>12914</v>
      </c>
      <c r="B3439" t="s">
        <v>12915</v>
      </c>
      <c r="C3439" t="s">
        <v>7251</v>
      </c>
      <c r="D3439" t="s">
        <v>510</v>
      </c>
      <c r="E3439" t="s">
        <v>271</v>
      </c>
      <c r="F3439" t="s">
        <v>437</v>
      </c>
    </row>
    <row r="3440" spans="1:6" x14ac:dyDescent="0.25">
      <c r="A3440" t="s">
        <v>12916</v>
      </c>
      <c r="B3440" t="s">
        <v>12917</v>
      </c>
      <c r="C3440" t="s">
        <v>12918</v>
      </c>
      <c r="D3440" t="s">
        <v>1413</v>
      </c>
      <c r="E3440" t="s">
        <v>271</v>
      </c>
      <c r="F3440" t="s">
        <v>1412</v>
      </c>
    </row>
    <row r="3441" spans="1:6" x14ac:dyDescent="0.25">
      <c r="A3441" t="s">
        <v>12919</v>
      </c>
      <c r="B3441" t="s">
        <v>12920</v>
      </c>
      <c r="C3441" t="s">
        <v>12921</v>
      </c>
      <c r="D3441" t="s">
        <v>0</v>
      </c>
      <c r="E3441" t="s">
        <v>271</v>
      </c>
      <c r="F3441" t="s">
        <v>1437</v>
      </c>
    </row>
    <row r="3442" spans="1:6" x14ac:dyDescent="0.25">
      <c r="A3442" t="s">
        <v>12922</v>
      </c>
      <c r="B3442" t="s">
        <v>12923</v>
      </c>
      <c r="C3442" t="s">
        <v>7302</v>
      </c>
      <c r="D3442" t="s">
        <v>0</v>
      </c>
      <c r="E3442" t="s">
        <v>271</v>
      </c>
      <c r="F3442" t="s">
        <v>319</v>
      </c>
    </row>
    <row r="3443" spans="1:6" x14ac:dyDescent="0.25">
      <c r="A3443" t="s">
        <v>644</v>
      </c>
      <c r="B3443" t="s">
        <v>645</v>
      </c>
      <c r="C3443" t="s">
        <v>652</v>
      </c>
      <c r="D3443" t="s">
        <v>651</v>
      </c>
      <c r="E3443" t="s">
        <v>271</v>
      </c>
      <c r="F3443" t="s">
        <v>650</v>
      </c>
    </row>
    <row r="3444" spans="1:6" x14ac:dyDescent="0.25">
      <c r="A3444" t="s">
        <v>12924</v>
      </c>
      <c r="B3444" t="s">
        <v>12925</v>
      </c>
      <c r="C3444" t="s">
        <v>11060</v>
      </c>
      <c r="D3444" t="s">
        <v>822</v>
      </c>
      <c r="E3444" t="s">
        <v>269</v>
      </c>
      <c r="F3444" t="s">
        <v>821</v>
      </c>
    </row>
    <row r="3445" spans="1:6" x14ac:dyDescent="0.25">
      <c r="A3445" t="s">
        <v>12926</v>
      </c>
      <c r="B3445" t="s">
        <v>12927</v>
      </c>
      <c r="C3445" t="s">
        <v>10543</v>
      </c>
      <c r="D3445" t="s">
        <v>817</v>
      </c>
      <c r="E3445" t="s">
        <v>271</v>
      </c>
      <c r="F3445" t="s">
        <v>816</v>
      </c>
    </row>
    <row r="3446" spans="1:6" x14ac:dyDescent="0.25">
      <c r="A3446" t="s">
        <v>12928</v>
      </c>
      <c r="B3446" t="s">
        <v>12929</v>
      </c>
      <c r="C3446" t="s">
        <v>12930</v>
      </c>
      <c r="D3446" t="s">
        <v>345</v>
      </c>
      <c r="E3446" t="s">
        <v>269</v>
      </c>
      <c r="F3446" t="s">
        <v>684</v>
      </c>
    </row>
    <row r="3447" spans="1:6" x14ac:dyDescent="0.25">
      <c r="A3447" t="s">
        <v>12931</v>
      </c>
      <c r="B3447" t="s">
        <v>12932</v>
      </c>
      <c r="C3447" t="s">
        <v>12933</v>
      </c>
      <c r="D3447" t="s">
        <v>1199</v>
      </c>
      <c r="E3447" t="s">
        <v>271</v>
      </c>
      <c r="F3447" t="s">
        <v>1198</v>
      </c>
    </row>
    <row r="3448" spans="1:6" x14ac:dyDescent="0.25">
      <c r="A3448" t="s">
        <v>12934</v>
      </c>
      <c r="B3448" t="s">
        <v>12935</v>
      </c>
      <c r="C3448" t="s">
        <v>12936</v>
      </c>
      <c r="D3448" t="s">
        <v>453</v>
      </c>
      <c r="E3448" t="s">
        <v>271</v>
      </c>
      <c r="F3448" t="s">
        <v>2285</v>
      </c>
    </row>
    <row r="3449" spans="1:6" x14ac:dyDescent="0.25">
      <c r="A3449" t="s">
        <v>12937</v>
      </c>
      <c r="B3449" t="s">
        <v>12938</v>
      </c>
      <c r="C3449" t="s">
        <v>12939</v>
      </c>
      <c r="D3449" t="s">
        <v>1915</v>
      </c>
      <c r="E3449" t="s">
        <v>269</v>
      </c>
      <c r="F3449" t="s">
        <v>1914</v>
      </c>
    </row>
    <row r="3450" spans="1:6" x14ac:dyDescent="0.25">
      <c r="A3450" t="s">
        <v>12940</v>
      </c>
      <c r="B3450" t="s">
        <v>12941</v>
      </c>
      <c r="C3450" t="s">
        <v>12942</v>
      </c>
      <c r="D3450" t="s">
        <v>461</v>
      </c>
      <c r="E3450" t="s">
        <v>271</v>
      </c>
      <c r="F3450" t="s">
        <v>336</v>
      </c>
    </row>
    <row r="3451" spans="1:6" x14ac:dyDescent="0.25">
      <c r="A3451" t="s">
        <v>12943</v>
      </c>
      <c r="B3451" t="s">
        <v>12944</v>
      </c>
      <c r="C3451" t="s">
        <v>12945</v>
      </c>
      <c r="D3451" t="s">
        <v>2009</v>
      </c>
      <c r="E3451" t="s">
        <v>271</v>
      </c>
      <c r="F3451" t="s">
        <v>2008</v>
      </c>
    </row>
    <row r="3452" spans="1:6" x14ac:dyDescent="0.25">
      <c r="A3452" t="s">
        <v>12946</v>
      </c>
      <c r="B3452" t="s">
        <v>12947</v>
      </c>
      <c r="C3452" t="s">
        <v>1935</v>
      </c>
      <c r="D3452" t="s">
        <v>1126</v>
      </c>
      <c r="E3452" t="s">
        <v>271</v>
      </c>
      <c r="F3452" t="s">
        <v>1125</v>
      </c>
    </row>
    <row r="3453" spans="1:6" x14ac:dyDescent="0.25">
      <c r="A3453" t="s">
        <v>12948</v>
      </c>
      <c r="B3453" t="s">
        <v>285</v>
      </c>
      <c r="C3453" t="s">
        <v>12949</v>
      </c>
      <c r="D3453" t="s">
        <v>347</v>
      </c>
      <c r="E3453" t="s">
        <v>271</v>
      </c>
      <c r="F3453" t="s">
        <v>327</v>
      </c>
    </row>
    <row r="3454" spans="1:6" x14ac:dyDescent="0.25">
      <c r="A3454" t="s">
        <v>2802</v>
      </c>
      <c r="B3454" t="s">
        <v>2803</v>
      </c>
      <c r="C3454" t="s">
        <v>2804</v>
      </c>
      <c r="D3454" t="s">
        <v>1137</v>
      </c>
      <c r="E3454" t="s">
        <v>269</v>
      </c>
      <c r="F3454" t="s">
        <v>1136</v>
      </c>
    </row>
    <row r="3455" spans="1:6" x14ac:dyDescent="0.25">
      <c r="A3455" t="s">
        <v>12950</v>
      </c>
      <c r="B3455" t="s">
        <v>12951</v>
      </c>
      <c r="C3455" t="s">
        <v>12952</v>
      </c>
      <c r="D3455" t="s">
        <v>347</v>
      </c>
      <c r="E3455" t="s">
        <v>271</v>
      </c>
      <c r="F3455" t="s">
        <v>327</v>
      </c>
    </row>
    <row r="3456" spans="1:6" x14ac:dyDescent="0.25">
      <c r="A3456" t="s">
        <v>12953</v>
      </c>
      <c r="B3456" t="s">
        <v>12954</v>
      </c>
      <c r="C3456" t="s">
        <v>12955</v>
      </c>
      <c r="D3456" t="s">
        <v>0</v>
      </c>
      <c r="E3456" t="s">
        <v>271</v>
      </c>
      <c r="F3456" t="s">
        <v>726</v>
      </c>
    </row>
    <row r="3457" spans="1:6" x14ac:dyDescent="0.25">
      <c r="A3457" t="s">
        <v>12956</v>
      </c>
      <c r="B3457" t="s">
        <v>12957</v>
      </c>
      <c r="C3457" t="s">
        <v>12958</v>
      </c>
      <c r="D3457" t="s">
        <v>12959</v>
      </c>
      <c r="E3457" t="s">
        <v>230</v>
      </c>
      <c r="F3457" t="s">
        <v>12960</v>
      </c>
    </row>
    <row r="3458" spans="1:6" x14ac:dyDescent="0.25">
      <c r="A3458" t="s">
        <v>12961</v>
      </c>
      <c r="B3458" t="s">
        <v>12962</v>
      </c>
      <c r="C3458" t="s">
        <v>12963</v>
      </c>
      <c r="D3458" t="s">
        <v>237</v>
      </c>
      <c r="E3458" t="s">
        <v>271</v>
      </c>
      <c r="F3458" t="s">
        <v>427</v>
      </c>
    </row>
    <row r="3459" spans="1:6" x14ac:dyDescent="0.25">
      <c r="A3459" t="s">
        <v>12964</v>
      </c>
      <c r="B3459" t="s">
        <v>12965</v>
      </c>
      <c r="C3459" t="s">
        <v>8926</v>
      </c>
      <c r="D3459" t="s">
        <v>492</v>
      </c>
      <c r="E3459" t="s">
        <v>271</v>
      </c>
      <c r="F3459" t="s">
        <v>493</v>
      </c>
    </row>
    <row r="3460" spans="1:6" x14ac:dyDescent="0.25">
      <c r="A3460" t="s">
        <v>3647</v>
      </c>
      <c r="B3460" t="s">
        <v>3648</v>
      </c>
      <c r="C3460" t="s">
        <v>3650</v>
      </c>
      <c r="D3460" t="s">
        <v>556</v>
      </c>
      <c r="E3460" t="s">
        <v>271</v>
      </c>
      <c r="F3460" t="s">
        <v>1567</v>
      </c>
    </row>
    <row r="3461" spans="1:6" x14ac:dyDescent="0.25">
      <c r="A3461" t="s">
        <v>1656</v>
      </c>
      <c r="B3461" t="s">
        <v>1657</v>
      </c>
      <c r="C3461" t="s">
        <v>1658</v>
      </c>
      <c r="D3461" t="s">
        <v>0</v>
      </c>
      <c r="E3461" t="s">
        <v>271</v>
      </c>
      <c r="F3461" t="s">
        <v>356</v>
      </c>
    </row>
    <row r="3462" spans="1:6" x14ac:dyDescent="0.25">
      <c r="A3462" t="s">
        <v>12966</v>
      </c>
      <c r="B3462" t="s">
        <v>12967</v>
      </c>
      <c r="C3462" t="s">
        <v>12968</v>
      </c>
      <c r="D3462" t="s">
        <v>2116</v>
      </c>
      <c r="E3462" t="s">
        <v>271</v>
      </c>
      <c r="F3462" t="s">
        <v>2115</v>
      </c>
    </row>
    <row r="3463" spans="1:6" x14ac:dyDescent="0.25">
      <c r="A3463" t="s">
        <v>12969</v>
      </c>
      <c r="B3463" t="s">
        <v>12970</v>
      </c>
      <c r="C3463" t="s">
        <v>12971</v>
      </c>
      <c r="D3463" t="s">
        <v>1958</v>
      </c>
      <c r="E3463" t="s">
        <v>271</v>
      </c>
      <c r="F3463" t="s">
        <v>1957</v>
      </c>
    </row>
    <row r="3464" spans="1:6" x14ac:dyDescent="0.25">
      <c r="A3464" t="s">
        <v>12972</v>
      </c>
      <c r="B3464" t="s">
        <v>12973</v>
      </c>
      <c r="C3464" t="s">
        <v>12974</v>
      </c>
      <c r="D3464" t="s">
        <v>444</v>
      </c>
      <c r="E3464" t="s">
        <v>271</v>
      </c>
      <c r="F3464" t="s">
        <v>1270</v>
      </c>
    </row>
    <row r="3465" spans="1:6" x14ac:dyDescent="0.25">
      <c r="A3465" t="s">
        <v>12975</v>
      </c>
      <c r="B3465" t="s">
        <v>12976</v>
      </c>
      <c r="C3465" t="s">
        <v>12977</v>
      </c>
      <c r="D3465" t="s">
        <v>461</v>
      </c>
      <c r="E3465" t="s">
        <v>271</v>
      </c>
      <c r="F3465" t="s">
        <v>336</v>
      </c>
    </row>
    <row r="3466" spans="1:6" x14ac:dyDescent="0.25">
      <c r="A3466" t="s">
        <v>1859</v>
      </c>
      <c r="B3466" t="s">
        <v>1860</v>
      </c>
      <c r="C3466" t="s">
        <v>1863</v>
      </c>
      <c r="D3466" t="s">
        <v>1862</v>
      </c>
      <c r="E3466" t="s">
        <v>271</v>
      </c>
      <c r="F3466" t="s">
        <v>1861</v>
      </c>
    </row>
    <row r="3467" spans="1:6" x14ac:dyDescent="0.25">
      <c r="A3467" t="s">
        <v>12978</v>
      </c>
      <c r="B3467" t="s">
        <v>12979</v>
      </c>
      <c r="C3467" t="s">
        <v>12980</v>
      </c>
      <c r="D3467" t="s">
        <v>0</v>
      </c>
      <c r="E3467" t="s">
        <v>271</v>
      </c>
      <c r="F3467" t="s">
        <v>688</v>
      </c>
    </row>
    <row r="3468" spans="1:6" x14ac:dyDescent="0.25">
      <c r="A3468" t="s">
        <v>12981</v>
      </c>
      <c r="B3468" t="s">
        <v>12982</v>
      </c>
      <c r="C3468" t="s">
        <v>12983</v>
      </c>
      <c r="D3468" t="s">
        <v>440</v>
      </c>
      <c r="E3468" t="s">
        <v>271</v>
      </c>
      <c r="F3468" t="s">
        <v>441</v>
      </c>
    </row>
    <row r="3469" spans="1:6" x14ac:dyDescent="0.25">
      <c r="A3469" t="s">
        <v>12984</v>
      </c>
      <c r="B3469" t="s">
        <v>12985</v>
      </c>
      <c r="C3469" t="s">
        <v>12986</v>
      </c>
      <c r="D3469" t="s">
        <v>347</v>
      </c>
      <c r="E3469" t="s">
        <v>271</v>
      </c>
      <c r="F3469" t="s">
        <v>327</v>
      </c>
    </row>
    <row r="3470" spans="1:6" x14ac:dyDescent="0.25">
      <c r="A3470" t="s">
        <v>12987</v>
      </c>
      <c r="B3470" t="s">
        <v>12988</v>
      </c>
      <c r="C3470" t="s">
        <v>12989</v>
      </c>
      <c r="D3470" t="s">
        <v>510</v>
      </c>
      <c r="E3470" t="s">
        <v>271</v>
      </c>
      <c r="F3470" t="s">
        <v>437</v>
      </c>
    </row>
    <row r="3471" spans="1:6" x14ac:dyDescent="0.25">
      <c r="A3471" t="s">
        <v>1117</v>
      </c>
      <c r="B3471" t="s">
        <v>1118</v>
      </c>
      <c r="C3471" t="s">
        <v>1119</v>
      </c>
      <c r="D3471" t="s">
        <v>1032</v>
      </c>
      <c r="E3471" t="s">
        <v>271</v>
      </c>
      <c r="F3471" t="s">
        <v>1031</v>
      </c>
    </row>
    <row r="3472" spans="1:6" x14ac:dyDescent="0.25">
      <c r="A3472" t="s">
        <v>1634</v>
      </c>
      <c r="B3472" t="s">
        <v>1635</v>
      </c>
      <c r="C3472" t="s">
        <v>1639</v>
      </c>
      <c r="D3472" t="s">
        <v>1638</v>
      </c>
      <c r="E3472" t="s">
        <v>271</v>
      </c>
      <c r="F3472" t="s">
        <v>1637</v>
      </c>
    </row>
    <row r="3473" spans="1:6" x14ac:dyDescent="0.25">
      <c r="A3473" t="s">
        <v>1167</v>
      </c>
      <c r="B3473" t="s">
        <v>1168</v>
      </c>
      <c r="C3473" t="s">
        <v>1169</v>
      </c>
      <c r="D3473" t="s">
        <v>651</v>
      </c>
      <c r="E3473" t="s">
        <v>271</v>
      </c>
      <c r="F3473" t="s">
        <v>650</v>
      </c>
    </row>
    <row r="3474" spans="1:6" x14ac:dyDescent="0.25">
      <c r="A3474" t="s">
        <v>12990</v>
      </c>
      <c r="B3474" t="s">
        <v>12991</v>
      </c>
      <c r="C3474" t="s">
        <v>12992</v>
      </c>
      <c r="D3474" t="s">
        <v>1915</v>
      </c>
      <c r="E3474" t="s">
        <v>269</v>
      </c>
      <c r="F3474" t="s">
        <v>1914</v>
      </c>
    </row>
    <row r="3475" spans="1:6" x14ac:dyDescent="0.25">
      <c r="A3475" t="s">
        <v>12993</v>
      </c>
      <c r="B3475" t="s">
        <v>12994</v>
      </c>
      <c r="C3475" t="s">
        <v>750</v>
      </c>
      <c r="D3475" t="s">
        <v>586</v>
      </c>
      <c r="E3475" t="s">
        <v>271</v>
      </c>
      <c r="F3475" t="s">
        <v>334</v>
      </c>
    </row>
    <row r="3476" spans="1:6" x14ac:dyDescent="0.25">
      <c r="A3476" t="s">
        <v>12995</v>
      </c>
      <c r="B3476" t="s">
        <v>12996</v>
      </c>
      <c r="C3476" t="s">
        <v>12997</v>
      </c>
      <c r="D3476" t="s">
        <v>4957</v>
      </c>
      <c r="E3476" t="s">
        <v>271</v>
      </c>
      <c r="F3476" t="s">
        <v>4406</v>
      </c>
    </row>
    <row r="3477" spans="1:6" x14ac:dyDescent="0.25">
      <c r="A3477" t="s">
        <v>12998</v>
      </c>
      <c r="B3477" t="s">
        <v>12999</v>
      </c>
      <c r="C3477" t="s">
        <v>13000</v>
      </c>
      <c r="D3477" t="s">
        <v>1126</v>
      </c>
      <c r="E3477" t="s">
        <v>271</v>
      </c>
      <c r="F3477" t="s">
        <v>1125</v>
      </c>
    </row>
    <row r="3478" spans="1:6" x14ac:dyDescent="0.25">
      <c r="A3478" t="s">
        <v>13001</v>
      </c>
      <c r="B3478" t="s">
        <v>13002</v>
      </c>
      <c r="C3478" t="s">
        <v>13003</v>
      </c>
      <c r="D3478" t="s">
        <v>1559</v>
      </c>
      <c r="E3478" t="s">
        <v>271</v>
      </c>
      <c r="F3478" t="s">
        <v>1558</v>
      </c>
    </row>
    <row r="3479" spans="1:6" x14ac:dyDescent="0.25">
      <c r="A3479" t="s">
        <v>13004</v>
      </c>
      <c r="B3479" t="s">
        <v>13005</v>
      </c>
      <c r="C3479" t="s">
        <v>13006</v>
      </c>
      <c r="D3479" t="s">
        <v>1485</v>
      </c>
      <c r="E3479" t="s">
        <v>271</v>
      </c>
      <c r="F3479" t="s">
        <v>1519</v>
      </c>
    </row>
    <row r="3480" spans="1:6" x14ac:dyDescent="0.25">
      <c r="A3480" t="s">
        <v>13007</v>
      </c>
      <c r="B3480" t="s">
        <v>13008</v>
      </c>
      <c r="C3480" t="s">
        <v>13009</v>
      </c>
      <c r="D3480" t="s">
        <v>0</v>
      </c>
      <c r="E3480" t="s">
        <v>271</v>
      </c>
      <c r="F3480" t="s">
        <v>356</v>
      </c>
    </row>
    <row r="3481" spans="1:6" x14ac:dyDescent="0.25">
      <c r="A3481" t="s">
        <v>13010</v>
      </c>
      <c r="B3481" t="s">
        <v>13011</v>
      </c>
      <c r="C3481" t="s">
        <v>13012</v>
      </c>
      <c r="D3481" t="s">
        <v>2631</v>
      </c>
      <c r="E3481" t="s">
        <v>271</v>
      </c>
      <c r="F3481" t="s">
        <v>2630</v>
      </c>
    </row>
    <row r="3482" spans="1:6" x14ac:dyDescent="0.25">
      <c r="A3482" t="s">
        <v>2415</v>
      </c>
      <c r="B3482" t="s">
        <v>2416</v>
      </c>
      <c r="C3482" t="s">
        <v>2417</v>
      </c>
      <c r="D3482" t="s">
        <v>1361</v>
      </c>
      <c r="E3482" t="s">
        <v>271</v>
      </c>
      <c r="F3482" t="s">
        <v>1829</v>
      </c>
    </row>
    <row r="3483" spans="1:6" x14ac:dyDescent="0.25">
      <c r="A3483" t="s">
        <v>1826</v>
      </c>
      <c r="B3483" t="s">
        <v>1827</v>
      </c>
      <c r="C3483" t="s">
        <v>1830</v>
      </c>
      <c r="D3483" t="s">
        <v>510</v>
      </c>
      <c r="E3483" t="s">
        <v>271</v>
      </c>
      <c r="F3483" t="s">
        <v>1829</v>
      </c>
    </row>
    <row r="3484" spans="1:6" x14ac:dyDescent="0.25">
      <c r="A3484" t="s">
        <v>13013</v>
      </c>
      <c r="B3484" t="s">
        <v>13014</v>
      </c>
      <c r="C3484" t="s">
        <v>13015</v>
      </c>
      <c r="D3484" t="s">
        <v>0</v>
      </c>
      <c r="E3484" t="s">
        <v>271</v>
      </c>
      <c r="F3484" t="s">
        <v>575</v>
      </c>
    </row>
    <row r="3485" spans="1:6" x14ac:dyDescent="0.25">
      <c r="A3485" t="s">
        <v>13016</v>
      </c>
      <c r="B3485" t="s">
        <v>13017</v>
      </c>
      <c r="C3485" t="s">
        <v>7811</v>
      </c>
      <c r="D3485" t="s">
        <v>500</v>
      </c>
      <c r="E3485" t="s">
        <v>271</v>
      </c>
      <c r="F3485" t="s">
        <v>501</v>
      </c>
    </row>
    <row r="3486" spans="1:6" x14ac:dyDescent="0.25">
      <c r="A3486" t="s">
        <v>13018</v>
      </c>
      <c r="B3486" t="s">
        <v>13019</v>
      </c>
      <c r="C3486" t="s">
        <v>13020</v>
      </c>
      <c r="D3486" t="s">
        <v>0</v>
      </c>
      <c r="E3486" t="s">
        <v>271</v>
      </c>
      <c r="F3486" t="s">
        <v>881</v>
      </c>
    </row>
    <row r="3487" spans="1:6" x14ac:dyDescent="0.25">
      <c r="A3487" t="s">
        <v>13021</v>
      </c>
      <c r="B3487" t="s">
        <v>13022</v>
      </c>
      <c r="C3487" t="s">
        <v>13023</v>
      </c>
      <c r="D3487" t="s">
        <v>0</v>
      </c>
      <c r="E3487" t="s">
        <v>271</v>
      </c>
      <c r="F3487" t="s">
        <v>1141</v>
      </c>
    </row>
    <row r="3488" spans="1:6" x14ac:dyDescent="0.25">
      <c r="A3488" t="s">
        <v>13024</v>
      </c>
      <c r="B3488" t="s">
        <v>13025</v>
      </c>
      <c r="C3488" t="s">
        <v>13026</v>
      </c>
      <c r="D3488" t="s">
        <v>3343</v>
      </c>
      <c r="E3488" t="s">
        <v>271</v>
      </c>
      <c r="F3488" t="s">
        <v>3342</v>
      </c>
    </row>
    <row r="3489" spans="1:6" x14ac:dyDescent="0.25">
      <c r="A3489" t="s">
        <v>13027</v>
      </c>
      <c r="B3489" t="s">
        <v>13028</v>
      </c>
      <c r="C3489" t="s">
        <v>13029</v>
      </c>
      <c r="D3489" t="s">
        <v>492</v>
      </c>
      <c r="E3489" t="s">
        <v>271</v>
      </c>
      <c r="F3489" t="s">
        <v>493</v>
      </c>
    </row>
    <row r="3490" spans="1:6" x14ac:dyDescent="0.25">
      <c r="A3490" t="s">
        <v>13030</v>
      </c>
      <c r="B3490" t="s">
        <v>8645</v>
      </c>
      <c r="C3490" t="s">
        <v>13031</v>
      </c>
      <c r="D3490" t="s">
        <v>0</v>
      </c>
      <c r="E3490" t="s">
        <v>271</v>
      </c>
      <c r="F3490" t="s">
        <v>325</v>
      </c>
    </row>
    <row r="3491" spans="1:6" x14ac:dyDescent="0.25">
      <c r="A3491" t="s">
        <v>13032</v>
      </c>
      <c r="B3491" t="s">
        <v>13033</v>
      </c>
      <c r="C3491" t="s">
        <v>13034</v>
      </c>
      <c r="D3491" t="s">
        <v>742</v>
      </c>
      <c r="E3491" t="s">
        <v>271</v>
      </c>
      <c r="F3491" t="s">
        <v>741</v>
      </c>
    </row>
    <row r="3492" spans="1:6" x14ac:dyDescent="0.25">
      <c r="A3492" t="s">
        <v>13035</v>
      </c>
      <c r="B3492" t="s">
        <v>13036</v>
      </c>
      <c r="C3492" t="s">
        <v>13037</v>
      </c>
      <c r="D3492" t="s">
        <v>498</v>
      </c>
      <c r="E3492" t="s">
        <v>271</v>
      </c>
      <c r="F3492" t="s">
        <v>926</v>
      </c>
    </row>
    <row r="3493" spans="1:6" x14ac:dyDescent="0.25">
      <c r="A3493" t="s">
        <v>13038</v>
      </c>
      <c r="B3493" t="s">
        <v>8582</v>
      </c>
      <c r="C3493" t="s">
        <v>8583</v>
      </c>
      <c r="D3493" t="s">
        <v>0</v>
      </c>
      <c r="E3493" t="s">
        <v>271</v>
      </c>
      <c r="F3493" t="s">
        <v>1180</v>
      </c>
    </row>
    <row r="3494" spans="1:6" x14ac:dyDescent="0.25">
      <c r="A3494" t="s">
        <v>13039</v>
      </c>
      <c r="B3494" t="s">
        <v>13040</v>
      </c>
      <c r="C3494" t="s">
        <v>13041</v>
      </c>
      <c r="D3494" t="s">
        <v>1079</v>
      </c>
      <c r="E3494" t="s">
        <v>271</v>
      </c>
      <c r="F3494" t="s">
        <v>1078</v>
      </c>
    </row>
    <row r="3495" spans="1:6" x14ac:dyDescent="0.25">
      <c r="A3495" t="s">
        <v>13042</v>
      </c>
      <c r="B3495" t="s">
        <v>13043</v>
      </c>
      <c r="C3495" t="s">
        <v>13044</v>
      </c>
      <c r="D3495" t="s">
        <v>718</v>
      </c>
      <c r="E3495" t="s">
        <v>271</v>
      </c>
      <c r="F3495" t="s">
        <v>333</v>
      </c>
    </row>
    <row r="3496" spans="1:6" x14ac:dyDescent="0.25">
      <c r="A3496" t="s">
        <v>13045</v>
      </c>
      <c r="B3496" t="s">
        <v>13046</v>
      </c>
      <c r="C3496" t="s">
        <v>13047</v>
      </c>
      <c r="D3496" t="s">
        <v>0</v>
      </c>
      <c r="E3496" t="s">
        <v>271</v>
      </c>
      <c r="F3496" t="s">
        <v>3740</v>
      </c>
    </row>
    <row r="3497" spans="1:6" x14ac:dyDescent="0.25">
      <c r="A3497" t="s">
        <v>13048</v>
      </c>
      <c r="B3497" t="s">
        <v>13049</v>
      </c>
      <c r="C3497" t="s">
        <v>13050</v>
      </c>
      <c r="D3497" t="s">
        <v>9299</v>
      </c>
      <c r="E3497" t="s">
        <v>269</v>
      </c>
      <c r="F3497" t="s">
        <v>13051</v>
      </c>
    </row>
    <row r="3498" spans="1:6" x14ac:dyDescent="0.25">
      <c r="A3498" t="s">
        <v>1382</v>
      </c>
      <c r="B3498" t="s">
        <v>1383</v>
      </c>
      <c r="C3498" t="s">
        <v>1384</v>
      </c>
      <c r="D3498" t="s">
        <v>0</v>
      </c>
      <c r="E3498" t="s">
        <v>271</v>
      </c>
      <c r="F3498" t="s">
        <v>319</v>
      </c>
    </row>
    <row r="3499" spans="1:6" x14ac:dyDescent="0.25">
      <c r="A3499" t="s">
        <v>13052</v>
      </c>
      <c r="B3499" t="s">
        <v>13053</v>
      </c>
      <c r="C3499" t="s">
        <v>13054</v>
      </c>
      <c r="D3499" t="s">
        <v>0</v>
      </c>
      <c r="E3499" t="s">
        <v>271</v>
      </c>
      <c r="F3499" t="s">
        <v>1321</v>
      </c>
    </row>
    <row r="3500" spans="1:6" x14ac:dyDescent="0.25">
      <c r="A3500" t="s">
        <v>13055</v>
      </c>
      <c r="B3500" t="s">
        <v>13056</v>
      </c>
      <c r="C3500" t="s">
        <v>13057</v>
      </c>
      <c r="D3500" t="s">
        <v>1079</v>
      </c>
      <c r="E3500" t="s">
        <v>271</v>
      </c>
      <c r="F3500" t="s">
        <v>3880</v>
      </c>
    </row>
    <row r="3501" spans="1:6" x14ac:dyDescent="0.25">
      <c r="A3501" t="s">
        <v>13058</v>
      </c>
      <c r="B3501" t="s">
        <v>13059</v>
      </c>
      <c r="C3501" t="s">
        <v>13060</v>
      </c>
      <c r="D3501" t="s">
        <v>237</v>
      </c>
      <c r="E3501" t="s">
        <v>271</v>
      </c>
      <c r="F3501" t="s">
        <v>427</v>
      </c>
    </row>
    <row r="3502" spans="1:6" x14ac:dyDescent="0.25">
      <c r="A3502" t="s">
        <v>13061</v>
      </c>
      <c r="B3502" t="s">
        <v>13062</v>
      </c>
      <c r="C3502" t="s">
        <v>11554</v>
      </c>
      <c r="D3502" t="s">
        <v>578</v>
      </c>
      <c r="E3502" t="s">
        <v>271</v>
      </c>
      <c r="F3502" t="s">
        <v>321</v>
      </c>
    </row>
    <row r="3503" spans="1:6" x14ac:dyDescent="0.25">
      <c r="A3503" t="s">
        <v>13063</v>
      </c>
      <c r="B3503" t="s">
        <v>13064</v>
      </c>
      <c r="C3503" t="s">
        <v>13065</v>
      </c>
      <c r="D3503" t="s">
        <v>586</v>
      </c>
      <c r="E3503" t="s">
        <v>271</v>
      </c>
      <c r="F3503" t="s">
        <v>334</v>
      </c>
    </row>
    <row r="3504" spans="1:6" x14ac:dyDescent="0.25">
      <c r="A3504" t="s">
        <v>13066</v>
      </c>
      <c r="B3504" t="s">
        <v>13067</v>
      </c>
      <c r="C3504" t="s">
        <v>13068</v>
      </c>
      <c r="D3504" t="s">
        <v>1239</v>
      </c>
      <c r="E3504" t="s">
        <v>271</v>
      </c>
      <c r="F3504" t="s">
        <v>1238</v>
      </c>
    </row>
    <row r="3505" spans="1:6" x14ac:dyDescent="0.25">
      <c r="A3505" t="s">
        <v>13069</v>
      </c>
      <c r="B3505" t="s">
        <v>13070</v>
      </c>
      <c r="C3505" t="s">
        <v>13071</v>
      </c>
      <c r="D3505" t="s">
        <v>1915</v>
      </c>
      <c r="E3505" t="s">
        <v>269</v>
      </c>
      <c r="F3505" t="s">
        <v>1914</v>
      </c>
    </row>
    <row r="3506" spans="1:6" x14ac:dyDescent="0.25">
      <c r="A3506" t="s">
        <v>13072</v>
      </c>
      <c r="B3506" t="s">
        <v>13073</v>
      </c>
      <c r="C3506" t="s">
        <v>13074</v>
      </c>
      <c r="D3506" t="s">
        <v>453</v>
      </c>
      <c r="E3506" t="s">
        <v>271</v>
      </c>
      <c r="F3506" t="s">
        <v>454</v>
      </c>
    </row>
    <row r="3507" spans="1:6" x14ac:dyDescent="0.25">
      <c r="A3507" t="s">
        <v>2871</v>
      </c>
      <c r="B3507" t="s">
        <v>2872</v>
      </c>
      <c r="C3507" t="s">
        <v>2873</v>
      </c>
      <c r="D3507" t="s">
        <v>0</v>
      </c>
      <c r="E3507" t="s">
        <v>271</v>
      </c>
      <c r="F3507" t="s">
        <v>436</v>
      </c>
    </row>
    <row r="3508" spans="1:6" x14ac:dyDescent="0.25">
      <c r="A3508" t="s">
        <v>13075</v>
      </c>
      <c r="B3508" t="s">
        <v>13076</v>
      </c>
      <c r="C3508" t="s">
        <v>13077</v>
      </c>
      <c r="D3508" t="s">
        <v>7183</v>
      </c>
      <c r="E3508" t="s">
        <v>271</v>
      </c>
      <c r="F3508" t="s">
        <v>424</v>
      </c>
    </row>
    <row r="3509" spans="1:6" x14ac:dyDescent="0.25">
      <c r="A3509" t="s">
        <v>13078</v>
      </c>
      <c r="B3509" t="s">
        <v>13079</v>
      </c>
      <c r="C3509" t="s">
        <v>13080</v>
      </c>
      <c r="D3509" t="s">
        <v>1079</v>
      </c>
      <c r="E3509" t="s">
        <v>271</v>
      </c>
      <c r="F3509" t="s">
        <v>3880</v>
      </c>
    </row>
    <row r="3510" spans="1:6" x14ac:dyDescent="0.25">
      <c r="A3510" t="s">
        <v>13081</v>
      </c>
      <c r="B3510" t="s">
        <v>13082</v>
      </c>
      <c r="C3510" t="s">
        <v>13083</v>
      </c>
      <c r="D3510" t="s">
        <v>7173</v>
      </c>
      <c r="E3510" t="s">
        <v>271</v>
      </c>
      <c r="F3510" t="s">
        <v>3256</v>
      </c>
    </row>
    <row r="3511" spans="1:6" x14ac:dyDescent="0.25">
      <c r="A3511" t="s">
        <v>13084</v>
      </c>
      <c r="B3511" t="s">
        <v>13085</v>
      </c>
      <c r="C3511" t="s">
        <v>13086</v>
      </c>
      <c r="D3511" t="s">
        <v>0</v>
      </c>
      <c r="E3511" t="s">
        <v>271</v>
      </c>
      <c r="F3511" t="s">
        <v>1180</v>
      </c>
    </row>
    <row r="3512" spans="1:6" x14ac:dyDescent="0.25">
      <c r="A3512" t="s">
        <v>13087</v>
      </c>
      <c r="B3512" t="s">
        <v>13088</v>
      </c>
      <c r="C3512" t="s">
        <v>13089</v>
      </c>
      <c r="D3512" t="s">
        <v>239</v>
      </c>
      <c r="E3512" t="s">
        <v>271</v>
      </c>
      <c r="F3512" t="s">
        <v>544</v>
      </c>
    </row>
    <row r="3513" spans="1:6" x14ac:dyDescent="0.25">
      <c r="A3513" t="s">
        <v>13090</v>
      </c>
      <c r="B3513" t="s">
        <v>13091</v>
      </c>
      <c r="C3513" t="s">
        <v>13092</v>
      </c>
      <c r="D3513" t="s">
        <v>793</v>
      </c>
      <c r="E3513" t="s">
        <v>271</v>
      </c>
      <c r="F3513" t="s">
        <v>792</v>
      </c>
    </row>
    <row r="3514" spans="1:6" x14ac:dyDescent="0.25">
      <c r="A3514" t="s">
        <v>13093</v>
      </c>
      <c r="B3514" t="s">
        <v>13094</v>
      </c>
      <c r="C3514" t="s">
        <v>13095</v>
      </c>
      <c r="D3514" t="s">
        <v>7248</v>
      </c>
      <c r="E3514" t="s">
        <v>271</v>
      </c>
      <c r="F3514" t="s">
        <v>4438</v>
      </c>
    </row>
    <row r="3515" spans="1:6" x14ac:dyDescent="0.25">
      <c r="A3515" t="s">
        <v>13096</v>
      </c>
      <c r="B3515" t="s">
        <v>13097</v>
      </c>
      <c r="C3515" t="s">
        <v>13098</v>
      </c>
      <c r="D3515" t="s">
        <v>1165</v>
      </c>
      <c r="E3515" t="s">
        <v>271</v>
      </c>
      <c r="F3515" t="s">
        <v>1164</v>
      </c>
    </row>
    <row r="3516" spans="1:6" x14ac:dyDescent="0.25">
      <c r="A3516" t="s">
        <v>1952</v>
      </c>
      <c r="B3516" t="s">
        <v>1953</v>
      </c>
      <c r="C3516" t="s">
        <v>1954</v>
      </c>
      <c r="D3516" t="s">
        <v>460</v>
      </c>
      <c r="E3516" t="s">
        <v>271</v>
      </c>
      <c r="F3516" t="s">
        <v>424</v>
      </c>
    </row>
    <row r="3517" spans="1:6" x14ac:dyDescent="0.25">
      <c r="A3517" t="s">
        <v>13099</v>
      </c>
      <c r="B3517" t="s">
        <v>13100</v>
      </c>
      <c r="C3517" t="s">
        <v>13101</v>
      </c>
      <c r="D3517" t="s">
        <v>668</v>
      </c>
      <c r="E3517" t="s">
        <v>271</v>
      </c>
      <c r="F3517" t="s">
        <v>667</v>
      </c>
    </row>
    <row r="3518" spans="1:6" x14ac:dyDescent="0.25">
      <c r="A3518" t="s">
        <v>13102</v>
      </c>
      <c r="B3518" t="s">
        <v>13103</v>
      </c>
      <c r="C3518" t="s">
        <v>13104</v>
      </c>
      <c r="D3518" t="s">
        <v>0</v>
      </c>
      <c r="E3518" t="s">
        <v>271</v>
      </c>
      <c r="F3518" t="s">
        <v>3740</v>
      </c>
    </row>
    <row r="3519" spans="1:6" x14ac:dyDescent="0.25">
      <c r="A3519" t="s">
        <v>13105</v>
      </c>
      <c r="B3519" t="s">
        <v>10533</v>
      </c>
      <c r="C3519" t="s">
        <v>10534</v>
      </c>
      <c r="D3519" t="s">
        <v>6005</v>
      </c>
      <c r="E3519" t="s">
        <v>271</v>
      </c>
      <c r="F3519" t="s">
        <v>4399</v>
      </c>
    </row>
    <row r="3520" spans="1:6" x14ac:dyDescent="0.25">
      <c r="A3520" t="s">
        <v>1342</v>
      </c>
      <c r="B3520" t="s">
        <v>1343</v>
      </c>
      <c r="C3520" t="s">
        <v>1344</v>
      </c>
      <c r="D3520" t="s">
        <v>0</v>
      </c>
      <c r="E3520" t="s">
        <v>271</v>
      </c>
      <c r="F3520" t="s">
        <v>431</v>
      </c>
    </row>
    <row r="3521" spans="1:6" x14ac:dyDescent="0.25">
      <c r="A3521" t="s">
        <v>13106</v>
      </c>
      <c r="B3521" t="s">
        <v>13107</v>
      </c>
      <c r="C3521" t="s">
        <v>7148</v>
      </c>
      <c r="D3521" t="s">
        <v>0</v>
      </c>
      <c r="E3521" t="s">
        <v>271</v>
      </c>
      <c r="F3521" t="s">
        <v>356</v>
      </c>
    </row>
    <row r="3522" spans="1:6" x14ac:dyDescent="0.25">
      <c r="A3522" t="s">
        <v>13108</v>
      </c>
      <c r="B3522" t="s">
        <v>13109</v>
      </c>
      <c r="C3522" t="s">
        <v>13110</v>
      </c>
      <c r="D3522" t="s">
        <v>0</v>
      </c>
      <c r="E3522" t="s">
        <v>271</v>
      </c>
      <c r="F3522" t="s">
        <v>1679</v>
      </c>
    </row>
    <row r="3523" spans="1:6" x14ac:dyDescent="0.25">
      <c r="A3523" t="s">
        <v>1677</v>
      </c>
      <c r="B3523" t="s">
        <v>1678</v>
      </c>
      <c r="C3523" t="s">
        <v>1680</v>
      </c>
      <c r="D3523" t="s">
        <v>0</v>
      </c>
      <c r="E3523" t="s">
        <v>271</v>
      </c>
      <c r="F3523" t="s">
        <v>1679</v>
      </c>
    </row>
    <row r="3524" spans="1:6" x14ac:dyDescent="0.25">
      <c r="A3524" t="s">
        <v>13111</v>
      </c>
      <c r="B3524" t="s">
        <v>13112</v>
      </c>
      <c r="C3524" t="s">
        <v>13113</v>
      </c>
      <c r="D3524" t="s">
        <v>237</v>
      </c>
      <c r="E3524" t="s">
        <v>271</v>
      </c>
      <c r="F3524" t="s">
        <v>427</v>
      </c>
    </row>
    <row r="3525" spans="1:6" x14ac:dyDescent="0.25">
      <c r="A3525" t="s">
        <v>814</v>
      </c>
      <c r="B3525" t="s">
        <v>815</v>
      </c>
      <c r="C3525" t="s">
        <v>818</v>
      </c>
      <c r="D3525" t="s">
        <v>817</v>
      </c>
      <c r="E3525" t="s">
        <v>271</v>
      </c>
      <c r="F3525" t="s">
        <v>816</v>
      </c>
    </row>
    <row r="3526" spans="1:6" x14ac:dyDescent="0.25">
      <c r="A3526" t="s">
        <v>13114</v>
      </c>
      <c r="B3526" t="s">
        <v>13115</v>
      </c>
      <c r="C3526" t="s">
        <v>13116</v>
      </c>
      <c r="D3526" t="s">
        <v>668</v>
      </c>
      <c r="E3526" t="s">
        <v>271</v>
      </c>
      <c r="F3526" t="s">
        <v>667</v>
      </c>
    </row>
    <row r="3527" spans="1:6" x14ac:dyDescent="0.25">
      <c r="A3527" t="s">
        <v>13117</v>
      </c>
      <c r="B3527" t="s">
        <v>13118</v>
      </c>
      <c r="C3527" t="s">
        <v>13119</v>
      </c>
      <c r="D3527" t="s">
        <v>361</v>
      </c>
      <c r="E3527" t="s">
        <v>271</v>
      </c>
      <c r="F3527" t="s">
        <v>1563</v>
      </c>
    </row>
    <row r="3528" spans="1:6" x14ac:dyDescent="0.25">
      <c r="A3528" t="s">
        <v>13120</v>
      </c>
      <c r="B3528" t="s">
        <v>13121</v>
      </c>
      <c r="C3528" t="s">
        <v>13122</v>
      </c>
      <c r="D3528" t="s">
        <v>1915</v>
      </c>
      <c r="E3528" t="s">
        <v>269</v>
      </c>
      <c r="F3528" t="s">
        <v>1914</v>
      </c>
    </row>
    <row r="3529" spans="1:6" x14ac:dyDescent="0.25">
      <c r="A3529" t="s">
        <v>13123</v>
      </c>
      <c r="B3529" t="s">
        <v>13124</v>
      </c>
      <c r="C3529" t="s">
        <v>13125</v>
      </c>
      <c r="D3529" t="s">
        <v>0</v>
      </c>
      <c r="E3529" t="s">
        <v>271</v>
      </c>
      <c r="F3529" t="s">
        <v>355</v>
      </c>
    </row>
    <row r="3530" spans="1:6" x14ac:dyDescent="0.25">
      <c r="A3530" t="s">
        <v>13126</v>
      </c>
      <c r="B3530" t="s">
        <v>253</v>
      </c>
      <c r="C3530" t="s">
        <v>13127</v>
      </c>
      <c r="D3530" t="s">
        <v>498</v>
      </c>
      <c r="E3530" t="s">
        <v>271</v>
      </c>
      <c r="F3530" t="s">
        <v>926</v>
      </c>
    </row>
    <row r="3531" spans="1:6" x14ac:dyDescent="0.25">
      <c r="A3531" t="s">
        <v>13128</v>
      </c>
      <c r="B3531" t="s">
        <v>13129</v>
      </c>
      <c r="C3531" t="s">
        <v>12405</v>
      </c>
      <c r="D3531" t="s">
        <v>2692</v>
      </c>
      <c r="E3531" t="s">
        <v>269</v>
      </c>
      <c r="F3531" t="s">
        <v>2691</v>
      </c>
    </row>
    <row r="3532" spans="1:6" x14ac:dyDescent="0.25">
      <c r="A3532" t="s">
        <v>819</v>
      </c>
      <c r="B3532" t="s">
        <v>820</v>
      </c>
      <c r="C3532" t="s">
        <v>823</v>
      </c>
      <c r="D3532" t="s">
        <v>822</v>
      </c>
      <c r="E3532" t="s">
        <v>269</v>
      </c>
      <c r="F3532" t="s">
        <v>821</v>
      </c>
    </row>
    <row r="3533" spans="1:6" x14ac:dyDescent="0.25">
      <c r="A3533" t="s">
        <v>13130</v>
      </c>
      <c r="B3533" t="s">
        <v>13131</v>
      </c>
      <c r="C3533" t="s">
        <v>13132</v>
      </c>
      <c r="D3533" t="s">
        <v>498</v>
      </c>
      <c r="E3533" t="s">
        <v>271</v>
      </c>
      <c r="F3533" t="s">
        <v>926</v>
      </c>
    </row>
    <row r="3534" spans="1:6" x14ac:dyDescent="0.25">
      <c r="A3534" t="s">
        <v>13133</v>
      </c>
      <c r="B3534" t="s">
        <v>13134</v>
      </c>
      <c r="C3534" t="s">
        <v>13135</v>
      </c>
      <c r="D3534" t="s">
        <v>1455</v>
      </c>
      <c r="E3534" t="s">
        <v>271</v>
      </c>
      <c r="F3534" t="s">
        <v>1454</v>
      </c>
    </row>
    <row r="3535" spans="1:6" x14ac:dyDescent="0.25">
      <c r="A3535" t="s">
        <v>13136</v>
      </c>
      <c r="B3535" t="s">
        <v>13137</v>
      </c>
      <c r="C3535" t="s">
        <v>13138</v>
      </c>
      <c r="D3535" t="s">
        <v>0</v>
      </c>
      <c r="E3535" t="s">
        <v>271</v>
      </c>
      <c r="F3535" t="s">
        <v>2641</v>
      </c>
    </row>
    <row r="3536" spans="1:6" x14ac:dyDescent="0.25">
      <c r="A3536" t="s">
        <v>13139</v>
      </c>
      <c r="B3536" t="s">
        <v>9893</v>
      </c>
      <c r="C3536" t="s">
        <v>13140</v>
      </c>
      <c r="D3536" t="s">
        <v>450</v>
      </c>
      <c r="E3536" t="s">
        <v>271</v>
      </c>
      <c r="F3536" t="s">
        <v>326</v>
      </c>
    </row>
    <row r="3537" spans="1:6" x14ac:dyDescent="0.25">
      <c r="A3537" t="s">
        <v>13141</v>
      </c>
      <c r="B3537" t="s">
        <v>13142</v>
      </c>
      <c r="C3537" t="s">
        <v>13143</v>
      </c>
      <c r="D3537" t="s">
        <v>4486</v>
      </c>
      <c r="E3537" t="s">
        <v>271</v>
      </c>
      <c r="F3537" t="s">
        <v>4417</v>
      </c>
    </row>
    <row r="3538" spans="1:6" x14ac:dyDescent="0.25">
      <c r="A3538" t="s">
        <v>13144</v>
      </c>
      <c r="B3538" t="s">
        <v>13145</v>
      </c>
      <c r="C3538" t="s">
        <v>13146</v>
      </c>
      <c r="D3538" t="s">
        <v>0</v>
      </c>
      <c r="E3538" t="s">
        <v>271</v>
      </c>
      <c r="F3538" t="s">
        <v>319</v>
      </c>
    </row>
    <row r="3539" spans="1:6" x14ac:dyDescent="0.25">
      <c r="A3539" t="s">
        <v>13147</v>
      </c>
      <c r="B3539" t="s">
        <v>13148</v>
      </c>
      <c r="C3539" t="s">
        <v>13149</v>
      </c>
      <c r="D3539" t="s">
        <v>2578</v>
      </c>
      <c r="E3539" t="s">
        <v>271</v>
      </c>
      <c r="F3539" t="s">
        <v>2577</v>
      </c>
    </row>
    <row r="3540" spans="1:6" x14ac:dyDescent="0.25">
      <c r="A3540" t="s">
        <v>13150</v>
      </c>
      <c r="B3540" t="s">
        <v>13151</v>
      </c>
      <c r="C3540" t="s">
        <v>13152</v>
      </c>
      <c r="D3540" t="s">
        <v>0</v>
      </c>
      <c r="E3540" t="s">
        <v>271</v>
      </c>
      <c r="F3540" t="s">
        <v>809</v>
      </c>
    </row>
    <row r="3541" spans="1:6" x14ac:dyDescent="0.25">
      <c r="A3541" t="s">
        <v>13153</v>
      </c>
      <c r="B3541" t="s">
        <v>13154</v>
      </c>
      <c r="C3541" t="s">
        <v>13155</v>
      </c>
      <c r="D3541" t="s">
        <v>1126</v>
      </c>
      <c r="E3541" t="s">
        <v>271</v>
      </c>
      <c r="F3541" t="s">
        <v>1125</v>
      </c>
    </row>
    <row r="3542" spans="1:6" x14ac:dyDescent="0.25">
      <c r="A3542" t="s">
        <v>13156</v>
      </c>
      <c r="B3542" t="s">
        <v>13157</v>
      </c>
      <c r="C3542" t="s">
        <v>13158</v>
      </c>
      <c r="D3542" t="s">
        <v>237</v>
      </c>
      <c r="E3542" t="s">
        <v>271</v>
      </c>
      <c r="F3542" t="s">
        <v>427</v>
      </c>
    </row>
    <row r="3543" spans="1:6" x14ac:dyDescent="0.25">
      <c r="A3543" t="s">
        <v>13159</v>
      </c>
      <c r="B3543" t="s">
        <v>13160</v>
      </c>
      <c r="C3543" t="s">
        <v>13161</v>
      </c>
      <c r="D3543" t="s">
        <v>239</v>
      </c>
      <c r="E3543" t="s">
        <v>271</v>
      </c>
      <c r="F3543" t="s">
        <v>544</v>
      </c>
    </row>
    <row r="3544" spans="1:6" x14ac:dyDescent="0.25">
      <c r="A3544" t="s">
        <v>13162</v>
      </c>
      <c r="B3544" t="s">
        <v>13163</v>
      </c>
      <c r="C3544" t="s">
        <v>13164</v>
      </c>
      <c r="D3544" t="s">
        <v>0</v>
      </c>
      <c r="E3544" t="s">
        <v>271</v>
      </c>
      <c r="F3544" t="s">
        <v>332</v>
      </c>
    </row>
    <row r="3545" spans="1:6" x14ac:dyDescent="0.25">
      <c r="A3545" t="s">
        <v>13165</v>
      </c>
      <c r="B3545" t="s">
        <v>13166</v>
      </c>
      <c r="C3545" t="s">
        <v>13167</v>
      </c>
      <c r="D3545" t="s">
        <v>488</v>
      </c>
      <c r="E3545" t="s">
        <v>271</v>
      </c>
      <c r="F3545" t="s">
        <v>3652</v>
      </c>
    </row>
    <row r="3546" spans="1:6" x14ac:dyDescent="0.25">
      <c r="A3546" t="s">
        <v>13168</v>
      </c>
      <c r="B3546" t="s">
        <v>13169</v>
      </c>
      <c r="C3546" t="s">
        <v>5417</v>
      </c>
      <c r="D3546" t="s">
        <v>1079</v>
      </c>
      <c r="E3546" t="s">
        <v>271</v>
      </c>
      <c r="F3546" t="s">
        <v>3880</v>
      </c>
    </row>
    <row r="3547" spans="1:6" x14ac:dyDescent="0.25">
      <c r="A3547" t="s">
        <v>2513</v>
      </c>
      <c r="B3547" t="s">
        <v>2514</v>
      </c>
      <c r="C3547" t="s">
        <v>2515</v>
      </c>
      <c r="D3547" t="s">
        <v>0</v>
      </c>
      <c r="E3547" t="s">
        <v>271</v>
      </c>
      <c r="F3547" t="s">
        <v>436</v>
      </c>
    </row>
    <row r="3548" spans="1:6" x14ac:dyDescent="0.25">
      <c r="A3548" t="s">
        <v>13170</v>
      </c>
      <c r="B3548" t="s">
        <v>13171</v>
      </c>
      <c r="C3548" t="s">
        <v>13172</v>
      </c>
      <c r="D3548" t="s">
        <v>0</v>
      </c>
      <c r="E3548" t="s">
        <v>271</v>
      </c>
      <c r="F3548" t="s">
        <v>436</v>
      </c>
    </row>
    <row r="3549" spans="1:6" x14ac:dyDescent="0.25">
      <c r="A3549" t="s">
        <v>13173</v>
      </c>
      <c r="B3549" t="s">
        <v>6174</v>
      </c>
      <c r="C3549" t="s">
        <v>13174</v>
      </c>
      <c r="D3549" t="s">
        <v>0</v>
      </c>
      <c r="E3549" t="s">
        <v>271</v>
      </c>
      <c r="F3549" t="s">
        <v>356</v>
      </c>
    </row>
    <row r="3550" spans="1:6" x14ac:dyDescent="0.25">
      <c r="A3550" t="s">
        <v>13175</v>
      </c>
      <c r="B3550" t="s">
        <v>6353</v>
      </c>
      <c r="C3550" t="s">
        <v>13176</v>
      </c>
      <c r="D3550" t="s">
        <v>0</v>
      </c>
      <c r="E3550" t="s">
        <v>271</v>
      </c>
      <c r="F3550" t="s">
        <v>319</v>
      </c>
    </row>
    <row r="3551" spans="1:6" x14ac:dyDescent="0.25">
      <c r="A3551" t="s">
        <v>13177</v>
      </c>
      <c r="B3551" t="s">
        <v>13178</v>
      </c>
      <c r="C3551" t="s">
        <v>940</v>
      </c>
      <c r="D3551" t="s">
        <v>0</v>
      </c>
      <c r="E3551" t="s">
        <v>271</v>
      </c>
      <c r="F3551" t="s">
        <v>726</v>
      </c>
    </row>
    <row r="3552" spans="1:6" x14ac:dyDescent="0.25">
      <c r="A3552" t="s">
        <v>13179</v>
      </c>
      <c r="B3552" t="s">
        <v>471</v>
      </c>
      <c r="C3552" t="s">
        <v>13180</v>
      </c>
      <c r="D3552" t="s">
        <v>0</v>
      </c>
      <c r="E3552" t="s">
        <v>271</v>
      </c>
      <c r="F3552" t="s">
        <v>332</v>
      </c>
    </row>
    <row r="3553" spans="1:6" x14ac:dyDescent="0.25">
      <c r="A3553" t="s">
        <v>13181</v>
      </c>
      <c r="B3553" t="s">
        <v>13182</v>
      </c>
      <c r="C3553" t="s">
        <v>13183</v>
      </c>
      <c r="D3553" t="s">
        <v>6201</v>
      </c>
      <c r="E3553" t="s">
        <v>271</v>
      </c>
      <c r="F3553" t="s">
        <v>13184</v>
      </c>
    </row>
    <row r="3554" spans="1:6" x14ac:dyDescent="0.25">
      <c r="A3554" t="s">
        <v>13185</v>
      </c>
      <c r="B3554" t="s">
        <v>13186</v>
      </c>
      <c r="C3554" t="s">
        <v>7444</v>
      </c>
      <c r="D3554" t="s">
        <v>466</v>
      </c>
      <c r="E3554" t="s">
        <v>271</v>
      </c>
      <c r="F3554" t="s">
        <v>434</v>
      </c>
    </row>
    <row r="3555" spans="1:6" x14ac:dyDescent="0.25">
      <c r="A3555" t="s">
        <v>13187</v>
      </c>
      <c r="B3555" t="s">
        <v>13188</v>
      </c>
      <c r="C3555" t="s">
        <v>13189</v>
      </c>
      <c r="D3555" t="s">
        <v>0</v>
      </c>
      <c r="E3555" t="s">
        <v>271</v>
      </c>
      <c r="F3555" t="s">
        <v>355</v>
      </c>
    </row>
    <row r="3556" spans="1:6" x14ac:dyDescent="0.25">
      <c r="A3556" t="s">
        <v>13190</v>
      </c>
      <c r="B3556" t="s">
        <v>13191</v>
      </c>
      <c r="C3556" t="s">
        <v>13192</v>
      </c>
      <c r="D3556" t="s">
        <v>967</v>
      </c>
      <c r="E3556" t="s">
        <v>271</v>
      </c>
      <c r="F3556" t="s">
        <v>966</v>
      </c>
    </row>
    <row r="3557" spans="1:6" x14ac:dyDescent="0.25">
      <c r="A3557" t="s">
        <v>13193</v>
      </c>
      <c r="B3557" t="s">
        <v>13194</v>
      </c>
      <c r="C3557" t="s">
        <v>13195</v>
      </c>
      <c r="D3557" t="s">
        <v>395</v>
      </c>
      <c r="E3557" t="s">
        <v>341</v>
      </c>
      <c r="F3557" t="s">
        <v>394</v>
      </c>
    </row>
    <row r="3558" spans="1:6" x14ac:dyDescent="0.25">
      <c r="A3558" t="s">
        <v>13196</v>
      </c>
      <c r="B3558" t="s">
        <v>13197</v>
      </c>
      <c r="C3558" t="s">
        <v>13198</v>
      </c>
      <c r="D3558" t="s">
        <v>13199</v>
      </c>
      <c r="E3558" t="s">
        <v>13200</v>
      </c>
      <c r="F3558" t="s">
        <v>13201</v>
      </c>
    </row>
    <row r="3559" spans="1:6" x14ac:dyDescent="0.25">
      <c r="A3559" t="s">
        <v>13202</v>
      </c>
      <c r="B3559" t="s">
        <v>13203</v>
      </c>
      <c r="C3559" t="s">
        <v>13204</v>
      </c>
      <c r="D3559" t="s">
        <v>972</v>
      </c>
      <c r="E3559" t="s">
        <v>269</v>
      </c>
      <c r="F3559" t="s">
        <v>971</v>
      </c>
    </row>
    <row r="3560" spans="1:6" x14ac:dyDescent="0.25">
      <c r="A3560" t="s">
        <v>1415</v>
      </c>
      <c r="B3560" t="s">
        <v>1416</v>
      </c>
      <c r="C3560" t="s">
        <v>1417</v>
      </c>
      <c r="D3560" t="s">
        <v>0</v>
      </c>
      <c r="E3560" t="s">
        <v>271</v>
      </c>
      <c r="F3560" t="s">
        <v>881</v>
      </c>
    </row>
    <row r="3561" spans="1:6" x14ac:dyDescent="0.25">
      <c r="A3561" t="s">
        <v>13205</v>
      </c>
      <c r="B3561" t="s">
        <v>13206</v>
      </c>
      <c r="C3561" t="s">
        <v>13207</v>
      </c>
      <c r="D3561" t="s">
        <v>272</v>
      </c>
      <c r="E3561" t="s">
        <v>269</v>
      </c>
      <c r="F3561" t="s">
        <v>907</v>
      </c>
    </row>
    <row r="3562" spans="1:6" x14ac:dyDescent="0.25">
      <c r="A3562" t="s">
        <v>13208</v>
      </c>
      <c r="B3562" t="s">
        <v>13209</v>
      </c>
      <c r="C3562" t="s">
        <v>13210</v>
      </c>
      <c r="D3562" t="s">
        <v>13211</v>
      </c>
      <c r="E3562" t="s">
        <v>457</v>
      </c>
      <c r="F3562" t="s">
        <v>13212</v>
      </c>
    </row>
    <row r="3563" spans="1:6" x14ac:dyDescent="0.25">
      <c r="A3563" t="s">
        <v>1476</v>
      </c>
      <c r="B3563" t="s">
        <v>1477</v>
      </c>
      <c r="C3563" t="s">
        <v>1478</v>
      </c>
      <c r="D3563" t="s">
        <v>450</v>
      </c>
      <c r="E3563" t="s">
        <v>271</v>
      </c>
      <c r="F3563" t="s">
        <v>326</v>
      </c>
    </row>
    <row r="3564" spans="1:6" x14ac:dyDescent="0.25">
      <c r="A3564" t="s">
        <v>773</v>
      </c>
      <c r="B3564" t="s">
        <v>774</v>
      </c>
      <c r="C3564" t="s">
        <v>775</v>
      </c>
      <c r="D3564" t="s">
        <v>0</v>
      </c>
      <c r="E3564" t="s">
        <v>271</v>
      </c>
      <c r="F3564" t="s">
        <v>431</v>
      </c>
    </row>
    <row r="3565" spans="1:6" x14ac:dyDescent="0.25">
      <c r="A3565" t="s">
        <v>13213</v>
      </c>
      <c r="B3565" t="s">
        <v>13214</v>
      </c>
      <c r="C3565" t="s">
        <v>13215</v>
      </c>
      <c r="D3565" t="s">
        <v>0</v>
      </c>
      <c r="E3565" t="s">
        <v>271</v>
      </c>
      <c r="F3565" t="s">
        <v>319</v>
      </c>
    </row>
    <row r="3566" spans="1:6" x14ac:dyDescent="0.25">
      <c r="A3566" t="s">
        <v>13216</v>
      </c>
      <c r="B3566" t="s">
        <v>13217</v>
      </c>
      <c r="C3566" t="s">
        <v>13218</v>
      </c>
      <c r="D3566" t="s">
        <v>0</v>
      </c>
      <c r="E3566" t="s">
        <v>271</v>
      </c>
      <c r="F3566" t="s">
        <v>436</v>
      </c>
    </row>
    <row r="3567" spans="1:6" x14ac:dyDescent="0.25">
      <c r="A3567" t="s">
        <v>964</v>
      </c>
      <c r="B3567" t="s">
        <v>965</v>
      </c>
      <c r="C3567" t="s">
        <v>968</v>
      </c>
      <c r="D3567" t="s">
        <v>967</v>
      </c>
      <c r="E3567" t="s">
        <v>271</v>
      </c>
      <c r="F3567" t="s">
        <v>966</v>
      </c>
    </row>
    <row r="3568" spans="1:6" x14ac:dyDescent="0.25">
      <c r="A3568" t="s">
        <v>13219</v>
      </c>
      <c r="B3568" t="s">
        <v>13220</v>
      </c>
      <c r="C3568" t="s">
        <v>13221</v>
      </c>
      <c r="D3568" t="s">
        <v>1806</v>
      </c>
      <c r="E3568" t="s">
        <v>271</v>
      </c>
      <c r="F3568" t="s">
        <v>1805</v>
      </c>
    </row>
    <row r="3569" spans="1:6" x14ac:dyDescent="0.25">
      <c r="A3569" t="s">
        <v>13222</v>
      </c>
      <c r="B3569" t="s">
        <v>13223</v>
      </c>
      <c r="C3569" t="s">
        <v>13224</v>
      </c>
      <c r="D3569" t="s">
        <v>308</v>
      </c>
      <c r="E3569" t="s">
        <v>271</v>
      </c>
      <c r="F3569" t="s">
        <v>307</v>
      </c>
    </row>
    <row r="3570" spans="1:6" x14ac:dyDescent="0.25">
      <c r="A3570" t="s">
        <v>13225</v>
      </c>
      <c r="B3570" t="s">
        <v>13226</v>
      </c>
      <c r="C3570" t="s">
        <v>13227</v>
      </c>
      <c r="D3570" t="s">
        <v>3307</v>
      </c>
      <c r="E3570" t="s">
        <v>271</v>
      </c>
      <c r="F3570" t="s">
        <v>2768</v>
      </c>
    </row>
    <row r="3571" spans="1:6" x14ac:dyDescent="0.25">
      <c r="A3571" t="s">
        <v>1043</v>
      </c>
      <c r="B3571" t="s">
        <v>1044</v>
      </c>
      <c r="C3571" t="s">
        <v>1047</v>
      </c>
      <c r="D3571" t="s">
        <v>972</v>
      </c>
      <c r="E3571" t="s">
        <v>269</v>
      </c>
      <c r="F3571" t="s">
        <v>971</v>
      </c>
    </row>
    <row r="3572" spans="1:6" x14ac:dyDescent="0.25">
      <c r="A3572" t="s">
        <v>13228</v>
      </c>
      <c r="B3572" t="s">
        <v>13229</v>
      </c>
      <c r="C3572" t="s">
        <v>13230</v>
      </c>
      <c r="D3572" t="s">
        <v>0</v>
      </c>
      <c r="E3572" t="s">
        <v>271</v>
      </c>
      <c r="F3572" t="s">
        <v>1321</v>
      </c>
    </row>
    <row r="3573" spans="1:6" x14ac:dyDescent="0.25">
      <c r="A3573" t="s">
        <v>13231</v>
      </c>
      <c r="B3573" t="s">
        <v>13232</v>
      </c>
      <c r="C3573" t="s">
        <v>13233</v>
      </c>
      <c r="D3573" t="s">
        <v>488</v>
      </c>
      <c r="E3573" t="s">
        <v>271</v>
      </c>
      <c r="F3573" t="s">
        <v>489</v>
      </c>
    </row>
    <row r="3574" spans="1:6" x14ac:dyDescent="0.25">
      <c r="A3574" t="s">
        <v>13234</v>
      </c>
      <c r="B3574" t="s">
        <v>13235</v>
      </c>
      <c r="C3574" t="s">
        <v>13236</v>
      </c>
      <c r="D3574" t="s">
        <v>246</v>
      </c>
      <c r="E3574" t="s">
        <v>271</v>
      </c>
      <c r="F3574" t="s">
        <v>426</v>
      </c>
    </row>
    <row r="3575" spans="1:6" x14ac:dyDescent="0.25">
      <c r="A3575" t="s">
        <v>13237</v>
      </c>
      <c r="B3575" t="s">
        <v>13238</v>
      </c>
      <c r="C3575" t="s">
        <v>13239</v>
      </c>
      <c r="D3575" t="s">
        <v>2205</v>
      </c>
      <c r="E3575" t="s">
        <v>269</v>
      </c>
      <c r="F3575" t="s">
        <v>2204</v>
      </c>
    </row>
    <row r="3576" spans="1:6" x14ac:dyDescent="0.25">
      <c r="A3576" t="s">
        <v>13240</v>
      </c>
      <c r="B3576" t="s">
        <v>13241</v>
      </c>
      <c r="C3576" t="s">
        <v>13242</v>
      </c>
      <c r="D3576" t="s">
        <v>1413</v>
      </c>
      <c r="E3576" t="s">
        <v>271</v>
      </c>
      <c r="F3576" t="s">
        <v>1412</v>
      </c>
    </row>
    <row r="3577" spans="1:6" x14ac:dyDescent="0.25">
      <c r="A3577" t="s">
        <v>13243</v>
      </c>
      <c r="B3577" t="s">
        <v>13244</v>
      </c>
      <c r="C3577" t="s">
        <v>13245</v>
      </c>
      <c r="D3577" t="s">
        <v>0</v>
      </c>
      <c r="E3577" t="s">
        <v>271</v>
      </c>
      <c r="F3577" t="s">
        <v>325</v>
      </c>
    </row>
    <row r="3578" spans="1:6" x14ac:dyDescent="0.25">
      <c r="A3578" t="s">
        <v>13246</v>
      </c>
      <c r="B3578" t="s">
        <v>13247</v>
      </c>
      <c r="C3578" t="s">
        <v>13248</v>
      </c>
      <c r="D3578" t="s">
        <v>845</v>
      </c>
      <c r="E3578" t="s">
        <v>271</v>
      </c>
      <c r="F3578" t="s">
        <v>844</v>
      </c>
    </row>
    <row r="3579" spans="1:6" x14ac:dyDescent="0.25">
      <c r="A3579" t="s">
        <v>13249</v>
      </c>
      <c r="B3579" t="s">
        <v>13250</v>
      </c>
      <c r="C3579" t="s">
        <v>13251</v>
      </c>
      <c r="D3579" t="s">
        <v>0</v>
      </c>
      <c r="E3579" t="s">
        <v>271</v>
      </c>
      <c r="F3579" t="s">
        <v>2641</v>
      </c>
    </row>
    <row r="3580" spans="1:6" x14ac:dyDescent="0.25">
      <c r="A3580" t="s">
        <v>13252</v>
      </c>
      <c r="B3580" t="s">
        <v>13253</v>
      </c>
      <c r="C3580" t="s">
        <v>13254</v>
      </c>
      <c r="D3580" t="s">
        <v>9881</v>
      </c>
      <c r="E3580" t="s">
        <v>271</v>
      </c>
      <c r="F3580" t="s">
        <v>9882</v>
      </c>
    </row>
    <row r="3581" spans="1:6" x14ac:dyDescent="0.25">
      <c r="A3581" t="s">
        <v>13255</v>
      </c>
      <c r="B3581" t="s">
        <v>13256</v>
      </c>
      <c r="C3581" t="s">
        <v>13257</v>
      </c>
      <c r="D3581" t="s">
        <v>4486</v>
      </c>
      <c r="E3581" t="s">
        <v>271</v>
      </c>
      <c r="F3581" t="s">
        <v>4417</v>
      </c>
    </row>
    <row r="3582" spans="1:6" x14ac:dyDescent="0.25">
      <c r="A3582" t="s">
        <v>13258</v>
      </c>
      <c r="B3582" t="s">
        <v>13259</v>
      </c>
      <c r="C3582" t="s">
        <v>13260</v>
      </c>
      <c r="D3582" t="s">
        <v>3457</v>
      </c>
      <c r="E3582" t="s">
        <v>271</v>
      </c>
      <c r="F3582" t="s">
        <v>1432</v>
      </c>
    </row>
    <row r="3583" spans="1:6" x14ac:dyDescent="0.25">
      <c r="A3583" t="s">
        <v>1761</v>
      </c>
      <c r="B3583" t="s">
        <v>1762</v>
      </c>
      <c r="C3583" t="s">
        <v>1763</v>
      </c>
      <c r="D3583" t="s">
        <v>0</v>
      </c>
      <c r="E3583" t="s">
        <v>271</v>
      </c>
      <c r="F3583" t="s">
        <v>319</v>
      </c>
    </row>
    <row r="3584" spans="1:6" x14ac:dyDescent="0.25">
      <c r="A3584" t="s">
        <v>13261</v>
      </c>
      <c r="B3584" t="s">
        <v>13262</v>
      </c>
      <c r="C3584" t="s">
        <v>13263</v>
      </c>
      <c r="D3584" t="s">
        <v>2578</v>
      </c>
      <c r="E3584" t="s">
        <v>271</v>
      </c>
      <c r="F3584" t="s">
        <v>2577</v>
      </c>
    </row>
    <row r="3585" spans="1:6" x14ac:dyDescent="0.25">
      <c r="A3585" t="s">
        <v>13264</v>
      </c>
      <c r="B3585" t="s">
        <v>13265</v>
      </c>
      <c r="C3585" t="s">
        <v>13266</v>
      </c>
      <c r="D3585" t="s">
        <v>0</v>
      </c>
      <c r="E3585" t="s">
        <v>271</v>
      </c>
      <c r="F3585" t="s">
        <v>1141</v>
      </c>
    </row>
    <row r="3586" spans="1:6" x14ac:dyDescent="0.25">
      <c r="A3586" t="s">
        <v>13267</v>
      </c>
      <c r="B3586" t="s">
        <v>13268</v>
      </c>
      <c r="C3586" t="s">
        <v>13269</v>
      </c>
      <c r="D3586" t="s">
        <v>2024</v>
      </c>
      <c r="E3586" t="s">
        <v>271</v>
      </c>
      <c r="F3586" t="s">
        <v>428</v>
      </c>
    </row>
    <row r="3587" spans="1:6" x14ac:dyDescent="0.25">
      <c r="A3587" t="s">
        <v>13270</v>
      </c>
      <c r="B3587" t="s">
        <v>13271</v>
      </c>
      <c r="C3587" t="s">
        <v>13272</v>
      </c>
      <c r="D3587" t="s">
        <v>3680</v>
      </c>
      <c r="E3587" t="s">
        <v>271</v>
      </c>
      <c r="F3587" t="s">
        <v>3679</v>
      </c>
    </row>
    <row r="3588" spans="1:6" x14ac:dyDescent="0.25">
      <c r="A3588" t="s">
        <v>13273</v>
      </c>
      <c r="B3588" t="s">
        <v>13274</v>
      </c>
      <c r="C3588" t="s">
        <v>13275</v>
      </c>
      <c r="D3588" t="s">
        <v>2637</v>
      </c>
      <c r="E3588" t="s">
        <v>271</v>
      </c>
      <c r="F3588" t="s">
        <v>2636</v>
      </c>
    </row>
    <row r="3589" spans="1:6" x14ac:dyDescent="0.25">
      <c r="A3589" t="s">
        <v>13276</v>
      </c>
      <c r="B3589" t="s">
        <v>13277</v>
      </c>
      <c r="C3589" t="s">
        <v>13278</v>
      </c>
      <c r="D3589" t="s">
        <v>5380</v>
      </c>
      <c r="E3589" t="s">
        <v>271</v>
      </c>
      <c r="F3589" t="s">
        <v>4379</v>
      </c>
    </row>
    <row r="3590" spans="1:6" x14ac:dyDescent="0.25">
      <c r="A3590" t="s">
        <v>13279</v>
      </c>
      <c r="B3590" t="s">
        <v>13280</v>
      </c>
      <c r="C3590" t="s">
        <v>13281</v>
      </c>
      <c r="D3590" t="s">
        <v>556</v>
      </c>
      <c r="E3590" t="s">
        <v>271</v>
      </c>
      <c r="F3590" t="s">
        <v>1567</v>
      </c>
    </row>
    <row r="3591" spans="1:6" x14ac:dyDescent="0.25">
      <c r="A3591" t="s">
        <v>13282</v>
      </c>
      <c r="B3591" t="s">
        <v>13283</v>
      </c>
      <c r="C3591" t="s">
        <v>13284</v>
      </c>
      <c r="D3591" t="s">
        <v>312</v>
      </c>
      <c r="E3591" t="s">
        <v>271</v>
      </c>
      <c r="F3591" t="s">
        <v>311</v>
      </c>
    </row>
    <row r="3592" spans="1:6" x14ac:dyDescent="0.25">
      <c r="A3592" t="s">
        <v>13285</v>
      </c>
      <c r="B3592" t="s">
        <v>13286</v>
      </c>
      <c r="C3592" t="s">
        <v>13287</v>
      </c>
      <c r="D3592" t="s">
        <v>472</v>
      </c>
      <c r="E3592" t="s">
        <v>271</v>
      </c>
      <c r="F3592" t="s">
        <v>318</v>
      </c>
    </row>
    <row r="3593" spans="1:6" x14ac:dyDescent="0.25">
      <c r="A3593" t="s">
        <v>13288</v>
      </c>
      <c r="B3593" t="s">
        <v>13289</v>
      </c>
      <c r="C3593" t="s">
        <v>13290</v>
      </c>
      <c r="D3593" t="s">
        <v>980</v>
      </c>
      <c r="E3593" t="s">
        <v>271</v>
      </c>
      <c r="F3593" t="s">
        <v>979</v>
      </c>
    </row>
    <row r="3594" spans="1:6" x14ac:dyDescent="0.25">
      <c r="A3594" t="s">
        <v>13291</v>
      </c>
      <c r="B3594" t="s">
        <v>13292</v>
      </c>
      <c r="C3594" t="s">
        <v>13293</v>
      </c>
      <c r="D3594" t="s">
        <v>0</v>
      </c>
      <c r="E3594" t="s">
        <v>271</v>
      </c>
      <c r="F3594" t="s">
        <v>575</v>
      </c>
    </row>
    <row r="3595" spans="1:6" x14ac:dyDescent="0.25">
      <c r="A3595" t="s">
        <v>13294</v>
      </c>
      <c r="B3595" t="s">
        <v>13295</v>
      </c>
      <c r="C3595" t="s">
        <v>13296</v>
      </c>
      <c r="D3595" t="s">
        <v>13297</v>
      </c>
      <c r="E3595" t="s">
        <v>271</v>
      </c>
      <c r="F3595" t="s">
        <v>13298</v>
      </c>
    </row>
    <row r="3596" spans="1:6" x14ac:dyDescent="0.25">
      <c r="A3596" t="s">
        <v>13299</v>
      </c>
      <c r="B3596" t="s">
        <v>13300</v>
      </c>
      <c r="C3596" t="s">
        <v>13301</v>
      </c>
      <c r="D3596" t="s">
        <v>266</v>
      </c>
      <c r="E3596" t="s">
        <v>271</v>
      </c>
      <c r="F3596" t="s">
        <v>4439</v>
      </c>
    </row>
    <row r="3597" spans="1:6" x14ac:dyDescent="0.25">
      <c r="A3597" t="s">
        <v>13302</v>
      </c>
      <c r="B3597" t="s">
        <v>13303</v>
      </c>
      <c r="C3597" t="s">
        <v>13304</v>
      </c>
      <c r="D3597" t="s">
        <v>793</v>
      </c>
      <c r="E3597" t="s">
        <v>271</v>
      </c>
      <c r="F3597" t="s">
        <v>792</v>
      </c>
    </row>
    <row r="3598" spans="1:6" x14ac:dyDescent="0.25">
      <c r="A3598" t="s">
        <v>13305</v>
      </c>
      <c r="B3598" t="s">
        <v>13306</v>
      </c>
      <c r="C3598" t="s">
        <v>12165</v>
      </c>
      <c r="D3598" t="s">
        <v>0</v>
      </c>
      <c r="E3598" t="s">
        <v>271</v>
      </c>
      <c r="F3598" t="s">
        <v>323</v>
      </c>
    </row>
    <row r="3599" spans="1:6" x14ac:dyDescent="0.25">
      <c r="A3599" t="s">
        <v>1796</v>
      </c>
      <c r="B3599" t="s">
        <v>1797</v>
      </c>
      <c r="C3599" t="s">
        <v>1798</v>
      </c>
      <c r="D3599" t="s">
        <v>0</v>
      </c>
      <c r="E3599" t="s">
        <v>271</v>
      </c>
      <c r="F3599" t="s">
        <v>325</v>
      </c>
    </row>
    <row r="3600" spans="1:6" x14ac:dyDescent="0.25">
      <c r="A3600" t="s">
        <v>2557</v>
      </c>
      <c r="B3600" t="s">
        <v>2558</v>
      </c>
      <c r="C3600" t="s">
        <v>2559</v>
      </c>
      <c r="D3600" t="s">
        <v>363</v>
      </c>
      <c r="E3600" t="s">
        <v>271</v>
      </c>
      <c r="F3600" t="s">
        <v>364</v>
      </c>
    </row>
    <row r="3601" spans="1:6" x14ac:dyDescent="0.25">
      <c r="A3601" t="s">
        <v>13307</v>
      </c>
      <c r="B3601" t="s">
        <v>13308</v>
      </c>
      <c r="C3601" t="s">
        <v>13309</v>
      </c>
      <c r="D3601" t="s">
        <v>314</v>
      </c>
      <c r="E3601" t="s">
        <v>271</v>
      </c>
      <c r="F3601" t="s">
        <v>370</v>
      </c>
    </row>
    <row r="3602" spans="1:6" x14ac:dyDescent="0.25">
      <c r="A3602" t="s">
        <v>13310</v>
      </c>
      <c r="B3602" t="s">
        <v>13311</v>
      </c>
      <c r="C3602" t="s">
        <v>13312</v>
      </c>
      <c r="D3602" t="s">
        <v>282</v>
      </c>
      <c r="E3602" t="s">
        <v>271</v>
      </c>
      <c r="F3602" t="s">
        <v>1191</v>
      </c>
    </row>
    <row r="3603" spans="1:6" x14ac:dyDescent="0.25">
      <c r="A3603" t="s">
        <v>13313</v>
      </c>
      <c r="B3603" t="s">
        <v>13314</v>
      </c>
      <c r="C3603" t="s">
        <v>13315</v>
      </c>
      <c r="D3603" t="s">
        <v>1239</v>
      </c>
      <c r="E3603" t="s">
        <v>271</v>
      </c>
      <c r="F3603" t="s">
        <v>1238</v>
      </c>
    </row>
    <row r="3604" spans="1:6" x14ac:dyDescent="0.25">
      <c r="A3604" t="s">
        <v>13316</v>
      </c>
      <c r="B3604" t="s">
        <v>13317</v>
      </c>
      <c r="C3604" t="s">
        <v>13318</v>
      </c>
      <c r="D3604" t="s">
        <v>0</v>
      </c>
      <c r="E3604" t="s">
        <v>271</v>
      </c>
      <c r="F3604" t="s">
        <v>319</v>
      </c>
    </row>
    <row r="3605" spans="1:6" x14ac:dyDescent="0.25">
      <c r="A3605" t="s">
        <v>13319</v>
      </c>
      <c r="B3605" t="s">
        <v>13320</v>
      </c>
      <c r="C3605" t="s">
        <v>13321</v>
      </c>
      <c r="D3605" t="s">
        <v>0</v>
      </c>
      <c r="E3605" t="s">
        <v>271</v>
      </c>
      <c r="F3605" t="s">
        <v>575</v>
      </c>
    </row>
    <row r="3606" spans="1:6" x14ac:dyDescent="0.25">
      <c r="A3606" t="s">
        <v>13322</v>
      </c>
      <c r="B3606" t="s">
        <v>13323</v>
      </c>
      <c r="C3606" t="s">
        <v>13324</v>
      </c>
      <c r="D3606" t="s">
        <v>0</v>
      </c>
      <c r="E3606" t="s">
        <v>271</v>
      </c>
      <c r="F3606" t="s">
        <v>562</v>
      </c>
    </row>
    <row r="3607" spans="1:6" x14ac:dyDescent="0.25">
      <c r="A3607" t="s">
        <v>13325</v>
      </c>
      <c r="B3607" t="s">
        <v>13326</v>
      </c>
      <c r="C3607" t="s">
        <v>13327</v>
      </c>
      <c r="D3607" t="s">
        <v>13328</v>
      </c>
      <c r="E3607" t="s">
        <v>271</v>
      </c>
      <c r="F3607" t="s">
        <v>13329</v>
      </c>
    </row>
    <row r="3608" spans="1:6" x14ac:dyDescent="0.25">
      <c r="A3608" t="s">
        <v>13330</v>
      </c>
      <c r="B3608" t="s">
        <v>13331</v>
      </c>
      <c r="C3608" t="s">
        <v>13332</v>
      </c>
      <c r="D3608" t="s">
        <v>668</v>
      </c>
      <c r="E3608" t="s">
        <v>271</v>
      </c>
      <c r="F3608" t="s">
        <v>667</v>
      </c>
    </row>
    <row r="3609" spans="1:6" x14ac:dyDescent="0.25">
      <c r="A3609" t="s">
        <v>13333</v>
      </c>
      <c r="B3609" t="s">
        <v>1392</v>
      </c>
      <c r="C3609" t="s">
        <v>13334</v>
      </c>
      <c r="D3609" t="s">
        <v>1051</v>
      </c>
      <c r="E3609" t="s">
        <v>271</v>
      </c>
      <c r="F3609" t="s">
        <v>1050</v>
      </c>
    </row>
    <row r="3610" spans="1:6" x14ac:dyDescent="0.25">
      <c r="A3610" t="s">
        <v>2160</v>
      </c>
      <c r="B3610" t="s">
        <v>2161</v>
      </c>
      <c r="C3610" t="s">
        <v>2162</v>
      </c>
      <c r="D3610" t="s">
        <v>0</v>
      </c>
      <c r="E3610" t="s">
        <v>271</v>
      </c>
      <c r="F3610" t="s">
        <v>356</v>
      </c>
    </row>
    <row r="3611" spans="1:6" x14ac:dyDescent="0.25">
      <c r="A3611" t="s">
        <v>2678</v>
      </c>
      <c r="B3611" t="s">
        <v>2679</v>
      </c>
      <c r="C3611" t="s">
        <v>2682</v>
      </c>
      <c r="D3611" t="s">
        <v>2681</v>
      </c>
      <c r="E3611" t="s">
        <v>271</v>
      </c>
      <c r="F3611" t="s">
        <v>2680</v>
      </c>
    </row>
    <row r="3612" spans="1:6" x14ac:dyDescent="0.25">
      <c r="A3612" t="s">
        <v>13335</v>
      </c>
      <c r="B3612" t="s">
        <v>13336</v>
      </c>
      <c r="C3612" t="s">
        <v>8551</v>
      </c>
      <c r="D3612" t="s">
        <v>586</v>
      </c>
      <c r="E3612" t="s">
        <v>271</v>
      </c>
      <c r="F3612" t="s">
        <v>334</v>
      </c>
    </row>
    <row r="3613" spans="1:6" x14ac:dyDescent="0.25">
      <c r="A3613" t="s">
        <v>3481</v>
      </c>
      <c r="B3613" t="s">
        <v>3482</v>
      </c>
      <c r="C3613" t="s">
        <v>3483</v>
      </c>
      <c r="D3613" t="s">
        <v>490</v>
      </c>
      <c r="E3613" t="s">
        <v>271</v>
      </c>
      <c r="F3613" t="s">
        <v>491</v>
      </c>
    </row>
    <row r="3614" spans="1:6" x14ac:dyDescent="0.25">
      <c r="A3614" t="s">
        <v>13337</v>
      </c>
      <c r="B3614" t="s">
        <v>13338</v>
      </c>
      <c r="C3614" t="s">
        <v>13339</v>
      </c>
      <c r="D3614" t="s">
        <v>2637</v>
      </c>
      <c r="E3614" t="s">
        <v>271</v>
      </c>
      <c r="F3614" t="s">
        <v>2636</v>
      </c>
    </row>
    <row r="3615" spans="1:6" x14ac:dyDescent="0.25">
      <c r="A3615" t="s">
        <v>13340</v>
      </c>
      <c r="B3615" t="s">
        <v>13341</v>
      </c>
      <c r="C3615" t="s">
        <v>6834</v>
      </c>
      <c r="D3615" t="s">
        <v>0</v>
      </c>
      <c r="E3615" t="s">
        <v>271</v>
      </c>
      <c r="F3615" t="s">
        <v>1180</v>
      </c>
    </row>
    <row r="3616" spans="1:6" x14ac:dyDescent="0.25">
      <c r="A3616" t="s">
        <v>13342</v>
      </c>
      <c r="B3616" t="s">
        <v>13343</v>
      </c>
      <c r="C3616" t="s">
        <v>13344</v>
      </c>
      <c r="D3616" t="s">
        <v>0</v>
      </c>
      <c r="E3616" t="s">
        <v>271</v>
      </c>
      <c r="F3616" t="s">
        <v>809</v>
      </c>
    </row>
    <row r="3617" spans="1:6" x14ac:dyDescent="0.25">
      <c r="A3617" t="s">
        <v>13345</v>
      </c>
      <c r="B3617" t="s">
        <v>13346</v>
      </c>
      <c r="C3617" t="s">
        <v>13347</v>
      </c>
      <c r="D3617" t="s">
        <v>314</v>
      </c>
      <c r="E3617" t="s">
        <v>271</v>
      </c>
      <c r="F3617" t="s">
        <v>352</v>
      </c>
    </row>
    <row r="3618" spans="1:6" x14ac:dyDescent="0.25">
      <c r="A3618" t="s">
        <v>13348</v>
      </c>
      <c r="B3618" t="s">
        <v>13349</v>
      </c>
      <c r="C3618" t="s">
        <v>13350</v>
      </c>
      <c r="D3618" t="s">
        <v>1303</v>
      </c>
      <c r="E3618" t="s">
        <v>269</v>
      </c>
      <c r="F3618" t="s">
        <v>1302</v>
      </c>
    </row>
    <row r="3619" spans="1:6" x14ac:dyDescent="0.25">
      <c r="A3619" t="s">
        <v>13351</v>
      </c>
      <c r="B3619" t="s">
        <v>13352</v>
      </c>
      <c r="C3619" t="s">
        <v>13353</v>
      </c>
      <c r="D3619" t="s">
        <v>347</v>
      </c>
      <c r="E3619" t="s">
        <v>271</v>
      </c>
      <c r="F3619" t="s">
        <v>327</v>
      </c>
    </row>
    <row r="3620" spans="1:6" x14ac:dyDescent="0.25">
      <c r="A3620" t="s">
        <v>2683</v>
      </c>
      <c r="B3620" t="s">
        <v>2684</v>
      </c>
      <c r="C3620" t="s">
        <v>2685</v>
      </c>
      <c r="D3620" t="s">
        <v>822</v>
      </c>
      <c r="E3620" t="s">
        <v>269</v>
      </c>
      <c r="F3620" t="s">
        <v>821</v>
      </c>
    </row>
    <row r="3621" spans="1:6" x14ac:dyDescent="0.25">
      <c r="A3621" t="s">
        <v>1253</v>
      </c>
      <c r="B3621" t="s">
        <v>1254</v>
      </c>
      <c r="C3621" t="s">
        <v>1255</v>
      </c>
      <c r="D3621" t="s">
        <v>0</v>
      </c>
      <c r="E3621" t="s">
        <v>271</v>
      </c>
      <c r="F3621" t="s">
        <v>688</v>
      </c>
    </row>
    <row r="3622" spans="1:6" x14ac:dyDescent="0.25">
      <c r="A3622" t="s">
        <v>13354</v>
      </c>
      <c r="B3622" t="s">
        <v>13355</v>
      </c>
      <c r="C3622" t="s">
        <v>13356</v>
      </c>
      <c r="D3622" t="s">
        <v>416</v>
      </c>
      <c r="E3622" t="s">
        <v>271</v>
      </c>
      <c r="F3622" t="s">
        <v>439</v>
      </c>
    </row>
    <row r="3623" spans="1:6" x14ac:dyDescent="0.25">
      <c r="A3623" t="s">
        <v>13357</v>
      </c>
      <c r="B3623" t="s">
        <v>13358</v>
      </c>
      <c r="C3623" t="s">
        <v>13359</v>
      </c>
      <c r="D3623" t="s">
        <v>1165</v>
      </c>
      <c r="E3623" t="s">
        <v>271</v>
      </c>
      <c r="F3623" t="s">
        <v>1402</v>
      </c>
    </row>
    <row r="3624" spans="1:6" x14ac:dyDescent="0.25">
      <c r="A3624" t="s">
        <v>13360</v>
      </c>
      <c r="B3624" t="s">
        <v>13361</v>
      </c>
      <c r="C3624" t="s">
        <v>13362</v>
      </c>
      <c r="D3624" t="s">
        <v>450</v>
      </c>
      <c r="E3624" t="s">
        <v>271</v>
      </c>
      <c r="F3624" t="s">
        <v>326</v>
      </c>
    </row>
    <row r="3625" spans="1:6" x14ac:dyDescent="0.25">
      <c r="A3625" t="s">
        <v>13363</v>
      </c>
      <c r="B3625" t="s">
        <v>13364</v>
      </c>
      <c r="C3625" t="s">
        <v>13365</v>
      </c>
      <c r="D3625" t="s">
        <v>616</v>
      </c>
      <c r="E3625" t="s">
        <v>271</v>
      </c>
      <c r="F3625" t="s">
        <v>1102</v>
      </c>
    </row>
    <row r="3626" spans="1:6" x14ac:dyDescent="0.25">
      <c r="A3626" t="s">
        <v>13366</v>
      </c>
      <c r="B3626" t="s">
        <v>13367</v>
      </c>
      <c r="C3626" t="s">
        <v>13368</v>
      </c>
      <c r="D3626" t="s">
        <v>0</v>
      </c>
      <c r="E3626" t="s">
        <v>271</v>
      </c>
      <c r="F3626" t="s">
        <v>436</v>
      </c>
    </row>
    <row r="3627" spans="1:6" x14ac:dyDescent="0.25">
      <c r="A3627" t="s">
        <v>13369</v>
      </c>
      <c r="B3627" t="s">
        <v>13370</v>
      </c>
      <c r="C3627" t="s">
        <v>13371</v>
      </c>
      <c r="D3627" t="s">
        <v>5380</v>
      </c>
      <c r="E3627" t="s">
        <v>271</v>
      </c>
      <c r="F3627" t="s">
        <v>4379</v>
      </c>
    </row>
    <row r="3628" spans="1:6" x14ac:dyDescent="0.25">
      <c r="A3628" t="s">
        <v>13372</v>
      </c>
      <c r="B3628" t="s">
        <v>13373</v>
      </c>
      <c r="C3628" t="s">
        <v>13374</v>
      </c>
      <c r="D3628" t="s">
        <v>0</v>
      </c>
      <c r="E3628" t="s">
        <v>271</v>
      </c>
      <c r="F3628" t="s">
        <v>436</v>
      </c>
    </row>
    <row r="3629" spans="1:6" x14ac:dyDescent="0.25">
      <c r="A3629" t="s">
        <v>13375</v>
      </c>
      <c r="B3629" t="s">
        <v>13376</v>
      </c>
      <c r="C3629" t="s">
        <v>13377</v>
      </c>
      <c r="D3629" t="s">
        <v>2714</v>
      </c>
      <c r="E3629" t="s">
        <v>271</v>
      </c>
      <c r="F3629" t="s">
        <v>2713</v>
      </c>
    </row>
    <row r="3630" spans="1:6" x14ac:dyDescent="0.25">
      <c r="A3630" t="s">
        <v>13378</v>
      </c>
      <c r="B3630" t="s">
        <v>13379</v>
      </c>
      <c r="C3630" t="s">
        <v>13380</v>
      </c>
      <c r="D3630" t="s">
        <v>1958</v>
      </c>
      <c r="E3630" t="s">
        <v>271</v>
      </c>
      <c r="F3630" t="s">
        <v>1957</v>
      </c>
    </row>
    <row r="3631" spans="1:6" x14ac:dyDescent="0.25">
      <c r="A3631" t="s">
        <v>13381</v>
      </c>
      <c r="B3631" t="s">
        <v>13382</v>
      </c>
      <c r="C3631" t="s">
        <v>13383</v>
      </c>
      <c r="D3631" t="s">
        <v>0</v>
      </c>
      <c r="E3631" t="s">
        <v>271</v>
      </c>
      <c r="F3631" t="s">
        <v>1321</v>
      </c>
    </row>
    <row r="3632" spans="1:6" x14ac:dyDescent="0.25">
      <c r="A3632" t="s">
        <v>3522</v>
      </c>
      <c r="B3632" t="s">
        <v>3523</v>
      </c>
      <c r="C3632" t="s">
        <v>3524</v>
      </c>
      <c r="D3632" t="s">
        <v>718</v>
      </c>
      <c r="E3632" t="s">
        <v>271</v>
      </c>
      <c r="F3632" t="s">
        <v>333</v>
      </c>
    </row>
    <row r="3633" spans="1:6" x14ac:dyDescent="0.25">
      <c r="A3633" t="s">
        <v>13384</v>
      </c>
      <c r="B3633" t="s">
        <v>13385</v>
      </c>
      <c r="C3633" t="s">
        <v>13386</v>
      </c>
      <c r="D3633" t="s">
        <v>469</v>
      </c>
      <c r="E3633" t="s">
        <v>271</v>
      </c>
      <c r="F3633" t="s">
        <v>470</v>
      </c>
    </row>
    <row r="3634" spans="1:6" x14ac:dyDescent="0.25">
      <c r="A3634" t="s">
        <v>13387</v>
      </c>
      <c r="B3634" t="s">
        <v>13388</v>
      </c>
      <c r="C3634" t="s">
        <v>13389</v>
      </c>
      <c r="D3634" t="s">
        <v>0</v>
      </c>
      <c r="E3634" t="s">
        <v>271</v>
      </c>
      <c r="F3634" t="s">
        <v>355</v>
      </c>
    </row>
    <row r="3635" spans="1:6" x14ac:dyDescent="0.25">
      <c r="A3635" t="s">
        <v>3007</v>
      </c>
      <c r="B3635" t="s">
        <v>3008</v>
      </c>
      <c r="C3635" t="s">
        <v>3009</v>
      </c>
      <c r="D3635" t="s">
        <v>0</v>
      </c>
      <c r="E3635" t="s">
        <v>271</v>
      </c>
      <c r="F3635" t="s">
        <v>436</v>
      </c>
    </row>
    <row r="3636" spans="1:6" x14ac:dyDescent="0.25">
      <c r="A3636" t="s">
        <v>13390</v>
      </c>
      <c r="B3636" t="s">
        <v>13391</v>
      </c>
      <c r="C3636" t="s">
        <v>13392</v>
      </c>
      <c r="D3636" t="s">
        <v>498</v>
      </c>
      <c r="E3636" t="s">
        <v>271</v>
      </c>
      <c r="F3636" t="s">
        <v>499</v>
      </c>
    </row>
    <row r="3637" spans="1:6" x14ac:dyDescent="0.25">
      <c r="A3637" t="s">
        <v>13393</v>
      </c>
      <c r="B3637" t="s">
        <v>13394</v>
      </c>
      <c r="C3637" t="s">
        <v>13395</v>
      </c>
      <c r="D3637" t="s">
        <v>0</v>
      </c>
      <c r="E3637" t="s">
        <v>271</v>
      </c>
      <c r="F3637" t="s">
        <v>809</v>
      </c>
    </row>
    <row r="3638" spans="1:6" x14ac:dyDescent="0.25">
      <c r="A3638" t="s">
        <v>13396</v>
      </c>
      <c r="B3638" t="s">
        <v>13397</v>
      </c>
      <c r="C3638" t="s">
        <v>13398</v>
      </c>
      <c r="D3638" t="s">
        <v>0</v>
      </c>
      <c r="E3638" t="s">
        <v>271</v>
      </c>
      <c r="F3638" t="s">
        <v>323</v>
      </c>
    </row>
    <row r="3639" spans="1:6" x14ac:dyDescent="0.25">
      <c r="A3639" t="s">
        <v>13399</v>
      </c>
      <c r="B3639" t="s">
        <v>13400</v>
      </c>
      <c r="C3639" t="s">
        <v>13401</v>
      </c>
      <c r="D3639" t="s">
        <v>5380</v>
      </c>
      <c r="E3639" t="s">
        <v>271</v>
      </c>
      <c r="F3639" t="s">
        <v>4379</v>
      </c>
    </row>
    <row r="3640" spans="1:6" x14ac:dyDescent="0.25">
      <c r="A3640" t="s">
        <v>13402</v>
      </c>
      <c r="B3640" t="s">
        <v>13403</v>
      </c>
      <c r="C3640" t="s">
        <v>13404</v>
      </c>
      <c r="D3640" t="s">
        <v>572</v>
      </c>
      <c r="E3640" t="s">
        <v>271</v>
      </c>
      <c r="F3640" t="s">
        <v>335</v>
      </c>
    </row>
    <row r="3641" spans="1:6" x14ac:dyDescent="0.25">
      <c r="A3641" t="s">
        <v>13405</v>
      </c>
      <c r="B3641" t="s">
        <v>13406</v>
      </c>
      <c r="C3641" t="s">
        <v>13407</v>
      </c>
      <c r="D3641" t="s">
        <v>617</v>
      </c>
      <c r="E3641" t="s">
        <v>271</v>
      </c>
      <c r="F3641" t="s">
        <v>438</v>
      </c>
    </row>
    <row r="3642" spans="1:6" x14ac:dyDescent="0.25">
      <c r="A3642" t="s">
        <v>13408</v>
      </c>
      <c r="B3642" t="s">
        <v>13409</v>
      </c>
      <c r="C3642" t="s">
        <v>13410</v>
      </c>
      <c r="D3642" t="s">
        <v>2940</v>
      </c>
      <c r="E3642" t="s">
        <v>271</v>
      </c>
      <c r="F3642" t="s">
        <v>2939</v>
      </c>
    </row>
    <row r="3643" spans="1:6" x14ac:dyDescent="0.25">
      <c r="A3643" t="s">
        <v>13411</v>
      </c>
      <c r="B3643" t="s">
        <v>13412</v>
      </c>
      <c r="C3643" t="s">
        <v>13413</v>
      </c>
      <c r="D3643" t="s">
        <v>871</v>
      </c>
      <c r="E3643" t="s">
        <v>271</v>
      </c>
      <c r="F3643" t="s">
        <v>870</v>
      </c>
    </row>
    <row r="3644" spans="1:6" x14ac:dyDescent="0.25">
      <c r="A3644" t="s">
        <v>13414</v>
      </c>
      <c r="B3644" t="s">
        <v>13415</v>
      </c>
      <c r="C3644" t="s">
        <v>13416</v>
      </c>
      <c r="D3644" t="s">
        <v>0</v>
      </c>
      <c r="E3644" t="s">
        <v>271</v>
      </c>
      <c r="F3644" t="s">
        <v>319</v>
      </c>
    </row>
    <row r="3645" spans="1:6" x14ac:dyDescent="0.25">
      <c r="A3645" t="s">
        <v>13417</v>
      </c>
      <c r="B3645" t="s">
        <v>13418</v>
      </c>
      <c r="C3645" t="s">
        <v>1166</v>
      </c>
      <c r="D3645" t="s">
        <v>1165</v>
      </c>
      <c r="E3645" t="s">
        <v>271</v>
      </c>
      <c r="F3645" t="s">
        <v>1164</v>
      </c>
    </row>
    <row r="3646" spans="1:6" x14ac:dyDescent="0.25">
      <c r="A3646" t="s">
        <v>1714</v>
      </c>
      <c r="B3646" t="s">
        <v>1715</v>
      </c>
      <c r="C3646" t="s">
        <v>1716</v>
      </c>
      <c r="D3646" t="s">
        <v>0</v>
      </c>
      <c r="E3646" t="s">
        <v>271</v>
      </c>
      <c r="F3646" t="s">
        <v>355</v>
      </c>
    </row>
    <row r="3647" spans="1:6" x14ac:dyDescent="0.25">
      <c r="A3647" t="s">
        <v>696</v>
      </c>
      <c r="B3647" t="s">
        <v>697</v>
      </c>
      <c r="C3647" t="s">
        <v>700</v>
      </c>
      <c r="D3647" t="s">
        <v>699</v>
      </c>
      <c r="E3647" t="s">
        <v>269</v>
      </c>
      <c r="F3647" t="s">
        <v>698</v>
      </c>
    </row>
    <row r="3648" spans="1:6" x14ac:dyDescent="0.25">
      <c r="A3648" t="s">
        <v>13419</v>
      </c>
      <c r="B3648" t="s">
        <v>13420</v>
      </c>
      <c r="C3648" t="s">
        <v>13421</v>
      </c>
      <c r="D3648" t="s">
        <v>0</v>
      </c>
      <c r="E3648" t="s">
        <v>271</v>
      </c>
      <c r="F3648" t="s">
        <v>4421</v>
      </c>
    </row>
    <row r="3649" spans="1:6" x14ac:dyDescent="0.25">
      <c r="A3649" t="s">
        <v>2076</v>
      </c>
      <c r="B3649" t="s">
        <v>2077</v>
      </c>
      <c r="C3649" t="s">
        <v>2078</v>
      </c>
      <c r="D3649" t="s">
        <v>1303</v>
      </c>
      <c r="E3649" t="s">
        <v>269</v>
      </c>
      <c r="F3649" t="s">
        <v>1302</v>
      </c>
    </row>
    <row r="3650" spans="1:6" x14ac:dyDescent="0.25">
      <c r="A3650" t="s">
        <v>2273</v>
      </c>
      <c r="B3650" t="s">
        <v>2274</v>
      </c>
      <c r="C3650" t="s">
        <v>2275</v>
      </c>
      <c r="D3650" t="s">
        <v>0</v>
      </c>
      <c r="E3650" t="s">
        <v>271</v>
      </c>
      <c r="F3650" t="s">
        <v>731</v>
      </c>
    </row>
    <row r="3651" spans="1:6" x14ac:dyDescent="0.25">
      <c r="A3651" t="s">
        <v>13422</v>
      </c>
      <c r="B3651" t="s">
        <v>13423</v>
      </c>
      <c r="C3651" t="s">
        <v>13424</v>
      </c>
      <c r="D3651" t="s">
        <v>1743</v>
      </c>
      <c r="E3651" t="s">
        <v>269</v>
      </c>
      <c r="F3651" t="s">
        <v>1742</v>
      </c>
    </row>
    <row r="3652" spans="1:6" x14ac:dyDescent="0.25">
      <c r="A3652" t="s">
        <v>13425</v>
      </c>
      <c r="B3652" t="s">
        <v>13426</v>
      </c>
      <c r="C3652" t="s">
        <v>13427</v>
      </c>
      <c r="D3652" t="s">
        <v>0</v>
      </c>
      <c r="E3652" t="s">
        <v>271</v>
      </c>
      <c r="F3652" t="s">
        <v>1679</v>
      </c>
    </row>
    <row r="3653" spans="1:6" x14ac:dyDescent="0.25">
      <c r="A3653" t="s">
        <v>13428</v>
      </c>
      <c r="B3653" t="s">
        <v>13429</v>
      </c>
      <c r="C3653" t="s">
        <v>13430</v>
      </c>
      <c r="D3653" t="s">
        <v>357</v>
      </c>
      <c r="E3653" t="s">
        <v>271</v>
      </c>
      <c r="F3653" t="s">
        <v>358</v>
      </c>
    </row>
    <row r="3654" spans="1:6" x14ac:dyDescent="0.25">
      <c r="A3654" t="s">
        <v>13431</v>
      </c>
      <c r="B3654" t="s">
        <v>13432</v>
      </c>
      <c r="C3654" t="s">
        <v>13433</v>
      </c>
      <c r="D3654" t="s">
        <v>1900</v>
      </c>
      <c r="E3654" t="s">
        <v>271</v>
      </c>
      <c r="F3654" t="s">
        <v>1899</v>
      </c>
    </row>
    <row r="3655" spans="1:6" x14ac:dyDescent="0.25">
      <c r="A3655" t="s">
        <v>13434</v>
      </c>
      <c r="B3655" t="s">
        <v>13435</v>
      </c>
      <c r="C3655" t="s">
        <v>13436</v>
      </c>
      <c r="D3655" t="s">
        <v>1165</v>
      </c>
      <c r="E3655" t="s">
        <v>271</v>
      </c>
      <c r="F3655" t="s">
        <v>1164</v>
      </c>
    </row>
    <row r="3656" spans="1:6" x14ac:dyDescent="0.25">
      <c r="A3656" t="s">
        <v>13437</v>
      </c>
      <c r="B3656" t="s">
        <v>13438</v>
      </c>
      <c r="C3656" t="s">
        <v>13439</v>
      </c>
      <c r="D3656" t="s">
        <v>0</v>
      </c>
      <c r="E3656" t="s">
        <v>271</v>
      </c>
      <c r="F3656" t="s">
        <v>319</v>
      </c>
    </row>
    <row r="3657" spans="1:6" x14ac:dyDescent="0.25">
      <c r="A3657" t="s">
        <v>13440</v>
      </c>
      <c r="B3657" t="s">
        <v>13441</v>
      </c>
      <c r="C3657" t="s">
        <v>13442</v>
      </c>
      <c r="D3657" t="s">
        <v>3457</v>
      </c>
      <c r="E3657" t="s">
        <v>271</v>
      </c>
      <c r="F3657" t="s">
        <v>1432</v>
      </c>
    </row>
    <row r="3658" spans="1:6" x14ac:dyDescent="0.25">
      <c r="A3658" t="s">
        <v>13443</v>
      </c>
      <c r="B3658" t="s">
        <v>13444</v>
      </c>
      <c r="C3658" t="s">
        <v>10253</v>
      </c>
      <c r="D3658" t="s">
        <v>2962</v>
      </c>
      <c r="E3658" t="s">
        <v>271</v>
      </c>
      <c r="F3658" t="s">
        <v>860</v>
      </c>
    </row>
    <row r="3659" spans="1:6" x14ac:dyDescent="0.25">
      <c r="A3659" t="s">
        <v>13445</v>
      </c>
      <c r="B3659" t="s">
        <v>13446</v>
      </c>
      <c r="C3659" t="s">
        <v>13447</v>
      </c>
      <c r="D3659" t="s">
        <v>0</v>
      </c>
      <c r="E3659" t="s">
        <v>271</v>
      </c>
      <c r="F3659" t="s">
        <v>323</v>
      </c>
    </row>
    <row r="3660" spans="1:6" x14ac:dyDescent="0.25">
      <c r="A3660" t="s">
        <v>13448</v>
      </c>
      <c r="B3660" t="s">
        <v>13449</v>
      </c>
      <c r="C3660" t="s">
        <v>13450</v>
      </c>
      <c r="D3660" t="s">
        <v>0</v>
      </c>
      <c r="E3660" t="s">
        <v>271</v>
      </c>
      <c r="F3660" t="s">
        <v>356</v>
      </c>
    </row>
    <row r="3661" spans="1:6" x14ac:dyDescent="0.25">
      <c r="A3661" t="s">
        <v>13451</v>
      </c>
      <c r="B3661" t="s">
        <v>13452</v>
      </c>
      <c r="C3661" t="s">
        <v>13453</v>
      </c>
      <c r="D3661" t="s">
        <v>572</v>
      </c>
      <c r="E3661" t="s">
        <v>271</v>
      </c>
      <c r="F3661" t="s">
        <v>335</v>
      </c>
    </row>
    <row r="3662" spans="1:6" x14ac:dyDescent="0.25">
      <c r="A3662" t="s">
        <v>13454</v>
      </c>
      <c r="B3662" t="s">
        <v>13455</v>
      </c>
      <c r="C3662" t="s">
        <v>13456</v>
      </c>
      <c r="D3662" t="s">
        <v>0</v>
      </c>
      <c r="E3662" t="s">
        <v>271</v>
      </c>
      <c r="F3662" t="s">
        <v>3941</v>
      </c>
    </row>
    <row r="3663" spans="1:6" x14ac:dyDescent="0.25">
      <c r="A3663" t="s">
        <v>13457</v>
      </c>
      <c r="B3663" t="s">
        <v>13458</v>
      </c>
      <c r="C3663" t="s">
        <v>13459</v>
      </c>
      <c r="D3663" t="s">
        <v>519</v>
      </c>
      <c r="E3663" t="s">
        <v>271</v>
      </c>
      <c r="F3663" t="s">
        <v>324</v>
      </c>
    </row>
    <row r="3664" spans="1:6" x14ac:dyDescent="0.25">
      <c r="A3664" t="s">
        <v>2110</v>
      </c>
      <c r="B3664" t="s">
        <v>2111</v>
      </c>
      <c r="C3664" t="s">
        <v>2112</v>
      </c>
      <c r="D3664" t="s">
        <v>1542</v>
      </c>
      <c r="E3664" t="s">
        <v>269</v>
      </c>
      <c r="F3664" t="s">
        <v>1541</v>
      </c>
    </row>
    <row r="3665" spans="1:6" x14ac:dyDescent="0.25">
      <c r="A3665" t="s">
        <v>13460</v>
      </c>
      <c r="B3665" t="s">
        <v>13461</v>
      </c>
      <c r="C3665" t="s">
        <v>13462</v>
      </c>
      <c r="D3665" t="s">
        <v>0</v>
      </c>
      <c r="E3665" t="s">
        <v>271</v>
      </c>
      <c r="F3665" t="s">
        <v>325</v>
      </c>
    </row>
    <row r="3666" spans="1:6" x14ac:dyDescent="0.25">
      <c r="A3666" t="s">
        <v>13463</v>
      </c>
      <c r="B3666" t="s">
        <v>13464</v>
      </c>
      <c r="C3666" t="s">
        <v>13465</v>
      </c>
      <c r="D3666" t="s">
        <v>0</v>
      </c>
      <c r="E3666" t="s">
        <v>271</v>
      </c>
      <c r="F3666" t="s">
        <v>319</v>
      </c>
    </row>
    <row r="3667" spans="1:6" x14ac:dyDescent="0.25">
      <c r="A3667" t="s">
        <v>13466</v>
      </c>
      <c r="B3667" t="s">
        <v>13467</v>
      </c>
      <c r="C3667" t="s">
        <v>13468</v>
      </c>
      <c r="D3667" t="s">
        <v>822</v>
      </c>
      <c r="E3667" t="s">
        <v>269</v>
      </c>
      <c r="F3667" t="s">
        <v>821</v>
      </c>
    </row>
    <row r="3668" spans="1:6" x14ac:dyDescent="0.25">
      <c r="A3668" t="s">
        <v>13469</v>
      </c>
      <c r="B3668" t="s">
        <v>13470</v>
      </c>
      <c r="C3668" t="s">
        <v>13471</v>
      </c>
      <c r="D3668" t="s">
        <v>0</v>
      </c>
      <c r="E3668" t="s">
        <v>271</v>
      </c>
      <c r="F3668" t="s">
        <v>1141</v>
      </c>
    </row>
    <row r="3669" spans="1:6" x14ac:dyDescent="0.25">
      <c r="A3669" t="s">
        <v>13472</v>
      </c>
      <c r="B3669" t="s">
        <v>13473</v>
      </c>
      <c r="C3669" t="s">
        <v>13474</v>
      </c>
      <c r="D3669" t="s">
        <v>0</v>
      </c>
      <c r="E3669" t="s">
        <v>271</v>
      </c>
      <c r="F3669" t="s">
        <v>1679</v>
      </c>
    </row>
    <row r="3670" spans="1:6" x14ac:dyDescent="0.25">
      <c r="A3670" t="s">
        <v>3583</v>
      </c>
      <c r="B3670" t="s">
        <v>3584</v>
      </c>
      <c r="C3670" t="s">
        <v>3585</v>
      </c>
      <c r="D3670" t="s">
        <v>1455</v>
      </c>
      <c r="E3670" t="s">
        <v>271</v>
      </c>
      <c r="F3670" t="s">
        <v>1454</v>
      </c>
    </row>
    <row r="3671" spans="1:6" x14ac:dyDescent="0.25">
      <c r="A3671" t="s">
        <v>13475</v>
      </c>
      <c r="B3671" t="s">
        <v>13476</v>
      </c>
      <c r="C3671" t="s">
        <v>13477</v>
      </c>
      <c r="D3671" t="s">
        <v>1791</v>
      </c>
      <c r="E3671" t="s">
        <v>271</v>
      </c>
      <c r="F3671" t="s">
        <v>1790</v>
      </c>
    </row>
    <row r="3672" spans="1:6" x14ac:dyDescent="0.25">
      <c r="A3672" t="s">
        <v>13478</v>
      </c>
      <c r="B3672" t="s">
        <v>13479</v>
      </c>
      <c r="C3672" t="s">
        <v>13480</v>
      </c>
      <c r="D3672" t="s">
        <v>232</v>
      </c>
      <c r="E3672" t="s">
        <v>271</v>
      </c>
      <c r="F3672" t="s">
        <v>329</v>
      </c>
    </row>
    <row r="3673" spans="1:6" x14ac:dyDescent="0.25">
      <c r="A3673" t="s">
        <v>13481</v>
      </c>
      <c r="B3673" t="s">
        <v>13482</v>
      </c>
      <c r="C3673" t="s">
        <v>13483</v>
      </c>
      <c r="D3673" t="s">
        <v>347</v>
      </c>
      <c r="E3673" t="s">
        <v>271</v>
      </c>
      <c r="F3673" t="s">
        <v>327</v>
      </c>
    </row>
    <row r="3674" spans="1:6" x14ac:dyDescent="0.25">
      <c r="A3674" t="s">
        <v>13484</v>
      </c>
      <c r="B3674" t="s">
        <v>13485</v>
      </c>
      <c r="C3674" t="s">
        <v>13486</v>
      </c>
      <c r="D3674" t="s">
        <v>510</v>
      </c>
      <c r="E3674" t="s">
        <v>271</v>
      </c>
      <c r="F3674" t="s">
        <v>511</v>
      </c>
    </row>
    <row r="3675" spans="1:6" x14ac:dyDescent="0.25">
      <c r="A3675" t="s">
        <v>13487</v>
      </c>
      <c r="B3675" t="s">
        <v>13488</v>
      </c>
      <c r="C3675" t="s">
        <v>13489</v>
      </c>
      <c r="D3675" t="s">
        <v>0</v>
      </c>
      <c r="E3675" t="s">
        <v>271</v>
      </c>
      <c r="F3675" t="s">
        <v>688</v>
      </c>
    </row>
    <row r="3676" spans="1:6" x14ac:dyDescent="0.25">
      <c r="A3676" t="s">
        <v>13490</v>
      </c>
      <c r="B3676" t="s">
        <v>13491</v>
      </c>
      <c r="C3676" t="s">
        <v>9959</v>
      </c>
      <c r="D3676" t="s">
        <v>2166</v>
      </c>
      <c r="E3676" t="s">
        <v>271</v>
      </c>
      <c r="F3676" t="s">
        <v>2165</v>
      </c>
    </row>
    <row r="3677" spans="1:6" x14ac:dyDescent="0.25">
      <c r="A3677" t="s">
        <v>13492</v>
      </c>
      <c r="B3677" t="s">
        <v>13493</v>
      </c>
      <c r="C3677" t="s">
        <v>5160</v>
      </c>
      <c r="D3677" t="s">
        <v>472</v>
      </c>
      <c r="E3677" t="s">
        <v>271</v>
      </c>
      <c r="F3677" t="s">
        <v>318</v>
      </c>
    </row>
    <row r="3678" spans="1:6" x14ac:dyDescent="0.25">
      <c r="A3678" t="s">
        <v>13494</v>
      </c>
      <c r="B3678" t="s">
        <v>13495</v>
      </c>
      <c r="C3678" t="s">
        <v>13496</v>
      </c>
      <c r="D3678" t="s">
        <v>0</v>
      </c>
      <c r="E3678" t="s">
        <v>271</v>
      </c>
      <c r="F3678" t="s">
        <v>575</v>
      </c>
    </row>
    <row r="3679" spans="1:6" x14ac:dyDescent="0.25">
      <c r="A3679" t="s">
        <v>13497</v>
      </c>
      <c r="B3679" t="s">
        <v>13498</v>
      </c>
      <c r="C3679" t="s">
        <v>13499</v>
      </c>
      <c r="D3679" t="s">
        <v>3208</v>
      </c>
      <c r="E3679" t="s">
        <v>271</v>
      </c>
      <c r="F3679" t="s">
        <v>3207</v>
      </c>
    </row>
    <row r="3680" spans="1:6" x14ac:dyDescent="0.25">
      <c r="A3680" t="s">
        <v>13500</v>
      </c>
      <c r="B3680" t="s">
        <v>13501</v>
      </c>
      <c r="C3680" t="s">
        <v>13502</v>
      </c>
      <c r="D3680" t="s">
        <v>1643</v>
      </c>
      <c r="E3680" t="s">
        <v>271</v>
      </c>
      <c r="F3680" t="s">
        <v>2028</v>
      </c>
    </row>
    <row r="3681" spans="1:6" x14ac:dyDescent="0.25">
      <c r="A3681" t="s">
        <v>13503</v>
      </c>
      <c r="B3681" t="s">
        <v>13504</v>
      </c>
      <c r="C3681" t="s">
        <v>13505</v>
      </c>
      <c r="D3681" t="s">
        <v>0</v>
      </c>
      <c r="E3681" t="s">
        <v>271</v>
      </c>
      <c r="F3681" t="s">
        <v>562</v>
      </c>
    </row>
    <row r="3682" spans="1:6" x14ac:dyDescent="0.25">
      <c r="A3682" t="s">
        <v>13506</v>
      </c>
      <c r="B3682" t="s">
        <v>13507</v>
      </c>
      <c r="C3682" t="s">
        <v>13508</v>
      </c>
      <c r="D3682" t="s">
        <v>314</v>
      </c>
      <c r="E3682" t="s">
        <v>271</v>
      </c>
      <c r="F3682" t="s">
        <v>352</v>
      </c>
    </row>
    <row r="3683" spans="1:6" x14ac:dyDescent="0.25">
      <c r="A3683" t="s">
        <v>13509</v>
      </c>
      <c r="B3683" t="s">
        <v>13510</v>
      </c>
      <c r="C3683" t="s">
        <v>13511</v>
      </c>
      <c r="D3683" t="s">
        <v>1361</v>
      </c>
      <c r="E3683" t="s">
        <v>271</v>
      </c>
      <c r="F3683" t="s">
        <v>1829</v>
      </c>
    </row>
    <row r="3684" spans="1:6" x14ac:dyDescent="0.25">
      <c r="A3684" t="s">
        <v>1097</v>
      </c>
      <c r="B3684" t="s">
        <v>1098</v>
      </c>
      <c r="C3684" t="s">
        <v>1099</v>
      </c>
      <c r="D3684" t="s">
        <v>0</v>
      </c>
      <c r="E3684" t="s">
        <v>271</v>
      </c>
      <c r="F3684" t="s">
        <v>1011</v>
      </c>
    </row>
    <row r="3685" spans="1:6" x14ac:dyDescent="0.25">
      <c r="A3685" t="s">
        <v>13512</v>
      </c>
      <c r="B3685" t="s">
        <v>13513</v>
      </c>
      <c r="C3685" t="s">
        <v>13514</v>
      </c>
      <c r="D3685" t="s">
        <v>7408</v>
      </c>
      <c r="E3685" t="s">
        <v>271</v>
      </c>
      <c r="F3685" t="s">
        <v>4401</v>
      </c>
    </row>
    <row r="3686" spans="1:6" x14ac:dyDescent="0.25">
      <c r="A3686" t="s">
        <v>3751</v>
      </c>
      <c r="B3686" t="s">
        <v>3752</v>
      </c>
      <c r="C3686" t="s">
        <v>3754</v>
      </c>
      <c r="D3686" t="s">
        <v>488</v>
      </c>
      <c r="E3686" t="s">
        <v>271</v>
      </c>
      <c r="F3686" t="s">
        <v>489</v>
      </c>
    </row>
    <row r="3687" spans="1:6" x14ac:dyDescent="0.25">
      <c r="A3687" t="s">
        <v>1876</v>
      </c>
      <c r="B3687" t="s">
        <v>1877</v>
      </c>
      <c r="C3687" t="s">
        <v>1879</v>
      </c>
      <c r="D3687" t="s">
        <v>519</v>
      </c>
      <c r="E3687" t="s">
        <v>271</v>
      </c>
      <c r="F3687" t="s">
        <v>1878</v>
      </c>
    </row>
    <row r="3688" spans="1:6" x14ac:dyDescent="0.25">
      <c r="A3688" t="s">
        <v>13515</v>
      </c>
      <c r="B3688" t="s">
        <v>13516</v>
      </c>
      <c r="C3688" t="s">
        <v>10918</v>
      </c>
      <c r="D3688" t="s">
        <v>1683</v>
      </c>
      <c r="E3688" t="s">
        <v>271</v>
      </c>
      <c r="F3688" t="s">
        <v>996</v>
      </c>
    </row>
    <row r="3689" spans="1:6" x14ac:dyDescent="0.25">
      <c r="A3689" t="s">
        <v>2896</v>
      </c>
      <c r="B3689" t="s">
        <v>2897</v>
      </c>
      <c r="C3689" t="s">
        <v>2898</v>
      </c>
      <c r="D3689" t="s">
        <v>1286</v>
      </c>
      <c r="E3689" t="s">
        <v>269</v>
      </c>
      <c r="F3689" t="s">
        <v>1285</v>
      </c>
    </row>
    <row r="3690" spans="1:6" x14ac:dyDescent="0.25">
      <c r="A3690" t="s">
        <v>13517</v>
      </c>
      <c r="B3690" t="s">
        <v>13518</v>
      </c>
      <c r="C3690" t="s">
        <v>8565</v>
      </c>
      <c r="D3690" t="s">
        <v>1079</v>
      </c>
      <c r="E3690" t="s">
        <v>271</v>
      </c>
      <c r="F3690" t="s">
        <v>1078</v>
      </c>
    </row>
    <row r="3691" spans="1:6" x14ac:dyDescent="0.25">
      <c r="A3691" t="s">
        <v>13519</v>
      </c>
      <c r="B3691" t="s">
        <v>13520</v>
      </c>
      <c r="C3691" t="s">
        <v>13521</v>
      </c>
      <c r="D3691" t="s">
        <v>288</v>
      </c>
      <c r="E3691" t="s">
        <v>271</v>
      </c>
      <c r="F3691" t="s">
        <v>4408</v>
      </c>
    </row>
    <row r="3692" spans="1:6" x14ac:dyDescent="0.25">
      <c r="A3692" t="s">
        <v>13522</v>
      </c>
      <c r="B3692" t="s">
        <v>13523</v>
      </c>
      <c r="C3692" t="s">
        <v>13524</v>
      </c>
      <c r="D3692" t="s">
        <v>1165</v>
      </c>
      <c r="E3692" t="s">
        <v>271</v>
      </c>
      <c r="F3692" t="s">
        <v>1164</v>
      </c>
    </row>
    <row r="3693" spans="1:6" x14ac:dyDescent="0.25">
      <c r="A3693" t="s">
        <v>13525</v>
      </c>
      <c r="B3693" t="s">
        <v>13526</v>
      </c>
      <c r="C3693" t="s">
        <v>13527</v>
      </c>
      <c r="D3693" t="s">
        <v>876</v>
      </c>
      <c r="E3693" t="s">
        <v>271</v>
      </c>
      <c r="F3693" t="s">
        <v>875</v>
      </c>
    </row>
    <row r="3694" spans="1:6" x14ac:dyDescent="0.25">
      <c r="A3694" t="s">
        <v>13528</v>
      </c>
      <c r="B3694" t="s">
        <v>13529</v>
      </c>
      <c r="C3694" t="s">
        <v>13530</v>
      </c>
      <c r="D3694" t="s">
        <v>1421</v>
      </c>
      <c r="E3694" t="s">
        <v>271</v>
      </c>
      <c r="F3694" t="s">
        <v>1420</v>
      </c>
    </row>
    <row r="3695" spans="1:6" x14ac:dyDescent="0.25">
      <c r="A3695" t="s">
        <v>13531</v>
      </c>
      <c r="B3695" t="s">
        <v>13532</v>
      </c>
      <c r="C3695" t="s">
        <v>13533</v>
      </c>
      <c r="D3695" t="s">
        <v>377</v>
      </c>
      <c r="E3695" t="s">
        <v>269</v>
      </c>
      <c r="F3695" t="s">
        <v>1786</v>
      </c>
    </row>
    <row r="3696" spans="1:6" x14ac:dyDescent="0.25">
      <c r="A3696" t="s">
        <v>13534</v>
      </c>
      <c r="B3696" t="s">
        <v>13535</v>
      </c>
      <c r="C3696" t="s">
        <v>13536</v>
      </c>
      <c r="D3696" t="s">
        <v>377</v>
      </c>
      <c r="E3696" t="s">
        <v>269</v>
      </c>
      <c r="F3696" t="s">
        <v>1786</v>
      </c>
    </row>
    <row r="3697" spans="1:6" x14ac:dyDescent="0.25">
      <c r="A3697" t="s">
        <v>13537</v>
      </c>
      <c r="B3697" t="s">
        <v>13538</v>
      </c>
      <c r="C3697" t="s">
        <v>13539</v>
      </c>
      <c r="D3697" t="s">
        <v>0</v>
      </c>
      <c r="E3697" t="s">
        <v>271</v>
      </c>
      <c r="F3697" t="s">
        <v>1277</v>
      </c>
    </row>
    <row r="3698" spans="1:6" x14ac:dyDescent="0.25">
      <c r="A3698" t="s">
        <v>13540</v>
      </c>
      <c r="B3698" t="s">
        <v>13541</v>
      </c>
      <c r="C3698" t="s">
        <v>13542</v>
      </c>
      <c r="D3698" t="s">
        <v>572</v>
      </c>
      <c r="E3698" t="s">
        <v>271</v>
      </c>
      <c r="F3698" t="s">
        <v>335</v>
      </c>
    </row>
    <row r="3699" spans="1:6" x14ac:dyDescent="0.25">
      <c r="A3699" t="s">
        <v>13543</v>
      </c>
      <c r="B3699" t="s">
        <v>13544</v>
      </c>
      <c r="C3699" t="s">
        <v>13545</v>
      </c>
      <c r="D3699" t="s">
        <v>0</v>
      </c>
      <c r="E3699" t="s">
        <v>271</v>
      </c>
      <c r="F3699" t="s">
        <v>432</v>
      </c>
    </row>
    <row r="3700" spans="1:6" x14ac:dyDescent="0.25">
      <c r="A3700" t="s">
        <v>3507</v>
      </c>
      <c r="B3700" t="s">
        <v>3508</v>
      </c>
      <c r="C3700" t="s">
        <v>3509</v>
      </c>
      <c r="D3700" t="s">
        <v>0</v>
      </c>
      <c r="E3700" t="s">
        <v>271</v>
      </c>
      <c r="F3700" t="s">
        <v>709</v>
      </c>
    </row>
    <row r="3701" spans="1:6" x14ac:dyDescent="0.25">
      <c r="A3701" t="s">
        <v>13546</v>
      </c>
      <c r="B3701" t="s">
        <v>13547</v>
      </c>
      <c r="C3701" t="s">
        <v>13548</v>
      </c>
      <c r="D3701" t="s">
        <v>980</v>
      </c>
      <c r="E3701" t="s">
        <v>271</v>
      </c>
      <c r="F3701" t="s">
        <v>979</v>
      </c>
    </row>
    <row r="3702" spans="1:6" x14ac:dyDescent="0.25">
      <c r="A3702" t="s">
        <v>13549</v>
      </c>
      <c r="B3702" t="s">
        <v>13550</v>
      </c>
      <c r="C3702" t="s">
        <v>13551</v>
      </c>
      <c r="D3702" t="s">
        <v>314</v>
      </c>
      <c r="E3702" t="s">
        <v>271</v>
      </c>
      <c r="F3702" t="s">
        <v>352</v>
      </c>
    </row>
    <row r="3703" spans="1:6" x14ac:dyDescent="0.25">
      <c r="A3703" t="s">
        <v>13552</v>
      </c>
      <c r="B3703" t="s">
        <v>13553</v>
      </c>
      <c r="C3703" t="s">
        <v>13554</v>
      </c>
      <c r="D3703" t="s">
        <v>0</v>
      </c>
      <c r="E3703" t="s">
        <v>271</v>
      </c>
      <c r="F3703" t="s">
        <v>1148</v>
      </c>
    </row>
    <row r="3704" spans="1:6" x14ac:dyDescent="0.25">
      <c r="A3704" t="s">
        <v>13555</v>
      </c>
      <c r="B3704" t="s">
        <v>13556</v>
      </c>
      <c r="C3704" t="s">
        <v>13557</v>
      </c>
      <c r="D3704" t="s">
        <v>1559</v>
      </c>
      <c r="E3704" t="s">
        <v>271</v>
      </c>
      <c r="F3704" t="s">
        <v>1558</v>
      </c>
    </row>
    <row r="3705" spans="1:6" x14ac:dyDescent="0.25">
      <c r="A3705" t="s">
        <v>13558</v>
      </c>
      <c r="B3705" t="s">
        <v>13559</v>
      </c>
      <c r="C3705" t="s">
        <v>7327</v>
      </c>
      <c r="D3705" t="s">
        <v>492</v>
      </c>
      <c r="E3705" t="s">
        <v>271</v>
      </c>
      <c r="F3705" t="s">
        <v>1221</v>
      </c>
    </row>
    <row r="3706" spans="1:6" x14ac:dyDescent="0.25">
      <c r="A3706" t="s">
        <v>13560</v>
      </c>
      <c r="B3706" t="s">
        <v>13561</v>
      </c>
      <c r="C3706" t="s">
        <v>13562</v>
      </c>
      <c r="D3706" t="s">
        <v>314</v>
      </c>
      <c r="E3706" t="s">
        <v>271</v>
      </c>
      <c r="F3706" t="s">
        <v>352</v>
      </c>
    </row>
    <row r="3707" spans="1:6" x14ac:dyDescent="0.25">
      <c r="A3707" t="s">
        <v>13563</v>
      </c>
      <c r="B3707" t="s">
        <v>13432</v>
      </c>
      <c r="C3707" t="s">
        <v>1901</v>
      </c>
      <c r="D3707" t="s">
        <v>1900</v>
      </c>
      <c r="E3707" t="s">
        <v>271</v>
      </c>
      <c r="F3707" t="s">
        <v>1899</v>
      </c>
    </row>
    <row r="3708" spans="1:6" x14ac:dyDescent="0.25">
      <c r="A3708" t="s">
        <v>13564</v>
      </c>
      <c r="B3708" t="s">
        <v>13565</v>
      </c>
      <c r="C3708" t="s">
        <v>13566</v>
      </c>
      <c r="D3708" t="s">
        <v>295</v>
      </c>
      <c r="E3708" t="s">
        <v>271</v>
      </c>
      <c r="F3708" t="s">
        <v>294</v>
      </c>
    </row>
    <row r="3709" spans="1:6" x14ac:dyDescent="0.25">
      <c r="A3709" t="s">
        <v>13567</v>
      </c>
      <c r="B3709" t="s">
        <v>13568</v>
      </c>
      <c r="C3709" t="s">
        <v>13569</v>
      </c>
      <c r="D3709" t="s">
        <v>239</v>
      </c>
      <c r="E3709" t="s">
        <v>271</v>
      </c>
      <c r="F3709" t="s">
        <v>544</v>
      </c>
    </row>
    <row r="3710" spans="1:6" x14ac:dyDescent="0.25">
      <c r="A3710" t="s">
        <v>13570</v>
      </c>
      <c r="B3710" t="s">
        <v>13571</v>
      </c>
      <c r="C3710" t="s">
        <v>13572</v>
      </c>
      <c r="D3710" t="s">
        <v>822</v>
      </c>
      <c r="E3710" t="s">
        <v>269</v>
      </c>
      <c r="F3710" t="s">
        <v>821</v>
      </c>
    </row>
    <row r="3711" spans="1:6" x14ac:dyDescent="0.25">
      <c r="A3711" t="s">
        <v>2193</v>
      </c>
      <c r="B3711" t="s">
        <v>2194</v>
      </c>
      <c r="C3711" t="s">
        <v>2195</v>
      </c>
      <c r="D3711" t="s">
        <v>1433</v>
      </c>
      <c r="E3711" t="s">
        <v>271</v>
      </c>
      <c r="F3711" t="s">
        <v>1432</v>
      </c>
    </row>
    <row r="3712" spans="1:6" x14ac:dyDescent="0.25">
      <c r="A3712" t="s">
        <v>2826</v>
      </c>
      <c r="B3712" t="s">
        <v>2827</v>
      </c>
      <c r="C3712" t="s">
        <v>2828</v>
      </c>
      <c r="D3712" t="s">
        <v>1806</v>
      </c>
      <c r="E3712" t="s">
        <v>271</v>
      </c>
      <c r="F3712" t="s">
        <v>1805</v>
      </c>
    </row>
    <row r="3713" spans="1:6" x14ac:dyDescent="0.25">
      <c r="A3713" t="s">
        <v>13573</v>
      </c>
      <c r="B3713" t="s">
        <v>13574</v>
      </c>
      <c r="C3713" t="s">
        <v>13575</v>
      </c>
      <c r="D3713" t="s">
        <v>668</v>
      </c>
      <c r="E3713" t="s">
        <v>271</v>
      </c>
      <c r="F3713" t="s">
        <v>667</v>
      </c>
    </row>
    <row r="3714" spans="1:6" x14ac:dyDescent="0.25">
      <c r="A3714" t="s">
        <v>13576</v>
      </c>
      <c r="B3714" t="s">
        <v>13577</v>
      </c>
      <c r="C3714" t="s">
        <v>13578</v>
      </c>
      <c r="D3714" t="s">
        <v>0</v>
      </c>
      <c r="E3714" t="s">
        <v>271</v>
      </c>
      <c r="F3714" t="s">
        <v>731</v>
      </c>
    </row>
    <row r="3715" spans="1:6" x14ac:dyDescent="0.25">
      <c r="A3715" t="s">
        <v>13579</v>
      </c>
      <c r="B3715" t="s">
        <v>13580</v>
      </c>
      <c r="C3715" t="s">
        <v>13581</v>
      </c>
      <c r="D3715" t="s">
        <v>440</v>
      </c>
      <c r="E3715" t="s">
        <v>271</v>
      </c>
      <c r="F3715" t="s">
        <v>441</v>
      </c>
    </row>
    <row r="3716" spans="1:6" x14ac:dyDescent="0.25">
      <c r="A3716" t="s">
        <v>13582</v>
      </c>
      <c r="B3716" t="s">
        <v>13583</v>
      </c>
      <c r="C3716" t="s">
        <v>13584</v>
      </c>
      <c r="D3716" t="s">
        <v>2714</v>
      </c>
      <c r="E3716" t="s">
        <v>271</v>
      </c>
      <c r="F3716" t="s">
        <v>2713</v>
      </c>
    </row>
    <row r="3717" spans="1:6" x14ac:dyDescent="0.25">
      <c r="A3717" t="s">
        <v>13585</v>
      </c>
      <c r="B3717" t="s">
        <v>13586</v>
      </c>
      <c r="C3717" t="s">
        <v>13587</v>
      </c>
      <c r="D3717" t="s">
        <v>0</v>
      </c>
      <c r="E3717" t="s">
        <v>271</v>
      </c>
      <c r="F3717" t="s">
        <v>431</v>
      </c>
    </row>
    <row r="3718" spans="1:6" x14ac:dyDescent="0.25">
      <c r="A3718" t="s">
        <v>3309</v>
      </c>
      <c r="B3718" t="s">
        <v>3310</v>
      </c>
      <c r="C3718" t="s">
        <v>3311</v>
      </c>
      <c r="D3718" t="s">
        <v>668</v>
      </c>
      <c r="E3718" t="s">
        <v>271</v>
      </c>
      <c r="F3718" t="s">
        <v>667</v>
      </c>
    </row>
    <row r="3719" spans="1:6" x14ac:dyDescent="0.25">
      <c r="A3719" t="s">
        <v>13588</v>
      </c>
      <c r="B3719" t="s">
        <v>13589</v>
      </c>
      <c r="C3719" t="s">
        <v>13590</v>
      </c>
      <c r="D3719" t="s">
        <v>1348</v>
      </c>
      <c r="E3719" t="s">
        <v>271</v>
      </c>
      <c r="F3719" t="s">
        <v>2057</v>
      </c>
    </row>
    <row r="3720" spans="1:6" x14ac:dyDescent="0.25">
      <c r="A3720" t="s">
        <v>13591</v>
      </c>
      <c r="B3720" t="s">
        <v>13592</v>
      </c>
      <c r="C3720" t="s">
        <v>13593</v>
      </c>
      <c r="D3720" t="s">
        <v>1665</v>
      </c>
      <c r="E3720" t="s">
        <v>271</v>
      </c>
      <c r="F3720" t="s">
        <v>1664</v>
      </c>
    </row>
    <row r="3721" spans="1:6" x14ac:dyDescent="0.25">
      <c r="A3721" t="s">
        <v>13594</v>
      </c>
      <c r="B3721" t="s">
        <v>13595</v>
      </c>
      <c r="C3721" t="s">
        <v>13596</v>
      </c>
      <c r="D3721" t="s">
        <v>510</v>
      </c>
      <c r="E3721" t="s">
        <v>271</v>
      </c>
      <c r="F3721" t="s">
        <v>852</v>
      </c>
    </row>
    <row r="3722" spans="1:6" x14ac:dyDescent="0.25">
      <c r="A3722" t="s">
        <v>13597</v>
      </c>
      <c r="B3722" t="s">
        <v>13598</v>
      </c>
      <c r="C3722" t="s">
        <v>13599</v>
      </c>
      <c r="D3722" t="s">
        <v>1915</v>
      </c>
      <c r="E3722" t="s">
        <v>269</v>
      </c>
      <c r="F3722" t="s">
        <v>1914</v>
      </c>
    </row>
    <row r="3723" spans="1:6" x14ac:dyDescent="0.25">
      <c r="A3723" t="s">
        <v>13600</v>
      </c>
      <c r="B3723" t="s">
        <v>13601</v>
      </c>
      <c r="C3723" t="s">
        <v>13602</v>
      </c>
      <c r="D3723" t="s">
        <v>0</v>
      </c>
      <c r="E3723" t="s">
        <v>271</v>
      </c>
      <c r="F3723" t="s">
        <v>436</v>
      </c>
    </row>
    <row r="3724" spans="1:6" x14ac:dyDescent="0.25">
      <c r="A3724" t="s">
        <v>13603</v>
      </c>
      <c r="B3724" t="s">
        <v>13604</v>
      </c>
      <c r="C3724" t="s">
        <v>13605</v>
      </c>
      <c r="D3724" t="s">
        <v>1317</v>
      </c>
      <c r="E3724" t="s">
        <v>271</v>
      </c>
      <c r="F3724" t="s">
        <v>1316</v>
      </c>
    </row>
    <row r="3725" spans="1:6" x14ac:dyDescent="0.25">
      <c r="A3725" t="s">
        <v>13606</v>
      </c>
      <c r="B3725" t="s">
        <v>13607</v>
      </c>
      <c r="C3725" t="s">
        <v>13608</v>
      </c>
      <c r="D3725" t="s">
        <v>0</v>
      </c>
      <c r="E3725" t="s">
        <v>271</v>
      </c>
      <c r="F3725" t="s">
        <v>356</v>
      </c>
    </row>
    <row r="3726" spans="1:6" x14ac:dyDescent="0.25">
      <c r="A3726" t="s">
        <v>13609</v>
      </c>
      <c r="B3726" t="s">
        <v>13610</v>
      </c>
      <c r="C3726" t="s">
        <v>13611</v>
      </c>
      <c r="D3726" t="s">
        <v>466</v>
      </c>
      <c r="E3726" t="s">
        <v>271</v>
      </c>
      <c r="F3726" t="s">
        <v>434</v>
      </c>
    </row>
    <row r="3727" spans="1:6" x14ac:dyDescent="0.25">
      <c r="A3727" t="s">
        <v>13612</v>
      </c>
      <c r="B3727" t="s">
        <v>13613</v>
      </c>
      <c r="C3727" t="s">
        <v>13614</v>
      </c>
      <c r="D3727" t="s">
        <v>0</v>
      </c>
      <c r="E3727" t="s">
        <v>271</v>
      </c>
      <c r="F3727" t="s">
        <v>319</v>
      </c>
    </row>
    <row r="3728" spans="1:6" x14ac:dyDescent="0.25">
      <c r="A3728" t="s">
        <v>13615</v>
      </c>
      <c r="B3728" t="s">
        <v>13616</v>
      </c>
      <c r="C3728" t="s">
        <v>13617</v>
      </c>
      <c r="D3728" t="s">
        <v>1643</v>
      </c>
      <c r="E3728" t="s">
        <v>271</v>
      </c>
      <c r="F3728" t="s">
        <v>4416</v>
      </c>
    </row>
    <row r="3729" spans="1:6" x14ac:dyDescent="0.25">
      <c r="A3729" t="s">
        <v>13618</v>
      </c>
      <c r="B3729" t="s">
        <v>13619</v>
      </c>
      <c r="C3729" t="s">
        <v>13620</v>
      </c>
      <c r="D3729" t="s">
        <v>377</v>
      </c>
      <c r="E3729" t="s">
        <v>269</v>
      </c>
      <c r="F3729" t="s">
        <v>1786</v>
      </c>
    </row>
    <row r="3730" spans="1:6" x14ac:dyDescent="0.25">
      <c r="A3730" t="s">
        <v>1259</v>
      </c>
      <c r="B3730" t="s">
        <v>1260</v>
      </c>
      <c r="C3730" t="s">
        <v>1261</v>
      </c>
      <c r="D3730" t="s">
        <v>0</v>
      </c>
      <c r="E3730" t="s">
        <v>271</v>
      </c>
      <c r="F3730" t="s">
        <v>688</v>
      </c>
    </row>
    <row r="3731" spans="1:6" x14ac:dyDescent="0.25">
      <c r="A3731" t="s">
        <v>13621</v>
      </c>
      <c r="B3731" t="s">
        <v>13622</v>
      </c>
      <c r="C3731" t="s">
        <v>13623</v>
      </c>
      <c r="D3731" t="s">
        <v>0</v>
      </c>
      <c r="E3731" t="s">
        <v>271</v>
      </c>
      <c r="F3731" t="s">
        <v>2377</v>
      </c>
    </row>
    <row r="3732" spans="1:6" x14ac:dyDescent="0.25">
      <c r="A3732" t="s">
        <v>13624</v>
      </c>
      <c r="B3732" t="s">
        <v>13625</v>
      </c>
      <c r="C3732" t="s">
        <v>13626</v>
      </c>
      <c r="D3732" t="s">
        <v>0</v>
      </c>
      <c r="E3732" t="s">
        <v>271</v>
      </c>
      <c r="F3732" t="s">
        <v>325</v>
      </c>
    </row>
    <row r="3733" spans="1:6" x14ac:dyDescent="0.25">
      <c r="A3733" t="s">
        <v>13627</v>
      </c>
      <c r="B3733" t="s">
        <v>13628</v>
      </c>
      <c r="C3733" t="s">
        <v>3266</v>
      </c>
      <c r="D3733" t="s">
        <v>0</v>
      </c>
      <c r="E3733" t="s">
        <v>271</v>
      </c>
      <c r="F3733" t="s">
        <v>323</v>
      </c>
    </row>
    <row r="3734" spans="1:6" x14ac:dyDescent="0.25">
      <c r="A3734" t="s">
        <v>13629</v>
      </c>
      <c r="B3734" t="s">
        <v>281</v>
      </c>
      <c r="C3734" t="s">
        <v>13630</v>
      </c>
      <c r="D3734" t="s">
        <v>1848</v>
      </c>
      <c r="E3734" t="s">
        <v>269</v>
      </c>
      <c r="F3734" t="s">
        <v>1847</v>
      </c>
    </row>
    <row r="3735" spans="1:6" x14ac:dyDescent="0.25">
      <c r="A3735" t="s">
        <v>2521</v>
      </c>
      <c r="B3735" t="s">
        <v>2522</v>
      </c>
      <c r="C3735" t="s">
        <v>2523</v>
      </c>
      <c r="D3735" t="s">
        <v>1638</v>
      </c>
      <c r="E3735" t="s">
        <v>271</v>
      </c>
      <c r="F3735" t="s">
        <v>1637</v>
      </c>
    </row>
    <row r="3736" spans="1:6" x14ac:dyDescent="0.25">
      <c r="A3736" t="s">
        <v>13631</v>
      </c>
      <c r="B3736" t="s">
        <v>13632</v>
      </c>
      <c r="C3736" t="s">
        <v>13633</v>
      </c>
      <c r="D3736" t="s">
        <v>0</v>
      </c>
      <c r="E3736" t="s">
        <v>271</v>
      </c>
      <c r="F3736" t="s">
        <v>355</v>
      </c>
    </row>
    <row r="3737" spans="1:6" x14ac:dyDescent="0.25">
      <c r="A3737" t="s">
        <v>13634</v>
      </c>
      <c r="B3737" t="s">
        <v>13635</v>
      </c>
      <c r="C3737" t="s">
        <v>13636</v>
      </c>
      <c r="D3737" t="s">
        <v>1665</v>
      </c>
      <c r="E3737" t="s">
        <v>271</v>
      </c>
      <c r="F3737" t="s">
        <v>1664</v>
      </c>
    </row>
    <row r="3738" spans="1:6" x14ac:dyDescent="0.25">
      <c r="A3738" t="s">
        <v>13637</v>
      </c>
      <c r="B3738" t="s">
        <v>13638</v>
      </c>
      <c r="C3738" t="s">
        <v>13639</v>
      </c>
      <c r="D3738" t="s">
        <v>222</v>
      </c>
      <c r="E3738" t="s">
        <v>271</v>
      </c>
      <c r="F3738" t="s">
        <v>4414</v>
      </c>
    </row>
    <row r="3739" spans="1:6" x14ac:dyDescent="0.25">
      <c r="A3739" t="s">
        <v>13640</v>
      </c>
      <c r="B3739" t="s">
        <v>13641</v>
      </c>
      <c r="C3739" t="s">
        <v>13642</v>
      </c>
      <c r="D3739" t="s">
        <v>1126</v>
      </c>
      <c r="E3739" t="s">
        <v>271</v>
      </c>
      <c r="F3739" t="s">
        <v>1125</v>
      </c>
    </row>
    <row r="3740" spans="1:6" x14ac:dyDescent="0.25">
      <c r="A3740" t="s">
        <v>13643</v>
      </c>
      <c r="B3740" t="s">
        <v>13644</v>
      </c>
      <c r="C3740" t="s">
        <v>13645</v>
      </c>
      <c r="D3740" t="s">
        <v>446</v>
      </c>
      <c r="E3740" t="s">
        <v>271</v>
      </c>
      <c r="F3740" t="s">
        <v>447</v>
      </c>
    </row>
    <row r="3741" spans="1:6" x14ac:dyDescent="0.25">
      <c r="A3741" t="s">
        <v>13646</v>
      </c>
      <c r="B3741" t="s">
        <v>13647</v>
      </c>
      <c r="C3741" t="s">
        <v>13648</v>
      </c>
      <c r="D3741" t="s">
        <v>2769</v>
      </c>
      <c r="E3741" t="s">
        <v>271</v>
      </c>
      <c r="F3741" t="s">
        <v>1214</v>
      </c>
    </row>
    <row r="3742" spans="1:6" x14ac:dyDescent="0.25">
      <c r="A3742" t="s">
        <v>13649</v>
      </c>
      <c r="B3742" t="s">
        <v>13650</v>
      </c>
      <c r="C3742" t="s">
        <v>6696</v>
      </c>
      <c r="D3742" t="s">
        <v>446</v>
      </c>
      <c r="E3742" t="s">
        <v>271</v>
      </c>
      <c r="F3742" t="s">
        <v>447</v>
      </c>
    </row>
    <row r="3743" spans="1:6" x14ac:dyDescent="0.25">
      <c r="A3743" t="s">
        <v>13651</v>
      </c>
      <c r="B3743" t="s">
        <v>13652</v>
      </c>
      <c r="C3743" t="s">
        <v>13653</v>
      </c>
      <c r="D3743" t="s">
        <v>0</v>
      </c>
      <c r="E3743" t="s">
        <v>271</v>
      </c>
      <c r="F3743" t="s">
        <v>1591</v>
      </c>
    </row>
    <row r="3744" spans="1:6" x14ac:dyDescent="0.25">
      <c r="A3744" t="s">
        <v>13654</v>
      </c>
      <c r="B3744" t="s">
        <v>13655</v>
      </c>
      <c r="C3744" t="s">
        <v>13656</v>
      </c>
      <c r="D3744" t="s">
        <v>1210</v>
      </c>
      <c r="E3744" t="s">
        <v>271</v>
      </c>
      <c r="F3744" t="s">
        <v>2115</v>
      </c>
    </row>
    <row r="3745" spans="1:6" x14ac:dyDescent="0.25">
      <c r="A3745" t="s">
        <v>3419</v>
      </c>
      <c r="B3745" t="s">
        <v>3420</v>
      </c>
      <c r="C3745" t="s">
        <v>3421</v>
      </c>
      <c r="D3745" t="s">
        <v>503</v>
      </c>
      <c r="E3745" t="s">
        <v>271</v>
      </c>
      <c r="F3745" t="s">
        <v>504</v>
      </c>
    </row>
    <row r="3746" spans="1:6" x14ac:dyDescent="0.25">
      <c r="A3746" t="s">
        <v>3720</v>
      </c>
      <c r="B3746" t="s">
        <v>3721</v>
      </c>
      <c r="C3746" t="s">
        <v>3722</v>
      </c>
      <c r="D3746" t="s">
        <v>2714</v>
      </c>
      <c r="E3746" t="s">
        <v>271</v>
      </c>
      <c r="F3746" t="s">
        <v>2713</v>
      </c>
    </row>
    <row r="3747" spans="1:6" x14ac:dyDescent="0.25">
      <c r="A3747" t="s">
        <v>13657</v>
      </c>
      <c r="B3747" t="s">
        <v>13658</v>
      </c>
      <c r="C3747" t="s">
        <v>13659</v>
      </c>
      <c r="D3747" t="s">
        <v>1542</v>
      </c>
      <c r="E3747" t="s">
        <v>269</v>
      </c>
      <c r="F3747" t="s">
        <v>1541</v>
      </c>
    </row>
    <row r="3748" spans="1:6" x14ac:dyDescent="0.25">
      <c r="A3748" t="s">
        <v>13660</v>
      </c>
      <c r="B3748" t="s">
        <v>13661</v>
      </c>
      <c r="C3748" t="s">
        <v>3591</v>
      </c>
      <c r="D3748" t="s">
        <v>0</v>
      </c>
      <c r="E3748" t="s">
        <v>271</v>
      </c>
      <c r="F3748" t="s">
        <v>881</v>
      </c>
    </row>
    <row r="3749" spans="1:6" x14ac:dyDescent="0.25">
      <c r="A3749" t="s">
        <v>13662</v>
      </c>
      <c r="B3749" t="s">
        <v>13663</v>
      </c>
      <c r="C3749" t="s">
        <v>12252</v>
      </c>
      <c r="D3749" t="s">
        <v>1485</v>
      </c>
      <c r="E3749" t="s">
        <v>271</v>
      </c>
      <c r="F3749" t="s">
        <v>1484</v>
      </c>
    </row>
    <row r="3750" spans="1:6" x14ac:dyDescent="0.25">
      <c r="A3750" t="s">
        <v>13664</v>
      </c>
      <c r="B3750" t="s">
        <v>13665</v>
      </c>
      <c r="C3750" t="s">
        <v>3266</v>
      </c>
      <c r="D3750" t="s">
        <v>0</v>
      </c>
      <c r="E3750" t="s">
        <v>271</v>
      </c>
      <c r="F3750" t="s">
        <v>323</v>
      </c>
    </row>
    <row r="3751" spans="1:6" x14ac:dyDescent="0.25">
      <c r="A3751" t="s">
        <v>13666</v>
      </c>
      <c r="B3751" t="s">
        <v>13667</v>
      </c>
      <c r="C3751" t="s">
        <v>13668</v>
      </c>
      <c r="D3751" t="s">
        <v>0</v>
      </c>
      <c r="E3751" t="s">
        <v>271</v>
      </c>
      <c r="F3751" t="s">
        <v>356</v>
      </c>
    </row>
    <row r="3752" spans="1:6" x14ac:dyDescent="0.25">
      <c r="A3752" t="s">
        <v>13669</v>
      </c>
      <c r="B3752" t="s">
        <v>13670</v>
      </c>
      <c r="C3752" t="s">
        <v>13671</v>
      </c>
      <c r="D3752" t="s">
        <v>2471</v>
      </c>
      <c r="E3752" t="s">
        <v>271</v>
      </c>
      <c r="F3752" t="s">
        <v>2470</v>
      </c>
    </row>
    <row r="3753" spans="1:6" x14ac:dyDescent="0.25">
      <c r="A3753" t="s">
        <v>13672</v>
      </c>
      <c r="B3753" t="s">
        <v>13673</v>
      </c>
      <c r="C3753" t="s">
        <v>13674</v>
      </c>
      <c r="D3753" t="s">
        <v>450</v>
      </c>
      <c r="E3753" t="s">
        <v>271</v>
      </c>
      <c r="F3753" t="s">
        <v>326</v>
      </c>
    </row>
    <row r="3754" spans="1:6" x14ac:dyDescent="0.25">
      <c r="A3754" t="s">
        <v>13675</v>
      </c>
      <c r="B3754" t="s">
        <v>13676</v>
      </c>
      <c r="C3754" t="s">
        <v>13677</v>
      </c>
      <c r="D3754" t="s">
        <v>0</v>
      </c>
      <c r="E3754" t="s">
        <v>271</v>
      </c>
      <c r="F3754" t="s">
        <v>2349</v>
      </c>
    </row>
    <row r="3755" spans="1:6" x14ac:dyDescent="0.25">
      <c r="A3755" t="s">
        <v>13678</v>
      </c>
      <c r="B3755" t="s">
        <v>13679</v>
      </c>
      <c r="C3755" t="s">
        <v>13680</v>
      </c>
      <c r="D3755" t="s">
        <v>1542</v>
      </c>
      <c r="E3755" t="s">
        <v>269</v>
      </c>
      <c r="F3755" t="s">
        <v>1541</v>
      </c>
    </row>
    <row r="3756" spans="1:6" x14ac:dyDescent="0.25">
      <c r="A3756" t="s">
        <v>13681</v>
      </c>
      <c r="B3756" t="s">
        <v>13682</v>
      </c>
      <c r="C3756" t="s">
        <v>13683</v>
      </c>
      <c r="D3756" t="s">
        <v>0</v>
      </c>
      <c r="E3756" t="s">
        <v>271</v>
      </c>
      <c r="F3756" t="s">
        <v>323</v>
      </c>
    </row>
    <row r="3757" spans="1:6" x14ac:dyDescent="0.25">
      <c r="A3757" t="s">
        <v>13684</v>
      </c>
      <c r="B3757" t="s">
        <v>13685</v>
      </c>
      <c r="C3757" t="s">
        <v>13686</v>
      </c>
      <c r="D3757" t="s">
        <v>980</v>
      </c>
      <c r="E3757" t="s">
        <v>271</v>
      </c>
      <c r="F3757" t="s">
        <v>979</v>
      </c>
    </row>
    <row r="3758" spans="1:6" x14ac:dyDescent="0.25">
      <c r="A3758" t="s">
        <v>13687</v>
      </c>
      <c r="B3758" t="s">
        <v>13688</v>
      </c>
      <c r="C3758" t="s">
        <v>13689</v>
      </c>
      <c r="D3758" t="s">
        <v>742</v>
      </c>
      <c r="E3758" t="s">
        <v>271</v>
      </c>
      <c r="F3758" t="s">
        <v>741</v>
      </c>
    </row>
    <row r="3759" spans="1:6" x14ac:dyDescent="0.25">
      <c r="A3759" t="s">
        <v>13690</v>
      </c>
      <c r="B3759" t="s">
        <v>13691</v>
      </c>
      <c r="C3759" t="s">
        <v>13692</v>
      </c>
      <c r="D3759" t="s">
        <v>0</v>
      </c>
      <c r="E3759" t="s">
        <v>271</v>
      </c>
      <c r="F3759" t="s">
        <v>319</v>
      </c>
    </row>
    <row r="3760" spans="1:6" x14ac:dyDescent="0.25">
      <c r="A3760" t="s">
        <v>13693</v>
      </c>
      <c r="B3760" t="s">
        <v>13694</v>
      </c>
      <c r="C3760" t="s">
        <v>13695</v>
      </c>
      <c r="D3760" t="s">
        <v>0</v>
      </c>
      <c r="E3760" t="s">
        <v>271</v>
      </c>
      <c r="F3760" t="s">
        <v>1277</v>
      </c>
    </row>
    <row r="3761" spans="1:6" x14ac:dyDescent="0.25">
      <c r="A3761" t="s">
        <v>13696</v>
      </c>
      <c r="B3761" t="s">
        <v>13697</v>
      </c>
      <c r="C3761" t="s">
        <v>13698</v>
      </c>
      <c r="D3761" t="s">
        <v>0</v>
      </c>
      <c r="E3761" t="s">
        <v>271</v>
      </c>
      <c r="F3761" t="s">
        <v>325</v>
      </c>
    </row>
    <row r="3762" spans="1:6" x14ac:dyDescent="0.25">
      <c r="A3762" t="s">
        <v>13699</v>
      </c>
      <c r="B3762" t="s">
        <v>13700</v>
      </c>
      <c r="C3762" t="s">
        <v>13701</v>
      </c>
      <c r="D3762" t="s">
        <v>288</v>
      </c>
      <c r="E3762" t="s">
        <v>271</v>
      </c>
      <c r="F3762" t="s">
        <v>4408</v>
      </c>
    </row>
    <row r="3763" spans="1:6" x14ac:dyDescent="0.25">
      <c r="A3763" t="s">
        <v>13702</v>
      </c>
      <c r="B3763" t="s">
        <v>13703</v>
      </c>
      <c r="C3763" t="s">
        <v>13704</v>
      </c>
      <c r="D3763" t="s">
        <v>453</v>
      </c>
      <c r="E3763" t="s">
        <v>271</v>
      </c>
      <c r="F3763" t="s">
        <v>2285</v>
      </c>
    </row>
    <row r="3764" spans="1:6" x14ac:dyDescent="0.25">
      <c r="A3764" t="s">
        <v>13705</v>
      </c>
      <c r="B3764" t="s">
        <v>13706</v>
      </c>
      <c r="C3764" t="s">
        <v>13707</v>
      </c>
      <c r="D3764" t="s">
        <v>0</v>
      </c>
      <c r="E3764" t="s">
        <v>271</v>
      </c>
      <c r="F3764" t="s">
        <v>575</v>
      </c>
    </row>
    <row r="3765" spans="1:6" x14ac:dyDescent="0.25">
      <c r="A3765" t="s">
        <v>1778</v>
      </c>
      <c r="B3765" t="s">
        <v>1779</v>
      </c>
      <c r="C3765" t="s">
        <v>1780</v>
      </c>
      <c r="D3765" t="s">
        <v>916</v>
      </c>
      <c r="E3765" t="s">
        <v>271</v>
      </c>
      <c r="F3765" t="s">
        <v>915</v>
      </c>
    </row>
    <row r="3766" spans="1:6" x14ac:dyDescent="0.25">
      <c r="A3766" t="s">
        <v>13708</v>
      </c>
      <c r="B3766" t="s">
        <v>13709</v>
      </c>
      <c r="C3766" t="s">
        <v>13710</v>
      </c>
      <c r="D3766" t="s">
        <v>0</v>
      </c>
      <c r="E3766" t="s">
        <v>271</v>
      </c>
      <c r="F3766" t="s">
        <v>356</v>
      </c>
    </row>
    <row r="3767" spans="1:6" x14ac:dyDescent="0.25">
      <c r="A3767" t="s">
        <v>13711</v>
      </c>
      <c r="B3767" t="s">
        <v>13712</v>
      </c>
      <c r="C3767" t="s">
        <v>13713</v>
      </c>
      <c r="D3767" t="s">
        <v>461</v>
      </c>
      <c r="E3767" t="s">
        <v>271</v>
      </c>
      <c r="F3767" t="s">
        <v>336</v>
      </c>
    </row>
    <row r="3768" spans="1:6" x14ac:dyDescent="0.25">
      <c r="A3768" t="s">
        <v>13714</v>
      </c>
      <c r="B3768" t="s">
        <v>8888</v>
      </c>
      <c r="C3768" t="s">
        <v>13715</v>
      </c>
      <c r="D3768" t="s">
        <v>986</v>
      </c>
      <c r="E3768" t="s">
        <v>271</v>
      </c>
      <c r="F3768" t="s">
        <v>985</v>
      </c>
    </row>
    <row r="3769" spans="1:6" x14ac:dyDescent="0.25">
      <c r="A3769" t="s">
        <v>13716</v>
      </c>
      <c r="B3769" t="s">
        <v>13717</v>
      </c>
      <c r="C3769" t="s">
        <v>13718</v>
      </c>
      <c r="D3769" t="s">
        <v>1548</v>
      </c>
      <c r="E3769" t="s">
        <v>271</v>
      </c>
      <c r="F3769" t="s">
        <v>1547</v>
      </c>
    </row>
    <row r="3770" spans="1:6" x14ac:dyDescent="0.25">
      <c r="A3770" t="s">
        <v>13719</v>
      </c>
      <c r="B3770" t="s">
        <v>13720</v>
      </c>
      <c r="C3770" t="s">
        <v>5502</v>
      </c>
      <c r="D3770" t="s">
        <v>453</v>
      </c>
      <c r="E3770" t="s">
        <v>271</v>
      </c>
      <c r="F3770" t="s">
        <v>454</v>
      </c>
    </row>
    <row r="3771" spans="1:6" x14ac:dyDescent="0.25">
      <c r="A3771" t="s">
        <v>13721</v>
      </c>
      <c r="B3771" t="s">
        <v>13722</v>
      </c>
      <c r="C3771" t="s">
        <v>13723</v>
      </c>
      <c r="D3771" t="s">
        <v>472</v>
      </c>
      <c r="E3771" t="s">
        <v>271</v>
      </c>
      <c r="F3771" t="s">
        <v>318</v>
      </c>
    </row>
    <row r="3772" spans="1:6" x14ac:dyDescent="0.25">
      <c r="A3772" t="s">
        <v>13724</v>
      </c>
      <c r="B3772" t="s">
        <v>13725</v>
      </c>
      <c r="C3772" t="s">
        <v>13726</v>
      </c>
      <c r="D3772" t="s">
        <v>0</v>
      </c>
      <c r="E3772" t="s">
        <v>271</v>
      </c>
      <c r="F3772" t="s">
        <v>809</v>
      </c>
    </row>
    <row r="3773" spans="1:6" x14ac:dyDescent="0.25">
      <c r="A3773" t="s">
        <v>13727</v>
      </c>
      <c r="B3773" t="s">
        <v>13728</v>
      </c>
      <c r="C3773" t="s">
        <v>13729</v>
      </c>
      <c r="D3773" t="s">
        <v>0</v>
      </c>
      <c r="E3773" t="s">
        <v>271</v>
      </c>
      <c r="F3773" t="s">
        <v>1437</v>
      </c>
    </row>
    <row r="3774" spans="1:6" x14ac:dyDescent="0.25">
      <c r="A3774" t="s">
        <v>13730</v>
      </c>
      <c r="B3774" t="s">
        <v>13731</v>
      </c>
      <c r="C3774" t="s">
        <v>13732</v>
      </c>
      <c r="D3774" t="s">
        <v>510</v>
      </c>
      <c r="E3774" t="s">
        <v>271</v>
      </c>
      <c r="F3774" t="s">
        <v>437</v>
      </c>
    </row>
    <row r="3775" spans="1:6" x14ac:dyDescent="0.25">
      <c r="A3775" t="s">
        <v>13733</v>
      </c>
      <c r="B3775" t="s">
        <v>13734</v>
      </c>
      <c r="C3775" t="s">
        <v>13735</v>
      </c>
      <c r="D3775" t="s">
        <v>0</v>
      </c>
      <c r="E3775" t="s">
        <v>271</v>
      </c>
      <c r="F3775" t="s">
        <v>356</v>
      </c>
    </row>
    <row r="3776" spans="1:6" x14ac:dyDescent="0.25">
      <c r="A3776" t="s">
        <v>1201</v>
      </c>
      <c r="B3776" t="s">
        <v>1202</v>
      </c>
      <c r="C3776" t="s">
        <v>1205</v>
      </c>
      <c r="D3776" t="s">
        <v>1204</v>
      </c>
      <c r="E3776" t="s">
        <v>271</v>
      </c>
      <c r="F3776" t="s">
        <v>1203</v>
      </c>
    </row>
    <row r="3777" spans="1:6" x14ac:dyDescent="0.25">
      <c r="A3777" t="s">
        <v>2431</v>
      </c>
      <c r="B3777" t="s">
        <v>2432</v>
      </c>
      <c r="C3777" t="s">
        <v>2433</v>
      </c>
      <c r="D3777" t="s">
        <v>1137</v>
      </c>
      <c r="E3777" t="s">
        <v>269</v>
      </c>
      <c r="F3777" t="s">
        <v>1136</v>
      </c>
    </row>
    <row r="3778" spans="1:6" x14ac:dyDescent="0.25">
      <c r="A3778" t="s">
        <v>13736</v>
      </c>
      <c r="B3778" t="s">
        <v>13737</v>
      </c>
      <c r="C3778" t="s">
        <v>13738</v>
      </c>
      <c r="D3778" t="s">
        <v>2166</v>
      </c>
      <c r="E3778" t="s">
        <v>271</v>
      </c>
      <c r="F3778" t="s">
        <v>2165</v>
      </c>
    </row>
    <row r="3779" spans="1:6" x14ac:dyDescent="0.25">
      <c r="A3779" t="s">
        <v>13739</v>
      </c>
      <c r="B3779" t="s">
        <v>13740</v>
      </c>
      <c r="C3779" t="s">
        <v>13741</v>
      </c>
      <c r="D3779" t="s">
        <v>0</v>
      </c>
      <c r="E3779" t="s">
        <v>271</v>
      </c>
      <c r="F3779" t="s">
        <v>325</v>
      </c>
    </row>
    <row r="3780" spans="1:6" x14ac:dyDescent="0.25">
      <c r="A3780" t="s">
        <v>13742</v>
      </c>
      <c r="B3780" t="s">
        <v>13743</v>
      </c>
      <c r="C3780" t="s">
        <v>13744</v>
      </c>
      <c r="D3780" t="s">
        <v>1559</v>
      </c>
      <c r="E3780" t="s">
        <v>271</v>
      </c>
      <c r="F3780" t="s">
        <v>1558</v>
      </c>
    </row>
    <row r="3781" spans="1:6" x14ac:dyDescent="0.25">
      <c r="A3781" t="s">
        <v>13745</v>
      </c>
      <c r="B3781" t="s">
        <v>13746</v>
      </c>
      <c r="C3781" t="s">
        <v>13747</v>
      </c>
      <c r="D3781" t="s">
        <v>1361</v>
      </c>
      <c r="E3781" t="s">
        <v>271</v>
      </c>
      <c r="F3781" t="s">
        <v>1829</v>
      </c>
    </row>
    <row r="3782" spans="1:6" x14ac:dyDescent="0.25">
      <c r="A3782" t="s">
        <v>13748</v>
      </c>
      <c r="B3782" t="s">
        <v>10810</v>
      </c>
      <c r="C3782" t="s">
        <v>13749</v>
      </c>
      <c r="D3782" t="s">
        <v>0</v>
      </c>
      <c r="E3782" t="s">
        <v>271</v>
      </c>
      <c r="F3782" t="s">
        <v>1152</v>
      </c>
    </row>
    <row r="3783" spans="1:6" x14ac:dyDescent="0.25">
      <c r="A3783" t="s">
        <v>13750</v>
      </c>
      <c r="B3783" t="s">
        <v>11754</v>
      </c>
      <c r="C3783" t="s">
        <v>13751</v>
      </c>
      <c r="D3783" t="s">
        <v>0</v>
      </c>
      <c r="E3783" t="s">
        <v>271</v>
      </c>
      <c r="F3783" t="s">
        <v>1321</v>
      </c>
    </row>
    <row r="3784" spans="1:6" x14ac:dyDescent="0.25">
      <c r="A3784" t="s">
        <v>3685</v>
      </c>
      <c r="B3784" t="s">
        <v>3686</v>
      </c>
      <c r="C3784" t="s">
        <v>3687</v>
      </c>
      <c r="D3784" t="s">
        <v>345</v>
      </c>
      <c r="E3784" t="s">
        <v>269</v>
      </c>
      <c r="F3784" t="s">
        <v>684</v>
      </c>
    </row>
    <row r="3785" spans="1:6" x14ac:dyDescent="0.25">
      <c r="A3785" t="s">
        <v>13752</v>
      </c>
      <c r="B3785" t="s">
        <v>13753</v>
      </c>
      <c r="C3785" t="s">
        <v>13754</v>
      </c>
      <c r="D3785" t="s">
        <v>1326</v>
      </c>
      <c r="E3785" t="s">
        <v>271</v>
      </c>
      <c r="F3785" t="s">
        <v>1325</v>
      </c>
    </row>
    <row r="3786" spans="1:6" x14ac:dyDescent="0.25">
      <c r="A3786" t="s">
        <v>13755</v>
      </c>
      <c r="B3786" t="s">
        <v>13756</v>
      </c>
      <c r="C3786" t="s">
        <v>13757</v>
      </c>
      <c r="D3786" t="s">
        <v>7173</v>
      </c>
      <c r="E3786" t="s">
        <v>271</v>
      </c>
      <c r="F3786" t="s">
        <v>3256</v>
      </c>
    </row>
    <row r="3787" spans="1:6" x14ac:dyDescent="0.25">
      <c r="A3787" t="s">
        <v>13758</v>
      </c>
      <c r="B3787" t="s">
        <v>13759</v>
      </c>
      <c r="C3787" t="s">
        <v>1192</v>
      </c>
      <c r="D3787" t="s">
        <v>282</v>
      </c>
      <c r="E3787" t="s">
        <v>271</v>
      </c>
      <c r="F3787" t="s">
        <v>1191</v>
      </c>
    </row>
    <row r="3788" spans="1:6" x14ac:dyDescent="0.25">
      <c r="A3788" t="s">
        <v>13760</v>
      </c>
      <c r="B3788" t="s">
        <v>13761</v>
      </c>
      <c r="C3788" t="s">
        <v>13762</v>
      </c>
      <c r="D3788" t="s">
        <v>0</v>
      </c>
      <c r="E3788" t="s">
        <v>271</v>
      </c>
      <c r="F3788" t="s">
        <v>785</v>
      </c>
    </row>
    <row r="3789" spans="1:6" x14ac:dyDescent="0.25">
      <c r="A3789" t="s">
        <v>13763</v>
      </c>
      <c r="B3789" t="s">
        <v>13764</v>
      </c>
      <c r="C3789" t="s">
        <v>13765</v>
      </c>
      <c r="D3789" t="s">
        <v>1303</v>
      </c>
      <c r="E3789" t="s">
        <v>269</v>
      </c>
      <c r="F3789" t="s">
        <v>1302</v>
      </c>
    </row>
    <row r="3790" spans="1:6" x14ac:dyDescent="0.25">
      <c r="A3790" t="s">
        <v>13766</v>
      </c>
      <c r="B3790" t="s">
        <v>13767</v>
      </c>
      <c r="C3790" t="s">
        <v>13768</v>
      </c>
      <c r="D3790" t="s">
        <v>0</v>
      </c>
      <c r="E3790" t="s">
        <v>271</v>
      </c>
      <c r="F3790" t="s">
        <v>432</v>
      </c>
    </row>
    <row r="3791" spans="1:6" x14ac:dyDescent="0.25">
      <c r="A3791" t="s">
        <v>13769</v>
      </c>
      <c r="B3791" t="s">
        <v>13770</v>
      </c>
      <c r="C3791" t="s">
        <v>13771</v>
      </c>
      <c r="D3791" t="s">
        <v>0</v>
      </c>
      <c r="E3791" t="s">
        <v>271</v>
      </c>
      <c r="F3791" t="s">
        <v>325</v>
      </c>
    </row>
    <row r="3792" spans="1:6" x14ac:dyDescent="0.25">
      <c r="A3792" t="s">
        <v>2418</v>
      </c>
      <c r="B3792" t="s">
        <v>2419</v>
      </c>
      <c r="C3792" t="s">
        <v>2420</v>
      </c>
      <c r="D3792" t="s">
        <v>1485</v>
      </c>
      <c r="E3792" t="s">
        <v>271</v>
      </c>
      <c r="F3792" t="s">
        <v>1519</v>
      </c>
    </row>
    <row r="3793" spans="1:6" x14ac:dyDescent="0.25">
      <c r="A3793" t="s">
        <v>2880</v>
      </c>
      <c r="B3793" t="s">
        <v>2881</v>
      </c>
      <c r="C3793" t="s">
        <v>2882</v>
      </c>
      <c r="D3793" t="s">
        <v>0</v>
      </c>
      <c r="E3793" t="s">
        <v>271</v>
      </c>
      <c r="F3793" t="s">
        <v>323</v>
      </c>
    </row>
    <row r="3794" spans="1:6" x14ac:dyDescent="0.25">
      <c r="A3794" t="s">
        <v>13772</v>
      </c>
      <c r="B3794" t="s">
        <v>13773</v>
      </c>
      <c r="C3794" t="s">
        <v>13774</v>
      </c>
      <c r="D3794" t="s">
        <v>1286</v>
      </c>
      <c r="E3794" t="s">
        <v>269</v>
      </c>
      <c r="F3794" t="s">
        <v>1285</v>
      </c>
    </row>
    <row r="3795" spans="1:6" x14ac:dyDescent="0.25">
      <c r="A3795" t="s">
        <v>13775</v>
      </c>
      <c r="B3795" t="s">
        <v>13776</v>
      </c>
      <c r="C3795" t="s">
        <v>13777</v>
      </c>
      <c r="D3795" t="s">
        <v>402</v>
      </c>
      <c r="E3795" t="s">
        <v>271</v>
      </c>
      <c r="F3795" t="s">
        <v>401</v>
      </c>
    </row>
    <row r="3796" spans="1:6" x14ac:dyDescent="0.25">
      <c r="A3796" t="s">
        <v>13778</v>
      </c>
      <c r="B3796" t="s">
        <v>13779</v>
      </c>
      <c r="C3796" t="s">
        <v>4591</v>
      </c>
      <c r="D3796" t="s">
        <v>967</v>
      </c>
      <c r="E3796" t="s">
        <v>271</v>
      </c>
      <c r="F3796" t="s">
        <v>966</v>
      </c>
    </row>
    <row r="3797" spans="1:6" x14ac:dyDescent="0.25">
      <c r="A3797" t="s">
        <v>13780</v>
      </c>
      <c r="B3797" t="s">
        <v>13781</v>
      </c>
      <c r="C3797" t="s">
        <v>13782</v>
      </c>
      <c r="D3797" t="s">
        <v>450</v>
      </c>
      <c r="E3797" t="s">
        <v>271</v>
      </c>
      <c r="F3797" t="s">
        <v>326</v>
      </c>
    </row>
    <row r="3798" spans="1:6" x14ac:dyDescent="0.25">
      <c r="A3798" t="s">
        <v>13783</v>
      </c>
      <c r="B3798" t="s">
        <v>13784</v>
      </c>
      <c r="C3798" t="s">
        <v>13785</v>
      </c>
      <c r="D3798" t="s">
        <v>1806</v>
      </c>
      <c r="E3798" t="s">
        <v>271</v>
      </c>
      <c r="F3798" t="s">
        <v>1805</v>
      </c>
    </row>
    <row r="3799" spans="1:6" x14ac:dyDescent="0.25">
      <c r="A3799" t="s">
        <v>13786</v>
      </c>
      <c r="B3799" t="s">
        <v>13787</v>
      </c>
      <c r="C3799" t="s">
        <v>13788</v>
      </c>
      <c r="D3799" t="s">
        <v>0</v>
      </c>
      <c r="E3799" t="s">
        <v>271</v>
      </c>
      <c r="F3799" t="s">
        <v>355</v>
      </c>
    </row>
    <row r="3800" spans="1:6" x14ac:dyDescent="0.25">
      <c r="A3800" t="s">
        <v>13789</v>
      </c>
      <c r="B3800" t="s">
        <v>13790</v>
      </c>
      <c r="C3800" t="s">
        <v>13791</v>
      </c>
      <c r="D3800" t="s">
        <v>222</v>
      </c>
      <c r="E3800" t="s">
        <v>271</v>
      </c>
      <c r="F3800" t="s">
        <v>8352</v>
      </c>
    </row>
    <row r="3801" spans="1:6" x14ac:dyDescent="0.25">
      <c r="A3801" t="s">
        <v>13792</v>
      </c>
      <c r="B3801" t="s">
        <v>13793</v>
      </c>
      <c r="C3801" t="s">
        <v>13794</v>
      </c>
      <c r="D3801" t="s">
        <v>0</v>
      </c>
      <c r="E3801" t="s">
        <v>271</v>
      </c>
      <c r="F3801" t="s">
        <v>709</v>
      </c>
    </row>
    <row r="3802" spans="1:6" x14ac:dyDescent="0.25">
      <c r="A3802" t="s">
        <v>13795</v>
      </c>
      <c r="B3802" t="s">
        <v>13796</v>
      </c>
      <c r="C3802" t="s">
        <v>13797</v>
      </c>
      <c r="D3802" t="s">
        <v>0</v>
      </c>
      <c r="E3802" t="s">
        <v>271</v>
      </c>
      <c r="F3802" t="s">
        <v>575</v>
      </c>
    </row>
    <row r="3803" spans="1:6" x14ac:dyDescent="0.25">
      <c r="A3803" t="s">
        <v>13798</v>
      </c>
      <c r="B3803" t="s">
        <v>13799</v>
      </c>
      <c r="C3803" t="s">
        <v>13800</v>
      </c>
      <c r="D3803" t="s">
        <v>0</v>
      </c>
      <c r="E3803" t="s">
        <v>271</v>
      </c>
      <c r="F3803" t="s">
        <v>731</v>
      </c>
    </row>
    <row r="3804" spans="1:6" x14ac:dyDescent="0.25">
      <c r="A3804" t="s">
        <v>13801</v>
      </c>
      <c r="B3804" t="s">
        <v>13802</v>
      </c>
      <c r="C3804" t="s">
        <v>13803</v>
      </c>
      <c r="D3804" t="s">
        <v>444</v>
      </c>
      <c r="E3804" t="s">
        <v>271</v>
      </c>
      <c r="F3804" t="s">
        <v>1270</v>
      </c>
    </row>
    <row r="3805" spans="1:6" x14ac:dyDescent="0.25">
      <c r="A3805" t="s">
        <v>13804</v>
      </c>
      <c r="B3805" t="s">
        <v>13805</v>
      </c>
      <c r="C3805" t="s">
        <v>13806</v>
      </c>
      <c r="D3805" t="s">
        <v>314</v>
      </c>
      <c r="E3805" t="s">
        <v>271</v>
      </c>
      <c r="F3805" t="s">
        <v>3081</v>
      </c>
    </row>
    <row r="3806" spans="1:6" x14ac:dyDescent="0.25">
      <c r="A3806" t="s">
        <v>13807</v>
      </c>
      <c r="B3806" t="s">
        <v>13808</v>
      </c>
      <c r="C3806" t="s">
        <v>13809</v>
      </c>
      <c r="D3806" t="s">
        <v>0</v>
      </c>
      <c r="E3806" t="s">
        <v>271</v>
      </c>
      <c r="F3806" t="s">
        <v>1011</v>
      </c>
    </row>
    <row r="3807" spans="1:6" x14ac:dyDescent="0.25">
      <c r="A3807" t="s">
        <v>13810</v>
      </c>
      <c r="B3807" t="s">
        <v>576</v>
      </c>
      <c r="C3807" t="s">
        <v>13811</v>
      </c>
      <c r="D3807" t="s">
        <v>5197</v>
      </c>
      <c r="E3807" t="s">
        <v>271</v>
      </c>
      <c r="F3807" t="s">
        <v>5198</v>
      </c>
    </row>
    <row r="3808" spans="1:6" x14ac:dyDescent="0.25">
      <c r="A3808" t="s">
        <v>1902</v>
      </c>
      <c r="B3808" t="s">
        <v>1903</v>
      </c>
      <c r="C3808" t="s">
        <v>1904</v>
      </c>
      <c r="D3808" t="s">
        <v>472</v>
      </c>
      <c r="E3808" t="s">
        <v>271</v>
      </c>
      <c r="F3808" t="s">
        <v>318</v>
      </c>
    </row>
    <row r="3809" spans="1:6" x14ac:dyDescent="0.25">
      <c r="A3809" t="s">
        <v>13812</v>
      </c>
      <c r="B3809" t="s">
        <v>13813</v>
      </c>
      <c r="C3809" t="s">
        <v>13814</v>
      </c>
      <c r="D3809" t="s">
        <v>1665</v>
      </c>
      <c r="E3809" t="s">
        <v>271</v>
      </c>
      <c r="F3809" t="s">
        <v>1664</v>
      </c>
    </row>
    <row r="3810" spans="1:6" x14ac:dyDescent="0.25">
      <c r="A3810" t="s">
        <v>13815</v>
      </c>
      <c r="B3810" t="s">
        <v>13816</v>
      </c>
      <c r="C3810" t="s">
        <v>13817</v>
      </c>
      <c r="D3810" t="s">
        <v>0</v>
      </c>
      <c r="E3810" t="s">
        <v>271</v>
      </c>
      <c r="F3810" t="s">
        <v>1321</v>
      </c>
    </row>
    <row r="3811" spans="1:6" x14ac:dyDescent="0.25">
      <c r="A3811" t="s">
        <v>13818</v>
      </c>
      <c r="B3811" t="s">
        <v>13819</v>
      </c>
      <c r="C3811" t="s">
        <v>13820</v>
      </c>
      <c r="D3811" t="s">
        <v>4636</v>
      </c>
      <c r="E3811" t="s">
        <v>271</v>
      </c>
      <c r="F3811" t="s">
        <v>4423</v>
      </c>
    </row>
    <row r="3812" spans="1:6" x14ac:dyDescent="0.25">
      <c r="A3812" t="s">
        <v>13821</v>
      </c>
      <c r="B3812" t="s">
        <v>13822</v>
      </c>
      <c r="C3812" t="s">
        <v>13823</v>
      </c>
      <c r="D3812" t="s">
        <v>1199</v>
      </c>
      <c r="E3812" t="s">
        <v>271</v>
      </c>
      <c r="F3812" t="s">
        <v>1198</v>
      </c>
    </row>
    <row r="3813" spans="1:6" x14ac:dyDescent="0.25">
      <c r="A3813" t="s">
        <v>13824</v>
      </c>
      <c r="B3813" t="s">
        <v>13825</v>
      </c>
      <c r="C3813" t="s">
        <v>13826</v>
      </c>
      <c r="D3813" t="s">
        <v>1337</v>
      </c>
      <c r="E3813" t="s">
        <v>271</v>
      </c>
      <c r="F3813" t="s">
        <v>1336</v>
      </c>
    </row>
    <row r="3814" spans="1:6" x14ac:dyDescent="0.25">
      <c r="A3814" t="s">
        <v>13827</v>
      </c>
      <c r="B3814" t="s">
        <v>13828</v>
      </c>
      <c r="C3814" t="s">
        <v>13829</v>
      </c>
      <c r="D3814" t="s">
        <v>0</v>
      </c>
      <c r="E3814" t="s">
        <v>271</v>
      </c>
      <c r="F3814" t="s">
        <v>1148</v>
      </c>
    </row>
    <row r="3815" spans="1:6" x14ac:dyDescent="0.25">
      <c r="A3815" t="s">
        <v>13830</v>
      </c>
      <c r="B3815" t="s">
        <v>13831</v>
      </c>
      <c r="C3815" t="s">
        <v>13832</v>
      </c>
      <c r="D3815" t="s">
        <v>3291</v>
      </c>
      <c r="E3815" t="s">
        <v>271</v>
      </c>
      <c r="F3815" t="s">
        <v>3290</v>
      </c>
    </row>
    <row r="3816" spans="1:6" x14ac:dyDescent="0.25">
      <c r="A3816" t="s">
        <v>13833</v>
      </c>
      <c r="B3816" t="s">
        <v>13834</v>
      </c>
      <c r="C3816" t="s">
        <v>13835</v>
      </c>
      <c r="D3816" t="s">
        <v>835</v>
      </c>
      <c r="E3816" t="s">
        <v>269</v>
      </c>
      <c r="F3816" t="s">
        <v>834</v>
      </c>
    </row>
    <row r="3817" spans="1:6" x14ac:dyDescent="0.25">
      <c r="A3817" t="s">
        <v>13836</v>
      </c>
      <c r="B3817" t="s">
        <v>13837</v>
      </c>
      <c r="C3817" t="s">
        <v>13838</v>
      </c>
      <c r="D3817" t="s">
        <v>5197</v>
      </c>
      <c r="E3817" t="s">
        <v>271</v>
      </c>
      <c r="F3817" t="s">
        <v>5198</v>
      </c>
    </row>
    <row r="3818" spans="1:6" x14ac:dyDescent="0.25">
      <c r="A3818" t="s">
        <v>2510</v>
      </c>
      <c r="B3818" t="s">
        <v>2511</v>
      </c>
      <c r="C3818" t="s">
        <v>2512</v>
      </c>
      <c r="D3818" t="s">
        <v>2093</v>
      </c>
      <c r="E3818" t="s">
        <v>271</v>
      </c>
      <c r="F3818" t="s">
        <v>1058</v>
      </c>
    </row>
    <row r="3819" spans="1:6" x14ac:dyDescent="0.25">
      <c r="A3819" t="s">
        <v>13839</v>
      </c>
      <c r="B3819" t="s">
        <v>13840</v>
      </c>
      <c r="C3819" t="s">
        <v>13841</v>
      </c>
      <c r="D3819" t="s">
        <v>1337</v>
      </c>
      <c r="E3819" t="s">
        <v>271</v>
      </c>
      <c r="F3819" t="s">
        <v>1336</v>
      </c>
    </row>
    <row r="3820" spans="1:6" x14ac:dyDescent="0.25">
      <c r="A3820" t="s">
        <v>1617</v>
      </c>
      <c r="B3820" t="s">
        <v>1618</v>
      </c>
      <c r="C3820" t="s">
        <v>1619</v>
      </c>
      <c r="D3820" t="s">
        <v>498</v>
      </c>
      <c r="E3820" t="s">
        <v>271</v>
      </c>
      <c r="F3820" t="s">
        <v>926</v>
      </c>
    </row>
    <row r="3821" spans="1:6" x14ac:dyDescent="0.25">
      <c r="A3821" t="s">
        <v>2780</v>
      </c>
      <c r="B3821" t="s">
        <v>2781</v>
      </c>
      <c r="C3821" t="s">
        <v>2782</v>
      </c>
      <c r="D3821" t="s">
        <v>617</v>
      </c>
      <c r="E3821" t="s">
        <v>271</v>
      </c>
      <c r="F3821" t="s">
        <v>438</v>
      </c>
    </row>
    <row r="3822" spans="1:6" x14ac:dyDescent="0.25">
      <c r="A3822" t="s">
        <v>13842</v>
      </c>
      <c r="B3822" t="s">
        <v>13843</v>
      </c>
      <c r="C3822" t="s">
        <v>10562</v>
      </c>
      <c r="D3822" t="s">
        <v>668</v>
      </c>
      <c r="E3822" t="s">
        <v>271</v>
      </c>
      <c r="F3822" t="s">
        <v>667</v>
      </c>
    </row>
    <row r="3823" spans="1:6" x14ac:dyDescent="0.25">
      <c r="A3823" t="s">
        <v>13844</v>
      </c>
      <c r="B3823" t="s">
        <v>13845</v>
      </c>
      <c r="C3823" t="s">
        <v>13846</v>
      </c>
      <c r="D3823" t="s">
        <v>211</v>
      </c>
      <c r="E3823" t="s">
        <v>265</v>
      </c>
      <c r="F3823" t="s">
        <v>13847</v>
      </c>
    </row>
    <row r="3824" spans="1:6" x14ac:dyDescent="0.25">
      <c r="A3824" t="s">
        <v>3057</v>
      </c>
      <c r="B3824" t="s">
        <v>3058</v>
      </c>
      <c r="C3824" t="s">
        <v>3059</v>
      </c>
      <c r="D3824" t="s">
        <v>0</v>
      </c>
      <c r="E3824" t="s">
        <v>271</v>
      </c>
      <c r="F3824" t="s">
        <v>356</v>
      </c>
    </row>
    <row r="3825" spans="1:6" x14ac:dyDescent="0.25">
      <c r="A3825" t="s">
        <v>13848</v>
      </c>
      <c r="B3825" t="s">
        <v>13849</v>
      </c>
      <c r="C3825" t="s">
        <v>13850</v>
      </c>
      <c r="D3825" t="s">
        <v>699</v>
      </c>
      <c r="E3825" t="s">
        <v>269</v>
      </c>
      <c r="F3825" t="s">
        <v>698</v>
      </c>
    </row>
    <row r="3826" spans="1:6" x14ac:dyDescent="0.25">
      <c r="A3826" t="s">
        <v>13851</v>
      </c>
      <c r="B3826" t="s">
        <v>13852</v>
      </c>
      <c r="C3826" t="s">
        <v>13853</v>
      </c>
      <c r="D3826" t="s">
        <v>0</v>
      </c>
      <c r="E3826" t="s">
        <v>271</v>
      </c>
      <c r="F3826" t="s">
        <v>356</v>
      </c>
    </row>
    <row r="3827" spans="1:6" x14ac:dyDescent="0.25">
      <c r="A3827" t="s">
        <v>13854</v>
      </c>
      <c r="B3827" t="s">
        <v>13855</v>
      </c>
      <c r="C3827" t="s">
        <v>13856</v>
      </c>
      <c r="D3827" t="s">
        <v>0</v>
      </c>
      <c r="E3827" t="s">
        <v>271</v>
      </c>
      <c r="F3827" t="s">
        <v>319</v>
      </c>
    </row>
    <row r="3828" spans="1:6" x14ac:dyDescent="0.25">
      <c r="A3828" t="s">
        <v>13857</v>
      </c>
      <c r="B3828" t="s">
        <v>13858</v>
      </c>
      <c r="C3828" t="s">
        <v>13859</v>
      </c>
      <c r="D3828" t="s">
        <v>0</v>
      </c>
      <c r="E3828" t="s">
        <v>271</v>
      </c>
      <c r="F3828" t="s">
        <v>3672</v>
      </c>
    </row>
    <row r="3829" spans="1:6" x14ac:dyDescent="0.25">
      <c r="A3829" t="s">
        <v>13860</v>
      </c>
      <c r="B3829" t="s">
        <v>13861</v>
      </c>
      <c r="C3829" t="s">
        <v>13862</v>
      </c>
      <c r="D3829" t="s">
        <v>822</v>
      </c>
      <c r="E3829" t="s">
        <v>269</v>
      </c>
      <c r="F3829" t="s">
        <v>821</v>
      </c>
    </row>
    <row r="3830" spans="1:6" x14ac:dyDescent="0.25">
      <c r="A3830" t="s">
        <v>13863</v>
      </c>
      <c r="B3830" t="s">
        <v>13864</v>
      </c>
      <c r="C3830" t="s">
        <v>13865</v>
      </c>
      <c r="D3830" t="s">
        <v>312</v>
      </c>
      <c r="E3830" t="s">
        <v>271</v>
      </c>
      <c r="F3830" t="s">
        <v>311</v>
      </c>
    </row>
    <row r="3831" spans="1:6" x14ac:dyDescent="0.25">
      <c r="A3831" t="s">
        <v>13866</v>
      </c>
      <c r="B3831" t="s">
        <v>8614</v>
      </c>
      <c r="C3831" t="s">
        <v>8615</v>
      </c>
      <c r="D3831" t="s">
        <v>0</v>
      </c>
      <c r="E3831" t="s">
        <v>271</v>
      </c>
      <c r="F3831" t="s">
        <v>1115</v>
      </c>
    </row>
    <row r="3832" spans="1:6" x14ac:dyDescent="0.25">
      <c r="A3832" t="s">
        <v>13867</v>
      </c>
      <c r="B3832" t="s">
        <v>13868</v>
      </c>
      <c r="C3832" t="s">
        <v>13869</v>
      </c>
      <c r="D3832" t="s">
        <v>2024</v>
      </c>
      <c r="E3832" t="s">
        <v>271</v>
      </c>
      <c r="F3832" t="s">
        <v>428</v>
      </c>
    </row>
    <row r="3833" spans="1:6" x14ac:dyDescent="0.25">
      <c r="A3833" t="s">
        <v>13870</v>
      </c>
      <c r="B3833" t="s">
        <v>13871</v>
      </c>
      <c r="C3833" t="s">
        <v>10524</v>
      </c>
      <c r="D3833" t="s">
        <v>0</v>
      </c>
      <c r="E3833" t="s">
        <v>271</v>
      </c>
      <c r="F3833" t="s">
        <v>323</v>
      </c>
    </row>
    <row r="3834" spans="1:6" x14ac:dyDescent="0.25">
      <c r="A3834" t="s">
        <v>13872</v>
      </c>
      <c r="B3834" t="s">
        <v>13873</v>
      </c>
      <c r="C3834" t="s">
        <v>11216</v>
      </c>
      <c r="D3834" t="s">
        <v>0</v>
      </c>
      <c r="E3834" t="s">
        <v>271</v>
      </c>
      <c r="F3834" t="s">
        <v>431</v>
      </c>
    </row>
    <row r="3835" spans="1:6" x14ac:dyDescent="0.25">
      <c r="A3835" t="s">
        <v>13874</v>
      </c>
      <c r="B3835" t="s">
        <v>13875</v>
      </c>
      <c r="C3835" t="s">
        <v>13876</v>
      </c>
      <c r="D3835" t="s">
        <v>1559</v>
      </c>
      <c r="E3835" t="s">
        <v>271</v>
      </c>
      <c r="F3835" t="s">
        <v>1558</v>
      </c>
    </row>
    <row r="3836" spans="1:6" x14ac:dyDescent="0.25">
      <c r="A3836" t="s">
        <v>13877</v>
      </c>
      <c r="B3836" t="s">
        <v>13878</v>
      </c>
      <c r="C3836" t="s">
        <v>13879</v>
      </c>
      <c r="D3836" t="s">
        <v>498</v>
      </c>
      <c r="E3836" t="s">
        <v>271</v>
      </c>
      <c r="F3836" t="s">
        <v>926</v>
      </c>
    </row>
    <row r="3837" spans="1:6" x14ac:dyDescent="0.25">
      <c r="A3837" t="s">
        <v>13880</v>
      </c>
      <c r="B3837" t="s">
        <v>13881</v>
      </c>
      <c r="C3837" t="s">
        <v>13882</v>
      </c>
      <c r="D3837" t="s">
        <v>822</v>
      </c>
      <c r="E3837" t="s">
        <v>269</v>
      </c>
      <c r="F3837" t="s">
        <v>821</v>
      </c>
    </row>
    <row r="3838" spans="1:6" x14ac:dyDescent="0.25">
      <c r="A3838" t="s">
        <v>13883</v>
      </c>
      <c r="B3838" t="s">
        <v>13884</v>
      </c>
      <c r="C3838" t="s">
        <v>8076</v>
      </c>
      <c r="D3838" t="s">
        <v>295</v>
      </c>
      <c r="E3838" t="s">
        <v>271</v>
      </c>
      <c r="F3838" t="s">
        <v>8077</v>
      </c>
    </row>
    <row r="3839" spans="1:6" x14ac:dyDescent="0.25">
      <c r="A3839" t="s">
        <v>13885</v>
      </c>
      <c r="B3839" t="s">
        <v>13886</v>
      </c>
      <c r="C3839" t="s">
        <v>13887</v>
      </c>
      <c r="D3839" t="s">
        <v>1064</v>
      </c>
      <c r="E3839" t="s">
        <v>269</v>
      </c>
      <c r="F3839" t="s">
        <v>1063</v>
      </c>
    </row>
    <row r="3840" spans="1:6" x14ac:dyDescent="0.25">
      <c r="A3840" t="s">
        <v>13888</v>
      </c>
      <c r="B3840" t="s">
        <v>13889</v>
      </c>
      <c r="C3840" t="s">
        <v>13890</v>
      </c>
      <c r="D3840" t="s">
        <v>0</v>
      </c>
      <c r="E3840" t="s">
        <v>271</v>
      </c>
      <c r="F3840" t="s">
        <v>1152</v>
      </c>
    </row>
    <row r="3841" spans="1:6" x14ac:dyDescent="0.25">
      <c r="A3841" t="s">
        <v>13891</v>
      </c>
      <c r="B3841" t="s">
        <v>13892</v>
      </c>
      <c r="C3841" t="s">
        <v>13893</v>
      </c>
      <c r="D3841" t="s">
        <v>2697</v>
      </c>
      <c r="E3841" t="s">
        <v>271</v>
      </c>
      <c r="F3841" t="s">
        <v>2696</v>
      </c>
    </row>
    <row r="3842" spans="1:6" x14ac:dyDescent="0.25">
      <c r="A3842" t="s">
        <v>13894</v>
      </c>
      <c r="B3842" t="s">
        <v>13895</v>
      </c>
      <c r="C3842" t="s">
        <v>13896</v>
      </c>
      <c r="D3842" t="s">
        <v>0</v>
      </c>
      <c r="E3842" t="s">
        <v>271</v>
      </c>
      <c r="F3842" t="s">
        <v>1321</v>
      </c>
    </row>
    <row r="3843" spans="1:6" x14ac:dyDescent="0.25">
      <c r="A3843" t="s">
        <v>13897</v>
      </c>
      <c r="B3843" t="s">
        <v>13898</v>
      </c>
      <c r="C3843" t="s">
        <v>13899</v>
      </c>
      <c r="D3843" t="s">
        <v>1648</v>
      </c>
      <c r="E3843" t="s">
        <v>271</v>
      </c>
      <c r="F3843" t="s">
        <v>1647</v>
      </c>
    </row>
    <row r="3844" spans="1:6" x14ac:dyDescent="0.25">
      <c r="A3844" t="s">
        <v>13900</v>
      </c>
      <c r="B3844" t="s">
        <v>13901</v>
      </c>
      <c r="C3844" t="s">
        <v>13902</v>
      </c>
      <c r="D3844" t="s">
        <v>13903</v>
      </c>
      <c r="E3844" t="s">
        <v>269</v>
      </c>
      <c r="F3844" t="s">
        <v>13904</v>
      </c>
    </row>
    <row r="3845" spans="1:6" x14ac:dyDescent="0.25">
      <c r="A3845" t="s">
        <v>1693</v>
      </c>
      <c r="B3845" t="s">
        <v>1694</v>
      </c>
      <c r="C3845" t="s">
        <v>1695</v>
      </c>
      <c r="D3845" t="s">
        <v>0</v>
      </c>
      <c r="E3845" t="s">
        <v>271</v>
      </c>
      <c r="F3845" t="s">
        <v>325</v>
      </c>
    </row>
    <row r="3846" spans="1:6" x14ac:dyDescent="0.25">
      <c r="A3846" t="s">
        <v>13905</v>
      </c>
      <c r="B3846" t="s">
        <v>13906</v>
      </c>
      <c r="C3846" t="s">
        <v>13907</v>
      </c>
      <c r="D3846" t="s">
        <v>510</v>
      </c>
      <c r="E3846" t="s">
        <v>271</v>
      </c>
      <c r="F3846" t="s">
        <v>437</v>
      </c>
    </row>
    <row r="3847" spans="1:6" x14ac:dyDescent="0.25">
      <c r="A3847" t="s">
        <v>13908</v>
      </c>
      <c r="B3847" t="s">
        <v>13909</v>
      </c>
      <c r="C3847" t="s">
        <v>13910</v>
      </c>
      <c r="D3847" t="s">
        <v>0</v>
      </c>
      <c r="E3847" t="s">
        <v>271</v>
      </c>
      <c r="F3847" t="s">
        <v>562</v>
      </c>
    </row>
    <row r="3848" spans="1:6" x14ac:dyDescent="0.25">
      <c r="A3848" t="s">
        <v>13911</v>
      </c>
      <c r="B3848" t="s">
        <v>13912</v>
      </c>
      <c r="C3848" t="s">
        <v>13913</v>
      </c>
      <c r="D3848" t="s">
        <v>0</v>
      </c>
      <c r="E3848" t="s">
        <v>271</v>
      </c>
      <c r="F3848" t="s">
        <v>323</v>
      </c>
    </row>
    <row r="3849" spans="1:6" x14ac:dyDescent="0.25">
      <c r="A3849" t="s">
        <v>13914</v>
      </c>
      <c r="B3849" t="s">
        <v>13915</v>
      </c>
      <c r="C3849" t="s">
        <v>11345</v>
      </c>
      <c r="D3849" t="s">
        <v>675</v>
      </c>
      <c r="E3849" t="s">
        <v>271</v>
      </c>
      <c r="F3849" t="s">
        <v>674</v>
      </c>
    </row>
    <row r="3850" spans="1:6" x14ac:dyDescent="0.25">
      <c r="A3850" t="s">
        <v>13916</v>
      </c>
      <c r="B3850" t="s">
        <v>13917</v>
      </c>
      <c r="C3850" t="s">
        <v>13918</v>
      </c>
      <c r="D3850" t="s">
        <v>2714</v>
      </c>
      <c r="E3850" t="s">
        <v>271</v>
      </c>
      <c r="F3850" t="s">
        <v>2713</v>
      </c>
    </row>
    <row r="3851" spans="1:6" x14ac:dyDescent="0.25">
      <c r="A3851" t="s">
        <v>13919</v>
      </c>
      <c r="B3851" t="s">
        <v>13920</v>
      </c>
      <c r="C3851" t="s">
        <v>6834</v>
      </c>
      <c r="D3851" t="s">
        <v>0</v>
      </c>
      <c r="E3851" t="s">
        <v>271</v>
      </c>
      <c r="F3851" t="s">
        <v>1180</v>
      </c>
    </row>
    <row r="3852" spans="1:6" x14ac:dyDescent="0.25">
      <c r="A3852" t="s">
        <v>13921</v>
      </c>
      <c r="B3852" t="s">
        <v>13922</v>
      </c>
      <c r="C3852" t="s">
        <v>8790</v>
      </c>
      <c r="D3852" t="s">
        <v>651</v>
      </c>
      <c r="E3852" t="s">
        <v>271</v>
      </c>
      <c r="F3852" t="s">
        <v>650</v>
      </c>
    </row>
    <row r="3853" spans="1:6" x14ac:dyDescent="0.25">
      <c r="A3853" t="s">
        <v>13923</v>
      </c>
      <c r="B3853" t="s">
        <v>13924</v>
      </c>
      <c r="C3853" t="s">
        <v>13925</v>
      </c>
      <c r="D3853" t="s">
        <v>314</v>
      </c>
      <c r="E3853" t="s">
        <v>271</v>
      </c>
      <c r="F3853" t="s">
        <v>3081</v>
      </c>
    </row>
    <row r="3854" spans="1:6" x14ac:dyDescent="0.25">
      <c r="A3854" t="s">
        <v>13926</v>
      </c>
      <c r="B3854" t="s">
        <v>13927</v>
      </c>
      <c r="C3854" t="s">
        <v>13928</v>
      </c>
      <c r="D3854" t="s">
        <v>0</v>
      </c>
      <c r="E3854" t="s">
        <v>271</v>
      </c>
      <c r="F3854" t="s">
        <v>325</v>
      </c>
    </row>
    <row r="3855" spans="1:6" x14ac:dyDescent="0.25">
      <c r="A3855" t="s">
        <v>13929</v>
      </c>
      <c r="B3855" t="s">
        <v>13930</v>
      </c>
      <c r="C3855" t="s">
        <v>13931</v>
      </c>
      <c r="D3855" t="s">
        <v>0</v>
      </c>
      <c r="E3855" t="s">
        <v>271</v>
      </c>
      <c r="F3855" t="s">
        <v>688</v>
      </c>
    </row>
    <row r="3856" spans="1:6" x14ac:dyDescent="0.25">
      <c r="A3856" t="s">
        <v>13932</v>
      </c>
      <c r="B3856" t="s">
        <v>13933</v>
      </c>
      <c r="C3856" t="s">
        <v>13934</v>
      </c>
      <c r="D3856" t="s">
        <v>239</v>
      </c>
      <c r="E3856" t="s">
        <v>271</v>
      </c>
      <c r="F3856" t="s">
        <v>544</v>
      </c>
    </row>
    <row r="3857" spans="1:6" x14ac:dyDescent="0.25">
      <c r="A3857" t="s">
        <v>13935</v>
      </c>
      <c r="B3857" t="s">
        <v>13936</v>
      </c>
      <c r="C3857" t="s">
        <v>366</v>
      </c>
      <c r="D3857" t="s">
        <v>236</v>
      </c>
      <c r="E3857" t="s">
        <v>271</v>
      </c>
      <c r="F3857" t="s">
        <v>306</v>
      </c>
    </row>
    <row r="3858" spans="1:6" x14ac:dyDescent="0.25">
      <c r="A3858" t="s">
        <v>13937</v>
      </c>
      <c r="B3858" t="s">
        <v>13938</v>
      </c>
      <c r="C3858" t="s">
        <v>13939</v>
      </c>
      <c r="D3858" t="s">
        <v>2667</v>
      </c>
      <c r="E3858" t="s">
        <v>271</v>
      </c>
      <c r="F3858" t="s">
        <v>2666</v>
      </c>
    </row>
    <row r="3859" spans="1:6" x14ac:dyDescent="0.25">
      <c r="A3859" t="s">
        <v>1710</v>
      </c>
      <c r="B3859" t="s">
        <v>1711</v>
      </c>
      <c r="C3859" t="s">
        <v>1713</v>
      </c>
      <c r="D3859" t="s">
        <v>572</v>
      </c>
      <c r="E3859" t="s">
        <v>271</v>
      </c>
      <c r="F3859" t="s">
        <v>335</v>
      </c>
    </row>
    <row r="3860" spans="1:6" x14ac:dyDescent="0.25">
      <c r="A3860" t="s">
        <v>13940</v>
      </c>
      <c r="B3860" t="s">
        <v>13941</v>
      </c>
      <c r="C3860" t="s">
        <v>13942</v>
      </c>
      <c r="D3860" t="s">
        <v>0</v>
      </c>
      <c r="E3860" t="s">
        <v>271</v>
      </c>
      <c r="F3860" t="s">
        <v>2349</v>
      </c>
    </row>
    <row r="3861" spans="1:6" x14ac:dyDescent="0.25">
      <c r="A3861" t="s">
        <v>13943</v>
      </c>
      <c r="B3861" t="s">
        <v>13944</v>
      </c>
      <c r="C3861" t="s">
        <v>13945</v>
      </c>
      <c r="D3861" t="s">
        <v>0</v>
      </c>
      <c r="E3861" t="s">
        <v>271</v>
      </c>
      <c r="F3861" t="s">
        <v>325</v>
      </c>
    </row>
    <row r="3862" spans="1:6" x14ac:dyDescent="0.25">
      <c r="A3862" t="s">
        <v>13946</v>
      </c>
      <c r="B3862" t="s">
        <v>13947</v>
      </c>
      <c r="C3862" t="s">
        <v>13948</v>
      </c>
      <c r="D3862" t="s">
        <v>0</v>
      </c>
      <c r="E3862" t="s">
        <v>271</v>
      </c>
      <c r="F3862" t="s">
        <v>332</v>
      </c>
    </row>
    <row r="3863" spans="1:6" x14ac:dyDescent="0.25">
      <c r="A3863" t="s">
        <v>13949</v>
      </c>
      <c r="B3863" t="s">
        <v>13950</v>
      </c>
      <c r="C3863" t="s">
        <v>13951</v>
      </c>
      <c r="D3863" t="s">
        <v>288</v>
      </c>
      <c r="E3863" t="s">
        <v>271</v>
      </c>
      <c r="F3863" t="s">
        <v>316</v>
      </c>
    </row>
    <row r="3864" spans="1:6" x14ac:dyDescent="0.25">
      <c r="A3864" t="s">
        <v>13952</v>
      </c>
      <c r="B3864" t="s">
        <v>13953</v>
      </c>
      <c r="C3864" t="s">
        <v>13954</v>
      </c>
      <c r="D3864" t="s">
        <v>0</v>
      </c>
      <c r="E3864" t="s">
        <v>271</v>
      </c>
      <c r="F3864" t="s">
        <v>1115</v>
      </c>
    </row>
    <row r="3865" spans="1:6" x14ac:dyDescent="0.25">
      <c r="A3865" t="s">
        <v>13955</v>
      </c>
      <c r="B3865" t="s">
        <v>13956</v>
      </c>
      <c r="C3865" t="s">
        <v>13957</v>
      </c>
      <c r="D3865" t="s">
        <v>0</v>
      </c>
      <c r="E3865" t="s">
        <v>271</v>
      </c>
      <c r="F3865" t="s">
        <v>881</v>
      </c>
    </row>
    <row r="3866" spans="1:6" x14ac:dyDescent="0.25">
      <c r="A3866" t="s">
        <v>13958</v>
      </c>
      <c r="B3866" t="s">
        <v>13959</v>
      </c>
      <c r="C3866" t="s">
        <v>6133</v>
      </c>
      <c r="D3866" t="s">
        <v>0</v>
      </c>
      <c r="E3866" t="s">
        <v>271</v>
      </c>
      <c r="F3866" t="s">
        <v>809</v>
      </c>
    </row>
    <row r="3867" spans="1:6" x14ac:dyDescent="0.25">
      <c r="A3867" t="s">
        <v>1905</v>
      </c>
      <c r="B3867" t="s">
        <v>1906</v>
      </c>
      <c r="C3867" t="s">
        <v>1907</v>
      </c>
      <c r="D3867" t="s">
        <v>361</v>
      </c>
      <c r="E3867" t="s">
        <v>271</v>
      </c>
      <c r="F3867" t="s">
        <v>1563</v>
      </c>
    </row>
    <row r="3868" spans="1:6" x14ac:dyDescent="0.25">
      <c r="A3868" t="s">
        <v>1146</v>
      </c>
      <c r="B3868" t="s">
        <v>1147</v>
      </c>
      <c r="C3868" t="s">
        <v>1149</v>
      </c>
      <c r="D3868" t="s">
        <v>0</v>
      </c>
      <c r="E3868" t="s">
        <v>271</v>
      </c>
      <c r="F3868" t="s">
        <v>1148</v>
      </c>
    </row>
    <row r="3869" spans="1:6" x14ac:dyDescent="0.25">
      <c r="A3869" t="s">
        <v>13960</v>
      </c>
      <c r="B3869" t="s">
        <v>13961</v>
      </c>
      <c r="C3869" t="s">
        <v>13962</v>
      </c>
      <c r="D3869" t="s">
        <v>822</v>
      </c>
      <c r="E3869" t="s">
        <v>269</v>
      </c>
      <c r="F3869" t="s">
        <v>821</v>
      </c>
    </row>
    <row r="3870" spans="1:6" x14ac:dyDescent="0.25">
      <c r="A3870" t="s">
        <v>13963</v>
      </c>
      <c r="B3870" t="s">
        <v>13964</v>
      </c>
      <c r="C3870" t="s">
        <v>2359</v>
      </c>
      <c r="D3870" t="s">
        <v>2146</v>
      </c>
      <c r="E3870" t="s">
        <v>271</v>
      </c>
      <c r="F3870" t="s">
        <v>844</v>
      </c>
    </row>
    <row r="3871" spans="1:6" x14ac:dyDescent="0.25">
      <c r="A3871" t="s">
        <v>13965</v>
      </c>
      <c r="B3871" t="s">
        <v>13966</v>
      </c>
      <c r="C3871" t="s">
        <v>13967</v>
      </c>
      <c r="D3871" t="s">
        <v>238</v>
      </c>
      <c r="E3871" t="s">
        <v>271</v>
      </c>
      <c r="F3871" t="s">
        <v>470</v>
      </c>
    </row>
    <row r="3872" spans="1:6" x14ac:dyDescent="0.25">
      <c r="A3872" t="s">
        <v>13968</v>
      </c>
      <c r="B3872" t="s">
        <v>13969</v>
      </c>
      <c r="C3872" t="s">
        <v>13970</v>
      </c>
      <c r="D3872" t="s">
        <v>1559</v>
      </c>
      <c r="E3872" t="s">
        <v>271</v>
      </c>
      <c r="F3872" t="s">
        <v>1558</v>
      </c>
    </row>
    <row r="3873" spans="1:6" x14ac:dyDescent="0.25">
      <c r="A3873" t="s">
        <v>13971</v>
      </c>
      <c r="B3873" t="s">
        <v>13972</v>
      </c>
      <c r="C3873" t="s">
        <v>13973</v>
      </c>
      <c r="D3873" t="s">
        <v>472</v>
      </c>
      <c r="E3873" t="s">
        <v>271</v>
      </c>
      <c r="F3873" t="s">
        <v>318</v>
      </c>
    </row>
    <row r="3874" spans="1:6" x14ac:dyDescent="0.25">
      <c r="A3874" t="s">
        <v>13974</v>
      </c>
      <c r="B3874" t="s">
        <v>13975</v>
      </c>
      <c r="C3874" t="s">
        <v>13976</v>
      </c>
      <c r="D3874" t="s">
        <v>239</v>
      </c>
      <c r="E3874" t="s">
        <v>271</v>
      </c>
      <c r="F3874" t="s">
        <v>544</v>
      </c>
    </row>
    <row r="3875" spans="1:6" x14ac:dyDescent="0.25">
      <c r="A3875" t="s">
        <v>13977</v>
      </c>
      <c r="B3875" t="s">
        <v>13978</v>
      </c>
      <c r="C3875" t="s">
        <v>13979</v>
      </c>
      <c r="D3875" t="s">
        <v>835</v>
      </c>
      <c r="E3875" t="s">
        <v>269</v>
      </c>
      <c r="F3875" t="s">
        <v>834</v>
      </c>
    </row>
    <row r="3876" spans="1:6" x14ac:dyDescent="0.25">
      <c r="A3876" t="s">
        <v>1219</v>
      </c>
      <c r="B3876" t="s">
        <v>1220</v>
      </c>
      <c r="C3876" t="s">
        <v>1222</v>
      </c>
      <c r="D3876" t="s">
        <v>492</v>
      </c>
      <c r="E3876" t="s">
        <v>271</v>
      </c>
      <c r="F3876" t="s">
        <v>1221</v>
      </c>
    </row>
    <row r="3877" spans="1:6" x14ac:dyDescent="0.25">
      <c r="A3877" t="s">
        <v>13980</v>
      </c>
      <c r="B3877" t="s">
        <v>13981</v>
      </c>
      <c r="C3877" t="s">
        <v>13982</v>
      </c>
      <c r="D3877" t="s">
        <v>0</v>
      </c>
      <c r="E3877" t="s">
        <v>271</v>
      </c>
      <c r="F3877" t="s">
        <v>562</v>
      </c>
    </row>
    <row r="3878" spans="1:6" x14ac:dyDescent="0.25">
      <c r="A3878" t="s">
        <v>13983</v>
      </c>
      <c r="B3878" t="s">
        <v>13984</v>
      </c>
      <c r="C3878" t="s">
        <v>13985</v>
      </c>
      <c r="D3878" t="s">
        <v>378</v>
      </c>
      <c r="E3878" t="s">
        <v>341</v>
      </c>
      <c r="F3878" t="s">
        <v>338</v>
      </c>
    </row>
    <row r="3879" spans="1:6" x14ac:dyDescent="0.25">
      <c r="A3879" t="s">
        <v>13986</v>
      </c>
      <c r="B3879" t="s">
        <v>13987</v>
      </c>
      <c r="C3879" t="s">
        <v>13988</v>
      </c>
      <c r="D3879" t="s">
        <v>0</v>
      </c>
      <c r="E3879" t="s">
        <v>271</v>
      </c>
      <c r="F3879" t="s">
        <v>2447</v>
      </c>
    </row>
    <row r="3880" spans="1:6" x14ac:dyDescent="0.25">
      <c r="A3880" t="s">
        <v>13989</v>
      </c>
      <c r="B3880" t="s">
        <v>13990</v>
      </c>
      <c r="C3880" t="s">
        <v>13991</v>
      </c>
      <c r="D3880" t="s">
        <v>0</v>
      </c>
      <c r="E3880" t="s">
        <v>271</v>
      </c>
      <c r="F3880" t="s">
        <v>809</v>
      </c>
    </row>
    <row r="3881" spans="1:6" x14ac:dyDescent="0.25">
      <c r="A3881" t="s">
        <v>13992</v>
      </c>
      <c r="B3881" t="s">
        <v>13993</v>
      </c>
      <c r="C3881" t="s">
        <v>13994</v>
      </c>
      <c r="D3881" t="s">
        <v>402</v>
      </c>
      <c r="E3881" t="s">
        <v>271</v>
      </c>
      <c r="F3881" t="s">
        <v>401</v>
      </c>
    </row>
    <row r="3882" spans="1:6" x14ac:dyDescent="0.25">
      <c r="A3882" t="s">
        <v>13995</v>
      </c>
      <c r="B3882" t="s">
        <v>13996</v>
      </c>
      <c r="C3882" t="s">
        <v>13997</v>
      </c>
      <c r="D3882" t="s">
        <v>357</v>
      </c>
      <c r="E3882" t="s">
        <v>271</v>
      </c>
      <c r="F3882" t="s">
        <v>358</v>
      </c>
    </row>
    <row r="3883" spans="1:6" x14ac:dyDescent="0.25">
      <c r="A3883" t="s">
        <v>1949</v>
      </c>
      <c r="B3883" t="s">
        <v>1950</v>
      </c>
      <c r="C3883" t="s">
        <v>1951</v>
      </c>
      <c r="D3883" t="s">
        <v>502</v>
      </c>
      <c r="E3883" t="s">
        <v>271</v>
      </c>
      <c r="F3883" t="s">
        <v>425</v>
      </c>
    </row>
    <row r="3884" spans="1:6" x14ac:dyDescent="0.25">
      <c r="A3884" t="s">
        <v>13998</v>
      </c>
      <c r="B3884" t="s">
        <v>375</v>
      </c>
      <c r="C3884" t="s">
        <v>481</v>
      </c>
      <c r="D3884" t="s">
        <v>482</v>
      </c>
      <c r="E3884" t="s">
        <v>271</v>
      </c>
      <c r="F3884" t="s">
        <v>483</v>
      </c>
    </row>
    <row r="3885" spans="1:6" x14ac:dyDescent="0.25">
      <c r="A3885" t="s">
        <v>13999</v>
      </c>
      <c r="B3885" t="s">
        <v>14000</v>
      </c>
      <c r="C3885" t="s">
        <v>14001</v>
      </c>
      <c r="D3885" t="s">
        <v>1165</v>
      </c>
      <c r="E3885" t="s">
        <v>271</v>
      </c>
      <c r="F3885" t="s">
        <v>1164</v>
      </c>
    </row>
    <row r="3886" spans="1:6" x14ac:dyDescent="0.25">
      <c r="A3886" t="s">
        <v>3431</v>
      </c>
      <c r="B3886" t="s">
        <v>3432</v>
      </c>
      <c r="C3886" t="s">
        <v>3433</v>
      </c>
      <c r="D3886" t="s">
        <v>742</v>
      </c>
      <c r="E3886" t="s">
        <v>271</v>
      </c>
      <c r="F3886" t="s">
        <v>741</v>
      </c>
    </row>
    <row r="3887" spans="1:6" x14ac:dyDescent="0.25">
      <c r="A3887" t="s">
        <v>14002</v>
      </c>
      <c r="B3887" t="s">
        <v>14003</v>
      </c>
      <c r="C3887" t="s">
        <v>14004</v>
      </c>
      <c r="D3887" t="s">
        <v>1297</v>
      </c>
      <c r="E3887" t="s">
        <v>271</v>
      </c>
      <c r="F3887" t="s">
        <v>996</v>
      </c>
    </row>
    <row r="3888" spans="1:6" x14ac:dyDescent="0.25">
      <c r="A3888" t="s">
        <v>14005</v>
      </c>
      <c r="B3888" t="s">
        <v>14006</v>
      </c>
      <c r="C3888" t="s">
        <v>14007</v>
      </c>
      <c r="D3888" t="s">
        <v>5591</v>
      </c>
      <c r="E3888" t="s">
        <v>269</v>
      </c>
      <c r="F3888" t="s">
        <v>1742</v>
      </c>
    </row>
    <row r="3889" spans="1:6" x14ac:dyDescent="0.25">
      <c r="A3889" t="s">
        <v>3702</v>
      </c>
      <c r="B3889" t="s">
        <v>3703</v>
      </c>
      <c r="C3889" t="s">
        <v>3704</v>
      </c>
      <c r="D3889" t="s">
        <v>0</v>
      </c>
      <c r="E3889" t="s">
        <v>271</v>
      </c>
      <c r="F3889" t="s">
        <v>1534</v>
      </c>
    </row>
    <row r="3890" spans="1:6" x14ac:dyDescent="0.25">
      <c r="A3890" t="s">
        <v>14008</v>
      </c>
      <c r="B3890" t="s">
        <v>14009</v>
      </c>
      <c r="C3890" t="s">
        <v>14010</v>
      </c>
      <c r="D3890" t="s">
        <v>835</v>
      </c>
      <c r="E3890" t="s">
        <v>269</v>
      </c>
      <c r="F3890" t="s">
        <v>834</v>
      </c>
    </row>
    <row r="3891" spans="1:6" x14ac:dyDescent="0.25">
      <c r="A3891" t="s">
        <v>14011</v>
      </c>
      <c r="B3891" t="s">
        <v>14012</v>
      </c>
      <c r="C3891" t="s">
        <v>14013</v>
      </c>
      <c r="D3891" t="s">
        <v>416</v>
      </c>
      <c r="E3891" t="s">
        <v>271</v>
      </c>
      <c r="F3891" t="s">
        <v>439</v>
      </c>
    </row>
    <row r="3892" spans="1:6" x14ac:dyDescent="0.25">
      <c r="A3892" t="s">
        <v>14014</v>
      </c>
      <c r="B3892" t="s">
        <v>14015</v>
      </c>
      <c r="C3892" t="s">
        <v>14016</v>
      </c>
      <c r="D3892" t="s">
        <v>0</v>
      </c>
      <c r="E3892" t="s">
        <v>271</v>
      </c>
      <c r="F3892" t="s">
        <v>431</v>
      </c>
    </row>
    <row r="3893" spans="1:6" x14ac:dyDescent="0.25">
      <c r="A3893" t="s">
        <v>14017</v>
      </c>
      <c r="B3893" t="s">
        <v>14018</v>
      </c>
      <c r="C3893" t="s">
        <v>14019</v>
      </c>
      <c r="D3893" t="s">
        <v>461</v>
      </c>
      <c r="E3893" t="s">
        <v>271</v>
      </c>
      <c r="F3893" t="s">
        <v>336</v>
      </c>
    </row>
    <row r="3894" spans="1:6" x14ac:dyDescent="0.25">
      <c r="A3894" t="s">
        <v>14020</v>
      </c>
      <c r="B3894" t="s">
        <v>14021</v>
      </c>
      <c r="C3894" t="s">
        <v>14022</v>
      </c>
      <c r="D3894" t="s">
        <v>0</v>
      </c>
      <c r="E3894" t="s">
        <v>271</v>
      </c>
      <c r="F3894" t="s">
        <v>575</v>
      </c>
    </row>
    <row r="3895" spans="1:6" x14ac:dyDescent="0.25">
      <c r="A3895" t="s">
        <v>14023</v>
      </c>
      <c r="B3895" t="s">
        <v>14024</v>
      </c>
      <c r="C3895" t="s">
        <v>9021</v>
      </c>
      <c r="D3895" t="s">
        <v>0</v>
      </c>
      <c r="E3895" t="s">
        <v>271</v>
      </c>
      <c r="F3895" t="s">
        <v>356</v>
      </c>
    </row>
    <row r="3896" spans="1:6" x14ac:dyDescent="0.25">
      <c r="A3896" t="s">
        <v>14025</v>
      </c>
      <c r="B3896" t="s">
        <v>14026</v>
      </c>
      <c r="C3896" t="s">
        <v>14027</v>
      </c>
      <c r="D3896" t="s">
        <v>566</v>
      </c>
      <c r="E3896" t="s">
        <v>271</v>
      </c>
      <c r="F3896" t="s">
        <v>567</v>
      </c>
    </row>
    <row r="3897" spans="1:6" x14ac:dyDescent="0.25">
      <c r="A3897" t="s">
        <v>1311</v>
      </c>
      <c r="B3897" t="s">
        <v>1312</v>
      </c>
      <c r="C3897" t="s">
        <v>1313</v>
      </c>
      <c r="D3897" t="s">
        <v>1303</v>
      </c>
      <c r="E3897" t="s">
        <v>269</v>
      </c>
      <c r="F3897" t="s">
        <v>1302</v>
      </c>
    </row>
    <row r="3898" spans="1:6" x14ac:dyDescent="0.25">
      <c r="A3898" t="s">
        <v>14028</v>
      </c>
      <c r="B3898" t="s">
        <v>14029</v>
      </c>
      <c r="C3898" t="s">
        <v>14030</v>
      </c>
      <c r="D3898" t="s">
        <v>845</v>
      </c>
      <c r="E3898" t="s">
        <v>271</v>
      </c>
      <c r="F3898" t="s">
        <v>844</v>
      </c>
    </row>
    <row r="3899" spans="1:6" x14ac:dyDescent="0.25">
      <c r="A3899" t="s">
        <v>14031</v>
      </c>
      <c r="B3899" t="s">
        <v>14032</v>
      </c>
      <c r="C3899" t="s">
        <v>14033</v>
      </c>
      <c r="D3899" t="s">
        <v>578</v>
      </c>
      <c r="E3899" t="s">
        <v>271</v>
      </c>
      <c r="F3899" t="s">
        <v>321</v>
      </c>
    </row>
    <row r="3900" spans="1:6" x14ac:dyDescent="0.25">
      <c r="A3900" t="s">
        <v>1586</v>
      </c>
      <c r="B3900" t="s">
        <v>1587</v>
      </c>
      <c r="C3900" t="s">
        <v>1588</v>
      </c>
      <c r="D3900" t="s">
        <v>1244</v>
      </c>
      <c r="E3900" t="s">
        <v>271</v>
      </c>
      <c r="F3900" t="s">
        <v>1243</v>
      </c>
    </row>
    <row r="3901" spans="1:6" x14ac:dyDescent="0.25">
      <c r="A3901" t="s">
        <v>14034</v>
      </c>
      <c r="B3901" t="s">
        <v>14035</v>
      </c>
      <c r="C3901" t="s">
        <v>14036</v>
      </c>
      <c r="D3901" t="s">
        <v>0</v>
      </c>
      <c r="E3901" t="s">
        <v>271</v>
      </c>
      <c r="F3901" t="s">
        <v>319</v>
      </c>
    </row>
    <row r="3902" spans="1:6" x14ac:dyDescent="0.25">
      <c r="A3902" t="s">
        <v>14037</v>
      </c>
      <c r="B3902" t="s">
        <v>14038</v>
      </c>
      <c r="C3902" t="s">
        <v>14039</v>
      </c>
      <c r="D3902" t="s">
        <v>1165</v>
      </c>
      <c r="E3902" t="s">
        <v>271</v>
      </c>
      <c r="F3902" t="s">
        <v>1402</v>
      </c>
    </row>
    <row r="3903" spans="1:6" x14ac:dyDescent="0.25">
      <c r="A3903" t="s">
        <v>14040</v>
      </c>
      <c r="B3903" t="s">
        <v>14041</v>
      </c>
      <c r="C3903" t="s">
        <v>14042</v>
      </c>
      <c r="D3903" t="s">
        <v>0</v>
      </c>
      <c r="E3903" t="s">
        <v>271</v>
      </c>
      <c r="F3903" t="s">
        <v>688</v>
      </c>
    </row>
    <row r="3904" spans="1:6" x14ac:dyDescent="0.25">
      <c r="A3904" t="s">
        <v>14043</v>
      </c>
      <c r="B3904" t="s">
        <v>14044</v>
      </c>
      <c r="C3904" t="s">
        <v>14045</v>
      </c>
      <c r="D3904" t="s">
        <v>453</v>
      </c>
      <c r="E3904" t="s">
        <v>271</v>
      </c>
      <c r="F3904" t="s">
        <v>2285</v>
      </c>
    </row>
    <row r="3905" spans="1:6" x14ac:dyDescent="0.25">
      <c r="A3905" t="s">
        <v>14046</v>
      </c>
      <c r="B3905" t="s">
        <v>14047</v>
      </c>
      <c r="C3905" t="s">
        <v>14048</v>
      </c>
      <c r="D3905" t="s">
        <v>314</v>
      </c>
      <c r="E3905" t="s">
        <v>271</v>
      </c>
      <c r="F3905" t="s">
        <v>370</v>
      </c>
    </row>
    <row r="3906" spans="1:6" x14ac:dyDescent="0.25">
      <c r="A3906" t="s">
        <v>14049</v>
      </c>
      <c r="B3906" t="s">
        <v>14050</v>
      </c>
      <c r="C3906" t="s">
        <v>14051</v>
      </c>
      <c r="D3906" t="s">
        <v>461</v>
      </c>
      <c r="E3906" t="s">
        <v>271</v>
      </c>
      <c r="F3906" t="s">
        <v>336</v>
      </c>
    </row>
    <row r="3907" spans="1:6" x14ac:dyDescent="0.25">
      <c r="A3907" t="s">
        <v>2178</v>
      </c>
      <c r="B3907" t="s">
        <v>2179</v>
      </c>
      <c r="C3907" t="s">
        <v>2180</v>
      </c>
      <c r="D3907" t="s">
        <v>1915</v>
      </c>
      <c r="E3907" t="s">
        <v>269</v>
      </c>
      <c r="F3907" t="s">
        <v>1914</v>
      </c>
    </row>
    <row r="3908" spans="1:6" x14ac:dyDescent="0.25">
      <c r="A3908" t="s">
        <v>14052</v>
      </c>
      <c r="B3908" t="s">
        <v>14053</v>
      </c>
      <c r="C3908" t="s">
        <v>14054</v>
      </c>
      <c r="D3908" t="s">
        <v>0</v>
      </c>
      <c r="E3908" t="s">
        <v>271</v>
      </c>
      <c r="F3908" t="s">
        <v>436</v>
      </c>
    </row>
    <row r="3909" spans="1:6" x14ac:dyDescent="0.25">
      <c r="A3909" t="s">
        <v>14055</v>
      </c>
      <c r="B3909" t="s">
        <v>14056</v>
      </c>
      <c r="C3909" t="s">
        <v>14057</v>
      </c>
      <c r="D3909" t="s">
        <v>6897</v>
      </c>
      <c r="E3909" t="s">
        <v>269</v>
      </c>
      <c r="F3909" t="s">
        <v>4394</v>
      </c>
    </row>
    <row r="3910" spans="1:6" x14ac:dyDescent="0.25">
      <c r="A3910" t="s">
        <v>14058</v>
      </c>
      <c r="B3910" t="s">
        <v>14059</v>
      </c>
      <c r="C3910" t="s">
        <v>14060</v>
      </c>
      <c r="D3910" t="s">
        <v>469</v>
      </c>
      <c r="E3910" t="s">
        <v>271</v>
      </c>
      <c r="F3910" t="s">
        <v>470</v>
      </c>
    </row>
    <row r="3911" spans="1:6" x14ac:dyDescent="0.25">
      <c r="A3911" t="s">
        <v>14061</v>
      </c>
      <c r="B3911" t="s">
        <v>14062</v>
      </c>
      <c r="C3911" t="s">
        <v>14063</v>
      </c>
      <c r="D3911" t="s">
        <v>4106</v>
      </c>
      <c r="E3911" t="s">
        <v>269</v>
      </c>
      <c r="F3911" t="s">
        <v>4105</v>
      </c>
    </row>
    <row r="3912" spans="1:6" x14ac:dyDescent="0.25">
      <c r="A3912" t="s">
        <v>1511</v>
      </c>
      <c r="B3912" t="s">
        <v>1512</v>
      </c>
      <c r="C3912" t="s">
        <v>1514</v>
      </c>
      <c r="D3912" t="s">
        <v>616</v>
      </c>
      <c r="E3912" t="s">
        <v>271</v>
      </c>
      <c r="F3912" t="s">
        <v>333</v>
      </c>
    </row>
    <row r="3913" spans="1:6" x14ac:dyDescent="0.25">
      <c r="A3913" t="s">
        <v>2495</v>
      </c>
      <c r="B3913" t="s">
        <v>2496</v>
      </c>
      <c r="C3913" t="s">
        <v>2497</v>
      </c>
      <c r="D3913" t="s">
        <v>0</v>
      </c>
      <c r="E3913" t="s">
        <v>271</v>
      </c>
      <c r="F3913" t="s">
        <v>319</v>
      </c>
    </row>
    <row r="3914" spans="1:6" x14ac:dyDescent="0.25">
      <c r="A3914" t="s">
        <v>14064</v>
      </c>
      <c r="B3914" t="s">
        <v>11919</v>
      </c>
      <c r="C3914" t="s">
        <v>11920</v>
      </c>
      <c r="D3914" t="s">
        <v>357</v>
      </c>
      <c r="E3914" t="s">
        <v>271</v>
      </c>
      <c r="F3914" t="s">
        <v>358</v>
      </c>
    </row>
    <row r="3915" spans="1:6" x14ac:dyDescent="0.25">
      <c r="A3915" t="s">
        <v>14065</v>
      </c>
      <c r="B3915" t="s">
        <v>14066</v>
      </c>
      <c r="C3915" t="s">
        <v>14067</v>
      </c>
      <c r="D3915" t="s">
        <v>0</v>
      </c>
      <c r="E3915" t="s">
        <v>271</v>
      </c>
      <c r="F3915" t="s">
        <v>881</v>
      </c>
    </row>
    <row r="3916" spans="1:6" x14ac:dyDescent="0.25">
      <c r="A3916" t="s">
        <v>14068</v>
      </c>
      <c r="B3916" t="s">
        <v>14069</v>
      </c>
      <c r="C3916" t="s">
        <v>14070</v>
      </c>
      <c r="D3916" t="s">
        <v>0</v>
      </c>
      <c r="E3916" t="s">
        <v>271</v>
      </c>
      <c r="F3916" t="s">
        <v>1321</v>
      </c>
    </row>
    <row r="3917" spans="1:6" x14ac:dyDescent="0.25">
      <c r="A3917" t="s">
        <v>14071</v>
      </c>
      <c r="B3917" t="s">
        <v>14072</v>
      </c>
      <c r="C3917" t="s">
        <v>14073</v>
      </c>
      <c r="D3917" t="s">
        <v>295</v>
      </c>
      <c r="E3917" t="s">
        <v>271</v>
      </c>
      <c r="F3917" t="s">
        <v>294</v>
      </c>
    </row>
    <row r="3918" spans="1:6" x14ac:dyDescent="0.25">
      <c r="A3918" t="s">
        <v>14074</v>
      </c>
      <c r="B3918" t="s">
        <v>14075</v>
      </c>
      <c r="C3918" t="s">
        <v>14076</v>
      </c>
      <c r="D3918" t="s">
        <v>498</v>
      </c>
      <c r="E3918" t="s">
        <v>271</v>
      </c>
      <c r="F3918" t="s">
        <v>926</v>
      </c>
    </row>
    <row r="3919" spans="1:6" x14ac:dyDescent="0.25">
      <c r="A3919" t="s">
        <v>14077</v>
      </c>
      <c r="B3919" t="s">
        <v>14078</v>
      </c>
      <c r="C3919" t="s">
        <v>14079</v>
      </c>
      <c r="D3919" t="s">
        <v>473</v>
      </c>
      <c r="E3919" t="s">
        <v>271</v>
      </c>
      <c r="F3919" t="s">
        <v>433</v>
      </c>
    </row>
    <row r="3920" spans="1:6" x14ac:dyDescent="0.25">
      <c r="A3920" t="s">
        <v>2282</v>
      </c>
      <c r="B3920" t="s">
        <v>2283</v>
      </c>
      <c r="C3920" t="s">
        <v>2286</v>
      </c>
      <c r="D3920" t="s">
        <v>453</v>
      </c>
      <c r="E3920" t="s">
        <v>271</v>
      </c>
      <c r="F3920" t="s">
        <v>2285</v>
      </c>
    </row>
    <row r="3921" spans="1:6" x14ac:dyDescent="0.25">
      <c r="A3921" t="s">
        <v>14080</v>
      </c>
      <c r="B3921" t="s">
        <v>14081</v>
      </c>
      <c r="C3921" t="s">
        <v>14082</v>
      </c>
      <c r="D3921" t="s">
        <v>0</v>
      </c>
      <c r="E3921" t="s">
        <v>271</v>
      </c>
      <c r="F3921" t="s">
        <v>1148</v>
      </c>
    </row>
    <row r="3922" spans="1:6" x14ac:dyDescent="0.25">
      <c r="A3922" t="s">
        <v>2163</v>
      </c>
      <c r="B3922" t="s">
        <v>2164</v>
      </c>
      <c r="C3922" t="s">
        <v>2167</v>
      </c>
      <c r="D3922" t="s">
        <v>2166</v>
      </c>
      <c r="E3922" t="s">
        <v>271</v>
      </c>
      <c r="F3922" t="s">
        <v>2165</v>
      </c>
    </row>
    <row r="3923" spans="1:6" x14ac:dyDescent="0.25">
      <c r="A3923" t="s">
        <v>14083</v>
      </c>
      <c r="B3923" t="s">
        <v>14084</v>
      </c>
      <c r="C3923" t="s">
        <v>14085</v>
      </c>
      <c r="D3923" t="s">
        <v>237</v>
      </c>
      <c r="E3923" t="s">
        <v>271</v>
      </c>
      <c r="F3923" t="s">
        <v>427</v>
      </c>
    </row>
    <row r="3924" spans="1:6" x14ac:dyDescent="0.25">
      <c r="A3924" t="s">
        <v>14086</v>
      </c>
      <c r="B3924" t="s">
        <v>14087</v>
      </c>
      <c r="C3924" t="s">
        <v>14088</v>
      </c>
      <c r="D3924" t="s">
        <v>314</v>
      </c>
      <c r="E3924" t="s">
        <v>271</v>
      </c>
      <c r="F3924" t="s">
        <v>352</v>
      </c>
    </row>
    <row r="3925" spans="1:6" x14ac:dyDescent="0.25">
      <c r="A3925" t="s">
        <v>14089</v>
      </c>
      <c r="B3925" t="s">
        <v>14090</v>
      </c>
      <c r="C3925" t="s">
        <v>14091</v>
      </c>
      <c r="D3925" t="s">
        <v>1186</v>
      </c>
      <c r="E3925" t="s">
        <v>271</v>
      </c>
      <c r="F3925" t="s">
        <v>1185</v>
      </c>
    </row>
    <row r="3926" spans="1:6" x14ac:dyDescent="0.25">
      <c r="A3926" t="s">
        <v>14092</v>
      </c>
      <c r="B3926" t="s">
        <v>14093</v>
      </c>
      <c r="C3926" t="s">
        <v>14094</v>
      </c>
      <c r="D3926" t="s">
        <v>675</v>
      </c>
      <c r="E3926" t="s">
        <v>271</v>
      </c>
      <c r="F3926" t="s">
        <v>674</v>
      </c>
    </row>
    <row r="3927" spans="1:6" x14ac:dyDescent="0.25">
      <c r="A3927" t="s">
        <v>14095</v>
      </c>
      <c r="B3927" t="s">
        <v>14096</v>
      </c>
      <c r="C3927" t="s">
        <v>9587</v>
      </c>
      <c r="D3927" t="s">
        <v>1348</v>
      </c>
      <c r="E3927" t="s">
        <v>271</v>
      </c>
      <c r="F3927" t="s">
        <v>2057</v>
      </c>
    </row>
    <row r="3928" spans="1:6" x14ac:dyDescent="0.25">
      <c r="A3928" t="s">
        <v>1737</v>
      </c>
      <c r="B3928" t="s">
        <v>1738</v>
      </c>
      <c r="C3928" t="s">
        <v>1739</v>
      </c>
      <c r="D3928" t="s">
        <v>222</v>
      </c>
      <c r="E3928" t="s">
        <v>271</v>
      </c>
      <c r="F3928" t="s">
        <v>313</v>
      </c>
    </row>
    <row r="3929" spans="1:6" x14ac:dyDescent="0.25">
      <c r="A3929" t="s">
        <v>14097</v>
      </c>
      <c r="B3929" t="s">
        <v>14098</v>
      </c>
      <c r="C3929" t="s">
        <v>14099</v>
      </c>
      <c r="D3929" t="s">
        <v>506</v>
      </c>
      <c r="E3929" t="s">
        <v>271</v>
      </c>
      <c r="F3929" t="s">
        <v>507</v>
      </c>
    </row>
    <row r="3930" spans="1:6" x14ac:dyDescent="0.25">
      <c r="A3930" t="s">
        <v>14100</v>
      </c>
      <c r="B3930" t="s">
        <v>14101</v>
      </c>
      <c r="C3930" t="s">
        <v>14102</v>
      </c>
      <c r="D3930" t="s">
        <v>0</v>
      </c>
      <c r="E3930" t="s">
        <v>271</v>
      </c>
      <c r="F3930" t="s">
        <v>709</v>
      </c>
    </row>
    <row r="3931" spans="1:6" x14ac:dyDescent="0.25">
      <c r="A3931" t="s">
        <v>14103</v>
      </c>
      <c r="B3931" t="s">
        <v>14104</v>
      </c>
      <c r="C3931" t="s">
        <v>14105</v>
      </c>
      <c r="D3931" t="s">
        <v>0</v>
      </c>
      <c r="E3931" t="s">
        <v>271</v>
      </c>
      <c r="F3931" t="s">
        <v>436</v>
      </c>
    </row>
    <row r="3932" spans="1:6" x14ac:dyDescent="0.25">
      <c r="A3932" t="s">
        <v>14106</v>
      </c>
      <c r="B3932" t="s">
        <v>14107</v>
      </c>
      <c r="C3932" t="s">
        <v>14108</v>
      </c>
      <c r="D3932" t="s">
        <v>519</v>
      </c>
      <c r="E3932" t="s">
        <v>271</v>
      </c>
      <c r="F3932" t="s">
        <v>324</v>
      </c>
    </row>
    <row r="3933" spans="1:6" x14ac:dyDescent="0.25">
      <c r="A3933" t="s">
        <v>2984</v>
      </c>
      <c r="B3933" t="s">
        <v>2985</v>
      </c>
      <c r="C3933" t="s">
        <v>2986</v>
      </c>
      <c r="D3933" t="s">
        <v>0</v>
      </c>
      <c r="E3933" t="s">
        <v>271</v>
      </c>
      <c r="F3933" t="s">
        <v>436</v>
      </c>
    </row>
    <row r="3934" spans="1:6" x14ac:dyDescent="0.25">
      <c r="A3934" t="s">
        <v>1076</v>
      </c>
      <c r="B3934" t="s">
        <v>1077</v>
      </c>
      <c r="C3934" t="s">
        <v>1080</v>
      </c>
      <c r="D3934" t="s">
        <v>1079</v>
      </c>
      <c r="E3934" t="s">
        <v>271</v>
      </c>
      <c r="F3934" t="s">
        <v>1078</v>
      </c>
    </row>
    <row r="3935" spans="1:6" x14ac:dyDescent="0.25">
      <c r="A3935" t="s">
        <v>14109</v>
      </c>
      <c r="B3935" t="s">
        <v>14110</v>
      </c>
      <c r="C3935" t="s">
        <v>14111</v>
      </c>
      <c r="D3935" t="s">
        <v>793</v>
      </c>
      <c r="E3935" t="s">
        <v>271</v>
      </c>
      <c r="F3935" t="s">
        <v>860</v>
      </c>
    </row>
    <row r="3936" spans="1:6" x14ac:dyDescent="0.25">
      <c r="A3936" t="s">
        <v>2386</v>
      </c>
      <c r="B3936" t="s">
        <v>2387</v>
      </c>
      <c r="C3936" t="s">
        <v>2388</v>
      </c>
      <c r="D3936" t="s">
        <v>586</v>
      </c>
      <c r="E3936" t="s">
        <v>271</v>
      </c>
      <c r="F3936" t="s">
        <v>334</v>
      </c>
    </row>
    <row r="3937" spans="1:6" x14ac:dyDescent="0.25">
      <c r="A3937" t="s">
        <v>14112</v>
      </c>
      <c r="B3937" t="s">
        <v>14113</v>
      </c>
      <c r="C3937" t="s">
        <v>14114</v>
      </c>
      <c r="D3937" t="s">
        <v>314</v>
      </c>
      <c r="E3937" t="s">
        <v>271</v>
      </c>
      <c r="F3937" t="s">
        <v>352</v>
      </c>
    </row>
    <row r="3938" spans="1:6" x14ac:dyDescent="0.25">
      <c r="A3938" t="s">
        <v>2425</v>
      </c>
      <c r="B3938" t="s">
        <v>2426</v>
      </c>
      <c r="C3938" t="s">
        <v>2427</v>
      </c>
      <c r="D3938" t="s">
        <v>1186</v>
      </c>
      <c r="E3938" t="s">
        <v>271</v>
      </c>
      <c r="F3938" t="s">
        <v>1185</v>
      </c>
    </row>
    <row r="3939" spans="1:6" x14ac:dyDescent="0.25">
      <c r="A3939" t="s">
        <v>14115</v>
      </c>
      <c r="B3939" t="s">
        <v>14116</v>
      </c>
      <c r="C3939" t="s">
        <v>14117</v>
      </c>
      <c r="D3939" t="s">
        <v>0</v>
      </c>
      <c r="E3939" t="s">
        <v>271</v>
      </c>
      <c r="F3939" t="s">
        <v>881</v>
      </c>
    </row>
    <row r="3940" spans="1:6" x14ac:dyDescent="0.25">
      <c r="A3940" t="s">
        <v>14118</v>
      </c>
      <c r="B3940" t="s">
        <v>14119</v>
      </c>
      <c r="C3940" t="s">
        <v>4476</v>
      </c>
      <c r="D3940" t="s">
        <v>540</v>
      </c>
      <c r="E3940" t="s">
        <v>271</v>
      </c>
      <c r="F3940" t="s">
        <v>339</v>
      </c>
    </row>
    <row r="3941" spans="1:6" x14ac:dyDescent="0.25">
      <c r="A3941" t="s">
        <v>14120</v>
      </c>
      <c r="B3941" t="s">
        <v>14121</v>
      </c>
      <c r="C3941" t="s">
        <v>14122</v>
      </c>
      <c r="D3941" t="s">
        <v>7183</v>
      </c>
      <c r="E3941" t="s">
        <v>271</v>
      </c>
      <c r="F3941" t="s">
        <v>435</v>
      </c>
    </row>
    <row r="3942" spans="1:6" x14ac:dyDescent="0.25">
      <c r="A3942" t="s">
        <v>14123</v>
      </c>
      <c r="B3942" t="s">
        <v>14124</v>
      </c>
      <c r="C3942" t="s">
        <v>14125</v>
      </c>
      <c r="D3942" t="s">
        <v>578</v>
      </c>
      <c r="E3942" t="s">
        <v>271</v>
      </c>
      <c r="F3942" t="s">
        <v>321</v>
      </c>
    </row>
    <row r="3943" spans="1:6" x14ac:dyDescent="0.25">
      <c r="A3943" t="s">
        <v>14126</v>
      </c>
      <c r="B3943" t="s">
        <v>14127</v>
      </c>
      <c r="C3943" t="s">
        <v>14128</v>
      </c>
      <c r="D3943" t="s">
        <v>2714</v>
      </c>
      <c r="E3943" t="s">
        <v>271</v>
      </c>
      <c r="F3943" t="s">
        <v>2713</v>
      </c>
    </row>
    <row r="3944" spans="1:6" x14ac:dyDescent="0.25">
      <c r="A3944" t="s">
        <v>2276</v>
      </c>
      <c r="B3944" t="s">
        <v>2277</v>
      </c>
      <c r="C3944" t="s">
        <v>2278</v>
      </c>
      <c r="D3944" t="s">
        <v>1059</v>
      </c>
      <c r="E3944" t="s">
        <v>271</v>
      </c>
      <c r="F3944" t="s">
        <v>1058</v>
      </c>
    </row>
    <row r="3945" spans="1:6" x14ac:dyDescent="0.25">
      <c r="A3945" t="s">
        <v>14129</v>
      </c>
      <c r="B3945" t="s">
        <v>14130</v>
      </c>
      <c r="C3945" t="s">
        <v>14131</v>
      </c>
      <c r="D3945" t="s">
        <v>822</v>
      </c>
      <c r="E3945" t="s">
        <v>269</v>
      </c>
      <c r="F3945" t="s">
        <v>821</v>
      </c>
    </row>
    <row r="3946" spans="1:6" x14ac:dyDescent="0.25">
      <c r="A3946" t="s">
        <v>14132</v>
      </c>
      <c r="B3946" t="s">
        <v>14133</v>
      </c>
      <c r="C3946" t="s">
        <v>14134</v>
      </c>
      <c r="D3946" t="s">
        <v>342</v>
      </c>
      <c r="E3946" t="s">
        <v>265</v>
      </c>
      <c r="F3946" t="s">
        <v>344</v>
      </c>
    </row>
    <row r="3947" spans="1:6" x14ac:dyDescent="0.25">
      <c r="A3947" t="s">
        <v>14135</v>
      </c>
      <c r="B3947" t="s">
        <v>14136</v>
      </c>
      <c r="C3947" t="s">
        <v>14137</v>
      </c>
      <c r="D3947" t="s">
        <v>1317</v>
      </c>
      <c r="E3947" t="s">
        <v>271</v>
      </c>
      <c r="F3947" t="s">
        <v>1316</v>
      </c>
    </row>
    <row r="3948" spans="1:6" x14ac:dyDescent="0.25">
      <c r="A3948" t="s">
        <v>14138</v>
      </c>
      <c r="B3948" t="s">
        <v>392</v>
      </c>
      <c r="C3948" t="s">
        <v>14139</v>
      </c>
      <c r="D3948" t="s">
        <v>986</v>
      </c>
      <c r="E3948" t="s">
        <v>271</v>
      </c>
      <c r="F3948" t="s">
        <v>985</v>
      </c>
    </row>
    <row r="3949" spans="1:6" x14ac:dyDescent="0.25">
      <c r="A3949" t="s">
        <v>14140</v>
      </c>
      <c r="B3949" t="s">
        <v>14141</v>
      </c>
      <c r="C3949" t="s">
        <v>14142</v>
      </c>
      <c r="D3949" t="s">
        <v>916</v>
      </c>
      <c r="E3949" t="s">
        <v>271</v>
      </c>
      <c r="F3949" t="s">
        <v>915</v>
      </c>
    </row>
    <row r="3950" spans="1:6" x14ac:dyDescent="0.25">
      <c r="A3950" t="s">
        <v>14143</v>
      </c>
      <c r="B3950" t="s">
        <v>14144</v>
      </c>
      <c r="C3950" t="s">
        <v>14145</v>
      </c>
      <c r="D3950" t="s">
        <v>14146</v>
      </c>
      <c r="E3950" t="s">
        <v>271</v>
      </c>
      <c r="F3950" t="s">
        <v>358</v>
      </c>
    </row>
    <row r="3951" spans="1:6" x14ac:dyDescent="0.25">
      <c r="A3951" t="s">
        <v>14147</v>
      </c>
      <c r="B3951" t="s">
        <v>14148</v>
      </c>
      <c r="C3951" t="s">
        <v>14149</v>
      </c>
      <c r="D3951" t="s">
        <v>1548</v>
      </c>
      <c r="E3951" t="s">
        <v>271</v>
      </c>
      <c r="F3951" t="s">
        <v>1547</v>
      </c>
    </row>
    <row r="3952" spans="1:6" x14ac:dyDescent="0.25">
      <c r="A3952" t="s">
        <v>14150</v>
      </c>
      <c r="B3952" t="s">
        <v>14151</v>
      </c>
      <c r="C3952" t="s">
        <v>14152</v>
      </c>
      <c r="D3952" t="s">
        <v>0</v>
      </c>
      <c r="E3952" t="s">
        <v>271</v>
      </c>
      <c r="F3952" t="s">
        <v>323</v>
      </c>
    </row>
    <row r="3953" spans="1:6" x14ac:dyDescent="0.25">
      <c r="A3953" t="s">
        <v>14153</v>
      </c>
      <c r="B3953" t="s">
        <v>14154</v>
      </c>
      <c r="C3953" t="s">
        <v>14155</v>
      </c>
      <c r="D3953" t="s">
        <v>3307</v>
      </c>
      <c r="E3953" t="s">
        <v>271</v>
      </c>
      <c r="F3953" t="s">
        <v>2768</v>
      </c>
    </row>
    <row r="3954" spans="1:6" x14ac:dyDescent="0.25">
      <c r="A3954" t="s">
        <v>1960</v>
      </c>
      <c r="B3954" t="s">
        <v>1961</v>
      </c>
      <c r="C3954" t="s">
        <v>1962</v>
      </c>
      <c r="D3954" t="s">
        <v>0</v>
      </c>
      <c r="E3954" t="s">
        <v>271</v>
      </c>
      <c r="F3954" t="s">
        <v>809</v>
      </c>
    </row>
    <row r="3955" spans="1:6" x14ac:dyDescent="0.25">
      <c r="A3955" t="s">
        <v>14156</v>
      </c>
      <c r="B3955" t="s">
        <v>14157</v>
      </c>
      <c r="C3955" t="s">
        <v>14158</v>
      </c>
      <c r="D3955" t="s">
        <v>1019</v>
      </c>
      <c r="E3955" t="s">
        <v>271</v>
      </c>
      <c r="F3955" t="s">
        <v>1018</v>
      </c>
    </row>
    <row r="3956" spans="1:6" x14ac:dyDescent="0.25">
      <c r="A3956" t="s">
        <v>14159</v>
      </c>
      <c r="B3956" t="s">
        <v>14160</v>
      </c>
      <c r="C3956" t="s">
        <v>14161</v>
      </c>
      <c r="D3956" t="s">
        <v>519</v>
      </c>
      <c r="E3956" t="s">
        <v>271</v>
      </c>
      <c r="F3956" t="s">
        <v>324</v>
      </c>
    </row>
    <row r="3957" spans="1:6" x14ac:dyDescent="0.25">
      <c r="A3957" t="s">
        <v>14162</v>
      </c>
      <c r="B3957" t="s">
        <v>14163</v>
      </c>
      <c r="C3957" t="s">
        <v>14164</v>
      </c>
      <c r="D3957" t="s">
        <v>0</v>
      </c>
      <c r="E3957" t="s">
        <v>271</v>
      </c>
      <c r="F3957" t="s">
        <v>2447</v>
      </c>
    </row>
    <row r="3958" spans="1:6" x14ac:dyDescent="0.25">
      <c r="A3958" t="s">
        <v>14165</v>
      </c>
      <c r="B3958" t="s">
        <v>14166</v>
      </c>
      <c r="C3958" t="s">
        <v>14167</v>
      </c>
      <c r="D3958" t="s">
        <v>616</v>
      </c>
      <c r="E3958" t="s">
        <v>271</v>
      </c>
      <c r="F3958" t="s">
        <v>1102</v>
      </c>
    </row>
    <row r="3959" spans="1:6" x14ac:dyDescent="0.25">
      <c r="A3959" t="s">
        <v>1358</v>
      </c>
      <c r="B3959" t="s">
        <v>1359</v>
      </c>
      <c r="C3959" t="s">
        <v>1362</v>
      </c>
      <c r="D3959" t="s">
        <v>1361</v>
      </c>
      <c r="E3959" t="s">
        <v>271</v>
      </c>
      <c r="F3959" t="s">
        <v>1360</v>
      </c>
    </row>
    <row r="3960" spans="1:6" x14ac:dyDescent="0.25">
      <c r="A3960" t="s">
        <v>14168</v>
      </c>
      <c r="B3960" t="s">
        <v>14169</v>
      </c>
      <c r="C3960" t="s">
        <v>14170</v>
      </c>
      <c r="D3960" t="s">
        <v>1165</v>
      </c>
      <c r="E3960" t="s">
        <v>271</v>
      </c>
      <c r="F3960" t="s">
        <v>1164</v>
      </c>
    </row>
    <row r="3961" spans="1:6" x14ac:dyDescent="0.25">
      <c r="A3961" t="s">
        <v>14171</v>
      </c>
      <c r="B3961" t="s">
        <v>14172</v>
      </c>
      <c r="C3961" t="s">
        <v>14173</v>
      </c>
      <c r="D3961" t="s">
        <v>13328</v>
      </c>
      <c r="E3961" t="s">
        <v>271</v>
      </c>
      <c r="F3961" t="s">
        <v>13329</v>
      </c>
    </row>
    <row r="3962" spans="1:6" x14ac:dyDescent="0.25">
      <c r="A3962" t="s">
        <v>14174</v>
      </c>
      <c r="B3962" t="s">
        <v>14175</v>
      </c>
      <c r="C3962" t="s">
        <v>14176</v>
      </c>
      <c r="D3962" t="s">
        <v>488</v>
      </c>
      <c r="E3962" t="s">
        <v>271</v>
      </c>
      <c r="F3962" t="s">
        <v>4295</v>
      </c>
    </row>
    <row r="3963" spans="1:6" x14ac:dyDescent="0.25">
      <c r="A3963" t="s">
        <v>14177</v>
      </c>
      <c r="B3963" t="s">
        <v>14178</v>
      </c>
      <c r="C3963" t="s">
        <v>14179</v>
      </c>
      <c r="D3963" t="s">
        <v>9124</v>
      </c>
      <c r="E3963" t="s">
        <v>271</v>
      </c>
      <c r="F3963" t="s">
        <v>4406</v>
      </c>
    </row>
    <row r="3964" spans="1:6" x14ac:dyDescent="0.25">
      <c r="A3964" t="s">
        <v>14180</v>
      </c>
      <c r="B3964" t="s">
        <v>14181</v>
      </c>
      <c r="C3964" t="s">
        <v>14182</v>
      </c>
      <c r="D3964" t="s">
        <v>1370</v>
      </c>
      <c r="E3964" t="s">
        <v>271</v>
      </c>
      <c r="F3964" t="s">
        <v>1369</v>
      </c>
    </row>
    <row r="3965" spans="1:6" x14ac:dyDescent="0.25">
      <c r="A3965" t="s">
        <v>1908</v>
      </c>
      <c r="B3965" t="s">
        <v>1909</v>
      </c>
      <c r="C3965" t="s">
        <v>1910</v>
      </c>
      <c r="D3965" t="s">
        <v>1303</v>
      </c>
      <c r="E3965" t="s">
        <v>269</v>
      </c>
      <c r="F3965" t="s">
        <v>1302</v>
      </c>
    </row>
    <row r="3966" spans="1:6" x14ac:dyDescent="0.25">
      <c r="A3966" t="s">
        <v>1690</v>
      </c>
      <c r="B3966" t="s">
        <v>1691</v>
      </c>
      <c r="C3966" t="s">
        <v>1692</v>
      </c>
      <c r="D3966" t="s">
        <v>492</v>
      </c>
      <c r="E3966" t="s">
        <v>271</v>
      </c>
      <c r="F3966" t="s">
        <v>493</v>
      </c>
    </row>
    <row r="3967" spans="1:6" x14ac:dyDescent="0.25">
      <c r="A3967" t="s">
        <v>3363</v>
      </c>
      <c r="B3967" t="s">
        <v>3364</v>
      </c>
      <c r="C3967" t="s">
        <v>3365</v>
      </c>
      <c r="D3967" t="s">
        <v>0</v>
      </c>
      <c r="E3967" t="s">
        <v>271</v>
      </c>
      <c r="F3967" t="s">
        <v>658</v>
      </c>
    </row>
    <row r="3968" spans="1:6" x14ac:dyDescent="0.25">
      <c r="A3968" t="s">
        <v>944</v>
      </c>
      <c r="B3968" t="s">
        <v>945</v>
      </c>
      <c r="C3968" t="s">
        <v>946</v>
      </c>
      <c r="D3968" t="s">
        <v>835</v>
      </c>
      <c r="E3968" t="s">
        <v>269</v>
      </c>
      <c r="F3968" t="s">
        <v>834</v>
      </c>
    </row>
    <row r="3969" spans="1:6" x14ac:dyDescent="0.25">
      <c r="A3969" t="s">
        <v>14183</v>
      </c>
      <c r="B3969" t="s">
        <v>14184</v>
      </c>
      <c r="C3969" t="s">
        <v>14185</v>
      </c>
      <c r="D3969" t="s">
        <v>6897</v>
      </c>
      <c r="E3969" t="s">
        <v>269</v>
      </c>
      <c r="F3969" t="s">
        <v>4394</v>
      </c>
    </row>
    <row r="3970" spans="1:6" x14ac:dyDescent="0.25">
      <c r="A3970" t="s">
        <v>14186</v>
      </c>
      <c r="B3970" t="s">
        <v>14187</v>
      </c>
      <c r="C3970" t="s">
        <v>14188</v>
      </c>
      <c r="D3970" t="s">
        <v>14189</v>
      </c>
      <c r="E3970" t="s">
        <v>271</v>
      </c>
      <c r="F3970" t="s">
        <v>14190</v>
      </c>
    </row>
    <row r="3971" spans="1:6" x14ac:dyDescent="0.25">
      <c r="A3971" t="s">
        <v>14191</v>
      </c>
      <c r="B3971" t="s">
        <v>14192</v>
      </c>
      <c r="C3971" t="s">
        <v>14193</v>
      </c>
      <c r="D3971" t="s">
        <v>1370</v>
      </c>
      <c r="E3971" t="s">
        <v>271</v>
      </c>
      <c r="F3971" t="s">
        <v>1369</v>
      </c>
    </row>
    <row r="3972" spans="1:6" x14ac:dyDescent="0.25">
      <c r="A3972" t="s">
        <v>14194</v>
      </c>
      <c r="B3972" t="s">
        <v>14195</v>
      </c>
      <c r="C3972" t="s">
        <v>14196</v>
      </c>
      <c r="D3972" t="s">
        <v>361</v>
      </c>
      <c r="E3972" t="s">
        <v>271</v>
      </c>
      <c r="F3972" t="s">
        <v>4420</v>
      </c>
    </row>
    <row r="3973" spans="1:6" x14ac:dyDescent="0.25">
      <c r="A3973" t="s">
        <v>14197</v>
      </c>
      <c r="B3973" t="s">
        <v>14198</v>
      </c>
      <c r="C3973" t="s">
        <v>14199</v>
      </c>
      <c r="D3973" t="s">
        <v>1601</v>
      </c>
      <c r="E3973" t="s">
        <v>269</v>
      </c>
      <c r="F3973" t="s">
        <v>3126</v>
      </c>
    </row>
    <row r="3974" spans="1:6" x14ac:dyDescent="0.25">
      <c r="A3974" t="s">
        <v>14200</v>
      </c>
      <c r="B3974" t="s">
        <v>400</v>
      </c>
      <c r="C3974" t="s">
        <v>403</v>
      </c>
      <c r="D3974" t="s">
        <v>402</v>
      </c>
      <c r="E3974" t="s">
        <v>271</v>
      </c>
      <c r="F3974" t="s">
        <v>401</v>
      </c>
    </row>
    <row r="3975" spans="1:6" x14ac:dyDescent="0.25">
      <c r="A3975" t="s">
        <v>2107</v>
      </c>
      <c r="B3975" t="s">
        <v>2108</v>
      </c>
      <c r="C3975" t="s">
        <v>2109</v>
      </c>
      <c r="D3975" t="s">
        <v>0</v>
      </c>
      <c r="E3975" t="s">
        <v>271</v>
      </c>
      <c r="F3975" t="s">
        <v>575</v>
      </c>
    </row>
    <row r="3976" spans="1:6" x14ac:dyDescent="0.25">
      <c r="A3976" t="s">
        <v>14201</v>
      </c>
      <c r="B3976" t="s">
        <v>14202</v>
      </c>
      <c r="C3976" t="s">
        <v>14203</v>
      </c>
      <c r="D3976" t="s">
        <v>0</v>
      </c>
      <c r="E3976" t="s">
        <v>271</v>
      </c>
      <c r="F3976" t="s">
        <v>1321</v>
      </c>
    </row>
    <row r="3977" spans="1:6" x14ac:dyDescent="0.25">
      <c r="A3977" t="s">
        <v>14204</v>
      </c>
      <c r="B3977" t="s">
        <v>14205</v>
      </c>
      <c r="C3977" t="s">
        <v>14206</v>
      </c>
      <c r="D3977" t="s">
        <v>1542</v>
      </c>
      <c r="E3977" t="s">
        <v>269</v>
      </c>
      <c r="F3977" t="s">
        <v>4412</v>
      </c>
    </row>
    <row r="3978" spans="1:6" x14ac:dyDescent="0.25">
      <c r="A3978" t="s">
        <v>14207</v>
      </c>
      <c r="B3978" t="s">
        <v>14208</v>
      </c>
      <c r="C3978" t="s">
        <v>14209</v>
      </c>
      <c r="D3978" t="s">
        <v>1643</v>
      </c>
      <c r="E3978" t="s">
        <v>271</v>
      </c>
      <c r="F3978" t="s">
        <v>1642</v>
      </c>
    </row>
    <row r="3979" spans="1:6" x14ac:dyDescent="0.25">
      <c r="A3979" t="s">
        <v>14210</v>
      </c>
      <c r="B3979" t="s">
        <v>14211</v>
      </c>
      <c r="C3979" t="s">
        <v>14212</v>
      </c>
      <c r="D3979" t="s">
        <v>2714</v>
      </c>
      <c r="E3979" t="s">
        <v>271</v>
      </c>
      <c r="F3979" t="s">
        <v>2713</v>
      </c>
    </row>
    <row r="3980" spans="1:6" x14ac:dyDescent="0.25">
      <c r="A3980" t="s">
        <v>14213</v>
      </c>
      <c r="B3980" t="s">
        <v>14214</v>
      </c>
      <c r="C3980" t="s">
        <v>14215</v>
      </c>
      <c r="D3980" t="s">
        <v>0</v>
      </c>
      <c r="E3980" t="s">
        <v>271</v>
      </c>
      <c r="F3980" t="s">
        <v>1148</v>
      </c>
    </row>
    <row r="3981" spans="1:6" x14ac:dyDescent="0.25">
      <c r="A3981" t="s">
        <v>14216</v>
      </c>
      <c r="B3981" t="s">
        <v>14217</v>
      </c>
      <c r="C3981" t="s">
        <v>14218</v>
      </c>
      <c r="D3981" t="s">
        <v>0</v>
      </c>
      <c r="E3981" t="s">
        <v>271</v>
      </c>
      <c r="F3981" t="s">
        <v>356</v>
      </c>
    </row>
    <row r="3982" spans="1:6" x14ac:dyDescent="0.25">
      <c r="A3982" t="s">
        <v>14219</v>
      </c>
      <c r="B3982" t="s">
        <v>14220</v>
      </c>
      <c r="C3982" t="s">
        <v>14221</v>
      </c>
      <c r="D3982" t="s">
        <v>1806</v>
      </c>
      <c r="E3982" t="s">
        <v>271</v>
      </c>
      <c r="F3982" t="s">
        <v>1805</v>
      </c>
    </row>
    <row r="3983" spans="1:6" x14ac:dyDescent="0.25">
      <c r="A3983" t="s">
        <v>931</v>
      </c>
      <c r="B3983" t="s">
        <v>932</v>
      </c>
      <c r="C3983" t="s">
        <v>933</v>
      </c>
      <c r="D3983" t="s">
        <v>222</v>
      </c>
      <c r="E3983" t="s">
        <v>271</v>
      </c>
      <c r="F3983" t="s">
        <v>313</v>
      </c>
    </row>
    <row r="3984" spans="1:6" x14ac:dyDescent="0.25">
      <c r="A3984" t="s">
        <v>14222</v>
      </c>
      <c r="B3984" t="s">
        <v>14223</v>
      </c>
      <c r="C3984" t="s">
        <v>14224</v>
      </c>
      <c r="D3984" t="s">
        <v>361</v>
      </c>
      <c r="E3984" t="s">
        <v>271</v>
      </c>
      <c r="F3984" t="s">
        <v>1563</v>
      </c>
    </row>
    <row r="3985" spans="1:6" x14ac:dyDescent="0.25">
      <c r="A3985" t="s">
        <v>2476</v>
      </c>
      <c r="B3985" t="s">
        <v>2477</v>
      </c>
      <c r="C3985" t="s">
        <v>2478</v>
      </c>
      <c r="D3985" t="s">
        <v>0</v>
      </c>
      <c r="E3985" t="s">
        <v>271</v>
      </c>
      <c r="F3985" t="s">
        <v>881</v>
      </c>
    </row>
    <row r="3986" spans="1:6" x14ac:dyDescent="0.25">
      <c r="A3986" t="s">
        <v>913</v>
      </c>
      <c r="B3986" t="s">
        <v>914</v>
      </c>
      <c r="C3986" t="s">
        <v>917</v>
      </c>
      <c r="D3986" t="s">
        <v>916</v>
      </c>
      <c r="E3986" t="s">
        <v>271</v>
      </c>
      <c r="F3986" t="s">
        <v>915</v>
      </c>
    </row>
    <row r="3987" spans="1:6" x14ac:dyDescent="0.25">
      <c r="A3987" t="s">
        <v>14225</v>
      </c>
      <c r="B3987" t="s">
        <v>14226</v>
      </c>
      <c r="C3987" t="s">
        <v>14227</v>
      </c>
      <c r="D3987" t="s">
        <v>817</v>
      </c>
      <c r="E3987" t="s">
        <v>271</v>
      </c>
      <c r="F3987" t="s">
        <v>816</v>
      </c>
    </row>
    <row r="3988" spans="1:6" x14ac:dyDescent="0.25">
      <c r="A3988" t="s">
        <v>3069</v>
      </c>
      <c r="B3988" t="s">
        <v>3070</v>
      </c>
      <c r="C3988" t="s">
        <v>3071</v>
      </c>
      <c r="D3988" t="s">
        <v>1303</v>
      </c>
      <c r="E3988" t="s">
        <v>269</v>
      </c>
      <c r="F3988" t="s">
        <v>1302</v>
      </c>
    </row>
    <row r="3989" spans="1:6" x14ac:dyDescent="0.25">
      <c r="A3989" t="s">
        <v>14228</v>
      </c>
      <c r="B3989" t="s">
        <v>554</v>
      </c>
      <c r="C3989" t="s">
        <v>14229</v>
      </c>
      <c r="D3989" t="s">
        <v>0</v>
      </c>
      <c r="E3989" t="s">
        <v>271</v>
      </c>
      <c r="F3989" t="s">
        <v>356</v>
      </c>
    </row>
    <row r="3990" spans="1:6" x14ac:dyDescent="0.25">
      <c r="A3990" t="s">
        <v>14230</v>
      </c>
      <c r="B3990" t="s">
        <v>14231</v>
      </c>
      <c r="C3990" t="s">
        <v>14232</v>
      </c>
      <c r="D3990" t="s">
        <v>0</v>
      </c>
      <c r="E3990" t="s">
        <v>271</v>
      </c>
      <c r="F3990" t="s">
        <v>436</v>
      </c>
    </row>
    <row r="3991" spans="1:6" x14ac:dyDescent="0.25">
      <c r="A3991" t="s">
        <v>14233</v>
      </c>
      <c r="B3991" t="s">
        <v>14234</v>
      </c>
      <c r="C3991" t="s">
        <v>14235</v>
      </c>
      <c r="D3991" t="s">
        <v>530</v>
      </c>
      <c r="E3991" t="s">
        <v>271</v>
      </c>
      <c r="F3991" t="s">
        <v>368</v>
      </c>
    </row>
    <row r="3992" spans="1:6" x14ac:dyDescent="0.25">
      <c r="A3992" t="s">
        <v>14236</v>
      </c>
      <c r="B3992" t="s">
        <v>14237</v>
      </c>
      <c r="C3992" t="s">
        <v>14238</v>
      </c>
      <c r="D3992" t="s">
        <v>2589</v>
      </c>
      <c r="E3992" t="s">
        <v>271</v>
      </c>
      <c r="F3992" t="s">
        <v>2588</v>
      </c>
    </row>
    <row r="3993" spans="1:6" x14ac:dyDescent="0.25">
      <c r="A3993" t="s">
        <v>14239</v>
      </c>
      <c r="B3993" t="s">
        <v>14240</v>
      </c>
      <c r="C3993" t="s">
        <v>14241</v>
      </c>
      <c r="D3993" t="s">
        <v>340</v>
      </c>
      <c r="E3993" t="s">
        <v>271</v>
      </c>
      <c r="F3993" t="s">
        <v>317</v>
      </c>
    </row>
    <row r="3994" spans="1:6" x14ac:dyDescent="0.25">
      <c r="A3994" t="s">
        <v>14242</v>
      </c>
      <c r="B3994" t="s">
        <v>14243</v>
      </c>
      <c r="C3994" t="s">
        <v>6539</v>
      </c>
      <c r="D3994" t="s">
        <v>0</v>
      </c>
      <c r="E3994" t="s">
        <v>271</v>
      </c>
      <c r="F3994" t="s">
        <v>325</v>
      </c>
    </row>
    <row r="3995" spans="1:6" x14ac:dyDescent="0.25">
      <c r="A3995" t="s">
        <v>14244</v>
      </c>
      <c r="B3995" t="s">
        <v>14245</v>
      </c>
      <c r="C3995" t="s">
        <v>14246</v>
      </c>
      <c r="D3995" t="s">
        <v>1559</v>
      </c>
      <c r="E3995" t="s">
        <v>271</v>
      </c>
      <c r="F3995" t="s">
        <v>1558</v>
      </c>
    </row>
    <row r="3996" spans="1:6" x14ac:dyDescent="0.25">
      <c r="A3996" t="s">
        <v>2796</v>
      </c>
      <c r="B3996" t="s">
        <v>2797</v>
      </c>
      <c r="C3996" t="s">
        <v>2798</v>
      </c>
      <c r="D3996" t="s">
        <v>1609</v>
      </c>
      <c r="E3996" t="s">
        <v>271</v>
      </c>
      <c r="F3996" t="s">
        <v>1608</v>
      </c>
    </row>
    <row r="3997" spans="1:6" x14ac:dyDescent="0.25">
      <c r="A3997" t="s">
        <v>1883</v>
      </c>
      <c r="B3997" t="s">
        <v>1884</v>
      </c>
      <c r="C3997" t="s">
        <v>1885</v>
      </c>
      <c r="D3997" t="s">
        <v>361</v>
      </c>
      <c r="E3997" t="s">
        <v>271</v>
      </c>
      <c r="F3997" t="s">
        <v>1563</v>
      </c>
    </row>
    <row r="3998" spans="1:6" x14ac:dyDescent="0.25">
      <c r="A3998" t="s">
        <v>14247</v>
      </c>
      <c r="B3998" t="s">
        <v>14248</v>
      </c>
      <c r="C3998" t="s">
        <v>14249</v>
      </c>
      <c r="D3998" t="s">
        <v>0</v>
      </c>
      <c r="E3998" t="s">
        <v>271</v>
      </c>
      <c r="F3998" t="s">
        <v>658</v>
      </c>
    </row>
    <row r="3999" spans="1:6" x14ac:dyDescent="0.25">
      <c r="A3999" t="s">
        <v>14250</v>
      </c>
      <c r="B3999" t="s">
        <v>14251</v>
      </c>
      <c r="C3999" t="s">
        <v>14252</v>
      </c>
      <c r="D3999" t="s">
        <v>0</v>
      </c>
      <c r="E3999" t="s">
        <v>271</v>
      </c>
      <c r="F3999" t="s">
        <v>432</v>
      </c>
    </row>
    <row r="4000" spans="1:6" x14ac:dyDescent="0.25">
      <c r="A4000" t="s">
        <v>14253</v>
      </c>
      <c r="B4000" t="s">
        <v>14254</v>
      </c>
      <c r="C4000" t="s">
        <v>14255</v>
      </c>
      <c r="D4000" t="s">
        <v>0</v>
      </c>
      <c r="E4000" t="s">
        <v>271</v>
      </c>
      <c r="F4000" t="s">
        <v>319</v>
      </c>
    </row>
    <row r="4001" spans="1:6" x14ac:dyDescent="0.25">
      <c r="A4001" t="s">
        <v>14256</v>
      </c>
      <c r="B4001" t="s">
        <v>14257</v>
      </c>
      <c r="C4001" t="s">
        <v>14258</v>
      </c>
      <c r="D4001" t="s">
        <v>616</v>
      </c>
      <c r="E4001" t="s">
        <v>271</v>
      </c>
      <c r="F4001" t="s">
        <v>1102</v>
      </c>
    </row>
    <row r="4002" spans="1:6" x14ac:dyDescent="0.25">
      <c r="A4002" t="s">
        <v>14259</v>
      </c>
      <c r="B4002" t="s">
        <v>14260</v>
      </c>
      <c r="C4002" t="s">
        <v>14261</v>
      </c>
      <c r="D4002" t="s">
        <v>0</v>
      </c>
      <c r="E4002" t="s">
        <v>271</v>
      </c>
      <c r="F4002" t="s">
        <v>709</v>
      </c>
    </row>
    <row r="4003" spans="1:6" x14ac:dyDescent="0.25">
      <c r="A4003" t="s">
        <v>14262</v>
      </c>
      <c r="B4003" t="s">
        <v>14263</v>
      </c>
      <c r="C4003" t="s">
        <v>14264</v>
      </c>
      <c r="D4003" t="s">
        <v>378</v>
      </c>
      <c r="E4003" t="s">
        <v>341</v>
      </c>
      <c r="F4003" t="s">
        <v>338</v>
      </c>
    </row>
    <row r="4004" spans="1:6" x14ac:dyDescent="0.25">
      <c r="A4004" t="s">
        <v>3167</v>
      </c>
      <c r="B4004" t="s">
        <v>3168</v>
      </c>
      <c r="C4004" t="s">
        <v>3169</v>
      </c>
      <c r="D4004" t="s">
        <v>0</v>
      </c>
      <c r="E4004" t="s">
        <v>271</v>
      </c>
      <c r="F4004" t="s">
        <v>325</v>
      </c>
    </row>
    <row r="4005" spans="1:6" x14ac:dyDescent="0.25">
      <c r="A4005" t="s">
        <v>14265</v>
      </c>
      <c r="B4005" t="s">
        <v>14266</v>
      </c>
      <c r="C4005" t="s">
        <v>14267</v>
      </c>
      <c r="D4005" t="s">
        <v>1648</v>
      </c>
      <c r="E4005" t="s">
        <v>271</v>
      </c>
      <c r="F4005" t="s">
        <v>1647</v>
      </c>
    </row>
    <row r="4006" spans="1:6" x14ac:dyDescent="0.25">
      <c r="A4006" t="s">
        <v>14268</v>
      </c>
      <c r="B4006" t="s">
        <v>14269</v>
      </c>
      <c r="C4006" t="s">
        <v>14270</v>
      </c>
      <c r="D4006" t="s">
        <v>2166</v>
      </c>
      <c r="E4006" t="s">
        <v>271</v>
      </c>
      <c r="F4006" t="s">
        <v>2165</v>
      </c>
    </row>
    <row r="4007" spans="1:6" x14ac:dyDescent="0.25">
      <c r="A4007" t="s">
        <v>2124</v>
      </c>
      <c r="B4007" t="s">
        <v>2125</v>
      </c>
      <c r="C4007" t="s">
        <v>2126</v>
      </c>
      <c r="D4007" t="s">
        <v>830</v>
      </c>
      <c r="E4007" t="s">
        <v>271</v>
      </c>
      <c r="F4007" t="s">
        <v>829</v>
      </c>
    </row>
    <row r="4008" spans="1:6" x14ac:dyDescent="0.25">
      <c r="A4008" t="s">
        <v>2964</v>
      </c>
      <c r="B4008" t="s">
        <v>2965</v>
      </c>
      <c r="C4008" t="s">
        <v>2966</v>
      </c>
      <c r="D4008" t="s">
        <v>1542</v>
      </c>
      <c r="E4008" t="s">
        <v>269</v>
      </c>
      <c r="F4008" t="s">
        <v>1541</v>
      </c>
    </row>
    <row r="4009" spans="1:6" x14ac:dyDescent="0.25">
      <c r="A4009" t="s">
        <v>14271</v>
      </c>
      <c r="B4009" t="s">
        <v>14272</v>
      </c>
      <c r="C4009" t="s">
        <v>14273</v>
      </c>
      <c r="D4009" t="s">
        <v>314</v>
      </c>
      <c r="E4009" t="s">
        <v>271</v>
      </c>
      <c r="F4009" t="s">
        <v>3081</v>
      </c>
    </row>
    <row r="4010" spans="1:6" x14ac:dyDescent="0.25">
      <c r="A4010" t="s">
        <v>14274</v>
      </c>
      <c r="B4010" t="s">
        <v>14275</v>
      </c>
      <c r="C4010" t="s">
        <v>14276</v>
      </c>
      <c r="D4010" t="s">
        <v>0</v>
      </c>
      <c r="E4010" t="s">
        <v>271</v>
      </c>
      <c r="F4010" t="s">
        <v>4378</v>
      </c>
    </row>
    <row r="4011" spans="1:6" x14ac:dyDescent="0.25">
      <c r="A4011" t="s">
        <v>14277</v>
      </c>
      <c r="B4011" t="s">
        <v>14278</v>
      </c>
      <c r="C4011" t="s">
        <v>14279</v>
      </c>
      <c r="D4011" t="s">
        <v>347</v>
      </c>
      <c r="E4011" t="s">
        <v>271</v>
      </c>
      <c r="F4011" t="s">
        <v>327</v>
      </c>
    </row>
    <row r="4012" spans="1:6" x14ac:dyDescent="0.25">
      <c r="A4012" t="s">
        <v>14280</v>
      </c>
      <c r="B4012" t="s">
        <v>14281</v>
      </c>
      <c r="C4012" t="s">
        <v>14282</v>
      </c>
      <c r="D4012" t="s">
        <v>0</v>
      </c>
      <c r="E4012" t="s">
        <v>271</v>
      </c>
      <c r="F4012" t="s">
        <v>325</v>
      </c>
    </row>
    <row r="4013" spans="1:6" x14ac:dyDescent="0.25">
      <c r="A4013" t="s">
        <v>14283</v>
      </c>
      <c r="B4013" t="s">
        <v>14284</v>
      </c>
      <c r="C4013" t="s">
        <v>14285</v>
      </c>
      <c r="D4013" t="s">
        <v>0</v>
      </c>
      <c r="E4013" t="s">
        <v>271</v>
      </c>
      <c r="F4013" t="s">
        <v>4402</v>
      </c>
    </row>
    <row r="4014" spans="1:6" x14ac:dyDescent="0.25">
      <c r="A4014" t="s">
        <v>14286</v>
      </c>
      <c r="B4014" t="s">
        <v>14287</v>
      </c>
      <c r="C4014" t="s">
        <v>14288</v>
      </c>
      <c r="D4014" t="s">
        <v>1683</v>
      </c>
      <c r="E4014" t="s">
        <v>271</v>
      </c>
      <c r="F4014" t="s">
        <v>996</v>
      </c>
    </row>
    <row r="4015" spans="1:6" x14ac:dyDescent="0.25">
      <c r="A4015" t="s">
        <v>14289</v>
      </c>
      <c r="B4015" t="s">
        <v>14290</v>
      </c>
      <c r="C4015" t="s">
        <v>14291</v>
      </c>
      <c r="D4015" t="s">
        <v>1683</v>
      </c>
      <c r="E4015" t="s">
        <v>271</v>
      </c>
      <c r="F4015" t="s">
        <v>996</v>
      </c>
    </row>
    <row r="4016" spans="1:6" x14ac:dyDescent="0.25">
      <c r="A4016" t="s">
        <v>14292</v>
      </c>
      <c r="B4016" t="s">
        <v>14293</v>
      </c>
      <c r="C4016" t="s">
        <v>14294</v>
      </c>
      <c r="D4016" t="s">
        <v>1337</v>
      </c>
      <c r="E4016" t="s">
        <v>271</v>
      </c>
      <c r="F4016" t="s">
        <v>1336</v>
      </c>
    </row>
    <row r="4017" spans="1:6" x14ac:dyDescent="0.25">
      <c r="A4017" t="s">
        <v>3185</v>
      </c>
      <c r="B4017" t="s">
        <v>3186</v>
      </c>
      <c r="C4017" t="s">
        <v>3187</v>
      </c>
      <c r="D4017" t="s">
        <v>510</v>
      </c>
      <c r="E4017" t="s">
        <v>271</v>
      </c>
      <c r="F4017" t="s">
        <v>437</v>
      </c>
    </row>
    <row r="4018" spans="1:6" x14ac:dyDescent="0.25">
      <c r="A4018" t="s">
        <v>14295</v>
      </c>
      <c r="B4018" t="s">
        <v>14296</v>
      </c>
      <c r="C4018" t="s">
        <v>14297</v>
      </c>
      <c r="D4018" t="s">
        <v>246</v>
      </c>
      <c r="E4018" t="s">
        <v>271</v>
      </c>
      <c r="F4018" t="s">
        <v>426</v>
      </c>
    </row>
    <row r="4019" spans="1:6" x14ac:dyDescent="0.25">
      <c r="A4019" t="s">
        <v>14298</v>
      </c>
      <c r="B4019" t="s">
        <v>14299</v>
      </c>
      <c r="C4019" t="s">
        <v>14300</v>
      </c>
      <c r="D4019" t="s">
        <v>2488</v>
      </c>
      <c r="E4019" t="s">
        <v>269</v>
      </c>
      <c r="F4019" t="s">
        <v>4397</v>
      </c>
    </row>
    <row r="4020" spans="1:6" x14ac:dyDescent="0.25">
      <c r="A4020" t="s">
        <v>14301</v>
      </c>
      <c r="B4020" t="s">
        <v>14302</v>
      </c>
      <c r="C4020" t="s">
        <v>14303</v>
      </c>
      <c r="D4020" t="s">
        <v>1638</v>
      </c>
      <c r="E4020" t="s">
        <v>271</v>
      </c>
      <c r="F4020" t="s">
        <v>1637</v>
      </c>
    </row>
    <row r="4021" spans="1:6" x14ac:dyDescent="0.25">
      <c r="A4021" t="s">
        <v>3610</v>
      </c>
      <c r="B4021" t="s">
        <v>3611</v>
      </c>
      <c r="C4021" t="s">
        <v>3612</v>
      </c>
      <c r="D4021" t="s">
        <v>1915</v>
      </c>
      <c r="E4021" t="s">
        <v>269</v>
      </c>
      <c r="F4021" t="s">
        <v>1914</v>
      </c>
    </row>
    <row r="4022" spans="1:6" x14ac:dyDescent="0.25">
      <c r="A4022" t="s">
        <v>2184</v>
      </c>
      <c r="B4022" t="s">
        <v>2185</v>
      </c>
      <c r="C4022" t="s">
        <v>2186</v>
      </c>
      <c r="D4022" t="s">
        <v>245</v>
      </c>
      <c r="E4022" t="s">
        <v>271</v>
      </c>
      <c r="F4022" t="s">
        <v>413</v>
      </c>
    </row>
    <row r="4023" spans="1:6" x14ac:dyDescent="0.25">
      <c r="A4023" t="s">
        <v>3039</v>
      </c>
      <c r="B4023" t="s">
        <v>3040</v>
      </c>
      <c r="C4023" t="s">
        <v>3041</v>
      </c>
      <c r="D4023" t="s">
        <v>345</v>
      </c>
      <c r="E4023" t="s">
        <v>269</v>
      </c>
      <c r="F4023" t="s">
        <v>684</v>
      </c>
    </row>
    <row r="4024" spans="1:6" x14ac:dyDescent="0.25">
      <c r="A4024" t="s">
        <v>14304</v>
      </c>
      <c r="B4024" t="s">
        <v>14305</v>
      </c>
      <c r="C4024" t="s">
        <v>14306</v>
      </c>
      <c r="D4024" t="s">
        <v>1126</v>
      </c>
      <c r="E4024" t="s">
        <v>271</v>
      </c>
      <c r="F4024" t="s">
        <v>1125</v>
      </c>
    </row>
    <row r="4025" spans="1:6" x14ac:dyDescent="0.25">
      <c r="A4025" t="s">
        <v>14307</v>
      </c>
      <c r="B4025" t="s">
        <v>14308</v>
      </c>
      <c r="C4025" t="s">
        <v>14309</v>
      </c>
      <c r="D4025" t="s">
        <v>482</v>
      </c>
      <c r="E4025" t="s">
        <v>271</v>
      </c>
      <c r="F4025" t="s">
        <v>483</v>
      </c>
    </row>
    <row r="4026" spans="1:6" x14ac:dyDescent="0.25">
      <c r="A4026" t="s">
        <v>14310</v>
      </c>
      <c r="B4026" t="s">
        <v>14311</v>
      </c>
      <c r="C4026" t="s">
        <v>14312</v>
      </c>
      <c r="D4026" t="s">
        <v>498</v>
      </c>
      <c r="E4026" t="s">
        <v>271</v>
      </c>
      <c r="F4026" t="s">
        <v>926</v>
      </c>
    </row>
    <row r="4027" spans="1:6" x14ac:dyDescent="0.25">
      <c r="A4027" t="s">
        <v>2357</v>
      </c>
      <c r="B4027" t="s">
        <v>2358</v>
      </c>
      <c r="C4027" t="s">
        <v>2359</v>
      </c>
      <c r="D4027" t="s">
        <v>845</v>
      </c>
      <c r="E4027" t="s">
        <v>271</v>
      </c>
      <c r="F4027" t="s">
        <v>844</v>
      </c>
    </row>
    <row r="4028" spans="1:6" x14ac:dyDescent="0.25">
      <c r="A4028" t="s">
        <v>14313</v>
      </c>
      <c r="B4028" t="s">
        <v>14314</v>
      </c>
      <c r="C4028" t="s">
        <v>14315</v>
      </c>
      <c r="D4028" t="s">
        <v>5265</v>
      </c>
      <c r="E4028" t="s">
        <v>271</v>
      </c>
      <c r="F4028" t="s">
        <v>3290</v>
      </c>
    </row>
    <row r="4029" spans="1:6" x14ac:dyDescent="0.25">
      <c r="A4029" t="s">
        <v>14316</v>
      </c>
      <c r="B4029" t="s">
        <v>8329</v>
      </c>
      <c r="C4029" t="s">
        <v>14317</v>
      </c>
      <c r="D4029" t="s">
        <v>0</v>
      </c>
      <c r="E4029" t="s">
        <v>271</v>
      </c>
      <c r="F4029" t="s">
        <v>881</v>
      </c>
    </row>
    <row r="4030" spans="1:6" x14ac:dyDescent="0.25">
      <c r="A4030" t="s">
        <v>14318</v>
      </c>
      <c r="B4030" t="s">
        <v>513</v>
      </c>
      <c r="C4030" t="s">
        <v>14319</v>
      </c>
      <c r="D4030" t="s">
        <v>578</v>
      </c>
      <c r="E4030" t="s">
        <v>271</v>
      </c>
      <c r="F4030" t="s">
        <v>321</v>
      </c>
    </row>
    <row r="4031" spans="1:6" x14ac:dyDescent="0.25">
      <c r="A4031" t="s">
        <v>14320</v>
      </c>
      <c r="B4031" t="s">
        <v>11122</v>
      </c>
      <c r="C4031" t="s">
        <v>14321</v>
      </c>
      <c r="D4031" t="s">
        <v>0</v>
      </c>
      <c r="E4031" t="s">
        <v>271</v>
      </c>
      <c r="F4031" t="s">
        <v>325</v>
      </c>
    </row>
    <row r="4032" spans="1:6" x14ac:dyDescent="0.25">
      <c r="A4032" t="s">
        <v>14322</v>
      </c>
      <c r="B4032" t="s">
        <v>14323</v>
      </c>
      <c r="C4032" t="s">
        <v>14324</v>
      </c>
      <c r="D4032" t="s">
        <v>466</v>
      </c>
      <c r="E4032" t="s">
        <v>271</v>
      </c>
      <c r="F4032" t="s">
        <v>434</v>
      </c>
    </row>
    <row r="4033" spans="1:6" x14ac:dyDescent="0.25">
      <c r="A4033" t="s">
        <v>14325</v>
      </c>
      <c r="B4033" t="s">
        <v>1735</v>
      </c>
      <c r="C4033" t="s">
        <v>14326</v>
      </c>
      <c r="D4033" t="s">
        <v>237</v>
      </c>
      <c r="E4033" t="s">
        <v>271</v>
      </c>
      <c r="F4033" t="s">
        <v>427</v>
      </c>
    </row>
    <row r="4034" spans="1:6" x14ac:dyDescent="0.25">
      <c r="A4034" t="s">
        <v>14327</v>
      </c>
      <c r="B4034" t="s">
        <v>14328</v>
      </c>
      <c r="C4034" t="s">
        <v>14329</v>
      </c>
      <c r="D4034" t="s">
        <v>598</v>
      </c>
      <c r="E4034" t="s">
        <v>271</v>
      </c>
      <c r="F4034" t="s">
        <v>599</v>
      </c>
    </row>
    <row r="4035" spans="1:6" x14ac:dyDescent="0.25">
      <c r="A4035" t="s">
        <v>14330</v>
      </c>
      <c r="B4035" t="s">
        <v>14331</v>
      </c>
      <c r="C4035" t="s">
        <v>14332</v>
      </c>
      <c r="D4035" t="s">
        <v>617</v>
      </c>
      <c r="E4035" t="s">
        <v>271</v>
      </c>
      <c r="F4035" t="s">
        <v>438</v>
      </c>
    </row>
    <row r="4036" spans="1:6" x14ac:dyDescent="0.25">
      <c r="A4036" t="s">
        <v>14333</v>
      </c>
      <c r="B4036" t="s">
        <v>14334</v>
      </c>
      <c r="C4036" t="s">
        <v>14335</v>
      </c>
      <c r="D4036" t="s">
        <v>0</v>
      </c>
      <c r="E4036" t="s">
        <v>271</v>
      </c>
      <c r="F4036" t="s">
        <v>325</v>
      </c>
    </row>
    <row r="4037" spans="1:6" x14ac:dyDescent="0.25">
      <c r="A4037" t="s">
        <v>2366</v>
      </c>
      <c r="B4037" t="s">
        <v>2367</v>
      </c>
      <c r="C4037" t="s">
        <v>2368</v>
      </c>
      <c r="D4037" t="s">
        <v>530</v>
      </c>
      <c r="E4037" t="s">
        <v>271</v>
      </c>
      <c r="F4037" t="s">
        <v>368</v>
      </c>
    </row>
    <row r="4038" spans="1:6" x14ac:dyDescent="0.25">
      <c r="A4038" t="s">
        <v>14336</v>
      </c>
      <c r="B4038" t="s">
        <v>14337</v>
      </c>
      <c r="C4038" t="s">
        <v>14338</v>
      </c>
      <c r="D4038" t="s">
        <v>0</v>
      </c>
      <c r="E4038" t="s">
        <v>271</v>
      </c>
      <c r="F4038" t="s">
        <v>562</v>
      </c>
    </row>
    <row r="4039" spans="1:6" x14ac:dyDescent="0.25">
      <c r="A4039" t="s">
        <v>14339</v>
      </c>
      <c r="B4039" t="s">
        <v>14340</v>
      </c>
      <c r="C4039" t="s">
        <v>14341</v>
      </c>
      <c r="D4039" t="s">
        <v>1079</v>
      </c>
      <c r="E4039" t="s">
        <v>271</v>
      </c>
      <c r="F4039" t="s">
        <v>1078</v>
      </c>
    </row>
    <row r="4040" spans="1:6" x14ac:dyDescent="0.25">
      <c r="A4040" t="s">
        <v>14342</v>
      </c>
      <c r="B4040" t="s">
        <v>14343</v>
      </c>
      <c r="C4040" t="s">
        <v>14344</v>
      </c>
      <c r="D4040" t="s">
        <v>0</v>
      </c>
      <c r="E4040" t="s">
        <v>271</v>
      </c>
      <c r="F4040" t="s">
        <v>356</v>
      </c>
    </row>
    <row r="4041" spans="1:6" x14ac:dyDescent="0.25">
      <c r="A4041" t="s">
        <v>14345</v>
      </c>
      <c r="B4041" t="s">
        <v>14346</v>
      </c>
      <c r="C4041" t="s">
        <v>14347</v>
      </c>
      <c r="D4041" t="s">
        <v>0</v>
      </c>
      <c r="E4041" t="s">
        <v>271</v>
      </c>
      <c r="F4041" t="s">
        <v>356</v>
      </c>
    </row>
    <row r="4042" spans="1:6" x14ac:dyDescent="0.25">
      <c r="A4042" t="s">
        <v>14348</v>
      </c>
      <c r="B4042" t="s">
        <v>14349</v>
      </c>
      <c r="C4042" t="s">
        <v>14350</v>
      </c>
      <c r="D4042" t="s">
        <v>510</v>
      </c>
      <c r="E4042" t="s">
        <v>271</v>
      </c>
      <c r="F4042" t="s">
        <v>1829</v>
      </c>
    </row>
    <row r="4043" spans="1:6" x14ac:dyDescent="0.25">
      <c r="A4043" t="s">
        <v>14351</v>
      </c>
      <c r="B4043" t="s">
        <v>14352</v>
      </c>
      <c r="C4043" t="s">
        <v>14353</v>
      </c>
      <c r="D4043" t="s">
        <v>314</v>
      </c>
      <c r="E4043" t="s">
        <v>271</v>
      </c>
      <c r="F4043" t="s">
        <v>370</v>
      </c>
    </row>
    <row r="4044" spans="1:6" x14ac:dyDescent="0.25">
      <c r="A4044" t="s">
        <v>14354</v>
      </c>
      <c r="B4044" t="s">
        <v>14355</v>
      </c>
      <c r="C4044" t="s">
        <v>14356</v>
      </c>
      <c r="D4044" t="s">
        <v>0</v>
      </c>
      <c r="E4044" t="s">
        <v>271</v>
      </c>
      <c r="F4044" t="s">
        <v>325</v>
      </c>
    </row>
    <row r="4045" spans="1:6" x14ac:dyDescent="0.25">
      <c r="A4045" t="s">
        <v>14357</v>
      </c>
      <c r="B4045" t="s">
        <v>14358</v>
      </c>
      <c r="C4045" t="s">
        <v>14359</v>
      </c>
      <c r="D4045" t="s">
        <v>1126</v>
      </c>
      <c r="E4045" t="s">
        <v>271</v>
      </c>
      <c r="F4045" t="s">
        <v>1125</v>
      </c>
    </row>
    <row r="4046" spans="1:6" x14ac:dyDescent="0.25">
      <c r="A4046" t="s">
        <v>14360</v>
      </c>
      <c r="B4046" t="s">
        <v>14361</v>
      </c>
      <c r="C4046" t="s">
        <v>14063</v>
      </c>
      <c r="D4046" t="s">
        <v>4106</v>
      </c>
      <c r="E4046" t="s">
        <v>269</v>
      </c>
      <c r="F4046" t="s">
        <v>4105</v>
      </c>
    </row>
    <row r="4047" spans="1:6" x14ac:dyDescent="0.25">
      <c r="A4047" t="s">
        <v>14362</v>
      </c>
      <c r="B4047" t="s">
        <v>14363</v>
      </c>
      <c r="C4047" t="s">
        <v>14364</v>
      </c>
      <c r="D4047" t="s">
        <v>453</v>
      </c>
      <c r="E4047" t="s">
        <v>271</v>
      </c>
      <c r="F4047" t="s">
        <v>454</v>
      </c>
    </row>
    <row r="4048" spans="1:6" x14ac:dyDescent="0.25">
      <c r="A4048" t="s">
        <v>2838</v>
      </c>
      <c r="B4048" t="s">
        <v>2839</v>
      </c>
      <c r="C4048" t="s">
        <v>2840</v>
      </c>
      <c r="D4048" t="s">
        <v>0</v>
      </c>
      <c r="E4048" t="s">
        <v>271</v>
      </c>
      <c r="F4048" t="s">
        <v>1180</v>
      </c>
    </row>
    <row r="4049" spans="1:6" x14ac:dyDescent="0.25">
      <c r="A4049" t="s">
        <v>14365</v>
      </c>
      <c r="B4049" t="s">
        <v>13295</v>
      </c>
      <c r="C4049" t="s">
        <v>14366</v>
      </c>
      <c r="D4049" t="s">
        <v>14367</v>
      </c>
      <c r="E4049" t="s">
        <v>271</v>
      </c>
      <c r="F4049" t="s">
        <v>14368</v>
      </c>
    </row>
    <row r="4050" spans="1:6" x14ac:dyDescent="0.25">
      <c r="A4050" t="s">
        <v>14369</v>
      </c>
      <c r="B4050" t="s">
        <v>14370</v>
      </c>
      <c r="C4050" t="s">
        <v>14371</v>
      </c>
      <c r="D4050" t="s">
        <v>1303</v>
      </c>
      <c r="E4050" t="s">
        <v>269</v>
      </c>
      <c r="F4050" t="s">
        <v>1302</v>
      </c>
    </row>
    <row r="4051" spans="1:6" x14ac:dyDescent="0.25">
      <c r="A4051" t="s">
        <v>14372</v>
      </c>
      <c r="B4051" t="s">
        <v>14373</v>
      </c>
      <c r="C4051" t="s">
        <v>14374</v>
      </c>
      <c r="D4051" t="s">
        <v>0</v>
      </c>
      <c r="E4051" t="s">
        <v>271</v>
      </c>
      <c r="F4051" t="s">
        <v>726</v>
      </c>
    </row>
    <row r="4052" spans="1:6" x14ac:dyDescent="0.25">
      <c r="A4052" t="s">
        <v>14375</v>
      </c>
      <c r="B4052" t="s">
        <v>9754</v>
      </c>
      <c r="C4052" t="s">
        <v>14376</v>
      </c>
      <c r="D4052" t="s">
        <v>2667</v>
      </c>
      <c r="E4052" t="s">
        <v>271</v>
      </c>
      <c r="F4052" t="s">
        <v>2666</v>
      </c>
    </row>
    <row r="4053" spans="1:6" x14ac:dyDescent="0.25">
      <c r="A4053" t="s">
        <v>14377</v>
      </c>
      <c r="B4053" t="s">
        <v>14378</v>
      </c>
      <c r="C4053" t="s">
        <v>14379</v>
      </c>
      <c r="D4053" t="s">
        <v>610</v>
      </c>
      <c r="E4053" t="s">
        <v>271</v>
      </c>
      <c r="F4053" t="s">
        <v>611</v>
      </c>
    </row>
    <row r="4054" spans="1:6" x14ac:dyDescent="0.25">
      <c r="A4054" t="s">
        <v>2409</v>
      </c>
      <c r="B4054" t="s">
        <v>2410</v>
      </c>
      <c r="C4054" t="s">
        <v>2411</v>
      </c>
      <c r="D4054" t="s">
        <v>0</v>
      </c>
      <c r="E4054" t="s">
        <v>271</v>
      </c>
      <c r="F4054" t="s">
        <v>356</v>
      </c>
    </row>
    <row r="4055" spans="1:6" x14ac:dyDescent="0.25">
      <c r="A4055" t="s">
        <v>14380</v>
      </c>
      <c r="B4055" t="s">
        <v>14381</v>
      </c>
      <c r="C4055" t="s">
        <v>14382</v>
      </c>
      <c r="D4055" t="s">
        <v>0</v>
      </c>
      <c r="E4055" t="s">
        <v>271</v>
      </c>
      <c r="F4055" t="s">
        <v>809</v>
      </c>
    </row>
    <row r="4056" spans="1:6" x14ac:dyDescent="0.25">
      <c r="A4056" t="s">
        <v>14383</v>
      </c>
      <c r="B4056" t="s">
        <v>14384</v>
      </c>
      <c r="C4056" t="s">
        <v>14385</v>
      </c>
      <c r="D4056" t="s">
        <v>0</v>
      </c>
      <c r="E4056" t="s">
        <v>271</v>
      </c>
      <c r="F4056" t="s">
        <v>1011</v>
      </c>
    </row>
    <row r="4057" spans="1:6" x14ac:dyDescent="0.25">
      <c r="A4057" t="s">
        <v>14386</v>
      </c>
      <c r="B4057" t="s">
        <v>14387</v>
      </c>
      <c r="C4057" t="s">
        <v>14388</v>
      </c>
      <c r="D4057" t="s">
        <v>871</v>
      </c>
      <c r="E4057" t="s">
        <v>271</v>
      </c>
      <c r="F4057" t="s">
        <v>870</v>
      </c>
    </row>
    <row r="4058" spans="1:6" x14ac:dyDescent="0.25">
      <c r="A4058" t="s">
        <v>14389</v>
      </c>
      <c r="B4058" t="s">
        <v>14390</v>
      </c>
      <c r="C4058" t="s">
        <v>14391</v>
      </c>
      <c r="D4058" t="s">
        <v>817</v>
      </c>
      <c r="E4058" t="s">
        <v>271</v>
      </c>
      <c r="F4058" t="s">
        <v>816</v>
      </c>
    </row>
    <row r="4059" spans="1:6" x14ac:dyDescent="0.25">
      <c r="A4059" t="s">
        <v>14392</v>
      </c>
      <c r="B4059" t="s">
        <v>14393</v>
      </c>
      <c r="C4059" t="s">
        <v>14394</v>
      </c>
      <c r="D4059" t="s">
        <v>492</v>
      </c>
      <c r="E4059" t="s">
        <v>271</v>
      </c>
      <c r="F4059" t="s">
        <v>1221</v>
      </c>
    </row>
    <row r="4060" spans="1:6" x14ac:dyDescent="0.25">
      <c r="A4060" t="s">
        <v>14395</v>
      </c>
      <c r="B4060" t="s">
        <v>14396</v>
      </c>
      <c r="C4060" t="s">
        <v>14397</v>
      </c>
      <c r="D4060" t="s">
        <v>500</v>
      </c>
      <c r="E4060" t="s">
        <v>271</v>
      </c>
      <c r="F4060" t="s">
        <v>501</v>
      </c>
    </row>
    <row r="4061" spans="1:6" x14ac:dyDescent="0.25">
      <c r="A4061" t="s">
        <v>14398</v>
      </c>
      <c r="B4061" t="s">
        <v>14399</v>
      </c>
      <c r="C4061" t="s">
        <v>14400</v>
      </c>
      <c r="D4061" t="s">
        <v>0</v>
      </c>
      <c r="E4061" t="s">
        <v>271</v>
      </c>
      <c r="F4061" t="s">
        <v>562</v>
      </c>
    </row>
    <row r="4062" spans="1:6" x14ac:dyDescent="0.25">
      <c r="A4062" t="s">
        <v>14401</v>
      </c>
      <c r="B4062" t="s">
        <v>14402</v>
      </c>
      <c r="C4062" t="s">
        <v>14403</v>
      </c>
      <c r="D4062" t="s">
        <v>2024</v>
      </c>
      <c r="E4062" t="s">
        <v>271</v>
      </c>
      <c r="F4062" t="s">
        <v>428</v>
      </c>
    </row>
    <row r="4063" spans="1:6" x14ac:dyDescent="0.25">
      <c r="A4063" t="s">
        <v>14404</v>
      </c>
      <c r="B4063" t="s">
        <v>14405</v>
      </c>
      <c r="C4063" t="s">
        <v>14406</v>
      </c>
      <c r="D4063" t="s">
        <v>1609</v>
      </c>
      <c r="E4063" t="s">
        <v>271</v>
      </c>
      <c r="F4063" t="s">
        <v>1608</v>
      </c>
    </row>
    <row r="4064" spans="1:6" x14ac:dyDescent="0.25">
      <c r="A4064" t="s">
        <v>14407</v>
      </c>
      <c r="B4064" t="s">
        <v>14408</v>
      </c>
      <c r="C4064" t="s">
        <v>14409</v>
      </c>
      <c r="D4064" t="s">
        <v>14410</v>
      </c>
      <c r="E4064" t="s">
        <v>228</v>
      </c>
      <c r="F4064" t="s">
        <v>14411</v>
      </c>
    </row>
    <row r="4065" spans="1:6" x14ac:dyDescent="0.25">
      <c r="A4065" t="s">
        <v>14412</v>
      </c>
      <c r="B4065" t="s">
        <v>14413</v>
      </c>
      <c r="C4065" t="s">
        <v>14414</v>
      </c>
      <c r="D4065" t="s">
        <v>0</v>
      </c>
      <c r="E4065" t="s">
        <v>271</v>
      </c>
      <c r="F4065" t="s">
        <v>1115</v>
      </c>
    </row>
    <row r="4066" spans="1:6" x14ac:dyDescent="0.25">
      <c r="A4066" t="s">
        <v>14415</v>
      </c>
      <c r="B4066" t="s">
        <v>14416</v>
      </c>
      <c r="C4066" t="s">
        <v>600</v>
      </c>
      <c r="D4066" t="s">
        <v>793</v>
      </c>
      <c r="E4066" t="s">
        <v>271</v>
      </c>
      <c r="F4066" t="s">
        <v>792</v>
      </c>
    </row>
    <row r="4067" spans="1:6" x14ac:dyDescent="0.25">
      <c r="A4067" t="s">
        <v>14417</v>
      </c>
      <c r="B4067" t="s">
        <v>14418</v>
      </c>
      <c r="C4067" t="s">
        <v>14419</v>
      </c>
      <c r="D4067" t="s">
        <v>586</v>
      </c>
      <c r="E4067" t="s">
        <v>271</v>
      </c>
      <c r="F4067" t="s">
        <v>334</v>
      </c>
    </row>
    <row r="4068" spans="1:6" x14ac:dyDescent="0.25">
      <c r="A4068" t="s">
        <v>14420</v>
      </c>
      <c r="B4068" t="s">
        <v>14421</v>
      </c>
      <c r="C4068" t="s">
        <v>10997</v>
      </c>
      <c r="D4068" t="s">
        <v>5598</v>
      </c>
      <c r="E4068" t="s">
        <v>271</v>
      </c>
      <c r="F4068" t="s">
        <v>4427</v>
      </c>
    </row>
    <row r="4069" spans="1:6" x14ac:dyDescent="0.25">
      <c r="A4069" t="s">
        <v>14422</v>
      </c>
      <c r="B4069" t="s">
        <v>14423</v>
      </c>
      <c r="C4069" t="s">
        <v>9427</v>
      </c>
      <c r="D4069" t="s">
        <v>1743</v>
      </c>
      <c r="E4069" t="s">
        <v>269</v>
      </c>
      <c r="F4069" t="s">
        <v>1742</v>
      </c>
    </row>
    <row r="4070" spans="1:6" x14ac:dyDescent="0.25">
      <c r="A4070" t="s">
        <v>14424</v>
      </c>
      <c r="B4070" t="s">
        <v>11257</v>
      </c>
      <c r="C4070" t="s">
        <v>14425</v>
      </c>
      <c r="D4070" t="s">
        <v>2714</v>
      </c>
      <c r="E4070" t="s">
        <v>271</v>
      </c>
      <c r="F4070" t="s">
        <v>2713</v>
      </c>
    </row>
    <row r="4071" spans="1:6" x14ac:dyDescent="0.25">
      <c r="A4071" t="s">
        <v>14426</v>
      </c>
      <c r="B4071" t="s">
        <v>14427</v>
      </c>
      <c r="C4071" t="s">
        <v>14428</v>
      </c>
      <c r="D4071" t="s">
        <v>485</v>
      </c>
      <c r="E4071" t="s">
        <v>341</v>
      </c>
      <c r="F4071" t="s">
        <v>430</v>
      </c>
    </row>
    <row r="4072" spans="1:6" x14ac:dyDescent="0.25">
      <c r="A4072" t="s">
        <v>14429</v>
      </c>
      <c r="B4072" t="s">
        <v>10630</v>
      </c>
      <c r="C4072" t="s">
        <v>14430</v>
      </c>
      <c r="D4072" t="s">
        <v>0</v>
      </c>
      <c r="E4072" t="s">
        <v>271</v>
      </c>
      <c r="F4072" t="s">
        <v>1277</v>
      </c>
    </row>
    <row r="4073" spans="1:6" x14ac:dyDescent="0.25">
      <c r="A4073" t="s">
        <v>3348</v>
      </c>
      <c r="B4073" t="s">
        <v>3349</v>
      </c>
      <c r="C4073" t="s">
        <v>3350</v>
      </c>
      <c r="D4073" t="s">
        <v>1455</v>
      </c>
      <c r="E4073" t="s">
        <v>271</v>
      </c>
      <c r="F4073" t="s">
        <v>1454</v>
      </c>
    </row>
    <row r="4074" spans="1:6" x14ac:dyDescent="0.25">
      <c r="A4074" t="s">
        <v>14431</v>
      </c>
      <c r="B4074" t="s">
        <v>14432</v>
      </c>
      <c r="C4074" t="s">
        <v>14433</v>
      </c>
      <c r="D4074" t="s">
        <v>1165</v>
      </c>
      <c r="E4074" t="s">
        <v>271</v>
      </c>
      <c r="F4074" t="s">
        <v>1164</v>
      </c>
    </row>
    <row r="4075" spans="1:6" x14ac:dyDescent="0.25">
      <c r="A4075" t="s">
        <v>950</v>
      </c>
      <c r="B4075" t="s">
        <v>951</v>
      </c>
      <c r="C4075" t="s">
        <v>953</v>
      </c>
      <c r="D4075" t="s">
        <v>466</v>
      </c>
      <c r="E4075" t="s">
        <v>271</v>
      </c>
      <c r="F4075" t="s">
        <v>434</v>
      </c>
    </row>
    <row r="4076" spans="1:6" x14ac:dyDescent="0.25">
      <c r="A4076" t="s">
        <v>14434</v>
      </c>
      <c r="B4076" t="s">
        <v>14435</v>
      </c>
      <c r="C4076" t="s">
        <v>14436</v>
      </c>
      <c r="D4076" t="s">
        <v>14437</v>
      </c>
      <c r="E4076" t="s">
        <v>269</v>
      </c>
      <c r="F4076" t="s">
        <v>14438</v>
      </c>
    </row>
    <row r="4077" spans="1:6" x14ac:dyDescent="0.25">
      <c r="A4077" t="s">
        <v>14439</v>
      </c>
      <c r="B4077" t="s">
        <v>14440</v>
      </c>
      <c r="C4077" t="s">
        <v>6281</v>
      </c>
      <c r="D4077" t="s">
        <v>0</v>
      </c>
      <c r="E4077" t="s">
        <v>271</v>
      </c>
      <c r="F4077" t="s">
        <v>731</v>
      </c>
    </row>
    <row r="4078" spans="1:6" x14ac:dyDescent="0.25">
      <c r="A4078" t="s">
        <v>14441</v>
      </c>
      <c r="B4078" t="s">
        <v>14442</v>
      </c>
      <c r="C4078" t="s">
        <v>14443</v>
      </c>
      <c r="D4078" t="s">
        <v>5890</v>
      </c>
      <c r="E4078" t="s">
        <v>271</v>
      </c>
      <c r="F4078" t="s">
        <v>4422</v>
      </c>
    </row>
    <row r="4079" spans="1:6" x14ac:dyDescent="0.25">
      <c r="A4079" t="s">
        <v>14444</v>
      </c>
      <c r="B4079" t="s">
        <v>14445</v>
      </c>
      <c r="C4079" t="s">
        <v>14446</v>
      </c>
      <c r="D4079" t="s">
        <v>0</v>
      </c>
      <c r="E4079" t="s">
        <v>271</v>
      </c>
      <c r="F4079" t="s">
        <v>3672</v>
      </c>
    </row>
    <row r="4080" spans="1:6" x14ac:dyDescent="0.25">
      <c r="A4080" t="s">
        <v>14447</v>
      </c>
      <c r="B4080" t="s">
        <v>285</v>
      </c>
      <c r="C4080" t="s">
        <v>14448</v>
      </c>
      <c r="D4080" t="s">
        <v>312</v>
      </c>
      <c r="E4080" t="s">
        <v>271</v>
      </c>
      <c r="F4080" t="s">
        <v>311</v>
      </c>
    </row>
    <row r="4081" spans="1:6" x14ac:dyDescent="0.25">
      <c r="A4081" t="s">
        <v>14449</v>
      </c>
      <c r="B4081" t="s">
        <v>14450</v>
      </c>
      <c r="C4081" t="s">
        <v>14451</v>
      </c>
      <c r="D4081" t="s">
        <v>3378</v>
      </c>
      <c r="E4081" t="s">
        <v>271</v>
      </c>
      <c r="F4081" t="s">
        <v>3377</v>
      </c>
    </row>
    <row r="4082" spans="1:6" x14ac:dyDescent="0.25">
      <c r="A4082" t="s">
        <v>14452</v>
      </c>
      <c r="B4082" t="s">
        <v>564</v>
      </c>
      <c r="C4082" t="s">
        <v>14453</v>
      </c>
      <c r="D4082" t="s">
        <v>556</v>
      </c>
      <c r="E4082" t="s">
        <v>271</v>
      </c>
      <c r="F4082" t="s">
        <v>1567</v>
      </c>
    </row>
    <row r="4083" spans="1:6" x14ac:dyDescent="0.25">
      <c r="A4083" t="s">
        <v>14454</v>
      </c>
      <c r="B4083" t="s">
        <v>5027</v>
      </c>
      <c r="C4083" t="s">
        <v>5028</v>
      </c>
      <c r="D4083" t="s">
        <v>1915</v>
      </c>
      <c r="E4083" t="s">
        <v>269</v>
      </c>
      <c r="F4083" t="s">
        <v>1914</v>
      </c>
    </row>
    <row r="4084" spans="1:6" x14ac:dyDescent="0.25">
      <c r="A4084" t="s">
        <v>2309</v>
      </c>
      <c r="B4084" t="s">
        <v>2310</v>
      </c>
      <c r="C4084" t="s">
        <v>2312</v>
      </c>
      <c r="D4084" t="s">
        <v>2311</v>
      </c>
      <c r="E4084" t="s">
        <v>271</v>
      </c>
      <c r="F4084" t="s">
        <v>424</v>
      </c>
    </row>
    <row r="4085" spans="1:6" x14ac:dyDescent="0.25">
      <c r="A4085" t="s">
        <v>14455</v>
      </c>
      <c r="B4085" t="s">
        <v>14456</v>
      </c>
      <c r="C4085" t="s">
        <v>14457</v>
      </c>
      <c r="D4085" t="s">
        <v>0</v>
      </c>
      <c r="E4085" t="s">
        <v>271</v>
      </c>
      <c r="F4085" t="s">
        <v>1321</v>
      </c>
    </row>
    <row r="4086" spans="1:6" x14ac:dyDescent="0.25">
      <c r="A4086" t="s">
        <v>14458</v>
      </c>
      <c r="B4086" t="s">
        <v>14459</v>
      </c>
      <c r="C4086" t="s">
        <v>14460</v>
      </c>
      <c r="D4086" t="s">
        <v>450</v>
      </c>
      <c r="E4086" t="s">
        <v>271</v>
      </c>
      <c r="F4086" t="s">
        <v>326</v>
      </c>
    </row>
    <row r="4087" spans="1:6" x14ac:dyDescent="0.25">
      <c r="A4087" t="s">
        <v>2422</v>
      </c>
      <c r="B4087" t="s">
        <v>2423</v>
      </c>
      <c r="C4087" t="s">
        <v>2424</v>
      </c>
      <c r="D4087" t="s">
        <v>490</v>
      </c>
      <c r="E4087" t="s">
        <v>271</v>
      </c>
      <c r="F4087" t="s">
        <v>491</v>
      </c>
    </row>
    <row r="4088" spans="1:6" x14ac:dyDescent="0.25">
      <c r="A4088" t="s">
        <v>14461</v>
      </c>
      <c r="B4088" t="s">
        <v>14462</v>
      </c>
      <c r="C4088" t="s">
        <v>14463</v>
      </c>
      <c r="D4088" t="s">
        <v>361</v>
      </c>
      <c r="E4088" t="s">
        <v>271</v>
      </c>
      <c r="F4088" t="s">
        <v>582</v>
      </c>
    </row>
    <row r="4089" spans="1:6" x14ac:dyDescent="0.25">
      <c r="A4089" t="s">
        <v>2694</v>
      </c>
      <c r="B4089" t="s">
        <v>2695</v>
      </c>
      <c r="C4089" t="s">
        <v>2698</v>
      </c>
      <c r="D4089" t="s">
        <v>2697</v>
      </c>
      <c r="E4089" t="s">
        <v>271</v>
      </c>
      <c r="F4089" t="s">
        <v>2696</v>
      </c>
    </row>
    <row r="4090" spans="1:6" x14ac:dyDescent="0.25">
      <c r="A4090" t="s">
        <v>14464</v>
      </c>
      <c r="B4090" t="s">
        <v>14465</v>
      </c>
      <c r="C4090" t="s">
        <v>14466</v>
      </c>
      <c r="D4090" t="s">
        <v>474</v>
      </c>
      <c r="E4090" t="s">
        <v>271</v>
      </c>
      <c r="F4090" t="s">
        <v>475</v>
      </c>
    </row>
    <row r="4091" spans="1:6" x14ac:dyDescent="0.25">
      <c r="A4091" t="s">
        <v>1823</v>
      </c>
      <c r="B4091" t="s">
        <v>1824</v>
      </c>
      <c r="C4091" t="s">
        <v>1825</v>
      </c>
      <c r="D4091" t="s">
        <v>0</v>
      </c>
      <c r="E4091" t="s">
        <v>271</v>
      </c>
      <c r="F4091" t="s">
        <v>319</v>
      </c>
    </row>
    <row r="4092" spans="1:6" x14ac:dyDescent="0.25">
      <c r="A4092" t="s">
        <v>14467</v>
      </c>
      <c r="B4092" t="s">
        <v>14468</v>
      </c>
      <c r="C4092" t="s">
        <v>13954</v>
      </c>
      <c r="D4092" t="s">
        <v>0</v>
      </c>
      <c r="E4092" t="s">
        <v>271</v>
      </c>
      <c r="F4092" t="s">
        <v>1115</v>
      </c>
    </row>
    <row r="4093" spans="1:6" x14ac:dyDescent="0.25">
      <c r="A4093" t="s">
        <v>14469</v>
      </c>
      <c r="B4093" t="s">
        <v>14470</v>
      </c>
      <c r="C4093" t="s">
        <v>14471</v>
      </c>
      <c r="D4093" t="s">
        <v>416</v>
      </c>
      <c r="E4093" t="s">
        <v>271</v>
      </c>
      <c r="F4093" t="s">
        <v>439</v>
      </c>
    </row>
    <row r="4094" spans="1:6" x14ac:dyDescent="0.25">
      <c r="A4094" t="s">
        <v>14472</v>
      </c>
      <c r="B4094" t="s">
        <v>14473</v>
      </c>
      <c r="C4094" t="s">
        <v>14474</v>
      </c>
      <c r="D4094" t="s">
        <v>0</v>
      </c>
      <c r="E4094" t="s">
        <v>271</v>
      </c>
      <c r="F4094" t="s">
        <v>355</v>
      </c>
    </row>
    <row r="4095" spans="1:6" x14ac:dyDescent="0.25">
      <c r="A4095" t="s">
        <v>14475</v>
      </c>
      <c r="B4095" t="s">
        <v>14476</v>
      </c>
      <c r="C4095" t="s">
        <v>14477</v>
      </c>
      <c r="D4095" t="s">
        <v>220</v>
      </c>
      <c r="E4095" t="s">
        <v>271</v>
      </c>
      <c r="F4095" t="s">
        <v>14478</v>
      </c>
    </row>
    <row r="4096" spans="1:6" x14ac:dyDescent="0.25">
      <c r="A4096" t="s">
        <v>14479</v>
      </c>
      <c r="B4096" t="s">
        <v>14480</v>
      </c>
      <c r="C4096" t="s">
        <v>14481</v>
      </c>
      <c r="D4096" t="s">
        <v>3291</v>
      </c>
      <c r="E4096" t="s">
        <v>271</v>
      </c>
      <c r="F4096" t="s">
        <v>3290</v>
      </c>
    </row>
    <row r="4097" spans="1:6" x14ac:dyDescent="0.25">
      <c r="A4097" t="s">
        <v>2719</v>
      </c>
      <c r="B4097" t="s">
        <v>2720</v>
      </c>
      <c r="C4097" t="s">
        <v>2721</v>
      </c>
      <c r="D4097" t="s">
        <v>490</v>
      </c>
      <c r="E4097" t="s">
        <v>271</v>
      </c>
      <c r="F4097" t="s">
        <v>491</v>
      </c>
    </row>
    <row r="4098" spans="1:6" x14ac:dyDescent="0.25">
      <c r="A4098" t="s">
        <v>14482</v>
      </c>
      <c r="B4098" t="s">
        <v>14483</v>
      </c>
      <c r="C4098" t="s">
        <v>14484</v>
      </c>
      <c r="D4098" t="s">
        <v>0</v>
      </c>
      <c r="E4098" t="s">
        <v>271</v>
      </c>
      <c r="F4098" t="s">
        <v>1148</v>
      </c>
    </row>
    <row r="4099" spans="1:6" x14ac:dyDescent="0.25">
      <c r="A4099" t="s">
        <v>14485</v>
      </c>
      <c r="B4099" t="s">
        <v>14486</v>
      </c>
      <c r="C4099" t="s">
        <v>14487</v>
      </c>
      <c r="D4099" t="s">
        <v>1648</v>
      </c>
      <c r="E4099" t="s">
        <v>271</v>
      </c>
      <c r="F4099" t="s">
        <v>1647</v>
      </c>
    </row>
    <row r="4100" spans="1:6" x14ac:dyDescent="0.25">
      <c r="A4100" t="s">
        <v>14488</v>
      </c>
      <c r="B4100" t="s">
        <v>14489</v>
      </c>
      <c r="C4100" t="s">
        <v>7722</v>
      </c>
      <c r="D4100" t="s">
        <v>1137</v>
      </c>
      <c r="E4100" t="s">
        <v>269</v>
      </c>
      <c r="F4100" t="s">
        <v>1136</v>
      </c>
    </row>
    <row r="4101" spans="1:6" x14ac:dyDescent="0.25">
      <c r="A4101" t="s">
        <v>14490</v>
      </c>
      <c r="B4101" t="s">
        <v>14491</v>
      </c>
      <c r="C4101" t="s">
        <v>14492</v>
      </c>
      <c r="D4101" t="s">
        <v>1925</v>
      </c>
      <c r="E4101" t="s">
        <v>271</v>
      </c>
      <c r="F4101" t="s">
        <v>3332</v>
      </c>
    </row>
    <row r="4102" spans="1:6" x14ac:dyDescent="0.25">
      <c r="A4102" t="s">
        <v>14493</v>
      </c>
      <c r="B4102" t="s">
        <v>14494</v>
      </c>
      <c r="C4102" t="s">
        <v>14495</v>
      </c>
      <c r="D4102" t="s">
        <v>556</v>
      </c>
      <c r="E4102" t="s">
        <v>271</v>
      </c>
      <c r="F4102" t="s">
        <v>1567</v>
      </c>
    </row>
    <row r="4103" spans="1:6" x14ac:dyDescent="0.25">
      <c r="A4103" t="s">
        <v>14496</v>
      </c>
      <c r="B4103" t="s">
        <v>14497</v>
      </c>
      <c r="C4103" t="s">
        <v>14498</v>
      </c>
      <c r="D4103" t="s">
        <v>5591</v>
      </c>
      <c r="E4103" t="s">
        <v>269</v>
      </c>
      <c r="F4103" t="s">
        <v>1742</v>
      </c>
    </row>
    <row r="4104" spans="1:6" x14ac:dyDescent="0.25">
      <c r="A4104" t="s">
        <v>14499</v>
      </c>
      <c r="B4104" t="s">
        <v>14500</v>
      </c>
      <c r="C4104" t="s">
        <v>14501</v>
      </c>
      <c r="D4104" t="s">
        <v>1361</v>
      </c>
      <c r="E4104" t="s">
        <v>271</v>
      </c>
      <c r="F4104" t="s">
        <v>511</v>
      </c>
    </row>
    <row r="4105" spans="1:6" x14ac:dyDescent="0.25">
      <c r="A4105" t="s">
        <v>14502</v>
      </c>
      <c r="B4105" t="s">
        <v>14503</v>
      </c>
      <c r="C4105" t="s">
        <v>14504</v>
      </c>
      <c r="D4105" t="s">
        <v>1915</v>
      </c>
      <c r="E4105" t="s">
        <v>269</v>
      </c>
      <c r="F4105" t="s">
        <v>1914</v>
      </c>
    </row>
    <row r="4106" spans="1:6" x14ac:dyDescent="0.25">
      <c r="A4106" t="s">
        <v>14505</v>
      </c>
      <c r="B4106" t="s">
        <v>14506</v>
      </c>
      <c r="C4106" t="s">
        <v>14507</v>
      </c>
      <c r="D4106" t="s">
        <v>980</v>
      </c>
      <c r="E4106" t="s">
        <v>271</v>
      </c>
      <c r="F4106" t="s">
        <v>979</v>
      </c>
    </row>
    <row r="4107" spans="1:6" x14ac:dyDescent="0.25">
      <c r="A4107" t="s">
        <v>14508</v>
      </c>
      <c r="B4107" t="s">
        <v>14509</v>
      </c>
      <c r="C4107" t="s">
        <v>14510</v>
      </c>
      <c r="D4107" t="s">
        <v>0</v>
      </c>
      <c r="E4107" t="s">
        <v>271</v>
      </c>
      <c r="F4107" t="s">
        <v>575</v>
      </c>
    </row>
    <row r="4108" spans="1:6" x14ac:dyDescent="0.25">
      <c r="A4108" t="s">
        <v>14511</v>
      </c>
      <c r="B4108" t="s">
        <v>14512</v>
      </c>
      <c r="C4108" t="s">
        <v>14513</v>
      </c>
      <c r="D4108" t="s">
        <v>876</v>
      </c>
      <c r="E4108" t="s">
        <v>271</v>
      </c>
      <c r="F4108" t="s">
        <v>875</v>
      </c>
    </row>
    <row r="4109" spans="1:6" x14ac:dyDescent="0.25">
      <c r="A4109" t="s">
        <v>14514</v>
      </c>
      <c r="B4109" t="s">
        <v>14515</v>
      </c>
      <c r="C4109" t="s">
        <v>14516</v>
      </c>
      <c r="D4109" t="s">
        <v>1079</v>
      </c>
      <c r="E4109" t="s">
        <v>271</v>
      </c>
      <c r="F4109" t="s">
        <v>3880</v>
      </c>
    </row>
    <row r="4110" spans="1:6" x14ac:dyDescent="0.25">
      <c r="A4110" t="s">
        <v>14517</v>
      </c>
      <c r="B4110" t="s">
        <v>14518</v>
      </c>
      <c r="C4110" t="s">
        <v>14519</v>
      </c>
      <c r="D4110" t="s">
        <v>14520</v>
      </c>
      <c r="E4110" t="s">
        <v>271</v>
      </c>
      <c r="F4110" t="s">
        <v>14521</v>
      </c>
    </row>
    <row r="4111" spans="1:6" x14ac:dyDescent="0.25">
      <c r="A4111" t="s">
        <v>14522</v>
      </c>
      <c r="B4111" t="s">
        <v>14523</v>
      </c>
      <c r="C4111" t="s">
        <v>14524</v>
      </c>
      <c r="D4111" t="s">
        <v>0</v>
      </c>
      <c r="E4111" t="s">
        <v>271</v>
      </c>
      <c r="F4111" t="s">
        <v>2641</v>
      </c>
    </row>
    <row r="4112" spans="1:6" x14ac:dyDescent="0.25">
      <c r="A4112" t="s">
        <v>14525</v>
      </c>
      <c r="B4112" t="s">
        <v>14526</v>
      </c>
      <c r="C4112" t="s">
        <v>14527</v>
      </c>
      <c r="D4112" t="s">
        <v>1723</v>
      </c>
      <c r="E4112" t="s">
        <v>271</v>
      </c>
      <c r="F4112" t="s">
        <v>1722</v>
      </c>
    </row>
    <row r="4113" spans="1:6" x14ac:dyDescent="0.25">
      <c r="A4113" t="s">
        <v>14528</v>
      </c>
      <c r="B4113" t="s">
        <v>14529</v>
      </c>
      <c r="C4113" t="s">
        <v>14530</v>
      </c>
      <c r="D4113" t="s">
        <v>1542</v>
      </c>
      <c r="E4113" t="s">
        <v>269</v>
      </c>
      <c r="F4113" t="s">
        <v>1541</v>
      </c>
    </row>
    <row r="4114" spans="1:6" x14ac:dyDescent="0.25">
      <c r="A4114" t="s">
        <v>3248</v>
      </c>
      <c r="B4114" t="s">
        <v>3249</v>
      </c>
      <c r="C4114" t="s">
        <v>3250</v>
      </c>
      <c r="D4114" t="s">
        <v>272</v>
      </c>
      <c r="E4114" t="s">
        <v>269</v>
      </c>
      <c r="F4114" t="s">
        <v>907</v>
      </c>
    </row>
    <row r="4115" spans="1:6" x14ac:dyDescent="0.25">
      <c r="A4115" t="s">
        <v>14531</v>
      </c>
      <c r="B4115" t="s">
        <v>14532</v>
      </c>
      <c r="C4115" t="s">
        <v>14533</v>
      </c>
      <c r="D4115" t="s">
        <v>0</v>
      </c>
      <c r="E4115" t="s">
        <v>271</v>
      </c>
      <c r="F4115" t="s">
        <v>325</v>
      </c>
    </row>
    <row r="4116" spans="1:6" x14ac:dyDescent="0.25">
      <c r="A4116" t="s">
        <v>14534</v>
      </c>
      <c r="B4116" t="s">
        <v>14535</v>
      </c>
      <c r="C4116" t="s">
        <v>14536</v>
      </c>
      <c r="D4116" t="s">
        <v>0</v>
      </c>
      <c r="E4116" t="s">
        <v>271</v>
      </c>
      <c r="F4116" t="s">
        <v>2349</v>
      </c>
    </row>
    <row r="4117" spans="1:6" x14ac:dyDescent="0.25">
      <c r="A4117" t="s">
        <v>14537</v>
      </c>
      <c r="B4117" t="s">
        <v>14538</v>
      </c>
      <c r="C4117" t="s">
        <v>14539</v>
      </c>
      <c r="D4117" t="s">
        <v>1848</v>
      </c>
      <c r="E4117" t="s">
        <v>269</v>
      </c>
      <c r="F4117" t="s">
        <v>1847</v>
      </c>
    </row>
    <row r="4118" spans="1:6" x14ac:dyDescent="0.25">
      <c r="A4118" t="s">
        <v>14540</v>
      </c>
      <c r="B4118" t="s">
        <v>14541</v>
      </c>
      <c r="C4118" t="s">
        <v>14542</v>
      </c>
      <c r="D4118" t="s">
        <v>0</v>
      </c>
      <c r="E4118" t="s">
        <v>271</v>
      </c>
      <c r="F4118" t="s">
        <v>436</v>
      </c>
    </row>
    <row r="4119" spans="1:6" x14ac:dyDescent="0.25">
      <c r="A4119" t="s">
        <v>14543</v>
      </c>
      <c r="B4119" t="s">
        <v>14544</v>
      </c>
      <c r="C4119" t="s">
        <v>14545</v>
      </c>
      <c r="D4119" t="s">
        <v>0</v>
      </c>
      <c r="E4119" t="s">
        <v>271</v>
      </c>
      <c r="F4119" t="s">
        <v>325</v>
      </c>
    </row>
    <row r="4120" spans="1:6" x14ac:dyDescent="0.25">
      <c r="A4120" t="s">
        <v>14546</v>
      </c>
      <c r="B4120" t="s">
        <v>14547</v>
      </c>
      <c r="C4120" t="s">
        <v>12543</v>
      </c>
      <c r="D4120" t="s">
        <v>5591</v>
      </c>
      <c r="E4120" t="s">
        <v>269</v>
      </c>
      <c r="F4120" t="s">
        <v>1742</v>
      </c>
    </row>
    <row r="4121" spans="1:6" x14ac:dyDescent="0.25">
      <c r="A4121" t="s">
        <v>1482</v>
      </c>
      <c r="B4121" t="s">
        <v>1483</v>
      </c>
      <c r="C4121" t="s">
        <v>1486</v>
      </c>
      <c r="D4121" t="s">
        <v>1485</v>
      </c>
      <c r="E4121" t="s">
        <v>271</v>
      </c>
      <c r="F4121" t="s">
        <v>1484</v>
      </c>
    </row>
    <row r="4122" spans="1:6" x14ac:dyDescent="0.25">
      <c r="A4122" t="s">
        <v>14548</v>
      </c>
      <c r="B4122" t="s">
        <v>14549</v>
      </c>
      <c r="C4122" t="s">
        <v>14550</v>
      </c>
      <c r="D4122" t="s">
        <v>2265</v>
      </c>
      <c r="E4122" t="s">
        <v>271</v>
      </c>
      <c r="F4122" t="s">
        <v>2264</v>
      </c>
    </row>
    <row r="4123" spans="1:6" x14ac:dyDescent="0.25">
      <c r="A4123" t="s">
        <v>2799</v>
      </c>
      <c r="B4123" t="s">
        <v>2800</v>
      </c>
      <c r="C4123" t="s">
        <v>2801</v>
      </c>
      <c r="D4123" t="s">
        <v>0</v>
      </c>
      <c r="E4123" t="s">
        <v>271</v>
      </c>
      <c r="F4123" t="s">
        <v>1141</v>
      </c>
    </row>
    <row r="4124" spans="1:6" x14ac:dyDescent="0.25">
      <c r="A4124" t="s">
        <v>921</v>
      </c>
      <c r="B4124" t="s">
        <v>922</v>
      </c>
      <c r="C4124" t="s">
        <v>923</v>
      </c>
      <c r="D4124" t="s">
        <v>0</v>
      </c>
      <c r="E4124" t="s">
        <v>271</v>
      </c>
      <c r="F4124" t="s">
        <v>325</v>
      </c>
    </row>
    <row r="4125" spans="1:6" x14ac:dyDescent="0.25">
      <c r="A4125" t="s">
        <v>14551</v>
      </c>
      <c r="B4125" t="s">
        <v>14552</v>
      </c>
      <c r="C4125" t="s">
        <v>14553</v>
      </c>
      <c r="D4125" t="s">
        <v>1925</v>
      </c>
      <c r="E4125" t="s">
        <v>271</v>
      </c>
      <c r="F4125" t="s">
        <v>1924</v>
      </c>
    </row>
    <row r="4126" spans="1:6" x14ac:dyDescent="0.25">
      <c r="A4126" t="s">
        <v>14554</v>
      </c>
      <c r="B4126" t="s">
        <v>14555</v>
      </c>
      <c r="C4126" t="s">
        <v>14556</v>
      </c>
      <c r="D4126" t="s">
        <v>0</v>
      </c>
      <c r="E4126" t="s">
        <v>271</v>
      </c>
      <c r="F4126" t="s">
        <v>881</v>
      </c>
    </row>
    <row r="4127" spans="1:6" x14ac:dyDescent="0.25">
      <c r="A4127" t="s">
        <v>14557</v>
      </c>
      <c r="B4127" t="s">
        <v>14558</v>
      </c>
      <c r="C4127" t="s">
        <v>14559</v>
      </c>
      <c r="D4127" t="s">
        <v>461</v>
      </c>
      <c r="E4127" t="s">
        <v>271</v>
      </c>
      <c r="F4127" t="s">
        <v>336</v>
      </c>
    </row>
    <row r="4128" spans="1:6" x14ac:dyDescent="0.25">
      <c r="A4128" t="s">
        <v>14560</v>
      </c>
      <c r="B4128" t="s">
        <v>14561</v>
      </c>
      <c r="C4128" t="s">
        <v>14562</v>
      </c>
      <c r="D4128" t="s">
        <v>0</v>
      </c>
      <c r="E4128" t="s">
        <v>271</v>
      </c>
      <c r="F4128" t="s">
        <v>726</v>
      </c>
    </row>
    <row r="4129" spans="1:6" x14ac:dyDescent="0.25">
      <c r="A4129" t="s">
        <v>14563</v>
      </c>
      <c r="B4129" t="s">
        <v>14564</v>
      </c>
      <c r="C4129" t="s">
        <v>14565</v>
      </c>
      <c r="D4129" t="s">
        <v>572</v>
      </c>
      <c r="E4129" t="s">
        <v>271</v>
      </c>
      <c r="F4129" t="s">
        <v>335</v>
      </c>
    </row>
    <row r="4130" spans="1:6" x14ac:dyDescent="0.25">
      <c r="A4130" t="s">
        <v>14566</v>
      </c>
      <c r="B4130" t="s">
        <v>14567</v>
      </c>
      <c r="C4130" t="s">
        <v>14568</v>
      </c>
      <c r="D4130" t="s">
        <v>0</v>
      </c>
      <c r="E4130" t="s">
        <v>271</v>
      </c>
      <c r="F4130" t="s">
        <v>785</v>
      </c>
    </row>
    <row r="4131" spans="1:6" x14ac:dyDescent="0.25">
      <c r="A4131" t="s">
        <v>14569</v>
      </c>
      <c r="B4131" t="s">
        <v>14570</v>
      </c>
      <c r="C4131" t="s">
        <v>14571</v>
      </c>
      <c r="D4131" t="s">
        <v>0</v>
      </c>
      <c r="E4131" t="s">
        <v>271</v>
      </c>
      <c r="F4131" t="s">
        <v>3672</v>
      </c>
    </row>
    <row r="4132" spans="1:6" x14ac:dyDescent="0.25">
      <c r="A4132" t="s">
        <v>14572</v>
      </c>
      <c r="B4132" t="s">
        <v>14573</v>
      </c>
      <c r="C4132" t="s">
        <v>1841</v>
      </c>
      <c r="D4132" t="s">
        <v>0</v>
      </c>
      <c r="E4132" t="s">
        <v>271</v>
      </c>
      <c r="F4132" t="s">
        <v>325</v>
      </c>
    </row>
    <row r="4133" spans="1:6" x14ac:dyDescent="0.25">
      <c r="A4133" t="s">
        <v>14574</v>
      </c>
      <c r="B4133" t="s">
        <v>14575</v>
      </c>
      <c r="C4133" t="s">
        <v>14576</v>
      </c>
      <c r="D4133" t="s">
        <v>450</v>
      </c>
      <c r="E4133" t="s">
        <v>271</v>
      </c>
      <c r="F4133" t="s">
        <v>326</v>
      </c>
    </row>
    <row r="4134" spans="1:6" x14ac:dyDescent="0.25">
      <c r="A4134" t="s">
        <v>14577</v>
      </c>
      <c r="B4134" t="s">
        <v>14578</v>
      </c>
      <c r="C4134" t="s">
        <v>14579</v>
      </c>
      <c r="D4134" t="s">
        <v>1559</v>
      </c>
      <c r="E4134" t="s">
        <v>271</v>
      </c>
      <c r="F4134" t="s">
        <v>1558</v>
      </c>
    </row>
    <row r="4135" spans="1:6" x14ac:dyDescent="0.25">
      <c r="A4135" t="s">
        <v>14580</v>
      </c>
      <c r="B4135" t="s">
        <v>14581</v>
      </c>
      <c r="C4135" t="s">
        <v>14582</v>
      </c>
      <c r="D4135" t="s">
        <v>0</v>
      </c>
      <c r="E4135" t="s">
        <v>271</v>
      </c>
      <c r="F4135" t="s">
        <v>704</v>
      </c>
    </row>
    <row r="4136" spans="1:6" x14ac:dyDescent="0.25">
      <c r="A4136" t="s">
        <v>14583</v>
      </c>
      <c r="B4136" t="s">
        <v>14584</v>
      </c>
      <c r="C4136" t="s">
        <v>14585</v>
      </c>
      <c r="D4136" t="s">
        <v>357</v>
      </c>
      <c r="E4136" t="s">
        <v>271</v>
      </c>
      <c r="F4136" t="s">
        <v>358</v>
      </c>
    </row>
    <row r="4137" spans="1:6" x14ac:dyDescent="0.25">
      <c r="A4137" t="s">
        <v>14586</v>
      </c>
      <c r="B4137" t="s">
        <v>14587</v>
      </c>
      <c r="C4137" t="s">
        <v>14588</v>
      </c>
      <c r="D4137" t="s">
        <v>1601</v>
      </c>
      <c r="E4137" t="s">
        <v>269</v>
      </c>
      <c r="F4137" t="s">
        <v>2243</v>
      </c>
    </row>
    <row r="4138" spans="1:6" x14ac:dyDescent="0.25">
      <c r="A4138" t="s">
        <v>14589</v>
      </c>
      <c r="B4138" t="s">
        <v>14590</v>
      </c>
      <c r="C4138" t="s">
        <v>14591</v>
      </c>
      <c r="D4138" t="s">
        <v>0</v>
      </c>
      <c r="E4138" t="s">
        <v>271</v>
      </c>
      <c r="F4138" t="s">
        <v>356</v>
      </c>
    </row>
    <row r="4139" spans="1:6" x14ac:dyDescent="0.25">
      <c r="A4139" t="s">
        <v>14592</v>
      </c>
      <c r="B4139" t="s">
        <v>11420</v>
      </c>
      <c r="C4139" t="s">
        <v>14593</v>
      </c>
      <c r="D4139" t="s">
        <v>871</v>
      </c>
      <c r="E4139" t="s">
        <v>271</v>
      </c>
      <c r="F4139" t="s">
        <v>870</v>
      </c>
    </row>
    <row r="4140" spans="1:6" x14ac:dyDescent="0.25">
      <c r="A4140" t="s">
        <v>2172</v>
      </c>
      <c r="B4140" t="s">
        <v>2173</v>
      </c>
      <c r="C4140" t="s">
        <v>2174</v>
      </c>
      <c r="D4140" t="s">
        <v>718</v>
      </c>
      <c r="E4140" t="s">
        <v>271</v>
      </c>
      <c r="F4140" t="s">
        <v>333</v>
      </c>
    </row>
    <row r="4141" spans="1:6" x14ac:dyDescent="0.25">
      <c r="A4141" t="s">
        <v>14594</v>
      </c>
      <c r="B4141" t="s">
        <v>14595</v>
      </c>
      <c r="C4141" t="s">
        <v>14596</v>
      </c>
      <c r="D4141" t="s">
        <v>0</v>
      </c>
      <c r="E4141" t="s">
        <v>271</v>
      </c>
      <c r="F4141" t="s">
        <v>436</v>
      </c>
    </row>
    <row r="4142" spans="1:6" x14ac:dyDescent="0.25">
      <c r="A4142" t="s">
        <v>14597</v>
      </c>
      <c r="B4142" t="s">
        <v>14598</v>
      </c>
      <c r="C4142" t="s">
        <v>14599</v>
      </c>
      <c r="D4142" t="s">
        <v>361</v>
      </c>
      <c r="E4142" t="s">
        <v>271</v>
      </c>
      <c r="F4142" t="s">
        <v>1563</v>
      </c>
    </row>
    <row r="4143" spans="1:6" x14ac:dyDescent="0.25">
      <c r="A4143" t="s">
        <v>14600</v>
      </c>
      <c r="B4143" t="s">
        <v>14601</v>
      </c>
      <c r="C4143" t="s">
        <v>13829</v>
      </c>
      <c r="D4143" t="s">
        <v>0</v>
      </c>
      <c r="E4143" t="s">
        <v>271</v>
      </c>
      <c r="F4143" t="s">
        <v>1148</v>
      </c>
    </row>
    <row r="4144" spans="1:6" x14ac:dyDescent="0.25">
      <c r="A4144" t="s">
        <v>14602</v>
      </c>
      <c r="B4144" t="s">
        <v>14603</v>
      </c>
      <c r="C4144" t="s">
        <v>14604</v>
      </c>
      <c r="D4144" t="s">
        <v>0</v>
      </c>
      <c r="E4144" t="s">
        <v>271</v>
      </c>
      <c r="F4144" t="s">
        <v>323</v>
      </c>
    </row>
    <row r="4145" spans="1:6" x14ac:dyDescent="0.25">
      <c r="A4145" t="s">
        <v>14605</v>
      </c>
      <c r="B4145" t="s">
        <v>14606</v>
      </c>
      <c r="C4145" t="s">
        <v>14607</v>
      </c>
      <c r="D4145" t="s">
        <v>0</v>
      </c>
      <c r="E4145" t="s">
        <v>271</v>
      </c>
      <c r="F4145" t="s">
        <v>436</v>
      </c>
    </row>
    <row r="4146" spans="1:6" x14ac:dyDescent="0.25">
      <c r="A4146" t="s">
        <v>14608</v>
      </c>
      <c r="B4146" t="s">
        <v>6625</v>
      </c>
      <c r="C4146" t="s">
        <v>14609</v>
      </c>
      <c r="D4146" t="s">
        <v>0</v>
      </c>
      <c r="E4146" t="s">
        <v>271</v>
      </c>
      <c r="F4146" t="s">
        <v>1679</v>
      </c>
    </row>
    <row r="4147" spans="1:6" x14ac:dyDescent="0.25">
      <c r="A4147" t="s">
        <v>14610</v>
      </c>
      <c r="B4147" t="s">
        <v>8386</v>
      </c>
      <c r="C4147" t="s">
        <v>14611</v>
      </c>
      <c r="D4147" t="s">
        <v>0</v>
      </c>
      <c r="E4147" t="s">
        <v>271</v>
      </c>
      <c r="F4147" t="s">
        <v>1437</v>
      </c>
    </row>
    <row r="4148" spans="1:6" x14ac:dyDescent="0.25">
      <c r="A4148" t="s">
        <v>14612</v>
      </c>
      <c r="B4148" t="s">
        <v>14613</v>
      </c>
      <c r="C4148" t="s">
        <v>14614</v>
      </c>
      <c r="D4148" t="s">
        <v>718</v>
      </c>
      <c r="E4148" t="s">
        <v>271</v>
      </c>
      <c r="F4148" t="s">
        <v>333</v>
      </c>
    </row>
    <row r="4149" spans="1:6" x14ac:dyDescent="0.25">
      <c r="A4149" t="s">
        <v>3723</v>
      </c>
      <c r="B4149" t="s">
        <v>3724</v>
      </c>
      <c r="C4149" t="s">
        <v>3725</v>
      </c>
      <c r="D4149" t="s">
        <v>2692</v>
      </c>
      <c r="E4149" t="s">
        <v>269</v>
      </c>
      <c r="F4149" t="s">
        <v>2691</v>
      </c>
    </row>
    <row r="4150" spans="1:6" x14ac:dyDescent="0.25">
      <c r="A4150" t="s">
        <v>14615</v>
      </c>
      <c r="B4150" t="s">
        <v>14616</v>
      </c>
      <c r="C4150" t="s">
        <v>9458</v>
      </c>
      <c r="D4150" t="s">
        <v>1643</v>
      </c>
      <c r="E4150" t="s">
        <v>271</v>
      </c>
      <c r="F4150" t="s">
        <v>2028</v>
      </c>
    </row>
    <row r="4151" spans="1:6" x14ac:dyDescent="0.25">
      <c r="A4151" t="s">
        <v>14617</v>
      </c>
      <c r="B4151" t="s">
        <v>14618</v>
      </c>
      <c r="C4151" t="s">
        <v>14619</v>
      </c>
      <c r="D4151" t="s">
        <v>357</v>
      </c>
      <c r="E4151" t="s">
        <v>271</v>
      </c>
      <c r="F4151" t="s">
        <v>358</v>
      </c>
    </row>
    <row r="4152" spans="1:6" x14ac:dyDescent="0.25">
      <c r="A4152" t="s">
        <v>14620</v>
      </c>
      <c r="B4152" t="s">
        <v>14621</v>
      </c>
      <c r="C4152" t="s">
        <v>14622</v>
      </c>
      <c r="D4152" t="s">
        <v>237</v>
      </c>
      <c r="E4152" t="s">
        <v>271</v>
      </c>
      <c r="F4152" t="s">
        <v>427</v>
      </c>
    </row>
    <row r="4153" spans="1:6" x14ac:dyDescent="0.25">
      <c r="A4153" t="s">
        <v>14623</v>
      </c>
      <c r="B4153" t="s">
        <v>14624</v>
      </c>
      <c r="C4153" t="s">
        <v>14625</v>
      </c>
      <c r="D4153" t="s">
        <v>3343</v>
      </c>
      <c r="E4153" t="s">
        <v>271</v>
      </c>
      <c r="F4153" t="s">
        <v>3342</v>
      </c>
    </row>
    <row r="4154" spans="1:6" x14ac:dyDescent="0.25">
      <c r="A4154" t="s">
        <v>14626</v>
      </c>
      <c r="B4154" t="s">
        <v>14627</v>
      </c>
      <c r="C4154" t="s">
        <v>14628</v>
      </c>
      <c r="D4154" t="s">
        <v>0</v>
      </c>
      <c r="E4154" t="s">
        <v>271</v>
      </c>
      <c r="F4154" t="s">
        <v>356</v>
      </c>
    </row>
    <row r="4155" spans="1:6" x14ac:dyDescent="0.25">
      <c r="A4155" t="s">
        <v>14629</v>
      </c>
      <c r="B4155" t="s">
        <v>14630</v>
      </c>
      <c r="C4155" t="s">
        <v>14631</v>
      </c>
      <c r="D4155" t="s">
        <v>1165</v>
      </c>
      <c r="E4155" t="s">
        <v>271</v>
      </c>
      <c r="F4155" t="s">
        <v>1402</v>
      </c>
    </row>
    <row r="4156" spans="1:6" x14ac:dyDescent="0.25">
      <c r="A4156" t="s">
        <v>14632</v>
      </c>
      <c r="B4156" t="s">
        <v>14633</v>
      </c>
      <c r="C4156" t="s">
        <v>14634</v>
      </c>
      <c r="D4156" t="s">
        <v>1137</v>
      </c>
      <c r="E4156" t="s">
        <v>269</v>
      </c>
      <c r="F4156" t="s">
        <v>1136</v>
      </c>
    </row>
    <row r="4157" spans="1:6" x14ac:dyDescent="0.25">
      <c r="A4157" t="s">
        <v>14635</v>
      </c>
      <c r="B4157" t="s">
        <v>14636</v>
      </c>
      <c r="C4157" t="s">
        <v>14637</v>
      </c>
      <c r="D4157" t="s">
        <v>0</v>
      </c>
      <c r="E4157" t="s">
        <v>271</v>
      </c>
      <c r="F4157" t="s">
        <v>726</v>
      </c>
    </row>
    <row r="4158" spans="1:6" x14ac:dyDescent="0.25">
      <c r="A4158" t="s">
        <v>14638</v>
      </c>
      <c r="B4158" t="s">
        <v>14639</v>
      </c>
      <c r="C4158" t="s">
        <v>14640</v>
      </c>
      <c r="D4158" t="s">
        <v>822</v>
      </c>
      <c r="E4158" t="s">
        <v>269</v>
      </c>
      <c r="F4158" t="s">
        <v>821</v>
      </c>
    </row>
    <row r="4159" spans="1:6" x14ac:dyDescent="0.25">
      <c r="A4159" t="s">
        <v>14641</v>
      </c>
      <c r="B4159" t="s">
        <v>14642</v>
      </c>
      <c r="C4159" t="s">
        <v>14643</v>
      </c>
      <c r="D4159" t="s">
        <v>448</v>
      </c>
      <c r="E4159" t="s">
        <v>271</v>
      </c>
      <c r="F4159" t="s">
        <v>449</v>
      </c>
    </row>
    <row r="4160" spans="1:6" x14ac:dyDescent="0.25">
      <c r="A4160" t="s">
        <v>14644</v>
      </c>
      <c r="B4160" t="s">
        <v>14645</v>
      </c>
      <c r="C4160" t="s">
        <v>14646</v>
      </c>
      <c r="D4160" t="s">
        <v>0</v>
      </c>
      <c r="E4160" t="s">
        <v>271</v>
      </c>
      <c r="F4160" t="s">
        <v>1141</v>
      </c>
    </row>
    <row r="4161" spans="1:6" x14ac:dyDescent="0.25">
      <c r="A4161" t="s">
        <v>14647</v>
      </c>
      <c r="B4161" t="s">
        <v>14648</v>
      </c>
      <c r="C4161" t="s">
        <v>14649</v>
      </c>
      <c r="D4161" t="s">
        <v>488</v>
      </c>
      <c r="E4161" t="s">
        <v>271</v>
      </c>
      <c r="F4161" t="s">
        <v>489</v>
      </c>
    </row>
    <row r="4162" spans="1:6" x14ac:dyDescent="0.25">
      <c r="A4162" t="s">
        <v>14650</v>
      </c>
      <c r="B4162" t="s">
        <v>14651</v>
      </c>
      <c r="C4162" t="s">
        <v>14652</v>
      </c>
      <c r="D4162" t="s">
        <v>0</v>
      </c>
      <c r="E4162" t="s">
        <v>271</v>
      </c>
      <c r="F4162" t="s">
        <v>1148</v>
      </c>
    </row>
    <row r="4163" spans="1:6" x14ac:dyDescent="0.25">
      <c r="A4163" t="s">
        <v>14653</v>
      </c>
      <c r="B4163" t="s">
        <v>14654</v>
      </c>
      <c r="C4163" t="s">
        <v>14655</v>
      </c>
      <c r="D4163" t="s">
        <v>416</v>
      </c>
      <c r="E4163" t="s">
        <v>271</v>
      </c>
      <c r="F4163" t="s">
        <v>439</v>
      </c>
    </row>
    <row r="4164" spans="1:6" x14ac:dyDescent="0.25">
      <c r="A4164" t="s">
        <v>14656</v>
      </c>
      <c r="B4164" t="s">
        <v>14657</v>
      </c>
      <c r="C4164" t="s">
        <v>14658</v>
      </c>
      <c r="D4164" t="s">
        <v>8047</v>
      </c>
      <c r="E4164" t="s">
        <v>271</v>
      </c>
      <c r="F4164" t="s">
        <v>3830</v>
      </c>
    </row>
    <row r="4165" spans="1:6" x14ac:dyDescent="0.25">
      <c r="A4165" t="s">
        <v>14659</v>
      </c>
      <c r="B4165" t="s">
        <v>14660</v>
      </c>
      <c r="C4165" t="s">
        <v>14661</v>
      </c>
      <c r="D4165" t="s">
        <v>7173</v>
      </c>
      <c r="E4165" t="s">
        <v>271</v>
      </c>
      <c r="F4165" t="s">
        <v>3256</v>
      </c>
    </row>
    <row r="4166" spans="1:6" x14ac:dyDescent="0.25">
      <c r="A4166" t="s">
        <v>14662</v>
      </c>
      <c r="B4166" t="s">
        <v>14663</v>
      </c>
      <c r="C4166" t="s">
        <v>10168</v>
      </c>
      <c r="D4166" t="s">
        <v>402</v>
      </c>
      <c r="E4166" t="s">
        <v>271</v>
      </c>
      <c r="F4166" t="s">
        <v>401</v>
      </c>
    </row>
    <row r="4167" spans="1:6" x14ac:dyDescent="0.25">
      <c r="A4167" t="s">
        <v>14664</v>
      </c>
      <c r="B4167" t="s">
        <v>14665</v>
      </c>
      <c r="C4167" t="s">
        <v>14666</v>
      </c>
      <c r="D4167" t="s">
        <v>578</v>
      </c>
      <c r="E4167" t="s">
        <v>271</v>
      </c>
      <c r="F4167" t="s">
        <v>321</v>
      </c>
    </row>
    <row r="4168" spans="1:6" x14ac:dyDescent="0.25">
      <c r="A4168" t="s">
        <v>14667</v>
      </c>
      <c r="B4168" t="s">
        <v>14668</v>
      </c>
      <c r="C4168" t="s">
        <v>14669</v>
      </c>
      <c r="D4168" t="s">
        <v>845</v>
      </c>
      <c r="E4168" t="s">
        <v>271</v>
      </c>
      <c r="F4168" t="s">
        <v>844</v>
      </c>
    </row>
    <row r="4169" spans="1:6" x14ac:dyDescent="0.25">
      <c r="A4169" t="s">
        <v>14670</v>
      </c>
      <c r="B4169" t="s">
        <v>14671</v>
      </c>
      <c r="C4169" t="s">
        <v>6997</v>
      </c>
      <c r="D4169" t="s">
        <v>0</v>
      </c>
      <c r="E4169" t="s">
        <v>271</v>
      </c>
      <c r="F4169" t="s">
        <v>1534</v>
      </c>
    </row>
    <row r="4170" spans="1:6" x14ac:dyDescent="0.25">
      <c r="A4170" t="s">
        <v>14672</v>
      </c>
      <c r="B4170" t="s">
        <v>14673</v>
      </c>
      <c r="C4170" t="s">
        <v>14674</v>
      </c>
      <c r="D4170" t="s">
        <v>0</v>
      </c>
      <c r="E4170" t="s">
        <v>271</v>
      </c>
      <c r="F4170" t="s">
        <v>881</v>
      </c>
    </row>
    <row r="4171" spans="1:6" x14ac:dyDescent="0.25">
      <c r="A4171" t="s">
        <v>14675</v>
      </c>
      <c r="B4171" t="s">
        <v>14676</v>
      </c>
      <c r="C4171" t="s">
        <v>14677</v>
      </c>
      <c r="D4171" t="s">
        <v>0</v>
      </c>
      <c r="E4171" t="s">
        <v>271</v>
      </c>
      <c r="F4171" t="s">
        <v>436</v>
      </c>
    </row>
    <row r="4172" spans="1:6" x14ac:dyDescent="0.25">
      <c r="A4172" t="s">
        <v>3531</v>
      </c>
      <c r="B4172" t="s">
        <v>3532</v>
      </c>
      <c r="C4172" t="s">
        <v>3533</v>
      </c>
      <c r="D4172" t="s">
        <v>482</v>
      </c>
      <c r="E4172" t="s">
        <v>271</v>
      </c>
      <c r="F4172" t="s">
        <v>483</v>
      </c>
    </row>
    <row r="4173" spans="1:6" x14ac:dyDescent="0.25">
      <c r="A4173" t="s">
        <v>14678</v>
      </c>
      <c r="B4173" t="s">
        <v>10732</v>
      </c>
      <c r="C4173" t="s">
        <v>14679</v>
      </c>
      <c r="D4173" t="s">
        <v>972</v>
      </c>
      <c r="E4173" t="s">
        <v>269</v>
      </c>
      <c r="F4173" t="s">
        <v>971</v>
      </c>
    </row>
    <row r="4174" spans="1:6" x14ac:dyDescent="0.25">
      <c r="A4174" t="s">
        <v>14680</v>
      </c>
      <c r="B4174" t="s">
        <v>14681</v>
      </c>
      <c r="C4174" t="s">
        <v>14682</v>
      </c>
      <c r="D4174" t="s">
        <v>578</v>
      </c>
      <c r="E4174" t="s">
        <v>271</v>
      </c>
      <c r="F4174" t="s">
        <v>321</v>
      </c>
    </row>
    <row r="4175" spans="1:6" x14ac:dyDescent="0.25">
      <c r="A4175" t="s">
        <v>14683</v>
      </c>
      <c r="B4175" t="s">
        <v>14684</v>
      </c>
      <c r="C4175" t="s">
        <v>14685</v>
      </c>
      <c r="D4175" t="s">
        <v>0</v>
      </c>
      <c r="E4175" t="s">
        <v>271</v>
      </c>
      <c r="F4175" t="s">
        <v>436</v>
      </c>
    </row>
    <row r="4176" spans="1:6" x14ac:dyDescent="0.25">
      <c r="A4176" t="s">
        <v>14686</v>
      </c>
      <c r="B4176" t="s">
        <v>14687</v>
      </c>
      <c r="C4176" t="s">
        <v>14688</v>
      </c>
      <c r="D4176" t="s">
        <v>460</v>
      </c>
      <c r="E4176" t="s">
        <v>271</v>
      </c>
      <c r="F4176" t="s">
        <v>435</v>
      </c>
    </row>
    <row r="4177" spans="1:6" x14ac:dyDescent="0.25">
      <c r="A4177" t="s">
        <v>1112</v>
      </c>
      <c r="B4177" t="s">
        <v>1113</v>
      </c>
      <c r="C4177" t="s">
        <v>1116</v>
      </c>
      <c r="D4177" t="s">
        <v>0</v>
      </c>
      <c r="E4177" t="s">
        <v>271</v>
      </c>
      <c r="F4177" t="s">
        <v>1115</v>
      </c>
    </row>
    <row r="4178" spans="1:6" x14ac:dyDescent="0.25">
      <c r="A4178" t="s">
        <v>14689</v>
      </c>
      <c r="B4178" t="s">
        <v>14690</v>
      </c>
      <c r="C4178" t="s">
        <v>14691</v>
      </c>
      <c r="D4178" t="s">
        <v>36</v>
      </c>
      <c r="E4178" t="s">
        <v>269</v>
      </c>
      <c r="F4178" t="s">
        <v>14692</v>
      </c>
    </row>
    <row r="4179" spans="1:6" x14ac:dyDescent="0.25">
      <c r="A4179" t="s">
        <v>2536</v>
      </c>
      <c r="B4179" t="s">
        <v>2537</v>
      </c>
      <c r="C4179" t="s">
        <v>2538</v>
      </c>
      <c r="D4179" t="s">
        <v>1165</v>
      </c>
      <c r="E4179" t="s">
        <v>271</v>
      </c>
      <c r="F4179" t="s">
        <v>1164</v>
      </c>
    </row>
    <row r="4180" spans="1:6" x14ac:dyDescent="0.25">
      <c r="A4180" t="s">
        <v>14693</v>
      </c>
      <c r="B4180" t="s">
        <v>14694</v>
      </c>
      <c r="C4180" t="s">
        <v>14695</v>
      </c>
      <c r="D4180" t="s">
        <v>347</v>
      </c>
      <c r="E4180" t="s">
        <v>271</v>
      </c>
      <c r="F4180" t="s">
        <v>327</v>
      </c>
    </row>
    <row r="4181" spans="1:6" x14ac:dyDescent="0.25">
      <c r="A4181" t="s">
        <v>14696</v>
      </c>
      <c r="B4181" t="s">
        <v>14697</v>
      </c>
      <c r="C4181" t="s">
        <v>14698</v>
      </c>
      <c r="D4181" t="s">
        <v>0</v>
      </c>
      <c r="E4181" t="s">
        <v>271</v>
      </c>
      <c r="F4181" t="s">
        <v>575</v>
      </c>
    </row>
    <row r="4182" spans="1:6" x14ac:dyDescent="0.25">
      <c r="A4182" t="s">
        <v>14699</v>
      </c>
      <c r="B4182" t="s">
        <v>14700</v>
      </c>
      <c r="C4182" t="s">
        <v>14701</v>
      </c>
      <c r="D4182" t="s">
        <v>402</v>
      </c>
      <c r="E4182" t="s">
        <v>271</v>
      </c>
      <c r="F4182" t="s">
        <v>401</v>
      </c>
    </row>
    <row r="4183" spans="1:6" x14ac:dyDescent="0.25">
      <c r="A4183" t="s">
        <v>14702</v>
      </c>
      <c r="B4183" t="s">
        <v>14703</v>
      </c>
      <c r="C4183" t="s">
        <v>14704</v>
      </c>
      <c r="D4183" t="s">
        <v>5598</v>
      </c>
      <c r="E4183" t="s">
        <v>271</v>
      </c>
      <c r="F4183" t="s">
        <v>4427</v>
      </c>
    </row>
    <row r="4184" spans="1:6" x14ac:dyDescent="0.25">
      <c r="A4184" t="s">
        <v>14705</v>
      </c>
      <c r="B4184" t="s">
        <v>14706</v>
      </c>
      <c r="C4184" t="s">
        <v>14707</v>
      </c>
      <c r="D4184" t="s">
        <v>0</v>
      </c>
      <c r="E4184" t="s">
        <v>271</v>
      </c>
      <c r="F4184" t="s">
        <v>1591</v>
      </c>
    </row>
    <row r="4185" spans="1:6" x14ac:dyDescent="0.25">
      <c r="A4185" t="s">
        <v>14708</v>
      </c>
      <c r="B4185" t="s">
        <v>14709</v>
      </c>
      <c r="C4185" t="s">
        <v>14710</v>
      </c>
      <c r="D4185" t="s">
        <v>1601</v>
      </c>
      <c r="E4185" t="s">
        <v>269</v>
      </c>
      <c r="F4185" t="s">
        <v>1600</v>
      </c>
    </row>
    <row r="4186" spans="1:6" x14ac:dyDescent="0.25">
      <c r="A4186" t="s">
        <v>2144</v>
      </c>
      <c r="B4186" t="s">
        <v>2145</v>
      </c>
      <c r="C4186" t="s">
        <v>2147</v>
      </c>
      <c r="D4186" t="s">
        <v>2146</v>
      </c>
      <c r="E4186" t="s">
        <v>271</v>
      </c>
      <c r="F4186" t="s">
        <v>844</v>
      </c>
    </row>
    <row r="4187" spans="1:6" x14ac:dyDescent="0.25">
      <c r="A4187" t="s">
        <v>14711</v>
      </c>
      <c r="B4187" t="s">
        <v>14712</v>
      </c>
      <c r="C4187" t="s">
        <v>14713</v>
      </c>
      <c r="D4187" t="s">
        <v>519</v>
      </c>
      <c r="E4187" t="s">
        <v>271</v>
      </c>
      <c r="F4187" t="s">
        <v>324</v>
      </c>
    </row>
    <row r="4188" spans="1:6" x14ac:dyDescent="0.25">
      <c r="A4188" t="s">
        <v>14714</v>
      </c>
      <c r="B4188" t="s">
        <v>14715</v>
      </c>
      <c r="C4188" t="s">
        <v>14716</v>
      </c>
      <c r="D4188" t="s">
        <v>0</v>
      </c>
      <c r="E4188" t="s">
        <v>271</v>
      </c>
      <c r="F4188" t="s">
        <v>1225</v>
      </c>
    </row>
    <row r="4189" spans="1:6" x14ac:dyDescent="0.25">
      <c r="A4189" t="s">
        <v>14717</v>
      </c>
      <c r="B4189" t="s">
        <v>14718</v>
      </c>
      <c r="C4189" t="s">
        <v>14719</v>
      </c>
      <c r="D4189" t="s">
        <v>0</v>
      </c>
      <c r="E4189" t="s">
        <v>271</v>
      </c>
      <c r="F4189" t="s">
        <v>2349</v>
      </c>
    </row>
    <row r="4190" spans="1:6" x14ac:dyDescent="0.25">
      <c r="A4190" t="s">
        <v>14720</v>
      </c>
      <c r="B4190" t="s">
        <v>14721</v>
      </c>
      <c r="C4190" t="s">
        <v>14722</v>
      </c>
      <c r="D4190" t="s">
        <v>0</v>
      </c>
      <c r="E4190" t="s">
        <v>271</v>
      </c>
      <c r="F4190" t="s">
        <v>325</v>
      </c>
    </row>
    <row r="4191" spans="1:6" x14ac:dyDescent="0.25">
      <c r="A4191" t="s">
        <v>14723</v>
      </c>
      <c r="B4191" t="s">
        <v>14724</v>
      </c>
      <c r="C4191" t="s">
        <v>14725</v>
      </c>
      <c r="D4191" t="s">
        <v>3831</v>
      </c>
      <c r="E4191" t="s">
        <v>271</v>
      </c>
      <c r="F4191" t="s">
        <v>3830</v>
      </c>
    </row>
    <row r="4192" spans="1:6" x14ac:dyDescent="0.25">
      <c r="A4192" t="s">
        <v>14726</v>
      </c>
      <c r="B4192" t="s">
        <v>14727</v>
      </c>
      <c r="C4192" t="s">
        <v>5351</v>
      </c>
      <c r="D4192" t="s">
        <v>1032</v>
      </c>
      <c r="E4192" t="s">
        <v>271</v>
      </c>
      <c r="F4192" t="s">
        <v>1031</v>
      </c>
    </row>
    <row r="4193" spans="1:6" x14ac:dyDescent="0.25">
      <c r="A4193" t="s">
        <v>14728</v>
      </c>
      <c r="B4193" t="s">
        <v>14729</v>
      </c>
      <c r="C4193" t="s">
        <v>14730</v>
      </c>
      <c r="D4193" t="s">
        <v>446</v>
      </c>
      <c r="E4193" t="s">
        <v>271</v>
      </c>
      <c r="F4193" t="s">
        <v>447</v>
      </c>
    </row>
    <row r="4194" spans="1:6" x14ac:dyDescent="0.25">
      <c r="A4194" t="s">
        <v>14731</v>
      </c>
      <c r="B4194" t="s">
        <v>14732</v>
      </c>
      <c r="C4194" t="s">
        <v>14733</v>
      </c>
      <c r="D4194" t="s">
        <v>367</v>
      </c>
      <c r="E4194" t="s">
        <v>271</v>
      </c>
      <c r="F4194" t="s">
        <v>368</v>
      </c>
    </row>
    <row r="4195" spans="1:6" x14ac:dyDescent="0.25">
      <c r="A4195" t="s">
        <v>14734</v>
      </c>
      <c r="B4195" t="s">
        <v>14735</v>
      </c>
      <c r="C4195" t="s">
        <v>14736</v>
      </c>
      <c r="D4195" t="s">
        <v>2637</v>
      </c>
      <c r="E4195" t="s">
        <v>271</v>
      </c>
      <c r="F4195" t="s">
        <v>2636</v>
      </c>
    </row>
    <row r="4196" spans="1:6" x14ac:dyDescent="0.25">
      <c r="A4196" t="s">
        <v>14737</v>
      </c>
      <c r="B4196" t="s">
        <v>14738</v>
      </c>
      <c r="C4196" t="s">
        <v>14739</v>
      </c>
      <c r="D4196" t="s">
        <v>440</v>
      </c>
      <c r="E4196" t="s">
        <v>271</v>
      </c>
      <c r="F4196" t="s">
        <v>441</v>
      </c>
    </row>
    <row r="4197" spans="1:6" x14ac:dyDescent="0.25">
      <c r="A4197" t="s">
        <v>14740</v>
      </c>
      <c r="B4197" t="s">
        <v>14741</v>
      </c>
      <c r="C4197" t="s">
        <v>14742</v>
      </c>
      <c r="D4197" t="s">
        <v>0</v>
      </c>
      <c r="E4197" t="s">
        <v>271</v>
      </c>
      <c r="F4197" t="s">
        <v>319</v>
      </c>
    </row>
    <row r="4198" spans="1:6" x14ac:dyDescent="0.25">
      <c r="A4198" t="s">
        <v>14743</v>
      </c>
      <c r="B4198" t="s">
        <v>14744</v>
      </c>
      <c r="C4198" t="s">
        <v>14745</v>
      </c>
      <c r="D4198" t="s">
        <v>0</v>
      </c>
      <c r="E4198" t="s">
        <v>271</v>
      </c>
      <c r="F4198" t="s">
        <v>1141</v>
      </c>
    </row>
    <row r="4199" spans="1:6" x14ac:dyDescent="0.25">
      <c r="A4199" t="s">
        <v>14746</v>
      </c>
      <c r="B4199" t="s">
        <v>14747</v>
      </c>
      <c r="C4199" t="s">
        <v>14748</v>
      </c>
      <c r="D4199" t="s">
        <v>0</v>
      </c>
      <c r="E4199" t="s">
        <v>271</v>
      </c>
      <c r="F4199" t="s">
        <v>2641</v>
      </c>
    </row>
    <row r="4200" spans="1:6" x14ac:dyDescent="0.25">
      <c r="A4200" t="s">
        <v>14749</v>
      </c>
      <c r="B4200" t="s">
        <v>14750</v>
      </c>
      <c r="C4200" t="s">
        <v>14751</v>
      </c>
      <c r="D4200" t="s">
        <v>793</v>
      </c>
      <c r="E4200" t="s">
        <v>271</v>
      </c>
      <c r="F4200" t="s">
        <v>792</v>
      </c>
    </row>
    <row r="4201" spans="1:6" x14ac:dyDescent="0.25">
      <c r="A4201" t="s">
        <v>14752</v>
      </c>
      <c r="B4201" t="s">
        <v>14753</v>
      </c>
      <c r="C4201" t="s">
        <v>14754</v>
      </c>
      <c r="D4201" t="s">
        <v>5197</v>
      </c>
      <c r="E4201" t="s">
        <v>271</v>
      </c>
      <c r="F4201" t="s">
        <v>5198</v>
      </c>
    </row>
    <row r="4202" spans="1:6" x14ac:dyDescent="0.25">
      <c r="A4202" t="s">
        <v>14755</v>
      </c>
      <c r="B4202" t="s">
        <v>14756</v>
      </c>
      <c r="C4202" t="s">
        <v>14757</v>
      </c>
      <c r="D4202" t="s">
        <v>1925</v>
      </c>
      <c r="E4202" t="s">
        <v>271</v>
      </c>
      <c r="F4202" t="s">
        <v>3332</v>
      </c>
    </row>
    <row r="4203" spans="1:6" x14ac:dyDescent="0.25">
      <c r="A4203" t="s">
        <v>14758</v>
      </c>
      <c r="B4203" t="s">
        <v>14759</v>
      </c>
      <c r="C4203" t="s">
        <v>14760</v>
      </c>
      <c r="D4203" t="s">
        <v>586</v>
      </c>
      <c r="E4203" t="s">
        <v>271</v>
      </c>
      <c r="F4203" t="s">
        <v>334</v>
      </c>
    </row>
    <row r="4204" spans="1:6" x14ac:dyDescent="0.25">
      <c r="A4204" t="s">
        <v>14761</v>
      </c>
      <c r="B4204" t="s">
        <v>14762</v>
      </c>
      <c r="C4204" t="s">
        <v>14763</v>
      </c>
      <c r="D4204" t="s">
        <v>718</v>
      </c>
      <c r="E4204" t="s">
        <v>271</v>
      </c>
      <c r="F4204" t="s">
        <v>333</v>
      </c>
    </row>
    <row r="4205" spans="1:6" x14ac:dyDescent="0.25">
      <c r="A4205" t="s">
        <v>14764</v>
      </c>
      <c r="B4205" t="s">
        <v>14765</v>
      </c>
      <c r="C4205" t="s">
        <v>612</v>
      </c>
      <c r="D4205" t="s">
        <v>442</v>
      </c>
      <c r="E4205" t="s">
        <v>269</v>
      </c>
      <c r="F4205" t="s">
        <v>3077</v>
      </c>
    </row>
    <row r="4206" spans="1:6" x14ac:dyDescent="0.25">
      <c r="A4206" t="s">
        <v>3564</v>
      </c>
      <c r="B4206" t="s">
        <v>3565</v>
      </c>
      <c r="C4206" t="s">
        <v>3566</v>
      </c>
      <c r="D4206" t="s">
        <v>0</v>
      </c>
      <c r="E4206" t="s">
        <v>271</v>
      </c>
      <c r="F4206" t="s">
        <v>325</v>
      </c>
    </row>
    <row r="4207" spans="1:6" x14ac:dyDescent="0.25">
      <c r="A4207" t="s">
        <v>865</v>
      </c>
      <c r="B4207" t="s">
        <v>866</v>
      </c>
      <c r="C4207" t="s">
        <v>867</v>
      </c>
      <c r="D4207" t="s">
        <v>0</v>
      </c>
      <c r="E4207" t="s">
        <v>271</v>
      </c>
      <c r="F4207" t="s">
        <v>325</v>
      </c>
    </row>
    <row r="4208" spans="1:6" x14ac:dyDescent="0.25">
      <c r="A4208" t="s">
        <v>928</v>
      </c>
      <c r="B4208" t="s">
        <v>929</v>
      </c>
      <c r="C4208" t="s">
        <v>930</v>
      </c>
      <c r="D4208" t="s">
        <v>314</v>
      </c>
      <c r="E4208" t="s">
        <v>271</v>
      </c>
      <c r="F4208" t="s">
        <v>352</v>
      </c>
    </row>
    <row r="4209" spans="1:6" x14ac:dyDescent="0.25">
      <c r="A4209" t="s">
        <v>14766</v>
      </c>
      <c r="B4209" t="s">
        <v>14767</v>
      </c>
      <c r="C4209" t="s">
        <v>14768</v>
      </c>
      <c r="D4209" t="s">
        <v>0</v>
      </c>
      <c r="E4209" t="s">
        <v>271</v>
      </c>
      <c r="F4209" t="s">
        <v>431</v>
      </c>
    </row>
    <row r="4210" spans="1:6" x14ac:dyDescent="0.25">
      <c r="A4210" t="s">
        <v>14769</v>
      </c>
      <c r="B4210" t="s">
        <v>14770</v>
      </c>
      <c r="C4210" t="s">
        <v>14771</v>
      </c>
      <c r="D4210" t="s">
        <v>9299</v>
      </c>
      <c r="E4210" t="s">
        <v>269</v>
      </c>
      <c r="F4210" t="s">
        <v>13051</v>
      </c>
    </row>
    <row r="4211" spans="1:6" x14ac:dyDescent="0.25">
      <c r="A4211" t="s">
        <v>14772</v>
      </c>
      <c r="B4211" t="s">
        <v>14773</v>
      </c>
      <c r="C4211" t="s">
        <v>14774</v>
      </c>
      <c r="D4211" t="s">
        <v>0</v>
      </c>
      <c r="E4211" t="s">
        <v>271</v>
      </c>
      <c r="F4211" t="s">
        <v>4382</v>
      </c>
    </row>
    <row r="4212" spans="1:6" x14ac:dyDescent="0.25">
      <c r="A4212" t="s">
        <v>14775</v>
      </c>
      <c r="B4212" t="s">
        <v>14776</v>
      </c>
      <c r="C4212" t="s">
        <v>14777</v>
      </c>
      <c r="D4212" t="s">
        <v>8653</v>
      </c>
      <c r="E4212" t="s">
        <v>271</v>
      </c>
      <c r="F4212" t="s">
        <v>3635</v>
      </c>
    </row>
    <row r="4213" spans="1:6" x14ac:dyDescent="0.25">
      <c r="A4213" t="s">
        <v>14778</v>
      </c>
      <c r="B4213" t="s">
        <v>14779</v>
      </c>
      <c r="C4213" t="s">
        <v>14780</v>
      </c>
      <c r="D4213" t="s">
        <v>492</v>
      </c>
      <c r="E4213" t="s">
        <v>271</v>
      </c>
      <c r="F4213" t="s">
        <v>493</v>
      </c>
    </row>
    <row r="4214" spans="1:6" x14ac:dyDescent="0.25">
      <c r="A4214" t="s">
        <v>14781</v>
      </c>
      <c r="B4214" t="s">
        <v>14782</v>
      </c>
      <c r="C4214" t="s">
        <v>14783</v>
      </c>
      <c r="D4214" t="s">
        <v>0</v>
      </c>
      <c r="E4214" t="s">
        <v>271</v>
      </c>
      <c r="F4214" t="s">
        <v>1277</v>
      </c>
    </row>
    <row r="4215" spans="1:6" x14ac:dyDescent="0.25">
      <c r="A4215" t="s">
        <v>14784</v>
      </c>
      <c r="B4215" t="s">
        <v>14785</v>
      </c>
      <c r="C4215" t="s">
        <v>14786</v>
      </c>
      <c r="D4215" t="s">
        <v>237</v>
      </c>
      <c r="E4215" t="s">
        <v>271</v>
      </c>
      <c r="F4215" t="s">
        <v>427</v>
      </c>
    </row>
    <row r="4216" spans="1:6" x14ac:dyDescent="0.25">
      <c r="A4216" t="s">
        <v>14787</v>
      </c>
      <c r="B4216" t="s">
        <v>14788</v>
      </c>
      <c r="C4216" t="s">
        <v>1748</v>
      </c>
      <c r="D4216" t="s">
        <v>1079</v>
      </c>
      <c r="E4216" t="s">
        <v>271</v>
      </c>
      <c r="F4216" t="s">
        <v>1747</v>
      </c>
    </row>
    <row r="4217" spans="1:6" x14ac:dyDescent="0.25">
      <c r="A4217" t="s">
        <v>14789</v>
      </c>
      <c r="B4217" t="s">
        <v>14790</v>
      </c>
      <c r="C4217" t="s">
        <v>14791</v>
      </c>
      <c r="D4217" t="s">
        <v>1199</v>
      </c>
      <c r="E4217" t="s">
        <v>271</v>
      </c>
      <c r="F4217" t="s">
        <v>1198</v>
      </c>
    </row>
    <row r="4218" spans="1:6" x14ac:dyDescent="0.25">
      <c r="A4218" t="s">
        <v>14792</v>
      </c>
      <c r="B4218" t="s">
        <v>14793</v>
      </c>
      <c r="C4218" t="s">
        <v>14794</v>
      </c>
      <c r="D4218" t="s">
        <v>0</v>
      </c>
      <c r="E4218" t="s">
        <v>271</v>
      </c>
      <c r="F4218" t="s">
        <v>436</v>
      </c>
    </row>
    <row r="4219" spans="1:6" x14ac:dyDescent="0.25">
      <c r="A4219" t="s">
        <v>14795</v>
      </c>
      <c r="B4219" t="s">
        <v>14796</v>
      </c>
      <c r="C4219" t="s">
        <v>14797</v>
      </c>
      <c r="D4219" t="s">
        <v>1648</v>
      </c>
      <c r="E4219" t="s">
        <v>271</v>
      </c>
      <c r="F4219" t="s">
        <v>1647</v>
      </c>
    </row>
    <row r="4220" spans="1:6" x14ac:dyDescent="0.25">
      <c r="A4220" t="s">
        <v>14798</v>
      </c>
      <c r="B4220" t="s">
        <v>14799</v>
      </c>
      <c r="C4220" t="s">
        <v>14800</v>
      </c>
      <c r="D4220" t="s">
        <v>506</v>
      </c>
      <c r="E4220" t="s">
        <v>271</v>
      </c>
      <c r="F4220" t="s">
        <v>507</v>
      </c>
    </row>
    <row r="4221" spans="1:6" x14ac:dyDescent="0.25">
      <c r="A4221" t="s">
        <v>14801</v>
      </c>
      <c r="B4221" t="s">
        <v>14802</v>
      </c>
      <c r="C4221" t="s">
        <v>14803</v>
      </c>
      <c r="D4221" t="s">
        <v>492</v>
      </c>
      <c r="E4221" t="s">
        <v>271</v>
      </c>
      <c r="F4221" t="s">
        <v>493</v>
      </c>
    </row>
    <row r="4222" spans="1:6" x14ac:dyDescent="0.25">
      <c r="A4222" t="s">
        <v>14804</v>
      </c>
      <c r="B4222" t="s">
        <v>14805</v>
      </c>
      <c r="C4222" t="s">
        <v>14806</v>
      </c>
      <c r="D4222" t="s">
        <v>617</v>
      </c>
      <c r="E4222" t="s">
        <v>271</v>
      </c>
      <c r="F4222" t="s">
        <v>438</v>
      </c>
    </row>
    <row r="4223" spans="1:6" x14ac:dyDescent="0.25">
      <c r="A4223" t="s">
        <v>14807</v>
      </c>
      <c r="B4223" t="s">
        <v>14808</v>
      </c>
      <c r="C4223" t="s">
        <v>464</v>
      </c>
      <c r="D4223" t="s">
        <v>232</v>
      </c>
      <c r="E4223" t="s">
        <v>271</v>
      </c>
      <c r="F4223" t="s">
        <v>329</v>
      </c>
    </row>
    <row r="4224" spans="1:6" x14ac:dyDescent="0.25">
      <c r="A4224" t="s">
        <v>14809</v>
      </c>
      <c r="B4224" t="s">
        <v>6031</v>
      </c>
      <c r="C4224" t="s">
        <v>14810</v>
      </c>
      <c r="D4224" t="s">
        <v>1210</v>
      </c>
      <c r="E4224" t="s">
        <v>271</v>
      </c>
      <c r="F4224" t="s">
        <v>1209</v>
      </c>
    </row>
    <row r="4225" spans="1:6" x14ac:dyDescent="0.25">
      <c r="A4225" t="s">
        <v>14811</v>
      </c>
      <c r="B4225" t="s">
        <v>14812</v>
      </c>
      <c r="C4225" t="s">
        <v>14813</v>
      </c>
      <c r="D4225" t="s">
        <v>482</v>
      </c>
      <c r="E4225" t="s">
        <v>271</v>
      </c>
      <c r="F4225" t="s">
        <v>483</v>
      </c>
    </row>
    <row r="4226" spans="1:6" x14ac:dyDescent="0.25">
      <c r="A4226" t="s">
        <v>14814</v>
      </c>
      <c r="B4226" t="s">
        <v>14815</v>
      </c>
      <c r="C4226" t="s">
        <v>14816</v>
      </c>
      <c r="D4226" t="s">
        <v>0</v>
      </c>
      <c r="E4226" t="s">
        <v>271</v>
      </c>
      <c r="F4226" t="s">
        <v>436</v>
      </c>
    </row>
    <row r="4227" spans="1:6" x14ac:dyDescent="0.25">
      <c r="A4227" t="s">
        <v>14817</v>
      </c>
      <c r="B4227" t="s">
        <v>14818</v>
      </c>
      <c r="C4227" t="s">
        <v>14819</v>
      </c>
      <c r="D4227" t="s">
        <v>0</v>
      </c>
      <c r="E4227" t="s">
        <v>271</v>
      </c>
      <c r="F4227" t="s">
        <v>356</v>
      </c>
    </row>
    <row r="4228" spans="1:6" x14ac:dyDescent="0.25">
      <c r="A4228" t="s">
        <v>14820</v>
      </c>
      <c r="B4228" t="s">
        <v>14821</v>
      </c>
      <c r="C4228" t="s">
        <v>14822</v>
      </c>
      <c r="D4228" t="s">
        <v>232</v>
      </c>
      <c r="E4228" t="s">
        <v>271</v>
      </c>
      <c r="F4228" t="s">
        <v>329</v>
      </c>
    </row>
    <row r="4229" spans="1:6" x14ac:dyDescent="0.25">
      <c r="A4229" t="s">
        <v>14823</v>
      </c>
      <c r="B4229" t="s">
        <v>14824</v>
      </c>
      <c r="C4229" t="s">
        <v>14825</v>
      </c>
      <c r="D4229" t="s">
        <v>232</v>
      </c>
      <c r="E4229" t="s">
        <v>271</v>
      </c>
      <c r="F4229" t="s">
        <v>329</v>
      </c>
    </row>
    <row r="4230" spans="1:6" x14ac:dyDescent="0.25">
      <c r="A4230" t="s">
        <v>14826</v>
      </c>
      <c r="B4230" t="s">
        <v>14827</v>
      </c>
      <c r="C4230" t="s">
        <v>14828</v>
      </c>
      <c r="D4230" t="s">
        <v>340</v>
      </c>
      <c r="E4230" t="s">
        <v>271</v>
      </c>
      <c r="F4230" t="s">
        <v>317</v>
      </c>
    </row>
    <row r="4231" spans="1:6" x14ac:dyDescent="0.25">
      <c r="A4231" t="s">
        <v>14829</v>
      </c>
      <c r="B4231" t="s">
        <v>14830</v>
      </c>
      <c r="C4231" t="s">
        <v>14831</v>
      </c>
      <c r="D4231" t="s">
        <v>0</v>
      </c>
      <c r="E4231" t="s">
        <v>271</v>
      </c>
      <c r="F4231" t="s">
        <v>1141</v>
      </c>
    </row>
    <row r="4232" spans="1:6" x14ac:dyDescent="0.25">
      <c r="A4232" t="s">
        <v>14832</v>
      </c>
      <c r="B4232" t="s">
        <v>14833</v>
      </c>
      <c r="C4232" t="s">
        <v>14834</v>
      </c>
      <c r="D4232" t="s">
        <v>0</v>
      </c>
      <c r="E4232" t="s">
        <v>271</v>
      </c>
      <c r="F4232" t="s">
        <v>575</v>
      </c>
    </row>
    <row r="4233" spans="1:6" x14ac:dyDescent="0.25">
      <c r="A4233" t="s">
        <v>14835</v>
      </c>
      <c r="B4233" t="s">
        <v>14836</v>
      </c>
      <c r="C4233" t="s">
        <v>14837</v>
      </c>
      <c r="D4233" t="s">
        <v>466</v>
      </c>
      <c r="E4233" t="s">
        <v>271</v>
      </c>
      <c r="F4233" t="s">
        <v>434</v>
      </c>
    </row>
    <row r="4234" spans="1:6" x14ac:dyDescent="0.25">
      <c r="A4234" t="s">
        <v>736</v>
      </c>
      <c r="B4234" t="s">
        <v>737</v>
      </c>
      <c r="C4234" t="s">
        <v>738</v>
      </c>
      <c r="D4234" t="s">
        <v>0</v>
      </c>
      <c r="E4234" t="s">
        <v>271</v>
      </c>
      <c r="F4234" t="s">
        <v>325</v>
      </c>
    </row>
    <row r="4235" spans="1:6" x14ac:dyDescent="0.25">
      <c r="A4235" t="s">
        <v>14838</v>
      </c>
      <c r="B4235" t="s">
        <v>14119</v>
      </c>
      <c r="C4235" t="s">
        <v>9560</v>
      </c>
      <c r="D4235" t="s">
        <v>540</v>
      </c>
      <c r="E4235" t="s">
        <v>271</v>
      </c>
      <c r="F4235" t="s">
        <v>339</v>
      </c>
    </row>
    <row r="4236" spans="1:6" x14ac:dyDescent="0.25">
      <c r="A4236" t="s">
        <v>14839</v>
      </c>
      <c r="B4236" t="s">
        <v>14840</v>
      </c>
      <c r="C4236" t="s">
        <v>14841</v>
      </c>
      <c r="D4236" t="s">
        <v>0</v>
      </c>
      <c r="E4236" t="s">
        <v>271</v>
      </c>
      <c r="F4236" t="s">
        <v>325</v>
      </c>
    </row>
    <row r="4237" spans="1:6" x14ac:dyDescent="0.25">
      <c r="A4237" t="s">
        <v>733</v>
      </c>
      <c r="B4237" t="s">
        <v>734</v>
      </c>
      <c r="C4237" t="s">
        <v>735</v>
      </c>
      <c r="D4237" t="s">
        <v>314</v>
      </c>
      <c r="E4237" t="s">
        <v>271</v>
      </c>
      <c r="F4237" t="s">
        <v>370</v>
      </c>
    </row>
    <row r="4238" spans="1:6" x14ac:dyDescent="0.25">
      <c r="A4238" t="s">
        <v>14842</v>
      </c>
      <c r="B4238" t="s">
        <v>14843</v>
      </c>
      <c r="C4238" t="s">
        <v>14844</v>
      </c>
      <c r="D4238" t="s">
        <v>1542</v>
      </c>
      <c r="E4238" t="s">
        <v>269</v>
      </c>
      <c r="F4238" t="s">
        <v>1541</v>
      </c>
    </row>
    <row r="4239" spans="1:6" x14ac:dyDescent="0.25">
      <c r="A4239" t="s">
        <v>14845</v>
      </c>
      <c r="B4239" t="s">
        <v>14846</v>
      </c>
      <c r="C4239" t="s">
        <v>14847</v>
      </c>
      <c r="D4239" t="s">
        <v>361</v>
      </c>
      <c r="E4239" t="s">
        <v>271</v>
      </c>
      <c r="F4239" t="s">
        <v>1563</v>
      </c>
    </row>
    <row r="4240" spans="1:6" x14ac:dyDescent="0.25">
      <c r="A4240" t="s">
        <v>14848</v>
      </c>
      <c r="B4240" t="s">
        <v>14849</v>
      </c>
      <c r="C4240" t="s">
        <v>14850</v>
      </c>
      <c r="D4240" t="s">
        <v>288</v>
      </c>
      <c r="E4240" t="s">
        <v>271</v>
      </c>
      <c r="F4240" t="s">
        <v>316</v>
      </c>
    </row>
    <row r="4241" spans="1:6" x14ac:dyDescent="0.25">
      <c r="A4241" t="s">
        <v>14851</v>
      </c>
      <c r="B4241" t="s">
        <v>14852</v>
      </c>
      <c r="C4241" t="s">
        <v>14853</v>
      </c>
      <c r="D4241" t="s">
        <v>0</v>
      </c>
      <c r="E4241" t="s">
        <v>271</v>
      </c>
      <c r="F4241" t="s">
        <v>4402</v>
      </c>
    </row>
    <row r="4242" spans="1:6" x14ac:dyDescent="0.25">
      <c r="A4242" t="s">
        <v>14854</v>
      </c>
      <c r="B4242" t="s">
        <v>9445</v>
      </c>
      <c r="C4242" t="s">
        <v>14855</v>
      </c>
      <c r="D4242" t="s">
        <v>1032</v>
      </c>
      <c r="E4242" t="s">
        <v>271</v>
      </c>
      <c r="F4242" t="s">
        <v>1031</v>
      </c>
    </row>
    <row r="4243" spans="1:6" x14ac:dyDescent="0.25">
      <c r="A4243" t="s">
        <v>14856</v>
      </c>
      <c r="B4243" t="s">
        <v>244</v>
      </c>
      <c r="C4243" t="s">
        <v>14857</v>
      </c>
      <c r="D4243" t="s">
        <v>402</v>
      </c>
      <c r="E4243" t="s">
        <v>271</v>
      </c>
      <c r="F4243" t="s">
        <v>401</v>
      </c>
    </row>
    <row r="4244" spans="1:6" x14ac:dyDescent="0.25">
      <c r="A4244" t="s">
        <v>14858</v>
      </c>
      <c r="B4244" t="s">
        <v>14859</v>
      </c>
      <c r="C4244" t="s">
        <v>14860</v>
      </c>
      <c r="D4244" t="s">
        <v>3208</v>
      </c>
      <c r="E4244" t="s">
        <v>271</v>
      </c>
      <c r="F4244" t="s">
        <v>3207</v>
      </c>
    </row>
    <row r="4245" spans="1:6" x14ac:dyDescent="0.25">
      <c r="A4245" t="s">
        <v>1946</v>
      </c>
      <c r="B4245" t="s">
        <v>1947</v>
      </c>
      <c r="C4245" t="s">
        <v>1948</v>
      </c>
      <c r="D4245" t="s">
        <v>0</v>
      </c>
      <c r="E4245" t="s">
        <v>271</v>
      </c>
      <c r="F4245" t="s">
        <v>575</v>
      </c>
    </row>
    <row r="4246" spans="1:6" x14ac:dyDescent="0.25">
      <c r="A4246" t="s">
        <v>14861</v>
      </c>
      <c r="B4246" t="s">
        <v>14862</v>
      </c>
      <c r="C4246" t="s">
        <v>14863</v>
      </c>
      <c r="D4246" t="s">
        <v>282</v>
      </c>
      <c r="E4246" t="s">
        <v>271</v>
      </c>
      <c r="F4246" t="s">
        <v>1191</v>
      </c>
    </row>
    <row r="4247" spans="1:6" x14ac:dyDescent="0.25">
      <c r="A4247" t="s">
        <v>14864</v>
      </c>
      <c r="B4247" t="s">
        <v>14865</v>
      </c>
      <c r="C4247" t="s">
        <v>14866</v>
      </c>
      <c r="D4247" t="s">
        <v>4815</v>
      </c>
      <c r="E4247" t="s">
        <v>271</v>
      </c>
      <c r="F4247" t="s">
        <v>2713</v>
      </c>
    </row>
    <row r="4248" spans="1:6" x14ac:dyDescent="0.25">
      <c r="A4248" t="s">
        <v>677</v>
      </c>
      <c r="B4248" t="s">
        <v>678</v>
      </c>
      <c r="C4248" t="s">
        <v>680</v>
      </c>
      <c r="D4248" t="s">
        <v>314</v>
      </c>
      <c r="E4248" t="s">
        <v>271</v>
      </c>
      <c r="F4248" t="s">
        <v>352</v>
      </c>
    </row>
    <row r="4249" spans="1:6" x14ac:dyDescent="0.25">
      <c r="A4249" t="s">
        <v>14867</v>
      </c>
      <c r="B4249" t="s">
        <v>14868</v>
      </c>
      <c r="C4249" t="s">
        <v>14869</v>
      </c>
      <c r="D4249" t="s">
        <v>7173</v>
      </c>
      <c r="E4249" t="s">
        <v>271</v>
      </c>
      <c r="F4249" t="s">
        <v>3256</v>
      </c>
    </row>
    <row r="4250" spans="1:6" x14ac:dyDescent="0.25">
      <c r="A4250" t="s">
        <v>14870</v>
      </c>
      <c r="B4250" t="s">
        <v>6532</v>
      </c>
      <c r="C4250" t="s">
        <v>14871</v>
      </c>
      <c r="D4250" t="s">
        <v>395</v>
      </c>
      <c r="E4250" t="s">
        <v>341</v>
      </c>
      <c r="F4250" t="s">
        <v>394</v>
      </c>
    </row>
    <row r="4251" spans="1:6" x14ac:dyDescent="0.25">
      <c r="A4251" t="s">
        <v>14872</v>
      </c>
      <c r="B4251" t="s">
        <v>14873</v>
      </c>
      <c r="C4251" t="s">
        <v>14874</v>
      </c>
      <c r="D4251" t="s">
        <v>1925</v>
      </c>
      <c r="E4251" t="s">
        <v>271</v>
      </c>
      <c r="F4251" t="s">
        <v>1924</v>
      </c>
    </row>
    <row r="4252" spans="1:6" x14ac:dyDescent="0.25">
      <c r="A4252" t="s">
        <v>14875</v>
      </c>
      <c r="B4252" t="s">
        <v>14876</v>
      </c>
      <c r="C4252" t="s">
        <v>14877</v>
      </c>
      <c r="D4252" t="s">
        <v>1806</v>
      </c>
      <c r="E4252" t="s">
        <v>271</v>
      </c>
      <c r="F4252" t="s">
        <v>1805</v>
      </c>
    </row>
    <row r="4253" spans="1:6" x14ac:dyDescent="0.25">
      <c r="A4253" t="s">
        <v>2270</v>
      </c>
      <c r="B4253" t="s">
        <v>2271</v>
      </c>
      <c r="C4253" t="s">
        <v>2272</v>
      </c>
      <c r="D4253" t="s">
        <v>1485</v>
      </c>
      <c r="E4253" t="s">
        <v>271</v>
      </c>
      <c r="F4253" t="s">
        <v>1519</v>
      </c>
    </row>
    <row r="4254" spans="1:6" x14ac:dyDescent="0.25">
      <c r="A4254" t="s">
        <v>14878</v>
      </c>
      <c r="B4254" t="s">
        <v>14879</v>
      </c>
      <c r="C4254" t="s">
        <v>14880</v>
      </c>
      <c r="D4254" t="s">
        <v>610</v>
      </c>
      <c r="E4254" t="s">
        <v>271</v>
      </c>
      <c r="F4254" t="s">
        <v>611</v>
      </c>
    </row>
    <row r="4255" spans="1:6" x14ac:dyDescent="0.25">
      <c r="A4255" t="s">
        <v>14881</v>
      </c>
      <c r="B4255" t="s">
        <v>14882</v>
      </c>
      <c r="C4255" t="s">
        <v>14883</v>
      </c>
      <c r="D4255" t="s">
        <v>0</v>
      </c>
      <c r="E4255" t="s">
        <v>271</v>
      </c>
      <c r="F4255" t="s">
        <v>1115</v>
      </c>
    </row>
    <row r="4256" spans="1:6" x14ac:dyDescent="0.25">
      <c r="A4256" t="s">
        <v>14884</v>
      </c>
      <c r="B4256" t="s">
        <v>14885</v>
      </c>
      <c r="C4256" t="s">
        <v>14886</v>
      </c>
      <c r="D4256" t="s">
        <v>1210</v>
      </c>
      <c r="E4256" t="s">
        <v>271</v>
      </c>
      <c r="F4256" t="s">
        <v>2115</v>
      </c>
    </row>
    <row r="4257" spans="1:6" x14ac:dyDescent="0.25">
      <c r="A4257" t="s">
        <v>14887</v>
      </c>
      <c r="B4257" t="s">
        <v>14888</v>
      </c>
      <c r="C4257" t="s">
        <v>6342</v>
      </c>
      <c r="D4257" t="s">
        <v>0</v>
      </c>
      <c r="E4257" t="s">
        <v>271</v>
      </c>
      <c r="F4257" t="s">
        <v>3672</v>
      </c>
    </row>
    <row r="4258" spans="1:6" x14ac:dyDescent="0.25">
      <c r="A4258" t="s">
        <v>1758</v>
      </c>
      <c r="B4258" t="s">
        <v>1759</v>
      </c>
      <c r="C4258" t="s">
        <v>1760</v>
      </c>
      <c r="D4258" t="s">
        <v>238</v>
      </c>
      <c r="E4258" t="s">
        <v>271</v>
      </c>
      <c r="F4258" t="s">
        <v>470</v>
      </c>
    </row>
    <row r="4259" spans="1:6" x14ac:dyDescent="0.25">
      <c r="A4259" t="s">
        <v>14889</v>
      </c>
      <c r="B4259" t="s">
        <v>14890</v>
      </c>
      <c r="C4259" t="s">
        <v>14891</v>
      </c>
      <c r="D4259" t="s">
        <v>556</v>
      </c>
      <c r="E4259" t="s">
        <v>271</v>
      </c>
      <c r="F4259" t="s">
        <v>1567</v>
      </c>
    </row>
    <row r="4260" spans="1:6" x14ac:dyDescent="0.25">
      <c r="A4260" t="s">
        <v>14892</v>
      </c>
      <c r="B4260" t="s">
        <v>14893</v>
      </c>
      <c r="C4260" t="s">
        <v>14894</v>
      </c>
      <c r="D4260" t="s">
        <v>510</v>
      </c>
      <c r="E4260" t="s">
        <v>271</v>
      </c>
      <c r="F4260" t="s">
        <v>1829</v>
      </c>
    </row>
    <row r="4261" spans="1:6" x14ac:dyDescent="0.25">
      <c r="A4261" t="s">
        <v>14895</v>
      </c>
      <c r="B4261" t="s">
        <v>14896</v>
      </c>
      <c r="C4261" t="s">
        <v>14897</v>
      </c>
      <c r="D4261" t="s">
        <v>1303</v>
      </c>
      <c r="E4261" t="s">
        <v>269</v>
      </c>
      <c r="F4261" t="s">
        <v>1302</v>
      </c>
    </row>
    <row r="4262" spans="1:6" x14ac:dyDescent="0.25">
      <c r="A4262" t="s">
        <v>14898</v>
      </c>
      <c r="B4262" t="s">
        <v>14899</v>
      </c>
      <c r="C4262" t="s">
        <v>14900</v>
      </c>
      <c r="D4262" t="s">
        <v>446</v>
      </c>
      <c r="E4262" t="s">
        <v>271</v>
      </c>
      <c r="F4262" t="s">
        <v>447</v>
      </c>
    </row>
    <row r="4263" spans="1:6" x14ac:dyDescent="0.25">
      <c r="A4263" t="s">
        <v>14901</v>
      </c>
      <c r="B4263" t="s">
        <v>14902</v>
      </c>
      <c r="C4263" t="s">
        <v>14903</v>
      </c>
      <c r="D4263" t="s">
        <v>980</v>
      </c>
      <c r="E4263" t="s">
        <v>271</v>
      </c>
      <c r="F4263" t="s">
        <v>979</v>
      </c>
    </row>
    <row r="4264" spans="1:6" x14ac:dyDescent="0.25">
      <c r="A4264" t="s">
        <v>795</v>
      </c>
      <c r="B4264" t="s">
        <v>796</v>
      </c>
      <c r="C4264" t="s">
        <v>799</v>
      </c>
      <c r="D4264" t="s">
        <v>258</v>
      </c>
      <c r="E4264" t="s">
        <v>271</v>
      </c>
      <c r="F4264" t="s">
        <v>524</v>
      </c>
    </row>
    <row r="4265" spans="1:6" x14ac:dyDescent="0.25">
      <c r="A4265" t="s">
        <v>14904</v>
      </c>
      <c r="B4265" t="s">
        <v>14905</v>
      </c>
      <c r="C4265" t="s">
        <v>14906</v>
      </c>
      <c r="D4265" t="s">
        <v>282</v>
      </c>
      <c r="E4265" t="s">
        <v>271</v>
      </c>
      <c r="F4265" t="s">
        <v>1191</v>
      </c>
    </row>
    <row r="4266" spans="1:6" x14ac:dyDescent="0.25">
      <c r="A4266" t="s">
        <v>14907</v>
      </c>
      <c r="B4266" t="s">
        <v>14908</v>
      </c>
      <c r="C4266" t="s">
        <v>14909</v>
      </c>
      <c r="D4266" t="s">
        <v>793</v>
      </c>
      <c r="E4266" t="s">
        <v>271</v>
      </c>
      <c r="F4266" t="s">
        <v>792</v>
      </c>
    </row>
    <row r="4267" spans="1:6" x14ac:dyDescent="0.25">
      <c r="A4267" t="s">
        <v>14910</v>
      </c>
      <c r="B4267" t="s">
        <v>14911</v>
      </c>
      <c r="C4267" t="s">
        <v>3975</v>
      </c>
      <c r="D4267" t="s">
        <v>0</v>
      </c>
      <c r="E4267" t="s">
        <v>271</v>
      </c>
      <c r="F4267" t="s">
        <v>881</v>
      </c>
    </row>
    <row r="4268" spans="1:6" x14ac:dyDescent="0.25">
      <c r="A4268" t="s">
        <v>14912</v>
      </c>
      <c r="B4268" t="s">
        <v>14913</v>
      </c>
      <c r="C4268" t="s">
        <v>14914</v>
      </c>
      <c r="D4268" t="s">
        <v>1079</v>
      </c>
      <c r="E4268" t="s">
        <v>271</v>
      </c>
      <c r="F4268" t="s">
        <v>1078</v>
      </c>
    </row>
    <row r="4269" spans="1:6" x14ac:dyDescent="0.25">
      <c r="A4269" t="s">
        <v>14915</v>
      </c>
      <c r="B4269" t="s">
        <v>14916</v>
      </c>
      <c r="C4269" t="s">
        <v>14917</v>
      </c>
      <c r="D4269" t="s">
        <v>492</v>
      </c>
      <c r="E4269" t="s">
        <v>271</v>
      </c>
      <c r="F4269" t="s">
        <v>1221</v>
      </c>
    </row>
    <row r="4270" spans="1:6" x14ac:dyDescent="0.25">
      <c r="A4270" t="s">
        <v>14918</v>
      </c>
      <c r="B4270" t="s">
        <v>14919</v>
      </c>
      <c r="C4270" t="s">
        <v>14920</v>
      </c>
      <c r="D4270" t="s">
        <v>1126</v>
      </c>
      <c r="E4270" t="s">
        <v>271</v>
      </c>
      <c r="F4270" t="s">
        <v>1125</v>
      </c>
    </row>
    <row r="4271" spans="1:6" x14ac:dyDescent="0.25">
      <c r="A4271" t="s">
        <v>14921</v>
      </c>
      <c r="B4271" t="s">
        <v>14922</v>
      </c>
      <c r="C4271" t="s">
        <v>14923</v>
      </c>
      <c r="D4271" t="s">
        <v>967</v>
      </c>
      <c r="E4271" t="s">
        <v>271</v>
      </c>
      <c r="F4271" t="s">
        <v>966</v>
      </c>
    </row>
    <row r="4272" spans="1:6" x14ac:dyDescent="0.25">
      <c r="A4272" t="s">
        <v>14924</v>
      </c>
      <c r="B4272" t="s">
        <v>14925</v>
      </c>
      <c r="C4272" t="s">
        <v>10406</v>
      </c>
      <c r="D4272" t="s">
        <v>466</v>
      </c>
      <c r="E4272" t="s">
        <v>271</v>
      </c>
      <c r="F4272" t="s">
        <v>434</v>
      </c>
    </row>
    <row r="4273" spans="1:6" x14ac:dyDescent="0.25">
      <c r="A4273" t="s">
        <v>14926</v>
      </c>
      <c r="B4273" t="s">
        <v>8450</v>
      </c>
      <c r="C4273" t="s">
        <v>14927</v>
      </c>
      <c r="D4273" t="s">
        <v>241</v>
      </c>
      <c r="E4273" t="s">
        <v>271</v>
      </c>
      <c r="F4273" t="s">
        <v>548</v>
      </c>
    </row>
    <row r="4274" spans="1:6" x14ac:dyDescent="0.25">
      <c r="A4274" t="s">
        <v>3375</v>
      </c>
      <c r="B4274" t="s">
        <v>3376</v>
      </c>
      <c r="C4274" t="s">
        <v>3379</v>
      </c>
      <c r="D4274" t="s">
        <v>3378</v>
      </c>
      <c r="E4274" t="s">
        <v>271</v>
      </c>
      <c r="F4274" t="s">
        <v>3377</v>
      </c>
    </row>
    <row r="4275" spans="1:6" x14ac:dyDescent="0.25">
      <c r="A4275" t="s">
        <v>934</v>
      </c>
      <c r="B4275" t="s">
        <v>935</v>
      </c>
      <c r="C4275" t="s">
        <v>937</v>
      </c>
      <c r="D4275" t="s">
        <v>361</v>
      </c>
      <c r="E4275" t="s">
        <v>271</v>
      </c>
      <c r="F4275" t="s">
        <v>582</v>
      </c>
    </row>
    <row r="4276" spans="1:6" x14ac:dyDescent="0.25">
      <c r="A4276" t="s">
        <v>14928</v>
      </c>
      <c r="B4276" t="s">
        <v>14929</v>
      </c>
      <c r="C4276" t="s">
        <v>14930</v>
      </c>
      <c r="D4276" t="s">
        <v>248</v>
      </c>
      <c r="E4276" t="s">
        <v>271</v>
      </c>
      <c r="F4276" t="s">
        <v>303</v>
      </c>
    </row>
    <row r="4277" spans="1:6" x14ac:dyDescent="0.25">
      <c r="A4277" t="s">
        <v>14931</v>
      </c>
      <c r="B4277" t="s">
        <v>14932</v>
      </c>
      <c r="C4277" t="s">
        <v>14933</v>
      </c>
      <c r="D4277" t="s">
        <v>498</v>
      </c>
      <c r="E4277" t="s">
        <v>271</v>
      </c>
      <c r="F4277" t="s">
        <v>926</v>
      </c>
    </row>
    <row r="4278" spans="1:6" x14ac:dyDescent="0.25">
      <c r="A4278" t="s">
        <v>14934</v>
      </c>
      <c r="B4278" t="s">
        <v>14935</v>
      </c>
      <c r="C4278" t="s">
        <v>14936</v>
      </c>
      <c r="D4278" t="s">
        <v>0</v>
      </c>
      <c r="E4278" t="s">
        <v>271</v>
      </c>
      <c r="F4278" t="s">
        <v>881</v>
      </c>
    </row>
    <row r="4279" spans="1:6" x14ac:dyDescent="0.25">
      <c r="A4279" t="s">
        <v>14937</v>
      </c>
      <c r="B4279" t="s">
        <v>14938</v>
      </c>
      <c r="C4279" t="s">
        <v>14939</v>
      </c>
      <c r="D4279" t="s">
        <v>0</v>
      </c>
      <c r="E4279" t="s">
        <v>271</v>
      </c>
      <c r="F4279" t="s">
        <v>1321</v>
      </c>
    </row>
    <row r="4280" spans="1:6" x14ac:dyDescent="0.25">
      <c r="A4280" t="s">
        <v>1808</v>
      </c>
      <c r="B4280" t="s">
        <v>1809</v>
      </c>
      <c r="C4280" t="s">
        <v>1810</v>
      </c>
      <c r="D4280" t="s">
        <v>258</v>
      </c>
      <c r="E4280" t="s">
        <v>271</v>
      </c>
      <c r="F4280" t="s">
        <v>524</v>
      </c>
    </row>
    <row r="4281" spans="1:6" x14ac:dyDescent="0.25">
      <c r="A4281" t="s">
        <v>14940</v>
      </c>
      <c r="B4281" t="s">
        <v>14941</v>
      </c>
      <c r="C4281" t="s">
        <v>14942</v>
      </c>
      <c r="D4281" t="s">
        <v>3668</v>
      </c>
      <c r="E4281" t="s">
        <v>271</v>
      </c>
      <c r="F4281" t="s">
        <v>844</v>
      </c>
    </row>
    <row r="4282" spans="1:6" x14ac:dyDescent="0.25">
      <c r="A4282" t="s">
        <v>14943</v>
      </c>
      <c r="B4282" t="s">
        <v>10630</v>
      </c>
      <c r="C4282" t="s">
        <v>14944</v>
      </c>
      <c r="D4282" t="s">
        <v>0</v>
      </c>
      <c r="E4282" t="s">
        <v>271</v>
      </c>
      <c r="F4282" t="s">
        <v>688</v>
      </c>
    </row>
    <row r="4283" spans="1:6" x14ac:dyDescent="0.25">
      <c r="A4283" t="s">
        <v>14945</v>
      </c>
      <c r="B4283" t="s">
        <v>14946</v>
      </c>
      <c r="C4283" t="s">
        <v>14947</v>
      </c>
      <c r="D4283" t="s">
        <v>1286</v>
      </c>
      <c r="E4283" t="s">
        <v>269</v>
      </c>
      <c r="F4283" t="s">
        <v>1285</v>
      </c>
    </row>
    <row r="4284" spans="1:6" x14ac:dyDescent="0.25">
      <c r="A4284" t="s">
        <v>14948</v>
      </c>
      <c r="B4284" t="s">
        <v>14949</v>
      </c>
      <c r="C4284" t="s">
        <v>14950</v>
      </c>
      <c r="D4284" t="s">
        <v>1643</v>
      </c>
      <c r="E4284" t="s">
        <v>271</v>
      </c>
      <c r="F4284" t="s">
        <v>4416</v>
      </c>
    </row>
    <row r="4285" spans="1:6" x14ac:dyDescent="0.25">
      <c r="A4285" t="s">
        <v>14951</v>
      </c>
      <c r="B4285" t="s">
        <v>14952</v>
      </c>
      <c r="C4285" t="s">
        <v>14953</v>
      </c>
      <c r="D4285" t="s">
        <v>967</v>
      </c>
      <c r="E4285" t="s">
        <v>271</v>
      </c>
      <c r="F4285" t="s">
        <v>966</v>
      </c>
    </row>
    <row r="4286" spans="1:6" x14ac:dyDescent="0.25">
      <c r="A4286" t="s">
        <v>14954</v>
      </c>
      <c r="B4286" t="s">
        <v>14955</v>
      </c>
      <c r="C4286" t="s">
        <v>14956</v>
      </c>
      <c r="D4286" t="s">
        <v>11267</v>
      </c>
      <c r="E4286" t="s">
        <v>269</v>
      </c>
      <c r="F4286" t="s">
        <v>11268</v>
      </c>
    </row>
    <row r="4287" spans="1:6" x14ac:dyDescent="0.25">
      <c r="A4287" t="s">
        <v>14957</v>
      </c>
      <c r="B4287" t="s">
        <v>14958</v>
      </c>
      <c r="C4287" t="s">
        <v>14959</v>
      </c>
      <c r="D4287" t="s">
        <v>498</v>
      </c>
      <c r="E4287" t="s">
        <v>271</v>
      </c>
      <c r="F4287" t="s">
        <v>926</v>
      </c>
    </row>
    <row r="4288" spans="1:6" x14ac:dyDescent="0.25">
      <c r="A4288" t="s">
        <v>14960</v>
      </c>
      <c r="B4288" t="s">
        <v>14961</v>
      </c>
      <c r="C4288" t="s">
        <v>14962</v>
      </c>
      <c r="D4288" t="s">
        <v>1165</v>
      </c>
      <c r="E4288" t="s">
        <v>271</v>
      </c>
      <c r="F4288" t="s">
        <v>1164</v>
      </c>
    </row>
    <row r="4289" spans="1:6" x14ac:dyDescent="0.25">
      <c r="A4289" t="s">
        <v>14963</v>
      </c>
      <c r="B4289" t="s">
        <v>14964</v>
      </c>
      <c r="C4289" t="s">
        <v>14965</v>
      </c>
      <c r="D4289" t="s">
        <v>237</v>
      </c>
      <c r="E4289" t="s">
        <v>271</v>
      </c>
      <c r="F4289" t="s">
        <v>427</v>
      </c>
    </row>
    <row r="4290" spans="1:6" x14ac:dyDescent="0.25">
      <c r="A4290" t="s">
        <v>14966</v>
      </c>
      <c r="B4290" t="s">
        <v>5258</v>
      </c>
      <c r="C4290" t="s">
        <v>14967</v>
      </c>
      <c r="D4290" t="s">
        <v>1559</v>
      </c>
      <c r="E4290" t="s">
        <v>271</v>
      </c>
      <c r="F4290" t="s">
        <v>1558</v>
      </c>
    </row>
    <row r="4291" spans="1:6" x14ac:dyDescent="0.25">
      <c r="A4291" t="s">
        <v>14968</v>
      </c>
      <c r="B4291" t="s">
        <v>14969</v>
      </c>
      <c r="C4291" t="s">
        <v>14970</v>
      </c>
      <c r="D4291" t="s">
        <v>0</v>
      </c>
      <c r="E4291" t="s">
        <v>271</v>
      </c>
      <c r="F4291" t="s">
        <v>431</v>
      </c>
    </row>
    <row r="4292" spans="1:6" x14ac:dyDescent="0.25">
      <c r="A4292" t="s">
        <v>14971</v>
      </c>
      <c r="B4292" t="s">
        <v>14972</v>
      </c>
      <c r="C4292" t="s">
        <v>14973</v>
      </c>
      <c r="D4292" t="s">
        <v>222</v>
      </c>
      <c r="E4292" t="s">
        <v>271</v>
      </c>
      <c r="F4292" t="s">
        <v>4414</v>
      </c>
    </row>
    <row r="4293" spans="1:6" x14ac:dyDescent="0.25">
      <c r="A4293" t="s">
        <v>14974</v>
      </c>
      <c r="B4293" t="s">
        <v>14975</v>
      </c>
      <c r="C4293" t="s">
        <v>14976</v>
      </c>
      <c r="D4293" t="s">
        <v>0</v>
      </c>
      <c r="E4293" t="s">
        <v>271</v>
      </c>
      <c r="F4293" t="s">
        <v>436</v>
      </c>
    </row>
    <row r="4294" spans="1:6" x14ac:dyDescent="0.25">
      <c r="A4294" t="s">
        <v>14977</v>
      </c>
      <c r="B4294" t="s">
        <v>14978</v>
      </c>
      <c r="C4294" t="s">
        <v>14979</v>
      </c>
      <c r="D4294" t="s">
        <v>453</v>
      </c>
      <c r="E4294" t="s">
        <v>271</v>
      </c>
      <c r="F4294" t="s">
        <v>2285</v>
      </c>
    </row>
    <row r="4295" spans="1:6" x14ac:dyDescent="0.25">
      <c r="A4295" t="s">
        <v>14980</v>
      </c>
      <c r="B4295" t="s">
        <v>14981</v>
      </c>
      <c r="C4295" t="s">
        <v>14982</v>
      </c>
      <c r="D4295" t="s">
        <v>830</v>
      </c>
      <c r="E4295" t="s">
        <v>271</v>
      </c>
      <c r="F4295" t="s">
        <v>829</v>
      </c>
    </row>
    <row r="4296" spans="1:6" x14ac:dyDescent="0.25">
      <c r="A4296" t="s">
        <v>14983</v>
      </c>
      <c r="B4296" t="s">
        <v>14984</v>
      </c>
      <c r="C4296" t="s">
        <v>14985</v>
      </c>
      <c r="D4296" t="s">
        <v>4486</v>
      </c>
      <c r="E4296" t="s">
        <v>271</v>
      </c>
      <c r="F4296" t="s">
        <v>4417</v>
      </c>
    </row>
    <row r="4297" spans="1:6" x14ac:dyDescent="0.25">
      <c r="A4297" t="s">
        <v>14986</v>
      </c>
      <c r="B4297" t="s">
        <v>14987</v>
      </c>
      <c r="C4297" t="s">
        <v>14988</v>
      </c>
      <c r="D4297" t="s">
        <v>312</v>
      </c>
      <c r="E4297" t="s">
        <v>271</v>
      </c>
      <c r="F4297" t="s">
        <v>311</v>
      </c>
    </row>
    <row r="4298" spans="1:6" x14ac:dyDescent="0.25">
      <c r="A4298" t="s">
        <v>3102</v>
      </c>
      <c r="B4298" t="s">
        <v>3103</v>
      </c>
      <c r="C4298" t="s">
        <v>3104</v>
      </c>
      <c r="D4298" t="s">
        <v>453</v>
      </c>
      <c r="E4298" t="s">
        <v>271</v>
      </c>
      <c r="F4298" t="s">
        <v>2285</v>
      </c>
    </row>
    <row r="4299" spans="1:6" x14ac:dyDescent="0.25">
      <c r="A4299" t="s">
        <v>14989</v>
      </c>
      <c r="B4299" t="s">
        <v>14990</v>
      </c>
      <c r="C4299" t="s">
        <v>14991</v>
      </c>
      <c r="D4299" t="s">
        <v>314</v>
      </c>
      <c r="E4299" t="s">
        <v>271</v>
      </c>
      <c r="F4299" t="s">
        <v>352</v>
      </c>
    </row>
    <row r="4300" spans="1:6" x14ac:dyDescent="0.25">
      <c r="A4300" t="s">
        <v>14992</v>
      </c>
      <c r="B4300" t="s">
        <v>14993</v>
      </c>
      <c r="C4300" t="s">
        <v>14994</v>
      </c>
      <c r="D4300" t="s">
        <v>556</v>
      </c>
      <c r="E4300" t="s">
        <v>271</v>
      </c>
      <c r="F4300" t="s">
        <v>1567</v>
      </c>
    </row>
    <row r="4301" spans="1:6" x14ac:dyDescent="0.25">
      <c r="A4301" t="s">
        <v>14995</v>
      </c>
      <c r="B4301" t="s">
        <v>14996</v>
      </c>
      <c r="C4301" t="s">
        <v>14997</v>
      </c>
      <c r="D4301" t="s">
        <v>0</v>
      </c>
      <c r="E4301" t="s">
        <v>271</v>
      </c>
      <c r="F4301" t="s">
        <v>4387</v>
      </c>
    </row>
    <row r="4302" spans="1:6" x14ac:dyDescent="0.25">
      <c r="A4302" t="s">
        <v>14998</v>
      </c>
      <c r="B4302" t="s">
        <v>14999</v>
      </c>
      <c r="C4302" t="s">
        <v>15000</v>
      </c>
      <c r="D4302" t="s">
        <v>492</v>
      </c>
      <c r="E4302" t="s">
        <v>271</v>
      </c>
      <c r="F4302" t="s">
        <v>493</v>
      </c>
    </row>
    <row r="4303" spans="1:6" x14ac:dyDescent="0.25">
      <c r="A4303" t="s">
        <v>15001</v>
      </c>
      <c r="B4303" t="s">
        <v>15002</v>
      </c>
      <c r="C4303" t="s">
        <v>15003</v>
      </c>
      <c r="D4303" t="s">
        <v>278</v>
      </c>
      <c r="E4303" t="s">
        <v>271</v>
      </c>
      <c r="F4303" t="s">
        <v>512</v>
      </c>
    </row>
    <row r="4304" spans="1:6" x14ac:dyDescent="0.25">
      <c r="A4304" t="s">
        <v>15004</v>
      </c>
      <c r="B4304" t="s">
        <v>15005</v>
      </c>
      <c r="C4304" t="s">
        <v>15006</v>
      </c>
      <c r="D4304" t="s">
        <v>1643</v>
      </c>
      <c r="E4304" t="s">
        <v>271</v>
      </c>
      <c r="F4304" t="s">
        <v>1642</v>
      </c>
    </row>
    <row r="4305" spans="1:6" x14ac:dyDescent="0.25">
      <c r="A4305" t="s">
        <v>15007</v>
      </c>
      <c r="B4305" t="s">
        <v>15008</v>
      </c>
      <c r="C4305" t="s">
        <v>15009</v>
      </c>
      <c r="D4305" t="s">
        <v>8593</v>
      </c>
      <c r="E4305" t="s">
        <v>271</v>
      </c>
      <c r="F4305" t="s">
        <v>4385</v>
      </c>
    </row>
    <row r="4306" spans="1:6" x14ac:dyDescent="0.25">
      <c r="A4306" t="s">
        <v>15010</v>
      </c>
      <c r="B4306" t="s">
        <v>15011</v>
      </c>
      <c r="C4306" t="s">
        <v>15012</v>
      </c>
      <c r="D4306" t="s">
        <v>272</v>
      </c>
      <c r="E4306" t="s">
        <v>269</v>
      </c>
      <c r="F4306" t="s">
        <v>907</v>
      </c>
    </row>
    <row r="4307" spans="1:6" x14ac:dyDescent="0.25">
      <c r="A4307" t="s">
        <v>15013</v>
      </c>
      <c r="B4307" t="s">
        <v>15014</v>
      </c>
      <c r="C4307" t="s">
        <v>15015</v>
      </c>
      <c r="D4307" t="s">
        <v>0</v>
      </c>
      <c r="E4307" t="s">
        <v>271</v>
      </c>
      <c r="F4307" t="s">
        <v>1214</v>
      </c>
    </row>
    <row r="4308" spans="1:6" x14ac:dyDescent="0.25">
      <c r="A4308" t="s">
        <v>15016</v>
      </c>
      <c r="B4308" t="s">
        <v>15017</v>
      </c>
      <c r="C4308" t="s">
        <v>15018</v>
      </c>
      <c r="D4308" t="s">
        <v>1648</v>
      </c>
      <c r="E4308" t="s">
        <v>271</v>
      </c>
      <c r="F4308" t="s">
        <v>1647</v>
      </c>
    </row>
    <row r="4309" spans="1:6" x14ac:dyDescent="0.25">
      <c r="A4309" t="s">
        <v>15019</v>
      </c>
      <c r="B4309" t="s">
        <v>15020</v>
      </c>
      <c r="C4309" t="s">
        <v>15021</v>
      </c>
      <c r="D4309" t="s">
        <v>237</v>
      </c>
      <c r="E4309" t="s">
        <v>271</v>
      </c>
      <c r="F4309" t="s">
        <v>427</v>
      </c>
    </row>
    <row r="4310" spans="1:6" x14ac:dyDescent="0.25">
      <c r="A4310" t="s">
        <v>15022</v>
      </c>
      <c r="B4310" t="s">
        <v>15023</v>
      </c>
      <c r="C4310" t="s">
        <v>15024</v>
      </c>
      <c r="D4310" t="s">
        <v>1303</v>
      </c>
      <c r="E4310" t="s">
        <v>269</v>
      </c>
      <c r="F4310" t="s">
        <v>1302</v>
      </c>
    </row>
    <row r="4311" spans="1:6" x14ac:dyDescent="0.25">
      <c r="A4311" t="s">
        <v>15025</v>
      </c>
      <c r="B4311" t="s">
        <v>6625</v>
      </c>
      <c r="C4311" t="s">
        <v>15026</v>
      </c>
      <c r="D4311" t="s">
        <v>492</v>
      </c>
      <c r="E4311" t="s">
        <v>271</v>
      </c>
      <c r="F4311" t="s">
        <v>493</v>
      </c>
    </row>
    <row r="4312" spans="1:6" x14ac:dyDescent="0.25">
      <c r="A4312" t="s">
        <v>15027</v>
      </c>
      <c r="B4312" t="s">
        <v>15028</v>
      </c>
      <c r="C4312" t="s">
        <v>15029</v>
      </c>
      <c r="D4312" t="s">
        <v>830</v>
      </c>
      <c r="E4312" t="s">
        <v>271</v>
      </c>
      <c r="F4312" t="s">
        <v>829</v>
      </c>
    </row>
    <row r="4313" spans="1:6" x14ac:dyDescent="0.25">
      <c r="A4313" t="s">
        <v>15030</v>
      </c>
      <c r="B4313" t="s">
        <v>15031</v>
      </c>
      <c r="C4313" t="s">
        <v>15032</v>
      </c>
      <c r="D4313" t="s">
        <v>0</v>
      </c>
      <c r="E4313" t="s">
        <v>271</v>
      </c>
      <c r="F4313" t="s">
        <v>325</v>
      </c>
    </row>
    <row r="4314" spans="1:6" x14ac:dyDescent="0.25">
      <c r="A4314" t="s">
        <v>15033</v>
      </c>
      <c r="B4314" t="s">
        <v>15034</v>
      </c>
      <c r="C4314" t="s">
        <v>15035</v>
      </c>
      <c r="D4314" t="s">
        <v>0</v>
      </c>
      <c r="E4314" t="s">
        <v>271</v>
      </c>
      <c r="F4314" t="s">
        <v>356</v>
      </c>
    </row>
    <row r="4315" spans="1:6" x14ac:dyDescent="0.25">
      <c r="A4315" t="s">
        <v>15036</v>
      </c>
      <c r="B4315" t="s">
        <v>15037</v>
      </c>
      <c r="C4315" t="s">
        <v>15038</v>
      </c>
      <c r="D4315" t="s">
        <v>506</v>
      </c>
      <c r="E4315" t="s">
        <v>271</v>
      </c>
      <c r="F4315" t="s">
        <v>507</v>
      </c>
    </row>
    <row r="4316" spans="1:6" x14ac:dyDescent="0.25">
      <c r="A4316" t="s">
        <v>15039</v>
      </c>
      <c r="B4316" t="s">
        <v>15040</v>
      </c>
      <c r="C4316" t="s">
        <v>15041</v>
      </c>
      <c r="D4316" t="s">
        <v>718</v>
      </c>
      <c r="E4316" t="s">
        <v>271</v>
      </c>
      <c r="F4316" t="s">
        <v>333</v>
      </c>
    </row>
    <row r="4317" spans="1:6" x14ac:dyDescent="0.25">
      <c r="A4317" t="s">
        <v>15042</v>
      </c>
      <c r="B4317" t="s">
        <v>15043</v>
      </c>
      <c r="C4317" t="s">
        <v>15044</v>
      </c>
      <c r="D4317" t="s">
        <v>4957</v>
      </c>
      <c r="E4317" t="s">
        <v>271</v>
      </c>
      <c r="F4317" t="s">
        <v>4409</v>
      </c>
    </row>
    <row r="4318" spans="1:6" x14ac:dyDescent="0.25">
      <c r="A4318" t="s">
        <v>15045</v>
      </c>
      <c r="B4318" t="s">
        <v>15046</v>
      </c>
      <c r="C4318" t="s">
        <v>2275</v>
      </c>
      <c r="D4318" t="s">
        <v>0</v>
      </c>
      <c r="E4318" t="s">
        <v>271</v>
      </c>
      <c r="F4318" t="s">
        <v>731</v>
      </c>
    </row>
    <row r="4319" spans="1:6" x14ac:dyDescent="0.25">
      <c r="A4319" t="s">
        <v>15047</v>
      </c>
      <c r="B4319" t="s">
        <v>15048</v>
      </c>
      <c r="C4319" t="s">
        <v>15049</v>
      </c>
      <c r="D4319" t="s">
        <v>1303</v>
      </c>
      <c r="E4319" t="s">
        <v>269</v>
      </c>
      <c r="F4319" t="s">
        <v>1302</v>
      </c>
    </row>
    <row r="4320" spans="1:6" x14ac:dyDescent="0.25">
      <c r="A4320" t="s">
        <v>15050</v>
      </c>
      <c r="B4320" t="s">
        <v>15051</v>
      </c>
      <c r="C4320" t="s">
        <v>15052</v>
      </c>
      <c r="D4320" t="s">
        <v>2116</v>
      </c>
      <c r="E4320" t="s">
        <v>271</v>
      </c>
      <c r="F4320" t="s">
        <v>2115</v>
      </c>
    </row>
    <row r="4321" spans="1:6" x14ac:dyDescent="0.25">
      <c r="A4321" t="s">
        <v>15053</v>
      </c>
      <c r="B4321" t="s">
        <v>15054</v>
      </c>
      <c r="C4321" t="s">
        <v>6834</v>
      </c>
      <c r="D4321" t="s">
        <v>0</v>
      </c>
      <c r="E4321" t="s">
        <v>271</v>
      </c>
      <c r="F4321" t="s">
        <v>1180</v>
      </c>
    </row>
    <row r="4322" spans="1:6" x14ac:dyDescent="0.25">
      <c r="A4322" t="s">
        <v>15055</v>
      </c>
      <c r="B4322" t="s">
        <v>15056</v>
      </c>
      <c r="C4322" t="s">
        <v>15057</v>
      </c>
      <c r="D4322" t="s">
        <v>490</v>
      </c>
      <c r="E4322" t="s">
        <v>271</v>
      </c>
      <c r="F4322" t="s">
        <v>491</v>
      </c>
    </row>
    <row r="4323" spans="1:6" x14ac:dyDescent="0.25">
      <c r="A4323" t="s">
        <v>15058</v>
      </c>
      <c r="B4323" t="s">
        <v>15059</v>
      </c>
      <c r="C4323" t="s">
        <v>15060</v>
      </c>
      <c r="D4323" t="s">
        <v>2166</v>
      </c>
      <c r="E4323" t="s">
        <v>271</v>
      </c>
      <c r="F4323" t="s">
        <v>2165</v>
      </c>
    </row>
    <row r="4324" spans="1:6" x14ac:dyDescent="0.25">
      <c r="A4324" t="s">
        <v>15061</v>
      </c>
      <c r="B4324" t="s">
        <v>15062</v>
      </c>
      <c r="C4324" t="s">
        <v>15063</v>
      </c>
      <c r="D4324" t="s">
        <v>1455</v>
      </c>
      <c r="E4324" t="s">
        <v>271</v>
      </c>
      <c r="F4324" t="s">
        <v>1454</v>
      </c>
    </row>
    <row r="4325" spans="1:6" x14ac:dyDescent="0.25">
      <c r="A4325" t="s">
        <v>15064</v>
      </c>
      <c r="B4325" t="s">
        <v>15065</v>
      </c>
      <c r="C4325" t="s">
        <v>15066</v>
      </c>
      <c r="D4325" t="s">
        <v>310</v>
      </c>
      <c r="E4325" t="s">
        <v>271</v>
      </c>
      <c r="F4325" t="s">
        <v>309</v>
      </c>
    </row>
    <row r="4326" spans="1:6" x14ac:dyDescent="0.25">
      <c r="A4326" t="s">
        <v>15067</v>
      </c>
      <c r="B4326" t="s">
        <v>15068</v>
      </c>
      <c r="C4326" t="s">
        <v>15069</v>
      </c>
      <c r="D4326" t="s">
        <v>506</v>
      </c>
      <c r="E4326" t="s">
        <v>271</v>
      </c>
      <c r="F4326" t="s">
        <v>507</v>
      </c>
    </row>
    <row r="4327" spans="1:6" x14ac:dyDescent="0.25">
      <c r="A4327" t="s">
        <v>15070</v>
      </c>
      <c r="B4327" t="s">
        <v>15071</v>
      </c>
      <c r="C4327" t="s">
        <v>15072</v>
      </c>
      <c r="D4327" t="s">
        <v>466</v>
      </c>
      <c r="E4327" t="s">
        <v>271</v>
      </c>
      <c r="F4327" t="s">
        <v>434</v>
      </c>
    </row>
    <row r="4328" spans="1:6" x14ac:dyDescent="0.25">
      <c r="A4328" t="s">
        <v>15073</v>
      </c>
      <c r="B4328" t="s">
        <v>15074</v>
      </c>
      <c r="C4328" t="s">
        <v>275</v>
      </c>
      <c r="D4328" t="s">
        <v>1199</v>
      </c>
      <c r="E4328" t="s">
        <v>271</v>
      </c>
      <c r="F4328" t="s">
        <v>1198</v>
      </c>
    </row>
    <row r="4329" spans="1:6" x14ac:dyDescent="0.25">
      <c r="A4329" t="s">
        <v>15075</v>
      </c>
      <c r="B4329" t="s">
        <v>15076</v>
      </c>
      <c r="C4329" t="s">
        <v>15077</v>
      </c>
      <c r="D4329" t="s">
        <v>2714</v>
      </c>
      <c r="E4329" t="s">
        <v>271</v>
      </c>
      <c r="F4329" t="s">
        <v>2713</v>
      </c>
    </row>
    <row r="4330" spans="1:6" x14ac:dyDescent="0.25">
      <c r="A4330" t="s">
        <v>15078</v>
      </c>
      <c r="B4330" t="s">
        <v>15079</v>
      </c>
      <c r="C4330" t="s">
        <v>15080</v>
      </c>
      <c r="D4330" t="s">
        <v>295</v>
      </c>
      <c r="E4330" t="s">
        <v>271</v>
      </c>
      <c r="F4330" t="s">
        <v>294</v>
      </c>
    </row>
    <row r="4331" spans="1:6" x14ac:dyDescent="0.25">
      <c r="A4331" t="s">
        <v>15081</v>
      </c>
      <c r="B4331" t="s">
        <v>15082</v>
      </c>
      <c r="C4331" t="s">
        <v>15083</v>
      </c>
      <c r="D4331" t="s">
        <v>0</v>
      </c>
      <c r="E4331" t="s">
        <v>271</v>
      </c>
      <c r="F4331" t="s">
        <v>731</v>
      </c>
    </row>
    <row r="4332" spans="1:6" x14ac:dyDescent="0.25">
      <c r="A4332" t="s">
        <v>15084</v>
      </c>
      <c r="B4332" t="s">
        <v>15085</v>
      </c>
      <c r="C4332" t="s">
        <v>15086</v>
      </c>
      <c r="D4332" t="s">
        <v>0</v>
      </c>
      <c r="E4332" t="s">
        <v>271</v>
      </c>
      <c r="F4332" t="s">
        <v>531</v>
      </c>
    </row>
    <row r="4333" spans="1:6" x14ac:dyDescent="0.25">
      <c r="A4333" t="s">
        <v>15087</v>
      </c>
      <c r="B4333" t="s">
        <v>2640</v>
      </c>
      <c r="C4333" t="s">
        <v>15088</v>
      </c>
      <c r="D4333" t="s">
        <v>845</v>
      </c>
      <c r="E4333" t="s">
        <v>271</v>
      </c>
      <c r="F4333" t="s">
        <v>844</v>
      </c>
    </row>
    <row r="4334" spans="1:6" x14ac:dyDescent="0.25">
      <c r="A4334" t="s">
        <v>15089</v>
      </c>
      <c r="B4334" t="s">
        <v>13295</v>
      </c>
      <c r="C4334" t="s">
        <v>15090</v>
      </c>
      <c r="D4334" t="s">
        <v>10229</v>
      </c>
      <c r="E4334" t="s">
        <v>271</v>
      </c>
      <c r="F4334" t="s">
        <v>10230</v>
      </c>
    </row>
    <row r="4335" spans="1:6" x14ac:dyDescent="0.25">
      <c r="A4335" t="s">
        <v>15091</v>
      </c>
      <c r="B4335" t="s">
        <v>15092</v>
      </c>
      <c r="C4335" t="s">
        <v>15093</v>
      </c>
      <c r="D4335" t="s">
        <v>237</v>
      </c>
      <c r="E4335" t="s">
        <v>271</v>
      </c>
      <c r="F4335" t="s">
        <v>427</v>
      </c>
    </row>
    <row r="4336" spans="1:6" x14ac:dyDescent="0.25">
      <c r="A4336" t="s">
        <v>15094</v>
      </c>
      <c r="B4336" t="s">
        <v>15095</v>
      </c>
      <c r="C4336" t="s">
        <v>15096</v>
      </c>
      <c r="D4336" t="s">
        <v>291</v>
      </c>
      <c r="E4336" t="s">
        <v>271</v>
      </c>
      <c r="F4336" t="s">
        <v>290</v>
      </c>
    </row>
    <row r="4337" spans="1:6" x14ac:dyDescent="0.25">
      <c r="A4337" t="s">
        <v>15097</v>
      </c>
      <c r="B4337" t="s">
        <v>15098</v>
      </c>
      <c r="C4337" t="s">
        <v>15099</v>
      </c>
      <c r="D4337" t="s">
        <v>0</v>
      </c>
      <c r="E4337" t="s">
        <v>271</v>
      </c>
      <c r="F4337" t="s">
        <v>332</v>
      </c>
    </row>
    <row r="4338" spans="1:6" x14ac:dyDescent="0.25">
      <c r="A4338" t="s">
        <v>15100</v>
      </c>
      <c r="B4338" t="s">
        <v>15101</v>
      </c>
      <c r="C4338" t="s">
        <v>15102</v>
      </c>
      <c r="D4338" t="s">
        <v>2024</v>
      </c>
      <c r="E4338" t="s">
        <v>271</v>
      </c>
      <c r="F4338" t="s">
        <v>428</v>
      </c>
    </row>
    <row r="4339" spans="1:6" x14ac:dyDescent="0.25">
      <c r="A4339" t="s">
        <v>15103</v>
      </c>
      <c r="B4339" t="s">
        <v>15104</v>
      </c>
      <c r="C4339" t="s">
        <v>15105</v>
      </c>
      <c r="D4339" t="s">
        <v>3002</v>
      </c>
      <c r="E4339" t="s">
        <v>269</v>
      </c>
      <c r="F4339" t="s">
        <v>3001</v>
      </c>
    </row>
    <row r="4340" spans="1:6" x14ac:dyDescent="0.25">
      <c r="A4340" t="s">
        <v>15106</v>
      </c>
      <c r="B4340" t="s">
        <v>15107</v>
      </c>
      <c r="C4340" t="s">
        <v>6044</v>
      </c>
      <c r="D4340" t="s">
        <v>498</v>
      </c>
      <c r="E4340" t="s">
        <v>271</v>
      </c>
      <c r="F4340" t="s">
        <v>926</v>
      </c>
    </row>
    <row r="4341" spans="1:6" x14ac:dyDescent="0.25">
      <c r="A4341" t="s">
        <v>887</v>
      </c>
      <c r="B4341" t="s">
        <v>888</v>
      </c>
      <c r="C4341" t="s">
        <v>889</v>
      </c>
      <c r="D4341" t="s">
        <v>0</v>
      </c>
      <c r="E4341" t="s">
        <v>271</v>
      </c>
      <c r="F4341" t="s">
        <v>356</v>
      </c>
    </row>
    <row r="4342" spans="1:6" x14ac:dyDescent="0.25">
      <c r="A4342" t="s">
        <v>3155</v>
      </c>
      <c r="B4342" t="s">
        <v>3156</v>
      </c>
      <c r="C4342" t="s">
        <v>3157</v>
      </c>
      <c r="D4342" t="s">
        <v>314</v>
      </c>
      <c r="E4342" t="s">
        <v>271</v>
      </c>
      <c r="F4342" t="s">
        <v>3081</v>
      </c>
    </row>
    <row r="4343" spans="1:6" x14ac:dyDescent="0.25">
      <c r="A4343" t="s">
        <v>15108</v>
      </c>
      <c r="B4343" t="s">
        <v>15109</v>
      </c>
      <c r="C4343" t="s">
        <v>15110</v>
      </c>
      <c r="D4343" t="s">
        <v>1370</v>
      </c>
      <c r="E4343" t="s">
        <v>271</v>
      </c>
      <c r="F4343" t="s">
        <v>1369</v>
      </c>
    </row>
    <row r="4344" spans="1:6" x14ac:dyDescent="0.25">
      <c r="A4344" t="s">
        <v>15111</v>
      </c>
      <c r="B4344" t="s">
        <v>15112</v>
      </c>
      <c r="C4344" t="s">
        <v>15113</v>
      </c>
      <c r="D4344" t="s">
        <v>357</v>
      </c>
      <c r="E4344" t="s">
        <v>271</v>
      </c>
      <c r="F4344" t="s">
        <v>358</v>
      </c>
    </row>
    <row r="4345" spans="1:6" x14ac:dyDescent="0.25">
      <c r="A4345" t="s">
        <v>15114</v>
      </c>
      <c r="B4345" t="s">
        <v>15115</v>
      </c>
      <c r="C4345" t="s">
        <v>15116</v>
      </c>
      <c r="D4345" t="s">
        <v>0</v>
      </c>
      <c r="E4345" t="s">
        <v>271</v>
      </c>
      <c r="F4345" t="s">
        <v>436</v>
      </c>
    </row>
    <row r="4346" spans="1:6" x14ac:dyDescent="0.25">
      <c r="A4346" t="s">
        <v>1143</v>
      </c>
      <c r="B4346" t="s">
        <v>1144</v>
      </c>
      <c r="C4346" t="s">
        <v>1145</v>
      </c>
      <c r="D4346" t="s">
        <v>822</v>
      </c>
      <c r="E4346" t="s">
        <v>269</v>
      </c>
      <c r="F4346" t="s">
        <v>821</v>
      </c>
    </row>
    <row r="4347" spans="1:6" x14ac:dyDescent="0.25">
      <c r="A4347" t="s">
        <v>15117</v>
      </c>
      <c r="B4347" t="s">
        <v>15118</v>
      </c>
      <c r="C4347" t="s">
        <v>15119</v>
      </c>
      <c r="D4347" t="s">
        <v>0</v>
      </c>
      <c r="E4347" t="s">
        <v>271</v>
      </c>
      <c r="F4347" t="s">
        <v>325</v>
      </c>
    </row>
    <row r="4348" spans="1:6" x14ac:dyDescent="0.25">
      <c r="A4348" t="s">
        <v>15120</v>
      </c>
      <c r="B4348" t="s">
        <v>15121</v>
      </c>
      <c r="C4348" t="s">
        <v>15122</v>
      </c>
      <c r="D4348" t="s">
        <v>357</v>
      </c>
      <c r="E4348" t="s">
        <v>271</v>
      </c>
      <c r="F4348" t="s">
        <v>358</v>
      </c>
    </row>
    <row r="4349" spans="1:6" x14ac:dyDescent="0.25">
      <c r="A4349" t="s">
        <v>15123</v>
      </c>
      <c r="B4349" t="s">
        <v>15124</v>
      </c>
      <c r="C4349" t="s">
        <v>15125</v>
      </c>
      <c r="D4349" t="s">
        <v>871</v>
      </c>
      <c r="E4349" t="s">
        <v>271</v>
      </c>
      <c r="F4349" t="s">
        <v>870</v>
      </c>
    </row>
    <row r="4350" spans="1:6" x14ac:dyDescent="0.25">
      <c r="A4350" t="s">
        <v>15126</v>
      </c>
      <c r="B4350" t="s">
        <v>15127</v>
      </c>
      <c r="C4350" t="s">
        <v>15128</v>
      </c>
      <c r="D4350" t="s">
        <v>0</v>
      </c>
      <c r="E4350" t="s">
        <v>271</v>
      </c>
      <c r="F4350" t="s">
        <v>2641</v>
      </c>
    </row>
    <row r="4351" spans="1:6" x14ac:dyDescent="0.25">
      <c r="A4351" t="s">
        <v>3443</v>
      </c>
      <c r="B4351" t="s">
        <v>3444</v>
      </c>
      <c r="C4351" t="s">
        <v>3445</v>
      </c>
      <c r="D4351" t="s">
        <v>0</v>
      </c>
      <c r="E4351" t="s">
        <v>271</v>
      </c>
      <c r="F4351" t="s">
        <v>562</v>
      </c>
    </row>
    <row r="4352" spans="1:6" x14ac:dyDescent="0.25">
      <c r="A4352" t="s">
        <v>15129</v>
      </c>
      <c r="B4352" t="s">
        <v>15130</v>
      </c>
      <c r="C4352" t="s">
        <v>15131</v>
      </c>
      <c r="D4352" t="s">
        <v>295</v>
      </c>
      <c r="E4352" t="s">
        <v>271</v>
      </c>
      <c r="F4352" t="s">
        <v>15132</v>
      </c>
    </row>
    <row r="4353" spans="1:6" x14ac:dyDescent="0.25">
      <c r="A4353" t="s">
        <v>776</v>
      </c>
      <c r="B4353" t="s">
        <v>777</v>
      </c>
      <c r="C4353" t="s">
        <v>779</v>
      </c>
      <c r="D4353" t="s">
        <v>547</v>
      </c>
      <c r="E4353" t="s">
        <v>271</v>
      </c>
      <c r="F4353" t="s">
        <v>428</v>
      </c>
    </row>
    <row r="4354" spans="1:6" x14ac:dyDescent="0.25">
      <c r="A4354" t="s">
        <v>15133</v>
      </c>
      <c r="B4354" t="s">
        <v>15134</v>
      </c>
      <c r="C4354" t="s">
        <v>15135</v>
      </c>
      <c r="D4354" t="s">
        <v>472</v>
      </c>
      <c r="E4354" t="s">
        <v>271</v>
      </c>
      <c r="F4354" t="s">
        <v>318</v>
      </c>
    </row>
    <row r="4355" spans="1:6" x14ac:dyDescent="0.25">
      <c r="A4355" t="s">
        <v>2216</v>
      </c>
      <c r="B4355" t="s">
        <v>2217</v>
      </c>
      <c r="C4355" t="s">
        <v>2218</v>
      </c>
      <c r="D4355" t="s">
        <v>0</v>
      </c>
      <c r="E4355" t="s">
        <v>271</v>
      </c>
      <c r="F4355" t="s">
        <v>319</v>
      </c>
    </row>
    <row r="4356" spans="1:6" x14ac:dyDescent="0.25">
      <c r="A4356" t="s">
        <v>15136</v>
      </c>
      <c r="B4356" t="s">
        <v>15137</v>
      </c>
      <c r="C4356" t="s">
        <v>15138</v>
      </c>
      <c r="D4356" t="s">
        <v>0</v>
      </c>
      <c r="E4356" t="s">
        <v>271</v>
      </c>
      <c r="F4356" t="s">
        <v>4384</v>
      </c>
    </row>
    <row r="4357" spans="1:6" x14ac:dyDescent="0.25">
      <c r="A4357" t="s">
        <v>15139</v>
      </c>
      <c r="B4357" t="s">
        <v>15140</v>
      </c>
      <c r="C4357" t="s">
        <v>15141</v>
      </c>
      <c r="D4357" t="s">
        <v>4815</v>
      </c>
      <c r="E4357" t="s">
        <v>271</v>
      </c>
      <c r="F4357" t="s">
        <v>2713</v>
      </c>
    </row>
    <row r="4358" spans="1:6" x14ac:dyDescent="0.25">
      <c r="A4358" t="s">
        <v>15142</v>
      </c>
      <c r="B4358" t="s">
        <v>15143</v>
      </c>
      <c r="C4358" t="s">
        <v>15144</v>
      </c>
      <c r="D4358" t="s">
        <v>314</v>
      </c>
      <c r="E4358" t="s">
        <v>271</v>
      </c>
      <c r="F4358" t="s">
        <v>352</v>
      </c>
    </row>
    <row r="4359" spans="1:6" x14ac:dyDescent="0.25">
      <c r="A4359" t="s">
        <v>15145</v>
      </c>
      <c r="B4359" t="s">
        <v>14529</v>
      </c>
      <c r="C4359" t="s">
        <v>15146</v>
      </c>
      <c r="D4359" t="s">
        <v>0</v>
      </c>
      <c r="E4359" t="s">
        <v>271</v>
      </c>
      <c r="F4359" t="s">
        <v>531</v>
      </c>
    </row>
    <row r="4360" spans="1:6" x14ac:dyDescent="0.25">
      <c r="A4360" t="s">
        <v>15147</v>
      </c>
      <c r="B4360" t="s">
        <v>15148</v>
      </c>
      <c r="C4360" t="s">
        <v>15149</v>
      </c>
      <c r="D4360" t="s">
        <v>616</v>
      </c>
      <c r="E4360" t="s">
        <v>271</v>
      </c>
      <c r="F4360" t="s">
        <v>1102</v>
      </c>
    </row>
    <row r="4361" spans="1:6" x14ac:dyDescent="0.25">
      <c r="A4361" t="s">
        <v>15150</v>
      </c>
      <c r="B4361" t="s">
        <v>15151</v>
      </c>
      <c r="C4361" t="s">
        <v>14763</v>
      </c>
      <c r="D4361" t="s">
        <v>718</v>
      </c>
      <c r="E4361" t="s">
        <v>271</v>
      </c>
      <c r="F4361" t="s">
        <v>333</v>
      </c>
    </row>
    <row r="4362" spans="1:6" x14ac:dyDescent="0.25">
      <c r="A4362" t="s">
        <v>15152</v>
      </c>
      <c r="B4362" t="s">
        <v>15153</v>
      </c>
      <c r="C4362" t="s">
        <v>15154</v>
      </c>
      <c r="D4362" t="s">
        <v>0</v>
      </c>
      <c r="E4362" t="s">
        <v>271</v>
      </c>
      <c r="F4362" t="s">
        <v>356</v>
      </c>
    </row>
    <row r="4363" spans="1:6" x14ac:dyDescent="0.25">
      <c r="A4363" t="s">
        <v>15155</v>
      </c>
      <c r="B4363" t="s">
        <v>15156</v>
      </c>
      <c r="C4363" t="s">
        <v>15157</v>
      </c>
      <c r="D4363" t="s">
        <v>540</v>
      </c>
      <c r="E4363" t="s">
        <v>271</v>
      </c>
      <c r="F4363" t="s">
        <v>339</v>
      </c>
    </row>
    <row r="4364" spans="1:6" x14ac:dyDescent="0.25">
      <c r="A4364" t="s">
        <v>1288</v>
      </c>
      <c r="B4364" t="s">
        <v>1289</v>
      </c>
      <c r="C4364" t="s">
        <v>1293</v>
      </c>
      <c r="D4364" t="s">
        <v>1292</v>
      </c>
      <c r="E4364" t="s">
        <v>271</v>
      </c>
      <c r="F4364" t="s">
        <v>1291</v>
      </c>
    </row>
    <row r="4365" spans="1:6" x14ac:dyDescent="0.25">
      <c r="A4365" t="s">
        <v>15158</v>
      </c>
      <c r="B4365" t="s">
        <v>15159</v>
      </c>
      <c r="C4365" t="s">
        <v>15160</v>
      </c>
      <c r="D4365" t="s">
        <v>1601</v>
      </c>
      <c r="E4365" t="s">
        <v>269</v>
      </c>
      <c r="F4365" t="s">
        <v>2243</v>
      </c>
    </row>
    <row r="4366" spans="1:6" x14ac:dyDescent="0.25">
      <c r="A4366" t="s">
        <v>15161</v>
      </c>
      <c r="B4366" t="s">
        <v>15162</v>
      </c>
      <c r="C4366" t="s">
        <v>15163</v>
      </c>
      <c r="D4366" t="s">
        <v>314</v>
      </c>
      <c r="E4366" t="s">
        <v>271</v>
      </c>
      <c r="F4366" t="s">
        <v>352</v>
      </c>
    </row>
    <row r="4367" spans="1:6" x14ac:dyDescent="0.25">
      <c r="A4367" t="s">
        <v>15164</v>
      </c>
      <c r="B4367" t="s">
        <v>15165</v>
      </c>
      <c r="C4367" t="s">
        <v>15166</v>
      </c>
      <c r="D4367" t="s">
        <v>0</v>
      </c>
      <c r="E4367" t="s">
        <v>271</v>
      </c>
      <c r="F4367" t="s">
        <v>1321</v>
      </c>
    </row>
    <row r="4368" spans="1:6" x14ac:dyDescent="0.25">
      <c r="A4368" t="s">
        <v>15167</v>
      </c>
      <c r="B4368" t="s">
        <v>15168</v>
      </c>
      <c r="C4368" t="s">
        <v>15169</v>
      </c>
      <c r="D4368" t="s">
        <v>0</v>
      </c>
      <c r="E4368" t="s">
        <v>271</v>
      </c>
      <c r="F4368" t="s">
        <v>432</v>
      </c>
    </row>
    <row r="4369" spans="1:6" x14ac:dyDescent="0.25">
      <c r="A4369" t="s">
        <v>15170</v>
      </c>
      <c r="B4369" t="s">
        <v>15171</v>
      </c>
      <c r="C4369" t="s">
        <v>15172</v>
      </c>
      <c r="D4369" t="s">
        <v>668</v>
      </c>
      <c r="E4369" t="s">
        <v>271</v>
      </c>
      <c r="F4369" t="s">
        <v>667</v>
      </c>
    </row>
    <row r="4370" spans="1:6" x14ac:dyDescent="0.25">
      <c r="A4370" t="s">
        <v>15173</v>
      </c>
      <c r="B4370" t="s">
        <v>15174</v>
      </c>
      <c r="C4370" t="s">
        <v>15175</v>
      </c>
      <c r="D4370" t="s">
        <v>0</v>
      </c>
      <c r="E4370" t="s">
        <v>271</v>
      </c>
      <c r="F4370" t="s">
        <v>436</v>
      </c>
    </row>
    <row r="4371" spans="1:6" x14ac:dyDescent="0.25">
      <c r="A4371" t="s">
        <v>15176</v>
      </c>
      <c r="B4371" t="s">
        <v>15177</v>
      </c>
      <c r="C4371" t="s">
        <v>15178</v>
      </c>
      <c r="D4371" t="s">
        <v>0</v>
      </c>
      <c r="E4371" t="s">
        <v>271</v>
      </c>
      <c r="F4371" t="s">
        <v>325</v>
      </c>
    </row>
    <row r="4372" spans="1:6" x14ac:dyDescent="0.25">
      <c r="A4372" t="s">
        <v>15179</v>
      </c>
      <c r="B4372" t="s">
        <v>15180</v>
      </c>
      <c r="C4372" t="s">
        <v>10205</v>
      </c>
      <c r="D4372" t="s">
        <v>0</v>
      </c>
      <c r="E4372" t="s">
        <v>271</v>
      </c>
      <c r="F4372" t="s">
        <v>1321</v>
      </c>
    </row>
    <row r="4373" spans="1:6" x14ac:dyDescent="0.25">
      <c r="A4373" t="s">
        <v>15181</v>
      </c>
      <c r="B4373" t="s">
        <v>15182</v>
      </c>
      <c r="C4373" t="s">
        <v>15183</v>
      </c>
      <c r="D4373" t="s">
        <v>2637</v>
      </c>
      <c r="E4373" t="s">
        <v>271</v>
      </c>
      <c r="F4373" t="s">
        <v>2636</v>
      </c>
    </row>
    <row r="4374" spans="1:6" x14ac:dyDescent="0.25">
      <c r="A4374" t="s">
        <v>15184</v>
      </c>
      <c r="B4374" t="s">
        <v>15185</v>
      </c>
      <c r="C4374" t="s">
        <v>15186</v>
      </c>
      <c r="D4374" t="s">
        <v>1199</v>
      </c>
      <c r="E4374" t="s">
        <v>271</v>
      </c>
      <c r="F4374" t="s">
        <v>1198</v>
      </c>
    </row>
    <row r="4375" spans="1:6" x14ac:dyDescent="0.25">
      <c r="A4375" t="s">
        <v>15187</v>
      </c>
      <c r="B4375" t="s">
        <v>15188</v>
      </c>
      <c r="C4375" t="s">
        <v>15189</v>
      </c>
      <c r="D4375" t="s">
        <v>1433</v>
      </c>
      <c r="E4375" t="s">
        <v>271</v>
      </c>
      <c r="F4375" t="s">
        <v>1432</v>
      </c>
    </row>
    <row r="4376" spans="1:6" x14ac:dyDescent="0.25">
      <c r="A4376" t="s">
        <v>15190</v>
      </c>
      <c r="B4376" t="s">
        <v>15191</v>
      </c>
      <c r="C4376" t="s">
        <v>15192</v>
      </c>
      <c r="D4376" t="s">
        <v>1542</v>
      </c>
      <c r="E4376" t="s">
        <v>269</v>
      </c>
      <c r="F4376" t="s">
        <v>1541</v>
      </c>
    </row>
    <row r="4377" spans="1:6" x14ac:dyDescent="0.25">
      <c r="A4377" t="s">
        <v>15193</v>
      </c>
      <c r="B4377" t="s">
        <v>13268</v>
      </c>
      <c r="C4377" t="s">
        <v>15194</v>
      </c>
      <c r="D4377" t="s">
        <v>490</v>
      </c>
      <c r="E4377" t="s">
        <v>271</v>
      </c>
      <c r="F4377" t="s">
        <v>491</v>
      </c>
    </row>
    <row r="4378" spans="1:6" x14ac:dyDescent="0.25">
      <c r="A4378" t="s">
        <v>15195</v>
      </c>
      <c r="B4378" t="s">
        <v>15196</v>
      </c>
      <c r="C4378" t="s">
        <v>15197</v>
      </c>
      <c r="D4378" t="s">
        <v>822</v>
      </c>
      <c r="E4378" t="s">
        <v>269</v>
      </c>
      <c r="F4378" t="s">
        <v>821</v>
      </c>
    </row>
    <row r="4379" spans="1:6" x14ac:dyDescent="0.25">
      <c r="A4379" t="s">
        <v>15198</v>
      </c>
      <c r="B4379" t="s">
        <v>15199</v>
      </c>
      <c r="C4379" t="s">
        <v>15200</v>
      </c>
      <c r="D4379" t="s">
        <v>1665</v>
      </c>
      <c r="E4379" t="s">
        <v>271</v>
      </c>
      <c r="F4379" t="s">
        <v>1664</v>
      </c>
    </row>
    <row r="4380" spans="1:6" x14ac:dyDescent="0.25">
      <c r="A4380" t="s">
        <v>15201</v>
      </c>
      <c r="B4380" t="s">
        <v>15202</v>
      </c>
      <c r="C4380" t="s">
        <v>14088</v>
      </c>
      <c r="D4380" t="s">
        <v>314</v>
      </c>
      <c r="E4380" t="s">
        <v>271</v>
      </c>
      <c r="F4380" t="s">
        <v>352</v>
      </c>
    </row>
    <row r="4381" spans="1:6" x14ac:dyDescent="0.25">
      <c r="A4381" t="s">
        <v>15203</v>
      </c>
      <c r="B4381" t="s">
        <v>15204</v>
      </c>
      <c r="C4381" t="s">
        <v>15205</v>
      </c>
      <c r="D4381" t="s">
        <v>245</v>
      </c>
      <c r="E4381" t="s">
        <v>271</v>
      </c>
      <c r="F4381" t="s">
        <v>413</v>
      </c>
    </row>
    <row r="4382" spans="1:6" x14ac:dyDescent="0.25">
      <c r="A4382" t="s">
        <v>15206</v>
      </c>
      <c r="B4382" t="s">
        <v>15207</v>
      </c>
      <c r="C4382" t="s">
        <v>15208</v>
      </c>
      <c r="D4382" t="s">
        <v>1126</v>
      </c>
      <c r="E4382" t="s">
        <v>271</v>
      </c>
      <c r="F4382" t="s">
        <v>1125</v>
      </c>
    </row>
    <row r="4383" spans="1:6" x14ac:dyDescent="0.25">
      <c r="A4383" t="s">
        <v>15209</v>
      </c>
      <c r="B4383" t="s">
        <v>15210</v>
      </c>
      <c r="C4383" t="s">
        <v>15211</v>
      </c>
      <c r="D4383" t="s">
        <v>0</v>
      </c>
      <c r="E4383" t="s">
        <v>271</v>
      </c>
      <c r="F4383" t="s">
        <v>709</v>
      </c>
    </row>
    <row r="4384" spans="1:6" x14ac:dyDescent="0.25">
      <c r="A4384" t="s">
        <v>15212</v>
      </c>
      <c r="B4384" t="s">
        <v>15213</v>
      </c>
      <c r="C4384" t="s">
        <v>15214</v>
      </c>
      <c r="D4384" t="s">
        <v>498</v>
      </c>
      <c r="E4384" t="s">
        <v>271</v>
      </c>
      <c r="F4384" t="s">
        <v>926</v>
      </c>
    </row>
    <row r="4385" spans="1:6" x14ac:dyDescent="0.25">
      <c r="A4385" t="s">
        <v>1911</v>
      </c>
      <c r="B4385" t="s">
        <v>1912</v>
      </c>
      <c r="C4385" t="s">
        <v>1916</v>
      </c>
      <c r="D4385" t="s">
        <v>1915</v>
      </c>
      <c r="E4385" t="s">
        <v>269</v>
      </c>
      <c r="F4385" t="s">
        <v>1914</v>
      </c>
    </row>
    <row r="4386" spans="1:6" x14ac:dyDescent="0.25">
      <c r="A4386" t="s">
        <v>3666</v>
      </c>
      <c r="B4386" t="s">
        <v>3667</v>
      </c>
      <c r="C4386" t="s">
        <v>3669</v>
      </c>
      <c r="D4386" t="s">
        <v>3668</v>
      </c>
      <c r="E4386" t="s">
        <v>271</v>
      </c>
      <c r="F4386" t="s">
        <v>844</v>
      </c>
    </row>
    <row r="4387" spans="1:6" x14ac:dyDescent="0.25">
      <c r="A4387" t="s">
        <v>15215</v>
      </c>
      <c r="B4387" t="s">
        <v>15216</v>
      </c>
      <c r="C4387" t="s">
        <v>15217</v>
      </c>
      <c r="D4387" t="s">
        <v>4969</v>
      </c>
      <c r="E4387" t="s">
        <v>271</v>
      </c>
      <c r="F4387" t="s">
        <v>480</v>
      </c>
    </row>
    <row r="4388" spans="1:6" x14ac:dyDescent="0.25">
      <c r="A4388" t="s">
        <v>3264</v>
      </c>
      <c r="B4388" t="s">
        <v>3265</v>
      </c>
      <c r="C4388" t="s">
        <v>3266</v>
      </c>
      <c r="D4388" t="s">
        <v>0</v>
      </c>
      <c r="E4388" t="s">
        <v>271</v>
      </c>
      <c r="F4388" t="s">
        <v>323</v>
      </c>
    </row>
    <row r="4389" spans="1:6" x14ac:dyDescent="0.25">
      <c r="A4389" t="s">
        <v>2606</v>
      </c>
      <c r="B4389" t="s">
        <v>2607</v>
      </c>
      <c r="C4389" t="s">
        <v>2609</v>
      </c>
      <c r="D4389" t="s">
        <v>0</v>
      </c>
      <c r="E4389" t="s">
        <v>271</v>
      </c>
      <c r="F4389" t="s">
        <v>2608</v>
      </c>
    </row>
    <row r="4390" spans="1:6" x14ac:dyDescent="0.25">
      <c r="A4390" t="s">
        <v>15218</v>
      </c>
      <c r="B4390" t="s">
        <v>15219</v>
      </c>
      <c r="C4390" t="s">
        <v>6834</v>
      </c>
      <c r="D4390" t="s">
        <v>0</v>
      </c>
      <c r="E4390" t="s">
        <v>271</v>
      </c>
      <c r="F4390" t="s">
        <v>1180</v>
      </c>
    </row>
    <row r="4391" spans="1:6" x14ac:dyDescent="0.25">
      <c r="A4391" t="s">
        <v>15220</v>
      </c>
      <c r="B4391" t="s">
        <v>15221</v>
      </c>
      <c r="C4391" t="s">
        <v>15222</v>
      </c>
      <c r="D4391" t="s">
        <v>0</v>
      </c>
      <c r="E4391" t="s">
        <v>271</v>
      </c>
      <c r="F4391" t="s">
        <v>531</v>
      </c>
    </row>
    <row r="4392" spans="1:6" x14ac:dyDescent="0.25">
      <c r="A4392" t="s">
        <v>15223</v>
      </c>
      <c r="B4392" t="s">
        <v>7283</v>
      </c>
      <c r="C4392" t="s">
        <v>15224</v>
      </c>
      <c r="D4392" t="s">
        <v>460</v>
      </c>
      <c r="E4392" t="s">
        <v>271</v>
      </c>
      <c r="F4392" t="s">
        <v>424</v>
      </c>
    </row>
    <row r="4393" spans="1:6" x14ac:dyDescent="0.25">
      <c r="A4393" t="s">
        <v>15225</v>
      </c>
      <c r="B4393" t="s">
        <v>15226</v>
      </c>
      <c r="C4393" t="s">
        <v>15227</v>
      </c>
      <c r="D4393" t="s">
        <v>272</v>
      </c>
      <c r="E4393" t="s">
        <v>269</v>
      </c>
      <c r="F4393" t="s">
        <v>907</v>
      </c>
    </row>
    <row r="4394" spans="1:6" x14ac:dyDescent="0.25">
      <c r="A4394" t="s">
        <v>15228</v>
      </c>
      <c r="B4394" t="s">
        <v>15229</v>
      </c>
      <c r="C4394" t="s">
        <v>5632</v>
      </c>
      <c r="D4394" t="s">
        <v>282</v>
      </c>
      <c r="E4394" t="s">
        <v>271</v>
      </c>
      <c r="F4394" t="s">
        <v>1191</v>
      </c>
    </row>
    <row r="4395" spans="1:6" x14ac:dyDescent="0.25">
      <c r="A4395" t="s">
        <v>15230</v>
      </c>
      <c r="B4395" t="s">
        <v>15231</v>
      </c>
      <c r="C4395" t="s">
        <v>15232</v>
      </c>
      <c r="D4395" t="s">
        <v>0</v>
      </c>
      <c r="E4395" t="s">
        <v>271</v>
      </c>
      <c r="F4395" t="s">
        <v>881</v>
      </c>
    </row>
    <row r="4396" spans="1:6" x14ac:dyDescent="0.25">
      <c r="A4396" t="s">
        <v>15233</v>
      </c>
      <c r="B4396" t="s">
        <v>15234</v>
      </c>
      <c r="C4396" t="s">
        <v>15235</v>
      </c>
      <c r="D4396" t="s">
        <v>1723</v>
      </c>
      <c r="E4396" t="s">
        <v>271</v>
      </c>
      <c r="F4396" t="s">
        <v>1722</v>
      </c>
    </row>
    <row r="4397" spans="1:6" x14ac:dyDescent="0.25">
      <c r="A4397" t="s">
        <v>15236</v>
      </c>
      <c r="B4397" t="s">
        <v>15237</v>
      </c>
      <c r="C4397" t="s">
        <v>15238</v>
      </c>
      <c r="D4397" t="s">
        <v>0</v>
      </c>
      <c r="E4397" t="s">
        <v>271</v>
      </c>
      <c r="F4397" t="s">
        <v>2641</v>
      </c>
    </row>
    <row r="4398" spans="1:6" x14ac:dyDescent="0.25">
      <c r="A4398" t="s">
        <v>2542</v>
      </c>
      <c r="B4398" t="s">
        <v>2543</v>
      </c>
      <c r="C4398" t="s">
        <v>2544</v>
      </c>
      <c r="D4398" t="s">
        <v>0</v>
      </c>
      <c r="E4398" t="s">
        <v>271</v>
      </c>
      <c r="F4398" t="s">
        <v>436</v>
      </c>
    </row>
    <row r="4399" spans="1:6" x14ac:dyDescent="0.25">
      <c r="A4399" t="s">
        <v>15239</v>
      </c>
      <c r="B4399" t="s">
        <v>15240</v>
      </c>
      <c r="C4399" t="s">
        <v>15241</v>
      </c>
      <c r="D4399" t="s">
        <v>15242</v>
      </c>
      <c r="E4399" t="s">
        <v>271</v>
      </c>
      <c r="F4399" t="s">
        <v>4383</v>
      </c>
    </row>
    <row r="4400" spans="1:6" x14ac:dyDescent="0.25">
      <c r="A4400" t="s">
        <v>15243</v>
      </c>
      <c r="B4400" t="s">
        <v>15244</v>
      </c>
      <c r="C4400" t="s">
        <v>15245</v>
      </c>
      <c r="D4400" t="s">
        <v>266</v>
      </c>
      <c r="E4400" t="s">
        <v>271</v>
      </c>
      <c r="F4400" t="s">
        <v>4439</v>
      </c>
    </row>
    <row r="4401" spans="1:6" x14ac:dyDescent="0.25">
      <c r="A4401" t="s">
        <v>15246</v>
      </c>
      <c r="B4401" t="s">
        <v>15247</v>
      </c>
      <c r="C4401" t="s">
        <v>15248</v>
      </c>
      <c r="D4401" t="s">
        <v>0</v>
      </c>
      <c r="E4401" t="s">
        <v>271</v>
      </c>
      <c r="F4401" t="s">
        <v>323</v>
      </c>
    </row>
    <row r="4402" spans="1:6" x14ac:dyDescent="0.25">
      <c r="A4402" t="s">
        <v>15249</v>
      </c>
      <c r="B4402" t="s">
        <v>15250</v>
      </c>
      <c r="C4402" t="s">
        <v>15251</v>
      </c>
      <c r="D4402" t="s">
        <v>450</v>
      </c>
      <c r="E4402" t="s">
        <v>271</v>
      </c>
      <c r="F4402" t="s">
        <v>326</v>
      </c>
    </row>
    <row r="4403" spans="1:6" x14ac:dyDescent="0.25">
      <c r="A4403" t="s">
        <v>15252</v>
      </c>
      <c r="B4403" t="s">
        <v>15253</v>
      </c>
      <c r="C4403" t="s">
        <v>15254</v>
      </c>
      <c r="D4403" t="s">
        <v>6862</v>
      </c>
      <c r="E4403" t="s">
        <v>271</v>
      </c>
      <c r="F4403" t="s">
        <v>4386</v>
      </c>
    </row>
    <row r="4404" spans="1:6" x14ac:dyDescent="0.25">
      <c r="A4404" t="s">
        <v>15255</v>
      </c>
      <c r="B4404" t="s">
        <v>15256</v>
      </c>
      <c r="C4404" t="s">
        <v>15257</v>
      </c>
      <c r="D4404" t="s">
        <v>502</v>
      </c>
      <c r="E4404" t="s">
        <v>271</v>
      </c>
      <c r="F4404" t="s">
        <v>425</v>
      </c>
    </row>
    <row r="4405" spans="1:6" x14ac:dyDescent="0.25">
      <c r="A4405" t="s">
        <v>15258</v>
      </c>
      <c r="B4405" t="s">
        <v>15259</v>
      </c>
      <c r="C4405" t="s">
        <v>15260</v>
      </c>
      <c r="D4405" t="s">
        <v>246</v>
      </c>
      <c r="E4405" t="s">
        <v>271</v>
      </c>
      <c r="F4405" t="s">
        <v>426</v>
      </c>
    </row>
    <row r="4406" spans="1:6" x14ac:dyDescent="0.25">
      <c r="A4406" t="s">
        <v>15261</v>
      </c>
      <c r="B4406" t="s">
        <v>15262</v>
      </c>
      <c r="C4406" t="s">
        <v>15263</v>
      </c>
      <c r="D4406" t="s">
        <v>1683</v>
      </c>
      <c r="E4406" t="s">
        <v>271</v>
      </c>
      <c r="F4406" t="s">
        <v>996</v>
      </c>
    </row>
    <row r="4407" spans="1:6" x14ac:dyDescent="0.25">
      <c r="A4407" t="s">
        <v>15264</v>
      </c>
      <c r="B4407" t="s">
        <v>15265</v>
      </c>
      <c r="C4407" t="s">
        <v>15266</v>
      </c>
      <c r="D4407" t="s">
        <v>460</v>
      </c>
      <c r="E4407" t="s">
        <v>271</v>
      </c>
      <c r="F4407" t="s">
        <v>435</v>
      </c>
    </row>
    <row r="4408" spans="1:6" x14ac:dyDescent="0.25">
      <c r="A4408" t="s">
        <v>15267</v>
      </c>
      <c r="B4408" t="s">
        <v>7353</v>
      </c>
      <c r="C4408" t="s">
        <v>15268</v>
      </c>
      <c r="D4408" t="s">
        <v>586</v>
      </c>
      <c r="E4408" t="s">
        <v>271</v>
      </c>
      <c r="F4408" t="s">
        <v>334</v>
      </c>
    </row>
    <row r="4409" spans="1:6" x14ac:dyDescent="0.25">
      <c r="A4409" t="s">
        <v>15269</v>
      </c>
      <c r="B4409" t="s">
        <v>15270</v>
      </c>
      <c r="C4409" t="s">
        <v>15271</v>
      </c>
      <c r="D4409" t="s">
        <v>0</v>
      </c>
      <c r="E4409" t="s">
        <v>271</v>
      </c>
      <c r="F4409" t="s">
        <v>575</v>
      </c>
    </row>
    <row r="4410" spans="1:6" x14ac:dyDescent="0.25">
      <c r="A4410" t="s">
        <v>15272</v>
      </c>
      <c r="B4410" t="s">
        <v>15273</v>
      </c>
      <c r="C4410" t="s">
        <v>15274</v>
      </c>
      <c r="D4410" t="s">
        <v>377</v>
      </c>
      <c r="E4410" t="s">
        <v>269</v>
      </c>
      <c r="F4410" t="s">
        <v>1786</v>
      </c>
    </row>
    <row r="4411" spans="1:6" x14ac:dyDescent="0.25">
      <c r="A4411" t="s">
        <v>15275</v>
      </c>
      <c r="B4411" t="s">
        <v>15276</v>
      </c>
      <c r="C4411" t="s">
        <v>15277</v>
      </c>
      <c r="D4411" t="s">
        <v>0</v>
      </c>
      <c r="E4411" t="s">
        <v>271</v>
      </c>
      <c r="F4411" t="s">
        <v>531</v>
      </c>
    </row>
    <row r="4412" spans="1:6" x14ac:dyDescent="0.25">
      <c r="A4412" t="s">
        <v>15278</v>
      </c>
      <c r="B4412" t="s">
        <v>15279</v>
      </c>
      <c r="C4412" t="s">
        <v>15280</v>
      </c>
      <c r="D4412" t="s">
        <v>0</v>
      </c>
      <c r="E4412" t="s">
        <v>271</v>
      </c>
      <c r="F4412" t="s">
        <v>1321</v>
      </c>
    </row>
    <row r="4413" spans="1:6" x14ac:dyDescent="0.25">
      <c r="A4413" t="s">
        <v>15281</v>
      </c>
      <c r="B4413" t="s">
        <v>15282</v>
      </c>
      <c r="C4413" t="s">
        <v>15283</v>
      </c>
      <c r="D4413" t="s">
        <v>472</v>
      </c>
      <c r="E4413" t="s">
        <v>271</v>
      </c>
      <c r="F4413" t="s">
        <v>318</v>
      </c>
    </row>
    <row r="4414" spans="1:6" x14ac:dyDescent="0.25">
      <c r="A4414" t="s">
        <v>15284</v>
      </c>
      <c r="B4414" t="s">
        <v>15285</v>
      </c>
      <c r="C4414" t="s">
        <v>15286</v>
      </c>
      <c r="D4414" t="s">
        <v>0</v>
      </c>
      <c r="E4414" t="s">
        <v>271</v>
      </c>
      <c r="F4414" t="s">
        <v>436</v>
      </c>
    </row>
    <row r="4415" spans="1:6" x14ac:dyDescent="0.25">
      <c r="A4415" t="s">
        <v>15287</v>
      </c>
      <c r="B4415" t="s">
        <v>15288</v>
      </c>
      <c r="C4415" t="s">
        <v>15289</v>
      </c>
      <c r="D4415" t="s">
        <v>340</v>
      </c>
      <c r="E4415" t="s">
        <v>271</v>
      </c>
      <c r="F4415" t="s">
        <v>317</v>
      </c>
    </row>
    <row r="4416" spans="1:6" x14ac:dyDescent="0.25">
      <c r="A4416" t="s">
        <v>15290</v>
      </c>
      <c r="B4416" t="s">
        <v>15291</v>
      </c>
      <c r="C4416" t="s">
        <v>15292</v>
      </c>
      <c r="D4416" t="s">
        <v>0</v>
      </c>
      <c r="E4416" t="s">
        <v>271</v>
      </c>
      <c r="F4416" t="s">
        <v>356</v>
      </c>
    </row>
    <row r="4417" spans="1:6" x14ac:dyDescent="0.25">
      <c r="A4417" t="s">
        <v>15293</v>
      </c>
      <c r="B4417" t="s">
        <v>15294</v>
      </c>
      <c r="C4417" t="s">
        <v>15295</v>
      </c>
      <c r="D4417" t="s">
        <v>0</v>
      </c>
      <c r="E4417" t="s">
        <v>271</v>
      </c>
      <c r="F4417" t="s">
        <v>688</v>
      </c>
    </row>
    <row r="4418" spans="1:6" x14ac:dyDescent="0.25">
      <c r="A4418" t="s">
        <v>15296</v>
      </c>
      <c r="B4418" t="s">
        <v>15297</v>
      </c>
      <c r="C4418" t="s">
        <v>15298</v>
      </c>
      <c r="D4418" t="s">
        <v>0</v>
      </c>
      <c r="E4418" t="s">
        <v>271</v>
      </c>
      <c r="F4418" t="s">
        <v>4421</v>
      </c>
    </row>
    <row r="4419" spans="1:6" x14ac:dyDescent="0.25">
      <c r="A4419" t="s">
        <v>15299</v>
      </c>
      <c r="B4419" t="s">
        <v>15300</v>
      </c>
      <c r="C4419" t="s">
        <v>15301</v>
      </c>
      <c r="D4419" t="s">
        <v>510</v>
      </c>
      <c r="E4419" t="s">
        <v>271</v>
      </c>
      <c r="F4419" t="s">
        <v>852</v>
      </c>
    </row>
    <row r="4420" spans="1:6" x14ac:dyDescent="0.25">
      <c r="A4420" t="s">
        <v>15302</v>
      </c>
      <c r="B4420" t="s">
        <v>15303</v>
      </c>
      <c r="C4420" t="s">
        <v>15304</v>
      </c>
      <c r="D4420" t="s">
        <v>2009</v>
      </c>
      <c r="E4420" t="s">
        <v>271</v>
      </c>
      <c r="F4420" t="s">
        <v>2008</v>
      </c>
    </row>
    <row r="4421" spans="1:6" x14ac:dyDescent="0.25">
      <c r="A4421" t="s">
        <v>1526</v>
      </c>
      <c r="B4421" t="s">
        <v>1527</v>
      </c>
      <c r="C4421" t="s">
        <v>1528</v>
      </c>
      <c r="D4421" t="s">
        <v>980</v>
      </c>
      <c r="E4421" t="s">
        <v>271</v>
      </c>
      <c r="F4421" t="s">
        <v>979</v>
      </c>
    </row>
    <row r="4422" spans="1:6" x14ac:dyDescent="0.25">
      <c r="A4422" t="s">
        <v>15305</v>
      </c>
      <c r="B4422" t="s">
        <v>15306</v>
      </c>
      <c r="C4422" t="s">
        <v>15307</v>
      </c>
      <c r="D4422" t="s">
        <v>1370</v>
      </c>
      <c r="E4422" t="s">
        <v>271</v>
      </c>
      <c r="F4422" t="s">
        <v>1369</v>
      </c>
    </row>
    <row r="4423" spans="1:6" x14ac:dyDescent="0.25">
      <c r="A4423" t="s">
        <v>15308</v>
      </c>
      <c r="B4423" t="s">
        <v>15309</v>
      </c>
      <c r="C4423" t="s">
        <v>15310</v>
      </c>
      <c r="D4423" t="s">
        <v>7408</v>
      </c>
      <c r="E4423" t="s">
        <v>271</v>
      </c>
      <c r="F4423" t="s">
        <v>4401</v>
      </c>
    </row>
    <row r="4424" spans="1:6" x14ac:dyDescent="0.25">
      <c r="A4424" t="s">
        <v>2118</v>
      </c>
      <c r="B4424" t="s">
        <v>2119</v>
      </c>
      <c r="C4424" t="s">
        <v>2120</v>
      </c>
      <c r="D4424" t="s">
        <v>586</v>
      </c>
      <c r="E4424" t="s">
        <v>271</v>
      </c>
      <c r="F4424" t="s">
        <v>334</v>
      </c>
    </row>
    <row r="4425" spans="1:6" x14ac:dyDescent="0.25">
      <c r="A4425" t="s">
        <v>2060</v>
      </c>
      <c r="B4425" t="s">
        <v>2061</v>
      </c>
      <c r="C4425" t="s">
        <v>2062</v>
      </c>
      <c r="D4425" t="s">
        <v>1286</v>
      </c>
      <c r="E4425" t="s">
        <v>269</v>
      </c>
      <c r="F4425" t="s">
        <v>1285</v>
      </c>
    </row>
    <row r="4426" spans="1:6" x14ac:dyDescent="0.25">
      <c r="A4426" t="s">
        <v>1645</v>
      </c>
      <c r="B4426" t="s">
        <v>1646</v>
      </c>
      <c r="C4426" t="s">
        <v>1649</v>
      </c>
      <c r="D4426" t="s">
        <v>1648</v>
      </c>
      <c r="E4426" t="s">
        <v>271</v>
      </c>
      <c r="F4426" t="s">
        <v>1647</v>
      </c>
    </row>
    <row r="4427" spans="1:6" x14ac:dyDescent="0.25">
      <c r="A4427" t="s">
        <v>3033</v>
      </c>
      <c r="B4427" t="s">
        <v>3034</v>
      </c>
      <c r="C4427" t="s">
        <v>3035</v>
      </c>
      <c r="D4427" t="s">
        <v>1925</v>
      </c>
      <c r="E4427" t="s">
        <v>271</v>
      </c>
      <c r="F4427" t="s">
        <v>1924</v>
      </c>
    </row>
    <row r="4428" spans="1:6" x14ac:dyDescent="0.25">
      <c r="A4428" t="s">
        <v>3638</v>
      </c>
      <c r="B4428" t="s">
        <v>3639</v>
      </c>
      <c r="C4428" t="s">
        <v>3640</v>
      </c>
      <c r="D4428" t="s">
        <v>0</v>
      </c>
      <c r="E4428" t="s">
        <v>271</v>
      </c>
      <c r="F4428" t="s">
        <v>356</v>
      </c>
    </row>
    <row r="4429" spans="1:6" x14ac:dyDescent="0.25">
      <c r="A4429" t="s">
        <v>15311</v>
      </c>
      <c r="B4429" t="s">
        <v>15312</v>
      </c>
      <c r="C4429" t="s">
        <v>15313</v>
      </c>
      <c r="D4429" t="s">
        <v>500</v>
      </c>
      <c r="E4429" t="s">
        <v>271</v>
      </c>
      <c r="F4429" t="s">
        <v>501</v>
      </c>
    </row>
    <row r="4430" spans="1:6" x14ac:dyDescent="0.25">
      <c r="A4430" t="s">
        <v>2746</v>
      </c>
      <c r="B4430" t="s">
        <v>2747</v>
      </c>
      <c r="C4430" t="s">
        <v>2748</v>
      </c>
      <c r="D4430" t="s">
        <v>675</v>
      </c>
      <c r="E4430" t="s">
        <v>271</v>
      </c>
      <c r="F4430" t="s">
        <v>674</v>
      </c>
    </row>
    <row r="4431" spans="1:6" x14ac:dyDescent="0.25">
      <c r="A4431" t="s">
        <v>15314</v>
      </c>
      <c r="B4431" t="s">
        <v>15315</v>
      </c>
      <c r="C4431" t="s">
        <v>15316</v>
      </c>
      <c r="D4431" t="s">
        <v>0</v>
      </c>
      <c r="E4431" t="s">
        <v>271</v>
      </c>
      <c r="F4431" t="s">
        <v>356</v>
      </c>
    </row>
    <row r="4432" spans="1:6" x14ac:dyDescent="0.25">
      <c r="A4432" t="s">
        <v>15317</v>
      </c>
      <c r="B4432" t="s">
        <v>613</v>
      </c>
      <c r="C4432" t="s">
        <v>15318</v>
      </c>
      <c r="D4432" t="s">
        <v>241</v>
      </c>
      <c r="E4432" t="s">
        <v>271</v>
      </c>
      <c r="F4432" t="s">
        <v>548</v>
      </c>
    </row>
    <row r="4433" spans="1:6" x14ac:dyDescent="0.25">
      <c r="A4433" t="s">
        <v>2902</v>
      </c>
      <c r="B4433" t="s">
        <v>2903</v>
      </c>
      <c r="C4433" t="s">
        <v>2904</v>
      </c>
      <c r="D4433" t="s">
        <v>1165</v>
      </c>
      <c r="E4433" t="s">
        <v>271</v>
      </c>
      <c r="F4433" t="s">
        <v>1164</v>
      </c>
    </row>
    <row r="4434" spans="1:6" x14ac:dyDescent="0.25">
      <c r="A4434" t="s">
        <v>15319</v>
      </c>
      <c r="B4434" t="s">
        <v>15320</v>
      </c>
      <c r="C4434" t="s">
        <v>15321</v>
      </c>
      <c r="D4434" t="s">
        <v>308</v>
      </c>
      <c r="E4434" t="s">
        <v>271</v>
      </c>
      <c r="F4434" t="s">
        <v>307</v>
      </c>
    </row>
    <row r="4435" spans="1:6" x14ac:dyDescent="0.25">
      <c r="A4435" t="s">
        <v>15322</v>
      </c>
      <c r="B4435" t="s">
        <v>15323</v>
      </c>
      <c r="C4435" t="s">
        <v>15324</v>
      </c>
      <c r="D4435" t="s">
        <v>1303</v>
      </c>
      <c r="E4435" t="s">
        <v>269</v>
      </c>
      <c r="F4435" t="s">
        <v>1302</v>
      </c>
    </row>
    <row r="4436" spans="1:6" x14ac:dyDescent="0.25">
      <c r="A4436" t="s">
        <v>1532</v>
      </c>
      <c r="B4436" t="s">
        <v>1533</v>
      </c>
      <c r="C4436" t="s">
        <v>1535</v>
      </c>
      <c r="D4436" t="s">
        <v>0</v>
      </c>
      <c r="E4436" t="s">
        <v>271</v>
      </c>
      <c r="F4436" t="s">
        <v>1534</v>
      </c>
    </row>
    <row r="4437" spans="1:6" x14ac:dyDescent="0.25">
      <c r="A4437" t="s">
        <v>15325</v>
      </c>
      <c r="B4437" t="s">
        <v>15326</v>
      </c>
      <c r="C4437" t="s">
        <v>15327</v>
      </c>
      <c r="D4437" t="s">
        <v>0</v>
      </c>
      <c r="E4437" t="s">
        <v>271</v>
      </c>
      <c r="F4437" t="s">
        <v>562</v>
      </c>
    </row>
    <row r="4438" spans="1:6" x14ac:dyDescent="0.25">
      <c r="A4438" t="s">
        <v>15328</v>
      </c>
      <c r="B4438" t="s">
        <v>15329</v>
      </c>
      <c r="C4438" t="s">
        <v>9286</v>
      </c>
      <c r="D4438" t="s">
        <v>972</v>
      </c>
      <c r="E4438" t="s">
        <v>269</v>
      </c>
      <c r="F4438" t="s">
        <v>971</v>
      </c>
    </row>
    <row r="4439" spans="1:6" x14ac:dyDescent="0.25">
      <c r="A4439" t="s">
        <v>3360</v>
      </c>
      <c r="B4439" t="s">
        <v>3361</v>
      </c>
      <c r="C4439" t="s">
        <v>3362</v>
      </c>
      <c r="D4439" t="s">
        <v>0</v>
      </c>
      <c r="E4439" t="s">
        <v>271</v>
      </c>
      <c r="F4439" t="s">
        <v>726</v>
      </c>
    </row>
    <row r="4440" spans="1:6" x14ac:dyDescent="0.25">
      <c r="A4440" t="s">
        <v>15330</v>
      </c>
      <c r="B4440" t="s">
        <v>15331</v>
      </c>
      <c r="C4440" t="s">
        <v>15332</v>
      </c>
      <c r="D4440" t="s">
        <v>519</v>
      </c>
      <c r="E4440" t="s">
        <v>271</v>
      </c>
      <c r="F4440" t="s">
        <v>324</v>
      </c>
    </row>
    <row r="4441" spans="1:6" x14ac:dyDescent="0.25">
      <c r="A4441" t="s">
        <v>15333</v>
      </c>
      <c r="B4441" t="s">
        <v>15334</v>
      </c>
      <c r="C4441" t="s">
        <v>15335</v>
      </c>
      <c r="D4441" t="s">
        <v>0</v>
      </c>
      <c r="E4441" t="s">
        <v>271</v>
      </c>
      <c r="F4441" t="s">
        <v>325</v>
      </c>
    </row>
    <row r="4442" spans="1:6" x14ac:dyDescent="0.25">
      <c r="A4442" t="s">
        <v>15336</v>
      </c>
      <c r="B4442" t="s">
        <v>15337</v>
      </c>
      <c r="C4442" t="s">
        <v>15338</v>
      </c>
      <c r="D4442" t="s">
        <v>0</v>
      </c>
      <c r="E4442" t="s">
        <v>271</v>
      </c>
      <c r="F4442" t="s">
        <v>319</v>
      </c>
    </row>
    <row r="4443" spans="1:6" x14ac:dyDescent="0.25">
      <c r="A4443" t="s">
        <v>15339</v>
      </c>
      <c r="B4443" t="s">
        <v>15340</v>
      </c>
      <c r="C4443" t="s">
        <v>15341</v>
      </c>
      <c r="D4443" t="s">
        <v>15342</v>
      </c>
      <c r="E4443" t="s">
        <v>269</v>
      </c>
      <c r="F4443" t="s">
        <v>15343</v>
      </c>
    </row>
    <row r="4444" spans="1:6" x14ac:dyDescent="0.25">
      <c r="A4444" t="s">
        <v>15344</v>
      </c>
      <c r="B4444" t="s">
        <v>9657</v>
      </c>
      <c r="C4444" t="s">
        <v>15345</v>
      </c>
      <c r="D4444" t="s">
        <v>1286</v>
      </c>
      <c r="E4444" t="s">
        <v>269</v>
      </c>
      <c r="F4444" t="s">
        <v>1285</v>
      </c>
    </row>
    <row r="4445" spans="1:6" x14ac:dyDescent="0.25">
      <c r="A4445" t="s">
        <v>15346</v>
      </c>
      <c r="B4445" t="s">
        <v>15347</v>
      </c>
      <c r="C4445" t="s">
        <v>7934</v>
      </c>
      <c r="D4445" t="s">
        <v>0</v>
      </c>
      <c r="E4445" t="s">
        <v>271</v>
      </c>
      <c r="F4445" t="s">
        <v>325</v>
      </c>
    </row>
    <row r="4446" spans="1:6" x14ac:dyDescent="0.25">
      <c r="A4446" t="s">
        <v>15348</v>
      </c>
      <c r="B4446" t="s">
        <v>15349</v>
      </c>
      <c r="C4446" t="s">
        <v>8367</v>
      </c>
      <c r="D4446" t="s">
        <v>0</v>
      </c>
      <c r="E4446" t="s">
        <v>271</v>
      </c>
      <c r="F4446" t="s">
        <v>881</v>
      </c>
    </row>
    <row r="4447" spans="1:6" x14ac:dyDescent="0.25">
      <c r="A4447" t="s">
        <v>2300</v>
      </c>
      <c r="B4447" t="s">
        <v>2301</v>
      </c>
      <c r="C4447" t="s">
        <v>2302</v>
      </c>
      <c r="D4447" t="s">
        <v>0</v>
      </c>
      <c r="E4447" t="s">
        <v>271</v>
      </c>
      <c r="F4447" t="s">
        <v>726</v>
      </c>
    </row>
    <row r="4448" spans="1:6" x14ac:dyDescent="0.25">
      <c r="A4448" t="s">
        <v>15350</v>
      </c>
      <c r="B4448" t="s">
        <v>15351</v>
      </c>
      <c r="C4448" t="s">
        <v>15352</v>
      </c>
      <c r="D4448" t="s">
        <v>1059</v>
      </c>
      <c r="E4448" t="s">
        <v>271</v>
      </c>
      <c r="F4448" t="s">
        <v>1058</v>
      </c>
    </row>
    <row r="4449" spans="1:6" x14ac:dyDescent="0.25">
      <c r="A4449" t="s">
        <v>15353</v>
      </c>
      <c r="B4449" t="s">
        <v>15354</v>
      </c>
      <c r="C4449" t="s">
        <v>15355</v>
      </c>
      <c r="D4449" t="s">
        <v>0</v>
      </c>
      <c r="E4449" t="s">
        <v>271</v>
      </c>
      <c r="F4449" t="s">
        <v>15356</v>
      </c>
    </row>
    <row r="4450" spans="1:6" x14ac:dyDescent="0.25">
      <c r="A4450" t="s">
        <v>15357</v>
      </c>
      <c r="B4450" t="s">
        <v>15358</v>
      </c>
      <c r="C4450" t="s">
        <v>15359</v>
      </c>
      <c r="D4450" t="s">
        <v>0</v>
      </c>
      <c r="E4450" t="s">
        <v>271</v>
      </c>
      <c r="F4450" t="s">
        <v>2377</v>
      </c>
    </row>
    <row r="4451" spans="1:6" x14ac:dyDescent="0.25">
      <c r="A4451" t="s">
        <v>15360</v>
      </c>
      <c r="B4451" t="s">
        <v>15361</v>
      </c>
      <c r="C4451" t="s">
        <v>15362</v>
      </c>
      <c r="D4451" t="s">
        <v>363</v>
      </c>
      <c r="E4451" t="s">
        <v>271</v>
      </c>
      <c r="F4451" t="s">
        <v>364</v>
      </c>
    </row>
    <row r="4452" spans="1:6" x14ac:dyDescent="0.25">
      <c r="A4452" t="s">
        <v>15363</v>
      </c>
      <c r="B4452" t="s">
        <v>15364</v>
      </c>
      <c r="C4452" t="s">
        <v>15365</v>
      </c>
      <c r="D4452" t="s">
        <v>0</v>
      </c>
      <c r="E4452" t="s">
        <v>271</v>
      </c>
      <c r="F4452" t="s">
        <v>356</v>
      </c>
    </row>
    <row r="4453" spans="1:6" x14ac:dyDescent="0.25">
      <c r="A4453" t="s">
        <v>15366</v>
      </c>
      <c r="B4453" t="s">
        <v>15367</v>
      </c>
      <c r="C4453" t="s">
        <v>15368</v>
      </c>
      <c r="D4453" t="s">
        <v>416</v>
      </c>
      <c r="E4453" t="s">
        <v>271</v>
      </c>
      <c r="F4453" t="s">
        <v>439</v>
      </c>
    </row>
    <row r="4454" spans="1:6" x14ac:dyDescent="0.25">
      <c r="A4454" t="s">
        <v>15369</v>
      </c>
      <c r="B4454" t="s">
        <v>15370</v>
      </c>
      <c r="C4454" t="s">
        <v>15371</v>
      </c>
      <c r="D4454" t="s">
        <v>1743</v>
      </c>
      <c r="E4454" t="s">
        <v>269</v>
      </c>
      <c r="F4454" t="s">
        <v>1742</v>
      </c>
    </row>
    <row r="4455" spans="1:6" x14ac:dyDescent="0.25">
      <c r="A4455" t="s">
        <v>15372</v>
      </c>
      <c r="B4455" t="s">
        <v>15373</v>
      </c>
      <c r="C4455" t="s">
        <v>15374</v>
      </c>
      <c r="D4455" t="s">
        <v>0</v>
      </c>
      <c r="E4455" t="s">
        <v>271</v>
      </c>
      <c r="F4455" t="s">
        <v>4391</v>
      </c>
    </row>
    <row r="4456" spans="1:6" x14ac:dyDescent="0.25">
      <c r="A4456" t="s">
        <v>15375</v>
      </c>
      <c r="B4456" t="s">
        <v>15376</v>
      </c>
      <c r="C4456" t="s">
        <v>15377</v>
      </c>
      <c r="D4456" t="s">
        <v>1199</v>
      </c>
      <c r="E4456" t="s">
        <v>271</v>
      </c>
      <c r="F4456" t="s">
        <v>1198</v>
      </c>
    </row>
    <row r="4457" spans="1:6" x14ac:dyDescent="0.25">
      <c r="A4457" t="s">
        <v>1091</v>
      </c>
      <c r="B4457" t="s">
        <v>1092</v>
      </c>
      <c r="C4457" t="s">
        <v>1093</v>
      </c>
      <c r="D4457" t="s">
        <v>980</v>
      </c>
      <c r="E4457" t="s">
        <v>271</v>
      </c>
      <c r="F4457" t="s">
        <v>979</v>
      </c>
    </row>
    <row r="4458" spans="1:6" x14ac:dyDescent="0.25">
      <c r="A4458" t="s">
        <v>15378</v>
      </c>
      <c r="B4458" t="s">
        <v>15379</v>
      </c>
      <c r="C4458" t="s">
        <v>15380</v>
      </c>
      <c r="D4458" t="s">
        <v>0</v>
      </c>
      <c r="E4458" t="s">
        <v>271</v>
      </c>
      <c r="F4458" t="s">
        <v>325</v>
      </c>
    </row>
    <row r="4459" spans="1:6" x14ac:dyDescent="0.25">
      <c r="A4459" t="s">
        <v>15381</v>
      </c>
      <c r="B4459" t="s">
        <v>15382</v>
      </c>
      <c r="C4459" t="s">
        <v>15383</v>
      </c>
      <c r="D4459" t="s">
        <v>0</v>
      </c>
      <c r="E4459" t="s">
        <v>271</v>
      </c>
      <c r="F4459" t="s">
        <v>709</v>
      </c>
    </row>
    <row r="4460" spans="1:6" x14ac:dyDescent="0.25">
      <c r="A4460" t="s">
        <v>15384</v>
      </c>
      <c r="B4460" t="s">
        <v>15385</v>
      </c>
      <c r="C4460" t="s">
        <v>15386</v>
      </c>
      <c r="D4460" t="s">
        <v>0</v>
      </c>
      <c r="E4460" t="s">
        <v>271</v>
      </c>
      <c r="F4460" t="s">
        <v>731</v>
      </c>
    </row>
    <row r="4461" spans="1:6" x14ac:dyDescent="0.25">
      <c r="A4461" t="s">
        <v>2297</v>
      </c>
      <c r="B4461" t="s">
        <v>2298</v>
      </c>
      <c r="C4461" t="s">
        <v>2299</v>
      </c>
      <c r="D4461" t="s">
        <v>0</v>
      </c>
      <c r="E4461" t="s">
        <v>271</v>
      </c>
      <c r="F4461" t="s">
        <v>319</v>
      </c>
    </row>
    <row r="4462" spans="1:6" x14ac:dyDescent="0.25">
      <c r="A4462" t="s">
        <v>15387</v>
      </c>
      <c r="B4462" t="s">
        <v>15388</v>
      </c>
      <c r="C4462" t="s">
        <v>15389</v>
      </c>
      <c r="D4462" t="s">
        <v>0</v>
      </c>
      <c r="E4462" t="s">
        <v>271</v>
      </c>
      <c r="F4462" t="s">
        <v>562</v>
      </c>
    </row>
    <row r="4463" spans="1:6" x14ac:dyDescent="0.25">
      <c r="A4463" t="s">
        <v>15390</v>
      </c>
      <c r="B4463" t="s">
        <v>15391</v>
      </c>
      <c r="C4463" t="s">
        <v>15392</v>
      </c>
      <c r="D4463" t="s">
        <v>0</v>
      </c>
      <c r="E4463" t="s">
        <v>271</v>
      </c>
      <c r="F4463" t="s">
        <v>356</v>
      </c>
    </row>
    <row r="4464" spans="1:6" x14ac:dyDescent="0.25">
      <c r="A4464" t="s">
        <v>15393</v>
      </c>
      <c r="B4464" t="s">
        <v>15394</v>
      </c>
      <c r="C4464" t="s">
        <v>15395</v>
      </c>
      <c r="D4464" t="s">
        <v>1337</v>
      </c>
      <c r="E4464" t="s">
        <v>271</v>
      </c>
      <c r="F4464" t="s">
        <v>1336</v>
      </c>
    </row>
    <row r="4465" spans="1:6" x14ac:dyDescent="0.25">
      <c r="A4465" t="s">
        <v>15396</v>
      </c>
      <c r="B4465" t="s">
        <v>8319</v>
      </c>
      <c r="C4465" t="s">
        <v>8320</v>
      </c>
      <c r="D4465" t="s">
        <v>6005</v>
      </c>
      <c r="E4465" t="s">
        <v>271</v>
      </c>
      <c r="F4465" t="s">
        <v>4399</v>
      </c>
    </row>
    <row r="4466" spans="1:6" x14ac:dyDescent="0.25">
      <c r="A4466" t="s">
        <v>15397</v>
      </c>
      <c r="B4466" t="s">
        <v>15398</v>
      </c>
      <c r="C4466" t="s">
        <v>15399</v>
      </c>
      <c r="D4466" t="s">
        <v>0</v>
      </c>
      <c r="E4466" t="s">
        <v>271</v>
      </c>
      <c r="F4466" t="s">
        <v>731</v>
      </c>
    </row>
    <row r="4467" spans="1:6" x14ac:dyDescent="0.25">
      <c r="A4467" t="s">
        <v>15400</v>
      </c>
      <c r="B4467" t="s">
        <v>15401</v>
      </c>
      <c r="C4467" t="s">
        <v>15402</v>
      </c>
      <c r="D4467" t="s">
        <v>3343</v>
      </c>
      <c r="E4467" t="s">
        <v>271</v>
      </c>
      <c r="F4467" t="s">
        <v>3342</v>
      </c>
    </row>
    <row r="4468" spans="1:6" x14ac:dyDescent="0.25">
      <c r="A4468" t="s">
        <v>15403</v>
      </c>
      <c r="B4468" t="s">
        <v>15404</v>
      </c>
      <c r="C4468" t="s">
        <v>15405</v>
      </c>
      <c r="D4468" t="s">
        <v>1683</v>
      </c>
      <c r="E4468" t="s">
        <v>271</v>
      </c>
      <c r="F4468" t="s">
        <v>996</v>
      </c>
    </row>
    <row r="4469" spans="1:6" x14ac:dyDescent="0.25">
      <c r="A4469" t="s">
        <v>15406</v>
      </c>
      <c r="B4469" t="s">
        <v>15407</v>
      </c>
      <c r="C4469" t="s">
        <v>15408</v>
      </c>
      <c r="D4469" t="s">
        <v>510</v>
      </c>
      <c r="E4469" t="s">
        <v>271</v>
      </c>
      <c r="F4469" t="s">
        <v>511</v>
      </c>
    </row>
    <row r="4470" spans="1:6" x14ac:dyDescent="0.25">
      <c r="A4470" t="s">
        <v>15409</v>
      </c>
      <c r="B4470" t="s">
        <v>15410</v>
      </c>
      <c r="C4470" t="s">
        <v>15411</v>
      </c>
      <c r="D4470" t="s">
        <v>314</v>
      </c>
      <c r="E4470" t="s">
        <v>271</v>
      </c>
      <c r="F4470" t="s">
        <v>370</v>
      </c>
    </row>
    <row r="4471" spans="1:6" x14ac:dyDescent="0.25">
      <c r="A4471" t="s">
        <v>15412</v>
      </c>
      <c r="B4471" t="s">
        <v>15413</v>
      </c>
      <c r="C4471" t="s">
        <v>15414</v>
      </c>
      <c r="D4471" t="s">
        <v>1137</v>
      </c>
      <c r="E4471" t="s">
        <v>269</v>
      </c>
      <c r="F4471" t="s">
        <v>1136</v>
      </c>
    </row>
    <row r="4472" spans="1:6" x14ac:dyDescent="0.25">
      <c r="A4472" t="s">
        <v>15415</v>
      </c>
      <c r="B4472" t="s">
        <v>15416</v>
      </c>
      <c r="C4472" t="s">
        <v>15417</v>
      </c>
      <c r="D4472" t="s">
        <v>0</v>
      </c>
      <c r="E4472" t="s">
        <v>271</v>
      </c>
      <c r="F4472" t="s">
        <v>2608</v>
      </c>
    </row>
    <row r="4473" spans="1:6" x14ac:dyDescent="0.25">
      <c r="A4473" t="s">
        <v>1066</v>
      </c>
      <c r="B4473" t="s">
        <v>1067</v>
      </c>
      <c r="C4473" t="s">
        <v>1069</v>
      </c>
      <c r="D4473" t="s">
        <v>500</v>
      </c>
      <c r="E4473" t="s">
        <v>271</v>
      </c>
      <c r="F4473" t="s">
        <v>501</v>
      </c>
    </row>
    <row r="4474" spans="1:6" x14ac:dyDescent="0.25">
      <c r="A4474" t="s">
        <v>15418</v>
      </c>
      <c r="B4474" t="s">
        <v>15419</v>
      </c>
      <c r="C4474" t="s">
        <v>15420</v>
      </c>
      <c r="D4474" t="s">
        <v>1542</v>
      </c>
      <c r="E4474" t="s">
        <v>269</v>
      </c>
      <c r="F4474" t="s">
        <v>1541</v>
      </c>
    </row>
    <row r="4475" spans="1:6" x14ac:dyDescent="0.25">
      <c r="A4475" t="s">
        <v>15421</v>
      </c>
      <c r="B4475" t="s">
        <v>15422</v>
      </c>
      <c r="C4475" t="s">
        <v>15423</v>
      </c>
      <c r="D4475" t="s">
        <v>578</v>
      </c>
      <c r="E4475" t="s">
        <v>271</v>
      </c>
      <c r="F4475" t="s">
        <v>321</v>
      </c>
    </row>
    <row r="4476" spans="1:6" x14ac:dyDescent="0.25">
      <c r="A4476" t="s">
        <v>1870</v>
      </c>
      <c r="B4476" t="s">
        <v>1871</v>
      </c>
      <c r="C4476" t="s">
        <v>1875</v>
      </c>
      <c r="D4476" t="s">
        <v>1874</v>
      </c>
      <c r="E4476" t="s">
        <v>271</v>
      </c>
      <c r="F4476" t="s">
        <v>1873</v>
      </c>
    </row>
    <row r="4477" spans="1:6" x14ac:dyDescent="0.25">
      <c r="A4477" t="s">
        <v>2030</v>
      </c>
      <c r="B4477" t="s">
        <v>2031</v>
      </c>
      <c r="C4477" t="s">
        <v>2033</v>
      </c>
      <c r="D4477" t="s">
        <v>312</v>
      </c>
      <c r="E4477" t="s">
        <v>271</v>
      </c>
      <c r="F4477" t="s">
        <v>311</v>
      </c>
    </row>
    <row r="4478" spans="1:6" x14ac:dyDescent="0.25">
      <c r="A4478" t="s">
        <v>15424</v>
      </c>
      <c r="B4478" t="s">
        <v>15425</v>
      </c>
      <c r="C4478" t="s">
        <v>15426</v>
      </c>
      <c r="D4478" t="s">
        <v>490</v>
      </c>
      <c r="E4478" t="s">
        <v>271</v>
      </c>
      <c r="F4478" t="s">
        <v>491</v>
      </c>
    </row>
    <row r="4479" spans="1:6" x14ac:dyDescent="0.25">
      <c r="A4479" t="s">
        <v>15427</v>
      </c>
      <c r="B4479" t="s">
        <v>15428</v>
      </c>
      <c r="C4479" t="s">
        <v>15429</v>
      </c>
      <c r="D4479" t="s">
        <v>1165</v>
      </c>
      <c r="E4479" t="s">
        <v>271</v>
      </c>
      <c r="F4479" t="s">
        <v>1164</v>
      </c>
    </row>
    <row r="4480" spans="1:6" x14ac:dyDescent="0.25">
      <c r="A4480" t="s">
        <v>15430</v>
      </c>
      <c r="B4480" t="s">
        <v>15431</v>
      </c>
      <c r="C4480" t="s">
        <v>15432</v>
      </c>
      <c r="D4480" t="s">
        <v>2714</v>
      </c>
      <c r="E4480" t="s">
        <v>271</v>
      </c>
      <c r="F4480" t="s">
        <v>2713</v>
      </c>
    </row>
    <row r="4481" spans="1:6" x14ac:dyDescent="0.25">
      <c r="A4481" t="s">
        <v>15433</v>
      </c>
      <c r="B4481" t="s">
        <v>15434</v>
      </c>
      <c r="C4481" t="s">
        <v>15257</v>
      </c>
      <c r="D4481" t="s">
        <v>502</v>
      </c>
      <c r="E4481" t="s">
        <v>271</v>
      </c>
      <c r="F4481" t="s">
        <v>425</v>
      </c>
    </row>
    <row r="4482" spans="1:6" x14ac:dyDescent="0.25">
      <c r="A4482" t="s">
        <v>15435</v>
      </c>
      <c r="B4482" t="s">
        <v>15436</v>
      </c>
      <c r="C4482" t="s">
        <v>15437</v>
      </c>
      <c r="D4482" t="s">
        <v>0</v>
      </c>
      <c r="E4482" t="s">
        <v>271</v>
      </c>
      <c r="F4482" t="s">
        <v>1534</v>
      </c>
    </row>
    <row r="4483" spans="1:6" x14ac:dyDescent="0.25">
      <c r="A4483" t="s">
        <v>2037</v>
      </c>
      <c r="B4483" t="s">
        <v>2038</v>
      </c>
      <c r="C4483" t="s">
        <v>2039</v>
      </c>
      <c r="D4483" t="s">
        <v>519</v>
      </c>
      <c r="E4483" t="s">
        <v>271</v>
      </c>
      <c r="F4483" t="s">
        <v>324</v>
      </c>
    </row>
    <row r="4484" spans="1:6" x14ac:dyDescent="0.25">
      <c r="A4484" t="s">
        <v>15438</v>
      </c>
      <c r="B4484" t="s">
        <v>15439</v>
      </c>
      <c r="C4484" t="s">
        <v>4521</v>
      </c>
      <c r="D4484" t="s">
        <v>1413</v>
      </c>
      <c r="E4484" t="s">
        <v>271</v>
      </c>
      <c r="F4484" t="s">
        <v>1412</v>
      </c>
    </row>
    <row r="4485" spans="1:6" x14ac:dyDescent="0.25">
      <c r="A4485" t="s">
        <v>15440</v>
      </c>
      <c r="B4485" t="s">
        <v>15441</v>
      </c>
      <c r="C4485" t="s">
        <v>15442</v>
      </c>
      <c r="D4485" t="s">
        <v>1317</v>
      </c>
      <c r="E4485" t="s">
        <v>271</v>
      </c>
      <c r="F4485" t="s">
        <v>1316</v>
      </c>
    </row>
    <row r="4486" spans="1:6" x14ac:dyDescent="0.25">
      <c r="A4486" t="s">
        <v>15443</v>
      </c>
      <c r="B4486" t="s">
        <v>15444</v>
      </c>
      <c r="C4486" t="s">
        <v>9888</v>
      </c>
      <c r="D4486" t="s">
        <v>453</v>
      </c>
      <c r="E4486" t="s">
        <v>271</v>
      </c>
      <c r="F4486" t="s">
        <v>454</v>
      </c>
    </row>
    <row r="4487" spans="1:6" x14ac:dyDescent="0.25">
      <c r="A4487" t="s">
        <v>15445</v>
      </c>
      <c r="B4487" t="s">
        <v>15446</v>
      </c>
      <c r="C4487" t="s">
        <v>15447</v>
      </c>
      <c r="D4487" t="s">
        <v>6201</v>
      </c>
      <c r="E4487" t="s">
        <v>271</v>
      </c>
      <c r="F4487" t="s">
        <v>4395</v>
      </c>
    </row>
    <row r="4488" spans="1:6" x14ac:dyDescent="0.25">
      <c r="A4488" t="s">
        <v>15448</v>
      </c>
      <c r="B4488" t="s">
        <v>15449</v>
      </c>
      <c r="C4488" t="s">
        <v>15450</v>
      </c>
      <c r="D4488" t="s">
        <v>0</v>
      </c>
      <c r="E4488" t="s">
        <v>271</v>
      </c>
      <c r="F4488" t="s">
        <v>531</v>
      </c>
    </row>
    <row r="4489" spans="1:6" x14ac:dyDescent="0.25">
      <c r="A4489" t="s">
        <v>15451</v>
      </c>
      <c r="B4489" t="s">
        <v>15452</v>
      </c>
      <c r="C4489" t="s">
        <v>15453</v>
      </c>
      <c r="D4489" t="s">
        <v>1292</v>
      </c>
      <c r="E4489" t="s">
        <v>271</v>
      </c>
      <c r="F4489" t="s">
        <v>1291</v>
      </c>
    </row>
    <row r="4490" spans="1:6" x14ac:dyDescent="0.25">
      <c r="A4490" t="s">
        <v>15454</v>
      </c>
      <c r="B4490" t="s">
        <v>15455</v>
      </c>
      <c r="C4490" t="s">
        <v>15456</v>
      </c>
      <c r="D4490" t="s">
        <v>519</v>
      </c>
      <c r="E4490" t="s">
        <v>271</v>
      </c>
      <c r="F4490" t="s">
        <v>324</v>
      </c>
    </row>
    <row r="4491" spans="1:6" x14ac:dyDescent="0.25">
      <c r="A4491" t="s">
        <v>15457</v>
      </c>
      <c r="B4491" t="s">
        <v>15458</v>
      </c>
      <c r="C4491" t="s">
        <v>3160</v>
      </c>
      <c r="D4491" t="s">
        <v>822</v>
      </c>
      <c r="E4491" t="s">
        <v>269</v>
      </c>
      <c r="F4491" t="s">
        <v>821</v>
      </c>
    </row>
    <row r="4492" spans="1:6" x14ac:dyDescent="0.25">
      <c r="A4492" t="s">
        <v>15459</v>
      </c>
      <c r="B4492" t="s">
        <v>15460</v>
      </c>
      <c r="C4492" t="s">
        <v>15461</v>
      </c>
      <c r="D4492" t="s">
        <v>6862</v>
      </c>
      <c r="E4492" t="s">
        <v>271</v>
      </c>
      <c r="F4492" t="s">
        <v>4386</v>
      </c>
    </row>
    <row r="4493" spans="1:6" x14ac:dyDescent="0.25">
      <c r="A4493" t="s">
        <v>15462</v>
      </c>
      <c r="B4493" t="s">
        <v>15463</v>
      </c>
      <c r="C4493" t="s">
        <v>15464</v>
      </c>
      <c r="D4493" t="s">
        <v>0</v>
      </c>
      <c r="E4493" t="s">
        <v>271</v>
      </c>
      <c r="F4493" t="s">
        <v>325</v>
      </c>
    </row>
    <row r="4494" spans="1:6" x14ac:dyDescent="0.25">
      <c r="A4494" t="s">
        <v>15465</v>
      </c>
      <c r="B4494" t="s">
        <v>15466</v>
      </c>
      <c r="C4494" t="s">
        <v>15467</v>
      </c>
      <c r="D4494" t="s">
        <v>0</v>
      </c>
      <c r="E4494" t="s">
        <v>271</v>
      </c>
      <c r="F4494" t="s">
        <v>1321</v>
      </c>
    </row>
    <row r="4495" spans="1:6" x14ac:dyDescent="0.25">
      <c r="A4495" t="s">
        <v>15468</v>
      </c>
      <c r="B4495" t="s">
        <v>15469</v>
      </c>
      <c r="C4495" t="s">
        <v>15470</v>
      </c>
      <c r="D4495" t="s">
        <v>2908</v>
      </c>
      <c r="E4495" t="s">
        <v>271</v>
      </c>
      <c r="F4495" t="s">
        <v>2470</v>
      </c>
    </row>
    <row r="4496" spans="1:6" x14ac:dyDescent="0.25">
      <c r="A4496" t="s">
        <v>15471</v>
      </c>
      <c r="B4496" t="s">
        <v>15472</v>
      </c>
      <c r="C4496" t="s">
        <v>15473</v>
      </c>
      <c r="D4496" t="s">
        <v>2578</v>
      </c>
      <c r="E4496" t="s">
        <v>271</v>
      </c>
      <c r="F4496" t="s">
        <v>2577</v>
      </c>
    </row>
    <row r="4497" spans="1:6" x14ac:dyDescent="0.25">
      <c r="A4497" t="s">
        <v>15474</v>
      </c>
      <c r="B4497" t="s">
        <v>15475</v>
      </c>
      <c r="C4497" t="s">
        <v>15476</v>
      </c>
      <c r="D4497" t="s">
        <v>793</v>
      </c>
      <c r="E4497" t="s">
        <v>271</v>
      </c>
      <c r="F4497" t="s">
        <v>792</v>
      </c>
    </row>
    <row r="4498" spans="1:6" x14ac:dyDescent="0.25">
      <c r="A4498" t="s">
        <v>15477</v>
      </c>
      <c r="B4498" t="s">
        <v>15478</v>
      </c>
      <c r="C4498" t="s">
        <v>2346</v>
      </c>
      <c r="D4498" t="s">
        <v>972</v>
      </c>
      <c r="E4498" t="s">
        <v>269</v>
      </c>
      <c r="F4498" t="s">
        <v>971</v>
      </c>
    </row>
    <row r="4499" spans="1:6" x14ac:dyDescent="0.25">
      <c r="A4499" t="s">
        <v>15479</v>
      </c>
      <c r="B4499" t="s">
        <v>15480</v>
      </c>
      <c r="C4499" t="s">
        <v>6539</v>
      </c>
      <c r="D4499" t="s">
        <v>0</v>
      </c>
      <c r="E4499" t="s">
        <v>271</v>
      </c>
      <c r="F4499" t="s">
        <v>1148</v>
      </c>
    </row>
    <row r="4500" spans="1:6" x14ac:dyDescent="0.25">
      <c r="A4500" t="s">
        <v>15481</v>
      </c>
      <c r="B4500" t="s">
        <v>15482</v>
      </c>
      <c r="C4500" t="s">
        <v>15483</v>
      </c>
      <c r="D4500" t="s">
        <v>7255</v>
      </c>
      <c r="E4500" t="s">
        <v>269</v>
      </c>
      <c r="F4500" t="s">
        <v>4404</v>
      </c>
    </row>
    <row r="4501" spans="1:6" x14ac:dyDescent="0.25">
      <c r="A4501" t="s">
        <v>15484</v>
      </c>
      <c r="B4501" t="s">
        <v>15485</v>
      </c>
      <c r="C4501" t="s">
        <v>15486</v>
      </c>
      <c r="D4501" t="s">
        <v>450</v>
      </c>
      <c r="E4501" t="s">
        <v>271</v>
      </c>
      <c r="F4501" t="s">
        <v>326</v>
      </c>
    </row>
    <row r="4502" spans="1:6" x14ac:dyDescent="0.25">
      <c r="A4502" t="s">
        <v>15487</v>
      </c>
      <c r="B4502" t="s">
        <v>15488</v>
      </c>
      <c r="C4502" t="s">
        <v>15489</v>
      </c>
      <c r="D4502" t="s">
        <v>3625</v>
      </c>
      <c r="E4502" t="s">
        <v>269</v>
      </c>
      <c r="F4502" t="s">
        <v>3624</v>
      </c>
    </row>
    <row r="4503" spans="1:6" x14ac:dyDescent="0.25">
      <c r="A4503" t="s">
        <v>660</v>
      </c>
      <c r="B4503" t="s">
        <v>661</v>
      </c>
      <c r="C4503" t="s">
        <v>663</v>
      </c>
      <c r="D4503" t="s">
        <v>586</v>
      </c>
      <c r="E4503" t="s">
        <v>271</v>
      </c>
      <c r="F4503" t="s">
        <v>662</v>
      </c>
    </row>
    <row r="4504" spans="1:6" x14ac:dyDescent="0.25">
      <c r="A4504" t="s">
        <v>15490</v>
      </c>
      <c r="B4504" t="s">
        <v>15491</v>
      </c>
      <c r="C4504" t="s">
        <v>15492</v>
      </c>
      <c r="D4504" t="s">
        <v>0</v>
      </c>
      <c r="E4504" t="s">
        <v>271</v>
      </c>
      <c r="F4504" t="s">
        <v>323</v>
      </c>
    </row>
    <row r="4505" spans="1:6" x14ac:dyDescent="0.25">
      <c r="A4505" t="s">
        <v>15493</v>
      </c>
      <c r="B4505" t="s">
        <v>15494</v>
      </c>
      <c r="C4505" t="s">
        <v>15495</v>
      </c>
      <c r="D4505" t="s">
        <v>0</v>
      </c>
      <c r="E4505" t="s">
        <v>271</v>
      </c>
      <c r="F4505" t="s">
        <v>1141</v>
      </c>
    </row>
    <row r="4506" spans="1:6" x14ac:dyDescent="0.25">
      <c r="A4506" t="s">
        <v>15496</v>
      </c>
      <c r="B4506" t="s">
        <v>15497</v>
      </c>
      <c r="C4506" t="s">
        <v>15498</v>
      </c>
      <c r="D4506" t="s">
        <v>402</v>
      </c>
      <c r="E4506" t="s">
        <v>271</v>
      </c>
      <c r="F4506" t="s">
        <v>401</v>
      </c>
    </row>
    <row r="4507" spans="1:6" x14ac:dyDescent="0.25">
      <c r="A4507" t="s">
        <v>15499</v>
      </c>
      <c r="B4507" t="s">
        <v>15500</v>
      </c>
      <c r="C4507" t="s">
        <v>15501</v>
      </c>
      <c r="D4507" t="s">
        <v>0</v>
      </c>
      <c r="E4507" t="s">
        <v>271</v>
      </c>
      <c r="F4507" t="s">
        <v>356</v>
      </c>
    </row>
    <row r="4508" spans="1:6" x14ac:dyDescent="0.25">
      <c r="A4508" t="s">
        <v>15502</v>
      </c>
      <c r="B4508" t="s">
        <v>15503</v>
      </c>
      <c r="C4508" t="s">
        <v>15504</v>
      </c>
      <c r="D4508" t="s">
        <v>1413</v>
      </c>
      <c r="E4508" t="s">
        <v>271</v>
      </c>
      <c r="F4508" t="s">
        <v>1412</v>
      </c>
    </row>
    <row r="4509" spans="1:6" x14ac:dyDescent="0.25">
      <c r="A4509" t="s">
        <v>1418</v>
      </c>
      <c r="B4509" t="s">
        <v>1419</v>
      </c>
      <c r="C4509" t="s">
        <v>1422</v>
      </c>
      <c r="D4509" t="s">
        <v>1421</v>
      </c>
      <c r="E4509" t="s">
        <v>271</v>
      </c>
      <c r="F4509" t="s">
        <v>1420</v>
      </c>
    </row>
    <row r="4510" spans="1:6" x14ac:dyDescent="0.25">
      <c r="A4510" t="s">
        <v>3182</v>
      </c>
      <c r="B4510" t="s">
        <v>3183</v>
      </c>
      <c r="C4510" t="s">
        <v>3184</v>
      </c>
      <c r="D4510" t="s">
        <v>312</v>
      </c>
      <c r="E4510" t="s">
        <v>271</v>
      </c>
      <c r="F4510" t="s">
        <v>311</v>
      </c>
    </row>
    <row r="4511" spans="1:6" x14ac:dyDescent="0.25">
      <c r="A4511" t="s">
        <v>2910</v>
      </c>
      <c r="B4511" t="s">
        <v>2911</v>
      </c>
      <c r="C4511" t="s">
        <v>2912</v>
      </c>
      <c r="D4511" t="s">
        <v>0</v>
      </c>
      <c r="E4511" t="s">
        <v>271</v>
      </c>
      <c r="F4511" t="s">
        <v>688</v>
      </c>
    </row>
    <row r="4512" spans="1:6" x14ac:dyDescent="0.25">
      <c r="A4512" t="s">
        <v>15505</v>
      </c>
      <c r="B4512" t="s">
        <v>15506</v>
      </c>
      <c r="C4512" t="s">
        <v>8832</v>
      </c>
      <c r="D4512" t="s">
        <v>972</v>
      </c>
      <c r="E4512" t="s">
        <v>269</v>
      </c>
      <c r="F4512" t="s">
        <v>971</v>
      </c>
    </row>
    <row r="4513" spans="1:6" x14ac:dyDescent="0.25">
      <c r="A4513" t="s">
        <v>15507</v>
      </c>
      <c r="B4513" t="s">
        <v>15508</v>
      </c>
      <c r="C4513" t="s">
        <v>15509</v>
      </c>
      <c r="D4513" t="s">
        <v>0</v>
      </c>
      <c r="E4513" t="s">
        <v>271</v>
      </c>
      <c r="F4513" t="s">
        <v>1011</v>
      </c>
    </row>
    <row r="4514" spans="1:6" x14ac:dyDescent="0.25">
      <c r="A4514" t="s">
        <v>15510</v>
      </c>
      <c r="B4514" t="s">
        <v>4475</v>
      </c>
      <c r="C4514" t="s">
        <v>4553</v>
      </c>
      <c r="D4514" t="s">
        <v>1165</v>
      </c>
      <c r="E4514" t="s">
        <v>271</v>
      </c>
      <c r="F4514" t="s">
        <v>1164</v>
      </c>
    </row>
    <row r="4515" spans="1:6" x14ac:dyDescent="0.25">
      <c r="A4515" t="s">
        <v>15511</v>
      </c>
      <c r="B4515" t="s">
        <v>15512</v>
      </c>
      <c r="C4515" t="s">
        <v>15513</v>
      </c>
      <c r="D4515" t="s">
        <v>0</v>
      </c>
      <c r="E4515" t="s">
        <v>271</v>
      </c>
      <c r="F4515" t="s">
        <v>2349</v>
      </c>
    </row>
    <row r="4516" spans="1:6" x14ac:dyDescent="0.25">
      <c r="A4516" t="s">
        <v>2737</v>
      </c>
      <c r="B4516" t="s">
        <v>2738</v>
      </c>
      <c r="C4516" t="s">
        <v>2739</v>
      </c>
      <c r="D4516" t="s">
        <v>1862</v>
      </c>
      <c r="E4516" t="s">
        <v>271</v>
      </c>
      <c r="F4516" t="s">
        <v>1861</v>
      </c>
    </row>
    <row r="4517" spans="1:6" x14ac:dyDescent="0.25">
      <c r="A4517" t="s">
        <v>3434</v>
      </c>
      <c r="B4517" t="s">
        <v>3435</v>
      </c>
      <c r="C4517" t="s">
        <v>3436</v>
      </c>
      <c r="D4517" t="s">
        <v>492</v>
      </c>
      <c r="E4517" t="s">
        <v>271</v>
      </c>
      <c r="F4517" t="s">
        <v>1221</v>
      </c>
    </row>
    <row r="4518" spans="1:6" x14ac:dyDescent="0.25">
      <c r="A4518" t="s">
        <v>15514</v>
      </c>
      <c r="B4518" t="s">
        <v>15515</v>
      </c>
      <c r="C4518" t="s">
        <v>15516</v>
      </c>
      <c r="D4518" t="s">
        <v>1064</v>
      </c>
      <c r="E4518" t="s">
        <v>269</v>
      </c>
      <c r="F4518" t="s">
        <v>1063</v>
      </c>
    </row>
    <row r="4519" spans="1:6" x14ac:dyDescent="0.25">
      <c r="A4519" t="s">
        <v>15517</v>
      </c>
      <c r="B4519" t="s">
        <v>15518</v>
      </c>
      <c r="C4519" t="s">
        <v>15519</v>
      </c>
      <c r="D4519" t="s">
        <v>7173</v>
      </c>
      <c r="E4519" t="s">
        <v>271</v>
      </c>
      <c r="F4519" t="s">
        <v>3256</v>
      </c>
    </row>
    <row r="4520" spans="1:6" x14ac:dyDescent="0.25">
      <c r="A4520" t="s">
        <v>15520</v>
      </c>
      <c r="B4520" t="s">
        <v>15521</v>
      </c>
      <c r="C4520" t="s">
        <v>15522</v>
      </c>
      <c r="D4520" t="s">
        <v>2471</v>
      </c>
      <c r="E4520" t="s">
        <v>271</v>
      </c>
      <c r="F4520" t="s">
        <v>2470</v>
      </c>
    </row>
    <row r="4521" spans="1:6" x14ac:dyDescent="0.25">
      <c r="A4521" t="s">
        <v>2406</v>
      </c>
      <c r="B4521" t="s">
        <v>2407</v>
      </c>
      <c r="C4521" t="s">
        <v>2408</v>
      </c>
      <c r="D4521" t="s">
        <v>488</v>
      </c>
      <c r="E4521" t="s">
        <v>271</v>
      </c>
      <c r="F4521" t="s">
        <v>489</v>
      </c>
    </row>
    <row r="4522" spans="1:6" x14ac:dyDescent="0.25">
      <c r="A4522" t="s">
        <v>15523</v>
      </c>
      <c r="B4522" t="s">
        <v>15524</v>
      </c>
      <c r="C4522" t="s">
        <v>15525</v>
      </c>
      <c r="D4522" t="s">
        <v>1524</v>
      </c>
      <c r="E4522" t="s">
        <v>271</v>
      </c>
      <c r="F4522" t="s">
        <v>1523</v>
      </c>
    </row>
    <row r="4523" spans="1:6" x14ac:dyDescent="0.25">
      <c r="A4523" t="s">
        <v>15526</v>
      </c>
      <c r="B4523" t="s">
        <v>15527</v>
      </c>
      <c r="C4523" t="s">
        <v>15528</v>
      </c>
      <c r="D4523" t="s">
        <v>0</v>
      </c>
      <c r="E4523" t="s">
        <v>271</v>
      </c>
      <c r="F4523" t="s">
        <v>1141</v>
      </c>
    </row>
    <row r="4524" spans="1:6" x14ac:dyDescent="0.25">
      <c r="A4524" t="s">
        <v>15529</v>
      </c>
      <c r="B4524" t="s">
        <v>15530</v>
      </c>
      <c r="C4524" t="s">
        <v>15531</v>
      </c>
      <c r="D4524" t="s">
        <v>0</v>
      </c>
      <c r="E4524" t="s">
        <v>271</v>
      </c>
      <c r="F4524" t="s">
        <v>325</v>
      </c>
    </row>
    <row r="4525" spans="1:6" x14ac:dyDescent="0.25">
      <c r="A4525" t="s">
        <v>15532</v>
      </c>
      <c r="B4525" t="s">
        <v>15533</v>
      </c>
      <c r="C4525" t="s">
        <v>15534</v>
      </c>
      <c r="D4525" t="s">
        <v>0</v>
      </c>
      <c r="E4525" t="s">
        <v>271</v>
      </c>
      <c r="F4525" t="s">
        <v>1214</v>
      </c>
    </row>
    <row r="4526" spans="1:6" x14ac:dyDescent="0.25">
      <c r="A4526" t="s">
        <v>15535</v>
      </c>
      <c r="B4526" t="s">
        <v>15536</v>
      </c>
      <c r="C4526" t="s">
        <v>15537</v>
      </c>
      <c r="D4526" t="s">
        <v>2885</v>
      </c>
      <c r="E4526" t="s">
        <v>271</v>
      </c>
      <c r="F4526" t="s">
        <v>1523</v>
      </c>
    </row>
    <row r="4527" spans="1:6" x14ac:dyDescent="0.25">
      <c r="A4527" t="s">
        <v>15538</v>
      </c>
      <c r="B4527" t="s">
        <v>15539</v>
      </c>
      <c r="C4527" t="s">
        <v>15540</v>
      </c>
      <c r="D4527" t="s">
        <v>2637</v>
      </c>
      <c r="E4527" t="s">
        <v>271</v>
      </c>
      <c r="F4527" t="s">
        <v>2636</v>
      </c>
    </row>
    <row r="4528" spans="1:6" x14ac:dyDescent="0.25">
      <c r="A4528" t="s">
        <v>15541</v>
      </c>
      <c r="B4528" t="s">
        <v>15542</v>
      </c>
      <c r="C4528" t="s">
        <v>15543</v>
      </c>
      <c r="D4528" t="s">
        <v>1199</v>
      </c>
      <c r="E4528" t="s">
        <v>271</v>
      </c>
      <c r="F4528" t="s">
        <v>1198</v>
      </c>
    </row>
    <row r="4529" spans="1:6" x14ac:dyDescent="0.25">
      <c r="A4529" t="s">
        <v>15544</v>
      </c>
      <c r="B4529" t="s">
        <v>15545</v>
      </c>
      <c r="C4529" t="s">
        <v>15546</v>
      </c>
      <c r="D4529" t="s">
        <v>291</v>
      </c>
      <c r="E4529" t="s">
        <v>271</v>
      </c>
      <c r="F4529" t="s">
        <v>290</v>
      </c>
    </row>
    <row r="4530" spans="1:6" x14ac:dyDescent="0.25">
      <c r="A4530" t="s">
        <v>15547</v>
      </c>
      <c r="B4530" t="s">
        <v>15548</v>
      </c>
      <c r="C4530" t="s">
        <v>15549</v>
      </c>
      <c r="D4530" t="s">
        <v>223</v>
      </c>
      <c r="E4530" t="s">
        <v>271</v>
      </c>
      <c r="F4530" t="s">
        <v>478</v>
      </c>
    </row>
    <row r="4531" spans="1:6" x14ac:dyDescent="0.25">
      <c r="A4531" t="s">
        <v>15550</v>
      </c>
      <c r="B4531" t="s">
        <v>15551</v>
      </c>
      <c r="C4531" t="s">
        <v>15552</v>
      </c>
      <c r="D4531" t="s">
        <v>1239</v>
      </c>
      <c r="E4531" t="s">
        <v>271</v>
      </c>
      <c r="F4531" t="s">
        <v>1238</v>
      </c>
    </row>
    <row r="4532" spans="1:6" x14ac:dyDescent="0.25">
      <c r="A4532" t="s">
        <v>15553</v>
      </c>
      <c r="B4532" t="s">
        <v>15554</v>
      </c>
      <c r="C4532" t="s">
        <v>15555</v>
      </c>
      <c r="D4532" t="s">
        <v>1925</v>
      </c>
      <c r="E4532" t="s">
        <v>271</v>
      </c>
      <c r="F4532" t="s">
        <v>1924</v>
      </c>
    </row>
    <row r="4533" spans="1:6" x14ac:dyDescent="0.25">
      <c r="A4533" t="s">
        <v>15556</v>
      </c>
      <c r="B4533" t="s">
        <v>15557</v>
      </c>
      <c r="C4533" t="s">
        <v>15558</v>
      </c>
      <c r="D4533" t="s">
        <v>617</v>
      </c>
      <c r="E4533" t="s">
        <v>271</v>
      </c>
      <c r="F4533" t="s">
        <v>438</v>
      </c>
    </row>
    <row r="4534" spans="1:6" x14ac:dyDescent="0.25">
      <c r="A4534" t="s">
        <v>2981</v>
      </c>
      <c r="B4534" t="s">
        <v>2982</v>
      </c>
      <c r="C4534" t="s">
        <v>2983</v>
      </c>
      <c r="D4534" t="s">
        <v>0</v>
      </c>
      <c r="E4534" t="s">
        <v>271</v>
      </c>
      <c r="F4534" t="s">
        <v>688</v>
      </c>
    </row>
    <row r="4535" spans="1:6" x14ac:dyDescent="0.25">
      <c r="A4535" t="s">
        <v>15559</v>
      </c>
      <c r="B4535" t="s">
        <v>15560</v>
      </c>
      <c r="C4535" t="s">
        <v>15561</v>
      </c>
      <c r="D4535" t="s">
        <v>357</v>
      </c>
      <c r="E4535" t="s">
        <v>271</v>
      </c>
      <c r="F4535" t="s">
        <v>358</v>
      </c>
    </row>
    <row r="4536" spans="1:6" x14ac:dyDescent="0.25">
      <c r="A4536" t="s">
        <v>15562</v>
      </c>
      <c r="B4536" t="s">
        <v>15563</v>
      </c>
      <c r="C4536" t="s">
        <v>15564</v>
      </c>
      <c r="D4536" t="s">
        <v>15565</v>
      </c>
      <c r="E4536" t="s">
        <v>271</v>
      </c>
      <c r="F4536" t="s">
        <v>1972</v>
      </c>
    </row>
    <row r="4537" spans="1:6" x14ac:dyDescent="0.25">
      <c r="A4537" t="s">
        <v>15566</v>
      </c>
      <c r="B4537" t="s">
        <v>15567</v>
      </c>
      <c r="C4537" t="s">
        <v>15568</v>
      </c>
      <c r="D4537" t="s">
        <v>1925</v>
      </c>
      <c r="E4537" t="s">
        <v>271</v>
      </c>
      <c r="F4537" t="s">
        <v>1924</v>
      </c>
    </row>
    <row r="4538" spans="1:6" x14ac:dyDescent="0.25">
      <c r="A4538" t="s">
        <v>15569</v>
      </c>
      <c r="B4538" t="s">
        <v>15570</v>
      </c>
      <c r="C4538" t="s">
        <v>15571</v>
      </c>
      <c r="D4538" t="s">
        <v>1361</v>
      </c>
      <c r="E4538" t="s">
        <v>271</v>
      </c>
      <c r="F4538" t="s">
        <v>844</v>
      </c>
    </row>
    <row r="4539" spans="1:6" x14ac:dyDescent="0.25">
      <c r="A4539" t="s">
        <v>15572</v>
      </c>
      <c r="B4539" t="s">
        <v>15573</v>
      </c>
      <c r="C4539" t="s">
        <v>15574</v>
      </c>
      <c r="D4539" t="s">
        <v>1559</v>
      </c>
      <c r="E4539" t="s">
        <v>271</v>
      </c>
      <c r="F4539" t="s">
        <v>1558</v>
      </c>
    </row>
    <row r="4540" spans="1:6" x14ac:dyDescent="0.25">
      <c r="A4540" t="s">
        <v>15575</v>
      </c>
      <c r="B4540" t="s">
        <v>15576</v>
      </c>
      <c r="C4540" t="s">
        <v>15577</v>
      </c>
      <c r="D4540" t="s">
        <v>0</v>
      </c>
      <c r="E4540" t="s">
        <v>271</v>
      </c>
      <c r="F4540" t="s">
        <v>1141</v>
      </c>
    </row>
    <row r="4541" spans="1:6" x14ac:dyDescent="0.25">
      <c r="A4541" t="s">
        <v>15578</v>
      </c>
      <c r="B4541" t="s">
        <v>15579</v>
      </c>
      <c r="C4541" t="s">
        <v>15580</v>
      </c>
      <c r="D4541" t="s">
        <v>0</v>
      </c>
      <c r="E4541" t="s">
        <v>271</v>
      </c>
      <c r="F4541" t="s">
        <v>431</v>
      </c>
    </row>
    <row r="4542" spans="1:6" x14ac:dyDescent="0.25">
      <c r="A4542" t="s">
        <v>15581</v>
      </c>
      <c r="B4542" t="s">
        <v>15582</v>
      </c>
      <c r="C4542" t="s">
        <v>15583</v>
      </c>
      <c r="D4542" t="s">
        <v>500</v>
      </c>
      <c r="E4542" t="s">
        <v>271</v>
      </c>
      <c r="F4542" t="s">
        <v>501</v>
      </c>
    </row>
    <row r="4543" spans="1:6" x14ac:dyDescent="0.25">
      <c r="A4543" t="s">
        <v>3732</v>
      </c>
      <c r="B4543" t="s">
        <v>3733</v>
      </c>
      <c r="C4543" t="s">
        <v>3734</v>
      </c>
      <c r="D4543" t="s">
        <v>357</v>
      </c>
      <c r="E4543" t="s">
        <v>271</v>
      </c>
      <c r="F4543" t="s">
        <v>358</v>
      </c>
    </row>
    <row r="4544" spans="1:6" x14ac:dyDescent="0.25">
      <c r="A4544" t="s">
        <v>15584</v>
      </c>
      <c r="B4544" t="s">
        <v>15585</v>
      </c>
      <c r="C4544" t="s">
        <v>15586</v>
      </c>
      <c r="D4544" t="s">
        <v>0</v>
      </c>
      <c r="E4544" t="s">
        <v>271</v>
      </c>
      <c r="F4544" t="s">
        <v>2349</v>
      </c>
    </row>
    <row r="4545" spans="1:6" x14ac:dyDescent="0.25">
      <c r="A4545" t="s">
        <v>15587</v>
      </c>
      <c r="B4545" t="s">
        <v>5617</v>
      </c>
      <c r="C4545" t="s">
        <v>15588</v>
      </c>
      <c r="D4545" t="s">
        <v>2714</v>
      </c>
      <c r="E4545" t="s">
        <v>271</v>
      </c>
      <c r="F4545" t="s">
        <v>2713</v>
      </c>
    </row>
    <row r="4546" spans="1:6" x14ac:dyDescent="0.25">
      <c r="A4546" t="s">
        <v>15589</v>
      </c>
      <c r="B4546" t="s">
        <v>15590</v>
      </c>
      <c r="C4546" t="s">
        <v>15591</v>
      </c>
      <c r="D4546" t="s">
        <v>3457</v>
      </c>
      <c r="E4546" t="s">
        <v>271</v>
      </c>
      <c r="F4546" t="s">
        <v>1432</v>
      </c>
    </row>
    <row r="4547" spans="1:6" x14ac:dyDescent="0.25">
      <c r="A4547" t="s">
        <v>15592</v>
      </c>
      <c r="B4547" t="s">
        <v>15593</v>
      </c>
      <c r="C4547" t="s">
        <v>557</v>
      </c>
      <c r="D4547" t="s">
        <v>2009</v>
      </c>
      <c r="E4547" t="s">
        <v>271</v>
      </c>
      <c r="F4547" t="s">
        <v>2008</v>
      </c>
    </row>
    <row r="4548" spans="1:6" x14ac:dyDescent="0.25">
      <c r="A4548" t="s">
        <v>15594</v>
      </c>
      <c r="B4548" t="s">
        <v>15595</v>
      </c>
      <c r="C4548" t="s">
        <v>15596</v>
      </c>
      <c r="D4548" t="s">
        <v>1186</v>
      </c>
      <c r="E4548" t="s">
        <v>271</v>
      </c>
      <c r="F4548" t="s">
        <v>1185</v>
      </c>
    </row>
    <row r="4549" spans="1:6" x14ac:dyDescent="0.25">
      <c r="A4549" t="s">
        <v>15597</v>
      </c>
      <c r="B4549" t="s">
        <v>15598</v>
      </c>
      <c r="C4549" t="s">
        <v>15599</v>
      </c>
      <c r="D4549" t="s">
        <v>0</v>
      </c>
      <c r="E4549" t="s">
        <v>271</v>
      </c>
      <c r="F4549" t="s">
        <v>325</v>
      </c>
    </row>
    <row r="4550" spans="1:6" x14ac:dyDescent="0.25">
      <c r="A4550" t="s">
        <v>15600</v>
      </c>
      <c r="B4550" t="s">
        <v>15601</v>
      </c>
      <c r="C4550" t="s">
        <v>10745</v>
      </c>
      <c r="D4550" t="s">
        <v>0</v>
      </c>
      <c r="E4550" t="s">
        <v>271</v>
      </c>
      <c r="F4550" t="s">
        <v>319</v>
      </c>
    </row>
    <row r="4551" spans="1:6" x14ac:dyDescent="0.25">
      <c r="A4551" t="s">
        <v>15602</v>
      </c>
      <c r="B4551" t="s">
        <v>15603</v>
      </c>
      <c r="C4551" t="s">
        <v>15604</v>
      </c>
      <c r="D4551" t="s">
        <v>0</v>
      </c>
      <c r="E4551" t="s">
        <v>271</v>
      </c>
      <c r="F4551" t="s">
        <v>4378</v>
      </c>
    </row>
    <row r="4552" spans="1:6" x14ac:dyDescent="0.25">
      <c r="A4552" t="s">
        <v>15605</v>
      </c>
      <c r="B4552" t="s">
        <v>15606</v>
      </c>
      <c r="C4552" t="s">
        <v>15607</v>
      </c>
      <c r="D4552" t="s">
        <v>876</v>
      </c>
      <c r="E4552" t="s">
        <v>271</v>
      </c>
      <c r="F4552" t="s">
        <v>875</v>
      </c>
    </row>
    <row r="4553" spans="1:6" x14ac:dyDescent="0.25">
      <c r="A4553" t="s">
        <v>15608</v>
      </c>
      <c r="B4553" t="s">
        <v>15609</v>
      </c>
      <c r="C4553" t="s">
        <v>15610</v>
      </c>
      <c r="D4553" t="s">
        <v>1638</v>
      </c>
      <c r="E4553" t="s">
        <v>271</v>
      </c>
      <c r="F4553" t="s">
        <v>1637</v>
      </c>
    </row>
    <row r="4554" spans="1:6" x14ac:dyDescent="0.25">
      <c r="A4554" t="s">
        <v>15611</v>
      </c>
      <c r="B4554" t="s">
        <v>15612</v>
      </c>
      <c r="C4554" t="s">
        <v>15613</v>
      </c>
      <c r="D4554" t="s">
        <v>0</v>
      </c>
      <c r="E4554" t="s">
        <v>271</v>
      </c>
      <c r="F4554" t="s">
        <v>319</v>
      </c>
    </row>
    <row r="4555" spans="1:6" x14ac:dyDescent="0.25">
      <c r="A4555" t="s">
        <v>15614</v>
      </c>
      <c r="B4555" t="s">
        <v>15615</v>
      </c>
      <c r="C4555" t="s">
        <v>15616</v>
      </c>
      <c r="D4555" t="s">
        <v>0</v>
      </c>
      <c r="E4555" t="s">
        <v>271</v>
      </c>
      <c r="F4555" t="s">
        <v>726</v>
      </c>
    </row>
    <row r="4556" spans="1:6" x14ac:dyDescent="0.25">
      <c r="A4556" t="s">
        <v>2913</v>
      </c>
      <c r="B4556" t="s">
        <v>2914</v>
      </c>
      <c r="C4556" t="s">
        <v>2915</v>
      </c>
      <c r="D4556" t="s">
        <v>1743</v>
      </c>
      <c r="E4556" t="s">
        <v>269</v>
      </c>
      <c r="F4556" t="s">
        <v>1742</v>
      </c>
    </row>
    <row r="4557" spans="1:6" x14ac:dyDescent="0.25">
      <c r="A4557" t="s">
        <v>15617</v>
      </c>
      <c r="B4557" t="s">
        <v>15618</v>
      </c>
      <c r="C4557" t="s">
        <v>15619</v>
      </c>
      <c r="D4557" t="s">
        <v>586</v>
      </c>
      <c r="E4557" t="s">
        <v>271</v>
      </c>
      <c r="F4557" t="s">
        <v>334</v>
      </c>
    </row>
    <row r="4558" spans="1:6" x14ac:dyDescent="0.25">
      <c r="A4558" t="s">
        <v>15620</v>
      </c>
      <c r="B4558" t="s">
        <v>15621</v>
      </c>
      <c r="C4558" t="s">
        <v>15622</v>
      </c>
      <c r="D4558" t="s">
        <v>586</v>
      </c>
      <c r="E4558" t="s">
        <v>271</v>
      </c>
      <c r="F4558" t="s">
        <v>334</v>
      </c>
    </row>
    <row r="4559" spans="1:6" x14ac:dyDescent="0.25">
      <c r="A4559" t="s">
        <v>15623</v>
      </c>
      <c r="B4559" t="s">
        <v>15624</v>
      </c>
      <c r="C4559" t="s">
        <v>6409</v>
      </c>
      <c r="D4559" t="s">
        <v>1348</v>
      </c>
      <c r="E4559" t="s">
        <v>271</v>
      </c>
      <c r="F4559" t="s">
        <v>2057</v>
      </c>
    </row>
    <row r="4560" spans="1:6" x14ac:dyDescent="0.25">
      <c r="A4560" t="s">
        <v>15625</v>
      </c>
      <c r="B4560" t="s">
        <v>15626</v>
      </c>
      <c r="C4560" t="s">
        <v>15627</v>
      </c>
      <c r="D4560" t="s">
        <v>566</v>
      </c>
      <c r="E4560" t="s">
        <v>271</v>
      </c>
      <c r="F4560" t="s">
        <v>567</v>
      </c>
    </row>
    <row r="4561" spans="1:6" x14ac:dyDescent="0.25">
      <c r="A4561" t="s">
        <v>15628</v>
      </c>
      <c r="B4561" t="s">
        <v>15629</v>
      </c>
      <c r="C4561" t="s">
        <v>15630</v>
      </c>
      <c r="D4561" t="s">
        <v>0</v>
      </c>
      <c r="E4561" t="s">
        <v>271</v>
      </c>
      <c r="F4561" t="s">
        <v>1141</v>
      </c>
    </row>
    <row r="4562" spans="1:6" x14ac:dyDescent="0.25">
      <c r="A4562" t="s">
        <v>2887</v>
      </c>
      <c r="B4562" t="s">
        <v>2888</v>
      </c>
      <c r="C4562" t="s">
        <v>2889</v>
      </c>
      <c r="D4562" t="s">
        <v>1292</v>
      </c>
      <c r="E4562" t="s">
        <v>271</v>
      </c>
      <c r="F4562" t="s">
        <v>1291</v>
      </c>
    </row>
    <row r="4563" spans="1:6" x14ac:dyDescent="0.25">
      <c r="A4563" t="s">
        <v>15631</v>
      </c>
      <c r="B4563" t="s">
        <v>15632</v>
      </c>
      <c r="C4563" t="s">
        <v>15633</v>
      </c>
      <c r="D4563" t="s">
        <v>488</v>
      </c>
      <c r="E4563" t="s">
        <v>271</v>
      </c>
      <c r="F4563" t="s">
        <v>489</v>
      </c>
    </row>
    <row r="4564" spans="1:6" x14ac:dyDescent="0.25">
      <c r="A4564" t="s">
        <v>15634</v>
      </c>
      <c r="B4564" t="s">
        <v>15635</v>
      </c>
      <c r="C4564" t="s">
        <v>15636</v>
      </c>
      <c r="D4564" t="s">
        <v>502</v>
      </c>
      <c r="E4564" t="s">
        <v>271</v>
      </c>
      <c r="F4564" t="s">
        <v>425</v>
      </c>
    </row>
    <row r="4565" spans="1:6" x14ac:dyDescent="0.25">
      <c r="A4565" t="s">
        <v>15637</v>
      </c>
      <c r="B4565" t="s">
        <v>15638</v>
      </c>
      <c r="C4565" t="s">
        <v>15639</v>
      </c>
      <c r="D4565" t="s">
        <v>1186</v>
      </c>
      <c r="E4565" t="s">
        <v>271</v>
      </c>
      <c r="F4565" t="s">
        <v>1185</v>
      </c>
    </row>
    <row r="4566" spans="1:6" x14ac:dyDescent="0.25">
      <c r="A4566" t="s">
        <v>15640</v>
      </c>
      <c r="B4566" t="s">
        <v>15641</v>
      </c>
      <c r="C4566" t="s">
        <v>15642</v>
      </c>
      <c r="D4566" t="s">
        <v>6862</v>
      </c>
      <c r="E4566" t="s">
        <v>271</v>
      </c>
      <c r="F4566" t="s">
        <v>4386</v>
      </c>
    </row>
    <row r="4567" spans="1:6" x14ac:dyDescent="0.25">
      <c r="A4567" t="s">
        <v>15643</v>
      </c>
      <c r="B4567" t="s">
        <v>15644</v>
      </c>
      <c r="C4567" t="s">
        <v>15645</v>
      </c>
      <c r="D4567" t="s">
        <v>1064</v>
      </c>
      <c r="E4567" t="s">
        <v>269</v>
      </c>
      <c r="F4567" t="s">
        <v>1063</v>
      </c>
    </row>
    <row r="4568" spans="1:6" x14ac:dyDescent="0.25">
      <c r="A4568" t="s">
        <v>2572</v>
      </c>
      <c r="B4568" t="s">
        <v>2573</v>
      </c>
      <c r="C4568" t="s">
        <v>2574</v>
      </c>
      <c r="D4568" t="s">
        <v>0</v>
      </c>
      <c r="E4568" t="s">
        <v>271</v>
      </c>
      <c r="F4568" t="s">
        <v>562</v>
      </c>
    </row>
    <row r="4569" spans="1:6" x14ac:dyDescent="0.25">
      <c r="A4569" t="s">
        <v>15646</v>
      </c>
      <c r="B4569" t="s">
        <v>15647</v>
      </c>
      <c r="C4569" t="s">
        <v>15648</v>
      </c>
      <c r="D4569" t="s">
        <v>3307</v>
      </c>
      <c r="E4569" t="s">
        <v>271</v>
      </c>
      <c r="F4569" t="s">
        <v>2768</v>
      </c>
    </row>
    <row r="4570" spans="1:6" x14ac:dyDescent="0.25">
      <c r="A4570" t="s">
        <v>15649</v>
      </c>
      <c r="B4570" t="s">
        <v>15650</v>
      </c>
      <c r="C4570" t="s">
        <v>15651</v>
      </c>
      <c r="D4570" t="s">
        <v>460</v>
      </c>
      <c r="E4570" t="s">
        <v>271</v>
      </c>
      <c r="F4570" t="s">
        <v>424</v>
      </c>
    </row>
    <row r="4571" spans="1:6" x14ac:dyDescent="0.25">
      <c r="A4571" t="s">
        <v>15652</v>
      </c>
      <c r="B4571" t="s">
        <v>15653</v>
      </c>
      <c r="C4571" t="s">
        <v>15654</v>
      </c>
      <c r="D4571" t="s">
        <v>6201</v>
      </c>
      <c r="E4571" t="s">
        <v>271</v>
      </c>
      <c r="F4571" t="s">
        <v>4395</v>
      </c>
    </row>
    <row r="4572" spans="1:6" x14ac:dyDescent="0.25">
      <c r="A4572" t="s">
        <v>15655</v>
      </c>
      <c r="B4572" t="s">
        <v>15656</v>
      </c>
      <c r="C4572" t="s">
        <v>15657</v>
      </c>
      <c r="D4572" t="s">
        <v>986</v>
      </c>
      <c r="E4572" t="s">
        <v>271</v>
      </c>
      <c r="F4572" t="s">
        <v>3275</v>
      </c>
    </row>
    <row r="4573" spans="1:6" x14ac:dyDescent="0.25">
      <c r="A4573" t="s">
        <v>15658</v>
      </c>
      <c r="B4573" t="s">
        <v>15659</v>
      </c>
      <c r="C4573" t="s">
        <v>15660</v>
      </c>
      <c r="D4573" t="s">
        <v>5380</v>
      </c>
      <c r="E4573" t="s">
        <v>271</v>
      </c>
      <c r="F4573" t="s">
        <v>4379</v>
      </c>
    </row>
    <row r="4574" spans="1:6" x14ac:dyDescent="0.25">
      <c r="A4574" t="s">
        <v>2811</v>
      </c>
      <c r="B4574" t="s">
        <v>2812</v>
      </c>
      <c r="C4574" t="s">
        <v>2813</v>
      </c>
      <c r="D4574" t="s">
        <v>0</v>
      </c>
      <c r="E4574" t="s">
        <v>271</v>
      </c>
      <c r="F4574" t="s">
        <v>726</v>
      </c>
    </row>
    <row r="4575" spans="1:6" x14ac:dyDescent="0.25">
      <c r="A4575" t="s">
        <v>15661</v>
      </c>
      <c r="B4575" t="s">
        <v>15662</v>
      </c>
      <c r="C4575" t="s">
        <v>15663</v>
      </c>
      <c r="D4575" t="s">
        <v>314</v>
      </c>
      <c r="E4575" t="s">
        <v>271</v>
      </c>
      <c r="F4575" t="s">
        <v>352</v>
      </c>
    </row>
    <row r="4576" spans="1:6" x14ac:dyDescent="0.25">
      <c r="A4576" t="s">
        <v>15664</v>
      </c>
      <c r="B4576" t="s">
        <v>15665</v>
      </c>
      <c r="C4576" t="s">
        <v>15666</v>
      </c>
      <c r="D4576" t="s">
        <v>1648</v>
      </c>
      <c r="E4576" t="s">
        <v>271</v>
      </c>
      <c r="F4576" t="s">
        <v>1647</v>
      </c>
    </row>
    <row r="4577" spans="1:6" x14ac:dyDescent="0.25">
      <c r="A4577" t="s">
        <v>15667</v>
      </c>
      <c r="B4577" t="s">
        <v>15668</v>
      </c>
      <c r="C4577" t="s">
        <v>15669</v>
      </c>
      <c r="D4577" t="s">
        <v>3307</v>
      </c>
      <c r="E4577" t="s">
        <v>271</v>
      </c>
      <c r="F4577" t="s">
        <v>2768</v>
      </c>
    </row>
    <row r="4578" spans="1:6" x14ac:dyDescent="0.25">
      <c r="A4578" t="s">
        <v>15670</v>
      </c>
      <c r="B4578" t="s">
        <v>15671</v>
      </c>
      <c r="C4578" t="s">
        <v>15672</v>
      </c>
      <c r="D4578" t="s">
        <v>2265</v>
      </c>
      <c r="E4578" t="s">
        <v>271</v>
      </c>
      <c r="F4578" t="s">
        <v>2264</v>
      </c>
    </row>
    <row r="4579" spans="1:6" x14ac:dyDescent="0.25">
      <c r="A4579" t="s">
        <v>3380</v>
      </c>
      <c r="B4579" t="s">
        <v>3381</v>
      </c>
      <c r="C4579" t="s">
        <v>3382</v>
      </c>
      <c r="D4579" t="s">
        <v>1915</v>
      </c>
      <c r="E4579" t="s">
        <v>269</v>
      </c>
      <c r="F4579" t="s">
        <v>1914</v>
      </c>
    </row>
    <row r="4580" spans="1:6" x14ac:dyDescent="0.25">
      <c r="A4580" t="s">
        <v>15673</v>
      </c>
      <c r="B4580" t="s">
        <v>15674</v>
      </c>
      <c r="C4580" t="s">
        <v>15675</v>
      </c>
      <c r="D4580" t="s">
        <v>0</v>
      </c>
      <c r="E4580" t="s">
        <v>271</v>
      </c>
      <c r="F4580" t="s">
        <v>575</v>
      </c>
    </row>
    <row r="4581" spans="1:6" x14ac:dyDescent="0.25">
      <c r="A4581" t="s">
        <v>15676</v>
      </c>
      <c r="B4581" t="s">
        <v>15677</v>
      </c>
      <c r="C4581" t="s">
        <v>15678</v>
      </c>
      <c r="D4581" t="s">
        <v>2058</v>
      </c>
      <c r="E4581" t="s">
        <v>271</v>
      </c>
      <c r="F4581" t="s">
        <v>2057</v>
      </c>
    </row>
    <row r="4582" spans="1:6" x14ac:dyDescent="0.25">
      <c r="A4582" t="s">
        <v>15679</v>
      </c>
      <c r="B4582" t="s">
        <v>5422</v>
      </c>
      <c r="C4582" t="s">
        <v>15680</v>
      </c>
      <c r="D4582" t="s">
        <v>287</v>
      </c>
      <c r="E4582" t="s">
        <v>271</v>
      </c>
      <c r="F4582" t="s">
        <v>4403</v>
      </c>
    </row>
    <row r="4583" spans="1:6" x14ac:dyDescent="0.25">
      <c r="A4583" t="s">
        <v>3677</v>
      </c>
      <c r="B4583" t="s">
        <v>3678</v>
      </c>
      <c r="C4583" t="s">
        <v>3681</v>
      </c>
      <c r="D4583" t="s">
        <v>3680</v>
      </c>
      <c r="E4583" t="s">
        <v>271</v>
      </c>
      <c r="F4583" t="s">
        <v>3679</v>
      </c>
    </row>
    <row r="4584" spans="1:6" x14ac:dyDescent="0.25">
      <c r="A4584" t="s">
        <v>15681</v>
      </c>
      <c r="B4584" t="s">
        <v>15682</v>
      </c>
      <c r="C4584" t="s">
        <v>15683</v>
      </c>
      <c r="D4584" t="s">
        <v>2116</v>
      </c>
      <c r="E4584" t="s">
        <v>271</v>
      </c>
      <c r="F4584" t="s">
        <v>2115</v>
      </c>
    </row>
    <row r="4585" spans="1:6" x14ac:dyDescent="0.25">
      <c r="A4585" t="s">
        <v>15684</v>
      </c>
      <c r="B4585" t="s">
        <v>15685</v>
      </c>
      <c r="C4585" t="s">
        <v>15686</v>
      </c>
      <c r="D4585" t="s">
        <v>314</v>
      </c>
      <c r="E4585" t="s">
        <v>271</v>
      </c>
      <c r="F4585" t="s">
        <v>370</v>
      </c>
    </row>
    <row r="4586" spans="1:6" x14ac:dyDescent="0.25">
      <c r="A4586" t="s">
        <v>15687</v>
      </c>
      <c r="B4586" t="s">
        <v>15688</v>
      </c>
      <c r="C4586" t="s">
        <v>15689</v>
      </c>
      <c r="D4586" t="s">
        <v>0</v>
      </c>
      <c r="E4586" t="s">
        <v>271</v>
      </c>
      <c r="F4586" t="s">
        <v>1591</v>
      </c>
    </row>
    <row r="4587" spans="1:6" x14ac:dyDescent="0.25">
      <c r="A4587" t="s">
        <v>15690</v>
      </c>
      <c r="B4587" t="s">
        <v>15691</v>
      </c>
      <c r="C4587" t="s">
        <v>15692</v>
      </c>
      <c r="D4587" t="s">
        <v>0</v>
      </c>
      <c r="E4587" t="s">
        <v>271</v>
      </c>
      <c r="F4587" t="s">
        <v>575</v>
      </c>
    </row>
    <row r="4588" spans="1:6" x14ac:dyDescent="0.25">
      <c r="A4588" t="s">
        <v>15693</v>
      </c>
      <c r="B4588" t="s">
        <v>15694</v>
      </c>
      <c r="C4588" t="s">
        <v>15695</v>
      </c>
      <c r="D4588" t="s">
        <v>793</v>
      </c>
      <c r="E4588" t="s">
        <v>271</v>
      </c>
      <c r="F4588" t="s">
        <v>792</v>
      </c>
    </row>
    <row r="4589" spans="1:6" x14ac:dyDescent="0.25">
      <c r="A4589" t="s">
        <v>15696</v>
      </c>
      <c r="B4589" t="s">
        <v>15697</v>
      </c>
      <c r="C4589" t="s">
        <v>12316</v>
      </c>
      <c r="D4589" t="s">
        <v>460</v>
      </c>
      <c r="E4589" t="s">
        <v>271</v>
      </c>
      <c r="F4589" t="s">
        <v>424</v>
      </c>
    </row>
    <row r="4590" spans="1:6" x14ac:dyDescent="0.25">
      <c r="A4590" t="s">
        <v>15698</v>
      </c>
      <c r="B4590" t="s">
        <v>15699</v>
      </c>
      <c r="C4590" t="s">
        <v>15700</v>
      </c>
      <c r="D4590" t="s">
        <v>2024</v>
      </c>
      <c r="E4590" t="s">
        <v>271</v>
      </c>
      <c r="F4590" t="s">
        <v>428</v>
      </c>
    </row>
    <row r="4591" spans="1:6" x14ac:dyDescent="0.25">
      <c r="A4591" t="s">
        <v>15701</v>
      </c>
      <c r="B4591" t="s">
        <v>15702</v>
      </c>
      <c r="C4591" t="s">
        <v>15703</v>
      </c>
      <c r="D4591" t="s">
        <v>503</v>
      </c>
      <c r="E4591" t="s">
        <v>271</v>
      </c>
      <c r="F4591" t="s">
        <v>504</v>
      </c>
    </row>
    <row r="4592" spans="1:6" x14ac:dyDescent="0.25">
      <c r="A4592" t="s">
        <v>15704</v>
      </c>
      <c r="B4592" t="s">
        <v>15705</v>
      </c>
      <c r="C4592" t="s">
        <v>15706</v>
      </c>
      <c r="D4592" t="s">
        <v>446</v>
      </c>
      <c r="E4592" t="s">
        <v>271</v>
      </c>
      <c r="F4592" t="s">
        <v>447</v>
      </c>
    </row>
    <row r="4593" spans="1:6" x14ac:dyDescent="0.25">
      <c r="A4593" t="s">
        <v>1094</v>
      </c>
      <c r="B4593" t="s">
        <v>1095</v>
      </c>
      <c r="C4593" t="s">
        <v>1096</v>
      </c>
      <c r="D4593" t="s">
        <v>461</v>
      </c>
      <c r="E4593" t="s">
        <v>271</v>
      </c>
      <c r="F4593" t="s">
        <v>336</v>
      </c>
    </row>
    <row r="4594" spans="1:6" x14ac:dyDescent="0.25">
      <c r="A4594" t="s">
        <v>1728</v>
      </c>
      <c r="B4594" t="s">
        <v>1729</v>
      </c>
      <c r="C4594" t="s">
        <v>1730</v>
      </c>
      <c r="D4594" t="s">
        <v>0</v>
      </c>
      <c r="E4594" t="s">
        <v>271</v>
      </c>
      <c r="F4594" t="s">
        <v>881</v>
      </c>
    </row>
    <row r="4595" spans="1:6" x14ac:dyDescent="0.25">
      <c r="A4595" t="s">
        <v>15707</v>
      </c>
      <c r="B4595" t="s">
        <v>15708</v>
      </c>
      <c r="C4595" t="s">
        <v>15709</v>
      </c>
      <c r="D4595" t="s">
        <v>2024</v>
      </c>
      <c r="E4595" t="s">
        <v>271</v>
      </c>
      <c r="F4595" t="s">
        <v>428</v>
      </c>
    </row>
    <row r="4596" spans="1:6" x14ac:dyDescent="0.25">
      <c r="A4596" t="s">
        <v>15710</v>
      </c>
      <c r="B4596" t="s">
        <v>15711</v>
      </c>
      <c r="C4596" t="s">
        <v>15712</v>
      </c>
      <c r="D4596" t="s">
        <v>1791</v>
      </c>
      <c r="E4596" t="s">
        <v>271</v>
      </c>
      <c r="F4596" t="s">
        <v>1790</v>
      </c>
    </row>
    <row r="4597" spans="1:6" x14ac:dyDescent="0.25">
      <c r="A4597" t="s">
        <v>1131</v>
      </c>
      <c r="B4597" t="s">
        <v>1132</v>
      </c>
      <c r="C4597" t="s">
        <v>1133</v>
      </c>
      <c r="D4597" t="s">
        <v>0</v>
      </c>
      <c r="E4597" t="s">
        <v>271</v>
      </c>
      <c r="F4597" t="s">
        <v>355</v>
      </c>
    </row>
    <row r="4598" spans="1:6" x14ac:dyDescent="0.25">
      <c r="A4598" t="s">
        <v>3305</v>
      </c>
      <c r="B4598" t="s">
        <v>3306</v>
      </c>
      <c r="C4598" t="s">
        <v>3308</v>
      </c>
      <c r="D4598" t="s">
        <v>3307</v>
      </c>
      <c r="E4598" t="s">
        <v>271</v>
      </c>
      <c r="F4598" t="s">
        <v>2768</v>
      </c>
    </row>
    <row r="4599" spans="1:6" x14ac:dyDescent="0.25">
      <c r="A4599" t="s">
        <v>15713</v>
      </c>
      <c r="B4599" t="s">
        <v>15714</v>
      </c>
      <c r="C4599" t="s">
        <v>15715</v>
      </c>
      <c r="D4599" t="s">
        <v>0</v>
      </c>
      <c r="E4599" t="s">
        <v>271</v>
      </c>
      <c r="F4599" t="s">
        <v>881</v>
      </c>
    </row>
    <row r="4600" spans="1:6" x14ac:dyDescent="0.25">
      <c r="A4600" t="s">
        <v>15716</v>
      </c>
      <c r="B4600" t="s">
        <v>15717</v>
      </c>
      <c r="C4600" t="s">
        <v>15718</v>
      </c>
      <c r="D4600" t="s">
        <v>1165</v>
      </c>
      <c r="E4600" t="s">
        <v>271</v>
      </c>
      <c r="F4600" t="s">
        <v>1402</v>
      </c>
    </row>
    <row r="4601" spans="1:6" x14ac:dyDescent="0.25">
      <c r="A4601" t="s">
        <v>1178</v>
      </c>
      <c r="B4601" t="s">
        <v>1179</v>
      </c>
      <c r="C4601" t="s">
        <v>1181</v>
      </c>
      <c r="D4601" t="s">
        <v>0</v>
      </c>
      <c r="E4601" t="s">
        <v>271</v>
      </c>
      <c r="F4601" t="s">
        <v>1180</v>
      </c>
    </row>
    <row r="4602" spans="1:6" x14ac:dyDescent="0.25">
      <c r="A4602" t="s">
        <v>3083</v>
      </c>
      <c r="B4602" t="s">
        <v>3084</v>
      </c>
      <c r="C4602" t="s">
        <v>3085</v>
      </c>
      <c r="D4602" t="s">
        <v>1165</v>
      </c>
      <c r="E4602" t="s">
        <v>271</v>
      </c>
      <c r="F4602" t="s">
        <v>1164</v>
      </c>
    </row>
    <row r="4603" spans="1:6" x14ac:dyDescent="0.25">
      <c r="A4603" t="s">
        <v>15719</v>
      </c>
      <c r="B4603" t="s">
        <v>15720</v>
      </c>
      <c r="C4603" t="s">
        <v>15721</v>
      </c>
      <c r="D4603" t="s">
        <v>0</v>
      </c>
      <c r="E4603" t="s">
        <v>271</v>
      </c>
      <c r="F4603" t="s">
        <v>593</v>
      </c>
    </row>
    <row r="4604" spans="1:6" x14ac:dyDescent="0.25">
      <c r="A4604" t="s">
        <v>15722</v>
      </c>
      <c r="B4604" t="s">
        <v>15723</v>
      </c>
      <c r="C4604" t="s">
        <v>15724</v>
      </c>
      <c r="D4604" t="s">
        <v>237</v>
      </c>
      <c r="E4604" t="s">
        <v>271</v>
      </c>
      <c r="F4604" t="s">
        <v>427</v>
      </c>
    </row>
    <row r="4605" spans="1:6" x14ac:dyDescent="0.25">
      <c r="A4605" t="s">
        <v>15725</v>
      </c>
      <c r="B4605" t="s">
        <v>15726</v>
      </c>
      <c r="C4605" t="s">
        <v>15727</v>
      </c>
      <c r="D4605" t="s">
        <v>1165</v>
      </c>
      <c r="E4605" t="s">
        <v>271</v>
      </c>
      <c r="F4605" t="s">
        <v>1164</v>
      </c>
    </row>
    <row r="4606" spans="1:6" x14ac:dyDescent="0.25">
      <c r="A4606" t="s">
        <v>15728</v>
      </c>
      <c r="B4606" t="s">
        <v>15729</v>
      </c>
      <c r="C4606" t="s">
        <v>9547</v>
      </c>
      <c r="D4606" t="s">
        <v>0</v>
      </c>
      <c r="E4606" t="s">
        <v>271</v>
      </c>
      <c r="F4606" t="s">
        <v>709</v>
      </c>
    </row>
    <row r="4607" spans="1:6" x14ac:dyDescent="0.25">
      <c r="A4607" t="s">
        <v>1404</v>
      </c>
      <c r="B4607" t="s">
        <v>1405</v>
      </c>
      <c r="C4607" t="s">
        <v>1406</v>
      </c>
      <c r="D4607" t="s">
        <v>0</v>
      </c>
      <c r="E4607" t="s">
        <v>271</v>
      </c>
      <c r="F4607" t="s">
        <v>325</v>
      </c>
    </row>
    <row r="4608" spans="1:6" x14ac:dyDescent="0.25">
      <c r="A4608" t="s">
        <v>3416</v>
      </c>
      <c r="B4608" t="s">
        <v>3417</v>
      </c>
      <c r="C4608" t="s">
        <v>3418</v>
      </c>
      <c r="D4608" t="s">
        <v>237</v>
      </c>
      <c r="E4608" t="s">
        <v>271</v>
      </c>
      <c r="F4608" t="s">
        <v>427</v>
      </c>
    </row>
    <row r="4609" spans="1:6" x14ac:dyDescent="0.25">
      <c r="A4609" t="s">
        <v>3670</v>
      </c>
      <c r="B4609" t="s">
        <v>3671</v>
      </c>
      <c r="C4609" t="s">
        <v>3673</v>
      </c>
      <c r="D4609" t="s">
        <v>0</v>
      </c>
      <c r="E4609" t="s">
        <v>271</v>
      </c>
      <c r="F4609" t="s">
        <v>3672</v>
      </c>
    </row>
    <row r="4610" spans="1:6" x14ac:dyDescent="0.25">
      <c r="A4610" t="s">
        <v>15730</v>
      </c>
      <c r="B4610" t="s">
        <v>15731</v>
      </c>
      <c r="C4610" t="s">
        <v>15732</v>
      </c>
      <c r="D4610" t="s">
        <v>0</v>
      </c>
      <c r="E4610" t="s">
        <v>271</v>
      </c>
      <c r="F4610" t="s">
        <v>436</v>
      </c>
    </row>
    <row r="4611" spans="1:6" x14ac:dyDescent="0.25">
      <c r="A4611" t="s">
        <v>3345</v>
      </c>
      <c r="B4611" t="s">
        <v>3346</v>
      </c>
      <c r="C4611" t="s">
        <v>3347</v>
      </c>
      <c r="D4611" t="s">
        <v>1542</v>
      </c>
      <c r="E4611" t="s">
        <v>269</v>
      </c>
      <c r="F4611" t="s">
        <v>1541</v>
      </c>
    </row>
    <row r="4612" spans="1:6" x14ac:dyDescent="0.25">
      <c r="A4612" t="s">
        <v>15733</v>
      </c>
      <c r="B4612" t="s">
        <v>15734</v>
      </c>
      <c r="C4612" t="s">
        <v>15735</v>
      </c>
      <c r="D4612" t="s">
        <v>972</v>
      </c>
      <c r="E4612" t="s">
        <v>269</v>
      </c>
      <c r="F4612" t="s">
        <v>971</v>
      </c>
    </row>
    <row r="4613" spans="1:6" x14ac:dyDescent="0.25">
      <c r="A4613" t="s">
        <v>15736</v>
      </c>
      <c r="B4613" t="s">
        <v>15737</v>
      </c>
      <c r="C4613" t="s">
        <v>15738</v>
      </c>
      <c r="D4613" t="s">
        <v>980</v>
      </c>
      <c r="E4613" t="s">
        <v>271</v>
      </c>
      <c r="F4613" t="s">
        <v>979</v>
      </c>
    </row>
    <row r="4614" spans="1:6" x14ac:dyDescent="0.25">
      <c r="A4614" t="s">
        <v>15739</v>
      </c>
      <c r="B4614" t="s">
        <v>15740</v>
      </c>
      <c r="C4614" t="s">
        <v>15741</v>
      </c>
      <c r="D4614" t="s">
        <v>0</v>
      </c>
      <c r="E4614" t="s">
        <v>271</v>
      </c>
      <c r="F4614" t="s">
        <v>3740</v>
      </c>
    </row>
    <row r="4615" spans="1:6" x14ac:dyDescent="0.25">
      <c r="A4615" t="s">
        <v>2379</v>
      </c>
      <c r="B4615" t="s">
        <v>2380</v>
      </c>
      <c r="C4615" t="s">
        <v>2381</v>
      </c>
      <c r="D4615" t="s">
        <v>482</v>
      </c>
      <c r="E4615" t="s">
        <v>271</v>
      </c>
      <c r="F4615" t="s">
        <v>483</v>
      </c>
    </row>
    <row r="4616" spans="1:6" x14ac:dyDescent="0.25">
      <c r="A4616" t="s">
        <v>15742</v>
      </c>
      <c r="B4616" t="s">
        <v>15743</v>
      </c>
      <c r="C4616" t="s">
        <v>15744</v>
      </c>
      <c r="D4616" t="s">
        <v>232</v>
      </c>
      <c r="E4616" t="s">
        <v>271</v>
      </c>
      <c r="F4616" t="s">
        <v>329</v>
      </c>
    </row>
    <row r="4617" spans="1:6" x14ac:dyDescent="0.25">
      <c r="A4617" t="s">
        <v>1008</v>
      </c>
      <c r="B4617" t="s">
        <v>1009</v>
      </c>
      <c r="C4617" t="s">
        <v>1012</v>
      </c>
      <c r="D4617" t="s">
        <v>0</v>
      </c>
      <c r="E4617" t="s">
        <v>271</v>
      </c>
      <c r="F4617" t="s">
        <v>1011</v>
      </c>
    </row>
    <row r="4618" spans="1:6" x14ac:dyDescent="0.25">
      <c r="A4618" t="s">
        <v>15745</v>
      </c>
      <c r="B4618" t="s">
        <v>15746</v>
      </c>
      <c r="C4618" t="s">
        <v>15747</v>
      </c>
      <c r="D4618" t="s">
        <v>405</v>
      </c>
      <c r="E4618" t="s">
        <v>271</v>
      </c>
      <c r="F4618" t="s">
        <v>404</v>
      </c>
    </row>
    <row r="4619" spans="1:6" x14ac:dyDescent="0.25">
      <c r="A4619" t="s">
        <v>15748</v>
      </c>
      <c r="B4619" t="s">
        <v>15749</v>
      </c>
      <c r="C4619" t="s">
        <v>15750</v>
      </c>
      <c r="D4619" t="s">
        <v>830</v>
      </c>
      <c r="E4619" t="s">
        <v>271</v>
      </c>
      <c r="F4619" t="s">
        <v>829</v>
      </c>
    </row>
    <row r="4620" spans="1:6" x14ac:dyDescent="0.25">
      <c r="A4620" t="s">
        <v>15751</v>
      </c>
      <c r="B4620" t="s">
        <v>15752</v>
      </c>
      <c r="C4620" t="s">
        <v>15753</v>
      </c>
      <c r="D4620" t="s">
        <v>0</v>
      </c>
      <c r="E4620" t="s">
        <v>271</v>
      </c>
      <c r="F4620" t="s">
        <v>4378</v>
      </c>
    </row>
    <row r="4621" spans="1:6" x14ac:dyDescent="0.25">
      <c r="A4621" t="s">
        <v>15754</v>
      </c>
      <c r="B4621" t="s">
        <v>15755</v>
      </c>
      <c r="C4621" t="s">
        <v>15756</v>
      </c>
      <c r="D4621" t="s">
        <v>980</v>
      </c>
      <c r="E4621" t="s">
        <v>271</v>
      </c>
      <c r="F4621" t="s">
        <v>979</v>
      </c>
    </row>
    <row r="4622" spans="1:6" x14ac:dyDescent="0.25">
      <c r="A4622" t="s">
        <v>15757</v>
      </c>
      <c r="B4622" t="s">
        <v>15758</v>
      </c>
      <c r="C4622" t="s">
        <v>15759</v>
      </c>
      <c r="D4622" t="s">
        <v>0</v>
      </c>
      <c r="E4622" t="s">
        <v>271</v>
      </c>
      <c r="F4622" t="s">
        <v>809</v>
      </c>
    </row>
    <row r="4623" spans="1:6" x14ac:dyDescent="0.25">
      <c r="A4623" t="s">
        <v>15760</v>
      </c>
      <c r="B4623" t="s">
        <v>15761</v>
      </c>
      <c r="C4623" t="s">
        <v>5947</v>
      </c>
      <c r="D4623" t="s">
        <v>0</v>
      </c>
      <c r="E4623" t="s">
        <v>271</v>
      </c>
      <c r="F4623" t="s">
        <v>323</v>
      </c>
    </row>
    <row r="4624" spans="1:6" x14ac:dyDescent="0.25">
      <c r="A4624" t="s">
        <v>15762</v>
      </c>
      <c r="B4624" t="s">
        <v>15763</v>
      </c>
      <c r="C4624" t="s">
        <v>15764</v>
      </c>
      <c r="D4624" t="s">
        <v>472</v>
      </c>
      <c r="E4624" t="s">
        <v>271</v>
      </c>
      <c r="F4624" t="s">
        <v>318</v>
      </c>
    </row>
    <row r="4625" spans="1:6" x14ac:dyDescent="0.25">
      <c r="A4625" t="s">
        <v>15765</v>
      </c>
      <c r="B4625" t="s">
        <v>15766</v>
      </c>
      <c r="C4625" t="s">
        <v>15767</v>
      </c>
      <c r="D4625" t="s">
        <v>1303</v>
      </c>
      <c r="E4625" t="s">
        <v>269</v>
      </c>
      <c r="F4625" t="s">
        <v>1302</v>
      </c>
    </row>
    <row r="4626" spans="1:6" x14ac:dyDescent="0.25">
      <c r="A4626" t="s">
        <v>15768</v>
      </c>
      <c r="B4626" t="s">
        <v>15769</v>
      </c>
      <c r="C4626" t="s">
        <v>15770</v>
      </c>
      <c r="D4626" t="s">
        <v>1186</v>
      </c>
      <c r="E4626" t="s">
        <v>271</v>
      </c>
      <c r="F4626" t="s">
        <v>1185</v>
      </c>
    </row>
    <row r="4627" spans="1:6" x14ac:dyDescent="0.25">
      <c r="A4627" t="s">
        <v>1265</v>
      </c>
      <c r="B4627" t="s">
        <v>1266</v>
      </c>
      <c r="C4627" t="s">
        <v>1267</v>
      </c>
      <c r="D4627" t="s">
        <v>353</v>
      </c>
      <c r="E4627" t="s">
        <v>271</v>
      </c>
      <c r="F4627" t="s">
        <v>354</v>
      </c>
    </row>
    <row r="4628" spans="1:6" x14ac:dyDescent="0.25">
      <c r="A4628" t="s">
        <v>2777</v>
      </c>
      <c r="B4628" t="s">
        <v>2778</v>
      </c>
      <c r="C4628" t="s">
        <v>2779</v>
      </c>
      <c r="D4628" t="s">
        <v>1361</v>
      </c>
      <c r="E4628" t="s">
        <v>271</v>
      </c>
      <c r="F4628" t="s">
        <v>1829</v>
      </c>
    </row>
    <row r="4629" spans="1:6" x14ac:dyDescent="0.25">
      <c r="A4629" t="s">
        <v>15771</v>
      </c>
      <c r="B4629" t="s">
        <v>249</v>
      </c>
      <c r="C4629" t="s">
        <v>15772</v>
      </c>
      <c r="D4629" t="s">
        <v>2009</v>
      </c>
      <c r="E4629" t="s">
        <v>271</v>
      </c>
      <c r="F4629" t="s">
        <v>2008</v>
      </c>
    </row>
    <row r="4630" spans="1:6" x14ac:dyDescent="0.25">
      <c r="A4630" t="s">
        <v>15773</v>
      </c>
      <c r="B4630" t="s">
        <v>15774</v>
      </c>
      <c r="C4630" t="s">
        <v>15775</v>
      </c>
      <c r="D4630" t="s">
        <v>7173</v>
      </c>
      <c r="E4630" t="s">
        <v>271</v>
      </c>
      <c r="F4630" t="s">
        <v>3256</v>
      </c>
    </row>
    <row r="4631" spans="1:6" x14ac:dyDescent="0.25">
      <c r="A4631" t="s">
        <v>15776</v>
      </c>
      <c r="B4631" t="s">
        <v>15777</v>
      </c>
      <c r="C4631" t="s">
        <v>15778</v>
      </c>
      <c r="D4631" t="s">
        <v>1648</v>
      </c>
      <c r="E4631" t="s">
        <v>271</v>
      </c>
      <c r="F4631" t="s">
        <v>1647</v>
      </c>
    </row>
    <row r="4632" spans="1:6" x14ac:dyDescent="0.25">
      <c r="A4632" t="s">
        <v>15779</v>
      </c>
      <c r="B4632" t="s">
        <v>15780</v>
      </c>
      <c r="C4632" t="s">
        <v>15781</v>
      </c>
      <c r="D4632" t="s">
        <v>15782</v>
      </c>
      <c r="E4632" t="s">
        <v>271</v>
      </c>
      <c r="F4632" t="s">
        <v>844</v>
      </c>
    </row>
    <row r="4633" spans="1:6" x14ac:dyDescent="0.25">
      <c r="A4633" t="s">
        <v>15783</v>
      </c>
      <c r="B4633" t="s">
        <v>15784</v>
      </c>
      <c r="C4633" t="s">
        <v>15785</v>
      </c>
      <c r="D4633" t="s">
        <v>5454</v>
      </c>
      <c r="E4633" t="s">
        <v>271</v>
      </c>
      <c r="F4633" t="s">
        <v>4425</v>
      </c>
    </row>
    <row r="4634" spans="1:6" x14ac:dyDescent="0.25">
      <c r="A4634" t="s">
        <v>15786</v>
      </c>
      <c r="B4634" t="s">
        <v>15787</v>
      </c>
      <c r="C4634" t="s">
        <v>15788</v>
      </c>
      <c r="D4634" t="s">
        <v>822</v>
      </c>
      <c r="E4634" t="s">
        <v>269</v>
      </c>
      <c r="F4634" t="s">
        <v>821</v>
      </c>
    </row>
    <row r="4635" spans="1:6" x14ac:dyDescent="0.25">
      <c r="A4635" t="s">
        <v>15789</v>
      </c>
      <c r="B4635" t="s">
        <v>15790</v>
      </c>
      <c r="C4635" t="s">
        <v>15791</v>
      </c>
      <c r="D4635" t="s">
        <v>461</v>
      </c>
      <c r="E4635" t="s">
        <v>271</v>
      </c>
      <c r="F4635" t="s">
        <v>336</v>
      </c>
    </row>
    <row r="4636" spans="1:6" x14ac:dyDescent="0.25">
      <c r="A4636" t="s">
        <v>15792</v>
      </c>
      <c r="B4636" t="s">
        <v>15793</v>
      </c>
      <c r="C4636" t="s">
        <v>15794</v>
      </c>
      <c r="D4636" t="s">
        <v>2908</v>
      </c>
      <c r="E4636" t="s">
        <v>271</v>
      </c>
      <c r="F4636" t="s">
        <v>2470</v>
      </c>
    </row>
    <row r="4637" spans="1:6" x14ac:dyDescent="0.25">
      <c r="A4637" t="s">
        <v>15795</v>
      </c>
      <c r="B4637" t="s">
        <v>15796</v>
      </c>
      <c r="C4637" t="s">
        <v>15797</v>
      </c>
      <c r="D4637" t="s">
        <v>0</v>
      </c>
      <c r="E4637" t="s">
        <v>271</v>
      </c>
      <c r="F4637" t="s">
        <v>436</v>
      </c>
    </row>
    <row r="4638" spans="1:6" x14ac:dyDescent="0.25">
      <c r="A4638" t="s">
        <v>15798</v>
      </c>
      <c r="B4638" t="s">
        <v>9848</v>
      </c>
      <c r="C4638" t="s">
        <v>9849</v>
      </c>
      <c r="D4638" t="s">
        <v>0</v>
      </c>
      <c r="E4638" t="s">
        <v>271</v>
      </c>
      <c r="F4638" t="s">
        <v>881</v>
      </c>
    </row>
    <row r="4639" spans="1:6" x14ac:dyDescent="0.25">
      <c r="A4639" t="s">
        <v>15799</v>
      </c>
      <c r="B4639" t="s">
        <v>15800</v>
      </c>
      <c r="C4639" t="s">
        <v>15801</v>
      </c>
      <c r="D4639" t="s">
        <v>0</v>
      </c>
      <c r="E4639" t="s">
        <v>271</v>
      </c>
      <c r="F4639" t="s">
        <v>355</v>
      </c>
    </row>
    <row r="4640" spans="1:6" x14ac:dyDescent="0.25">
      <c r="A4640" t="s">
        <v>15802</v>
      </c>
      <c r="B4640" t="s">
        <v>15803</v>
      </c>
      <c r="C4640" t="s">
        <v>15804</v>
      </c>
      <c r="D4640" t="s">
        <v>793</v>
      </c>
      <c r="E4640" t="s">
        <v>271</v>
      </c>
      <c r="F4640" t="s">
        <v>792</v>
      </c>
    </row>
    <row r="4641" spans="1:6" x14ac:dyDescent="0.25">
      <c r="A4641" t="s">
        <v>15805</v>
      </c>
      <c r="B4641" t="s">
        <v>15806</v>
      </c>
      <c r="C4641" t="s">
        <v>15807</v>
      </c>
      <c r="D4641" t="s">
        <v>239</v>
      </c>
      <c r="E4641" t="s">
        <v>271</v>
      </c>
      <c r="F4641" t="s">
        <v>544</v>
      </c>
    </row>
    <row r="4642" spans="1:6" x14ac:dyDescent="0.25">
      <c r="A4642" t="s">
        <v>15808</v>
      </c>
      <c r="B4642" t="s">
        <v>15809</v>
      </c>
      <c r="C4642" t="s">
        <v>15810</v>
      </c>
      <c r="D4642" t="s">
        <v>2009</v>
      </c>
      <c r="E4642" t="s">
        <v>271</v>
      </c>
      <c r="F4642" t="s">
        <v>2008</v>
      </c>
    </row>
    <row r="4643" spans="1:6" x14ac:dyDescent="0.25">
      <c r="A4643" t="s">
        <v>15811</v>
      </c>
      <c r="B4643" t="s">
        <v>15812</v>
      </c>
      <c r="C4643" t="s">
        <v>15813</v>
      </c>
      <c r="D4643" t="s">
        <v>2146</v>
      </c>
      <c r="E4643" t="s">
        <v>271</v>
      </c>
      <c r="F4643" t="s">
        <v>844</v>
      </c>
    </row>
    <row r="4644" spans="1:6" x14ac:dyDescent="0.25">
      <c r="A4644" t="s">
        <v>2354</v>
      </c>
      <c r="B4644" t="s">
        <v>2355</v>
      </c>
      <c r="C4644" t="s">
        <v>2356</v>
      </c>
      <c r="D4644" t="s">
        <v>1542</v>
      </c>
      <c r="E4644" t="s">
        <v>269</v>
      </c>
      <c r="F4644" t="s">
        <v>1541</v>
      </c>
    </row>
    <row r="4645" spans="1:6" x14ac:dyDescent="0.25">
      <c r="A4645" t="s">
        <v>15814</v>
      </c>
      <c r="B4645" t="s">
        <v>15815</v>
      </c>
      <c r="C4645" t="s">
        <v>15816</v>
      </c>
      <c r="D4645" t="s">
        <v>7173</v>
      </c>
      <c r="E4645" t="s">
        <v>271</v>
      </c>
      <c r="F4645" t="s">
        <v>3256</v>
      </c>
    </row>
    <row r="4646" spans="1:6" x14ac:dyDescent="0.25">
      <c r="A4646" t="s">
        <v>2749</v>
      </c>
      <c r="B4646" t="s">
        <v>2750</v>
      </c>
      <c r="C4646" t="s">
        <v>2751</v>
      </c>
      <c r="D4646" t="s">
        <v>2714</v>
      </c>
      <c r="E4646" t="s">
        <v>271</v>
      </c>
      <c r="F4646" t="s">
        <v>2713</v>
      </c>
    </row>
    <row r="4647" spans="1:6" x14ac:dyDescent="0.25">
      <c r="A4647" t="s">
        <v>711</v>
      </c>
      <c r="B4647" t="s">
        <v>712</v>
      </c>
      <c r="C4647" t="s">
        <v>714</v>
      </c>
      <c r="D4647" t="s">
        <v>0</v>
      </c>
      <c r="E4647" t="s">
        <v>271</v>
      </c>
      <c r="F4647" t="s">
        <v>355</v>
      </c>
    </row>
    <row r="4648" spans="1:6" x14ac:dyDescent="0.25">
      <c r="A4648" t="s">
        <v>15817</v>
      </c>
      <c r="B4648" t="s">
        <v>15818</v>
      </c>
      <c r="C4648" t="s">
        <v>15819</v>
      </c>
      <c r="D4648" t="s">
        <v>1648</v>
      </c>
      <c r="E4648" t="s">
        <v>271</v>
      </c>
      <c r="F4648" t="s">
        <v>1647</v>
      </c>
    </row>
    <row r="4649" spans="1:6" x14ac:dyDescent="0.25">
      <c r="A4649" t="s">
        <v>1227</v>
      </c>
      <c r="B4649" t="s">
        <v>1228</v>
      </c>
      <c r="C4649" t="s">
        <v>1229</v>
      </c>
      <c r="D4649" t="s">
        <v>0</v>
      </c>
      <c r="E4649" t="s">
        <v>271</v>
      </c>
      <c r="F4649" t="s">
        <v>881</v>
      </c>
    </row>
    <row r="4650" spans="1:6" x14ac:dyDescent="0.25">
      <c r="A4650" t="s">
        <v>15820</v>
      </c>
      <c r="B4650" t="s">
        <v>15821</v>
      </c>
      <c r="C4650" t="s">
        <v>15822</v>
      </c>
      <c r="D4650" t="s">
        <v>0</v>
      </c>
      <c r="E4650" t="s">
        <v>271</v>
      </c>
      <c r="F4650" t="s">
        <v>709</v>
      </c>
    </row>
    <row r="4651" spans="1:6" x14ac:dyDescent="0.25">
      <c r="A4651" t="s">
        <v>3149</v>
      </c>
      <c r="B4651" t="s">
        <v>3150</v>
      </c>
      <c r="C4651" t="s">
        <v>3151</v>
      </c>
      <c r="D4651" t="s">
        <v>239</v>
      </c>
      <c r="E4651" t="s">
        <v>271</v>
      </c>
      <c r="F4651" t="s">
        <v>544</v>
      </c>
    </row>
    <row r="4652" spans="1:6" x14ac:dyDescent="0.25">
      <c r="A4652" t="s">
        <v>2395</v>
      </c>
      <c r="B4652" t="s">
        <v>2396</v>
      </c>
      <c r="C4652" t="s">
        <v>2397</v>
      </c>
      <c r="D4652" t="s">
        <v>453</v>
      </c>
      <c r="E4652" t="s">
        <v>271</v>
      </c>
      <c r="F4652" t="s">
        <v>454</v>
      </c>
    </row>
    <row r="4653" spans="1:6" x14ac:dyDescent="0.25">
      <c r="A4653" t="s">
        <v>15823</v>
      </c>
      <c r="B4653" t="s">
        <v>15824</v>
      </c>
      <c r="C4653" t="s">
        <v>15825</v>
      </c>
      <c r="D4653" t="s">
        <v>822</v>
      </c>
      <c r="E4653" t="s">
        <v>269</v>
      </c>
      <c r="F4653" t="s">
        <v>821</v>
      </c>
    </row>
    <row r="4654" spans="1:6" x14ac:dyDescent="0.25">
      <c r="A4654" t="s">
        <v>15826</v>
      </c>
      <c r="B4654" t="s">
        <v>15827</v>
      </c>
      <c r="C4654" t="s">
        <v>15828</v>
      </c>
      <c r="D4654" t="s">
        <v>1361</v>
      </c>
      <c r="E4654" t="s">
        <v>271</v>
      </c>
      <c r="F4654" t="s">
        <v>1360</v>
      </c>
    </row>
    <row r="4655" spans="1:6" x14ac:dyDescent="0.25">
      <c r="A4655" t="s">
        <v>15829</v>
      </c>
      <c r="B4655" t="s">
        <v>15830</v>
      </c>
      <c r="C4655" t="s">
        <v>15831</v>
      </c>
      <c r="D4655" t="s">
        <v>239</v>
      </c>
      <c r="E4655" t="s">
        <v>271</v>
      </c>
      <c r="F4655" t="s">
        <v>544</v>
      </c>
    </row>
    <row r="4656" spans="1:6" x14ac:dyDescent="0.25">
      <c r="A4656" t="s">
        <v>15832</v>
      </c>
      <c r="B4656" t="s">
        <v>15833</v>
      </c>
      <c r="C4656" t="s">
        <v>15834</v>
      </c>
      <c r="D4656" t="s">
        <v>1165</v>
      </c>
      <c r="E4656" t="s">
        <v>271</v>
      </c>
      <c r="F4656" t="s">
        <v>1164</v>
      </c>
    </row>
    <row r="4657" spans="1:6" x14ac:dyDescent="0.25">
      <c r="A4657" t="s">
        <v>15835</v>
      </c>
      <c r="B4657" t="s">
        <v>15836</v>
      </c>
      <c r="C4657" t="s">
        <v>15837</v>
      </c>
      <c r="D4657" t="s">
        <v>2058</v>
      </c>
      <c r="E4657" t="s">
        <v>271</v>
      </c>
      <c r="F4657" t="s">
        <v>2057</v>
      </c>
    </row>
    <row r="4658" spans="1:6" x14ac:dyDescent="0.25">
      <c r="A4658" t="s">
        <v>15838</v>
      </c>
      <c r="B4658" t="s">
        <v>15839</v>
      </c>
      <c r="C4658" t="s">
        <v>15840</v>
      </c>
      <c r="D4658" t="s">
        <v>1848</v>
      </c>
      <c r="E4658" t="s">
        <v>269</v>
      </c>
      <c r="F4658" t="s">
        <v>1847</v>
      </c>
    </row>
    <row r="4659" spans="1:6" x14ac:dyDescent="0.25">
      <c r="A4659" t="s">
        <v>15841</v>
      </c>
      <c r="B4659" t="s">
        <v>5267</v>
      </c>
      <c r="C4659" t="s">
        <v>15842</v>
      </c>
      <c r="D4659" t="s">
        <v>556</v>
      </c>
      <c r="E4659" t="s">
        <v>271</v>
      </c>
      <c r="F4659" t="s">
        <v>1567</v>
      </c>
    </row>
    <row r="4660" spans="1:6" x14ac:dyDescent="0.25">
      <c r="A4660" t="s">
        <v>15843</v>
      </c>
      <c r="B4660" t="s">
        <v>15844</v>
      </c>
      <c r="C4660" t="s">
        <v>15845</v>
      </c>
      <c r="D4660" t="s">
        <v>1064</v>
      </c>
      <c r="E4660" t="s">
        <v>269</v>
      </c>
      <c r="F4660" t="s">
        <v>1063</v>
      </c>
    </row>
    <row r="4661" spans="1:6" x14ac:dyDescent="0.25">
      <c r="A4661" t="s">
        <v>15846</v>
      </c>
      <c r="B4661" t="s">
        <v>15847</v>
      </c>
      <c r="C4661" t="s">
        <v>15848</v>
      </c>
      <c r="D4661" t="s">
        <v>1361</v>
      </c>
      <c r="E4661" t="s">
        <v>271</v>
      </c>
      <c r="F4661" t="s">
        <v>1829</v>
      </c>
    </row>
    <row r="4662" spans="1:6" x14ac:dyDescent="0.25">
      <c r="A4662" t="s">
        <v>15849</v>
      </c>
      <c r="B4662" t="s">
        <v>15850</v>
      </c>
      <c r="C4662" t="s">
        <v>15851</v>
      </c>
      <c r="D4662" t="s">
        <v>1601</v>
      </c>
      <c r="E4662" t="s">
        <v>269</v>
      </c>
      <c r="F4662" t="s">
        <v>3126</v>
      </c>
    </row>
    <row r="4663" spans="1:6" x14ac:dyDescent="0.25">
      <c r="A4663" t="s">
        <v>15852</v>
      </c>
      <c r="B4663" t="s">
        <v>15853</v>
      </c>
      <c r="C4663" t="s">
        <v>15854</v>
      </c>
      <c r="D4663" t="s">
        <v>822</v>
      </c>
      <c r="E4663" t="s">
        <v>269</v>
      </c>
      <c r="F4663" t="s">
        <v>821</v>
      </c>
    </row>
    <row r="4664" spans="1:6" x14ac:dyDescent="0.25">
      <c r="A4664" t="s">
        <v>15855</v>
      </c>
      <c r="B4664" t="s">
        <v>15856</v>
      </c>
      <c r="C4664" t="s">
        <v>15857</v>
      </c>
      <c r="D4664" t="s">
        <v>0</v>
      </c>
      <c r="E4664" t="s">
        <v>271</v>
      </c>
      <c r="F4664" t="s">
        <v>562</v>
      </c>
    </row>
    <row r="4665" spans="1:6" x14ac:dyDescent="0.25">
      <c r="A4665" t="s">
        <v>15858</v>
      </c>
      <c r="B4665" t="s">
        <v>15859</v>
      </c>
      <c r="C4665" t="s">
        <v>8972</v>
      </c>
      <c r="D4665" t="s">
        <v>0</v>
      </c>
      <c r="E4665" t="s">
        <v>271</v>
      </c>
      <c r="F4665" t="s">
        <v>325</v>
      </c>
    </row>
    <row r="4666" spans="1:6" x14ac:dyDescent="0.25">
      <c r="A4666" t="s">
        <v>3288</v>
      </c>
      <c r="B4666" t="s">
        <v>3289</v>
      </c>
      <c r="C4666" t="s">
        <v>3292</v>
      </c>
      <c r="D4666" t="s">
        <v>3291</v>
      </c>
      <c r="E4666" t="s">
        <v>271</v>
      </c>
      <c r="F4666" t="s">
        <v>3290</v>
      </c>
    </row>
    <row r="4667" spans="1:6" x14ac:dyDescent="0.25">
      <c r="A4667" t="s">
        <v>15860</v>
      </c>
      <c r="B4667" t="s">
        <v>15861</v>
      </c>
      <c r="C4667" t="s">
        <v>15862</v>
      </c>
      <c r="D4667" t="s">
        <v>1623</v>
      </c>
      <c r="E4667" t="s">
        <v>271</v>
      </c>
      <c r="F4667" t="s">
        <v>1622</v>
      </c>
    </row>
    <row r="4668" spans="1:6" x14ac:dyDescent="0.25">
      <c r="A4668" t="s">
        <v>15863</v>
      </c>
      <c r="B4668" t="s">
        <v>15864</v>
      </c>
      <c r="C4668" t="s">
        <v>15865</v>
      </c>
      <c r="D4668" t="s">
        <v>0</v>
      </c>
      <c r="E4668" t="s">
        <v>271</v>
      </c>
      <c r="F4668" t="s">
        <v>575</v>
      </c>
    </row>
    <row r="4669" spans="1:6" x14ac:dyDescent="0.25">
      <c r="A4669" t="s">
        <v>15866</v>
      </c>
      <c r="B4669" t="s">
        <v>15867</v>
      </c>
      <c r="C4669" t="s">
        <v>15868</v>
      </c>
      <c r="D4669" t="s">
        <v>0</v>
      </c>
      <c r="E4669" t="s">
        <v>271</v>
      </c>
      <c r="F4669" t="s">
        <v>325</v>
      </c>
    </row>
    <row r="4670" spans="1:6" x14ac:dyDescent="0.25">
      <c r="A4670" t="s">
        <v>15869</v>
      </c>
      <c r="B4670" t="s">
        <v>15870</v>
      </c>
      <c r="C4670" t="s">
        <v>15871</v>
      </c>
      <c r="D4670" t="s">
        <v>1643</v>
      </c>
      <c r="E4670" t="s">
        <v>271</v>
      </c>
      <c r="F4670" t="s">
        <v>1642</v>
      </c>
    </row>
    <row r="4671" spans="1:6" x14ac:dyDescent="0.25">
      <c r="A4671" t="s">
        <v>15872</v>
      </c>
      <c r="B4671" t="s">
        <v>15873</v>
      </c>
      <c r="C4671" t="s">
        <v>15874</v>
      </c>
      <c r="D4671" t="s">
        <v>1165</v>
      </c>
      <c r="E4671" t="s">
        <v>271</v>
      </c>
      <c r="F4671" t="s">
        <v>1164</v>
      </c>
    </row>
    <row r="4672" spans="1:6" x14ac:dyDescent="0.25">
      <c r="A4672" t="s">
        <v>15875</v>
      </c>
      <c r="B4672" t="s">
        <v>15876</v>
      </c>
      <c r="C4672" t="s">
        <v>15877</v>
      </c>
      <c r="D4672" t="s">
        <v>2471</v>
      </c>
      <c r="E4672" t="s">
        <v>271</v>
      </c>
      <c r="F4672" t="s">
        <v>2470</v>
      </c>
    </row>
    <row r="4673" spans="1:6" x14ac:dyDescent="0.25">
      <c r="A4673" t="s">
        <v>15878</v>
      </c>
      <c r="B4673" t="s">
        <v>15879</v>
      </c>
      <c r="C4673" t="s">
        <v>15880</v>
      </c>
      <c r="D4673" t="s">
        <v>0</v>
      </c>
      <c r="E4673" t="s">
        <v>271</v>
      </c>
      <c r="F4673" t="s">
        <v>4378</v>
      </c>
    </row>
    <row r="4674" spans="1:6" x14ac:dyDescent="0.25">
      <c r="A4674" t="s">
        <v>3510</v>
      </c>
      <c r="B4674" t="s">
        <v>3511</v>
      </c>
      <c r="C4674" t="s">
        <v>3512</v>
      </c>
      <c r="D4674" t="s">
        <v>2692</v>
      </c>
      <c r="E4674" t="s">
        <v>269</v>
      </c>
      <c r="F4674" t="s">
        <v>2691</v>
      </c>
    </row>
    <row r="4675" spans="1:6" x14ac:dyDescent="0.25">
      <c r="A4675" t="s">
        <v>15881</v>
      </c>
      <c r="B4675" t="s">
        <v>15882</v>
      </c>
      <c r="C4675" t="s">
        <v>15883</v>
      </c>
      <c r="D4675" t="s">
        <v>450</v>
      </c>
      <c r="E4675" t="s">
        <v>271</v>
      </c>
      <c r="F4675" t="s">
        <v>326</v>
      </c>
    </row>
    <row r="4676" spans="1:6" x14ac:dyDescent="0.25">
      <c r="A4676" t="s">
        <v>15884</v>
      </c>
      <c r="B4676" t="s">
        <v>15885</v>
      </c>
      <c r="C4676" t="s">
        <v>15886</v>
      </c>
      <c r="D4676" t="s">
        <v>1648</v>
      </c>
      <c r="E4676" t="s">
        <v>271</v>
      </c>
      <c r="F4676" t="s">
        <v>1647</v>
      </c>
    </row>
    <row r="4677" spans="1:6" x14ac:dyDescent="0.25">
      <c r="A4677" t="s">
        <v>15887</v>
      </c>
      <c r="B4677" t="s">
        <v>15888</v>
      </c>
      <c r="C4677" t="s">
        <v>15889</v>
      </c>
      <c r="D4677" t="s">
        <v>5598</v>
      </c>
      <c r="E4677" t="s">
        <v>271</v>
      </c>
      <c r="F4677" t="s">
        <v>4427</v>
      </c>
    </row>
    <row r="4678" spans="1:6" x14ac:dyDescent="0.25">
      <c r="A4678" t="s">
        <v>15890</v>
      </c>
      <c r="B4678" t="s">
        <v>15891</v>
      </c>
      <c r="C4678" t="s">
        <v>15892</v>
      </c>
      <c r="D4678" t="s">
        <v>0</v>
      </c>
      <c r="E4678" t="s">
        <v>271</v>
      </c>
      <c r="F4678" t="s">
        <v>785</v>
      </c>
    </row>
    <row r="4679" spans="1:6" x14ac:dyDescent="0.25">
      <c r="A4679" t="s">
        <v>15893</v>
      </c>
      <c r="B4679" t="s">
        <v>15894</v>
      </c>
      <c r="C4679" t="s">
        <v>15895</v>
      </c>
      <c r="D4679" t="s">
        <v>3291</v>
      </c>
      <c r="E4679" t="s">
        <v>271</v>
      </c>
      <c r="F4679" t="s">
        <v>3290</v>
      </c>
    </row>
    <row r="4680" spans="1:6" x14ac:dyDescent="0.25">
      <c r="A4680" t="s">
        <v>2890</v>
      </c>
      <c r="B4680" t="s">
        <v>2891</v>
      </c>
      <c r="C4680" t="s">
        <v>2892</v>
      </c>
      <c r="D4680" t="s">
        <v>0</v>
      </c>
      <c r="E4680" t="s">
        <v>271</v>
      </c>
      <c r="F4680" t="s">
        <v>323</v>
      </c>
    </row>
    <row r="4681" spans="1:6" x14ac:dyDescent="0.25">
      <c r="A4681" t="s">
        <v>15896</v>
      </c>
      <c r="B4681" t="s">
        <v>15897</v>
      </c>
      <c r="C4681" t="s">
        <v>15898</v>
      </c>
      <c r="D4681" t="s">
        <v>0</v>
      </c>
      <c r="E4681" t="s">
        <v>271</v>
      </c>
      <c r="F4681" t="s">
        <v>1591</v>
      </c>
    </row>
    <row r="4682" spans="1:6" x14ac:dyDescent="0.25">
      <c r="A4682" t="s">
        <v>15899</v>
      </c>
      <c r="B4682" t="s">
        <v>15900</v>
      </c>
      <c r="C4682" t="s">
        <v>15901</v>
      </c>
      <c r="D4682" t="s">
        <v>472</v>
      </c>
      <c r="E4682" t="s">
        <v>271</v>
      </c>
      <c r="F4682" t="s">
        <v>318</v>
      </c>
    </row>
    <row r="4683" spans="1:6" x14ac:dyDescent="0.25">
      <c r="A4683" t="s">
        <v>15902</v>
      </c>
      <c r="B4683" t="s">
        <v>15903</v>
      </c>
      <c r="C4683" t="s">
        <v>15904</v>
      </c>
      <c r="D4683" t="s">
        <v>0</v>
      </c>
      <c r="E4683" t="s">
        <v>271</v>
      </c>
      <c r="F4683" t="s">
        <v>319</v>
      </c>
    </row>
    <row r="4684" spans="1:6" x14ac:dyDescent="0.25">
      <c r="A4684" t="s">
        <v>15905</v>
      </c>
      <c r="B4684" t="s">
        <v>15906</v>
      </c>
      <c r="C4684" t="s">
        <v>15907</v>
      </c>
      <c r="D4684" t="s">
        <v>845</v>
      </c>
      <c r="E4684" t="s">
        <v>271</v>
      </c>
      <c r="F4684" t="s">
        <v>844</v>
      </c>
    </row>
    <row r="4685" spans="1:6" x14ac:dyDescent="0.25">
      <c r="A4685" t="s">
        <v>2040</v>
      </c>
      <c r="B4685" t="s">
        <v>2041</v>
      </c>
      <c r="C4685" t="s">
        <v>2042</v>
      </c>
      <c r="D4685" t="s">
        <v>1915</v>
      </c>
      <c r="E4685" t="s">
        <v>269</v>
      </c>
      <c r="F4685" t="s">
        <v>1914</v>
      </c>
    </row>
    <row r="4686" spans="1:6" x14ac:dyDescent="0.25">
      <c r="A4686" t="s">
        <v>15908</v>
      </c>
      <c r="B4686" t="s">
        <v>15697</v>
      </c>
      <c r="C4686" t="s">
        <v>15909</v>
      </c>
      <c r="D4686" t="s">
        <v>460</v>
      </c>
      <c r="E4686" t="s">
        <v>271</v>
      </c>
      <c r="F4686" t="s">
        <v>435</v>
      </c>
    </row>
    <row r="4687" spans="1:6" x14ac:dyDescent="0.25">
      <c r="A4687" t="s">
        <v>15910</v>
      </c>
      <c r="B4687" t="s">
        <v>15911</v>
      </c>
      <c r="C4687" t="s">
        <v>15912</v>
      </c>
      <c r="D4687" t="s">
        <v>0</v>
      </c>
      <c r="E4687" t="s">
        <v>271</v>
      </c>
      <c r="F4687" t="s">
        <v>575</v>
      </c>
    </row>
    <row r="4688" spans="1:6" x14ac:dyDescent="0.25">
      <c r="A4688" t="s">
        <v>15913</v>
      </c>
      <c r="B4688" t="s">
        <v>15914</v>
      </c>
      <c r="C4688" t="s">
        <v>15915</v>
      </c>
      <c r="D4688" t="s">
        <v>1413</v>
      </c>
      <c r="E4688" t="s">
        <v>271</v>
      </c>
      <c r="F4688" t="s">
        <v>1412</v>
      </c>
    </row>
    <row r="4689" spans="1:6" x14ac:dyDescent="0.25">
      <c r="A4689" t="s">
        <v>15916</v>
      </c>
      <c r="B4689" t="s">
        <v>6692</v>
      </c>
      <c r="C4689" t="s">
        <v>15917</v>
      </c>
      <c r="D4689" t="s">
        <v>1559</v>
      </c>
      <c r="E4689" t="s">
        <v>271</v>
      </c>
      <c r="F4689" t="s">
        <v>1558</v>
      </c>
    </row>
    <row r="4690" spans="1:6" x14ac:dyDescent="0.25">
      <c r="A4690" t="s">
        <v>15918</v>
      </c>
      <c r="B4690" t="s">
        <v>15919</v>
      </c>
      <c r="C4690" t="s">
        <v>15920</v>
      </c>
      <c r="D4690" t="s">
        <v>0</v>
      </c>
      <c r="E4690" t="s">
        <v>271</v>
      </c>
      <c r="F4690" t="s">
        <v>4402</v>
      </c>
    </row>
    <row r="4691" spans="1:6" x14ac:dyDescent="0.25">
      <c r="A4691" t="s">
        <v>1249</v>
      </c>
      <c r="B4691" t="s">
        <v>1250</v>
      </c>
      <c r="C4691" t="s">
        <v>1252</v>
      </c>
      <c r="D4691" t="s">
        <v>822</v>
      </c>
      <c r="E4691" t="s">
        <v>269</v>
      </c>
      <c r="F4691" t="s">
        <v>821</v>
      </c>
    </row>
    <row r="4692" spans="1:6" x14ac:dyDescent="0.25">
      <c r="A4692" t="s">
        <v>15921</v>
      </c>
      <c r="B4692" t="s">
        <v>15922</v>
      </c>
      <c r="C4692" t="s">
        <v>14397</v>
      </c>
      <c r="D4692" t="s">
        <v>500</v>
      </c>
      <c r="E4692" t="s">
        <v>271</v>
      </c>
      <c r="F4692" t="s">
        <v>501</v>
      </c>
    </row>
    <row r="4693" spans="1:6" x14ac:dyDescent="0.25">
      <c r="A4693" t="s">
        <v>15923</v>
      </c>
      <c r="B4693" t="s">
        <v>15924</v>
      </c>
      <c r="C4693" t="s">
        <v>15925</v>
      </c>
      <c r="D4693" t="s">
        <v>500</v>
      </c>
      <c r="E4693" t="s">
        <v>271</v>
      </c>
      <c r="F4693" t="s">
        <v>501</v>
      </c>
    </row>
    <row r="4694" spans="1:6" x14ac:dyDescent="0.25">
      <c r="A4694" t="s">
        <v>15926</v>
      </c>
      <c r="B4694" t="s">
        <v>15927</v>
      </c>
      <c r="C4694" t="s">
        <v>15928</v>
      </c>
      <c r="D4694" t="s">
        <v>2908</v>
      </c>
      <c r="E4694" t="s">
        <v>271</v>
      </c>
      <c r="F4694" t="s">
        <v>2470</v>
      </c>
    </row>
    <row r="4695" spans="1:6" x14ac:dyDescent="0.25">
      <c r="A4695" t="s">
        <v>15929</v>
      </c>
      <c r="B4695" t="s">
        <v>15930</v>
      </c>
      <c r="C4695" t="s">
        <v>15931</v>
      </c>
      <c r="D4695" t="s">
        <v>2166</v>
      </c>
      <c r="E4695" t="s">
        <v>271</v>
      </c>
      <c r="F4695" t="s">
        <v>2165</v>
      </c>
    </row>
    <row r="4696" spans="1:6" x14ac:dyDescent="0.25">
      <c r="A4696" t="s">
        <v>15932</v>
      </c>
      <c r="B4696" t="s">
        <v>15933</v>
      </c>
      <c r="C4696" t="s">
        <v>15934</v>
      </c>
      <c r="D4696" t="s">
        <v>490</v>
      </c>
      <c r="E4696" t="s">
        <v>271</v>
      </c>
      <c r="F4696" t="s">
        <v>491</v>
      </c>
    </row>
    <row r="4697" spans="1:6" x14ac:dyDescent="0.25">
      <c r="A4697" t="s">
        <v>15935</v>
      </c>
      <c r="B4697" t="s">
        <v>15936</v>
      </c>
      <c r="C4697" t="s">
        <v>15937</v>
      </c>
      <c r="D4697" t="s">
        <v>0</v>
      </c>
      <c r="E4697" t="s">
        <v>271</v>
      </c>
      <c r="F4697" t="s">
        <v>356</v>
      </c>
    </row>
    <row r="4698" spans="1:6" x14ac:dyDescent="0.25">
      <c r="A4698" t="s">
        <v>15938</v>
      </c>
      <c r="B4698" t="s">
        <v>15939</v>
      </c>
      <c r="C4698" t="s">
        <v>15940</v>
      </c>
      <c r="D4698" t="s">
        <v>876</v>
      </c>
      <c r="E4698" t="s">
        <v>271</v>
      </c>
      <c r="F4698" t="s">
        <v>875</v>
      </c>
    </row>
    <row r="4699" spans="1:6" x14ac:dyDescent="0.25">
      <c r="A4699" t="s">
        <v>15941</v>
      </c>
      <c r="B4699" t="s">
        <v>15942</v>
      </c>
      <c r="C4699" t="s">
        <v>4740</v>
      </c>
      <c r="D4699" t="s">
        <v>0</v>
      </c>
      <c r="E4699" t="s">
        <v>271</v>
      </c>
      <c r="F4699" t="s">
        <v>356</v>
      </c>
    </row>
    <row r="4700" spans="1:6" x14ac:dyDescent="0.25">
      <c r="A4700" t="s">
        <v>15943</v>
      </c>
      <c r="B4700" t="s">
        <v>15944</v>
      </c>
      <c r="C4700" t="s">
        <v>15945</v>
      </c>
      <c r="D4700" t="s">
        <v>1548</v>
      </c>
      <c r="E4700" t="s">
        <v>271</v>
      </c>
      <c r="F4700" t="s">
        <v>1547</v>
      </c>
    </row>
    <row r="4701" spans="1:6" x14ac:dyDescent="0.25">
      <c r="A4701" t="s">
        <v>15946</v>
      </c>
      <c r="B4701" t="s">
        <v>15947</v>
      </c>
      <c r="C4701" t="s">
        <v>2299</v>
      </c>
      <c r="D4701" t="s">
        <v>0</v>
      </c>
      <c r="E4701" t="s">
        <v>271</v>
      </c>
      <c r="F4701" t="s">
        <v>319</v>
      </c>
    </row>
    <row r="4702" spans="1:6" x14ac:dyDescent="0.25">
      <c r="A4702" t="s">
        <v>15948</v>
      </c>
      <c r="B4702" t="s">
        <v>15949</v>
      </c>
      <c r="C4702" t="s">
        <v>15950</v>
      </c>
      <c r="D4702" t="s">
        <v>0</v>
      </c>
      <c r="E4702" t="s">
        <v>271</v>
      </c>
      <c r="F4702" t="s">
        <v>709</v>
      </c>
    </row>
    <row r="4703" spans="1:6" x14ac:dyDescent="0.25">
      <c r="A4703" t="s">
        <v>15951</v>
      </c>
      <c r="B4703" t="s">
        <v>15952</v>
      </c>
      <c r="C4703" t="s">
        <v>15953</v>
      </c>
      <c r="D4703" t="s">
        <v>675</v>
      </c>
      <c r="E4703" t="s">
        <v>271</v>
      </c>
      <c r="F4703" t="s">
        <v>674</v>
      </c>
    </row>
    <row r="4704" spans="1:6" x14ac:dyDescent="0.25">
      <c r="A4704" t="s">
        <v>2928</v>
      </c>
      <c r="B4704" t="s">
        <v>2929</v>
      </c>
      <c r="C4704" t="s">
        <v>2930</v>
      </c>
      <c r="D4704" t="s">
        <v>0</v>
      </c>
      <c r="E4704" t="s">
        <v>271</v>
      </c>
      <c r="F4704" t="s">
        <v>319</v>
      </c>
    </row>
    <row r="4705" spans="1:6" x14ac:dyDescent="0.25">
      <c r="A4705" t="s">
        <v>15954</v>
      </c>
      <c r="B4705" t="s">
        <v>15955</v>
      </c>
      <c r="C4705" t="s">
        <v>15956</v>
      </c>
      <c r="D4705" t="s">
        <v>2166</v>
      </c>
      <c r="E4705" t="s">
        <v>271</v>
      </c>
      <c r="F4705" t="s">
        <v>2165</v>
      </c>
    </row>
    <row r="4706" spans="1:6" x14ac:dyDescent="0.25">
      <c r="A4706" t="s">
        <v>15957</v>
      </c>
      <c r="B4706" t="s">
        <v>15958</v>
      </c>
      <c r="C4706" t="s">
        <v>15959</v>
      </c>
      <c r="D4706" t="s">
        <v>0</v>
      </c>
      <c r="E4706" t="s">
        <v>271</v>
      </c>
      <c r="F4706" t="s">
        <v>431</v>
      </c>
    </row>
    <row r="4707" spans="1:6" x14ac:dyDescent="0.25">
      <c r="A4707" t="s">
        <v>15960</v>
      </c>
      <c r="B4707" t="s">
        <v>10429</v>
      </c>
      <c r="C4707" t="s">
        <v>15961</v>
      </c>
      <c r="D4707" t="s">
        <v>453</v>
      </c>
      <c r="E4707" t="s">
        <v>271</v>
      </c>
      <c r="F4707" t="s">
        <v>454</v>
      </c>
    </row>
    <row r="4708" spans="1:6" x14ac:dyDescent="0.25">
      <c r="A4708" t="s">
        <v>15962</v>
      </c>
      <c r="B4708" t="s">
        <v>4462</v>
      </c>
      <c r="C4708" t="s">
        <v>15963</v>
      </c>
      <c r="D4708" t="s">
        <v>0</v>
      </c>
      <c r="E4708" t="s">
        <v>271</v>
      </c>
      <c r="F4708" t="s">
        <v>1214</v>
      </c>
    </row>
    <row r="4709" spans="1:6" x14ac:dyDescent="0.25">
      <c r="A4709" t="s">
        <v>15964</v>
      </c>
      <c r="B4709" t="s">
        <v>15965</v>
      </c>
      <c r="C4709" t="s">
        <v>15966</v>
      </c>
      <c r="D4709" t="s">
        <v>357</v>
      </c>
      <c r="E4709" t="s">
        <v>271</v>
      </c>
      <c r="F4709" t="s">
        <v>358</v>
      </c>
    </row>
    <row r="4710" spans="1:6" x14ac:dyDescent="0.25">
      <c r="A4710" t="s">
        <v>15967</v>
      </c>
      <c r="B4710" t="s">
        <v>15968</v>
      </c>
      <c r="C4710" t="s">
        <v>9623</v>
      </c>
      <c r="D4710" t="s">
        <v>345</v>
      </c>
      <c r="E4710" t="s">
        <v>269</v>
      </c>
      <c r="F4710" t="s">
        <v>684</v>
      </c>
    </row>
    <row r="4711" spans="1:6" x14ac:dyDescent="0.25">
      <c r="A4711" t="s">
        <v>15969</v>
      </c>
      <c r="B4711" t="s">
        <v>15970</v>
      </c>
      <c r="C4711" t="s">
        <v>15971</v>
      </c>
      <c r="D4711" t="s">
        <v>1524</v>
      </c>
      <c r="E4711" t="s">
        <v>271</v>
      </c>
      <c r="F4711" t="s">
        <v>1523</v>
      </c>
    </row>
    <row r="4712" spans="1:6" x14ac:dyDescent="0.25">
      <c r="A4712" t="s">
        <v>15972</v>
      </c>
      <c r="B4712" t="s">
        <v>15973</v>
      </c>
      <c r="C4712" t="s">
        <v>15974</v>
      </c>
      <c r="D4712" t="s">
        <v>1958</v>
      </c>
      <c r="E4712" t="s">
        <v>271</v>
      </c>
      <c r="F4712" t="s">
        <v>1957</v>
      </c>
    </row>
    <row r="4713" spans="1:6" x14ac:dyDescent="0.25">
      <c r="A4713" t="s">
        <v>15975</v>
      </c>
      <c r="B4713" t="s">
        <v>15976</v>
      </c>
      <c r="C4713" t="s">
        <v>15977</v>
      </c>
      <c r="D4713" t="s">
        <v>1485</v>
      </c>
      <c r="E4713" t="s">
        <v>271</v>
      </c>
      <c r="F4713" t="s">
        <v>1519</v>
      </c>
    </row>
    <row r="4714" spans="1:6" x14ac:dyDescent="0.25">
      <c r="A4714" t="s">
        <v>15978</v>
      </c>
      <c r="B4714" t="s">
        <v>15979</v>
      </c>
      <c r="C4714" t="s">
        <v>15980</v>
      </c>
      <c r="D4714" t="s">
        <v>0</v>
      </c>
      <c r="E4714" t="s">
        <v>271</v>
      </c>
      <c r="F4714" t="s">
        <v>323</v>
      </c>
    </row>
    <row r="4715" spans="1:6" x14ac:dyDescent="0.25">
      <c r="A4715" t="s">
        <v>15981</v>
      </c>
      <c r="B4715" t="s">
        <v>15982</v>
      </c>
      <c r="C4715" t="s">
        <v>15983</v>
      </c>
      <c r="D4715" t="s">
        <v>510</v>
      </c>
      <c r="E4715" t="s">
        <v>271</v>
      </c>
      <c r="F4715" t="s">
        <v>1829</v>
      </c>
    </row>
    <row r="4716" spans="1:6" x14ac:dyDescent="0.25">
      <c r="A4716" t="s">
        <v>15984</v>
      </c>
      <c r="B4716" t="s">
        <v>15985</v>
      </c>
      <c r="C4716" t="s">
        <v>15986</v>
      </c>
      <c r="D4716" t="s">
        <v>0</v>
      </c>
      <c r="E4716" t="s">
        <v>271</v>
      </c>
      <c r="F4716" t="s">
        <v>895</v>
      </c>
    </row>
    <row r="4717" spans="1:6" x14ac:dyDescent="0.25">
      <c r="A4717" t="s">
        <v>15987</v>
      </c>
      <c r="B4717" t="s">
        <v>15988</v>
      </c>
      <c r="C4717" t="s">
        <v>15989</v>
      </c>
      <c r="D4717" t="s">
        <v>498</v>
      </c>
      <c r="E4717" t="s">
        <v>271</v>
      </c>
      <c r="F4717" t="s">
        <v>926</v>
      </c>
    </row>
    <row r="4718" spans="1:6" x14ac:dyDescent="0.25">
      <c r="A4718" t="s">
        <v>15990</v>
      </c>
      <c r="B4718" t="s">
        <v>15991</v>
      </c>
      <c r="C4718" t="s">
        <v>15992</v>
      </c>
      <c r="D4718" t="s">
        <v>1186</v>
      </c>
      <c r="E4718" t="s">
        <v>271</v>
      </c>
      <c r="F4718" t="s">
        <v>1185</v>
      </c>
    </row>
    <row r="4719" spans="1:6" x14ac:dyDescent="0.25">
      <c r="A4719" t="s">
        <v>15993</v>
      </c>
      <c r="B4719" t="s">
        <v>15994</v>
      </c>
      <c r="C4719" t="s">
        <v>15995</v>
      </c>
      <c r="D4719" t="s">
        <v>0</v>
      </c>
      <c r="E4719" t="s">
        <v>271</v>
      </c>
      <c r="F4719" t="s">
        <v>704</v>
      </c>
    </row>
    <row r="4720" spans="1:6" x14ac:dyDescent="0.25">
      <c r="A4720" t="s">
        <v>15996</v>
      </c>
      <c r="B4720" t="s">
        <v>15997</v>
      </c>
      <c r="C4720" t="s">
        <v>15998</v>
      </c>
      <c r="D4720" t="s">
        <v>0</v>
      </c>
      <c r="E4720" t="s">
        <v>271</v>
      </c>
      <c r="F4720" t="s">
        <v>1115</v>
      </c>
    </row>
    <row r="4721" spans="1:6" x14ac:dyDescent="0.25">
      <c r="A4721" t="s">
        <v>15999</v>
      </c>
      <c r="B4721" t="s">
        <v>16000</v>
      </c>
      <c r="C4721" t="s">
        <v>2097</v>
      </c>
      <c r="D4721" t="s">
        <v>668</v>
      </c>
      <c r="E4721" t="s">
        <v>271</v>
      </c>
      <c r="F4721" t="s">
        <v>667</v>
      </c>
    </row>
    <row r="4722" spans="1:6" x14ac:dyDescent="0.25">
      <c r="A4722" t="s">
        <v>16001</v>
      </c>
      <c r="B4722" t="s">
        <v>16002</v>
      </c>
      <c r="C4722" t="s">
        <v>16003</v>
      </c>
      <c r="D4722" t="s">
        <v>1623</v>
      </c>
      <c r="E4722" t="s">
        <v>271</v>
      </c>
      <c r="F4722" t="s">
        <v>1622</v>
      </c>
    </row>
    <row r="4723" spans="1:6" x14ac:dyDescent="0.25">
      <c r="A4723" t="s">
        <v>16004</v>
      </c>
      <c r="B4723" t="s">
        <v>16005</v>
      </c>
      <c r="C4723" t="s">
        <v>16006</v>
      </c>
      <c r="D4723" t="s">
        <v>1126</v>
      </c>
      <c r="E4723" t="s">
        <v>271</v>
      </c>
      <c r="F4723" t="s">
        <v>1125</v>
      </c>
    </row>
    <row r="4724" spans="1:6" x14ac:dyDescent="0.25">
      <c r="A4724" t="s">
        <v>16007</v>
      </c>
      <c r="B4724" t="s">
        <v>16008</v>
      </c>
      <c r="C4724" t="s">
        <v>16009</v>
      </c>
      <c r="D4724" t="s">
        <v>793</v>
      </c>
      <c r="E4724" t="s">
        <v>271</v>
      </c>
      <c r="F4724" t="s">
        <v>792</v>
      </c>
    </row>
    <row r="4725" spans="1:6" x14ac:dyDescent="0.25">
      <c r="A4725" t="s">
        <v>16010</v>
      </c>
      <c r="B4725" t="s">
        <v>16011</v>
      </c>
      <c r="C4725" t="s">
        <v>16012</v>
      </c>
      <c r="D4725" t="s">
        <v>295</v>
      </c>
      <c r="E4725" t="s">
        <v>271</v>
      </c>
      <c r="F4725" t="s">
        <v>294</v>
      </c>
    </row>
    <row r="4726" spans="1:6" x14ac:dyDescent="0.25">
      <c r="A4726" t="s">
        <v>3010</v>
      </c>
      <c r="B4726" t="s">
        <v>3011</v>
      </c>
      <c r="C4726" t="s">
        <v>3012</v>
      </c>
      <c r="D4726" t="s">
        <v>0</v>
      </c>
      <c r="E4726" t="s">
        <v>271</v>
      </c>
      <c r="F4726" t="s">
        <v>436</v>
      </c>
    </row>
    <row r="4727" spans="1:6" x14ac:dyDescent="0.25">
      <c r="A4727" t="s">
        <v>16013</v>
      </c>
      <c r="B4727" t="s">
        <v>16014</v>
      </c>
      <c r="C4727" t="s">
        <v>16015</v>
      </c>
      <c r="D4727" t="s">
        <v>1958</v>
      </c>
      <c r="E4727" t="s">
        <v>271</v>
      </c>
      <c r="F4727" t="s">
        <v>1957</v>
      </c>
    </row>
    <row r="4728" spans="1:6" x14ac:dyDescent="0.25">
      <c r="A4728" t="s">
        <v>16016</v>
      </c>
      <c r="B4728" t="s">
        <v>16017</v>
      </c>
      <c r="C4728" t="s">
        <v>16018</v>
      </c>
      <c r="D4728" t="s">
        <v>793</v>
      </c>
      <c r="E4728" t="s">
        <v>271</v>
      </c>
      <c r="F4728" t="s">
        <v>792</v>
      </c>
    </row>
    <row r="4729" spans="1:6" x14ac:dyDescent="0.25">
      <c r="A4729" t="s">
        <v>16019</v>
      </c>
      <c r="B4729" t="s">
        <v>16020</v>
      </c>
      <c r="C4729" t="s">
        <v>16021</v>
      </c>
      <c r="D4729" t="s">
        <v>1079</v>
      </c>
      <c r="E4729" t="s">
        <v>271</v>
      </c>
      <c r="F4729" t="s">
        <v>1078</v>
      </c>
    </row>
    <row r="4730" spans="1:6" x14ac:dyDescent="0.25">
      <c r="A4730" t="s">
        <v>16022</v>
      </c>
      <c r="B4730" t="s">
        <v>16023</v>
      </c>
      <c r="C4730" t="s">
        <v>16024</v>
      </c>
      <c r="D4730" t="s">
        <v>0</v>
      </c>
      <c r="E4730" t="s">
        <v>271</v>
      </c>
      <c r="F4730" t="s">
        <v>726</v>
      </c>
    </row>
    <row r="4731" spans="1:6" x14ac:dyDescent="0.25">
      <c r="A4731" t="s">
        <v>16025</v>
      </c>
      <c r="B4731" t="s">
        <v>16026</v>
      </c>
      <c r="C4731" t="s">
        <v>7231</v>
      </c>
      <c r="D4731" t="s">
        <v>2166</v>
      </c>
      <c r="E4731" t="s">
        <v>271</v>
      </c>
      <c r="F4731" t="s">
        <v>2165</v>
      </c>
    </row>
    <row r="4732" spans="1:6" x14ac:dyDescent="0.25">
      <c r="A4732" t="s">
        <v>16027</v>
      </c>
      <c r="B4732" t="s">
        <v>16028</v>
      </c>
      <c r="C4732" t="s">
        <v>16029</v>
      </c>
      <c r="D4732" t="s">
        <v>3457</v>
      </c>
      <c r="E4732" t="s">
        <v>271</v>
      </c>
      <c r="F4732" t="s">
        <v>1432</v>
      </c>
    </row>
    <row r="4733" spans="1:6" x14ac:dyDescent="0.25">
      <c r="A4733" t="s">
        <v>16030</v>
      </c>
      <c r="B4733" t="s">
        <v>16031</v>
      </c>
      <c r="C4733" t="s">
        <v>16032</v>
      </c>
      <c r="D4733" t="s">
        <v>2885</v>
      </c>
      <c r="E4733" t="s">
        <v>271</v>
      </c>
      <c r="F4733" t="s">
        <v>1523</v>
      </c>
    </row>
    <row r="4734" spans="1:6" x14ac:dyDescent="0.25">
      <c r="A4734" t="s">
        <v>16033</v>
      </c>
      <c r="B4734" t="s">
        <v>16034</v>
      </c>
      <c r="C4734" t="s">
        <v>16035</v>
      </c>
      <c r="D4734" t="s">
        <v>466</v>
      </c>
      <c r="E4734" t="s">
        <v>271</v>
      </c>
      <c r="F4734" t="s">
        <v>434</v>
      </c>
    </row>
    <row r="4735" spans="1:6" x14ac:dyDescent="0.25">
      <c r="A4735" t="s">
        <v>16036</v>
      </c>
      <c r="B4735" t="s">
        <v>16037</v>
      </c>
      <c r="C4735" t="s">
        <v>16038</v>
      </c>
      <c r="D4735" t="s">
        <v>566</v>
      </c>
      <c r="E4735" t="s">
        <v>271</v>
      </c>
      <c r="F4735" t="s">
        <v>567</v>
      </c>
    </row>
    <row r="4736" spans="1:6" x14ac:dyDescent="0.25">
      <c r="A4736" t="s">
        <v>16039</v>
      </c>
      <c r="B4736" t="s">
        <v>16040</v>
      </c>
      <c r="C4736" t="s">
        <v>7826</v>
      </c>
      <c r="D4736" t="s">
        <v>0</v>
      </c>
      <c r="E4736" t="s">
        <v>271</v>
      </c>
      <c r="F4736" t="s">
        <v>319</v>
      </c>
    </row>
    <row r="4737" spans="1:6" x14ac:dyDescent="0.25">
      <c r="A4737" t="s">
        <v>16041</v>
      </c>
      <c r="B4737" t="s">
        <v>16042</v>
      </c>
      <c r="C4737" t="s">
        <v>16043</v>
      </c>
      <c r="D4737" t="s">
        <v>0</v>
      </c>
      <c r="E4737" t="s">
        <v>271</v>
      </c>
      <c r="F4737" t="s">
        <v>688</v>
      </c>
    </row>
    <row r="4738" spans="1:6" x14ac:dyDescent="0.25">
      <c r="A4738" t="s">
        <v>1479</v>
      </c>
      <c r="B4738" t="s">
        <v>1480</v>
      </c>
      <c r="C4738" t="s">
        <v>1481</v>
      </c>
      <c r="D4738" t="s">
        <v>0</v>
      </c>
      <c r="E4738" t="s">
        <v>271</v>
      </c>
      <c r="F4738" t="s">
        <v>881</v>
      </c>
    </row>
    <row r="4739" spans="1:6" x14ac:dyDescent="0.25">
      <c r="A4739" t="s">
        <v>16044</v>
      </c>
      <c r="B4739" t="s">
        <v>16045</v>
      </c>
      <c r="C4739" t="s">
        <v>16046</v>
      </c>
      <c r="D4739" t="s">
        <v>0</v>
      </c>
      <c r="E4739" t="s">
        <v>271</v>
      </c>
      <c r="F4739" t="s">
        <v>562</v>
      </c>
    </row>
    <row r="4740" spans="1:6" x14ac:dyDescent="0.25">
      <c r="A4740" t="s">
        <v>16047</v>
      </c>
      <c r="B4740" t="s">
        <v>16048</v>
      </c>
      <c r="C4740" t="s">
        <v>16049</v>
      </c>
      <c r="D4740" t="s">
        <v>402</v>
      </c>
      <c r="E4740" t="s">
        <v>271</v>
      </c>
      <c r="F4740" t="s">
        <v>401</v>
      </c>
    </row>
    <row r="4741" spans="1:6" x14ac:dyDescent="0.25">
      <c r="A4741" t="s">
        <v>16050</v>
      </c>
      <c r="B4741" t="s">
        <v>16051</v>
      </c>
      <c r="C4741" t="s">
        <v>16052</v>
      </c>
      <c r="D4741" t="s">
        <v>0</v>
      </c>
      <c r="E4741" t="s">
        <v>271</v>
      </c>
      <c r="F4741" t="s">
        <v>436</v>
      </c>
    </row>
    <row r="4742" spans="1:6" x14ac:dyDescent="0.25">
      <c r="A4742" t="s">
        <v>16053</v>
      </c>
      <c r="B4742" t="s">
        <v>16054</v>
      </c>
      <c r="C4742" t="s">
        <v>16055</v>
      </c>
      <c r="D4742" t="s">
        <v>0</v>
      </c>
      <c r="E4742" t="s">
        <v>271</v>
      </c>
      <c r="F4742" t="s">
        <v>2377</v>
      </c>
    </row>
    <row r="4743" spans="1:6" x14ac:dyDescent="0.25">
      <c r="A4743" t="s">
        <v>16056</v>
      </c>
      <c r="B4743" t="s">
        <v>16057</v>
      </c>
      <c r="C4743" t="s">
        <v>16058</v>
      </c>
      <c r="D4743" t="s">
        <v>461</v>
      </c>
      <c r="E4743" t="s">
        <v>271</v>
      </c>
      <c r="F4743" t="s">
        <v>336</v>
      </c>
    </row>
    <row r="4744" spans="1:6" x14ac:dyDescent="0.25">
      <c r="A4744" t="s">
        <v>16059</v>
      </c>
      <c r="B4744" t="s">
        <v>16060</v>
      </c>
      <c r="C4744" t="s">
        <v>16061</v>
      </c>
      <c r="D4744" t="s">
        <v>980</v>
      </c>
      <c r="E4744" t="s">
        <v>271</v>
      </c>
      <c r="F4744" t="s">
        <v>979</v>
      </c>
    </row>
    <row r="4745" spans="1:6" x14ac:dyDescent="0.25">
      <c r="A4745" t="s">
        <v>16062</v>
      </c>
      <c r="B4745" t="s">
        <v>16063</v>
      </c>
      <c r="C4745" t="s">
        <v>16064</v>
      </c>
      <c r="D4745" t="s">
        <v>357</v>
      </c>
      <c r="E4745" t="s">
        <v>271</v>
      </c>
      <c r="F4745" t="s">
        <v>358</v>
      </c>
    </row>
    <row r="4746" spans="1:6" x14ac:dyDescent="0.25">
      <c r="A4746" t="s">
        <v>16065</v>
      </c>
      <c r="B4746" t="s">
        <v>16066</v>
      </c>
      <c r="C4746" t="s">
        <v>16067</v>
      </c>
      <c r="D4746" t="s">
        <v>0</v>
      </c>
      <c r="E4746" t="s">
        <v>271</v>
      </c>
      <c r="F4746" t="s">
        <v>531</v>
      </c>
    </row>
    <row r="4747" spans="1:6" x14ac:dyDescent="0.25">
      <c r="A4747" t="s">
        <v>16068</v>
      </c>
      <c r="B4747" t="s">
        <v>16069</v>
      </c>
      <c r="C4747" t="s">
        <v>16070</v>
      </c>
      <c r="D4747" t="s">
        <v>540</v>
      </c>
      <c r="E4747" t="s">
        <v>271</v>
      </c>
      <c r="F4747" t="s">
        <v>339</v>
      </c>
    </row>
    <row r="4748" spans="1:6" x14ac:dyDescent="0.25">
      <c r="A4748" t="s">
        <v>16071</v>
      </c>
      <c r="B4748" t="s">
        <v>16072</v>
      </c>
      <c r="C4748" t="s">
        <v>16073</v>
      </c>
      <c r="D4748" t="s">
        <v>0</v>
      </c>
      <c r="E4748" t="s">
        <v>271</v>
      </c>
      <c r="F4748" t="s">
        <v>1321</v>
      </c>
    </row>
    <row r="4749" spans="1:6" x14ac:dyDescent="0.25">
      <c r="A4749" t="s">
        <v>16074</v>
      </c>
      <c r="B4749" t="s">
        <v>16075</v>
      </c>
      <c r="C4749" t="s">
        <v>16076</v>
      </c>
      <c r="D4749" t="s">
        <v>16077</v>
      </c>
      <c r="E4749" t="s">
        <v>269</v>
      </c>
      <c r="F4749" t="s">
        <v>16078</v>
      </c>
    </row>
    <row r="4750" spans="1:6" x14ac:dyDescent="0.25">
      <c r="A4750" t="s">
        <v>16079</v>
      </c>
      <c r="B4750" t="s">
        <v>16080</v>
      </c>
      <c r="C4750" t="s">
        <v>1042</v>
      </c>
      <c r="D4750" t="s">
        <v>0</v>
      </c>
      <c r="E4750" t="s">
        <v>271</v>
      </c>
      <c r="F4750" t="s">
        <v>323</v>
      </c>
    </row>
    <row r="4751" spans="1:6" x14ac:dyDescent="0.25">
      <c r="A4751" t="s">
        <v>3449</v>
      </c>
      <c r="B4751" t="s">
        <v>3450</v>
      </c>
      <c r="C4751" t="s">
        <v>3451</v>
      </c>
      <c r="D4751" t="s">
        <v>1370</v>
      </c>
      <c r="E4751" t="s">
        <v>271</v>
      </c>
      <c r="F4751" t="s">
        <v>1369</v>
      </c>
    </row>
    <row r="4752" spans="1:6" x14ac:dyDescent="0.25">
      <c r="A4752" t="s">
        <v>16081</v>
      </c>
      <c r="B4752" t="s">
        <v>16082</v>
      </c>
      <c r="C4752" t="s">
        <v>16083</v>
      </c>
      <c r="D4752" t="s">
        <v>651</v>
      </c>
      <c r="E4752" t="s">
        <v>271</v>
      </c>
      <c r="F4752" t="s">
        <v>650</v>
      </c>
    </row>
    <row r="4753" spans="1:6" x14ac:dyDescent="0.25">
      <c r="A4753" t="s">
        <v>16084</v>
      </c>
      <c r="B4753" t="s">
        <v>16085</v>
      </c>
      <c r="C4753" t="s">
        <v>16086</v>
      </c>
      <c r="D4753" t="s">
        <v>0</v>
      </c>
      <c r="E4753" t="s">
        <v>271</v>
      </c>
      <c r="F4753" t="s">
        <v>1148</v>
      </c>
    </row>
    <row r="4754" spans="1:6" x14ac:dyDescent="0.25">
      <c r="A4754" t="s">
        <v>16087</v>
      </c>
      <c r="B4754" t="s">
        <v>16088</v>
      </c>
      <c r="C4754" t="s">
        <v>16089</v>
      </c>
      <c r="D4754" t="s">
        <v>9267</v>
      </c>
      <c r="E4754" t="s">
        <v>271</v>
      </c>
      <c r="F4754" t="s">
        <v>1924</v>
      </c>
    </row>
    <row r="4755" spans="1:6" x14ac:dyDescent="0.25">
      <c r="A4755" t="s">
        <v>16090</v>
      </c>
      <c r="B4755" t="s">
        <v>16091</v>
      </c>
      <c r="C4755" t="s">
        <v>16092</v>
      </c>
      <c r="D4755" t="s">
        <v>1079</v>
      </c>
      <c r="E4755" t="s">
        <v>271</v>
      </c>
      <c r="F4755" t="s">
        <v>1176</v>
      </c>
    </row>
    <row r="4756" spans="1:6" x14ac:dyDescent="0.25">
      <c r="A4756" t="s">
        <v>16093</v>
      </c>
      <c r="B4756" t="s">
        <v>3689</v>
      </c>
      <c r="C4756" t="s">
        <v>16094</v>
      </c>
      <c r="D4756" t="s">
        <v>3307</v>
      </c>
      <c r="E4756" t="s">
        <v>271</v>
      </c>
      <c r="F4756" t="s">
        <v>2768</v>
      </c>
    </row>
    <row r="4757" spans="1:6" x14ac:dyDescent="0.25">
      <c r="A4757" t="s">
        <v>16095</v>
      </c>
      <c r="B4757" t="s">
        <v>16096</v>
      </c>
      <c r="C4757" t="s">
        <v>16097</v>
      </c>
      <c r="D4757" t="s">
        <v>0</v>
      </c>
      <c r="E4757" t="s">
        <v>271</v>
      </c>
      <c r="F4757" t="s">
        <v>1141</v>
      </c>
    </row>
    <row r="4758" spans="1:6" x14ac:dyDescent="0.25">
      <c r="A4758" t="s">
        <v>16098</v>
      </c>
      <c r="B4758" t="s">
        <v>16099</v>
      </c>
      <c r="C4758" t="s">
        <v>16100</v>
      </c>
      <c r="D4758" t="s">
        <v>1019</v>
      </c>
      <c r="E4758" t="s">
        <v>271</v>
      </c>
      <c r="F4758" t="s">
        <v>1018</v>
      </c>
    </row>
    <row r="4759" spans="1:6" x14ac:dyDescent="0.25">
      <c r="A4759" t="s">
        <v>16101</v>
      </c>
      <c r="B4759" t="s">
        <v>16102</v>
      </c>
      <c r="C4759" t="s">
        <v>16103</v>
      </c>
      <c r="D4759" t="s">
        <v>0</v>
      </c>
      <c r="E4759" t="s">
        <v>271</v>
      </c>
      <c r="F4759" t="s">
        <v>562</v>
      </c>
    </row>
    <row r="4760" spans="1:6" x14ac:dyDescent="0.25">
      <c r="A4760" t="s">
        <v>16104</v>
      </c>
      <c r="B4760" t="s">
        <v>16105</v>
      </c>
      <c r="C4760" t="s">
        <v>16106</v>
      </c>
      <c r="D4760" t="s">
        <v>0</v>
      </c>
      <c r="E4760" t="s">
        <v>271</v>
      </c>
      <c r="F4760" t="s">
        <v>431</v>
      </c>
    </row>
    <row r="4761" spans="1:6" x14ac:dyDescent="0.25">
      <c r="A4761" t="s">
        <v>1897</v>
      </c>
      <c r="B4761" t="s">
        <v>1898</v>
      </c>
      <c r="C4761" t="s">
        <v>1901</v>
      </c>
      <c r="D4761" t="s">
        <v>1900</v>
      </c>
      <c r="E4761" t="s">
        <v>271</v>
      </c>
      <c r="F4761" t="s">
        <v>1899</v>
      </c>
    </row>
    <row r="4762" spans="1:6" x14ac:dyDescent="0.25">
      <c r="A4762" t="s">
        <v>16107</v>
      </c>
      <c r="B4762" t="s">
        <v>16108</v>
      </c>
      <c r="C4762" t="s">
        <v>16109</v>
      </c>
      <c r="D4762" t="s">
        <v>16110</v>
      </c>
      <c r="E4762" t="s">
        <v>457</v>
      </c>
      <c r="F4762" t="s">
        <v>16111</v>
      </c>
    </row>
    <row r="4763" spans="1:6" x14ac:dyDescent="0.25">
      <c r="A4763" t="s">
        <v>16112</v>
      </c>
      <c r="B4763" t="s">
        <v>16113</v>
      </c>
      <c r="C4763" t="s">
        <v>16114</v>
      </c>
      <c r="D4763" t="s">
        <v>312</v>
      </c>
      <c r="E4763" t="s">
        <v>271</v>
      </c>
      <c r="F4763" t="s">
        <v>311</v>
      </c>
    </row>
    <row r="4764" spans="1:6" x14ac:dyDescent="0.25">
      <c r="A4764" t="s">
        <v>16115</v>
      </c>
      <c r="B4764" t="s">
        <v>16116</v>
      </c>
      <c r="C4764" t="s">
        <v>16117</v>
      </c>
      <c r="D4764" t="s">
        <v>357</v>
      </c>
      <c r="E4764" t="s">
        <v>271</v>
      </c>
      <c r="F4764" t="s">
        <v>358</v>
      </c>
    </row>
    <row r="4765" spans="1:6" x14ac:dyDescent="0.25">
      <c r="A4765" t="s">
        <v>16118</v>
      </c>
      <c r="B4765" t="s">
        <v>16119</v>
      </c>
      <c r="C4765" t="s">
        <v>16120</v>
      </c>
      <c r="D4765" t="s">
        <v>668</v>
      </c>
      <c r="E4765" t="s">
        <v>271</v>
      </c>
      <c r="F4765" t="s">
        <v>667</v>
      </c>
    </row>
    <row r="4766" spans="1:6" x14ac:dyDescent="0.25">
      <c r="A4766" t="s">
        <v>2948</v>
      </c>
      <c r="B4766" t="s">
        <v>2949</v>
      </c>
      <c r="C4766" t="s">
        <v>2950</v>
      </c>
      <c r="D4766" t="s">
        <v>0</v>
      </c>
      <c r="E4766" t="s">
        <v>271</v>
      </c>
      <c r="F4766" t="s">
        <v>688</v>
      </c>
    </row>
    <row r="4767" spans="1:6" x14ac:dyDescent="0.25">
      <c r="A4767" t="s">
        <v>16121</v>
      </c>
      <c r="B4767" t="s">
        <v>16122</v>
      </c>
      <c r="C4767" t="s">
        <v>16123</v>
      </c>
      <c r="D4767" t="s">
        <v>0</v>
      </c>
      <c r="E4767" t="s">
        <v>271</v>
      </c>
      <c r="F4767" t="s">
        <v>4437</v>
      </c>
    </row>
    <row r="4768" spans="1:6" x14ac:dyDescent="0.25">
      <c r="A4768" t="s">
        <v>16124</v>
      </c>
      <c r="B4768" t="s">
        <v>16125</v>
      </c>
      <c r="C4768" t="s">
        <v>16126</v>
      </c>
      <c r="D4768" t="s">
        <v>0</v>
      </c>
      <c r="E4768" t="s">
        <v>271</v>
      </c>
      <c r="F4768" t="s">
        <v>575</v>
      </c>
    </row>
    <row r="4769" spans="1:6" x14ac:dyDescent="0.25">
      <c r="A4769" t="s">
        <v>16127</v>
      </c>
      <c r="B4769" t="s">
        <v>16128</v>
      </c>
      <c r="C4769" t="s">
        <v>16129</v>
      </c>
      <c r="D4769" t="s">
        <v>668</v>
      </c>
      <c r="E4769" t="s">
        <v>271</v>
      </c>
      <c r="F4769" t="s">
        <v>667</v>
      </c>
    </row>
    <row r="4770" spans="1:6" x14ac:dyDescent="0.25">
      <c r="A4770" t="s">
        <v>16130</v>
      </c>
      <c r="B4770" t="s">
        <v>16131</v>
      </c>
      <c r="C4770" t="s">
        <v>16132</v>
      </c>
      <c r="D4770" t="s">
        <v>500</v>
      </c>
      <c r="E4770" t="s">
        <v>271</v>
      </c>
      <c r="F4770" t="s">
        <v>501</v>
      </c>
    </row>
    <row r="4771" spans="1:6" x14ac:dyDescent="0.25">
      <c r="A4771" t="s">
        <v>16133</v>
      </c>
      <c r="B4771" t="s">
        <v>16134</v>
      </c>
      <c r="C4771" t="s">
        <v>16135</v>
      </c>
      <c r="D4771" t="s">
        <v>461</v>
      </c>
      <c r="E4771" t="s">
        <v>271</v>
      </c>
      <c r="F4771" t="s">
        <v>336</v>
      </c>
    </row>
    <row r="4772" spans="1:6" x14ac:dyDescent="0.25">
      <c r="A4772" t="s">
        <v>16136</v>
      </c>
      <c r="B4772" t="s">
        <v>16137</v>
      </c>
      <c r="C4772" t="s">
        <v>16138</v>
      </c>
      <c r="D4772" t="s">
        <v>0</v>
      </c>
      <c r="E4772" t="s">
        <v>271</v>
      </c>
      <c r="F4772" t="s">
        <v>323</v>
      </c>
    </row>
    <row r="4773" spans="1:6" x14ac:dyDescent="0.25">
      <c r="A4773" t="s">
        <v>16139</v>
      </c>
      <c r="B4773" t="s">
        <v>16140</v>
      </c>
      <c r="C4773" t="s">
        <v>16141</v>
      </c>
      <c r="D4773" t="s">
        <v>451</v>
      </c>
      <c r="E4773" t="s">
        <v>271</v>
      </c>
      <c r="F4773" t="s">
        <v>433</v>
      </c>
    </row>
    <row r="4774" spans="1:6" x14ac:dyDescent="0.25">
      <c r="A4774" t="s">
        <v>1556</v>
      </c>
      <c r="B4774" t="s">
        <v>1557</v>
      </c>
      <c r="C4774" t="s">
        <v>1560</v>
      </c>
      <c r="D4774" t="s">
        <v>1559</v>
      </c>
      <c r="E4774" t="s">
        <v>271</v>
      </c>
      <c r="F4774" t="s">
        <v>1558</v>
      </c>
    </row>
    <row r="4775" spans="1:6" x14ac:dyDescent="0.25">
      <c r="A4775" t="s">
        <v>16142</v>
      </c>
      <c r="B4775" t="s">
        <v>16143</v>
      </c>
      <c r="C4775" t="s">
        <v>5417</v>
      </c>
      <c r="D4775" t="s">
        <v>1079</v>
      </c>
      <c r="E4775" t="s">
        <v>271</v>
      </c>
      <c r="F4775" t="s">
        <v>3880</v>
      </c>
    </row>
    <row r="4776" spans="1:6" x14ac:dyDescent="0.25">
      <c r="A4776" t="s">
        <v>16144</v>
      </c>
      <c r="B4776" t="s">
        <v>16145</v>
      </c>
      <c r="C4776" t="s">
        <v>16146</v>
      </c>
      <c r="D4776" t="s">
        <v>5591</v>
      </c>
      <c r="E4776" t="s">
        <v>269</v>
      </c>
      <c r="F4776" t="s">
        <v>1742</v>
      </c>
    </row>
    <row r="4777" spans="1:6" x14ac:dyDescent="0.25">
      <c r="A4777" t="s">
        <v>16147</v>
      </c>
      <c r="B4777" t="s">
        <v>16148</v>
      </c>
      <c r="C4777" t="s">
        <v>16149</v>
      </c>
      <c r="D4777" t="s">
        <v>835</v>
      </c>
      <c r="E4777" t="s">
        <v>269</v>
      </c>
      <c r="F4777" t="s">
        <v>834</v>
      </c>
    </row>
    <row r="4778" spans="1:6" x14ac:dyDescent="0.25">
      <c r="A4778" t="s">
        <v>16150</v>
      </c>
      <c r="B4778" t="s">
        <v>16151</v>
      </c>
      <c r="C4778" t="s">
        <v>16152</v>
      </c>
      <c r="D4778" t="s">
        <v>1915</v>
      </c>
      <c r="E4778" t="s">
        <v>269</v>
      </c>
      <c r="F4778" t="s">
        <v>1914</v>
      </c>
    </row>
    <row r="4779" spans="1:6" x14ac:dyDescent="0.25">
      <c r="A4779" t="s">
        <v>16153</v>
      </c>
      <c r="B4779" t="s">
        <v>16154</v>
      </c>
      <c r="C4779" t="s">
        <v>16155</v>
      </c>
      <c r="D4779" t="s">
        <v>1743</v>
      </c>
      <c r="E4779" t="s">
        <v>269</v>
      </c>
      <c r="F4779" t="s">
        <v>1742</v>
      </c>
    </row>
    <row r="4780" spans="1:6" x14ac:dyDescent="0.25">
      <c r="A4780" t="s">
        <v>16156</v>
      </c>
      <c r="B4780" t="s">
        <v>6046</v>
      </c>
      <c r="C4780" t="s">
        <v>16157</v>
      </c>
      <c r="D4780" t="s">
        <v>450</v>
      </c>
      <c r="E4780" t="s">
        <v>271</v>
      </c>
      <c r="F4780" t="s">
        <v>326</v>
      </c>
    </row>
    <row r="4781" spans="1:6" x14ac:dyDescent="0.25">
      <c r="A4781" t="s">
        <v>16158</v>
      </c>
      <c r="B4781" t="s">
        <v>7846</v>
      </c>
      <c r="C4781" t="s">
        <v>7847</v>
      </c>
      <c r="D4781" t="s">
        <v>498</v>
      </c>
      <c r="E4781" t="s">
        <v>271</v>
      </c>
      <c r="F4781" t="s">
        <v>926</v>
      </c>
    </row>
    <row r="4782" spans="1:6" x14ac:dyDescent="0.25">
      <c r="A4782" t="s">
        <v>16159</v>
      </c>
      <c r="B4782" t="s">
        <v>16160</v>
      </c>
      <c r="C4782" t="s">
        <v>16161</v>
      </c>
      <c r="D4782" t="s">
        <v>3343</v>
      </c>
      <c r="E4782" t="s">
        <v>271</v>
      </c>
      <c r="F4782" t="s">
        <v>3342</v>
      </c>
    </row>
    <row r="4783" spans="1:6" x14ac:dyDescent="0.25">
      <c r="A4783" t="s">
        <v>16162</v>
      </c>
      <c r="B4783" t="s">
        <v>16163</v>
      </c>
      <c r="C4783" t="s">
        <v>16164</v>
      </c>
      <c r="D4783" t="s">
        <v>246</v>
      </c>
      <c r="E4783" t="s">
        <v>271</v>
      </c>
      <c r="F4783" t="s">
        <v>426</v>
      </c>
    </row>
    <row r="4784" spans="1:6" x14ac:dyDescent="0.25">
      <c r="A4784" t="s">
        <v>16165</v>
      </c>
      <c r="B4784" t="s">
        <v>16166</v>
      </c>
      <c r="C4784" t="s">
        <v>16167</v>
      </c>
      <c r="D4784" t="s">
        <v>0</v>
      </c>
      <c r="E4784" t="s">
        <v>271</v>
      </c>
      <c r="F4784" t="s">
        <v>436</v>
      </c>
    </row>
    <row r="4785" spans="1:6" x14ac:dyDescent="0.25">
      <c r="A4785" t="s">
        <v>1272</v>
      </c>
      <c r="B4785" t="s">
        <v>1273</v>
      </c>
      <c r="C4785" t="s">
        <v>1274</v>
      </c>
      <c r="D4785" t="s">
        <v>0</v>
      </c>
      <c r="E4785" t="s">
        <v>271</v>
      </c>
      <c r="F4785" t="s">
        <v>436</v>
      </c>
    </row>
    <row r="4786" spans="1:6" x14ac:dyDescent="0.25">
      <c r="A4786" t="s">
        <v>16168</v>
      </c>
      <c r="B4786" t="s">
        <v>16169</v>
      </c>
      <c r="C4786" t="s">
        <v>16170</v>
      </c>
      <c r="D4786" t="s">
        <v>0</v>
      </c>
      <c r="E4786" t="s">
        <v>271</v>
      </c>
      <c r="F4786" t="s">
        <v>319</v>
      </c>
    </row>
    <row r="4787" spans="1:6" x14ac:dyDescent="0.25">
      <c r="A4787" t="s">
        <v>16171</v>
      </c>
      <c r="B4787" t="s">
        <v>16172</v>
      </c>
      <c r="C4787" t="s">
        <v>16173</v>
      </c>
      <c r="D4787" t="s">
        <v>0</v>
      </c>
      <c r="E4787" t="s">
        <v>271</v>
      </c>
      <c r="F4787" t="s">
        <v>319</v>
      </c>
    </row>
    <row r="4788" spans="1:6" x14ac:dyDescent="0.25">
      <c r="A4788" t="s">
        <v>16174</v>
      </c>
      <c r="B4788" t="s">
        <v>16175</v>
      </c>
      <c r="C4788" t="s">
        <v>16176</v>
      </c>
      <c r="D4788" t="s">
        <v>498</v>
      </c>
      <c r="E4788" t="s">
        <v>271</v>
      </c>
      <c r="F4788" t="s">
        <v>926</v>
      </c>
    </row>
    <row r="4789" spans="1:6" x14ac:dyDescent="0.25">
      <c r="A4789" t="s">
        <v>16177</v>
      </c>
      <c r="B4789" t="s">
        <v>16178</v>
      </c>
      <c r="C4789" t="s">
        <v>16179</v>
      </c>
      <c r="D4789" t="s">
        <v>1165</v>
      </c>
      <c r="E4789" t="s">
        <v>271</v>
      </c>
      <c r="F4789" t="s">
        <v>1164</v>
      </c>
    </row>
    <row r="4790" spans="1:6" x14ac:dyDescent="0.25">
      <c r="A4790" t="s">
        <v>862</v>
      </c>
      <c r="B4790" t="s">
        <v>863</v>
      </c>
      <c r="C4790" t="s">
        <v>864</v>
      </c>
      <c r="D4790" t="s">
        <v>490</v>
      </c>
      <c r="E4790" t="s">
        <v>271</v>
      </c>
      <c r="F4790" t="s">
        <v>491</v>
      </c>
    </row>
    <row r="4791" spans="1:6" x14ac:dyDescent="0.25">
      <c r="A4791" t="s">
        <v>16180</v>
      </c>
      <c r="B4791" t="s">
        <v>16181</v>
      </c>
      <c r="C4791" t="s">
        <v>16182</v>
      </c>
      <c r="D4791" t="s">
        <v>2488</v>
      </c>
      <c r="E4791" t="s">
        <v>269</v>
      </c>
      <c r="F4791" t="s">
        <v>3091</v>
      </c>
    </row>
    <row r="4792" spans="1:6" x14ac:dyDescent="0.25">
      <c r="A4792" t="s">
        <v>3459</v>
      </c>
      <c r="B4792" t="s">
        <v>3460</v>
      </c>
      <c r="C4792" t="s">
        <v>3461</v>
      </c>
      <c r="D4792" t="s">
        <v>314</v>
      </c>
      <c r="E4792" t="s">
        <v>271</v>
      </c>
      <c r="F4792" t="s">
        <v>370</v>
      </c>
    </row>
    <row r="4793" spans="1:6" x14ac:dyDescent="0.25">
      <c r="A4793" t="s">
        <v>3519</v>
      </c>
      <c r="B4793" t="s">
        <v>3520</v>
      </c>
      <c r="C4793" t="s">
        <v>3521</v>
      </c>
      <c r="D4793" t="s">
        <v>223</v>
      </c>
      <c r="E4793" t="s">
        <v>271</v>
      </c>
      <c r="F4793" t="s">
        <v>478</v>
      </c>
    </row>
    <row r="4794" spans="1:6" x14ac:dyDescent="0.25">
      <c r="A4794" t="s">
        <v>16183</v>
      </c>
      <c r="B4794" t="s">
        <v>16184</v>
      </c>
      <c r="C4794" t="s">
        <v>16185</v>
      </c>
      <c r="D4794" t="s">
        <v>498</v>
      </c>
      <c r="E4794" t="s">
        <v>271</v>
      </c>
      <c r="F4794" t="s">
        <v>926</v>
      </c>
    </row>
    <row r="4795" spans="1:6" x14ac:dyDescent="0.25">
      <c r="A4795" t="s">
        <v>16186</v>
      </c>
      <c r="B4795" t="s">
        <v>16187</v>
      </c>
      <c r="C4795" t="s">
        <v>16188</v>
      </c>
      <c r="D4795" t="s">
        <v>0</v>
      </c>
      <c r="E4795" t="s">
        <v>271</v>
      </c>
      <c r="F4795" t="s">
        <v>562</v>
      </c>
    </row>
    <row r="4796" spans="1:6" x14ac:dyDescent="0.25">
      <c r="A4796" t="s">
        <v>16189</v>
      </c>
      <c r="B4796" t="s">
        <v>16190</v>
      </c>
      <c r="C4796" t="s">
        <v>16191</v>
      </c>
      <c r="D4796" t="s">
        <v>2908</v>
      </c>
      <c r="E4796" t="s">
        <v>271</v>
      </c>
      <c r="F4796" t="s">
        <v>2470</v>
      </c>
    </row>
    <row r="4797" spans="1:6" x14ac:dyDescent="0.25">
      <c r="A4797" t="s">
        <v>16192</v>
      </c>
      <c r="B4797" t="s">
        <v>16193</v>
      </c>
      <c r="C4797" t="s">
        <v>16194</v>
      </c>
      <c r="D4797" t="s">
        <v>540</v>
      </c>
      <c r="E4797" t="s">
        <v>271</v>
      </c>
      <c r="F4797" t="s">
        <v>339</v>
      </c>
    </row>
    <row r="4798" spans="1:6" x14ac:dyDescent="0.25">
      <c r="A4798" t="s">
        <v>16195</v>
      </c>
      <c r="B4798" t="s">
        <v>16196</v>
      </c>
      <c r="C4798" t="s">
        <v>16197</v>
      </c>
      <c r="D4798" t="s">
        <v>556</v>
      </c>
      <c r="E4798" t="s">
        <v>271</v>
      </c>
      <c r="F4798" t="s">
        <v>1567</v>
      </c>
    </row>
    <row r="4799" spans="1:6" x14ac:dyDescent="0.25">
      <c r="A4799" t="s">
        <v>16198</v>
      </c>
      <c r="B4799" t="s">
        <v>16199</v>
      </c>
      <c r="C4799" t="s">
        <v>16200</v>
      </c>
      <c r="D4799" t="s">
        <v>0</v>
      </c>
      <c r="E4799" t="s">
        <v>271</v>
      </c>
      <c r="F4799" t="s">
        <v>332</v>
      </c>
    </row>
    <row r="4800" spans="1:6" x14ac:dyDescent="0.25">
      <c r="A4800" t="s">
        <v>16201</v>
      </c>
      <c r="B4800" t="s">
        <v>16202</v>
      </c>
      <c r="C4800" t="s">
        <v>16203</v>
      </c>
      <c r="D4800" t="s">
        <v>0</v>
      </c>
      <c r="E4800" t="s">
        <v>271</v>
      </c>
      <c r="F4800" t="s">
        <v>356</v>
      </c>
    </row>
    <row r="4801" spans="1:6" x14ac:dyDescent="0.25">
      <c r="A4801" t="s">
        <v>16204</v>
      </c>
      <c r="B4801" t="s">
        <v>7732</v>
      </c>
      <c r="C4801" t="s">
        <v>15077</v>
      </c>
      <c r="D4801" t="s">
        <v>2714</v>
      </c>
      <c r="E4801" t="s">
        <v>271</v>
      </c>
      <c r="F4801" t="s">
        <v>2713</v>
      </c>
    </row>
    <row r="4802" spans="1:6" x14ac:dyDescent="0.25">
      <c r="A4802" t="s">
        <v>16205</v>
      </c>
      <c r="B4802" t="s">
        <v>16206</v>
      </c>
      <c r="C4802" t="s">
        <v>16207</v>
      </c>
      <c r="D4802" t="s">
        <v>498</v>
      </c>
      <c r="E4802" t="s">
        <v>271</v>
      </c>
      <c r="F4802" t="s">
        <v>926</v>
      </c>
    </row>
    <row r="4803" spans="1:6" x14ac:dyDescent="0.25">
      <c r="A4803" t="s">
        <v>16208</v>
      </c>
      <c r="B4803" t="s">
        <v>16209</v>
      </c>
      <c r="C4803" t="s">
        <v>16210</v>
      </c>
      <c r="D4803" t="s">
        <v>916</v>
      </c>
      <c r="E4803" t="s">
        <v>271</v>
      </c>
      <c r="F4803" t="s">
        <v>915</v>
      </c>
    </row>
    <row r="4804" spans="1:6" x14ac:dyDescent="0.25">
      <c r="A4804" t="s">
        <v>16211</v>
      </c>
      <c r="B4804" t="s">
        <v>221</v>
      </c>
      <c r="C4804" t="s">
        <v>16212</v>
      </c>
      <c r="D4804" t="s">
        <v>5454</v>
      </c>
      <c r="E4804" t="s">
        <v>271</v>
      </c>
      <c r="F4804" t="s">
        <v>4425</v>
      </c>
    </row>
    <row r="4805" spans="1:6" x14ac:dyDescent="0.25">
      <c r="A4805" t="s">
        <v>3258</v>
      </c>
      <c r="B4805" t="s">
        <v>3259</v>
      </c>
      <c r="C4805" t="s">
        <v>3260</v>
      </c>
      <c r="D4805" t="s">
        <v>510</v>
      </c>
      <c r="E4805" t="s">
        <v>271</v>
      </c>
      <c r="F4805" t="s">
        <v>437</v>
      </c>
    </row>
    <row r="4806" spans="1:6" x14ac:dyDescent="0.25">
      <c r="A4806" t="s">
        <v>16213</v>
      </c>
      <c r="B4806" t="s">
        <v>16214</v>
      </c>
      <c r="C4806" t="s">
        <v>16215</v>
      </c>
      <c r="D4806" t="s">
        <v>2940</v>
      </c>
      <c r="E4806" t="s">
        <v>271</v>
      </c>
      <c r="F4806" t="s">
        <v>2939</v>
      </c>
    </row>
    <row r="4807" spans="1:6" x14ac:dyDescent="0.25">
      <c r="A4807" t="s">
        <v>16216</v>
      </c>
      <c r="B4807" t="s">
        <v>16217</v>
      </c>
      <c r="C4807" t="s">
        <v>16218</v>
      </c>
      <c r="D4807" t="s">
        <v>586</v>
      </c>
      <c r="E4807" t="s">
        <v>271</v>
      </c>
      <c r="F4807" t="s">
        <v>662</v>
      </c>
    </row>
    <row r="4808" spans="1:6" x14ac:dyDescent="0.25">
      <c r="A4808" t="s">
        <v>3230</v>
      </c>
      <c r="B4808" t="s">
        <v>3231</v>
      </c>
      <c r="C4808" t="s">
        <v>3232</v>
      </c>
      <c r="D4808" t="s">
        <v>967</v>
      </c>
      <c r="E4808" t="s">
        <v>271</v>
      </c>
      <c r="F4808" t="s">
        <v>966</v>
      </c>
    </row>
    <row r="4809" spans="1:6" x14ac:dyDescent="0.25">
      <c r="A4809" t="s">
        <v>16219</v>
      </c>
      <c r="B4809" t="s">
        <v>16220</v>
      </c>
      <c r="C4809" t="s">
        <v>16221</v>
      </c>
      <c r="D4809" t="s">
        <v>266</v>
      </c>
      <c r="E4809" t="s">
        <v>271</v>
      </c>
      <c r="F4809" t="s">
        <v>4439</v>
      </c>
    </row>
    <row r="4810" spans="1:6" x14ac:dyDescent="0.25">
      <c r="A4810" t="s">
        <v>16222</v>
      </c>
      <c r="B4810" t="s">
        <v>16223</v>
      </c>
      <c r="C4810" t="s">
        <v>16224</v>
      </c>
      <c r="D4810" t="s">
        <v>1638</v>
      </c>
      <c r="E4810" t="s">
        <v>271</v>
      </c>
      <c r="F4810" t="s">
        <v>1637</v>
      </c>
    </row>
    <row r="4811" spans="1:6" x14ac:dyDescent="0.25">
      <c r="A4811" t="s">
        <v>16225</v>
      </c>
      <c r="B4811" t="s">
        <v>16226</v>
      </c>
      <c r="C4811" t="s">
        <v>16227</v>
      </c>
      <c r="D4811" t="s">
        <v>314</v>
      </c>
      <c r="E4811" t="s">
        <v>271</v>
      </c>
      <c r="F4811" t="s">
        <v>352</v>
      </c>
    </row>
    <row r="4812" spans="1:6" x14ac:dyDescent="0.25">
      <c r="A4812" t="s">
        <v>16228</v>
      </c>
      <c r="B4812" t="s">
        <v>16229</v>
      </c>
      <c r="C4812" t="s">
        <v>16230</v>
      </c>
      <c r="D4812" t="s">
        <v>1032</v>
      </c>
      <c r="E4812" t="s">
        <v>271</v>
      </c>
      <c r="F4812" t="s">
        <v>1031</v>
      </c>
    </row>
    <row r="4813" spans="1:6" x14ac:dyDescent="0.25">
      <c r="A4813" t="s">
        <v>16231</v>
      </c>
      <c r="B4813" t="s">
        <v>11853</v>
      </c>
      <c r="C4813" t="s">
        <v>604</v>
      </c>
      <c r="D4813" t="s">
        <v>246</v>
      </c>
      <c r="E4813" t="s">
        <v>271</v>
      </c>
      <c r="F4813" t="s">
        <v>426</v>
      </c>
    </row>
    <row r="4814" spans="1:6" x14ac:dyDescent="0.25">
      <c r="A4814" t="s">
        <v>16232</v>
      </c>
      <c r="B4814" t="s">
        <v>16233</v>
      </c>
      <c r="C4814" t="s">
        <v>16234</v>
      </c>
      <c r="D4814" t="s">
        <v>1601</v>
      </c>
      <c r="E4814" t="s">
        <v>269</v>
      </c>
      <c r="F4814" t="s">
        <v>2243</v>
      </c>
    </row>
    <row r="4815" spans="1:6" x14ac:dyDescent="0.25">
      <c r="A4815" t="s">
        <v>16235</v>
      </c>
      <c r="B4815" t="s">
        <v>16236</v>
      </c>
      <c r="C4815" t="s">
        <v>16237</v>
      </c>
      <c r="D4815" t="s">
        <v>4840</v>
      </c>
      <c r="E4815" t="s">
        <v>271</v>
      </c>
      <c r="F4815" t="s">
        <v>16238</v>
      </c>
    </row>
    <row r="4816" spans="1:6" x14ac:dyDescent="0.25">
      <c r="A4816" t="s">
        <v>16239</v>
      </c>
      <c r="B4816" t="s">
        <v>16240</v>
      </c>
      <c r="C4816" t="s">
        <v>16241</v>
      </c>
      <c r="D4816" t="s">
        <v>1079</v>
      </c>
      <c r="E4816" t="s">
        <v>271</v>
      </c>
      <c r="F4816" t="s">
        <v>1747</v>
      </c>
    </row>
    <row r="4817" spans="1:6" x14ac:dyDescent="0.25">
      <c r="A4817" t="s">
        <v>16242</v>
      </c>
      <c r="B4817" t="s">
        <v>16243</v>
      </c>
      <c r="C4817" t="s">
        <v>16244</v>
      </c>
      <c r="D4817" t="s">
        <v>1297</v>
      </c>
      <c r="E4817" t="s">
        <v>271</v>
      </c>
      <c r="F4817" t="s">
        <v>996</v>
      </c>
    </row>
    <row r="4818" spans="1:6" x14ac:dyDescent="0.25">
      <c r="A4818" t="s">
        <v>16245</v>
      </c>
      <c r="B4818" t="s">
        <v>16246</v>
      </c>
      <c r="C4818" t="s">
        <v>11899</v>
      </c>
      <c r="D4818" t="s">
        <v>1137</v>
      </c>
      <c r="E4818" t="s">
        <v>269</v>
      </c>
      <c r="F4818" t="s">
        <v>1136</v>
      </c>
    </row>
    <row r="4819" spans="1:6" x14ac:dyDescent="0.25">
      <c r="A4819" t="s">
        <v>16247</v>
      </c>
      <c r="B4819" t="s">
        <v>16248</v>
      </c>
      <c r="C4819" t="s">
        <v>13539</v>
      </c>
      <c r="D4819" t="s">
        <v>0</v>
      </c>
      <c r="E4819" t="s">
        <v>271</v>
      </c>
      <c r="F4819" t="s">
        <v>1277</v>
      </c>
    </row>
    <row r="4820" spans="1:6" x14ac:dyDescent="0.25">
      <c r="A4820" t="s">
        <v>16249</v>
      </c>
      <c r="B4820" t="s">
        <v>16250</v>
      </c>
      <c r="C4820" t="s">
        <v>16251</v>
      </c>
      <c r="D4820" t="s">
        <v>3291</v>
      </c>
      <c r="E4820" t="s">
        <v>271</v>
      </c>
      <c r="F4820" t="s">
        <v>3290</v>
      </c>
    </row>
    <row r="4821" spans="1:6" x14ac:dyDescent="0.25">
      <c r="A4821" t="s">
        <v>16252</v>
      </c>
      <c r="B4821" t="s">
        <v>16253</v>
      </c>
      <c r="C4821" t="s">
        <v>16254</v>
      </c>
      <c r="D4821" t="s">
        <v>498</v>
      </c>
      <c r="E4821" t="s">
        <v>271</v>
      </c>
      <c r="F4821" t="s">
        <v>926</v>
      </c>
    </row>
    <row r="4822" spans="1:6" x14ac:dyDescent="0.25">
      <c r="A4822" t="s">
        <v>16255</v>
      </c>
      <c r="B4822" t="s">
        <v>16256</v>
      </c>
      <c r="C4822" t="s">
        <v>16257</v>
      </c>
      <c r="D4822" t="s">
        <v>1165</v>
      </c>
      <c r="E4822" t="s">
        <v>271</v>
      </c>
      <c r="F4822" t="s">
        <v>1402</v>
      </c>
    </row>
    <row r="4823" spans="1:6" x14ac:dyDescent="0.25">
      <c r="A4823" t="s">
        <v>16258</v>
      </c>
      <c r="B4823" t="s">
        <v>16259</v>
      </c>
      <c r="C4823" t="s">
        <v>16260</v>
      </c>
      <c r="D4823" t="s">
        <v>0</v>
      </c>
      <c r="E4823" t="s">
        <v>271</v>
      </c>
      <c r="F4823" t="s">
        <v>323</v>
      </c>
    </row>
    <row r="4824" spans="1:6" x14ac:dyDescent="0.25">
      <c r="A4824" t="s">
        <v>16261</v>
      </c>
      <c r="B4824" t="s">
        <v>16262</v>
      </c>
      <c r="C4824" t="s">
        <v>16263</v>
      </c>
      <c r="D4824" t="s">
        <v>1413</v>
      </c>
      <c r="E4824" t="s">
        <v>271</v>
      </c>
      <c r="F4824" t="s">
        <v>1412</v>
      </c>
    </row>
    <row r="4825" spans="1:6" x14ac:dyDescent="0.25">
      <c r="A4825" t="s">
        <v>16264</v>
      </c>
      <c r="B4825" t="s">
        <v>16265</v>
      </c>
      <c r="C4825" t="s">
        <v>16266</v>
      </c>
      <c r="D4825" t="s">
        <v>1665</v>
      </c>
      <c r="E4825" t="s">
        <v>271</v>
      </c>
      <c r="F4825" t="s">
        <v>1664</v>
      </c>
    </row>
    <row r="4826" spans="1:6" x14ac:dyDescent="0.25">
      <c r="A4826" t="s">
        <v>16267</v>
      </c>
      <c r="B4826" t="s">
        <v>16268</v>
      </c>
      <c r="C4826" t="s">
        <v>16269</v>
      </c>
      <c r="D4826" t="s">
        <v>1165</v>
      </c>
      <c r="E4826" t="s">
        <v>271</v>
      </c>
      <c r="F4826" t="s">
        <v>1164</v>
      </c>
    </row>
    <row r="4827" spans="1:6" x14ac:dyDescent="0.25">
      <c r="A4827" t="s">
        <v>16270</v>
      </c>
      <c r="B4827" t="s">
        <v>16271</v>
      </c>
      <c r="C4827" t="s">
        <v>16272</v>
      </c>
      <c r="D4827" t="s">
        <v>340</v>
      </c>
      <c r="E4827" t="s">
        <v>271</v>
      </c>
      <c r="F4827" t="s">
        <v>317</v>
      </c>
    </row>
    <row r="4828" spans="1:6" x14ac:dyDescent="0.25">
      <c r="A4828" t="s">
        <v>16273</v>
      </c>
      <c r="B4828" t="s">
        <v>16274</v>
      </c>
      <c r="C4828" t="s">
        <v>16275</v>
      </c>
      <c r="D4828" t="s">
        <v>314</v>
      </c>
      <c r="E4828" t="s">
        <v>271</v>
      </c>
      <c r="F4828" t="s">
        <v>352</v>
      </c>
    </row>
    <row r="4829" spans="1:6" x14ac:dyDescent="0.25">
      <c r="A4829" t="s">
        <v>1355</v>
      </c>
      <c r="B4829" t="s">
        <v>1356</v>
      </c>
      <c r="C4829" t="s">
        <v>1357</v>
      </c>
      <c r="D4829" t="s">
        <v>416</v>
      </c>
      <c r="E4829" t="s">
        <v>271</v>
      </c>
      <c r="F4829" t="s">
        <v>439</v>
      </c>
    </row>
    <row r="4830" spans="1:6" x14ac:dyDescent="0.25">
      <c r="A4830" t="s">
        <v>16276</v>
      </c>
      <c r="B4830" t="s">
        <v>16277</v>
      </c>
      <c r="C4830" t="s">
        <v>16278</v>
      </c>
      <c r="D4830" t="s">
        <v>1079</v>
      </c>
      <c r="E4830" t="s">
        <v>271</v>
      </c>
      <c r="F4830" t="s">
        <v>3880</v>
      </c>
    </row>
    <row r="4831" spans="1:6" x14ac:dyDescent="0.25">
      <c r="A4831" t="s">
        <v>2331</v>
      </c>
      <c r="B4831" t="s">
        <v>2332</v>
      </c>
      <c r="C4831" t="s">
        <v>2333</v>
      </c>
      <c r="D4831" t="s">
        <v>0</v>
      </c>
      <c r="E4831" t="s">
        <v>271</v>
      </c>
      <c r="F4831" t="s">
        <v>658</v>
      </c>
    </row>
    <row r="4832" spans="1:6" x14ac:dyDescent="0.25">
      <c r="A4832" t="s">
        <v>16279</v>
      </c>
      <c r="B4832" t="s">
        <v>16280</v>
      </c>
      <c r="C4832" t="s">
        <v>14967</v>
      </c>
      <c r="D4832" t="s">
        <v>1559</v>
      </c>
      <c r="E4832" t="s">
        <v>271</v>
      </c>
      <c r="F4832" t="s">
        <v>1558</v>
      </c>
    </row>
    <row r="4833" spans="1:6" x14ac:dyDescent="0.25">
      <c r="A4833" t="s">
        <v>16281</v>
      </c>
      <c r="B4833" t="s">
        <v>16282</v>
      </c>
      <c r="C4833" t="s">
        <v>16283</v>
      </c>
      <c r="D4833" t="s">
        <v>466</v>
      </c>
      <c r="E4833" t="s">
        <v>271</v>
      </c>
      <c r="F4833" t="s">
        <v>434</v>
      </c>
    </row>
    <row r="4834" spans="1:6" x14ac:dyDescent="0.25">
      <c r="A4834" t="s">
        <v>16284</v>
      </c>
      <c r="B4834" t="s">
        <v>465</v>
      </c>
      <c r="C4834" t="s">
        <v>16285</v>
      </c>
      <c r="D4834" t="s">
        <v>466</v>
      </c>
      <c r="E4834" t="s">
        <v>271</v>
      </c>
      <c r="F4834" t="s">
        <v>434</v>
      </c>
    </row>
    <row r="4835" spans="1:6" x14ac:dyDescent="0.25">
      <c r="A4835" t="s">
        <v>16286</v>
      </c>
      <c r="B4835" t="s">
        <v>16287</v>
      </c>
      <c r="C4835" t="s">
        <v>16288</v>
      </c>
      <c r="D4835" t="s">
        <v>0</v>
      </c>
      <c r="E4835" t="s">
        <v>271</v>
      </c>
      <c r="F4835" t="s">
        <v>4382</v>
      </c>
    </row>
    <row r="4836" spans="1:6" x14ac:dyDescent="0.25">
      <c r="A4836" t="s">
        <v>16289</v>
      </c>
      <c r="B4836" t="s">
        <v>16290</v>
      </c>
      <c r="C4836" t="s">
        <v>16291</v>
      </c>
      <c r="D4836" t="s">
        <v>699</v>
      </c>
      <c r="E4836" t="s">
        <v>269</v>
      </c>
      <c r="F4836" t="s">
        <v>698</v>
      </c>
    </row>
    <row r="4837" spans="1:6" x14ac:dyDescent="0.25">
      <c r="A4837" t="s">
        <v>16292</v>
      </c>
      <c r="B4837" t="s">
        <v>16293</v>
      </c>
      <c r="C4837" t="s">
        <v>16294</v>
      </c>
      <c r="D4837" t="s">
        <v>314</v>
      </c>
      <c r="E4837" t="s">
        <v>271</v>
      </c>
      <c r="F4837" t="s">
        <v>352</v>
      </c>
    </row>
    <row r="4838" spans="1:6" x14ac:dyDescent="0.25">
      <c r="A4838" t="s">
        <v>728</v>
      </c>
      <c r="B4838" t="s">
        <v>729</v>
      </c>
      <c r="C4838" t="s">
        <v>732</v>
      </c>
      <c r="D4838" t="s">
        <v>0</v>
      </c>
      <c r="E4838" t="s">
        <v>271</v>
      </c>
      <c r="F4838" t="s">
        <v>731</v>
      </c>
    </row>
    <row r="4839" spans="1:6" x14ac:dyDescent="0.25">
      <c r="A4839" t="s">
        <v>681</v>
      </c>
      <c r="B4839" t="s">
        <v>682</v>
      </c>
      <c r="C4839" t="s">
        <v>685</v>
      </c>
      <c r="D4839" t="s">
        <v>345</v>
      </c>
      <c r="E4839" t="s">
        <v>269</v>
      </c>
      <c r="F4839" t="s">
        <v>684</v>
      </c>
    </row>
    <row r="4840" spans="1:6" x14ac:dyDescent="0.25">
      <c r="A4840" t="s">
        <v>16295</v>
      </c>
      <c r="B4840" t="s">
        <v>16296</v>
      </c>
      <c r="C4840" t="s">
        <v>16297</v>
      </c>
      <c r="D4840" t="s">
        <v>1925</v>
      </c>
      <c r="E4840" t="s">
        <v>271</v>
      </c>
      <c r="F4840" t="s">
        <v>1924</v>
      </c>
    </row>
    <row r="4841" spans="1:6" x14ac:dyDescent="0.25">
      <c r="A4841" t="s">
        <v>16298</v>
      </c>
      <c r="B4841" t="s">
        <v>16299</v>
      </c>
      <c r="C4841" t="s">
        <v>16300</v>
      </c>
      <c r="D4841" t="s">
        <v>502</v>
      </c>
      <c r="E4841" t="s">
        <v>271</v>
      </c>
      <c r="F4841" t="s">
        <v>425</v>
      </c>
    </row>
    <row r="4842" spans="1:6" x14ac:dyDescent="0.25">
      <c r="A4842" t="s">
        <v>3337</v>
      </c>
      <c r="B4842" t="s">
        <v>3338</v>
      </c>
      <c r="C4842" t="s">
        <v>3339</v>
      </c>
      <c r="D4842" t="s">
        <v>416</v>
      </c>
      <c r="E4842" t="s">
        <v>271</v>
      </c>
      <c r="F4842" t="s">
        <v>439</v>
      </c>
    </row>
    <row r="4843" spans="1:6" x14ac:dyDescent="0.25">
      <c r="A4843" t="s">
        <v>837</v>
      </c>
      <c r="B4843" t="s">
        <v>838</v>
      </c>
      <c r="C4843" t="s">
        <v>841</v>
      </c>
      <c r="D4843" t="s">
        <v>840</v>
      </c>
      <c r="E4843" t="s">
        <v>271</v>
      </c>
      <c r="F4843" t="s">
        <v>839</v>
      </c>
    </row>
    <row r="4844" spans="1:6" x14ac:dyDescent="0.25">
      <c r="A4844" t="s">
        <v>16301</v>
      </c>
      <c r="B4844" t="s">
        <v>16302</v>
      </c>
      <c r="C4844" t="s">
        <v>16303</v>
      </c>
      <c r="D4844" t="s">
        <v>0</v>
      </c>
      <c r="E4844" t="s">
        <v>271</v>
      </c>
      <c r="F4844" t="s">
        <v>709</v>
      </c>
    </row>
    <row r="4845" spans="1:6" x14ac:dyDescent="0.25">
      <c r="A4845" t="s">
        <v>16304</v>
      </c>
      <c r="B4845" t="s">
        <v>16305</v>
      </c>
      <c r="C4845" t="s">
        <v>16306</v>
      </c>
      <c r="D4845" t="s">
        <v>453</v>
      </c>
      <c r="E4845" t="s">
        <v>271</v>
      </c>
      <c r="F4845" t="s">
        <v>2285</v>
      </c>
    </row>
    <row r="4846" spans="1:6" x14ac:dyDescent="0.25">
      <c r="A4846" t="s">
        <v>16307</v>
      </c>
      <c r="B4846" t="s">
        <v>16308</v>
      </c>
      <c r="C4846" t="s">
        <v>16309</v>
      </c>
      <c r="D4846" t="s">
        <v>822</v>
      </c>
      <c r="E4846" t="s">
        <v>269</v>
      </c>
      <c r="F4846" t="s">
        <v>821</v>
      </c>
    </row>
    <row r="4847" spans="1:6" x14ac:dyDescent="0.25">
      <c r="A4847" t="s">
        <v>16310</v>
      </c>
      <c r="B4847" t="s">
        <v>16311</v>
      </c>
      <c r="C4847" t="s">
        <v>16312</v>
      </c>
      <c r="D4847" t="s">
        <v>0</v>
      </c>
      <c r="E4847" t="s">
        <v>271</v>
      </c>
      <c r="F4847" t="s">
        <v>431</v>
      </c>
    </row>
    <row r="4848" spans="1:6" x14ac:dyDescent="0.25">
      <c r="A4848" t="s">
        <v>16313</v>
      </c>
      <c r="B4848" t="s">
        <v>16314</v>
      </c>
      <c r="C4848" t="s">
        <v>16315</v>
      </c>
      <c r="D4848" t="s">
        <v>2488</v>
      </c>
      <c r="E4848" t="s">
        <v>269</v>
      </c>
      <c r="F4848" t="s">
        <v>4396</v>
      </c>
    </row>
    <row r="4849" spans="1:6" x14ac:dyDescent="0.25">
      <c r="A4849" t="s">
        <v>1521</v>
      </c>
      <c r="B4849" t="s">
        <v>1522</v>
      </c>
      <c r="C4849" t="s">
        <v>1525</v>
      </c>
      <c r="D4849" t="s">
        <v>1524</v>
      </c>
      <c r="E4849" t="s">
        <v>271</v>
      </c>
      <c r="F4849" t="s">
        <v>1523</v>
      </c>
    </row>
    <row r="4850" spans="1:6" x14ac:dyDescent="0.25">
      <c r="A4850" t="s">
        <v>16316</v>
      </c>
      <c r="B4850" t="s">
        <v>16317</v>
      </c>
      <c r="C4850" t="s">
        <v>16318</v>
      </c>
      <c r="D4850" t="s">
        <v>0</v>
      </c>
      <c r="E4850" t="s">
        <v>271</v>
      </c>
      <c r="F4850" t="s">
        <v>436</v>
      </c>
    </row>
    <row r="4851" spans="1:6" x14ac:dyDescent="0.25">
      <c r="A4851" t="s">
        <v>16319</v>
      </c>
      <c r="B4851" t="s">
        <v>16320</v>
      </c>
      <c r="C4851" t="s">
        <v>16321</v>
      </c>
      <c r="D4851" t="s">
        <v>1303</v>
      </c>
      <c r="E4851" t="s">
        <v>269</v>
      </c>
      <c r="F4851" t="s">
        <v>1302</v>
      </c>
    </row>
    <row r="4852" spans="1:6" x14ac:dyDescent="0.25">
      <c r="A4852" t="s">
        <v>1070</v>
      </c>
      <c r="B4852" t="s">
        <v>1071</v>
      </c>
      <c r="C4852" t="s">
        <v>1072</v>
      </c>
      <c r="D4852" t="s">
        <v>0</v>
      </c>
      <c r="E4852" t="s">
        <v>271</v>
      </c>
      <c r="F4852" t="s">
        <v>323</v>
      </c>
    </row>
    <row r="4853" spans="1:6" x14ac:dyDescent="0.25">
      <c r="A4853" t="s">
        <v>16322</v>
      </c>
      <c r="B4853" t="s">
        <v>16323</v>
      </c>
      <c r="C4853" t="s">
        <v>16324</v>
      </c>
      <c r="D4853" t="s">
        <v>453</v>
      </c>
      <c r="E4853" t="s">
        <v>271</v>
      </c>
      <c r="F4853" t="s">
        <v>2285</v>
      </c>
    </row>
    <row r="4854" spans="1:6" x14ac:dyDescent="0.25">
      <c r="A4854" t="s">
        <v>16325</v>
      </c>
      <c r="B4854" t="s">
        <v>16326</v>
      </c>
      <c r="C4854" t="s">
        <v>16327</v>
      </c>
      <c r="D4854" t="s">
        <v>347</v>
      </c>
      <c r="E4854" t="s">
        <v>271</v>
      </c>
      <c r="F4854" t="s">
        <v>327</v>
      </c>
    </row>
    <row r="4855" spans="1:6" x14ac:dyDescent="0.25">
      <c r="A4855" t="s">
        <v>16328</v>
      </c>
      <c r="B4855" t="s">
        <v>16329</v>
      </c>
      <c r="C4855" t="s">
        <v>16330</v>
      </c>
      <c r="D4855" t="s">
        <v>0</v>
      </c>
      <c r="E4855" t="s">
        <v>271</v>
      </c>
      <c r="F4855" t="s">
        <v>1321</v>
      </c>
    </row>
    <row r="4856" spans="1:6" x14ac:dyDescent="0.25">
      <c r="A4856" t="s">
        <v>16331</v>
      </c>
      <c r="B4856" t="s">
        <v>16332</v>
      </c>
      <c r="C4856" t="s">
        <v>16333</v>
      </c>
      <c r="D4856" t="s">
        <v>239</v>
      </c>
      <c r="E4856" t="s">
        <v>271</v>
      </c>
      <c r="F4856" t="s">
        <v>544</v>
      </c>
    </row>
    <row r="4857" spans="1:6" x14ac:dyDescent="0.25">
      <c r="A4857" t="s">
        <v>16334</v>
      </c>
      <c r="B4857" t="s">
        <v>16335</v>
      </c>
      <c r="C4857" t="s">
        <v>16336</v>
      </c>
      <c r="D4857" t="s">
        <v>0</v>
      </c>
      <c r="E4857" t="s">
        <v>271</v>
      </c>
      <c r="F4857" t="s">
        <v>325</v>
      </c>
    </row>
    <row r="4858" spans="1:6" x14ac:dyDescent="0.25">
      <c r="A4858" t="s">
        <v>16337</v>
      </c>
      <c r="B4858" t="s">
        <v>16338</v>
      </c>
      <c r="C4858" t="s">
        <v>16339</v>
      </c>
      <c r="D4858" t="s">
        <v>1186</v>
      </c>
      <c r="E4858" t="s">
        <v>271</v>
      </c>
      <c r="F4858" t="s">
        <v>1185</v>
      </c>
    </row>
    <row r="4859" spans="1:6" x14ac:dyDescent="0.25">
      <c r="A4859" t="s">
        <v>16340</v>
      </c>
      <c r="B4859" t="s">
        <v>468</v>
      </c>
      <c r="C4859" t="s">
        <v>16341</v>
      </c>
      <c r="D4859" t="s">
        <v>1559</v>
      </c>
      <c r="E4859" t="s">
        <v>271</v>
      </c>
      <c r="F4859" t="s">
        <v>1558</v>
      </c>
    </row>
    <row r="4860" spans="1:6" x14ac:dyDescent="0.25">
      <c r="A4860" t="s">
        <v>16342</v>
      </c>
      <c r="B4860" t="s">
        <v>16343</v>
      </c>
      <c r="C4860" t="s">
        <v>16344</v>
      </c>
      <c r="D4860" t="s">
        <v>3343</v>
      </c>
      <c r="E4860" t="s">
        <v>271</v>
      </c>
      <c r="F4860" t="s">
        <v>3342</v>
      </c>
    </row>
    <row r="4861" spans="1:6" x14ac:dyDescent="0.25">
      <c r="A4861" t="s">
        <v>16345</v>
      </c>
      <c r="B4861" t="s">
        <v>16346</v>
      </c>
      <c r="C4861" t="s">
        <v>16347</v>
      </c>
      <c r="D4861" t="s">
        <v>2637</v>
      </c>
      <c r="E4861" t="s">
        <v>271</v>
      </c>
      <c r="F4861" t="s">
        <v>2636</v>
      </c>
    </row>
    <row r="4862" spans="1:6" x14ac:dyDescent="0.25">
      <c r="A4862" t="s">
        <v>16348</v>
      </c>
      <c r="B4862" t="s">
        <v>16349</v>
      </c>
      <c r="C4862" t="s">
        <v>16350</v>
      </c>
      <c r="D4862" t="s">
        <v>0</v>
      </c>
      <c r="E4862" t="s">
        <v>271</v>
      </c>
      <c r="F4862" t="s">
        <v>323</v>
      </c>
    </row>
    <row r="4863" spans="1:6" x14ac:dyDescent="0.25">
      <c r="A4863" t="s">
        <v>16351</v>
      </c>
      <c r="B4863" t="s">
        <v>16352</v>
      </c>
      <c r="C4863" t="s">
        <v>16353</v>
      </c>
      <c r="D4863" t="s">
        <v>450</v>
      </c>
      <c r="E4863" t="s">
        <v>271</v>
      </c>
      <c r="F4863" t="s">
        <v>2794</v>
      </c>
    </row>
    <row r="4864" spans="1:6" x14ac:dyDescent="0.25">
      <c r="A4864" t="s">
        <v>16354</v>
      </c>
      <c r="B4864" t="s">
        <v>16355</v>
      </c>
      <c r="C4864" t="s">
        <v>16356</v>
      </c>
      <c r="D4864" t="s">
        <v>460</v>
      </c>
      <c r="E4864" t="s">
        <v>271</v>
      </c>
      <c r="F4864" t="s">
        <v>435</v>
      </c>
    </row>
    <row r="4865" spans="1:6" x14ac:dyDescent="0.25">
      <c r="A4865" t="s">
        <v>16357</v>
      </c>
      <c r="B4865" t="s">
        <v>16358</v>
      </c>
      <c r="C4865" t="s">
        <v>16359</v>
      </c>
      <c r="D4865" t="s">
        <v>972</v>
      </c>
      <c r="E4865" t="s">
        <v>269</v>
      </c>
      <c r="F4865" t="s">
        <v>971</v>
      </c>
    </row>
    <row r="4866" spans="1:6" x14ac:dyDescent="0.25">
      <c r="A4866" t="s">
        <v>16360</v>
      </c>
      <c r="B4866" t="s">
        <v>16361</v>
      </c>
      <c r="C4866" t="s">
        <v>16362</v>
      </c>
      <c r="D4866" t="s">
        <v>0</v>
      </c>
      <c r="E4866" t="s">
        <v>271</v>
      </c>
      <c r="F4866" t="s">
        <v>575</v>
      </c>
    </row>
    <row r="4867" spans="1:6" x14ac:dyDescent="0.25">
      <c r="A4867" t="s">
        <v>16363</v>
      </c>
      <c r="B4867" t="s">
        <v>16364</v>
      </c>
      <c r="C4867" t="s">
        <v>16365</v>
      </c>
      <c r="D4867" t="s">
        <v>617</v>
      </c>
      <c r="E4867" t="s">
        <v>271</v>
      </c>
      <c r="F4867" t="s">
        <v>438</v>
      </c>
    </row>
    <row r="4868" spans="1:6" x14ac:dyDescent="0.25">
      <c r="A4868" t="s">
        <v>16366</v>
      </c>
      <c r="B4868" t="s">
        <v>12260</v>
      </c>
      <c r="C4868" t="s">
        <v>12261</v>
      </c>
      <c r="D4868" t="s">
        <v>446</v>
      </c>
      <c r="E4868" t="s">
        <v>271</v>
      </c>
      <c r="F4868" t="s">
        <v>447</v>
      </c>
    </row>
    <row r="4869" spans="1:6" x14ac:dyDescent="0.25">
      <c r="A4869" t="s">
        <v>16367</v>
      </c>
      <c r="B4869" t="s">
        <v>16368</v>
      </c>
      <c r="C4869" t="s">
        <v>16369</v>
      </c>
      <c r="D4869" t="s">
        <v>0</v>
      </c>
      <c r="E4869" t="s">
        <v>271</v>
      </c>
      <c r="F4869" t="s">
        <v>319</v>
      </c>
    </row>
    <row r="4870" spans="1:6" x14ac:dyDescent="0.25">
      <c r="A4870" t="s">
        <v>2646</v>
      </c>
      <c r="B4870" t="s">
        <v>2647</v>
      </c>
      <c r="C4870" t="s">
        <v>2648</v>
      </c>
      <c r="D4870" t="s">
        <v>498</v>
      </c>
      <c r="E4870" t="s">
        <v>271</v>
      </c>
      <c r="F4870" t="s">
        <v>499</v>
      </c>
    </row>
    <row r="4871" spans="1:6" x14ac:dyDescent="0.25">
      <c r="A4871" t="s">
        <v>16370</v>
      </c>
      <c r="B4871" t="s">
        <v>16371</v>
      </c>
      <c r="C4871" t="s">
        <v>12110</v>
      </c>
      <c r="D4871" t="s">
        <v>0</v>
      </c>
      <c r="E4871" t="s">
        <v>271</v>
      </c>
      <c r="F4871" t="s">
        <v>575</v>
      </c>
    </row>
    <row r="4872" spans="1:6" x14ac:dyDescent="0.25">
      <c r="A4872" t="s">
        <v>16372</v>
      </c>
      <c r="B4872" t="s">
        <v>16373</v>
      </c>
      <c r="C4872" t="s">
        <v>16374</v>
      </c>
      <c r="D4872" t="s">
        <v>0</v>
      </c>
      <c r="E4872" t="s">
        <v>271</v>
      </c>
      <c r="F4872" t="s">
        <v>319</v>
      </c>
    </row>
    <row r="4873" spans="1:6" x14ac:dyDescent="0.25">
      <c r="A4873" t="s">
        <v>16375</v>
      </c>
      <c r="B4873" t="s">
        <v>16376</v>
      </c>
      <c r="C4873" t="s">
        <v>16377</v>
      </c>
      <c r="D4873" t="s">
        <v>1165</v>
      </c>
      <c r="E4873" t="s">
        <v>271</v>
      </c>
      <c r="F4873" t="s">
        <v>1164</v>
      </c>
    </row>
    <row r="4874" spans="1:6" x14ac:dyDescent="0.25">
      <c r="A4874" t="s">
        <v>16378</v>
      </c>
      <c r="B4874" t="s">
        <v>16379</v>
      </c>
      <c r="C4874" t="s">
        <v>16380</v>
      </c>
      <c r="D4874" t="s">
        <v>0</v>
      </c>
      <c r="E4874" t="s">
        <v>271</v>
      </c>
      <c r="F4874" t="s">
        <v>332</v>
      </c>
    </row>
    <row r="4875" spans="1:6" x14ac:dyDescent="0.25">
      <c r="A4875" t="s">
        <v>16381</v>
      </c>
      <c r="B4875" t="s">
        <v>16382</v>
      </c>
      <c r="C4875" t="s">
        <v>16383</v>
      </c>
      <c r="D4875" t="s">
        <v>466</v>
      </c>
      <c r="E4875" t="s">
        <v>271</v>
      </c>
      <c r="F4875" t="s">
        <v>434</v>
      </c>
    </row>
    <row r="4876" spans="1:6" x14ac:dyDescent="0.25">
      <c r="A4876" t="s">
        <v>2699</v>
      </c>
      <c r="B4876" t="s">
        <v>2700</v>
      </c>
      <c r="C4876" t="s">
        <v>2701</v>
      </c>
      <c r="D4876" t="s">
        <v>1601</v>
      </c>
      <c r="E4876" t="s">
        <v>269</v>
      </c>
      <c r="F4876" t="s">
        <v>1600</v>
      </c>
    </row>
    <row r="4877" spans="1:6" x14ac:dyDescent="0.25">
      <c r="A4877" t="s">
        <v>16384</v>
      </c>
      <c r="B4877" t="s">
        <v>16385</v>
      </c>
      <c r="C4877" t="s">
        <v>4918</v>
      </c>
      <c r="D4877" t="s">
        <v>0</v>
      </c>
      <c r="E4877" t="s">
        <v>271</v>
      </c>
      <c r="F4877" t="s">
        <v>1321</v>
      </c>
    </row>
    <row r="4878" spans="1:6" x14ac:dyDescent="0.25">
      <c r="A4878" t="s">
        <v>16386</v>
      </c>
      <c r="B4878" t="s">
        <v>16387</v>
      </c>
      <c r="C4878" t="s">
        <v>16388</v>
      </c>
      <c r="D4878" t="s">
        <v>1079</v>
      </c>
      <c r="E4878" t="s">
        <v>271</v>
      </c>
      <c r="F4878" t="s">
        <v>1078</v>
      </c>
    </row>
    <row r="4879" spans="1:6" x14ac:dyDescent="0.25">
      <c r="A4879" t="s">
        <v>16389</v>
      </c>
      <c r="B4879" t="s">
        <v>16390</v>
      </c>
      <c r="C4879" t="s">
        <v>16391</v>
      </c>
      <c r="D4879" t="s">
        <v>1064</v>
      </c>
      <c r="E4879" t="s">
        <v>269</v>
      </c>
      <c r="F4879" t="s">
        <v>1063</v>
      </c>
    </row>
    <row r="4880" spans="1:6" x14ac:dyDescent="0.25">
      <c r="A4880" t="s">
        <v>16392</v>
      </c>
      <c r="B4880" t="s">
        <v>16393</v>
      </c>
      <c r="C4880" t="s">
        <v>16394</v>
      </c>
      <c r="D4880" t="s">
        <v>1524</v>
      </c>
      <c r="E4880" t="s">
        <v>271</v>
      </c>
      <c r="F4880" t="s">
        <v>1523</v>
      </c>
    </row>
    <row r="4881" spans="1:6" x14ac:dyDescent="0.25">
      <c r="A4881" t="s">
        <v>16395</v>
      </c>
      <c r="B4881" t="s">
        <v>16396</v>
      </c>
      <c r="C4881" t="s">
        <v>16397</v>
      </c>
      <c r="D4881" t="s">
        <v>822</v>
      </c>
      <c r="E4881" t="s">
        <v>269</v>
      </c>
      <c r="F4881" t="s">
        <v>821</v>
      </c>
    </row>
    <row r="4882" spans="1:6" x14ac:dyDescent="0.25">
      <c r="A4882" t="s">
        <v>16398</v>
      </c>
      <c r="B4882" t="s">
        <v>16399</v>
      </c>
      <c r="C4882" t="s">
        <v>16400</v>
      </c>
      <c r="D4882" t="s">
        <v>295</v>
      </c>
      <c r="E4882" t="s">
        <v>271</v>
      </c>
      <c r="F4882" t="s">
        <v>294</v>
      </c>
    </row>
    <row r="4883" spans="1:6" x14ac:dyDescent="0.25">
      <c r="A4883" t="s">
        <v>16401</v>
      </c>
      <c r="B4883" t="s">
        <v>16402</v>
      </c>
      <c r="C4883" t="s">
        <v>16403</v>
      </c>
      <c r="D4883" t="s">
        <v>461</v>
      </c>
      <c r="E4883" t="s">
        <v>271</v>
      </c>
      <c r="F4883" t="s">
        <v>336</v>
      </c>
    </row>
    <row r="4884" spans="1:6" x14ac:dyDescent="0.25">
      <c r="A4884" t="s">
        <v>1667</v>
      </c>
      <c r="B4884" t="s">
        <v>1668</v>
      </c>
      <c r="C4884" t="s">
        <v>1669</v>
      </c>
      <c r="D4884" t="s">
        <v>972</v>
      </c>
      <c r="E4884" t="s">
        <v>269</v>
      </c>
      <c r="F4884" t="s">
        <v>971</v>
      </c>
    </row>
    <row r="4885" spans="1:6" x14ac:dyDescent="0.25">
      <c r="A4885" t="s">
        <v>16404</v>
      </c>
      <c r="B4885" t="s">
        <v>16405</v>
      </c>
      <c r="C4885" t="s">
        <v>16406</v>
      </c>
      <c r="D4885" t="s">
        <v>0</v>
      </c>
      <c r="E4885" t="s">
        <v>271</v>
      </c>
      <c r="F4885" t="s">
        <v>1180</v>
      </c>
    </row>
    <row r="4886" spans="1:6" x14ac:dyDescent="0.25">
      <c r="A4886" t="s">
        <v>16407</v>
      </c>
      <c r="B4886" t="s">
        <v>16408</v>
      </c>
      <c r="C4886" t="s">
        <v>16409</v>
      </c>
      <c r="D4886" t="s">
        <v>0</v>
      </c>
      <c r="E4886" t="s">
        <v>271</v>
      </c>
      <c r="F4886" t="s">
        <v>1141</v>
      </c>
    </row>
    <row r="4887" spans="1:6" x14ac:dyDescent="0.25">
      <c r="A4887" t="s">
        <v>16410</v>
      </c>
      <c r="B4887" t="s">
        <v>16411</v>
      </c>
      <c r="C4887" t="s">
        <v>16412</v>
      </c>
      <c r="D4887" t="s">
        <v>363</v>
      </c>
      <c r="E4887" t="s">
        <v>271</v>
      </c>
      <c r="F4887" t="s">
        <v>364</v>
      </c>
    </row>
    <row r="4888" spans="1:6" x14ac:dyDescent="0.25">
      <c r="A4888" t="s">
        <v>16413</v>
      </c>
      <c r="B4888" t="s">
        <v>16414</v>
      </c>
      <c r="C4888" t="s">
        <v>16415</v>
      </c>
      <c r="D4888" t="s">
        <v>472</v>
      </c>
      <c r="E4888" t="s">
        <v>271</v>
      </c>
      <c r="F4888" t="s">
        <v>318</v>
      </c>
    </row>
    <row r="4889" spans="1:6" x14ac:dyDescent="0.25">
      <c r="A4889" t="s">
        <v>16416</v>
      </c>
      <c r="B4889" t="s">
        <v>16417</v>
      </c>
      <c r="C4889" t="s">
        <v>16418</v>
      </c>
      <c r="D4889" t="s">
        <v>967</v>
      </c>
      <c r="E4889" t="s">
        <v>271</v>
      </c>
      <c r="F4889" t="s">
        <v>966</v>
      </c>
    </row>
    <row r="4890" spans="1:6" x14ac:dyDescent="0.25">
      <c r="A4890" t="s">
        <v>748</v>
      </c>
      <c r="B4890" t="s">
        <v>749</v>
      </c>
      <c r="C4890" t="s">
        <v>750</v>
      </c>
      <c r="D4890" t="s">
        <v>586</v>
      </c>
      <c r="E4890" t="s">
        <v>271</v>
      </c>
      <c r="F4890" t="s">
        <v>334</v>
      </c>
    </row>
    <row r="4891" spans="1:6" x14ac:dyDescent="0.25">
      <c r="A4891" t="s">
        <v>16419</v>
      </c>
      <c r="B4891" t="s">
        <v>16420</v>
      </c>
      <c r="C4891" t="s">
        <v>16421</v>
      </c>
      <c r="D4891" t="s">
        <v>0</v>
      </c>
      <c r="E4891" t="s">
        <v>271</v>
      </c>
      <c r="F4891" t="s">
        <v>731</v>
      </c>
    </row>
    <row r="4892" spans="1:6" x14ac:dyDescent="0.25">
      <c r="A4892" t="s">
        <v>16422</v>
      </c>
      <c r="B4892" t="s">
        <v>16423</v>
      </c>
      <c r="C4892" t="s">
        <v>16424</v>
      </c>
      <c r="D4892" t="s">
        <v>0</v>
      </c>
      <c r="E4892" t="s">
        <v>271</v>
      </c>
      <c r="F4892" t="s">
        <v>562</v>
      </c>
    </row>
    <row r="4893" spans="1:6" x14ac:dyDescent="0.25">
      <c r="A4893" t="s">
        <v>16425</v>
      </c>
      <c r="B4893" t="s">
        <v>16426</v>
      </c>
      <c r="C4893" t="s">
        <v>16427</v>
      </c>
      <c r="D4893" t="s">
        <v>6001</v>
      </c>
      <c r="E4893" t="s">
        <v>271</v>
      </c>
      <c r="F4893" t="s">
        <v>4429</v>
      </c>
    </row>
    <row r="4894" spans="1:6" x14ac:dyDescent="0.25">
      <c r="A4894" t="s">
        <v>16428</v>
      </c>
      <c r="B4894" t="s">
        <v>16429</v>
      </c>
      <c r="C4894" t="s">
        <v>16430</v>
      </c>
      <c r="D4894" t="s">
        <v>0</v>
      </c>
      <c r="E4894" t="s">
        <v>271</v>
      </c>
      <c r="F4894" t="s">
        <v>688</v>
      </c>
    </row>
    <row r="4895" spans="1:6" x14ac:dyDescent="0.25">
      <c r="A4895" t="s">
        <v>16431</v>
      </c>
      <c r="B4895" t="s">
        <v>16432</v>
      </c>
      <c r="C4895" t="s">
        <v>16433</v>
      </c>
      <c r="D4895" t="s">
        <v>0</v>
      </c>
      <c r="E4895" t="s">
        <v>271</v>
      </c>
      <c r="F4895" t="s">
        <v>323</v>
      </c>
    </row>
    <row r="4896" spans="1:6" x14ac:dyDescent="0.25">
      <c r="A4896" t="s">
        <v>16434</v>
      </c>
      <c r="B4896" t="s">
        <v>16435</v>
      </c>
      <c r="C4896" t="s">
        <v>16436</v>
      </c>
      <c r="D4896" t="s">
        <v>967</v>
      </c>
      <c r="E4896" t="s">
        <v>271</v>
      </c>
      <c r="F4896" t="s">
        <v>966</v>
      </c>
    </row>
    <row r="4897" spans="1:6" x14ac:dyDescent="0.25">
      <c r="A4897" t="s">
        <v>16437</v>
      </c>
      <c r="B4897" t="s">
        <v>8255</v>
      </c>
      <c r="C4897" t="s">
        <v>8256</v>
      </c>
      <c r="D4897" t="s">
        <v>8257</v>
      </c>
      <c r="E4897" t="s">
        <v>271</v>
      </c>
      <c r="F4897" t="s">
        <v>8258</v>
      </c>
    </row>
    <row r="4898" spans="1:6" x14ac:dyDescent="0.25">
      <c r="A4898" t="s">
        <v>16438</v>
      </c>
      <c r="B4898" t="s">
        <v>16439</v>
      </c>
      <c r="C4898" t="s">
        <v>16440</v>
      </c>
      <c r="D4898" t="s">
        <v>490</v>
      </c>
      <c r="E4898" t="s">
        <v>271</v>
      </c>
      <c r="F4898" t="s">
        <v>491</v>
      </c>
    </row>
    <row r="4899" spans="1:6" x14ac:dyDescent="0.25">
      <c r="A4899" t="s">
        <v>16441</v>
      </c>
      <c r="B4899" t="s">
        <v>7215</v>
      </c>
      <c r="C4899" t="s">
        <v>7216</v>
      </c>
      <c r="D4899" t="s">
        <v>0</v>
      </c>
      <c r="E4899" t="s">
        <v>271</v>
      </c>
      <c r="F4899" t="s">
        <v>1214</v>
      </c>
    </row>
    <row r="4900" spans="1:6" x14ac:dyDescent="0.25">
      <c r="A4900" t="s">
        <v>16442</v>
      </c>
      <c r="B4900" t="s">
        <v>9887</v>
      </c>
      <c r="C4900" t="s">
        <v>9906</v>
      </c>
      <c r="D4900" t="s">
        <v>0</v>
      </c>
      <c r="E4900" t="s">
        <v>271</v>
      </c>
      <c r="F4900" t="s">
        <v>881</v>
      </c>
    </row>
    <row r="4901" spans="1:6" x14ac:dyDescent="0.25">
      <c r="A4901" t="s">
        <v>16443</v>
      </c>
      <c r="B4901" t="s">
        <v>16444</v>
      </c>
      <c r="C4901" t="s">
        <v>8837</v>
      </c>
      <c r="D4901" t="s">
        <v>0</v>
      </c>
      <c r="E4901" t="s">
        <v>271</v>
      </c>
      <c r="F4901" t="s">
        <v>575</v>
      </c>
    </row>
    <row r="4902" spans="1:6" x14ac:dyDescent="0.25">
      <c r="A4902" t="s">
        <v>16445</v>
      </c>
      <c r="B4902" t="s">
        <v>16446</v>
      </c>
      <c r="C4902" t="s">
        <v>13436</v>
      </c>
      <c r="D4902" t="s">
        <v>1165</v>
      </c>
      <c r="E4902" t="s">
        <v>271</v>
      </c>
      <c r="F4902" t="s">
        <v>1164</v>
      </c>
    </row>
    <row r="4903" spans="1:6" x14ac:dyDescent="0.25">
      <c r="A4903" t="s">
        <v>16447</v>
      </c>
      <c r="B4903" t="s">
        <v>16448</v>
      </c>
      <c r="C4903" t="s">
        <v>16449</v>
      </c>
      <c r="D4903" t="s">
        <v>361</v>
      </c>
      <c r="E4903" t="s">
        <v>271</v>
      </c>
      <c r="F4903" t="s">
        <v>582</v>
      </c>
    </row>
    <row r="4904" spans="1:6" x14ac:dyDescent="0.25">
      <c r="A4904" t="s">
        <v>16450</v>
      </c>
      <c r="B4904" t="s">
        <v>16451</v>
      </c>
      <c r="C4904" t="s">
        <v>16452</v>
      </c>
      <c r="D4904" t="s">
        <v>402</v>
      </c>
      <c r="E4904" t="s">
        <v>271</v>
      </c>
      <c r="F4904" t="s">
        <v>401</v>
      </c>
    </row>
    <row r="4905" spans="1:6" x14ac:dyDescent="0.25">
      <c r="A4905" t="s">
        <v>16453</v>
      </c>
      <c r="B4905" t="s">
        <v>16454</v>
      </c>
      <c r="C4905" t="s">
        <v>16455</v>
      </c>
      <c r="D4905" t="s">
        <v>0</v>
      </c>
      <c r="E4905" t="s">
        <v>271</v>
      </c>
      <c r="F4905" t="s">
        <v>726</v>
      </c>
    </row>
    <row r="4906" spans="1:6" x14ac:dyDescent="0.25">
      <c r="A4906" t="s">
        <v>16456</v>
      </c>
      <c r="B4906" t="s">
        <v>16457</v>
      </c>
      <c r="C4906" t="s">
        <v>16458</v>
      </c>
      <c r="D4906" t="s">
        <v>1337</v>
      </c>
      <c r="E4906" t="s">
        <v>271</v>
      </c>
      <c r="F4906" t="s">
        <v>1336</v>
      </c>
    </row>
    <row r="4907" spans="1:6" x14ac:dyDescent="0.25">
      <c r="A4907" t="s">
        <v>2740</v>
      </c>
      <c r="B4907" t="s">
        <v>2741</v>
      </c>
      <c r="C4907" t="s">
        <v>2742</v>
      </c>
      <c r="D4907" t="s">
        <v>586</v>
      </c>
      <c r="E4907" t="s">
        <v>271</v>
      </c>
      <c r="F4907" t="s">
        <v>334</v>
      </c>
    </row>
    <row r="4908" spans="1:6" x14ac:dyDescent="0.25">
      <c r="A4908" t="s">
        <v>16459</v>
      </c>
      <c r="B4908" t="s">
        <v>16460</v>
      </c>
      <c r="C4908" t="s">
        <v>16461</v>
      </c>
      <c r="D4908" t="s">
        <v>2908</v>
      </c>
      <c r="E4908" t="s">
        <v>271</v>
      </c>
      <c r="F4908" t="s">
        <v>2470</v>
      </c>
    </row>
    <row r="4909" spans="1:6" x14ac:dyDescent="0.25">
      <c r="A4909" t="s">
        <v>16462</v>
      </c>
      <c r="B4909" t="s">
        <v>16463</v>
      </c>
      <c r="C4909" t="s">
        <v>12045</v>
      </c>
      <c r="D4909" t="s">
        <v>0</v>
      </c>
      <c r="E4909" t="s">
        <v>271</v>
      </c>
      <c r="F4909" t="s">
        <v>658</v>
      </c>
    </row>
    <row r="4910" spans="1:6" x14ac:dyDescent="0.25">
      <c r="A4910" t="s">
        <v>16464</v>
      </c>
      <c r="B4910" t="s">
        <v>16465</v>
      </c>
      <c r="C4910" t="s">
        <v>16466</v>
      </c>
      <c r="D4910" t="s">
        <v>0</v>
      </c>
      <c r="E4910" t="s">
        <v>271</v>
      </c>
      <c r="F4910" t="s">
        <v>1115</v>
      </c>
    </row>
    <row r="4911" spans="1:6" x14ac:dyDescent="0.25">
      <c r="A4911" t="s">
        <v>16467</v>
      </c>
      <c r="B4911" t="s">
        <v>16468</v>
      </c>
      <c r="C4911" t="s">
        <v>16469</v>
      </c>
      <c r="D4911" t="s">
        <v>0</v>
      </c>
      <c r="E4911" t="s">
        <v>271</v>
      </c>
      <c r="F4911" t="s">
        <v>881</v>
      </c>
    </row>
    <row r="4912" spans="1:6" x14ac:dyDescent="0.25">
      <c r="A4912" t="s">
        <v>16470</v>
      </c>
      <c r="B4912" t="s">
        <v>16471</v>
      </c>
      <c r="C4912" t="s">
        <v>16472</v>
      </c>
      <c r="D4912" t="s">
        <v>506</v>
      </c>
      <c r="E4912" t="s">
        <v>271</v>
      </c>
      <c r="F4912" t="s">
        <v>507</v>
      </c>
    </row>
    <row r="4913" spans="1:6" x14ac:dyDescent="0.25">
      <c r="A4913" t="s">
        <v>16473</v>
      </c>
      <c r="B4913" t="s">
        <v>16474</v>
      </c>
      <c r="C4913" t="s">
        <v>7438</v>
      </c>
      <c r="D4913" t="s">
        <v>0</v>
      </c>
      <c r="E4913" t="s">
        <v>271</v>
      </c>
      <c r="F4913" t="s">
        <v>562</v>
      </c>
    </row>
    <row r="4914" spans="1:6" x14ac:dyDescent="0.25">
      <c r="A4914" t="s">
        <v>16475</v>
      </c>
      <c r="B4914" t="s">
        <v>16476</v>
      </c>
      <c r="C4914" t="s">
        <v>16477</v>
      </c>
      <c r="D4914" t="s">
        <v>1361</v>
      </c>
      <c r="E4914" t="s">
        <v>271</v>
      </c>
      <c r="F4914" t="s">
        <v>511</v>
      </c>
    </row>
    <row r="4915" spans="1:6" x14ac:dyDescent="0.25">
      <c r="A4915" t="s">
        <v>16478</v>
      </c>
      <c r="B4915" t="s">
        <v>8386</v>
      </c>
      <c r="C4915" t="s">
        <v>16479</v>
      </c>
      <c r="D4915" t="s">
        <v>0</v>
      </c>
      <c r="E4915" t="s">
        <v>271</v>
      </c>
      <c r="F4915" t="s">
        <v>2138</v>
      </c>
    </row>
    <row r="4916" spans="1:6" x14ac:dyDescent="0.25">
      <c r="A4916" t="s">
        <v>16480</v>
      </c>
      <c r="B4916" t="s">
        <v>16481</v>
      </c>
      <c r="C4916" t="s">
        <v>10028</v>
      </c>
      <c r="D4916" t="s">
        <v>556</v>
      </c>
      <c r="E4916" t="s">
        <v>271</v>
      </c>
      <c r="F4916" t="s">
        <v>1567</v>
      </c>
    </row>
    <row r="4917" spans="1:6" x14ac:dyDescent="0.25">
      <c r="A4917" t="s">
        <v>16482</v>
      </c>
      <c r="B4917" t="s">
        <v>16483</v>
      </c>
      <c r="C4917" t="s">
        <v>16484</v>
      </c>
      <c r="D4917" t="s">
        <v>0</v>
      </c>
      <c r="E4917" t="s">
        <v>271</v>
      </c>
      <c r="F4917" t="s">
        <v>356</v>
      </c>
    </row>
    <row r="4918" spans="1:6" x14ac:dyDescent="0.25">
      <c r="A4918" t="s">
        <v>16485</v>
      </c>
      <c r="B4918" t="s">
        <v>16486</v>
      </c>
      <c r="C4918" t="s">
        <v>16487</v>
      </c>
      <c r="D4918" t="s">
        <v>2265</v>
      </c>
      <c r="E4918" t="s">
        <v>212</v>
      </c>
      <c r="F4918" t="s">
        <v>16488</v>
      </c>
    </row>
    <row r="4919" spans="1:6" x14ac:dyDescent="0.25">
      <c r="A4919" t="s">
        <v>16489</v>
      </c>
      <c r="B4919" t="s">
        <v>16490</v>
      </c>
      <c r="C4919" t="s">
        <v>16491</v>
      </c>
      <c r="D4919" t="s">
        <v>0</v>
      </c>
      <c r="E4919" t="s">
        <v>271</v>
      </c>
      <c r="F4919" t="s">
        <v>575</v>
      </c>
    </row>
    <row r="4920" spans="1:6" x14ac:dyDescent="0.25">
      <c r="A4920" t="s">
        <v>16492</v>
      </c>
      <c r="B4920" t="s">
        <v>16493</v>
      </c>
      <c r="C4920" t="s">
        <v>16494</v>
      </c>
      <c r="D4920" t="s">
        <v>1165</v>
      </c>
      <c r="E4920" t="s">
        <v>271</v>
      </c>
      <c r="F4920" t="s">
        <v>1164</v>
      </c>
    </row>
    <row r="4921" spans="1:6" x14ac:dyDescent="0.25">
      <c r="A4921" t="s">
        <v>16495</v>
      </c>
      <c r="B4921" t="s">
        <v>16496</v>
      </c>
      <c r="C4921" t="s">
        <v>16497</v>
      </c>
      <c r="D4921" t="s">
        <v>822</v>
      </c>
      <c r="E4921" t="s">
        <v>269</v>
      </c>
      <c r="F4921" t="s">
        <v>821</v>
      </c>
    </row>
    <row r="4922" spans="1:6" x14ac:dyDescent="0.25">
      <c r="A4922" t="s">
        <v>16498</v>
      </c>
      <c r="B4922" t="s">
        <v>16499</v>
      </c>
      <c r="C4922" t="s">
        <v>16500</v>
      </c>
      <c r="D4922" t="s">
        <v>1542</v>
      </c>
      <c r="E4922" t="s">
        <v>269</v>
      </c>
      <c r="F4922" t="s">
        <v>1541</v>
      </c>
    </row>
    <row r="4923" spans="1:6" x14ac:dyDescent="0.25">
      <c r="A4923" t="s">
        <v>16501</v>
      </c>
      <c r="B4923" t="s">
        <v>16502</v>
      </c>
      <c r="C4923" t="s">
        <v>16503</v>
      </c>
      <c r="D4923" t="s">
        <v>0</v>
      </c>
      <c r="E4923" t="s">
        <v>271</v>
      </c>
      <c r="F4923" t="s">
        <v>1141</v>
      </c>
    </row>
    <row r="4924" spans="1:6" x14ac:dyDescent="0.25">
      <c r="A4924" t="s">
        <v>16504</v>
      </c>
      <c r="B4924" t="s">
        <v>16505</v>
      </c>
      <c r="C4924" t="s">
        <v>16506</v>
      </c>
      <c r="D4924" t="s">
        <v>293</v>
      </c>
      <c r="E4924" t="s">
        <v>271</v>
      </c>
      <c r="F4924" t="s">
        <v>292</v>
      </c>
    </row>
    <row r="4925" spans="1:6" x14ac:dyDescent="0.25">
      <c r="A4925" t="s">
        <v>16507</v>
      </c>
      <c r="B4925" t="s">
        <v>16508</v>
      </c>
      <c r="C4925" t="s">
        <v>16509</v>
      </c>
      <c r="D4925" t="s">
        <v>4815</v>
      </c>
      <c r="E4925" t="s">
        <v>271</v>
      </c>
      <c r="F4925" t="s">
        <v>2713</v>
      </c>
    </row>
    <row r="4926" spans="1:6" x14ac:dyDescent="0.25">
      <c r="A4926" t="s">
        <v>16510</v>
      </c>
      <c r="B4926" t="s">
        <v>16511</v>
      </c>
      <c r="C4926" t="s">
        <v>16512</v>
      </c>
      <c r="D4926" t="s">
        <v>314</v>
      </c>
      <c r="E4926" t="s">
        <v>271</v>
      </c>
      <c r="F4926" t="s">
        <v>352</v>
      </c>
    </row>
    <row r="4927" spans="1:6" x14ac:dyDescent="0.25">
      <c r="A4927" t="s">
        <v>16513</v>
      </c>
      <c r="B4927" t="s">
        <v>16514</v>
      </c>
      <c r="C4927" t="s">
        <v>16515</v>
      </c>
      <c r="D4927" t="s">
        <v>0</v>
      </c>
      <c r="E4927" t="s">
        <v>271</v>
      </c>
      <c r="F4927" t="s">
        <v>319</v>
      </c>
    </row>
    <row r="4928" spans="1:6" x14ac:dyDescent="0.25">
      <c r="A4928" t="s">
        <v>2181</v>
      </c>
      <c r="B4928" t="s">
        <v>2182</v>
      </c>
      <c r="C4928" t="s">
        <v>2183</v>
      </c>
      <c r="D4928" t="s">
        <v>1915</v>
      </c>
      <c r="E4928" t="s">
        <v>269</v>
      </c>
      <c r="F4928" t="s">
        <v>1914</v>
      </c>
    </row>
    <row r="4929" spans="1:6" x14ac:dyDescent="0.25">
      <c r="A4929" t="s">
        <v>16516</v>
      </c>
      <c r="B4929" t="s">
        <v>16517</v>
      </c>
      <c r="C4929" t="s">
        <v>16518</v>
      </c>
      <c r="D4929" t="s">
        <v>793</v>
      </c>
      <c r="E4929" t="s">
        <v>271</v>
      </c>
      <c r="F4929" t="s">
        <v>792</v>
      </c>
    </row>
    <row r="4930" spans="1:6" x14ac:dyDescent="0.25">
      <c r="A4930" t="s">
        <v>1345</v>
      </c>
      <c r="B4930" t="s">
        <v>1346</v>
      </c>
      <c r="C4930" t="s">
        <v>1349</v>
      </c>
      <c r="D4930" t="s">
        <v>1348</v>
      </c>
      <c r="E4930" t="s">
        <v>271</v>
      </c>
      <c r="F4930" t="s">
        <v>1347</v>
      </c>
    </row>
    <row r="4931" spans="1:6" x14ac:dyDescent="0.25">
      <c r="A4931" t="s">
        <v>1704</v>
      </c>
      <c r="B4931" t="s">
        <v>1705</v>
      </c>
      <c r="C4931" t="s">
        <v>1706</v>
      </c>
      <c r="D4931" t="s">
        <v>0</v>
      </c>
      <c r="E4931" t="s">
        <v>271</v>
      </c>
      <c r="F4931" t="s">
        <v>881</v>
      </c>
    </row>
    <row r="4932" spans="1:6" x14ac:dyDescent="0.25">
      <c r="A4932" t="s">
        <v>2931</v>
      </c>
      <c r="B4932" t="s">
        <v>2932</v>
      </c>
      <c r="C4932" t="s">
        <v>2933</v>
      </c>
      <c r="D4932" t="s">
        <v>617</v>
      </c>
      <c r="E4932" t="s">
        <v>271</v>
      </c>
      <c r="F4932" t="s">
        <v>438</v>
      </c>
    </row>
    <row r="4933" spans="1:6" x14ac:dyDescent="0.25">
      <c r="A4933" t="s">
        <v>16519</v>
      </c>
      <c r="B4933" t="s">
        <v>16520</v>
      </c>
      <c r="C4933" t="s">
        <v>16521</v>
      </c>
      <c r="D4933" t="s">
        <v>233</v>
      </c>
      <c r="E4933" t="s">
        <v>271</v>
      </c>
      <c r="F4933" t="s">
        <v>328</v>
      </c>
    </row>
    <row r="4934" spans="1:6" x14ac:dyDescent="0.25">
      <c r="A4934" t="s">
        <v>3540</v>
      </c>
      <c r="B4934" t="s">
        <v>3541</v>
      </c>
      <c r="C4934" t="s">
        <v>3542</v>
      </c>
      <c r="D4934" t="s">
        <v>0</v>
      </c>
      <c r="E4934" t="s">
        <v>271</v>
      </c>
      <c r="F4934" t="s">
        <v>325</v>
      </c>
    </row>
    <row r="4935" spans="1:6" x14ac:dyDescent="0.25">
      <c r="A4935" t="s">
        <v>16522</v>
      </c>
      <c r="B4935" t="s">
        <v>16523</v>
      </c>
      <c r="C4935" t="s">
        <v>16524</v>
      </c>
      <c r="D4935" t="s">
        <v>2024</v>
      </c>
      <c r="E4935" t="s">
        <v>271</v>
      </c>
      <c r="F4935" t="s">
        <v>428</v>
      </c>
    </row>
    <row r="4936" spans="1:6" x14ac:dyDescent="0.25">
      <c r="A4936" t="s">
        <v>2847</v>
      </c>
      <c r="B4936" t="s">
        <v>2848</v>
      </c>
      <c r="C4936" t="s">
        <v>2849</v>
      </c>
      <c r="D4936" t="s">
        <v>0</v>
      </c>
      <c r="E4936" t="s">
        <v>271</v>
      </c>
      <c r="F4936" t="s">
        <v>895</v>
      </c>
    </row>
    <row r="4937" spans="1:6" x14ac:dyDescent="0.25">
      <c r="A4937" t="s">
        <v>16525</v>
      </c>
      <c r="B4937" t="s">
        <v>16526</v>
      </c>
      <c r="C4937" t="s">
        <v>16527</v>
      </c>
      <c r="D4937" t="s">
        <v>1648</v>
      </c>
      <c r="E4937" t="s">
        <v>271</v>
      </c>
      <c r="F4937" t="s">
        <v>1647</v>
      </c>
    </row>
    <row r="4938" spans="1:6" x14ac:dyDescent="0.25">
      <c r="A4938" t="s">
        <v>16528</v>
      </c>
      <c r="B4938" t="s">
        <v>16529</v>
      </c>
      <c r="C4938" t="s">
        <v>16530</v>
      </c>
      <c r="D4938" t="s">
        <v>0</v>
      </c>
      <c r="E4938" t="s">
        <v>271</v>
      </c>
      <c r="F4938" t="s">
        <v>562</v>
      </c>
    </row>
    <row r="4939" spans="1:6" x14ac:dyDescent="0.25">
      <c r="A4939" t="s">
        <v>16531</v>
      </c>
      <c r="B4939" t="s">
        <v>16532</v>
      </c>
      <c r="C4939" t="s">
        <v>16533</v>
      </c>
      <c r="D4939" t="s">
        <v>500</v>
      </c>
      <c r="E4939" t="s">
        <v>271</v>
      </c>
      <c r="F4939" t="s">
        <v>501</v>
      </c>
    </row>
    <row r="4940" spans="1:6" x14ac:dyDescent="0.25">
      <c r="A4940" t="s">
        <v>2591</v>
      </c>
      <c r="B4940" t="s">
        <v>2592</v>
      </c>
      <c r="C4940" t="s">
        <v>2593</v>
      </c>
      <c r="D4940" t="s">
        <v>466</v>
      </c>
      <c r="E4940" t="s">
        <v>271</v>
      </c>
      <c r="F4940" t="s">
        <v>434</v>
      </c>
    </row>
    <row r="4941" spans="1:6" x14ac:dyDescent="0.25">
      <c r="A4941" t="s">
        <v>16534</v>
      </c>
      <c r="B4941" t="s">
        <v>16535</v>
      </c>
      <c r="C4941" t="s">
        <v>16536</v>
      </c>
      <c r="D4941" t="s">
        <v>490</v>
      </c>
      <c r="E4941" t="s">
        <v>271</v>
      </c>
      <c r="F4941" t="s">
        <v>491</v>
      </c>
    </row>
    <row r="4942" spans="1:6" x14ac:dyDescent="0.25">
      <c r="A4942" t="s">
        <v>16537</v>
      </c>
      <c r="B4942" t="s">
        <v>16538</v>
      </c>
      <c r="C4942" t="s">
        <v>9131</v>
      </c>
      <c r="D4942" t="s">
        <v>9132</v>
      </c>
      <c r="E4942" t="s">
        <v>271</v>
      </c>
      <c r="F4942" t="s">
        <v>844</v>
      </c>
    </row>
    <row r="4943" spans="1:6" x14ac:dyDescent="0.25">
      <c r="A4943" t="s">
        <v>16539</v>
      </c>
      <c r="B4943" t="s">
        <v>4462</v>
      </c>
      <c r="C4943" t="s">
        <v>16540</v>
      </c>
      <c r="D4943" t="s">
        <v>0</v>
      </c>
      <c r="E4943" t="s">
        <v>271</v>
      </c>
      <c r="F4943" t="s">
        <v>2641</v>
      </c>
    </row>
    <row r="4944" spans="1:6" x14ac:dyDescent="0.25">
      <c r="A4944" t="s">
        <v>16541</v>
      </c>
      <c r="B4944" t="s">
        <v>16542</v>
      </c>
      <c r="C4944" t="s">
        <v>16543</v>
      </c>
      <c r="D4944" t="s">
        <v>314</v>
      </c>
      <c r="E4944" t="s">
        <v>271</v>
      </c>
      <c r="F4944" t="s">
        <v>3081</v>
      </c>
    </row>
    <row r="4945" spans="1:6" x14ac:dyDescent="0.25">
      <c r="A4945" t="s">
        <v>827</v>
      </c>
      <c r="B4945" t="s">
        <v>828</v>
      </c>
      <c r="C4945" t="s">
        <v>831</v>
      </c>
      <c r="D4945" t="s">
        <v>830</v>
      </c>
      <c r="E4945" t="s">
        <v>271</v>
      </c>
      <c r="F4945" t="s">
        <v>829</v>
      </c>
    </row>
    <row r="4946" spans="1:6" x14ac:dyDescent="0.25">
      <c r="A4946" t="s">
        <v>2504</v>
      </c>
      <c r="B4946" t="s">
        <v>2505</v>
      </c>
      <c r="C4946" t="s">
        <v>2506</v>
      </c>
      <c r="D4946" t="s">
        <v>0</v>
      </c>
      <c r="E4946" t="s">
        <v>271</v>
      </c>
      <c r="F4946" t="s">
        <v>1321</v>
      </c>
    </row>
    <row r="4947" spans="1:6" x14ac:dyDescent="0.25">
      <c r="A4947" t="s">
        <v>16544</v>
      </c>
      <c r="B4947" t="s">
        <v>16545</v>
      </c>
      <c r="C4947" t="s">
        <v>16546</v>
      </c>
      <c r="D4947" t="s">
        <v>1433</v>
      </c>
      <c r="E4947" t="s">
        <v>271</v>
      </c>
      <c r="F4947" t="s">
        <v>1432</v>
      </c>
    </row>
    <row r="4948" spans="1:6" x14ac:dyDescent="0.25">
      <c r="A4948" t="s">
        <v>16547</v>
      </c>
      <c r="B4948" t="s">
        <v>16548</v>
      </c>
      <c r="C4948" t="s">
        <v>10837</v>
      </c>
      <c r="D4948" t="s">
        <v>2116</v>
      </c>
      <c r="E4948" t="s">
        <v>271</v>
      </c>
      <c r="F4948" t="s">
        <v>2115</v>
      </c>
    </row>
    <row r="4949" spans="1:6" x14ac:dyDescent="0.25">
      <c r="A4949" t="s">
        <v>16549</v>
      </c>
      <c r="B4949" t="s">
        <v>16550</v>
      </c>
      <c r="C4949" t="s">
        <v>16551</v>
      </c>
      <c r="D4949" t="s">
        <v>0</v>
      </c>
      <c r="E4949" t="s">
        <v>271</v>
      </c>
      <c r="F4949" t="s">
        <v>562</v>
      </c>
    </row>
    <row r="4950" spans="1:6" x14ac:dyDescent="0.25">
      <c r="A4950" t="s">
        <v>16552</v>
      </c>
      <c r="B4950" t="s">
        <v>16553</v>
      </c>
      <c r="C4950" t="s">
        <v>16554</v>
      </c>
      <c r="D4950" t="s">
        <v>0</v>
      </c>
      <c r="E4950" t="s">
        <v>271</v>
      </c>
      <c r="F4950" t="s">
        <v>709</v>
      </c>
    </row>
    <row r="4951" spans="1:6" x14ac:dyDescent="0.25">
      <c r="A4951" t="s">
        <v>16555</v>
      </c>
      <c r="B4951" t="s">
        <v>16556</v>
      </c>
      <c r="C4951" t="s">
        <v>7039</v>
      </c>
      <c r="D4951" t="s">
        <v>519</v>
      </c>
      <c r="E4951" t="s">
        <v>271</v>
      </c>
      <c r="F4951" t="s">
        <v>324</v>
      </c>
    </row>
    <row r="4952" spans="1:6" x14ac:dyDescent="0.25">
      <c r="A4952" t="s">
        <v>2993</v>
      </c>
      <c r="B4952" t="s">
        <v>2994</v>
      </c>
      <c r="C4952" t="s">
        <v>2995</v>
      </c>
      <c r="D4952" t="s">
        <v>0</v>
      </c>
      <c r="E4952" t="s">
        <v>271</v>
      </c>
      <c r="F4952" t="s">
        <v>881</v>
      </c>
    </row>
    <row r="4953" spans="1:6" x14ac:dyDescent="0.25">
      <c r="A4953" t="s">
        <v>1319</v>
      </c>
      <c r="B4953" t="s">
        <v>1320</v>
      </c>
      <c r="C4953" t="s">
        <v>1322</v>
      </c>
      <c r="D4953" t="s">
        <v>0</v>
      </c>
      <c r="E4953" t="s">
        <v>271</v>
      </c>
      <c r="F4953" t="s">
        <v>1321</v>
      </c>
    </row>
    <row r="4954" spans="1:6" x14ac:dyDescent="0.25">
      <c r="A4954" t="s">
        <v>16557</v>
      </c>
      <c r="B4954" t="s">
        <v>459</v>
      </c>
      <c r="C4954" t="s">
        <v>16558</v>
      </c>
      <c r="D4954" t="s">
        <v>586</v>
      </c>
      <c r="E4954" t="s">
        <v>271</v>
      </c>
      <c r="F4954" t="s">
        <v>334</v>
      </c>
    </row>
    <row r="4955" spans="1:6" x14ac:dyDescent="0.25">
      <c r="A4955" t="s">
        <v>1435</v>
      </c>
      <c r="B4955" t="s">
        <v>1436</v>
      </c>
      <c r="C4955" t="s">
        <v>1438</v>
      </c>
      <c r="D4955" t="s">
        <v>0</v>
      </c>
      <c r="E4955" t="s">
        <v>271</v>
      </c>
      <c r="F4955" t="s">
        <v>1437</v>
      </c>
    </row>
    <row r="4956" spans="1:6" x14ac:dyDescent="0.25">
      <c r="A4956" t="s">
        <v>16559</v>
      </c>
      <c r="B4956" t="s">
        <v>16560</v>
      </c>
      <c r="C4956" t="s">
        <v>16561</v>
      </c>
      <c r="D4956" t="s">
        <v>1638</v>
      </c>
      <c r="E4956" t="s">
        <v>271</v>
      </c>
      <c r="F4956" t="s">
        <v>1637</v>
      </c>
    </row>
    <row r="4957" spans="1:6" x14ac:dyDescent="0.25">
      <c r="A4957" t="s">
        <v>16562</v>
      </c>
      <c r="B4957" t="s">
        <v>16563</v>
      </c>
      <c r="C4957" t="s">
        <v>16564</v>
      </c>
      <c r="D4957" t="s">
        <v>871</v>
      </c>
      <c r="E4957" t="s">
        <v>271</v>
      </c>
      <c r="F4957" t="s">
        <v>870</v>
      </c>
    </row>
    <row r="4958" spans="1:6" x14ac:dyDescent="0.25">
      <c r="A4958" t="s">
        <v>16565</v>
      </c>
      <c r="B4958" t="s">
        <v>16566</v>
      </c>
      <c r="C4958" t="s">
        <v>16567</v>
      </c>
      <c r="D4958" t="s">
        <v>0</v>
      </c>
      <c r="E4958" t="s">
        <v>271</v>
      </c>
      <c r="F4958" t="s">
        <v>575</v>
      </c>
    </row>
    <row r="4959" spans="1:6" x14ac:dyDescent="0.25">
      <c r="A4959" t="s">
        <v>16568</v>
      </c>
      <c r="B4959" t="s">
        <v>16569</v>
      </c>
      <c r="C4959" t="s">
        <v>2544</v>
      </c>
      <c r="D4959" t="s">
        <v>0</v>
      </c>
      <c r="E4959" t="s">
        <v>271</v>
      </c>
      <c r="F4959" t="s">
        <v>436</v>
      </c>
    </row>
    <row r="4960" spans="1:6" x14ac:dyDescent="0.25">
      <c r="A4960" t="s">
        <v>16570</v>
      </c>
      <c r="B4960" t="s">
        <v>16571</v>
      </c>
      <c r="C4960" t="s">
        <v>4521</v>
      </c>
      <c r="D4960" t="s">
        <v>1413</v>
      </c>
      <c r="E4960" t="s">
        <v>271</v>
      </c>
      <c r="F4960" t="s">
        <v>1412</v>
      </c>
    </row>
    <row r="4961" spans="1:6" x14ac:dyDescent="0.25">
      <c r="A4961" t="s">
        <v>16572</v>
      </c>
      <c r="B4961" t="s">
        <v>16573</v>
      </c>
      <c r="C4961" t="s">
        <v>16574</v>
      </c>
      <c r="D4961" t="s">
        <v>0</v>
      </c>
      <c r="E4961" t="s">
        <v>271</v>
      </c>
      <c r="F4961" t="s">
        <v>809</v>
      </c>
    </row>
    <row r="4962" spans="1:6" x14ac:dyDescent="0.25">
      <c r="A4962" t="s">
        <v>16575</v>
      </c>
      <c r="B4962" t="s">
        <v>16576</v>
      </c>
      <c r="C4962" t="s">
        <v>16577</v>
      </c>
      <c r="D4962" t="s">
        <v>1361</v>
      </c>
      <c r="E4962" t="s">
        <v>271</v>
      </c>
      <c r="F4962" t="s">
        <v>1360</v>
      </c>
    </row>
    <row r="4963" spans="1:6" x14ac:dyDescent="0.25">
      <c r="A4963" t="s">
        <v>16578</v>
      </c>
      <c r="B4963" t="s">
        <v>579</v>
      </c>
      <c r="C4963" t="s">
        <v>580</v>
      </c>
      <c r="D4963" t="s">
        <v>349</v>
      </c>
      <c r="E4963" t="s">
        <v>341</v>
      </c>
      <c r="F4963" t="s">
        <v>415</v>
      </c>
    </row>
    <row r="4964" spans="1:6" x14ac:dyDescent="0.25">
      <c r="A4964" t="s">
        <v>16579</v>
      </c>
      <c r="B4964" t="s">
        <v>16580</v>
      </c>
      <c r="C4964" t="s">
        <v>16581</v>
      </c>
      <c r="D4964" t="s">
        <v>0</v>
      </c>
      <c r="E4964" t="s">
        <v>271</v>
      </c>
      <c r="F4964" t="s">
        <v>432</v>
      </c>
    </row>
    <row r="4965" spans="1:6" x14ac:dyDescent="0.25">
      <c r="A4965" t="s">
        <v>16582</v>
      </c>
      <c r="B4965" t="s">
        <v>16583</v>
      </c>
      <c r="C4965" t="s">
        <v>16584</v>
      </c>
      <c r="D4965" t="s">
        <v>289</v>
      </c>
      <c r="E4965" t="s">
        <v>271</v>
      </c>
      <c r="F4965" t="s">
        <v>5812</v>
      </c>
    </row>
    <row r="4966" spans="1:6" x14ac:dyDescent="0.25">
      <c r="A4966" t="s">
        <v>16585</v>
      </c>
      <c r="B4966" t="s">
        <v>16586</v>
      </c>
      <c r="C4966" t="s">
        <v>16587</v>
      </c>
      <c r="D4966" t="s">
        <v>0</v>
      </c>
      <c r="E4966" t="s">
        <v>271</v>
      </c>
      <c r="F4966" t="s">
        <v>355</v>
      </c>
    </row>
    <row r="4967" spans="1:6" x14ac:dyDescent="0.25">
      <c r="A4967" t="s">
        <v>16588</v>
      </c>
      <c r="B4967" t="s">
        <v>16589</v>
      </c>
      <c r="C4967" t="s">
        <v>16590</v>
      </c>
      <c r="D4967" t="s">
        <v>1559</v>
      </c>
      <c r="E4967" t="s">
        <v>271</v>
      </c>
      <c r="F4967" t="s">
        <v>1558</v>
      </c>
    </row>
    <row r="4968" spans="1:6" x14ac:dyDescent="0.25">
      <c r="A4968" t="s">
        <v>16591</v>
      </c>
      <c r="B4968" t="s">
        <v>16592</v>
      </c>
      <c r="C4968" t="s">
        <v>16593</v>
      </c>
      <c r="D4968" t="s">
        <v>1059</v>
      </c>
      <c r="E4968" t="s">
        <v>271</v>
      </c>
      <c r="F4968" t="s">
        <v>1058</v>
      </c>
    </row>
    <row r="4969" spans="1:6" x14ac:dyDescent="0.25">
      <c r="A4969" t="s">
        <v>16594</v>
      </c>
      <c r="B4969" t="s">
        <v>16595</v>
      </c>
      <c r="C4969" t="s">
        <v>16596</v>
      </c>
      <c r="D4969" t="s">
        <v>2692</v>
      </c>
      <c r="E4969" t="s">
        <v>269</v>
      </c>
      <c r="F4969" t="s">
        <v>2691</v>
      </c>
    </row>
    <row r="4970" spans="1:6" x14ac:dyDescent="0.25">
      <c r="A4970" t="s">
        <v>16597</v>
      </c>
      <c r="B4970" t="s">
        <v>16598</v>
      </c>
      <c r="C4970" t="s">
        <v>16599</v>
      </c>
      <c r="D4970" t="s">
        <v>0</v>
      </c>
      <c r="E4970" t="s">
        <v>271</v>
      </c>
      <c r="F4970" t="s">
        <v>323</v>
      </c>
    </row>
    <row r="4971" spans="1:6" x14ac:dyDescent="0.25">
      <c r="A4971" t="s">
        <v>16600</v>
      </c>
      <c r="B4971" t="s">
        <v>16601</v>
      </c>
      <c r="C4971" t="s">
        <v>16602</v>
      </c>
      <c r="D4971" t="s">
        <v>0</v>
      </c>
      <c r="E4971" t="s">
        <v>271</v>
      </c>
      <c r="F4971" t="s">
        <v>1011</v>
      </c>
    </row>
    <row r="4972" spans="1:6" x14ac:dyDescent="0.25">
      <c r="A4972" t="s">
        <v>2287</v>
      </c>
      <c r="B4972" t="s">
        <v>2288</v>
      </c>
      <c r="C4972" t="s">
        <v>2289</v>
      </c>
      <c r="D4972" t="s">
        <v>718</v>
      </c>
      <c r="E4972" t="s">
        <v>271</v>
      </c>
      <c r="F4972" t="s">
        <v>333</v>
      </c>
    </row>
    <row r="4973" spans="1:6" x14ac:dyDescent="0.25">
      <c r="A4973" t="s">
        <v>2945</v>
      </c>
      <c r="B4973" t="s">
        <v>2946</v>
      </c>
      <c r="C4973" t="s">
        <v>2947</v>
      </c>
      <c r="D4973" t="s">
        <v>0</v>
      </c>
      <c r="E4973" t="s">
        <v>271</v>
      </c>
      <c r="F4973" t="s">
        <v>726</v>
      </c>
    </row>
    <row r="4974" spans="1:6" x14ac:dyDescent="0.25">
      <c r="A4974" t="s">
        <v>1597</v>
      </c>
      <c r="B4974" t="s">
        <v>1598</v>
      </c>
      <c r="C4974" t="s">
        <v>1602</v>
      </c>
      <c r="D4974" t="s">
        <v>1601</v>
      </c>
      <c r="E4974" t="s">
        <v>269</v>
      </c>
      <c r="F4974" t="s">
        <v>1600</v>
      </c>
    </row>
    <row r="4975" spans="1:6" x14ac:dyDescent="0.25">
      <c r="A4975" t="s">
        <v>16603</v>
      </c>
      <c r="B4975" t="s">
        <v>16604</v>
      </c>
      <c r="C4975" t="s">
        <v>16605</v>
      </c>
      <c r="D4975" t="s">
        <v>0</v>
      </c>
      <c r="E4975" t="s">
        <v>271</v>
      </c>
      <c r="F4975" t="s">
        <v>319</v>
      </c>
    </row>
    <row r="4976" spans="1:6" x14ac:dyDescent="0.25">
      <c r="A4976" t="s">
        <v>16606</v>
      </c>
      <c r="B4976" t="s">
        <v>16607</v>
      </c>
      <c r="C4976" t="s">
        <v>16608</v>
      </c>
      <c r="D4976" t="s">
        <v>510</v>
      </c>
      <c r="E4976" t="s">
        <v>271</v>
      </c>
      <c r="F4976" t="s">
        <v>437</v>
      </c>
    </row>
    <row r="4977" spans="1:6" x14ac:dyDescent="0.25">
      <c r="A4977" t="s">
        <v>16609</v>
      </c>
      <c r="B4977" t="s">
        <v>16610</v>
      </c>
      <c r="C4977" t="s">
        <v>16611</v>
      </c>
      <c r="D4977" t="s">
        <v>312</v>
      </c>
      <c r="E4977" t="s">
        <v>271</v>
      </c>
      <c r="F4977" t="s">
        <v>311</v>
      </c>
    </row>
    <row r="4978" spans="1:6" x14ac:dyDescent="0.25">
      <c r="A4978" t="s">
        <v>16612</v>
      </c>
      <c r="B4978" t="s">
        <v>16613</v>
      </c>
      <c r="C4978" t="s">
        <v>16614</v>
      </c>
      <c r="D4978" t="s">
        <v>2714</v>
      </c>
      <c r="E4978" t="s">
        <v>271</v>
      </c>
      <c r="F4978" t="s">
        <v>2713</v>
      </c>
    </row>
    <row r="4979" spans="1:6" x14ac:dyDescent="0.25">
      <c r="A4979" t="s">
        <v>2649</v>
      </c>
      <c r="B4979" t="s">
        <v>2650</v>
      </c>
      <c r="C4979" t="s">
        <v>2651</v>
      </c>
      <c r="D4979" t="s">
        <v>1079</v>
      </c>
      <c r="E4979" t="s">
        <v>271</v>
      </c>
      <c r="F4979" t="s">
        <v>1176</v>
      </c>
    </row>
    <row r="4980" spans="1:6" x14ac:dyDescent="0.25">
      <c r="A4980" t="s">
        <v>16615</v>
      </c>
      <c r="B4980" t="s">
        <v>16616</v>
      </c>
      <c r="C4980" t="s">
        <v>2100</v>
      </c>
      <c r="D4980" t="s">
        <v>272</v>
      </c>
      <c r="E4980" t="s">
        <v>269</v>
      </c>
      <c r="F4980" t="s">
        <v>907</v>
      </c>
    </row>
    <row r="4981" spans="1:6" x14ac:dyDescent="0.25">
      <c r="A4981" t="s">
        <v>2792</v>
      </c>
      <c r="B4981" t="s">
        <v>2793</v>
      </c>
      <c r="C4981" t="s">
        <v>2795</v>
      </c>
      <c r="D4981" t="s">
        <v>450</v>
      </c>
      <c r="E4981" t="s">
        <v>271</v>
      </c>
      <c r="F4981" t="s">
        <v>2794</v>
      </c>
    </row>
    <row r="4982" spans="1:6" x14ac:dyDescent="0.25">
      <c r="A4982" t="s">
        <v>16617</v>
      </c>
      <c r="B4982" t="s">
        <v>16618</v>
      </c>
      <c r="C4982" t="s">
        <v>16619</v>
      </c>
      <c r="D4982" t="s">
        <v>2024</v>
      </c>
      <c r="E4982" t="s">
        <v>271</v>
      </c>
      <c r="F4982" t="s">
        <v>428</v>
      </c>
    </row>
    <row r="4983" spans="1:6" x14ac:dyDescent="0.25">
      <c r="A4983" t="s">
        <v>16620</v>
      </c>
      <c r="B4983" t="s">
        <v>16621</v>
      </c>
      <c r="C4983" t="s">
        <v>16622</v>
      </c>
      <c r="D4983" t="s">
        <v>503</v>
      </c>
      <c r="E4983" t="s">
        <v>271</v>
      </c>
      <c r="F4983" t="s">
        <v>504</v>
      </c>
    </row>
    <row r="4984" spans="1:6" x14ac:dyDescent="0.25">
      <c r="A4984" t="s">
        <v>16623</v>
      </c>
      <c r="B4984" t="s">
        <v>542</v>
      </c>
      <c r="C4984" t="s">
        <v>16624</v>
      </c>
      <c r="D4984" t="s">
        <v>446</v>
      </c>
      <c r="E4984" t="s">
        <v>271</v>
      </c>
      <c r="F4984" t="s">
        <v>447</v>
      </c>
    </row>
    <row r="4985" spans="1:6" x14ac:dyDescent="0.25">
      <c r="A4985" t="s">
        <v>16625</v>
      </c>
      <c r="B4985" t="s">
        <v>16626</v>
      </c>
      <c r="C4985" t="s">
        <v>16627</v>
      </c>
      <c r="D4985" t="s">
        <v>0</v>
      </c>
      <c r="E4985" t="s">
        <v>271</v>
      </c>
      <c r="F4985" t="s">
        <v>355</v>
      </c>
    </row>
    <row r="4986" spans="1:6" x14ac:dyDescent="0.25">
      <c r="A4986" t="s">
        <v>16628</v>
      </c>
      <c r="B4986" t="s">
        <v>16629</v>
      </c>
      <c r="C4986" t="s">
        <v>16630</v>
      </c>
      <c r="D4986" t="s">
        <v>0</v>
      </c>
      <c r="E4986" t="s">
        <v>271</v>
      </c>
      <c r="F4986" t="s">
        <v>1141</v>
      </c>
    </row>
    <row r="4987" spans="1:6" x14ac:dyDescent="0.25">
      <c r="A4987" t="s">
        <v>16631</v>
      </c>
      <c r="B4987" t="s">
        <v>16632</v>
      </c>
      <c r="C4987" t="s">
        <v>16633</v>
      </c>
      <c r="D4987" t="s">
        <v>1638</v>
      </c>
      <c r="E4987" t="s">
        <v>271</v>
      </c>
      <c r="F4987" t="s">
        <v>1637</v>
      </c>
    </row>
    <row r="4988" spans="1:6" x14ac:dyDescent="0.25">
      <c r="A4988" t="s">
        <v>3622</v>
      </c>
      <c r="B4988" t="s">
        <v>3623</v>
      </c>
      <c r="C4988" t="s">
        <v>3626</v>
      </c>
      <c r="D4988" t="s">
        <v>3625</v>
      </c>
      <c r="E4988" t="s">
        <v>269</v>
      </c>
      <c r="F4988" t="s">
        <v>3624</v>
      </c>
    </row>
    <row r="4989" spans="1:6" x14ac:dyDescent="0.25">
      <c r="A4989" t="s">
        <v>16634</v>
      </c>
      <c r="B4989" t="s">
        <v>543</v>
      </c>
      <c r="C4989" t="s">
        <v>16635</v>
      </c>
      <c r="D4989" t="s">
        <v>1925</v>
      </c>
      <c r="E4989" t="s">
        <v>271</v>
      </c>
      <c r="F4989" t="s">
        <v>1924</v>
      </c>
    </row>
    <row r="4990" spans="1:6" x14ac:dyDescent="0.25">
      <c r="A4990" t="s">
        <v>16636</v>
      </c>
      <c r="B4990" t="s">
        <v>16637</v>
      </c>
      <c r="C4990" t="s">
        <v>16638</v>
      </c>
      <c r="D4990" t="s">
        <v>2311</v>
      </c>
      <c r="E4990" t="s">
        <v>271</v>
      </c>
      <c r="F4990" t="s">
        <v>424</v>
      </c>
    </row>
    <row r="4991" spans="1:6" x14ac:dyDescent="0.25">
      <c r="A4991" t="s">
        <v>16639</v>
      </c>
      <c r="B4991" t="s">
        <v>16640</v>
      </c>
      <c r="C4991" t="s">
        <v>16641</v>
      </c>
      <c r="D4991" t="s">
        <v>4486</v>
      </c>
      <c r="E4991" t="s">
        <v>271</v>
      </c>
      <c r="F4991" t="s">
        <v>4417</v>
      </c>
    </row>
    <row r="4992" spans="1:6" x14ac:dyDescent="0.25">
      <c r="A4992" t="s">
        <v>16642</v>
      </c>
      <c r="B4992" t="s">
        <v>16643</v>
      </c>
      <c r="C4992" t="s">
        <v>16644</v>
      </c>
      <c r="D4992" t="s">
        <v>1862</v>
      </c>
      <c r="E4992" t="s">
        <v>271</v>
      </c>
      <c r="F4992" t="s">
        <v>1861</v>
      </c>
    </row>
    <row r="4993" spans="1:6" x14ac:dyDescent="0.25">
      <c r="A4993" t="s">
        <v>1508</v>
      </c>
      <c r="B4993" t="s">
        <v>1509</v>
      </c>
      <c r="C4993" t="s">
        <v>1510</v>
      </c>
      <c r="D4993" t="s">
        <v>1239</v>
      </c>
      <c r="E4993" t="s">
        <v>271</v>
      </c>
      <c r="F4993" t="s">
        <v>1238</v>
      </c>
    </row>
    <row r="4994" spans="1:6" x14ac:dyDescent="0.25">
      <c r="A4994" t="s">
        <v>16645</v>
      </c>
      <c r="B4994" t="s">
        <v>16646</v>
      </c>
      <c r="C4994" t="s">
        <v>16647</v>
      </c>
      <c r="D4994" t="s">
        <v>472</v>
      </c>
      <c r="E4994" t="s">
        <v>271</v>
      </c>
      <c r="F4994" t="s">
        <v>318</v>
      </c>
    </row>
    <row r="4995" spans="1:6" x14ac:dyDescent="0.25">
      <c r="A4995" t="s">
        <v>16648</v>
      </c>
      <c r="B4995" t="s">
        <v>16649</v>
      </c>
      <c r="C4995" t="s">
        <v>16650</v>
      </c>
      <c r="D4995" t="s">
        <v>14189</v>
      </c>
      <c r="E4995" t="s">
        <v>271</v>
      </c>
      <c r="F4995" t="s">
        <v>14190</v>
      </c>
    </row>
    <row r="4996" spans="1:6" x14ac:dyDescent="0.25">
      <c r="A4996" t="s">
        <v>16651</v>
      </c>
      <c r="B4996" t="s">
        <v>16652</v>
      </c>
      <c r="C4996" t="s">
        <v>16653</v>
      </c>
      <c r="D4996" t="s">
        <v>0</v>
      </c>
      <c r="E4996" t="s">
        <v>271</v>
      </c>
      <c r="F4996" t="s">
        <v>881</v>
      </c>
    </row>
    <row r="4997" spans="1:6" x14ac:dyDescent="0.25">
      <c r="A4997" t="s">
        <v>16654</v>
      </c>
      <c r="B4997" t="s">
        <v>16655</v>
      </c>
      <c r="C4997" t="s">
        <v>16656</v>
      </c>
      <c r="D4997" t="s">
        <v>572</v>
      </c>
      <c r="E4997" t="s">
        <v>271</v>
      </c>
      <c r="F4997" t="s">
        <v>335</v>
      </c>
    </row>
    <row r="4998" spans="1:6" x14ac:dyDescent="0.25">
      <c r="A4998" t="s">
        <v>2856</v>
      </c>
      <c r="B4998" t="s">
        <v>2857</v>
      </c>
      <c r="C4998" t="s">
        <v>2858</v>
      </c>
      <c r="D4998" t="s">
        <v>1361</v>
      </c>
      <c r="E4998" t="s">
        <v>271</v>
      </c>
      <c r="F4998" t="s">
        <v>2260</v>
      </c>
    </row>
    <row r="4999" spans="1:6" x14ac:dyDescent="0.25">
      <c r="A4999" t="s">
        <v>16657</v>
      </c>
      <c r="B4999" t="s">
        <v>16658</v>
      </c>
      <c r="C4999" t="s">
        <v>16659</v>
      </c>
      <c r="D4999" t="s">
        <v>1027</v>
      </c>
      <c r="E4999" t="s">
        <v>271</v>
      </c>
      <c r="F4999" t="s">
        <v>1026</v>
      </c>
    </row>
    <row r="5000" spans="1:6" x14ac:dyDescent="0.25">
      <c r="A5000" t="s">
        <v>16660</v>
      </c>
      <c r="B5000" t="s">
        <v>16661</v>
      </c>
      <c r="C5000" t="s">
        <v>16662</v>
      </c>
      <c r="D5000" t="s">
        <v>0</v>
      </c>
      <c r="E5000" t="s">
        <v>271</v>
      </c>
      <c r="F5000" t="s">
        <v>2608</v>
      </c>
    </row>
    <row r="5001" spans="1:6" x14ac:dyDescent="0.25">
      <c r="A5001" t="s">
        <v>16663</v>
      </c>
      <c r="B5001" t="s">
        <v>16664</v>
      </c>
      <c r="C5001" t="s">
        <v>16665</v>
      </c>
      <c r="D5001" t="s">
        <v>0</v>
      </c>
      <c r="E5001" t="s">
        <v>271</v>
      </c>
      <c r="F5001" t="s">
        <v>332</v>
      </c>
    </row>
    <row r="5002" spans="1:6" x14ac:dyDescent="0.25">
      <c r="A5002" t="s">
        <v>16666</v>
      </c>
      <c r="B5002" t="s">
        <v>16667</v>
      </c>
      <c r="C5002" t="s">
        <v>16668</v>
      </c>
      <c r="D5002" t="s">
        <v>498</v>
      </c>
      <c r="E5002" t="s">
        <v>271</v>
      </c>
      <c r="F5002" t="s">
        <v>926</v>
      </c>
    </row>
    <row r="5003" spans="1:6" x14ac:dyDescent="0.25">
      <c r="A5003" t="s">
        <v>16669</v>
      </c>
      <c r="B5003" t="s">
        <v>16670</v>
      </c>
      <c r="C5003" t="s">
        <v>16671</v>
      </c>
      <c r="D5003" t="s">
        <v>572</v>
      </c>
      <c r="E5003" t="s">
        <v>271</v>
      </c>
      <c r="F5003" t="s">
        <v>335</v>
      </c>
    </row>
    <row r="5004" spans="1:6" x14ac:dyDescent="0.25">
      <c r="A5004" t="s">
        <v>16672</v>
      </c>
      <c r="B5004" t="s">
        <v>16673</v>
      </c>
      <c r="C5004" t="s">
        <v>16674</v>
      </c>
      <c r="D5004" t="s">
        <v>2471</v>
      </c>
      <c r="E5004" t="s">
        <v>271</v>
      </c>
      <c r="F5004" t="s">
        <v>2470</v>
      </c>
    </row>
    <row r="5005" spans="1:6" x14ac:dyDescent="0.25">
      <c r="A5005" t="s">
        <v>16675</v>
      </c>
      <c r="B5005" t="s">
        <v>6230</v>
      </c>
      <c r="C5005" t="s">
        <v>16676</v>
      </c>
      <c r="D5005" t="s">
        <v>1199</v>
      </c>
      <c r="E5005" t="s">
        <v>271</v>
      </c>
      <c r="F5005" t="s">
        <v>1198</v>
      </c>
    </row>
    <row r="5006" spans="1:6" x14ac:dyDescent="0.25">
      <c r="A5006" t="s">
        <v>16677</v>
      </c>
      <c r="B5006" t="s">
        <v>16678</v>
      </c>
      <c r="C5006" t="s">
        <v>16679</v>
      </c>
      <c r="D5006" t="s">
        <v>0</v>
      </c>
      <c r="E5006" t="s">
        <v>271</v>
      </c>
      <c r="F5006" t="s">
        <v>4378</v>
      </c>
    </row>
    <row r="5007" spans="1:6" x14ac:dyDescent="0.25">
      <c r="A5007" t="s">
        <v>16680</v>
      </c>
      <c r="B5007" t="s">
        <v>16681</v>
      </c>
      <c r="C5007" t="s">
        <v>16682</v>
      </c>
      <c r="D5007" t="s">
        <v>4470</v>
      </c>
      <c r="E5007" t="s">
        <v>271</v>
      </c>
      <c r="F5007" t="s">
        <v>4426</v>
      </c>
    </row>
    <row r="5008" spans="1:6" x14ac:dyDescent="0.25">
      <c r="A5008" t="s">
        <v>16683</v>
      </c>
      <c r="B5008" t="s">
        <v>16684</v>
      </c>
      <c r="C5008" t="s">
        <v>16685</v>
      </c>
      <c r="D5008" t="s">
        <v>2589</v>
      </c>
      <c r="E5008" t="s">
        <v>271</v>
      </c>
      <c r="F5008" t="s">
        <v>2588</v>
      </c>
    </row>
    <row r="5009" spans="1:6" x14ac:dyDescent="0.25">
      <c r="A5009" t="s">
        <v>16686</v>
      </c>
      <c r="B5009" t="s">
        <v>16687</v>
      </c>
      <c r="C5009" t="s">
        <v>16688</v>
      </c>
      <c r="D5009" t="s">
        <v>0</v>
      </c>
      <c r="E5009" t="s">
        <v>271</v>
      </c>
      <c r="F5009" t="s">
        <v>895</v>
      </c>
    </row>
    <row r="5010" spans="1:6" x14ac:dyDescent="0.25">
      <c r="A5010" t="s">
        <v>16689</v>
      </c>
      <c r="B5010" t="s">
        <v>16690</v>
      </c>
      <c r="C5010" t="s">
        <v>16691</v>
      </c>
      <c r="D5010" t="s">
        <v>357</v>
      </c>
      <c r="E5010" t="s">
        <v>271</v>
      </c>
      <c r="F5010" t="s">
        <v>358</v>
      </c>
    </row>
    <row r="5011" spans="1:6" x14ac:dyDescent="0.25">
      <c r="A5011" t="s">
        <v>16692</v>
      </c>
      <c r="B5011" t="s">
        <v>16693</v>
      </c>
      <c r="C5011" t="s">
        <v>16694</v>
      </c>
      <c r="D5011" t="s">
        <v>503</v>
      </c>
      <c r="E5011" t="s">
        <v>271</v>
      </c>
      <c r="F5011" t="s">
        <v>504</v>
      </c>
    </row>
    <row r="5012" spans="1:6" x14ac:dyDescent="0.25">
      <c r="A5012" t="s">
        <v>16695</v>
      </c>
      <c r="B5012" t="s">
        <v>16696</v>
      </c>
      <c r="C5012" t="s">
        <v>16697</v>
      </c>
      <c r="D5012" t="s">
        <v>1915</v>
      </c>
      <c r="E5012" t="s">
        <v>269</v>
      </c>
      <c r="F5012" t="s">
        <v>1914</v>
      </c>
    </row>
    <row r="5013" spans="1:6" x14ac:dyDescent="0.25">
      <c r="A5013" t="s">
        <v>16698</v>
      </c>
      <c r="B5013" t="s">
        <v>16699</v>
      </c>
      <c r="C5013" t="s">
        <v>16700</v>
      </c>
      <c r="D5013" t="s">
        <v>1051</v>
      </c>
      <c r="E5013" t="s">
        <v>271</v>
      </c>
      <c r="F5013" t="s">
        <v>1050</v>
      </c>
    </row>
    <row r="5014" spans="1:6" x14ac:dyDescent="0.25">
      <c r="A5014" t="s">
        <v>16701</v>
      </c>
      <c r="B5014" t="s">
        <v>16702</v>
      </c>
      <c r="C5014" t="s">
        <v>16703</v>
      </c>
      <c r="D5014" t="s">
        <v>0</v>
      </c>
      <c r="E5014" t="s">
        <v>271</v>
      </c>
      <c r="F5014" t="s">
        <v>3652</v>
      </c>
    </row>
    <row r="5015" spans="1:6" x14ac:dyDescent="0.25">
      <c r="A5015" t="s">
        <v>16704</v>
      </c>
      <c r="B5015" t="s">
        <v>16705</v>
      </c>
      <c r="C5015" t="s">
        <v>16706</v>
      </c>
      <c r="D5015" t="s">
        <v>845</v>
      </c>
      <c r="E5015" t="s">
        <v>271</v>
      </c>
      <c r="F5015" t="s">
        <v>844</v>
      </c>
    </row>
    <row r="5016" spans="1:6" x14ac:dyDescent="0.25">
      <c r="A5016" t="s">
        <v>16707</v>
      </c>
      <c r="B5016" t="s">
        <v>16708</v>
      </c>
      <c r="C5016" t="s">
        <v>16709</v>
      </c>
      <c r="D5016" t="s">
        <v>586</v>
      </c>
      <c r="E5016" t="s">
        <v>271</v>
      </c>
      <c r="F5016" t="s">
        <v>662</v>
      </c>
    </row>
    <row r="5017" spans="1:6" x14ac:dyDescent="0.25">
      <c r="A5017" t="s">
        <v>16710</v>
      </c>
      <c r="B5017" t="s">
        <v>8386</v>
      </c>
      <c r="C5017" t="s">
        <v>16711</v>
      </c>
      <c r="D5017" t="s">
        <v>0</v>
      </c>
      <c r="E5017" t="s">
        <v>271</v>
      </c>
      <c r="F5017" t="s">
        <v>2377</v>
      </c>
    </row>
    <row r="5018" spans="1:6" x14ac:dyDescent="0.25">
      <c r="A5018" t="s">
        <v>16712</v>
      </c>
      <c r="B5018" t="s">
        <v>16713</v>
      </c>
      <c r="C5018" t="s">
        <v>16714</v>
      </c>
      <c r="D5018" t="s">
        <v>2024</v>
      </c>
      <c r="E5018" t="s">
        <v>271</v>
      </c>
      <c r="F5018" t="s">
        <v>428</v>
      </c>
    </row>
    <row r="5019" spans="1:6" x14ac:dyDescent="0.25">
      <c r="A5019" t="s">
        <v>16715</v>
      </c>
      <c r="B5019" t="s">
        <v>16716</v>
      </c>
      <c r="C5019" t="s">
        <v>9135</v>
      </c>
      <c r="D5019" t="s">
        <v>5591</v>
      </c>
      <c r="E5019" t="s">
        <v>269</v>
      </c>
      <c r="F5019" t="s">
        <v>1742</v>
      </c>
    </row>
    <row r="5020" spans="1:6" x14ac:dyDescent="0.25">
      <c r="A5020" t="s">
        <v>16717</v>
      </c>
      <c r="B5020" t="s">
        <v>264</v>
      </c>
      <c r="C5020" t="s">
        <v>16718</v>
      </c>
      <c r="D5020" t="s">
        <v>675</v>
      </c>
      <c r="E5020" t="s">
        <v>271</v>
      </c>
      <c r="F5020" t="s">
        <v>674</v>
      </c>
    </row>
    <row r="5021" spans="1:6" x14ac:dyDescent="0.25">
      <c r="A5021" t="s">
        <v>16719</v>
      </c>
      <c r="B5021" t="s">
        <v>16720</v>
      </c>
      <c r="C5021" t="s">
        <v>16721</v>
      </c>
      <c r="D5021" t="s">
        <v>8</v>
      </c>
      <c r="E5021" t="s">
        <v>271</v>
      </c>
      <c r="F5021" t="s">
        <v>753</v>
      </c>
    </row>
    <row r="5022" spans="1:6" x14ac:dyDescent="0.25">
      <c r="A5022" t="s">
        <v>16722</v>
      </c>
      <c r="B5022" t="s">
        <v>16723</v>
      </c>
      <c r="C5022" t="s">
        <v>16724</v>
      </c>
      <c r="D5022" t="s">
        <v>2009</v>
      </c>
      <c r="E5022" t="s">
        <v>271</v>
      </c>
      <c r="F5022" t="s">
        <v>2008</v>
      </c>
    </row>
    <row r="5023" spans="1:6" x14ac:dyDescent="0.25">
      <c r="A5023" t="s">
        <v>16725</v>
      </c>
      <c r="B5023" t="s">
        <v>16726</v>
      </c>
      <c r="C5023" t="s">
        <v>16727</v>
      </c>
      <c r="D5023" t="s">
        <v>5591</v>
      </c>
      <c r="E5023" t="s">
        <v>269</v>
      </c>
      <c r="F5023" t="s">
        <v>1742</v>
      </c>
    </row>
    <row r="5024" spans="1:6" x14ac:dyDescent="0.25">
      <c r="A5024" t="s">
        <v>2967</v>
      </c>
      <c r="B5024" t="s">
        <v>2968</v>
      </c>
      <c r="C5024" t="s">
        <v>2969</v>
      </c>
      <c r="D5024" t="s">
        <v>506</v>
      </c>
      <c r="E5024" t="s">
        <v>271</v>
      </c>
      <c r="F5024" t="s">
        <v>507</v>
      </c>
    </row>
    <row r="5025" spans="1:6" x14ac:dyDescent="0.25">
      <c r="A5025" t="s">
        <v>16728</v>
      </c>
      <c r="B5025" t="s">
        <v>16729</v>
      </c>
      <c r="C5025" t="s">
        <v>16730</v>
      </c>
      <c r="D5025" t="s">
        <v>222</v>
      </c>
      <c r="E5025" t="s">
        <v>271</v>
      </c>
      <c r="F5025" t="s">
        <v>4414</v>
      </c>
    </row>
    <row r="5026" spans="1:6" x14ac:dyDescent="0.25">
      <c r="A5026" t="s">
        <v>1867</v>
      </c>
      <c r="B5026" t="s">
        <v>1868</v>
      </c>
      <c r="C5026" t="s">
        <v>1869</v>
      </c>
      <c r="D5026" t="s">
        <v>0</v>
      </c>
      <c r="E5026" t="s">
        <v>271</v>
      </c>
      <c r="F5026" t="s">
        <v>1115</v>
      </c>
    </row>
    <row r="5027" spans="1:6" x14ac:dyDescent="0.25">
      <c r="A5027" t="s">
        <v>16731</v>
      </c>
      <c r="B5027" t="s">
        <v>16732</v>
      </c>
      <c r="C5027" t="s">
        <v>16733</v>
      </c>
      <c r="D5027" t="s">
        <v>453</v>
      </c>
      <c r="E5027" t="s">
        <v>271</v>
      </c>
      <c r="F5027" t="s">
        <v>454</v>
      </c>
    </row>
    <row r="5028" spans="1:6" x14ac:dyDescent="0.25">
      <c r="A5028" t="s">
        <v>16734</v>
      </c>
      <c r="B5028" t="s">
        <v>16735</v>
      </c>
      <c r="C5028" t="s">
        <v>16736</v>
      </c>
      <c r="D5028" t="s">
        <v>616</v>
      </c>
      <c r="E5028" t="s">
        <v>271</v>
      </c>
      <c r="F5028" t="s">
        <v>1102</v>
      </c>
    </row>
    <row r="5029" spans="1:6" x14ac:dyDescent="0.25">
      <c r="A5029" t="s">
        <v>16737</v>
      </c>
      <c r="B5029" t="s">
        <v>16738</v>
      </c>
      <c r="C5029" t="s">
        <v>16739</v>
      </c>
      <c r="D5029" t="s">
        <v>0</v>
      </c>
      <c r="E5029" t="s">
        <v>271</v>
      </c>
      <c r="F5029" t="s">
        <v>4295</v>
      </c>
    </row>
    <row r="5030" spans="1:6" x14ac:dyDescent="0.25">
      <c r="A5030" t="s">
        <v>16740</v>
      </c>
      <c r="B5030" t="s">
        <v>16741</v>
      </c>
      <c r="C5030" t="s">
        <v>14516</v>
      </c>
      <c r="D5030" t="s">
        <v>1079</v>
      </c>
      <c r="E5030" t="s">
        <v>271</v>
      </c>
      <c r="F5030" t="s">
        <v>3880</v>
      </c>
    </row>
    <row r="5031" spans="1:6" x14ac:dyDescent="0.25">
      <c r="A5031" t="s">
        <v>16742</v>
      </c>
      <c r="B5031" t="s">
        <v>16743</v>
      </c>
      <c r="C5031" t="s">
        <v>5221</v>
      </c>
      <c r="D5031" t="s">
        <v>0</v>
      </c>
      <c r="E5031" t="s">
        <v>271</v>
      </c>
      <c r="F5031" t="s">
        <v>325</v>
      </c>
    </row>
    <row r="5032" spans="1:6" x14ac:dyDescent="0.25">
      <c r="A5032" t="s">
        <v>3200</v>
      </c>
      <c r="B5032" t="s">
        <v>3201</v>
      </c>
      <c r="C5032" t="s">
        <v>3204</v>
      </c>
      <c r="D5032" t="s">
        <v>3203</v>
      </c>
      <c r="E5032" t="s">
        <v>269</v>
      </c>
      <c r="F5032" t="s">
        <v>3202</v>
      </c>
    </row>
    <row r="5033" spans="1:6" x14ac:dyDescent="0.25">
      <c r="A5033" t="s">
        <v>2055</v>
      </c>
      <c r="B5033" t="s">
        <v>2056</v>
      </c>
      <c r="C5033" t="s">
        <v>2059</v>
      </c>
      <c r="D5033" t="s">
        <v>2058</v>
      </c>
      <c r="E5033" t="s">
        <v>271</v>
      </c>
      <c r="F5033" t="s">
        <v>2057</v>
      </c>
    </row>
    <row r="5034" spans="1:6" x14ac:dyDescent="0.25">
      <c r="A5034" t="s">
        <v>16744</v>
      </c>
      <c r="B5034" t="s">
        <v>16745</v>
      </c>
      <c r="C5034" t="s">
        <v>16746</v>
      </c>
      <c r="D5034" t="s">
        <v>0</v>
      </c>
      <c r="E5034" t="s">
        <v>271</v>
      </c>
      <c r="F5034" t="s">
        <v>881</v>
      </c>
    </row>
    <row r="5035" spans="1:6" x14ac:dyDescent="0.25">
      <c r="A5035" t="s">
        <v>16747</v>
      </c>
      <c r="B5035" t="s">
        <v>16748</v>
      </c>
      <c r="C5035" t="s">
        <v>16749</v>
      </c>
      <c r="D5035" t="s">
        <v>288</v>
      </c>
      <c r="E5035" t="s">
        <v>271</v>
      </c>
      <c r="F5035" t="s">
        <v>300</v>
      </c>
    </row>
    <row r="5036" spans="1:6" x14ac:dyDescent="0.25">
      <c r="A5036" t="s">
        <v>16750</v>
      </c>
      <c r="B5036" t="s">
        <v>16751</v>
      </c>
      <c r="C5036" t="s">
        <v>4731</v>
      </c>
      <c r="D5036" t="s">
        <v>0</v>
      </c>
      <c r="E5036" t="s">
        <v>271</v>
      </c>
      <c r="F5036" t="s">
        <v>431</v>
      </c>
    </row>
    <row r="5037" spans="1:6" x14ac:dyDescent="0.25">
      <c r="A5037" t="s">
        <v>16752</v>
      </c>
      <c r="B5037" t="s">
        <v>16753</v>
      </c>
      <c r="C5037" t="s">
        <v>16754</v>
      </c>
      <c r="D5037" t="s">
        <v>1165</v>
      </c>
      <c r="E5037" t="s">
        <v>271</v>
      </c>
      <c r="F5037" t="s">
        <v>1402</v>
      </c>
    </row>
    <row r="5038" spans="1:6" x14ac:dyDescent="0.25">
      <c r="A5038" t="s">
        <v>2222</v>
      </c>
      <c r="B5038" t="s">
        <v>2223</v>
      </c>
      <c r="C5038" t="s">
        <v>2224</v>
      </c>
      <c r="D5038" t="s">
        <v>0</v>
      </c>
      <c r="E5038" t="s">
        <v>271</v>
      </c>
      <c r="F5038" t="s">
        <v>881</v>
      </c>
    </row>
    <row r="5039" spans="1:6" x14ac:dyDescent="0.25">
      <c r="A5039" t="s">
        <v>16755</v>
      </c>
      <c r="B5039" t="s">
        <v>16756</v>
      </c>
      <c r="C5039" t="s">
        <v>16757</v>
      </c>
      <c r="D5039" t="s">
        <v>1601</v>
      </c>
      <c r="E5039" t="s">
        <v>269</v>
      </c>
      <c r="F5039" t="s">
        <v>3126</v>
      </c>
    </row>
    <row r="5040" spans="1:6" x14ac:dyDescent="0.25">
      <c r="A5040" t="s">
        <v>16758</v>
      </c>
      <c r="B5040" t="s">
        <v>16759</v>
      </c>
      <c r="C5040" t="s">
        <v>16760</v>
      </c>
      <c r="D5040" t="s">
        <v>0</v>
      </c>
      <c r="E5040" t="s">
        <v>271</v>
      </c>
      <c r="F5040" t="s">
        <v>332</v>
      </c>
    </row>
    <row r="5041" spans="1:6" x14ac:dyDescent="0.25">
      <c r="A5041" t="s">
        <v>16761</v>
      </c>
      <c r="B5041" t="s">
        <v>16762</v>
      </c>
      <c r="C5041" t="s">
        <v>16763</v>
      </c>
      <c r="D5041" t="s">
        <v>16764</v>
      </c>
      <c r="E5041" t="s">
        <v>271</v>
      </c>
      <c r="F5041" t="s">
        <v>16765</v>
      </c>
    </row>
    <row r="5042" spans="1:6" x14ac:dyDescent="0.25">
      <c r="A5042" t="s">
        <v>16766</v>
      </c>
      <c r="B5042" t="s">
        <v>16767</v>
      </c>
      <c r="C5042" t="s">
        <v>16768</v>
      </c>
      <c r="D5042" t="s">
        <v>14189</v>
      </c>
      <c r="E5042" t="s">
        <v>271</v>
      </c>
      <c r="F5042" t="s">
        <v>14190</v>
      </c>
    </row>
    <row r="5043" spans="1:6" x14ac:dyDescent="0.25">
      <c r="A5043" t="s">
        <v>16769</v>
      </c>
      <c r="B5043" t="s">
        <v>16770</v>
      </c>
      <c r="C5043" t="s">
        <v>16771</v>
      </c>
      <c r="D5043" t="s">
        <v>7183</v>
      </c>
      <c r="E5043" t="s">
        <v>271</v>
      </c>
      <c r="F5043" t="s">
        <v>435</v>
      </c>
    </row>
    <row r="5044" spans="1:6" x14ac:dyDescent="0.25">
      <c r="A5044" t="s">
        <v>16772</v>
      </c>
      <c r="B5044" t="s">
        <v>16773</v>
      </c>
      <c r="C5044" t="s">
        <v>16774</v>
      </c>
      <c r="D5044" t="s">
        <v>1806</v>
      </c>
      <c r="E5044" t="s">
        <v>271</v>
      </c>
      <c r="F5044" t="s">
        <v>1805</v>
      </c>
    </row>
    <row r="5045" spans="1:6" x14ac:dyDescent="0.25">
      <c r="A5045" t="s">
        <v>16775</v>
      </c>
      <c r="B5045" t="s">
        <v>16776</v>
      </c>
      <c r="C5045" t="s">
        <v>16777</v>
      </c>
      <c r="D5045" t="s">
        <v>5890</v>
      </c>
      <c r="E5045" t="s">
        <v>271</v>
      </c>
      <c r="F5045" t="s">
        <v>4422</v>
      </c>
    </row>
    <row r="5046" spans="1:6" x14ac:dyDescent="0.25">
      <c r="A5046" t="s">
        <v>16778</v>
      </c>
      <c r="B5046" t="s">
        <v>16779</v>
      </c>
      <c r="C5046" t="s">
        <v>16780</v>
      </c>
      <c r="D5046" t="s">
        <v>1643</v>
      </c>
      <c r="E5046" t="s">
        <v>271</v>
      </c>
      <c r="F5046" t="s">
        <v>1642</v>
      </c>
    </row>
    <row r="5047" spans="1:6" x14ac:dyDescent="0.25">
      <c r="A5047" t="s">
        <v>16781</v>
      </c>
      <c r="B5047" t="s">
        <v>16782</v>
      </c>
      <c r="C5047" t="s">
        <v>5160</v>
      </c>
      <c r="D5047" t="s">
        <v>472</v>
      </c>
      <c r="E5047" t="s">
        <v>271</v>
      </c>
      <c r="F5047" t="s">
        <v>318</v>
      </c>
    </row>
    <row r="5048" spans="1:6" x14ac:dyDescent="0.25">
      <c r="A5048" t="s">
        <v>16783</v>
      </c>
      <c r="B5048" t="s">
        <v>15213</v>
      </c>
      <c r="C5048" t="s">
        <v>15214</v>
      </c>
      <c r="D5048" t="s">
        <v>498</v>
      </c>
      <c r="E5048" t="s">
        <v>271</v>
      </c>
      <c r="F5048" t="s">
        <v>926</v>
      </c>
    </row>
    <row r="5049" spans="1:6" x14ac:dyDescent="0.25">
      <c r="A5049" t="s">
        <v>16784</v>
      </c>
      <c r="B5049" t="s">
        <v>16785</v>
      </c>
      <c r="C5049" t="s">
        <v>16786</v>
      </c>
      <c r="D5049" t="s">
        <v>0</v>
      </c>
      <c r="E5049" t="s">
        <v>271</v>
      </c>
      <c r="F5049" t="s">
        <v>1115</v>
      </c>
    </row>
    <row r="5050" spans="1:6" x14ac:dyDescent="0.25">
      <c r="A5050" t="s">
        <v>16787</v>
      </c>
      <c r="B5050" t="s">
        <v>16788</v>
      </c>
      <c r="C5050" t="s">
        <v>16789</v>
      </c>
      <c r="D5050" t="s">
        <v>347</v>
      </c>
      <c r="E5050" t="s">
        <v>271</v>
      </c>
      <c r="F5050" t="s">
        <v>327</v>
      </c>
    </row>
    <row r="5051" spans="1:6" x14ac:dyDescent="0.25">
      <c r="A5051" t="s">
        <v>16790</v>
      </c>
      <c r="B5051" t="s">
        <v>16791</v>
      </c>
      <c r="C5051" t="s">
        <v>16792</v>
      </c>
      <c r="D5051" t="s">
        <v>0</v>
      </c>
      <c r="E5051" t="s">
        <v>271</v>
      </c>
      <c r="F5051" t="s">
        <v>531</v>
      </c>
    </row>
    <row r="5052" spans="1:6" x14ac:dyDescent="0.25">
      <c r="A5052" t="s">
        <v>1034</v>
      </c>
      <c r="B5052" t="s">
        <v>1035</v>
      </c>
      <c r="C5052" t="s">
        <v>1036</v>
      </c>
      <c r="D5052" t="s">
        <v>402</v>
      </c>
      <c r="E5052" t="s">
        <v>271</v>
      </c>
      <c r="F5052" t="s">
        <v>401</v>
      </c>
    </row>
    <row r="5053" spans="1:6" x14ac:dyDescent="0.25">
      <c r="A5053" t="s">
        <v>16793</v>
      </c>
      <c r="B5053" t="s">
        <v>16794</v>
      </c>
      <c r="C5053" t="s">
        <v>16795</v>
      </c>
      <c r="D5053" t="s">
        <v>822</v>
      </c>
      <c r="E5053" t="s">
        <v>269</v>
      </c>
      <c r="F5053" t="s">
        <v>821</v>
      </c>
    </row>
    <row r="5054" spans="1:6" x14ac:dyDescent="0.25">
      <c r="A5054" t="s">
        <v>16796</v>
      </c>
      <c r="B5054" t="s">
        <v>16797</v>
      </c>
      <c r="C5054" t="s">
        <v>16798</v>
      </c>
      <c r="D5054" t="s">
        <v>223</v>
      </c>
      <c r="E5054" t="s">
        <v>271</v>
      </c>
      <c r="F5054" t="s">
        <v>478</v>
      </c>
    </row>
    <row r="5055" spans="1:6" x14ac:dyDescent="0.25">
      <c r="A5055" t="s">
        <v>16799</v>
      </c>
      <c r="B5055" t="s">
        <v>16800</v>
      </c>
      <c r="C5055" t="s">
        <v>16801</v>
      </c>
      <c r="D5055" t="s">
        <v>0</v>
      </c>
      <c r="E5055" t="s">
        <v>271</v>
      </c>
      <c r="F5055" t="s">
        <v>1115</v>
      </c>
    </row>
    <row r="5056" spans="1:6" x14ac:dyDescent="0.25">
      <c r="A5056" t="s">
        <v>16802</v>
      </c>
      <c r="B5056" t="s">
        <v>16803</v>
      </c>
      <c r="C5056" t="s">
        <v>16804</v>
      </c>
      <c r="D5056" t="s">
        <v>1317</v>
      </c>
      <c r="E5056" t="s">
        <v>271</v>
      </c>
      <c r="F5056" t="s">
        <v>1316</v>
      </c>
    </row>
    <row r="5057" spans="1:6" x14ac:dyDescent="0.25">
      <c r="A5057" t="s">
        <v>16805</v>
      </c>
      <c r="B5057" t="s">
        <v>16806</v>
      </c>
      <c r="C5057" t="s">
        <v>16807</v>
      </c>
      <c r="D5057" t="s">
        <v>472</v>
      </c>
      <c r="E5057" t="s">
        <v>271</v>
      </c>
      <c r="F5057" t="s">
        <v>318</v>
      </c>
    </row>
    <row r="5058" spans="1:6" x14ac:dyDescent="0.25">
      <c r="A5058" t="s">
        <v>16808</v>
      </c>
      <c r="B5058" t="s">
        <v>16809</v>
      </c>
      <c r="C5058" t="s">
        <v>467</v>
      </c>
      <c r="D5058" t="s">
        <v>246</v>
      </c>
      <c r="E5058" t="s">
        <v>271</v>
      </c>
      <c r="F5058" t="s">
        <v>426</v>
      </c>
    </row>
    <row r="5059" spans="1:6" x14ac:dyDescent="0.25">
      <c r="A5059" t="s">
        <v>16810</v>
      </c>
      <c r="B5059" t="s">
        <v>13049</v>
      </c>
      <c r="C5059" t="s">
        <v>16811</v>
      </c>
      <c r="D5059" t="s">
        <v>0</v>
      </c>
      <c r="E5059" t="s">
        <v>271</v>
      </c>
      <c r="F5059" t="s">
        <v>895</v>
      </c>
    </row>
    <row r="5060" spans="1:6" x14ac:dyDescent="0.25">
      <c r="A5060" t="s">
        <v>16812</v>
      </c>
      <c r="B5060" t="s">
        <v>16813</v>
      </c>
      <c r="C5060" t="s">
        <v>16814</v>
      </c>
      <c r="D5060" t="s">
        <v>1601</v>
      </c>
      <c r="E5060" t="s">
        <v>269</v>
      </c>
      <c r="F5060" t="s">
        <v>2243</v>
      </c>
    </row>
    <row r="5061" spans="1:6" x14ac:dyDescent="0.25">
      <c r="A5061" t="s">
        <v>16815</v>
      </c>
      <c r="B5061" t="s">
        <v>16816</v>
      </c>
      <c r="C5061" t="s">
        <v>16817</v>
      </c>
      <c r="D5061" t="s">
        <v>510</v>
      </c>
      <c r="E5061" t="s">
        <v>271</v>
      </c>
      <c r="F5061" t="s">
        <v>852</v>
      </c>
    </row>
    <row r="5062" spans="1:6" x14ac:dyDescent="0.25">
      <c r="A5062" t="s">
        <v>2814</v>
      </c>
      <c r="B5062" t="s">
        <v>2815</v>
      </c>
      <c r="C5062" t="s">
        <v>2816</v>
      </c>
      <c r="D5062" t="s">
        <v>295</v>
      </c>
      <c r="E5062" t="s">
        <v>271</v>
      </c>
      <c r="F5062" t="s">
        <v>294</v>
      </c>
    </row>
    <row r="5063" spans="1:6" x14ac:dyDescent="0.25">
      <c r="A5063" t="s">
        <v>16818</v>
      </c>
      <c r="B5063" t="s">
        <v>16819</v>
      </c>
      <c r="C5063" t="s">
        <v>16820</v>
      </c>
      <c r="D5063" t="s">
        <v>492</v>
      </c>
      <c r="E5063" t="s">
        <v>271</v>
      </c>
      <c r="F5063" t="s">
        <v>493</v>
      </c>
    </row>
    <row r="5064" spans="1:6" x14ac:dyDescent="0.25">
      <c r="A5064" t="s">
        <v>16821</v>
      </c>
      <c r="B5064" t="s">
        <v>16822</v>
      </c>
      <c r="C5064" t="s">
        <v>16823</v>
      </c>
      <c r="D5064" t="s">
        <v>556</v>
      </c>
      <c r="E5064" t="s">
        <v>271</v>
      </c>
      <c r="F5064" t="s">
        <v>1567</v>
      </c>
    </row>
    <row r="5065" spans="1:6" x14ac:dyDescent="0.25">
      <c r="A5065" t="s">
        <v>16824</v>
      </c>
      <c r="B5065" t="s">
        <v>16825</v>
      </c>
      <c r="C5065" t="s">
        <v>16826</v>
      </c>
      <c r="D5065" t="s">
        <v>668</v>
      </c>
      <c r="E5065" t="s">
        <v>271</v>
      </c>
      <c r="F5065" t="s">
        <v>667</v>
      </c>
    </row>
    <row r="5066" spans="1:6" x14ac:dyDescent="0.25">
      <c r="A5066" t="s">
        <v>16827</v>
      </c>
      <c r="B5066" t="s">
        <v>16828</v>
      </c>
      <c r="C5066" t="s">
        <v>16829</v>
      </c>
      <c r="D5066" t="s">
        <v>840</v>
      </c>
      <c r="E5066" t="s">
        <v>271</v>
      </c>
      <c r="F5066" t="s">
        <v>839</v>
      </c>
    </row>
    <row r="5067" spans="1:6" x14ac:dyDescent="0.25">
      <c r="A5067" t="s">
        <v>16830</v>
      </c>
      <c r="B5067" t="s">
        <v>16831</v>
      </c>
      <c r="C5067" t="s">
        <v>16832</v>
      </c>
      <c r="D5067" t="s">
        <v>453</v>
      </c>
      <c r="E5067" t="s">
        <v>271</v>
      </c>
      <c r="F5067" t="s">
        <v>454</v>
      </c>
    </row>
    <row r="5068" spans="1:6" x14ac:dyDescent="0.25">
      <c r="A5068" t="s">
        <v>16833</v>
      </c>
      <c r="B5068" t="s">
        <v>16834</v>
      </c>
      <c r="C5068" t="s">
        <v>16835</v>
      </c>
      <c r="D5068" t="s">
        <v>1361</v>
      </c>
      <c r="E5068" t="s">
        <v>271</v>
      </c>
      <c r="F5068" t="s">
        <v>1360</v>
      </c>
    </row>
    <row r="5069" spans="1:6" x14ac:dyDescent="0.25">
      <c r="A5069" t="s">
        <v>2375</v>
      </c>
      <c r="B5069" t="s">
        <v>2376</v>
      </c>
      <c r="C5069" t="s">
        <v>2378</v>
      </c>
      <c r="D5069" t="s">
        <v>0</v>
      </c>
      <c r="E5069" t="s">
        <v>271</v>
      </c>
      <c r="F5069" t="s">
        <v>2377</v>
      </c>
    </row>
    <row r="5070" spans="1:6" x14ac:dyDescent="0.25">
      <c r="A5070" t="s">
        <v>16836</v>
      </c>
      <c r="B5070" t="s">
        <v>16837</v>
      </c>
      <c r="C5070" t="s">
        <v>16838</v>
      </c>
      <c r="D5070" t="s">
        <v>0</v>
      </c>
      <c r="E5070" t="s">
        <v>271</v>
      </c>
      <c r="F5070" t="s">
        <v>1321</v>
      </c>
    </row>
    <row r="5071" spans="1:6" x14ac:dyDescent="0.25">
      <c r="A5071" t="s">
        <v>16839</v>
      </c>
      <c r="B5071" t="s">
        <v>16840</v>
      </c>
      <c r="C5071" t="s">
        <v>16841</v>
      </c>
      <c r="D5071" t="s">
        <v>0</v>
      </c>
      <c r="E5071" t="s">
        <v>271</v>
      </c>
      <c r="F5071" t="s">
        <v>575</v>
      </c>
    </row>
    <row r="5072" spans="1:6" x14ac:dyDescent="0.25">
      <c r="A5072" t="s">
        <v>16842</v>
      </c>
      <c r="B5072" t="s">
        <v>16843</v>
      </c>
      <c r="C5072" t="s">
        <v>1771</v>
      </c>
      <c r="D5072" t="s">
        <v>0</v>
      </c>
      <c r="E5072" t="s">
        <v>271</v>
      </c>
      <c r="F5072" t="s">
        <v>323</v>
      </c>
    </row>
    <row r="5073" spans="1:6" x14ac:dyDescent="0.25">
      <c r="A5073" t="s">
        <v>16844</v>
      </c>
      <c r="B5073" t="s">
        <v>16845</v>
      </c>
      <c r="C5073" t="s">
        <v>15770</v>
      </c>
      <c r="D5073" t="s">
        <v>1186</v>
      </c>
      <c r="E5073" t="s">
        <v>271</v>
      </c>
      <c r="F5073" t="s">
        <v>1185</v>
      </c>
    </row>
    <row r="5074" spans="1:6" x14ac:dyDescent="0.25">
      <c r="A5074" t="s">
        <v>16846</v>
      </c>
      <c r="B5074" t="s">
        <v>16847</v>
      </c>
      <c r="C5074" t="s">
        <v>365</v>
      </c>
      <c r="D5074" t="s">
        <v>288</v>
      </c>
      <c r="E5074" t="s">
        <v>271</v>
      </c>
      <c r="F5074" t="s">
        <v>299</v>
      </c>
    </row>
    <row r="5075" spans="1:6" x14ac:dyDescent="0.25">
      <c r="A5075" t="s">
        <v>16848</v>
      </c>
      <c r="B5075" t="s">
        <v>537</v>
      </c>
      <c r="C5075" t="s">
        <v>538</v>
      </c>
      <c r="D5075" t="s">
        <v>353</v>
      </c>
      <c r="E5075" t="s">
        <v>271</v>
      </c>
      <c r="F5075" t="s">
        <v>354</v>
      </c>
    </row>
    <row r="5076" spans="1:6" x14ac:dyDescent="0.25">
      <c r="A5076" t="s">
        <v>16849</v>
      </c>
      <c r="B5076" t="s">
        <v>16850</v>
      </c>
      <c r="C5076" t="s">
        <v>16851</v>
      </c>
      <c r="D5076" t="s">
        <v>0</v>
      </c>
      <c r="E5076" t="s">
        <v>271</v>
      </c>
      <c r="F5076" t="s">
        <v>881</v>
      </c>
    </row>
    <row r="5077" spans="1:6" x14ac:dyDescent="0.25">
      <c r="A5077" t="s">
        <v>1811</v>
      </c>
      <c r="B5077" t="s">
        <v>1812</v>
      </c>
      <c r="C5077" t="s">
        <v>1813</v>
      </c>
      <c r="D5077" t="s">
        <v>0</v>
      </c>
      <c r="E5077" t="s">
        <v>271</v>
      </c>
      <c r="F5077" t="s">
        <v>323</v>
      </c>
    </row>
    <row r="5078" spans="1:6" x14ac:dyDescent="0.25">
      <c r="A5078" t="s">
        <v>3277</v>
      </c>
      <c r="B5078" t="s">
        <v>3278</v>
      </c>
      <c r="C5078" t="s">
        <v>2674</v>
      </c>
      <c r="D5078" t="s">
        <v>460</v>
      </c>
      <c r="E5078" t="s">
        <v>271</v>
      </c>
      <c r="F5078" t="s">
        <v>435</v>
      </c>
    </row>
    <row r="5079" spans="1:6" x14ac:dyDescent="0.25">
      <c r="A5079" t="s">
        <v>2006</v>
      </c>
      <c r="B5079" t="s">
        <v>2007</v>
      </c>
      <c r="C5079" t="s">
        <v>2010</v>
      </c>
      <c r="D5079" t="s">
        <v>2009</v>
      </c>
      <c r="E5079" t="s">
        <v>271</v>
      </c>
      <c r="F5079" t="s">
        <v>2008</v>
      </c>
    </row>
    <row r="5080" spans="1:6" x14ac:dyDescent="0.25">
      <c r="A5080" t="s">
        <v>3528</v>
      </c>
      <c r="B5080" t="s">
        <v>3529</v>
      </c>
      <c r="C5080" t="s">
        <v>3530</v>
      </c>
      <c r="D5080" t="s">
        <v>519</v>
      </c>
      <c r="E5080" t="s">
        <v>271</v>
      </c>
      <c r="F5080" t="s">
        <v>324</v>
      </c>
    </row>
    <row r="5081" spans="1:6" x14ac:dyDescent="0.25">
      <c r="A5081" t="s">
        <v>1856</v>
      </c>
      <c r="B5081" t="s">
        <v>1857</v>
      </c>
      <c r="C5081" t="s">
        <v>1858</v>
      </c>
      <c r="D5081" t="s">
        <v>510</v>
      </c>
      <c r="E5081" t="s">
        <v>271</v>
      </c>
      <c r="F5081" t="s">
        <v>437</v>
      </c>
    </row>
    <row r="5082" spans="1:6" x14ac:dyDescent="0.25">
      <c r="A5082" t="s">
        <v>16852</v>
      </c>
      <c r="B5082" t="s">
        <v>525</v>
      </c>
      <c r="C5082" t="s">
        <v>16853</v>
      </c>
      <c r="D5082" t="s">
        <v>2692</v>
      </c>
      <c r="E5082" t="s">
        <v>269</v>
      </c>
      <c r="F5082" t="s">
        <v>2691</v>
      </c>
    </row>
    <row r="5083" spans="1:6" x14ac:dyDescent="0.25">
      <c r="A5083" t="s">
        <v>16854</v>
      </c>
      <c r="B5083" t="s">
        <v>16855</v>
      </c>
      <c r="C5083" t="s">
        <v>16856</v>
      </c>
      <c r="D5083" t="s">
        <v>0</v>
      </c>
      <c r="E5083" t="s">
        <v>271</v>
      </c>
      <c r="F5083" t="s">
        <v>562</v>
      </c>
    </row>
    <row r="5084" spans="1:6" x14ac:dyDescent="0.25">
      <c r="A5084" t="s">
        <v>16857</v>
      </c>
      <c r="B5084" t="s">
        <v>16858</v>
      </c>
      <c r="C5084" t="s">
        <v>16859</v>
      </c>
      <c r="D5084" t="s">
        <v>363</v>
      </c>
      <c r="E5084" t="s">
        <v>271</v>
      </c>
      <c r="F5084" t="s">
        <v>364</v>
      </c>
    </row>
    <row r="5085" spans="1:6" x14ac:dyDescent="0.25">
      <c r="A5085" t="s">
        <v>16860</v>
      </c>
      <c r="B5085" t="s">
        <v>16861</v>
      </c>
      <c r="C5085" t="s">
        <v>16862</v>
      </c>
      <c r="D5085" t="s">
        <v>232</v>
      </c>
      <c r="E5085" t="s">
        <v>271</v>
      </c>
      <c r="F5085" t="s">
        <v>329</v>
      </c>
    </row>
    <row r="5086" spans="1:6" x14ac:dyDescent="0.25">
      <c r="A5086" t="s">
        <v>16863</v>
      </c>
      <c r="B5086" t="s">
        <v>573</v>
      </c>
      <c r="C5086" t="s">
        <v>16864</v>
      </c>
      <c r="D5086" t="s">
        <v>246</v>
      </c>
      <c r="E5086" t="s">
        <v>271</v>
      </c>
      <c r="F5086" t="s">
        <v>426</v>
      </c>
    </row>
    <row r="5087" spans="1:6" x14ac:dyDescent="0.25">
      <c r="A5087" t="s">
        <v>16865</v>
      </c>
      <c r="B5087" t="s">
        <v>251</v>
      </c>
      <c r="C5087" t="s">
        <v>16866</v>
      </c>
      <c r="D5087" t="s">
        <v>972</v>
      </c>
      <c r="E5087" t="s">
        <v>269</v>
      </c>
      <c r="F5087" t="s">
        <v>971</v>
      </c>
    </row>
    <row r="5088" spans="1:6" x14ac:dyDescent="0.25">
      <c r="A5088" t="s">
        <v>3372</v>
      </c>
      <c r="B5088" t="s">
        <v>3373</v>
      </c>
      <c r="C5088" t="s">
        <v>3374</v>
      </c>
      <c r="D5088" t="s">
        <v>1126</v>
      </c>
      <c r="E5088" t="s">
        <v>271</v>
      </c>
      <c r="F5088" t="s">
        <v>1125</v>
      </c>
    </row>
    <row r="5089" spans="1:6" x14ac:dyDescent="0.25">
      <c r="A5089" t="s">
        <v>16867</v>
      </c>
      <c r="B5089" t="s">
        <v>16868</v>
      </c>
      <c r="C5089" t="s">
        <v>16869</v>
      </c>
      <c r="D5089" t="s">
        <v>357</v>
      </c>
      <c r="E5089" t="s">
        <v>271</v>
      </c>
      <c r="F5089" t="s">
        <v>358</v>
      </c>
    </row>
    <row r="5090" spans="1:6" x14ac:dyDescent="0.25">
      <c r="A5090" t="s">
        <v>3096</v>
      </c>
      <c r="B5090" t="s">
        <v>3097</v>
      </c>
      <c r="C5090" t="s">
        <v>3098</v>
      </c>
      <c r="D5090" t="s">
        <v>1973</v>
      </c>
      <c r="E5090" t="s">
        <v>271</v>
      </c>
      <c r="F5090" t="s">
        <v>1972</v>
      </c>
    </row>
    <row r="5091" spans="1:6" x14ac:dyDescent="0.25">
      <c r="A5091" t="s">
        <v>16870</v>
      </c>
      <c r="B5091" t="s">
        <v>16871</v>
      </c>
      <c r="C5091" t="s">
        <v>487</v>
      </c>
      <c r="D5091" t="s">
        <v>386</v>
      </c>
      <c r="E5091" t="s">
        <v>341</v>
      </c>
      <c r="F5091" t="s">
        <v>385</v>
      </c>
    </row>
    <row r="5092" spans="1:6" x14ac:dyDescent="0.25">
      <c r="A5092" t="s">
        <v>16872</v>
      </c>
      <c r="B5092" t="s">
        <v>16873</v>
      </c>
      <c r="C5092" t="s">
        <v>16874</v>
      </c>
      <c r="D5092" t="s">
        <v>1490</v>
      </c>
      <c r="E5092" t="s">
        <v>271</v>
      </c>
      <c r="F5092" t="s">
        <v>816</v>
      </c>
    </row>
    <row r="5093" spans="1:6" x14ac:dyDescent="0.25">
      <c r="A5093" t="s">
        <v>16875</v>
      </c>
      <c r="B5093" t="s">
        <v>16876</v>
      </c>
      <c r="C5093" t="s">
        <v>16877</v>
      </c>
      <c r="D5093" t="s">
        <v>472</v>
      </c>
      <c r="E5093" t="s">
        <v>271</v>
      </c>
      <c r="F5093" t="s">
        <v>318</v>
      </c>
    </row>
    <row r="5094" spans="1:6" x14ac:dyDescent="0.25">
      <c r="A5094" t="s">
        <v>16878</v>
      </c>
      <c r="B5094" t="s">
        <v>16879</v>
      </c>
      <c r="C5094" t="s">
        <v>16880</v>
      </c>
      <c r="D5094" t="s">
        <v>1317</v>
      </c>
      <c r="E5094" t="s">
        <v>271</v>
      </c>
      <c r="F5094" t="s">
        <v>1316</v>
      </c>
    </row>
    <row r="5095" spans="1:6" x14ac:dyDescent="0.25">
      <c r="A5095" t="s">
        <v>2545</v>
      </c>
      <c r="B5095" t="s">
        <v>2546</v>
      </c>
      <c r="C5095" t="s">
        <v>2547</v>
      </c>
      <c r="D5095" t="s">
        <v>0</v>
      </c>
      <c r="E5095" t="s">
        <v>271</v>
      </c>
      <c r="F5095" t="s">
        <v>562</v>
      </c>
    </row>
    <row r="5096" spans="1:6" x14ac:dyDescent="0.25">
      <c r="A5096" t="s">
        <v>16881</v>
      </c>
      <c r="B5096" t="s">
        <v>16882</v>
      </c>
      <c r="C5096" t="s">
        <v>16883</v>
      </c>
      <c r="D5096" t="s">
        <v>2714</v>
      </c>
      <c r="E5096" t="s">
        <v>271</v>
      </c>
      <c r="F5096" t="s">
        <v>2713</v>
      </c>
    </row>
    <row r="5097" spans="1:6" x14ac:dyDescent="0.25">
      <c r="A5097" t="s">
        <v>16884</v>
      </c>
      <c r="B5097" t="s">
        <v>16885</v>
      </c>
      <c r="C5097" t="s">
        <v>596</v>
      </c>
      <c r="D5097" t="s">
        <v>357</v>
      </c>
      <c r="E5097" t="s">
        <v>271</v>
      </c>
      <c r="F5097" t="s">
        <v>452</v>
      </c>
    </row>
    <row r="5098" spans="1:6" x14ac:dyDescent="0.25">
      <c r="A5098" t="s">
        <v>3627</v>
      </c>
      <c r="B5098" t="s">
        <v>3628</v>
      </c>
      <c r="C5098" t="s">
        <v>3629</v>
      </c>
      <c r="D5098" t="s">
        <v>0</v>
      </c>
      <c r="E5098" t="s">
        <v>271</v>
      </c>
      <c r="F5098" t="s">
        <v>731</v>
      </c>
    </row>
    <row r="5099" spans="1:6" x14ac:dyDescent="0.25">
      <c r="A5099" t="s">
        <v>16886</v>
      </c>
      <c r="B5099" t="s">
        <v>16887</v>
      </c>
      <c r="C5099" t="s">
        <v>16888</v>
      </c>
      <c r="D5099" t="s">
        <v>0</v>
      </c>
      <c r="E5099" t="s">
        <v>271</v>
      </c>
      <c r="F5099" t="s">
        <v>562</v>
      </c>
    </row>
    <row r="5100" spans="1:6" x14ac:dyDescent="0.25">
      <c r="A5100" t="s">
        <v>16889</v>
      </c>
      <c r="B5100" t="s">
        <v>16890</v>
      </c>
      <c r="C5100" t="s">
        <v>11047</v>
      </c>
      <c r="D5100" t="s">
        <v>0</v>
      </c>
      <c r="E5100" t="s">
        <v>271</v>
      </c>
      <c r="F5100" t="s">
        <v>356</v>
      </c>
    </row>
    <row r="5101" spans="1:6" x14ac:dyDescent="0.25">
      <c r="A5101" t="s">
        <v>16891</v>
      </c>
      <c r="B5101" t="s">
        <v>16892</v>
      </c>
      <c r="C5101" t="s">
        <v>16893</v>
      </c>
      <c r="D5101" t="s">
        <v>0</v>
      </c>
      <c r="E5101" t="s">
        <v>271</v>
      </c>
      <c r="F5101" t="s">
        <v>1277</v>
      </c>
    </row>
    <row r="5102" spans="1:6" x14ac:dyDescent="0.25">
      <c r="A5102" t="s">
        <v>16894</v>
      </c>
      <c r="B5102" t="s">
        <v>16895</v>
      </c>
      <c r="C5102" t="s">
        <v>16896</v>
      </c>
      <c r="D5102" t="s">
        <v>0</v>
      </c>
      <c r="E5102" t="s">
        <v>271</v>
      </c>
      <c r="F5102" t="s">
        <v>323</v>
      </c>
    </row>
    <row r="5103" spans="1:6" x14ac:dyDescent="0.25">
      <c r="A5103" t="s">
        <v>16897</v>
      </c>
      <c r="B5103" t="s">
        <v>16898</v>
      </c>
      <c r="C5103" t="s">
        <v>16899</v>
      </c>
      <c r="D5103" t="s">
        <v>871</v>
      </c>
      <c r="E5103" t="s">
        <v>271</v>
      </c>
      <c r="F5103" t="s">
        <v>870</v>
      </c>
    </row>
    <row r="5104" spans="1:6" x14ac:dyDescent="0.25">
      <c r="A5104" t="s">
        <v>16900</v>
      </c>
      <c r="B5104" t="s">
        <v>16901</v>
      </c>
      <c r="C5104" t="s">
        <v>16902</v>
      </c>
      <c r="D5104" t="s">
        <v>314</v>
      </c>
      <c r="E5104" t="s">
        <v>271</v>
      </c>
      <c r="F5104" t="s">
        <v>370</v>
      </c>
    </row>
    <row r="5105" spans="1:6" x14ac:dyDescent="0.25">
      <c r="A5105" t="s">
        <v>16903</v>
      </c>
      <c r="B5105" t="s">
        <v>16904</v>
      </c>
      <c r="C5105" t="s">
        <v>16905</v>
      </c>
      <c r="D5105" t="s">
        <v>222</v>
      </c>
      <c r="E5105" t="s">
        <v>271</v>
      </c>
      <c r="F5105" t="s">
        <v>4414</v>
      </c>
    </row>
    <row r="5106" spans="1:6" x14ac:dyDescent="0.25">
      <c r="A5106" t="s">
        <v>16906</v>
      </c>
      <c r="B5106" t="s">
        <v>16907</v>
      </c>
      <c r="C5106" t="s">
        <v>2642</v>
      </c>
      <c r="D5106" t="s">
        <v>0</v>
      </c>
      <c r="E5106" t="s">
        <v>271</v>
      </c>
      <c r="F5106" t="s">
        <v>2641</v>
      </c>
    </row>
    <row r="5107" spans="1:6" x14ac:dyDescent="0.25">
      <c r="A5107" t="s">
        <v>16908</v>
      </c>
      <c r="B5107" t="s">
        <v>16909</v>
      </c>
      <c r="C5107" t="s">
        <v>16910</v>
      </c>
      <c r="D5107" t="s">
        <v>1485</v>
      </c>
      <c r="E5107" t="s">
        <v>271</v>
      </c>
      <c r="F5107" t="s">
        <v>1519</v>
      </c>
    </row>
    <row r="5108" spans="1:6" x14ac:dyDescent="0.25">
      <c r="A5108" t="s">
        <v>3054</v>
      </c>
      <c r="B5108" t="s">
        <v>3055</v>
      </c>
      <c r="C5108" t="s">
        <v>3056</v>
      </c>
      <c r="D5108" t="s">
        <v>1638</v>
      </c>
      <c r="E5108" t="s">
        <v>271</v>
      </c>
      <c r="F5108" t="s">
        <v>1637</v>
      </c>
    </row>
    <row r="5109" spans="1:6" x14ac:dyDescent="0.25">
      <c r="A5109" t="s">
        <v>16911</v>
      </c>
      <c r="B5109" t="s">
        <v>16912</v>
      </c>
      <c r="C5109" t="s">
        <v>16913</v>
      </c>
      <c r="D5109" t="s">
        <v>0</v>
      </c>
      <c r="E5109" t="s">
        <v>271</v>
      </c>
      <c r="F5109" t="s">
        <v>431</v>
      </c>
    </row>
    <row r="5110" spans="1:6" x14ac:dyDescent="0.25">
      <c r="A5110" t="s">
        <v>16914</v>
      </c>
      <c r="B5110" t="s">
        <v>16915</v>
      </c>
      <c r="C5110" t="s">
        <v>16916</v>
      </c>
      <c r="D5110" t="s">
        <v>822</v>
      </c>
      <c r="E5110" t="s">
        <v>269</v>
      </c>
      <c r="F5110" t="s">
        <v>821</v>
      </c>
    </row>
    <row r="5111" spans="1:6" x14ac:dyDescent="0.25">
      <c r="A5111" t="s">
        <v>16917</v>
      </c>
      <c r="B5111" t="s">
        <v>16918</v>
      </c>
      <c r="C5111" t="s">
        <v>16919</v>
      </c>
      <c r="D5111" t="s">
        <v>0</v>
      </c>
      <c r="E5111" t="s">
        <v>271</v>
      </c>
      <c r="F5111" t="s">
        <v>325</v>
      </c>
    </row>
    <row r="5112" spans="1:6" x14ac:dyDescent="0.25">
      <c r="A5112" t="s">
        <v>16920</v>
      </c>
      <c r="B5112" t="s">
        <v>16921</v>
      </c>
      <c r="C5112" t="s">
        <v>16922</v>
      </c>
      <c r="D5112" t="s">
        <v>232</v>
      </c>
      <c r="E5112" t="s">
        <v>271</v>
      </c>
      <c r="F5112" t="s">
        <v>329</v>
      </c>
    </row>
    <row r="5113" spans="1:6" x14ac:dyDescent="0.25">
      <c r="A5113" t="s">
        <v>16923</v>
      </c>
      <c r="B5113" t="s">
        <v>16924</v>
      </c>
      <c r="C5113" t="s">
        <v>11047</v>
      </c>
      <c r="D5113" t="s">
        <v>0</v>
      </c>
      <c r="E5113" t="s">
        <v>271</v>
      </c>
      <c r="F5113" t="s">
        <v>356</v>
      </c>
    </row>
    <row r="5114" spans="1:6" x14ac:dyDescent="0.25">
      <c r="A5114" t="s">
        <v>16925</v>
      </c>
      <c r="B5114" t="s">
        <v>16926</v>
      </c>
      <c r="C5114" t="s">
        <v>16927</v>
      </c>
      <c r="D5114" t="s">
        <v>0</v>
      </c>
      <c r="E5114" t="s">
        <v>271</v>
      </c>
      <c r="F5114" t="s">
        <v>575</v>
      </c>
    </row>
    <row r="5115" spans="1:6" x14ac:dyDescent="0.25">
      <c r="A5115" t="s">
        <v>1314</v>
      </c>
      <c r="B5115" t="s">
        <v>1315</v>
      </c>
      <c r="C5115" t="s">
        <v>1318</v>
      </c>
      <c r="D5115" t="s">
        <v>1317</v>
      </c>
      <c r="E5115" t="s">
        <v>271</v>
      </c>
      <c r="F5115" t="s">
        <v>1316</v>
      </c>
    </row>
    <row r="5116" spans="1:6" x14ac:dyDescent="0.25">
      <c r="A5116" t="s">
        <v>16928</v>
      </c>
      <c r="B5116" t="s">
        <v>16929</v>
      </c>
      <c r="C5116" t="s">
        <v>16930</v>
      </c>
      <c r="D5116" t="s">
        <v>498</v>
      </c>
      <c r="E5116" t="s">
        <v>271</v>
      </c>
      <c r="F5116" t="s">
        <v>926</v>
      </c>
    </row>
    <row r="5117" spans="1:6" x14ac:dyDescent="0.25">
      <c r="A5117" t="s">
        <v>16931</v>
      </c>
      <c r="B5117" t="s">
        <v>16932</v>
      </c>
      <c r="C5117" t="s">
        <v>16933</v>
      </c>
      <c r="D5117" t="s">
        <v>699</v>
      </c>
      <c r="E5117" t="s">
        <v>269</v>
      </c>
      <c r="F5117" t="s">
        <v>698</v>
      </c>
    </row>
    <row r="5118" spans="1:6" x14ac:dyDescent="0.25">
      <c r="A5118" t="s">
        <v>16934</v>
      </c>
      <c r="B5118" t="s">
        <v>16935</v>
      </c>
      <c r="C5118" t="s">
        <v>16936</v>
      </c>
      <c r="D5118" t="s">
        <v>2681</v>
      </c>
      <c r="E5118" t="s">
        <v>271</v>
      </c>
      <c r="F5118" t="s">
        <v>2680</v>
      </c>
    </row>
    <row r="5119" spans="1:6" x14ac:dyDescent="0.25">
      <c r="A5119" t="s">
        <v>3143</v>
      </c>
      <c r="B5119" t="s">
        <v>3144</v>
      </c>
      <c r="C5119" t="s">
        <v>3145</v>
      </c>
      <c r="D5119" t="s">
        <v>498</v>
      </c>
      <c r="E5119" t="s">
        <v>271</v>
      </c>
      <c r="F5119" t="s">
        <v>926</v>
      </c>
    </row>
    <row r="5120" spans="1:6" x14ac:dyDescent="0.25">
      <c r="A5120" t="s">
        <v>16937</v>
      </c>
      <c r="B5120" t="s">
        <v>16938</v>
      </c>
      <c r="C5120" t="s">
        <v>16939</v>
      </c>
      <c r="D5120" t="s">
        <v>500</v>
      </c>
      <c r="E5120" t="s">
        <v>271</v>
      </c>
      <c r="F5120" t="s">
        <v>501</v>
      </c>
    </row>
    <row r="5121" spans="1:6" x14ac:dyDescent="0.25">
      <c r="A5121" t="s">
        <v>16940</v>
      </c>
      <c r="B5121" t="s">
        <v>16941</v>
      </c>
      <c r="C5121" t="s">
        <v>16942</v>
      </c>
      <c r="D5121" t="s">
        <v>255</v>
      </c>
      <c r="E5121" t="s">
        <v>271</v>
      </c>
      <c r="F5121" t="s">
        <v>16943</v>
      </c>
    </row>
    <row r="5122" spans="1:6" x14ac:dyDescent="0.25">
      <c r="A5122" t="s">
        <v>16944</v>
      </c>
      <c r="B5122" t="s">
        <v>16945</v>
      </c>
      <c r="C5122" t="s">
        <v>587</v>
      </c>
      <c r="D5122" t="s">
        <v>651</v>
      </c>
      <c r="E5122" t="s">
        <v>271</v>
      </c>
      <c r="F5122" t="s">
        <v>650</v>
      </c>
    </row>
    <row r="5123" spans="1:6" x14ac:dyDescent="0.25">
      <c r="A5123" t="s">
        <v>16946</v>
      </c>
      <c r="B5123" t="s">
        <v>16947</v>
      </c>
      <c r="C5123" t="s">
        <v>16948</v>
      </c>
      <c r="D5123" t="s">
        <v>967</v>
      </c>
      <c r="E5123" t="s">
        <v>271</v>
      </c>
      <c r="F5123" t="s">
        <v>966</v>
      </c>
    </row>
    <row r="5124" spans="1:6" x14ac:dyDescent="0.25">
      <c r="A5124" t="s">
        <v>16949</v>
      </c>
      <c r="B5124" t="s">
        <v>16950</v>
      </c>
      <c r="C5124" t="s">
        <v>16951</v>
      </c>
      <c r="D5124" t="s">
        <v>312</v>
      </c>
      <c r="E5124" t="s">
        <v>271</v>
      </c>
      <c r="F5124" t="s">
        <v>311</v>
      </c>
    </row>
    <row r="5125" spans="1:6" x14ac:dyDescent="0.25">
      <c r="A5125" t="s">
        <v>2219</v>
      </c>
      <c r="B5125" t="s">
        <v>2220</v>
      </c>
      <c r="C5125" t="s">
        <v>2221</v>
      </c>
      <c r="D5125" t="s">
        <v>482</v>
      </c>
      <c r="E5125" t="s">
        <v>271</v>
      </c>
      <c r="F5125" t="s">
        <v>483</v>
      </c>
    </row>
    <row r="5126" spans="1:6" x14ac:dyDescent="0.25">
      <c r="A5126" t="s">
        <v>16952</v>
      </c>
      <c r="B5126" t="s">
        <v>16953</v>
      </c>
      <c r="C5126" t="s">
        <v>16954</v>
      </c>
      <c r="D5126" t="s">
        <v>345</v>
      </c>
      <c r="E5126" t="s">
        <v>269</v>
      </c>
      <c r="F5126" t="s">
        <v>684</v>
      </c>
    </row>
    <row r="5127" spans="1:6" x14ac:dyDescent="0.25">
      <c r="A5127" t="s">
        <v>16955</v>
      </c>
      <c r="B5127" t="s">
        <v>16956</v>
      </c>
      <c r="C5127" t="s">
        <v>16957</v>
      </c>
      <c r="D5127" t="s">
        <v>357</v>
      </c>
      <c r="E5127" t="s">
        <v>271</v>
      </c>
      <c r="F5127" t="s">
        <v>358</v>
      </c>
    </row>
    <row r="5128" spans="1:6" x14ac:dyDescent="0.25">
      <c r="A5128" t="s">
        <v>16958</v>
      </c>
      <c r="B5128" t="s">
        <v>16959</v>
      </c>
      <c r="C5128" t="s">
        <v>14923</v>
      </c>
      <c r="D5128" t="s">
        <v>967</v>
      </c>
      <c r="E5128" t="s">
        <v>271</v>
      </c>
      <c r="F5128" t="s">
        <v>966</v>
      </c>
    </row>
    <row r="5129" spans="1:6" x14ac:dyDescent="0.25">
      <c r="A5129" t="s">
        <v>16960</v>
      </c>
      <c r="B5129" t="s">
        <v>16961</v>
      </c>
      <c r="C5129" t="s">
        <v>16962</v>
      </c>
      <c r="D5129" t="s">
        <v>1303</v>
      </c>
      <c r="E5129" t="s">
        <v>269</v>
      </c>
      <c r="F5129" t="s">
        <v>1302</v>
      </c>
    </row>
    <row r="5130" spans="1:6" x14ac:dyDescent="0.25">
      <c r="A5130" t="s">
        <v>16963</v>
      </c>
      <c r="B5130" t="s">
        <v>16964</v>
      </c>
      <c r="C5130" t="s">
        <v>16965</v>
      </c>
      <c r="D5130" t="s">
        <v>1019</v>
      </c>
      <c r="E5130" t="s">
        <v>271</v>
      </c>
      <c r="F5130" t="s">
        <v>1018</v>
      </c>
    </row>
    <row r="5131" spans="1:6" x14ac:dyDescent="0.25">
      <c r="A5131" t="s">
        <v>2610</v>
      </c>
      <c r="B5131" t="s">
        <v>2611</v>
      </c>
      <c r="C5131" t="s">
        <v>2612</v>
      </c>
      <c r="D5131" t="s">
        <v>0</v>
      </c>
      <c r="E5131" t="s">
        <v>271</v>
      </c>
      <c r="F5131" t="s">
        <v>2447</v>
      </c>
    </row>
    <row r="5132" spans="1:6" x14ac:dyDescent="0.25">
      <c r="A5132" t="s">
        <v>2865</v>
      </c>
      <c r="B5132" t="s">
        <v>2866</v>
      </c>
      <c r="C5132" t="s">
        <v>2867</v>
      </c>
      <c r="D5132" t="s">
        <v>314</v>
      </c>
      <c r="E5132" t="s">
        <v>271</v>
      </c>
      <c r="F5132" t="s">
        <v>370</v>
      </c>
    </row>
    <row r="5133" spans="1:6" x14ac:dyDescent="0.25">
      <c r="A5133" t="s">
        <v>1410</v>
      </c>
      <c r="B5133" t="s">
        <v>1411</v>
      </c>
      <c r="C5133" t="s">
        <v>1414</v>
      </c>
      <c r="D5133" t="s">
        <v>1413</v>
      </c>
      <c r="E5133" t="s">
        <v>271</v>
      </c>
      <c r="F5133" t="s">
        <v>1412</v>
      </c>
    </row>
    <row r="5134" spans="1:6" x14ac:dyDescent="0.25">
      <c r="A5134" t="s">
        <v>16966</v>
      </c>
      <c r="B5134" t="s">
        <v>16967</v>
      </c>
      <c r="C5134" t="s">
        <v>16968</v>
      </c>
      <c r="D5134" t="s">
        <v>0</v>
      </c>
      <c r="E5134" t="s">
        <v>271</v>
      </c>
      <c r="F5134" t="s">
        <v>356</v>
      </c>
    </row>
    <row r="5135" spans="1:6" x14ac:dyDescent="0.25">
      <c r="A5135" t="s">
        <v>16969</v>
      </c>
      <c r="B5135" t="s">
        <v>16970</v>
      </c>
      <c r="C5135" t="s">
        <v>16971</v>
      </c>
      <c r="D5135" t="s">
        <v>416</v>
      </c>
      <c r="E5135" t="s">
        <v>271</v>
      </c>
      <c r="F5135" t="s">
        <v>439</v>
      </c>
    </row>
    <row r="5136" spans="1:6" x14ac:dyDescent="0.25">
      <c r="A5136" t="s">
        <v>16972</v>
      </c>
      <c r="B5136" t="s">
        <v>16973</v>
      </c>
      <c r="C5136" t="s">
        <v>16974</v>
      </c>
      <c r="D5136" t="s">
        <v>0</v>
      </c>
      <c r="E5136" t="s">
        <v>271</v>
      </c>
      <c r="F5136" t="s">
        <v>325</v>
      </c>
    </row>
    <row r="5137" spans="1:6" x14ac:dyDescent="0.25">
      <c r="A5137" t="s">
        <v>16975</v>
      </c>
      <c r="B5137" t="s">
        <v>16976</v>
      </c>
      <c r="C5137" t="s">
        <v>4749</v>
      </c>
      <c r="D5137" t="s">
        <v>1199</v>
      </c>
      <c r="E5137" t="s">
        <v>271</v>
      </c>
      <c r="F5137" t="s">
        <v>1198</v>
      </c>
    </row>
    <row r="5138" spans="1:6" x14ac:dyDescent="0.25">
      <c r="A5138" t="s">
        <v>16977</v>
      </c>
      <c r="B5138" t="s">
        <v>16978</v>
      </c>
      <c r="C5138" t="s">
        <v>16979</v>
      </c>
      <c r="D5138" t="s">
        <v>1433</v>
      </c>
      <c r="E5138" t="s">
        <v>271</v>
      </c>
      <c r="F5138" t="s">
        <v>1316</v>
      </c>
    </row>
    <row r="5139" spans="1:6" x14ac:dyDescent="0.25">
      <c r="A5139" t="s">
        <v>2210</v>
      </c>
      <c r="B5139" t="s">
        <v>2211</v>
      </c>
      <c r="C5139" t="s">
        <v>2212</v>
      </c>
      <c r="D5139" t="s">
        <v>2116</v>
      </c>
      <c r="E5139" t="s">
        <v>271</v>
      </c>
      <c r="F5139" t="s">
        <v>2115</v>
      </c>
    </row>
    <row r="5140" spans="1:6" x14ac:dyDescent="0.25">
      <c r="A5140" t="s">
        <v>16980</v>
      </c>
      <c r="B5140" t="s">
        <v>16981</v>
      </c>
      <c r="C5140" t="s">
        <v>16982</v>
      </c>
      <c r="D5140" t="s">
        <v>1064</v>
      </c>
      <c r="E5140" t="s">
        <v>269</v>
      </c>
      <c r="F5140" t="s">
        <v>1063</v>
      </c>
    </row>
    <row r="5141" spans="1:6" x14ac:dyDescent="0.25">
      <c r="A5141" t="s">
        <v>16983</v>
      </c>
      <c r="B5141" t="s">
        <v>16984</v>
      </c>
      <c r="C5141" t="s">
        <v>16985</v>
      </c>
      <c r="D5141" t="s">
        <v>0</v>
      </c>
      <c r="E5141" t="s">
        <v>271</v>
      </c>
      <c r="F5141" t="s">
        <v>2349</v>
      </c>
    </row>
    <row r="5142" spans="1:6" x14ac:dyDescent="0.25">
      <c r="A5142" t="s">
        <v>16986</v>
      </c>
      <c r="B5142" t="s">
        <v>16987</v>
      </c>
      <c r="C5142" t="s">
        <v>16988</v>
      </c>
      <c r="D5142" t="s">
        <v>218</v>
      </c>
      <c r="E5142" t="s">
        <v>341</v>
      </c>
      <c r="F5142" t="s">
        <v>423</v>
      </c>
    </row>
    <row r="5143" spans="1:6" x14ac:dyDescent="0.25">
      <c r="A5143" t="s">
        <v>16989</v>
      </c>
      <c r="B5143" t="s">
        <v>16990</v>
      </c>
      <c r="C5143" t="s">
        <v>8577</v>
      </c>
      <c r="D5143" t="s">
        <v>0</v>
      </c>
      <c r="E5143" t="s">
        <v>271</v>
      </c>
      <c r="F5143" t="s">
        <v>356</v>
      </c>
    </row>
    <row r="5144" spans="1:6" x14ac:dyDescent="0.25">
      <c r="A5144" t="s">
        <v>16991</v>
      </c>
      <c r="B5144" t="s">
        <v>16992</v>
      </c>
      <c r="C5144" t="s">
        <v>16993</v>
      </c>
      <c r="D5144" t="s">
        <v>1643</v>
      </c>
      <c r="E5144" t="s">
        <v>271</v>
      </c>
      <c r="F5144" t="s">
        <v>2028</v>
      </c>
    </row>
    <row r="5145" spans="1:6" x14ac:dyDescent="0.25">
      <c r="A5145" t="s">
        <v>16994</v>
      </c>
      <c r="B5145" t="s">
        <v>16995</v>
      </c>
      <c r="C5145" t="s">
        <v>16996</v>
      </c>
      <c r="D5145" t="s">
        <v>402</v>
      </c>
      <c r="E5145" t="s">
        <v>271</v>
      </c>
      <c r="F5145" t="s">
        <v>401</v>
      </c>
    </row>
    <row r="5146" spans="1:6" x14ac:dyDescent="0.25">
      <c r="A5146" t="s">
        <v>16997</v>
      </c>
      <c r="B5146" t="s">
        <v>16998</v>
      </c>
      <c r="C5146" t="s">
        <v>16999</v>
      </c>
      <c r="D5146" t="s">
        <v>916</v>
      </c>
      <c r="E5146" t="s">
        <v>271</v>
      </c>
      <c r="F5146" t="s">
        <v>915</v>
      </c>
    </row>
    <row r="5147" spans="1:6" x14ac:dyDescent="0.25">
      <c r="A5147" t="s">
        <v>17000</v>
      </c>
      <c r="B5147" t="s">
        <v>17001</v>
      </c>
      <c r="C5147" t="s">
        <v>17002</v>
      </c>
      <c r="D5147" t="s">
        <v>1126</v>
      </c>
      <c r="E5147" t="s">
        <v>271</v>
      </c>
      <c r="F5147" t="s">
        <v>1125</v>
      </c>
    </row>
    <row r="5148" spans="1:6" x14ac:dyDescent="0.25">
      <c r="A5148" t="s">
        <v>17003</v>
      </c>
      <c r="B5148" t="s">
        <v>526</v>
      </c>
      <c r="C5148" t="s">
        <v>17004</v>
      </c>
      <c r="D5148" t="s">
        <v>830</v>
      </c>
      <c r="E5148" t="s">
        <v>271</v>
      </c>
      <c r="F5148" t="s">
        <v>829</v>
      </c>
    </row>
    <row r="5149" spans="1:6" x14ac:dyDescent="0.25">
      <c r="A5149" t="s">
        <v>17005</v>
      </c>
      <c r="B5149" t="s">
        <v>17006</v>
      </c>
      <c r="C5149" t="s">
        <v>17007</v>
      </c>
      <c r="D5149" t="s">
        <v>0</v>
      </c>
      <c r="E5149" t="s">
        <v>271</v>
      </c>
      <c r="F5149" t="s">
        <v>575</v>
      </c>
    </row>
    <row r="5150" spans="1:6" x14ac:dyDescent="0.25">
      <c r="A5150" t="s">
        <v>1930</v>
      </c>
      <c r="B5150" t="s">
        <v>1931</v>
      </c>
      <c r="C5150" t="s">
        <v>1932</v>
      </c>
      <c r="D5150" t="s">
        <v>1204</v>
      </c>
      <c r="E5150" t="s">
        <v>271</v>
      </c>
      <c r="F5150" t="s">
        <v>1203</v>
      </c>
    </row>
    <row r="5151" spans="1:6" x14ac:dyDescent="0.25">
      <c r="A5151" t="s">
        <v>17008</v>
      </c>
      <c r="B5151" t="s">
        <v>17009</v>
      </c>
      <c r="C5151" t="s">
        <v>17010</v>
      </c>
      <c r="D5151" t="s">
        <v>232</v>
      </c>
      <c r="E5151" t="s">
        <v>271</v>
      </c>
      <c r="F5151" t="s">
        <v>329</v>
      </c>
    </row>
    <row r="5152" spans="1:6" x14ac:dyDescent="0.25">
      <c r="A5152" t="s">
        <v>3191</v>
      </c>
      <c r="B5152" t="s">
        <v>3192</v>
      </c>
      <c r="C5152" t="s">
        <v>3193</v>
      </c>
      <c r="D5152" t="s">
        <v>972</v>
      </c>
      <c r="E5152" t="s">
        <v>269</v>
      </c>
      <c r="F5152" t="s">
        <v>971</v>
      </c>
    </row>
    <row r="5153" spans="1:6" x14ac:dyDescent="0.25">
      <c r="A5153" t="s">
        <v>17011</v>
      </c>
      <c r="B5153" t="s">
        <v>17012</v>
      </c>
      <c r="C5153" t="s">
        <v>17013</v>
      </c>
      <c r="D5153" t="s">
        <v>540</v>
      </c>
      <c r="E5153" t="s">
        <v>271</v>
      </c>
      <c r="F5153" t="s">
        <v>339</v>
      </c>
    </row>
    <row r="5154" spans="1:6" x14ac:dyDescent="0.25">
      <c r="A5154" t="s">
        <v>2199</v>
      </c>
      <c r="B5154" t="s">
        <v>2200</v>
      </c>
      <c r="C5154" t="s">
        <v>2201</v>
      </c>
      <c r="D5154" t="s">
        <v>651</v>
      </c>
      <c r="E5154" t="s">
        <v>271</v>
      </c>
      <c r="F5154" t="s">
        <v>650</v>
      </c>
    </row>
    <row r="5155" spans="1:6" x14ac:dyDescent="0.25">
      <c r="A5155" t="s">
        <v>17014</v>
      </c>
      <c r="B5155" t="s">
        <v>17015</v>
      </c>
      <c r="C5155" t="s">
        <v>1145</v>
      </c>
      <c r="D5155" t="s">
        <v>822</v>
      </c>
      <c r="E5155" t="s">
        <v>269</v>
      </c>
      <c r="F5155" t="s">
        <v>821</v>
      </c>
    </row>
    <row r="5156" spans="1:6" x14ac:dyDescent="0.25">
      <c r="A5156" t="s">
        <v>17016</v>
      </c>
      <c r="B5156" t="s">
        <v>17017</v>
      </c>
      <c r="C5156" t="s">
        <v>17018</v>
      </c>
      <c r="D5156" t="s">
        <v>17019</v>
      </c>
      <c r="E5156" t="s">
        <v>457</v>
      </c>
      <c r="F5156" t="s">
        <v>17020</v>
      </c>
    </row>
    <row r="5157" spans="1:6" x14ac:dyDescent="0.25">
      <c r="A5157" t="s">
        <v>17021</v>
      </c>
      <c r="B5157" t="s">
        <v>17022</v>
      </c>
      <c r="C5157" t="s">
        <v>17023</v>
      </c>
      <c r="D5157" t="s">
        <v>0</v>
      </c>
      <c r="E5157" t="s">
        <v>271</v>
      </c>
      <c r="F5157" t="s">
        <v>562</v>
      </c>
    </row>
    <row r="5158" spans="1:6" x14ac:dyDescent="0.25">
      <c r="A5158" t="s">
        <v>17024</v>
      </c>
      <c r="B5158" t="s">
        <v>17025</v>
      </c>
      <c r="C5158" t="s">
        <v>17026</v>
      </c>
      <c r="D5158" t="s">
        <v>1303</v>
      </c>
      <c r="E5158" t="s">
        <v>269</v>
      </c>
      <c r="F5158" t="s">
        <v>1302</v>
      </c>
    </row>
    <row r="5159" spans="1:6" x14ac:dyDescent="0.25">
      <c r="A5159" t="s">
        <v>17027</v>
      </c>
      <c r="B5159" t="s">
        <v>17028</v>
      </c>
      <c r="C5159" t="s">
        <v>17029</v>
      </c>
      <c r="D5159" t="s">
        <v>450</v>
      </c>
      <c r="E5159" t="s">
        <v>271</v>
      </c>
      <c r="F5159" t="s">
        <v>2794</v>
      </c>
    </row>
    <row r="5160" spans="1:6" x14ac:dyDescent="0.25">
      <c r="A5160" t="s">
        <v>17030</v>
      </c>
      <c r="B5160" t="s">
        <v>17031</v>
      </c>
      <c r="C5160" t="s">
        <v>17032</v>
      </c>
      <c r="D5160" t="s">
        <v>361</v>
      </c>
      <c r="E5160" t="s">
        <v>271</v>
      </c>
      <c r="F5160" t="s">
        <v>1563</v>
      </c>
    </row>
    <row r="5161" spans="1:6" x14ac:dyDescent="0.25">
      <c r="A5161" t="s">
        <v>2213</v>
      </c>
      <c r="B5161" t="s">
        <v>2214</v>
      </c>
      <c r="C5161" t="s">
        <v>2215</v>
      </c>
      <c r="D5161" t="s">
        <v>1455</v>
      </c>
      <c r="E5161" t="s">
        <v>271</v>
      </c>
      <c r="F5161" t="s">
        <v>1454</v>
      </c>
    </row>
    <row r="5162" spans="1:6" x14ac:dyDescent="0.25">
      <c r="A5162" t="s">
        <v>3318</v>
      </c>
      <c r="B5162" t="s">
        <v>3319</v>
      </c>
      <c r="C5162" t="s">
        <v>3320</v>
      </c>
      <c r="D5162" t="s">
        <v>1032</v>
      </c>
      <c r="E5162" t="s">
        <v>271</v>
      </c>
      <c r="F5162" t="s">
        <v>1031</v>
      </c>
    </row>
    <row r="5163" spans="1:6" x14ac:dyDescent="0.25">
      <c r="A5163" t="s">
        <v>17033</v>
      </c>
      <c r="B5163" t="s">
        <v>17034</v>
      </c>
      <c r="C5163" t="s">
        <v>17035</v>
      </c>
      <c r="D5163" t="s">
        <v>0</v>
      </c>
      <c r="E5163" t="s">
        <v>271</v>
      </c>
      <c r="F5163" t="s">
        <v>731</v>
      </c>
    </row>
    <row r="5164" spans="1:6" x14ac:dyDescent="0.25">
      <c r="A5164" t="s">
        <v>1439</v>
      </c>
      <c r="B5164" t="s">
        <v>1440</v>
      </c>
      <c r="C5164" t="s">
        <v>1441</v>
      </c>
      <c r="D5164" t="s">
        <v>0</v>
      </c>
      <c r="E5164" t="s">
        <v>271</v>
      </c>
      <c r="F5164" t="s">
        <v>575</v>
      </c>
    </row>
    <row r="5165" spans="1:6" x14ac:dyDescent="0.25">
      <c r="A5165" t="s">
        <v>17036</v>
      </c>
      <c r="B5165" t="s">
        <v>17037</v>
      </c>
      <c r="C5165" t="s">
        <v>17038</v>
      </c>
      <c r="D5165" t="s">
        <v>0</v>
      </c>
      <c r="E5165" t="s">
        <v>271</v>
      </c>
      <c r="F5165" t="s">
        <v>1321</v>
      </c>
    </row>
    <row r="5166" spans="1:6" x14ac:dyDescent="0.25">
      <c r="A5166" t="s">
        <v>3742</v>
      </c>
      <c r="B5166" t="s">
        <v>3743</v>
      </c>
      <c r="C5166" t="s">
        <v>3744</v>
      </c>
      <c r="D5166" t="s">
        <v>0</v>
      </c>
      <c r="E5166" t="s">
        <v>271</v>
      </c>
      <c r="F5166" t="s">
        <v>436</v>
      </c>
    </row>
    <row r="5167" spans="1:6" x14ac:dyDescent="0.25">
      <c r="A5167" t="s">
        <v>17039</v>
      </c>
      <c r="B5167" t="s">
        <v>517</v>
      </c>
      <c r="C5167" t="s">
        <v>17040</v>
      </c>
      <c r="D5167" t="s">
        <v>1286</v>
      </c>
      <c r="E5167" t="s">
        <v>269</v>
      </c>
      <c r="F5167" t="s">
        <v>1285</v>
      </c>
    </row>
    <row r="5168" spans="1:6" x14ac:dyDescent="0.25">
      <c r="A5168" t="s">
        <v>17041</v>
      </c>
      <c r="B5168" t="s">
        <v>17042</v>
      </c>
      <c r="C5168" t="s">
        <v>17043</v>
      </c>
      <c r="D5168" t="s">
        <v>295</v>
      </c>
      <c r="E5168" t="s">
        <v>271</v>
      </c>
      <c r="F5168" t="s">
        <v>294</v>
      </c>
    </row>
    <row r="5169" spans="1:6" x14ac:dyDescent="0.25">
      <c r="A5169" t="s">
        <v>17044</v>
      </c>
      <c r="B5169" t="s">
        <v>17045</v>
      </c>
      <c r="C5169" t="s">
        <v>16703</v>
      </c>
      <c r="D5169" t="s">
        <v>0</v>
      </c>
      <c r="E5169" t="s">
        <v>271</v>
      </c>
      <c r="F5169" t="s">
        <v>3652</v>
      </c>
    </row>
    <row r="5170" spans="1:6" x14ac:dyDescent="0.25">
      <c r="A5170" t="s">
        <v>17046</v>
      </c>
      <c r="B5170" t="s">
        <v>17047</v>
      </c>
      <c r="C5170" t="s">
        <v>17048</v>
      </c>
      <c r="D5170" t="s">
        <v>1925</v>
      </c>
      <c r="E5170" t="s">
        <v>271</v>
      </c>
      <c r="F5170" t="s">
        <v>1924</v>
      </c>
    </row>
    <row r="5171" spans="1:6" x14ac:dyDescent="0.25">
      <c r="A5171" t="s">
        <v>17049</v>
      </c>
      <c r="B5171" t="s">
        <v>5347</v>
      </c>
      <c r="C5171" t="s">
        <v>5348</v>
      </c>
      <c r="D5171" t="s">
        <v>2637</v>
      </c>
      <c r="E5171" t="s">
        <v>271</v>
      </c>
      <c r="F5171" t="s">
        <v>2636</v>
      </c>
    </row>
    <row r="5172" spans="1:6" x14ac:dyDescent="0.25">
      <c r="A5172" t="s">
        <v>1814</v>
      </c>
      <c r="B5172" t="s">
        <v>545</v>
      </c>
      <c r="C5172" t="s">
        <v>546</v>
      </c>
      <c r="D5172" t="s">
        <v>547</v>
      </c>
      <c r="E5172" t="s">
        <v>271</v>
      </c>
      <c r="F5172" t="s">
        <v>428</v>
      </c>
    </row>
    <row r="5173" spans="1:6" x14ac:dyDescent="0.25">
      <c r="A5173" t="s">
        <v>17050</v>
      </c>
      <c r="B5173" t="s">
        <v>17051</v>
      </c>
      <c r="C5173" t="s">
        <v>17052</v>
      </c>
      <c r="D5173" t="s">
        <v>2009</v>
      </c>
      <c r="E5173" t="s">
        <v>271</v>
      </c>
      <c r="F5173" t="s">
        <v>2008</v>
      </c>
    </row>
    <row r="5174" spans="1:6" x14ac:dyDescent="0.25">
      <c r="A5174" t="s">
        <v>17053</v>
      </c>
      <c r="B5174" t="s">
        <v>17054</v>
      </c>
      <c r="C5174" t="s">
        <v>17055</v>
      </c>
      <c r="D5174" t="s">
        <v>616</v>
      </c>
      <c r="E5174" t="s">
        <v>271</v>
      </c>
      <c r="F5174" t="s">
        <v>1102</v>
      </c>
    </row>
    <row r="5175" spans="1:6" x14ac:dyDescent="0.25">
      <c r="A5175" t="s">
        <v>17056</v>
      </c>
      <c r="B5175" t="s">
        <v>17057</v>
      </c>
      <c r="C5175" t="s">
        <v>17058</v>
      </c>
      <c r="D5175" t="s">
        <v>0</v>
      </c>
      <c r="E5175" t="s">
        <v>271</v>
      </c>
      <c r="F5175" t="s">
        <v>3652</v>
      </c>
    </row>
    <row r="5176" spans="1:6" x14ac:dyDescent="0.25">
      <c r="A5176" t="s">
        <v>2957</v>
      </c>
      <c r="B5176" t="s">
        <v>2958</v>
      </c>
      <c r="C5176" t="s">
        <v>2959</v>
      </c>
      <c r="D5176" t="s">
        <v>0</v>
      </c>
      <c r="E5176" t="s">
        <v>271</v>
      </c>
      <c r="F5176" t="s">
        <v>319</v>
      </c>
    </row>
    <row r="5177" spans="1:6" x14ac:dyDescent="0.25">
      <c r="A5177" t="s">
        <v>17059</v>
      </c>
      <c r="B5177" t="s">
        <v>268</v>
      </c>
      <c r="C5177" t="s">
        <v>17060</v>
      </c>
      <c r="D5177" t="s">
        <v>1165</v>
      </c>
      <c r="E5177" t="s">
        <v>271</v>
      </c>
      <c r="F5177" t="s">
        <v>1402</v>
      </c>
    </row>
    <row r="5178" spans="1:6" x14ac:dyDescent="0.25">
      <c r="A5178" t="s">
        <v>17061</v>
      </c>
      <c r="B5178" t="s">
        <v>17062</v>
      </c>
      <c r="C5178" t="s">
        <v>17063</v>
      </c>
      <c r="D5178" t="s">
        <v>0</v>
      </c>
      <c r="E5178" t="s">
        <v>271</v>
      </c>
      <c r="F5178" t="s">
        <v>432</v>
      </c>
    </row>
    <row r="5179" spans="1:6" x14ac:dyDescent="0.25">
      <c r="A5179" t="s">
        <v>17064</v>
      </c>
      <c r="B5179" t="s">
        <v>17065</v>
      </c>
      <c r="C5179" t="s">
        <v>17066</v>
      </c>
      <c r="D5179" t="s">
        <v>3378</v>
      </c>
      <c r="E5179" t="s">
        <v>271</v>
      </c>
      <c r="F5179" t="s">
        <v>3377</v>
      </c>
    </row>
    <row r="5180" spans="1:6" x14ac:dyDescent="0.25">
      <c r="A5180" t="s">
        <v>2766</v>
      </c>
      <c r="B5180" t="s">
        <v>2767</v>
      </c>
      <c r="C5180" t="s">
        <v>2770</v>
      </c>
      <c r="D5180" t="s">
        <v>2769</v>
      </c>
      <c r="E5180" t="s">
        <v>271</v>
      </c>
      <c r="F5180" t="s">
        <v>2768</v>
      </c>
    </row>
    <row r="5181" spans="1:6" x14ac:dyDescent="0.25">
      <c r="A5181" t="s">
        <v>17067</v>
      </c>
      <c r="B5181" t="s">
        <v>17068</v>
      </c>
      <c r="C5181" t="s">
        <v>17069</v>
      </c>
      <c r="D5181" t="s">
        <v>0</v>
      </c>
      <c r="E5181" t="s">
        <v>271</v>
      </c>
      <c r="F5181" t="s">
        <v>436</v>
      </c>
    </row>
    <row r="5182" spans="1:6" x14ac:dyDescent="0.25">
      <c r="A5182" t="s">
        <v>17070</v>
      </c>
      <c r="B5182" t="s">
        <v>17071</v>
      </c>
      <c r="C5182" t="s">
        <v>17072</v>
      </c>
      <c r="D5182" t="s">
        <v>2908</v>
      </c>
      <c r="E5182" t="s">
        <v>271</v>
      </c>
      <c r="F5182" t="s">
        <v>2470</v>
      </c>
    </row>
    <row r="5183" spans="1:6" x14ac:dyDescent="0.25">
      <c r="A5183" t="s">
        <v>17073</v>
      </c>
      <c r="B5183" t="s">
        <v>17074</v>
      </c>
      <c r="C5183" t="s">
        <v>17075</v>
      </c>
      <c r="D5183" t="s">
        <v>0</v>
      </c>
      <c r="E5183" t="s">
        <v>271</v>
      </c>
      <c r="F5183" t="s">
        <v>1534</v>
      </c>
    </row>
    <row r="5184" spans="1:6" x14ac:dyDescent="0.25">
      <c r="A5184" t="s">
        <v>17076</v>
      </c>
      <c r="B5184" t="s">
        <v>17077</v>
      </c>
      <c r="C5184" t="s">
        <v>17078</v>
      </c>
      <c r="D5184" t="s">
        <v>17079</v>
      </c>
      <c r="E5184" t="s">
        <v>457</v>
      </c>
      <c r="F5184" t="s">
        <v>17080</v>
      </c>
    </row>
    <row r="5185" spans="1:6" x14ac:dyDescent="0.25">
      <c r="A5185" t="s">
        <v>17081</v>
      </c>
      <c r="B5185" t="s">
        <v>17082</v>
      </c>
      <c r="C5185" t="s">
        <v>4682</v>
      </c>
      <c r="D5185" t="s">
        <v>793</v>
      </c>
      <c r="E5185" t="s">
        <v>271</v>
      </c>
      <c r="F5185" t="s">
        <v>860</v>
      </c>
    </row>
    <row r="5186" spans="1:6" x14ac:dyDescent="0.25">
      <c r="A5186" t="s">
        <v>17083</v>
      </c>
      <c r="B5186" t="s">
        <v>17084</v>
      </c>
      <c r="C5186" t="s">
        <v>17085</v>
      </c>
      <c r="D5186" t="s">
        <v>17086</v>
      </c>
      <c r="E5186" t="s">
        <v>269</v>
      </c>
      <c r="F5186" t="s">
        <v>17087</v>
      </c>
    </row>
    <row r="5187" spans="1:6" x14ac:dyDescent="0.25">
      <c r="A5187" t="s">
        <v>17088</v>
      </c>
      <c r="B5187" t="s">
        <v>17089</v>
      </c>
      <c r="C5187" t="s">
        <v>17090</v>
      </c>
      <c r="D5187" t="s">
        <v>1051</v>
      </c>
      <c r="E5187" t="s">
        <v>271</v>
      </c>
      <c r="F5187" t="s">
        <v>1050</v>
      </c>
    </row>
    <row r="5188" spans="1:6" x14ac:dyDescent="0.25">
      <c r="A5188" t="s">
        <v>2774</v>
      </c>
      <c r="B5188" t="s">
        <v>2775</v>
      </c>
      <c r="C5188" t="s">
        <v>2776</v>
      </c>
      <c r="D5188" t="s">
        <v>0</v>
      </c>
      <c r="E5188" t="s">
        <v>271</v>
      </c>
      <c r="F5188" t="s">
        <v>881</v>
      </c>
    </row>
    <row r="5189" spans="1:6" x14ac:dyDescent="0.25">
      <c r="A5189" t="s">
        <v>17091</v>
      </c>
      <c r="B5189" t="s">
        <v>17092</v>
      </c>
      <c r="C5189" t="s">
        <v>17093</v>
      </c>
      <c r="D5189" t="s">
        <v>245</v>
      </c>
      <c r="E5189" t="s">
        <v>271</v>
      </c>
      <c r="F5189" t="s">
        <v>413</v>
      </c>
    </row>
    <row r="5190" spans="1:6" x14ac:dyDescent="0.25">
      <c r="A5190" t="s">
        <v>17094</v>
      </c>
      <c r="B5190" t="s">
        <v>17095</v>
      </c>
      <c r="C5190" t="s">
        <v>17096</v>
      </c>
      <c r="D5190" t="s">
        <v>377</v>
      </c>
      <c r="E5190" t="s">
        <v>269</v>
      </c>
      <c r="F5190" t="s">
        <v>1786</v>
      </c>
    </row>
    <row r="5191" spans="1:6" x14ac:dyDescent="0.25">
      <c r="A5191" t="s">
        <v>17097</v>
      </c>
      <c r="B5191" t="s">
        <v>17098</v>
      </c>
      <c r="C5191" t="s">
        <v>17099</v>
      </c>
      <c r="D5191" t="s">
        <v>6081</v>
      </c>
      <c r="E5191" t="s">
        <v>271</v>
      </c>
      <c r="F5191" t="s">
        <v>401</v>
      </c>
    </row>
    <row r="5192" spans="1:6" x14ac:dyDescent="0.25">
      <c r="A5192" t="s">
        <v>17100</v>
      </c>
      <c r="B5192" t="s">
        <v>17101</v>
      </c>
      <c r="C5192" t="s">
        <v>17102</v>
      </c>
      <c r="D5192" t="s">
        <v>0</v>
      </c>
      <c r="E5192" t="s">
        <v>271</v>
      </c>
      <c r="F5192" t="s">
        <v>355</v>
      </c>
    </row>
    <row r="5193" spans="1:6" x14ac:dyDescent="0.25">
      <c r="A5193" t="s">
        <v>17103</v>
      </c>
      <c r="B5193" t="s">
        <v>17104</v>
      </c>
      <c r="C5193" t="s">
        <v>17105</v>
      </c>
      <c r="D5193" t="s">
        <v>1165</v>
      </c>
      <c r="E5193" t="s">
        <v>271</v>
      </c>
      <c r="F5193" t="s">
        <v>1164</v>
      </c>
    </row>
    <row r="5194" spans="1:6" x14ac:dyDescent="0.25">
      <c r="A5194" t="s">
        <v>17106</v>
      </c>
      <c r="B5194" t="s">
        <v>17107</v>
      </c>
      <c r="C5194" t="s">
        <v>17108</v>
      </c>
      <c r="D5194" t="s">
        <v>361</v>
      </c>
      <c r="E5194" t="s">
        <v>271</v>
      </c>
      <c r="F5194" t="s">
        <v>582</v>
      </c>
    </row>
    <row r="5195" spans="1:6" x14ac:dyDescent="0.25">
      <c r="A5195" t="s">
        <v>17109</v>
      </c>
      <c r="B5195" t="s">
        <v>17110</v>
      </c>
      <c r="C5195" t="s">
        <v>17111</v>
      </c>
      <c r="D5195" t="s">
        <v>5890</v>
      </c>
      <c r="E5195" t="s">
        <v>271</v>
      </c>
      <c r="F5195" t="s">
        <v>4422</v>
      </c>
    </row>
    <row r="5196" spans="1:6" x14ac:dyDescent="0.25">
      <c r="A5196" t="s">
        <v>17112</v>
      </c>
      <c r="B5196" t="s">
        <v>7846</v>
      </c>
      <c r="C5196" t="s">
        <v>7847</v>
      </c>
      <c r="D5196" t="s">
        <v>498</v>
      </c>
      <c r="E5196" t="s">
        <v>271</v>
      </c>
      <c r="F5196" t="s">
        <v>926</v>
      </c>
    </row>
    <row r="5197" spans="1:6" x14ac:dyDescent="0.25">
      <c r="A5197" t="s">
        <v>17113</v>
      </c>
      <c r="B5197" t="s">
        <v>17114</v>
      </c>
      <c r="C5197" t="s">
        <v>17115</v>
      </c>
      <c r="D5197" t="s">
        <v>361</v>
      </c>
      <c r="E5197" t="s">
        <v>271</v>
      </c>
      <c r="F5197" t="s">
        <v>582</v>
      </c>
    </row>
    <row r="5198" spans="1:6" x14ac:dyDescent="0.25">
      <c r="A5198" t="s">
        <v>17116</v>
      </c>
      <c r="B5198" t="s">
        <v>17117</v>
      </c>
      <c r="C5198" t="s">
        <v>17118</v>
      </c>
      <c r="D5198" t="s">
        <v>17119</v>
      </c>
      <c r="E5198" t="s">
        <v>271</v>
      </c>
      <c r="F5198" t="s">
        <v>2470</v>
      </c>
    </row>
    <row r="5199" spans="1:6" x14ac:dyDescent="0.25">
      <c r="A5199" t="s">
        <v>2999</v>
      </c>
      <c r="B5199" t="s">
        <v>3000</v>
      </c>
      <c r="C5199" t="s">
        <v>3003</v>
      </c>
      <c r="D5199" t="s">
        <v>3002</v>
      </c>
      <c r="E5199" t="s">
        <v>269</v>
      </c>
      <c r="F5199" t="s">
        <v>3001</v>
      </c>
    </row>
    <row r="5200" spans="1:6" x14ac:dyDescent="0.25">
      <c r="A5200" t="s">
        <v>17120</v>
      </c>
      <c r="B5200" t="s">
        <v>17121</v>
      </c>
      <c r="C5200" t="s">
        <v>17122</v>
      </c>
      <c r="D5200" t="s">
        <v>0</v>
      </c>
      <c r="E5200" t="s">
        <v>271</v>
      </c>
      <c r="F5200" t="s">
        <v>1115</v>
      </c>
    </row>
    <row r="5201" spans="1:6" x14ac:dyDescent="0.25">
      <c r="A5201" t="s">
        <v>17123</v>
      </c>
      <c r="B5201" t="s">
        <v>17124</v>
      </c>
      <c r="C5201" t="s">
        <v>17125</v>
      </c>
      <c r="D5201" t="s">
        <v>616</v>
      </c>
      <c r="E5201" t="s">
        <v>271</v>
      </c>
      <c r="F5201" t="s">
        <v>1102</v>
      </c>
    </row>
    <row r="5202" spans="1:6" x14ac:dyDescent="0.25">
      <c r="A5202" t="s">
        <v>17126</v>
      </c>
      <c r="B5202" t="s">
        <v>17127</v>
      </c>
      <c r="C5202" t="s">
        <v>17128</v>
      </c>
      <c r="D5202" t="s">
        <v>675</v>
      </c>
      <c r="E5202" t="s">
        <v>271</v>
      </c>
      <c r="F5202" t="s">
        <v>674</v>
      </c>
    </row>
    <row r="5203" spans="1:6" x14ac:dyDescent="0.25">
      <c r="A5203" t="s">
        <v>17129</v>
      </c>
      <c r="B5203" t="s">
        <v>17130</v>
      </c>
      <c r="C5203" t="s">
        <v>17131</v>
      </c>
      <c r="D5203" t="s">
        <v>610</v>
      </c>
      <c r="E5203" t="s">
        <v>271</v>
      </c>
      <c r="F5203" t="s">
        <v>611</v>
      </c>
    </row>
    <row r="5204" spans="1:6" x14ac:dyDescent="0.25">
      <c r="A5204" t="s">
        <v>17132</v>
      </c>
      <c r="B5204" t="s">
        <v>17133</v>
      </c>
      <c r="C5204" t="s">
        <v>17134</v>
      </c>
      <c r="D5204" t="s">
        <v>492</v>
      </c>
      <c r="E5204" t="s">
        <v>271</v>
      </c>
      <c r="F5204" t="s">
        <v>493</v>
      </c>
    </row>
    <row r="5205" spans="1:6" x14ac:dyDescent="0.25">
      <c r="A5205" t="s">
        <v>17135</v>
      </c>
      <c r="B5205" t="s">
        <v>17136</v>
      </c>
      <c r="C5205" t="s">
        <v>17137</v>
      </c>
      <c r="D5205" t="s">
        <v>267</v>
      </c>
      <c r="E5205" t="s">
        <v>271</v>
      </c>
      <c r="F5205" t="s">
        <v>480</v>
      </c>
    </row>
    <row r="5206" spans="1:6" x14ac:dyDescent="0.25">
      <c r="A5206" t="s">
        <v>2382</v>
      </c>
      <c r="B5206" t="s">
        <v>2383</v>
      </c>
      <c r="C5206" t="s">
        <v>2385</v>
      </c>
      <c r="D5206" t="s">
        <v>446</v>
      </c>
      <c r="E5206" t="s">
        <v>271</v>
      </c>
      <c r="F5206" t="s">
        <v>447</v>
      </c>
    </row>
    <row r="5207" spans="1:6" x14ac:dyDescent="0.25">
      <c r="A5207" t="s">
        <v>17138</v>
      </c>
      <c r="B5207" t="s">
        <v>17139</v>
      </c>
      <c r="C5207" t="s">
        <v>17140</v>
      </c>
      <c r="D5207" t="s">
        <v>0</v>
      </c>
      <c r="E5207" t="s">
        <v>271</v>
      </c>
      <c r="F5207" t="s">
        <v>562</v>
      </c>
    </row>
    <row r="5208" spans="1:6" x14ac:dyDescent="0.25">
      <c r="A5208" t="s">
        <v>17141</v>
      </c>
      <c r="B5208" t="s">
        <v>17142</v>
      </c>
      <c r="C5208" t="s">
        <v>17143</v>
      </c>
      <c r="D5208" t="s">
        <v>0</v>
      </c>
      <c r="E5208" t="s">
        <v>271</v>
      </c>
      <c r="F5208" t="s">
        <v>881</v>
      </c>
    </row>
    <row r="5209" spans="1:6" x14ac:dyDescent="0.25">
      <c r="A5209" t="s">
        <v>17144</v>
      </c>
      <c r="B5209" t="s">
        <v>17145</v>
      </c>
      <c r="C5209" t="s">
        <v>17146</v>
      </c>
      <c r="D5209" t="s">
        <v>972</v>
      </c>
      <c r="E5209" t="s">
        <v>269</v>
      </c>
      <c r="F5209" t="s">
        <v>971</v>
      </c>
    </row>
    <row r="5210" spans="1:6" x14ac:dyDescent="0.25">
      <c r="A5210" t="s">
        <v>17147</v>
      </c>
      <c r="B5210" t="s">
        <v>17148</v>
      </c>
      <c r="C5210" t="s">
        <v>17149</v>
      </c>
      <c r="D5210" t="s">
        <v>6201</v>
      </c>
      <c r="E5210" t="s">
        <v>271</v>
      </c>
      <c r="F5210" t="s">
        <v>4395</v>
      </c>
    </row>
    <row r="5211" spans="1:6" x14ac:dyDescent="0.25">
      <c r="A5211" t="s">
        <v>17150</v>
      </c>
      <c r="B5211" t="s">
        <v>17151</v>
      </c>
      <c r="C5211" t="s">
        <v>17152</v>
      </c>
      <c r="D5211" t="s">
        <v>1137</v>
      </c>
      <c r="E5211" t="s">
        <v>269</v>
      </c>
      <c r="F5211" t="s">
        <v>1136</v>
      </c>
    </row>
    <row r="5212" spans="1:6" x14ac:dyDescent="0.25">
      <c r="A5212" t="s">
        <v>17153</v>
      </c>
      <c r="B5212" t="s">
        <v>17154</v>
      </c>
      <c r="C5212" t="s">
        <v>17155</v>
      </c>
      <c r="D5212" t="s">
        <v>0</v>
      </c>
      <c r="E5212" t="s">
        <v>271</v>
      </c>
      <c r="F5212" t="s">
        <v>3941</v>
      </c>
    </row>
    <row r="5213" spans="1:6" x14ac:dyDescent="0.25">
      <c r="A5213" t="s">
        <v>17156</v>
      </c>
      <c r="B5213" t="s">
        <v>17157</v>
      </c>
      <c r="C5213" t="s">
        <v>17158</v>
      </c>
      <c r="D5213" t="s">
        <v>1361</v>
      </c>
      <c r="E5213" t="s">
        <v>271</v>
      </c>
      <c r="F5213" t="s">
        <v>1829</v>
      </c>
    </row>
    <row r="5214" spans="1:6" x14ac:dyDescent="0.25">
      <c r="A5214" t="s">
        <v>3592</v>
      </c>
      <c r="B5214" t="s">
        <v>3593</v>
      </c>
      <c r="C5214" t="s">
        <v>3594</v>
      </c>
      <c r="D5214" t="s">
        <v>1292</v>
      </c>
      <c r="E5214" t="s">
        <v>271</v>
      </c>
      <c r="F5214" t="s">
        <v>1291</v>
      </c>
    </row>
    <row r="5215" spans="1:6" x14ac:dyDescent="0.25">
      <c r="A5215" t="s">
        <v>17159</v>
      </c>
      <c r="B5215" t="s">
        <v>17160</v>
      </c>
      <c r="C5215" t="s">
        <v>17161</v>
      </c>
      <c r="D5215" t="s">
        <v>586</v>
      </c>
      <c r="E5215" t="s">
        <v>271</v>
      </c>
      <c r="F5215" t="s">
        <v>334</v>
      </c>
    </row>
    <row r="5216" spans="1:6" x14ac:dyDescent="0.25">
      <c r="A5216" t="s">
        <v>17162</v>
      </c>
      <c r="B5216" t="s">
        <v>17163</v>
      </c>
      <c r="C5216" t="s">
        <v>17164</v>
      </c>
      <c r="D5216" t="s">
        <v>699</v>
      </c>
      <c r="E5216" t="s">
        <v>269</v>
      </c>
      <c r="F5216" t="s">
        <v>698</v>
      </c>
    </row>
    <row r="5217" spans="1:6" x14ac:dyDescent="0.25">
      <c r="A5217" t="s">
        <v>17165</v>
      </c>
      <c r="B5217" t="s">
        <v>17166</v>
      </c>
      <c r="C5217" t="s">
        <v>17167</v>
      </c>
      <c r="D5217" t="s">
        <v>347</v>
      </c>
      <c r="E5217" t="s">
        <v>271</v>
      </c>
      <c r="F5217" t="s">
        <v>327</v>
      </c>
    </row>
    <row r="5218" spans="1:6" x14ac:dyDescent="0.25">
      <c r="A5218" t="s">
        <v>17168</v>
      </c>
      <c r="B5218" t="s">
        <v>17169</v>
      </c>
      <c r="C5218" t="s">
        <v>17170</v>
      </c>
      <c r="D5218" t="s">
        <v>835</v>
      </c>
      <c r="E5218" t="s">
        <v>269</v>
      </c>
      <c r="F5218" t="s">
        <v>834</v>
      </c>
    </row>
    <row r="5219" spans="1:6" x14ac:dyDescent="0.25">
      <c r="A5219" t="s">
        <v>17171</v>
      </c>
      <c r="B5219" t="s">
        <v>17172</v>
      </c>
      <c r="C5219" t="s">
        <v>17173</v>
      </c>
      <c r="D5219" t="s">
        <v>282</v>
      </c>
      <c r="E5219" t="s">
        <v>271</v>
      </c>
      <c r="F5219" t="s">
        <v>1191</v>
      </c>
    </row>
    <row r="5220" spans="1:6" x14ac:dyDescent="0.25">
      <c r="A5220" t="s">
        <v>3170</v>
      </c>
      <c r="B5220" t="s">
        <v>3171</v>
      </c>
      <c r="C5220" t="s">
        <v>3172</v>
      </c>
      <c r="D5220" t="s">
        <v>1548</v>
      </c>
      <c r="E5220" t="s">
        <v>271</v>
      </c>
      <c r="F5220" t="s">
        <v>1547</v>
      </c>
    </row>
    <row r="5221" spans="1:6" x14ac:dyDescent="0.25">
      <c r="A5221" t="s">
        <v>17174</v>
      </c>
      <c r="B5221" t="s">
        <v>17175</v>
      </c>
      <c r="C5221" t="s">
        <v>17176</v>
      </c>
      <c r="D5221" t="s">
        <v>1126</v>
      </c>
      <c r="E5221" t="s">
        <v>271</v>
      </c>
      <c r="F5221" t="s">
        <v>1125</v>
      </c>
    </row>
    <row r="5222" spans="1:6" x14ac:dyDescent="0.25">
      <c r="A5222" t="s">
        <v>2347</v>
      </c>
      <c r="B5222" t="s">
        <v>2348</v>
      </c>
      <c r="C5222" t="s">
        <v>2350</v>
      </c>
      <c r="D5222" t="s">
        <v>0</v>
      </c>
      <c r="E5222" t="s">
        <v>271</v>
      </c>
      <c r="F5222" t="s">
        <v>2349</v>
      </c>
    </row>
    <row r="5223" spans="1:6" x14ac:dyDescent="0.25">
      <c r="A5223" t="s">
        <v>17177</v>
      </c>
      <c r="B5223" t="s">
        <v>17178</v>
      </c>
      <c r="C5223" t="s">
        <v>17179</v>
      </c>
      <c r="D5223" t="s">
        <v>0</v>
      </c>
      <c r="E5223" t="s">
        <v>271</v>
      </c>
      <c r="F5223" t="s">
        <v>881</v>
      </c>
    </row>
    <row r="5224" spans="1:6" x14ac:dyDescent="0.25">
      <c r="A5224" t="s">
        <v>17180</v>
      </c>
      <c r="B5224" t="s">
        <v>17181</v>
      </c>
      <c r="C5224" t="s">
        <v>17182</v>
      </c>
      <c r="D5224" t="s">
        <v>2265</v>
      </c>
      <c r="E5224" t="s">
        <v>271</v>
      </c>
      <c r="F5224" t="s">
        <v>2264</v>
      </c>
    </row>
    <row r="5225" spans="1:6" x14ac:dyDescent="0.25">
      <c r="A5225" t="s">
        <v>1256</v>
      </c>
      <c r="B5225" t="s">
        <v>1257</v>
      </c>
      <c r="C5225" t="s">
        <v>1258</v>
      </c>
      <c r="D5225" t="s">
        <v>0</v>
      </c>
      <c r="E5225" t="s">
        <v>271</v>
      </c>
      <c r="F5225" t="s">
        <v>562</v>
      </c>
    </row>
    <row r="5226" spans="1:6" x14ac:dyDescent="0.25">
      <c r="A5226" t="s">
        <v>17183</v>
      </c>
      <c r="B5226" t="s">
        <v>17184</v>
      </c>
      <c r="C5226" t="s">
        <v>17185</v>
      </c>
      <c r="D5226" t="s">
        <v>519</v>
      </c>
      <c r="E5226" t="s">
        <v>271</v>
      </c>
      <c r="F5226" t="s">
        <v>324</v>
      </c>
    </row>
    <row r="5227" spans="1:6" x14ac:dyDescent="0.25">
      <c r="A5227" t="s">
        <v>17186</v>
      </c>
      <c r="B5227" t="s">
        <v>17187</v>
      </c>
      <c r="C5227" t="s">
        <v>17188</v>
      </c>
      <c r="D5227" t="s">
        <v>0</v>
      </c>
      <c r="E5227" t="s">
        <v>271</v>
      </c>
      <c r="F5227" t="s">
        <v>325</v>
      </c>
    </row>
    <row r="5228" spans="1:6" x14ac:dyDescent="0.25">
      <c r="A5228" t="s">
        <v>17189</v>
      </c>
      <c r="B5228" t="s">
        <v>17190</v>
      </c>
      <c r="C5228" t="s">
        <v>9947</v>
      </c>
      <c r="D5228" t="s">
        <v>0</v>
      </c>
      <c r="E5228" t="s">
        <v>271</v>
      </c>
      <c r="F5228" t="s">
        <v>881</v>
      </c>
    </row>
    <row r="5229" spans="1:6" x14ac:dyDescent="0.25">
      <c r="A5229" t="s">
        <v>17191</v>
      </c>
      <c r="B5229" t="s">
        <v>16626</v>
      </c>
      <c r="C5229" t="s">
        <v>17192</v>
      </c>
      <c r="D5229" t="s">
        <v>0</v>
      </c>
      <c r="E5229" t="s">
        <v>271</v>
      </c>
      <c r="F5229" t="s">
        <v>356</v>
      </c>
    </row>
    <row r="5230" spans="1:6" x14ac:dyDescent="0.25">
      <c r="A5230" t="s">
        <v>17193</v>
      </c>
      <c r="B5230" t="s">
        <v>17194</v>
      </c>
      <c r="C5230" t="s">
        <v>17195</v>
      </c>
      <c r="D5230" t="s">
        <v>1019</v>
      </c>
      <c r="E5230" t="s">
        <v>271</v>
      </c>
      <c r="F5230" t="s">
        <v>1018</v>
      </c>
    </row>
    <row r="5231" spans="1:6" x14ac:dyDescent="0.25">
      <c r="A5231" t="s">
        <v>17196</v>
      </c>
      <c r="B5231" t="s">
        <v>17197</v>
      </c>
      <c r="C5231" t="s">
        <v>17198</v>
      </c>
      <c r="D5231" t="s">
        <v>0</v>
      </c>
      <c r="E5231" t="s">
        <v>271</v>
      </c>
      <c r="F5231" t="s">
        <v>1141</v>
      </c>
    </row>
    <row r="5232" spans="1:6" x14ac:dyDescent="0.25">
      <c r="A5232" t="s">
        <v>3469</v>
      </c>
      <c r="B5232" t="s">
        <v>3470</v>
      </c>
      <c r="C5232" t="s">
        <v>3471</v>
      </c>
      <c r="D5232" t="s">
        <v>0</v>
      </c>
      <c r="E5232" t="s">
        <v>271</v>
      </c>
      <c r="F5232" t="s">
        <v>325</v>
      </c>
    </row>
    <row r="5233" spans="1:6" x14ac:dyDescent="0.25">
      <c r="A5233" t="s">
        <v>17199</v>
      </c>
      <c r="B5233" t="s">
        <v>17200</v>
      </c>
      <c r="C5233" t="s">
        <v>17201</v>
      </c>
      <c r="D5233" t="s">
        <v>0</v>
      </c>
      <c r="E5233" t="s">
        <v>271</v>
      </c>
      <c r="F5233" t="s">
        <v>2447</v>
      </c>
    </row>
    <row r="5234" spans="1:6" x14ac:dyDescent="0.25">
      <c r="A5234" t="s">
        <v>17202</v>
      </c>
      <c r="B5234" t="s">
        <v>17203</v>
      </c>
      <c r="C5234" t="s">
        <v>17204</v>
      </c>
      <c r="D5234" t="s">
        <v>295</v>
      </c>
      <c r="E5234" t="s">
        <v>271</v>
      </c>
      <c r="F5234" t="s">
        <v>1888</v>
      </c>
    </row>
    <row r="5235" spans="1:6" x14ac:dyDescent="0.25">
      <c r="A5235" t="s">
        <v>17205</v>
      </c>
      <c r="B5235" t="s">
        <v>17206</v>
      </c>
      <c r="C5235" t="s">
        <v>6940</v>
      </c>
      <c r="D5235" t="s">
        <v>0</v>
      </c>
      <c r="E5235" t="s">
        <v>271</v>
      </c>
      <c r="F5235" t="s">
        <v>356</v>
      </c>
    </row>
    <row r="5236" spans="1:6" x14ac:dyDescent="0.25">
      <c r="A5236" t="s">
        <v>17207</v>
      </c>
      <c r="B5236" t="s">
        <v>17208</v>
      </c>
      <c r="C5236" t="s">
        <v>17209</v>
      </c>
      <c r="D5236" t="s">
        <v>1455</v>
      </c>
      <c r="E5236" t="s">
        <v>271</v>
      </c>
      <c r="F5236" t="s">
        <v>1454</v>
      </c>
    </row>
    <row r="5237" spans="1:6" x14ac:dyDescent="0.25">
      <c r="A5237" t="s">
        <v>17210</v>
      </c>
      <c r="B5237" t="s">
        <v>17211</v>
      </c>
      <c r="C5237" t="s">
        <v>17212</v>
      </c>
      <c r="D5237" t="s">
        <v>0</v>
      </c>
      <c r="E5237" t="s">
        <v>271</v>
      </c>
      <c r="F5237" t="s">
        <v>1321</v>
      </c>
    </row>
    <row r="5238" spans="1:6" x14ac:dyDescent="0.25">
      <c r="A5238" t="s">
        <v>17213</v>
      </c>
      <c r="B5238" t="s">
        <v>17214</v>
      </c>
      <c r="C5238" t="s">
        <v>17215</v>
      </c>
      <c r="D5238" t="s">
        <v>0</v>
      </c>
      <c r="E5238" t="s">
        <v>271</v>
      </c>
      <c r="F5238" t="s">
        <v>355</v>
      </c>
    </row>
    <row r="5239" spans="1:6" x14ac:dyDescent="0.25">
      <c r="A5239" t="s">
        <v>17216</v>
      </c>
      <c r="B5239" t="s">
        <v>17217</v>
      </c>
      <c r="C5239" t="s">
        <v>2275</v>
      </c>
      <c r="D5239" t="s">
        <v>0</v>
      </c>
      <c r="E5239" t="s">
        <v>271</v>
      </c>
      <c r="F5239" t="s">
        <v>731</v>
      </c>
    </row>
    <row r="5240" spans="1:6" x14ac:dyDescent="0.25">
      <c r="A5240" t="s">
        <v>17218</v>
      </c>
      <c r="B5240" t="s">
        <v>17219</v>
      </c>
      <c r="C5240" t="s">
        <v>17220</v>
      </c>
      <c r="D5240" t="s">
        <v>586</v>
      </c>
      <c r="E5240" t="s">
        <v>271</v>
      </c>
      <c r="F5240" t="s">
        <v>334</v>
      </c>
    </row>
    <row r="5241" spans="1:6" x14ac:dyDescent="0.25">
      <c r="A5241" t="s">
        <v>17221</v>
      </c>
      <c r="B5241" t="s">
        <v>17222</v>
      </c>
      <c r="C5241" t="s">
        <v>17223</v>
      </c>
      <c r="D5241" t="s">
        <v>835</v>
      </c>
      <c r="E5241" t="s">
        <v>269</v>
      </c>
      <c r="F5241" t="s">
        <v>834</v>
      </c>
    </row>
    <row r="5242" spans="1:6" x14ac:dyDescent="0.25">
      <c r="A5242" t="s">
        <v>3128</v>
      </c>
      <c r="B5242" t="s">
        <v>3129</v>
      </c>
      <c r="C5242" t="s">
        <v>3130</v>
      </c>
      <c r="D5242" t="s">
        <v>1455</v>
      </c>
      <c r="E5242" t="s">
        <v>271</v>
      </c>
      <c r="F5242" t="s">
        <v>1454</v>
      </c>
    </row>
    <row r="5243" spans="1:6" x14ac:dyDescent="0.25">
      <c r="A5243" t="s">
        <v>17224</v>
      </c>
      <c r="B5243" t="s">
        <v>17225</v>
      </c>
      <c r="C5243" t="s">
        <v>17226</v>
      </c>
      <c r="D5243" t="s">
        <v>1186</v>
      </c>
      <c r="E5243" t="s">
        <v>271</v>
      </c>
      <c r="F5243" t="s">
        <v>1185</v>
      </c>
    </row>
    <row r="5244" spans="1:6" x14ac:dyDescent="0.25">
      <c r="A5244" t="s">
        <v>17227</v>
      </c>
      <c r="B5244" t="s">
        <v>17228</v>
      </c>
      <c r="C5244" t="s">
        <v>4476</v>
      </c>
      <c r="D5244" t="s">
        <v>540</v>
      </c>
      <c r="E5244" t="s">
        <v>271</v>
      </c>
      <c r="F5244" t="s">
        <v>339</v>
      </c>
    </row>
    <row r="5245" spans="1:6" x14ac:dyDescent="0.25">
      <c r="A5245" t="s">
        <v>17229</v>
      </c>
      <c r="B5245" t="s">
        <v>17230</v>
      </c>
      <c r="C5245" t="s">
        <v>17231</v>
      </c>
      <c r="D5245" t="s">
        <v>267</v>
      </c>
      <c r="E5245" t="s">
        <v>271</v>
      </c>
      <c r="F5245" t="s">
        <v>480</v>
      </c>
    </row>
    <row r="5246" spans="1:6" x14ac:dyDescent="0.25">
      <c r="A5246" t="s">
        <v>17232</v>
      </c>
      <c r="B5246" t="s">
        <v>17233</v>
      </c>
      <c r="C5246" t="s">
        <v>17234</v>
      </c>
      <c r="D5246" t="s">
        <v>0</v>
      </c>
      <c r="E5246" t="s">
        <v>271</v>
      </c>
      <c r="F5246" t="s">
        <v>658</v>
      </c>
    </row>
    <row r="5247" spans="1:6" x14ac:dyDescent="0.25">
      <c r="A5247" t="s">
        <v>17235</v>
      </c>
      <c r="B5247" t="s">
        <v>14827</v>
      </c>
      <c r="C5247" t="s">
        <v>17236</v>
      </c>
      <c r="D5247" t="s">
        <v>340</v>
      </c>
      <c r="E5247" t="s">
        <v>271</v>
      </c>
      <c r="F5247" t="s">
        <v>317</v>
      </c>
    </row>
    <row r="5248" spans="1:6" x14ac:dyDescent="0.25">
      <c r="A5248" t="s">
        <v>1772</v>
      </c>
      <c r="B5248" t="s">
        <v>1773</v>
      </c>
      <c r="C5248" t="s">
        <v>1774</v>
      </c>
      <c r="D5248" t="s">
        <v>1027</v>
      </c>
      <c r="E5248" t="s">
        <v>271</v>
      </c>
      <c r="F5248" t="s">
        <v>1026</v>
      </c>
    </row>
    <row r="5249" spans="1:6" x14ac:dyDescent="0.25">
      <c r="A5249" t="s">
        <v>3016</v>
      </c>
      <c r="B5249" t="s">
        <v>3017</v>
      </c>
      <c r="C5249" t="s">
        <v>3018</v>
      </c>
      <c r="D5249" t="s">
        <v>0</v>
      </c>
      <c r="E5249" t="s">
        <v>271</v>
      </c>
      <c r="F5249" t="s">
        <v>323</v>
      </c>
    </row>
    <row r="5250" spans="1:6" x14ac:dyDescent="0.25">
      <c r="A5250" t="s">
        <v>17237</v>
      </c>
      <c r="B5250" t="s">
        <v>17238</v>
      </c>
      <c r="C5250" t="s">
        <v>17239</v>
      </c>
      <c r="D5250" t="s">
        <v>461</v>
      </c>
      <c r="E5250" t="s">
        <v>271</v>
      </c>
      <c r="F5250" t="s">
        <v>336</v>
      </c>
    </row>
    <row r="5251" spans="1:6" x14ac:dyDescent="0.25">
      <c r="A5251" t="s">
        <v>17240</v>
      </c>
      <c r="B5251" t="s">
        <v>17241</v>
      </c>
      <c r="C5251" t="s">
        <v>17242</v>
      </c>
      <c r="D5251" t="s">
        <v>0</v>
      </c>
      <c r="E5251" t="s">
        <v>271</v>
      </c>
      <c r="F5251" t="s">
        <v>1679</v>
      </c>
    </row>
    <row r="5252" spans="1:6" x14ac:dyDescent="0.25">
      <c r="A5252" t="s">
        <v>17243</v>
      </c>
      <c r="B5252" t="s">
        <v>17244</v>
      </c>
      <c r="C5252" t="s">
        <v>17245</v>
      </c>
      <c r="D5252" t="s">
        <v>0</v>
      </c>
      <c r="E5252" t="s">
        <v>271</v>
      </c>
      <c r="F5252" t="s">
        <v>431</v>
      </c>
    </row>
    <row r="5253" spans="1:6" x14ac:dyDescent="0.25">
      <c r="A5253" t="s">
        <v>17246</v>
      </c>
      <c r="B5253" t="s">
        <v>17247</v>
      </c>
      <c r="C5253" t="s">
        <v>17248</v>
      </c>
      <c r="D5253" t="s">
        <v>0</v>
      </c>
      <c r="E5253" t="s">
        <v>271</v>
      </c>
      <c r="F5253" t="s">
        <v>1214</v>
      </c>
    </row>
    <row r="5254" spans="1:6" x14ac:dyDescent="0.25">
      <c r="A5254" t="s">
        <v>17249</v>
      </c>
      <c r="B5254" t="s">
        <v>17250</v>
      </c>
      <c r="C5254" t="s">
        <v>17251</v>
      </c>
      <c r="D5254" t="s">
        <v>980</v>
      </c>
      <c r="E5254" t="s">
        <v>271</v>
      </c>
      <c r="F5254" t="s">
        <v>979</v>
      </c>
    </row>
    <row r="5255" spans="1:6" x14ac:dyDescent="0.25">
      <c r="A5255" t="s">
        <v>17252</v>
      </c>
      <c r="B5255" t="s">
        <v>17253</v>
      </c>
      <c r="C5255" t="s">
        <v>17254</v>
      </c>
      <c r="D5255" t="s">
        <v>0</v>
      </c>
      <c r="E5255" t="s">
        <v>271</v>
      </c>
      <c r="F5255" t="s">
        <v>356</v>
      </c>
    </row>
    <row r="5256" spans="1:6" x14ac:dyDescent="0.25">
      <c r="A5256" t="s">
        <v>17255</v>
      </c>
      <c r="B5256" t="s">
        <v>17256</v>
      </c>
      <c r="C5256" t="s">
        <v>17257</v>
      </c>
      <c r="D5256" t="s">
        <v>1079</v>
      </c>
      <c r="E5256" t="s">
        <v>271</v>
      </c>
      <c r="F5256" t="s">
        <v>3880</v>
      </c>
    </row>
    <row r="5257" spans="1:6" x14ac:dyDescent="0.25">
      <c r="A5257" t="s">
        <v>17258</v>
      </c>
      <c r="B5257" t="s">
        <v>17259</v>
      </c>
      <c r="C5257" t="s">
        <v>17260</v>
      </c>
      <c r="D5257" t="s">
        <v>472</v>
      </c>
      <c r="E5257" t="s">
        <v>271</v>
      </c>
      <c r="F5257" t="s">
        <v>318</v>
      </c>
    </row>
    <row r="5258" spans="1:6" x14ac:dyDescent="0.25">
      <c r="A5258" t="s">
        <v>17261</v>
      </c>
      <c r="B5258" t="s">
        <v>17262</v>
      </c>
      <c r="C5258" t="s">
        <v>17263</v>
      </c>
      <c r="D5258" t="s">
        <v>1542</v>
      </c>
      <c r="E5258" t="s">
        <v>269</v>
      </c>
      <c r="F5258" t="s">
        <v>4412</v>
      </c>
    </row>
    <row r="5259" spans="1:6" x14ac:dyDescent="0.25">
      <c r="A5259" t="s">
        <v>17264</v>
      </c>
      <c r="B5259" t="s">
        <v>17265</v>
      </c>
      <c r="C5259" t="s">
        <v>17266</v>
      </c>
      <c r="D5259" t="s">
        <v>2637</v>
      </c>
      <c r="E5259" t="s">
        <v>271</v>
      </c>
      <c r="F5259" t="s">
        <v>2636</v>
      </c>
    </row>
    <row r="5260" spans="1:6" x14ac:dyDescent="0.25">
      <c r="A5260" t="s">
        <v>17267</v>
      </c>
      <c r="B5260" t="s">
        <v>17268</v>
      </c>
      <c r="C5260" t="s">
        <v>17269</v>
      </c>
      <c r="D5260" t="s">
        <v>7248</v>
      </c>
      <c r="E5260" t="s">
        <v>271</v>
      </c>
      <c r="F5260" t="s">
        <v>4438</v>
      </c>
    </row>
    <row r="5261" spans="1:6" x14ac:dyDescent="0.25">
      <c r="A5261" t="s">
        <v>17270</v>
      </c>
      <c r="B5261" t="s">
        <v>5060</v>
      </c>
      <c r="C5261" t="s">
        <v>17271</v>
      </c>
      <c r="D5261" t="s">
        <v>453</v>
      </c>
      <c r="E5261" t="s">
        <v>271</v>
      </c>
      <c r="F5261" t="s">
        <v>2285</v>
      </c>
    </row>
    <row r="5262" spans="1:6" x14ac:dyDescent="0.25">
      <c r="A5262" t="s">
        <v>3072</v>
      </c>
      <c r="B5262" t="s">
        <v>3073</v>
      </c>
      <c r="C5262" t="s">
        <v>3074</v>
      </c>
      <c r="D5262" t="s">
        <v>0</v>
      </c>
      <c r="E5262" t="s">
        <v>271</v>
      </c>
      <c r="F5262" t="s">
        <v>2377</v>
      </c>
    </row>
    <row r="5263" spans="1:6" x14ac:dyDescent="0.25">
      <c r="A5263" t="s">
        <v>17272</v>
      </c>
      <c r="B5263" t="s">
        <v>17273</v>
      </c>
      <c r="C5263" t="s">
        <v>17274</v>
      </c>
      <c r="D5263" t="s">
        <v>17275</v>
      </c>
      <c r="E5263" t="s">
        <v>271</v>
      </c>
      <c r="F5263" t="s">
        <v>17276</v>
      </c>
    </row>
    <row r="5264" spans="1:6" x14ac:dyDescent="0.25">
      <c r="A5264" t="s">
        <v>17277</v>
      </c>
      <c r="B5264" t="s">
        <v>17278</v>
      </c>
      <c r="C5264" t="s">
        <v>17279</v>
      </c>
      <c r="D5264" t="s">
        <v>312</v>
      </c>
      <c r="E5264" t="s">
        <v>271</v>
      </c>
      <c r="F5264" t="s">
        <v>311</v>
      </c>
    </row>
    <row r="5265" spans="1:6" x14ac:dyDescent="0.25">
      <c r="A5265" t="s">
        <v>17280</v>
      </c>
      <c r="B5265" t="s">
        <v>7406</v>
      </c>
      <c r="C5265" t="s">
        <v>17281</v>
      </c>
      <c r="D5265" t="s">
        <v>260</v>
      </c>
      <c r="E5265" t="s">
        <v>265</v>
      </c>
      <c r="F5265" t="s">
        <v>7985</v>
      </c>
    </row>
    <row r="5266" spans="1:6" x14ac:dyDescent="0.25">
      <c r="A5266" t="s">
        <v>17282</v>
      </c>
      <c r="B5266" t="s">
        <v>17283</v>
      </c>
      <c r="C5266" t="s">
        <v>17284</v>
      </c>
      <c r="D5266" t="s">
        <v>0</v>
      </c>
      <c r="E5266" t="s">
        <v>271</v>
      </c>
      <c r="F5266" t="s">
        <v>1011</v>
      </c>
    </row>
    <row r="5267" spans="1:6" x14ac:dyDescent="0.25">
      <c r="A5267" t="s">
        <v>17285</v>
      </c>
      <c r="B5267" t="s">
        <v>17286</v>
      </c>
      <c r="C5267" t="s">
        <v>17287</v>
      </c>
      <c r="D5267" t="s">
        <v>845</v>
      </c>
      <c r="E5267" t="s">
        <v>271</v>
      </c>
      <c r="F5267" t="s">
        <v>844</v>
      </c>
    </row>
    <row r="5268" spans="1:6" x14ac:dyDescent="0.25">
      <c r="A5268" t="s">
        <v>17288</v>
      </c>
      <c r="B5268" t="s">
        <v>17289</v>
      </c>
      <c r="C5268" t="s">
        <v>17290</v>
      </c>
      <c r="D5268" t="s">
        <v>0</v>
      </c>
      <c r="E5268" t="s">
        <v>271</v>
      </c>
      <c r="F5268" t="s">
        <v>325</v>
      </c>
    </row>
    <row r="5269" spans="1:6" x14ac:dyDescent="0.25">
      <c r="A5269" t="s">
        <v>17291</v>
      </c>
      <c r="B5269" t="s">
        <v>17292</v>
      </c>
      <c r="C5269" t="s">
        <v>17293</v>
      </c>
      <c r="D5269" t="s">
        <v>460</v>
      </c>
      <c r="E5269" t="s">
        <v>271</v>
      </c>
      <c r="F5269" t="s">
        <v>435</v>
      </c>
    </row>
    <row r="5270" spans="1:6" x14ac:dyDescent="0.25">
      <c r="A5270" t="s">
        <v>17294</v>
      </c>
      <c r="B5270" t="s">
        <v>17295</v>
      </c>
      <c r="C5270" t="s">
        <v>17296</v>
      </c>
      <c r="D5270" t="s">
        <v>0</v>
      </c>
      <c r="E5270" t="s">
        <v>271</v>
      </c>
      <c r="F5270" t="s">
        <v>356</v>
      </c>
    </row>
    <row r="5271" spans="1:6" x14ac:dyDescent="0.25">
      <c r="A5271" t="s">
        <v>17297</v>
      </c>
      <c r="B5271" t="s">
        <v>17298</v>
      </c>
      <c r="C5271" t="s">
        <v>17299</v>
      </c>
      <c r="D5271" t="s">
        <v>402</v>
      </c>
      <c r="E5271" t="s">
        <v>271</v>
      </c>
      <c r="F5271" t="s">
        <v>401</v>
      </c>
    </row>
    <row r="5272" spans="1:6" x14ac:dyDescent="0.25">
      <c r="A5272" t="s">
        <v>17300</v>
      </c>
      <c r="B5272" t="s">
        <v>17301</v>
      </c>
      <c r="C5272" t="s">
        <v>17302</v>
      </c>
      <c r="D5272" t="s">
        <v>314</v>
      </c>
      <c r="E5272" t="s">
        <v>271</v>
      </c>
      <c r="F5272" t="s">
        <v>370</v>
      </c>
    </row>
    <row r="5273" spans="1:6" x14ac:dyDescent="0.25">
      <c r="A5273" t="s">
        <v>17303</v>
      </c>
      <c r="B5273" t="s">
        <v>17304</v>
      </c>
      <c r="C5273" t="s">
        <v>17305</v>
      </c>
      <c r="D5273" t="s">
        <v>498</v>
      </c>
      <c r="E5273" t="s">
        <v>271</v>
      </c>
      <c r="F5273" t="s">
        <v>926</v>
      </c>
    </row>
    <row r="5274" spans="1:6" x14ac:dyDescent="0.25">
      <c r="A5274" t="s">
        <v>17306</v>
      </c>
      <c r="B5274" t="s">
        <v>17307</v>
      </c>
      <c r="C5274" t="s">
        <v>13954</v>
      </c>
      <c r="D5274" t="s">
        <v>0</v>
      </c>
      <c r="E5274" t="s">
        <v>271</v>
      </c>
      <c r="F5274" t="s">
        <v>1115</v>
      </c>
    </row>
    <row r="5275" spans="1:6" x14ac:dyDescent="0.25">
      <c r="A5275" t="s">
        <v>2786</v>
      </c>
      <c r="B5275" t="s">
        <v>2787</v>
      </c>
      <c r="C5275" t="s">
        <v>2788</v>
      </c>
      <c r="D5275" t="s">
        <v>1244</v>
      </c>
      <c r="E5275" t="s">
        <v>271</v>
      </c>
      <c r="F5275" t="s">
        <v>1243</v>
      </c>
    </row>
    <row r="5276" spans="1:6" x14ac:dyDescent="0.25">
      <c r="A5276" t="s">
        <v>17308</v>
      </c>
      <c r="B5276" t="s">
        <v>8614</v>
      </c>
      <c r="C5276" t="s">
        <v>8615</v>
      </c>
      <c r="D5276" t="s">
        <v>0</v>
      </c>
      <c r="E5276" t="s">
        <v>271</v>
      </c>
      <c r="F5276" t="s">
        <v>1115</v>
      </c>
    </row>
    <row r="5277" spans="1:6" x14ac:dyDescent="0.25">
      <c r="A5277" t="s">
        <v>17309</v>
      </c>
      <c r="B5277" t="s">
        <v>17310</v>
      </c>
      <c r="C5277" t="s">
        <v>17311</v>
      </c>
      <c r="D5277" t="s">
        <v>1297</v>
      </c>
      <c r="E5277" t="s">
        <v>271</v>
      </c>
      <c r="F5277" t="s">
        <v>996</v>
      </c>
    </row>
    <row r="5278" spans="1:6" x14ac:dyDescent="0.25">
      <c r="A5278" t="s">
        <v>17312</v>
      </c>
      <c r="B5278" t="s">
        <v>17313</v>
      </c>
      <c r="C5278" t="s">
        <v>17314</v>
      </c>
      <c r="D5278" t="s">
        <v>0</v>
      </c>
      <c r="E5278" t="s">
        <v>271</v>
      </c>
      <c r="F5278" t="s">
        <v>562</v>
      </c>
    </row>
    <row r="5279" spans="1:6" x14ac:dyDescent="0.25">
      <c r="A5279" t="s">
        <v>3392</v>
      </c>
      <c r="B5279" t="s">
        <v>3393</v>
      </c>
      <c r="C5279" t="s">
        <v>3394</v>
      </c>
      <c r="D5279" t="s">
        <v>598</v>
      </c>
      <c r="E5279" t="s">
        <v>271</v>
      </c>
      <c r="F5279" t="s">
        <v>599</v>
      </c>
    </row>
    <row r="5280" spans="1:6" x14ac:dyDescent="0.25">
      <c r="A5280" t="s">
        <v>3674</v>
      </c>
      <c r="B5280" t="s">
        <v>3675</v>
      </c>
      <c r="C5280" t="s">
        <v>3676</v>
      </c>
      <c r="D5280" t="s">
        <v>357</v>
      </c>
      <c r="E5280" t="s">
        <v>271</v>
      </c>
      <c r="F5280" t="s">
        <v>452</v>
      </c>
    </row>
    <row r="5281" spans="1:6" x14ac:dyDescent="0.25">
      <c r="A5281" t="s">
        <v>17315</v>
      </c>
      <c r="B5281" t="s">
        <v>17316</v>
      </c>
      <c r="C5281" t="s">
        <v>17317</v>
      </c>
      <c r="D5281" t="s">
        <v>1413</v>
      </c>
      <c r="E5281" t="s">
        <v>271</v>
      </c>
      <c r="F5281" t="s">
        <v>1412</v>
      </c>
    </row>
    <row r="5282" spans="1:6" x14ac:dyDescent="0.25">
      <c r="A5282" t="s">
        <v>17318</v>
      </c>
      <c r="B5282" t="s">
        <v>17319</v>
      </c>
      <c r="C5282" t="s">
        <v>17320</v>
      </c>
      <c r="D5282" t="s">
        <v>2631</v>
      </c>
      <c r="E5282" t="s">
        <v>271</v>
      </c>
      <c r="F5282" t="s">
        <v>2630</v>
      </c>
    </row>
    <row r="5283" spans="1:6" x14ac:dyDescent="0.25">
      <c r="A5283" t="s">
        <v>17321</v>
      </c>
      <c r="B5283" t="s">
        <v>17322</v>
      </c>
      <c r="C5283" t="s">
        <v>17323</v>
      </c>
      <c r="D5283" t="s">
        <v>3291</v>
      </c>
      <c r="E5283" t="s">
        <v>271</v>
      </c>
      <c r="F5283" t="s">
        <v>3290</v>
      </c>
    </row>
    <row r="5284" spans="1:6" x14ac:dyDescent="0.25">
      <c r="A5284" t="s">
        <v>17324</v>
      </c>
      <c r="B5284" t="s">
        <v>17325</v>
      </c>
      <c r="C5284" t="s">
        <v>17326</v>
      </c>
      <c r="D5284" t="s">
        <v>482</v>
      </c>
      <c r="E5284" t="s">
        <v>271</v>
      </c>
      <c r="F5284" t="s">
        <v>483</v>
      </c>
    </row>
    <row r="5285" spans="1:6" x14ac:dyDescent="0.25">
      <c r="A5285" t="s">
        <v>17327</v>
      </c>
      <c r="B5285" t="s">
        <v>17328</v>
      </c>
      <c r="C5285" t="s">
        <v>17329</v>
      </c>
      <c r="D5285" t="s">
        <v>272</v>
      </c>
      <c r="E5285" t="s">
        <v>269</v>
      </c>
      <c r="F5285" t="s">
        <v>907</v>
      </c>
    </row>
    <row r="5286" spans="1:6" x14ac:dyDescent="0.25">
      <c r="A5286" t="s">
        <v>3158</v>
      </c>
      <c r="B5286" t="s">
        <v>3159</v>
      </c>
      <c r="C5286" t="s">
        <v>3160</v>
      </c>
      <c r="D5286" t="s">
        <v>822</v>
      </c>
      <c r="E5286" t="s">
        <v>269</v>
      </c>
      <c r="F5286" t="s">
        <v>821</v>
      </c>
    </row>
    <row r="5287" spans="1:6" x14ac:dyDescent="0.25">
      <c r="A5287" t="s">
        <v>17330</v>
      </c>
      <c r="B5287" t="s">
        <v>17331</v>
      </c>
      <c r="C5287" t="s">
        <v>17332</v>
      </c>
      <c r="D5287" t="s">
        <v>1455</v>
      </c>
      <c r="E5287" t="s">
        <v>271</v>
      </c>
      <c r="F5287" t="s">
        <v>1454</v>
      </c>
    </row>
    <row r="5288" spans="1:6" x14ac:dyDescent="0.25">
      <c r="A5288" t="s">
        <v>2104</v>
      </c>
      <c r="B5288" t="s">
        <v>2105</v>
      </c>
      <c r="C5288" t="s">
        <v>2106</v>
      </c>
      <c r="D5288" t="s">
        <v>0</v>
      </c>
      <c r="E5288" t="s">
        <v>271</v>
      </c>
      <c r="F5288" t="s">
        <v>356</v>
      </c>
    </row>
    <row r="5289" spans="1:6" x14ac:dyDescent="0.25">
      <c r="A5289" t="s">
        <v>17333</v>
      </c>
      <c r="B5289" t="s">
        <v>17334</v>
      </c>
      <c r="C5289" t="s">
        <v>17335</v>
      </c>
      <c r="D5289" t="s">
        <v>314</v>
      </c>
      <c r="E5289" t="s">
        <v>271</v>
      </c>
      <c r="F5289" t="s">
        <v>352</v>
      </c>
    </row>
    <row r="5290" spans="1:6" x14ac:dyDescent="0.25">
      <c r="A5290" t="s">
        <v>17336</v>
      </c>
      <c r="B5290" t="s">
        <v>10530</v>
      </c>
      <c r="C5290" t="s">
        <v>10531</v>
      </c>
      <c r="D5290" t="s">
        <v>498</v>
      </c>
      <c r="E5290" t="s">
        <v>271</v>
      </c>
      <c r="F5290" t="s">
        <v>499</v>
      </c>
    </row>
    <row r="5291" spans="1:6" x14ac:dyDescent="0.25">
      <c r="A5291" t="s">
        <v>17337</v>
      </c>
      <c r="B5291" t="s">
        <v>17338</v>
      </c>
      <c r="C5291" t="s">
        <v>17339</v>
      </c>
      <c r="D5291" t="s">
        <v>1743</v>
      </c>
      <c r="E5291" t="s">
        <v>269</v>
      </c>
      <c r="F5291" t="s">
        <v>1742</v>
      </c>
    </row>
    <row r="5292" spans="1:6" x14ac:dyDescent="0.25">
      <c r="A5292" t="s">
        <v>17340</v>
      </c>
      <c r="B5292" t="s">
        <v>17341</v>
      </c>
      <c r="C5292" t="s">
        <v>2170</v>
      </c>
      <c r="D5292" t="s">
        <v>282</v>
      </c>
      <c r="E5292" t="s">
        <v>271</v>
      </c>
      <c r="F5292" t="s">
        <v>1191</v>
      </c>
    </row>
    <row r="5293" spans="1:6" x14ac:dyDescent="0.25">
      <c r="A5293" t="s">
        <v>17342</v>
      </c>
      <c r="B5293" t="s">
        <v>17343</v>
      </c>
      <c r="C5293" t="s">
        <v>7444</v>
      </c>
      <c r="D5293" t="s">
        <v>466</v>
      </c>
      <c r="E5293" t="s">
        <v>271</v>
      </c>
      <c r="F5293" t="s">
        <v>434</v>
      </c>
    </row>
    <row r="5294" spans="1:6" x14ac:dyDescent="0.25">
      <c r="A5294" t="s">
        <v>17344</v>
      </c>
      <c r="B5294" t="s">
        <v>17345</v>
      </c>
      <c r="C5294" t="s">
        <v>17346</v>
      </c>
      <c r="D5294" t="s">
        <v>2940</v>
      </c>
      <c r="E5294" t="s">
        <v>271</v>
      </c>
      <c r="F5294" t="s">
        <v>2939</v>
      </c>
    </row>
    <row r="5295" spans="1:6" x14ac:dyDescent="0.25">
      <c r="A5295" t="s">
        <v>17347</v>
      </c>
      <c r="B5295" t="s">
        <v>17348</v>
      </c>
      <c r="C5295" t="s">
        <v>17349</v>
      </c>
      <c r="D5295" t="s">
        <v>2116</v>
      </c>
      <c r="E5295" t="s">
        <v>271</v>
      </c>
      <c r="F5295" t="s">
        <v>2115</v>
      </c>
    </row>
    <row r="5296" spans="1:6" x14ac:dyDescent="0.25">
      <c r="A5296" t="s">
        <v>2970</v>
      </c>
      <c r="B5296" t="s">
        <v>2971</v>
      </c>
      <c r="C5296" t="s">
        <v>2972</v>
      </c>
      <c r="D5296" t="s">
        <v>472</v>
      </c>
      <c r="E5296" t="s">
        <v>271</v>
      </c>
      <c r="F5296" t="s">
        <v>318</v>
      </c>
    </row>
    <row r="5297" spans="1:6" x14ac:dyDescent="0.25">
      <c r="A5297" t="s">
        <v>17350</v>
      </c>
      <c r="B5297" t="s">
        <v>17351</v>
      </c>
      <c r="C5297" t="s">
        <v>17352</v>
      </c>
      <c r="D5297" t="s">
        <v>0</v>
      </c>
      <c r="E5297" t="s">
        <v>271</v>
      </c>
      <c r="F5297" t="s">
        <v>319</v>
      </c>
    </row>
    <row r="5298" spans="1:6" x14ac:dyDescent="0.25">
      <c r="A5298" t="s">
        <v>17353</v>
      </c>
      <c r="B5298" t="s">
        <v>17354</v>
      </c>
      <c r="C5298" t="s">
        <v>17355</v>
      </c>
      <c r="D5298" t="s">
        <v>1126</v>
      </c>
      <c r="E5298" t="s">
        <v>271</v>
      </c>
      <c r="F5298" t="s">
        <v>1125</v>
      </c>
    </row>
    <row r="5299" spans="1:6" x14ac:dyDescent="0.25">
      <c r="A5299" t="s">
        <v>1699</v>
      </c>
      <c r="B5299" t="s">
        <v>1700</v>
      </c>
      <c r="C5299" t="s">
        <v>276</v>
      </c>
      <c r="D5299" t="s">
        <v>972</v>
      </c>
      <c r="E5299" t="s">
        <v>269</v>
      </c>
      <c r="F5299" t="s">
        <v>971</v>
      </c>
    </row>
    <row r="5300" spans="1:6" x14ac:dyDescent="0.25">
      <c r="A5300" t="s">
        <v>17356</v>
      </c>
      <c r="B5300" t="s">
        <v>17357</v>
      </c>
      <c r="C5300" t="s">
        <v>17358</v>
      </c>
      <c r="D5300" t="s">
        <v>3307</v>
      </c>
      <c r="E5300" t="s">
        <v>271</v>
      </c>
      <c r="F5300" t="s">
        <v>2768</v>
      </c>
    </row>
    <row r="5301" spans="1:6" x14ac:dyDescent="0.25">
      <c r="A5301" t="s">
        <v>17359</v>
      </c>
      <c r="B5301" t="s">
        <v>17360</v>
      </c>
      <c r="C5301" t="s">
        <v>17361</v>
      </c>
      <c r="D5301" t="s">
        <v>616</v>
      </c>
      <c r="E5301" t="s">
        <v>271</v>
      </c>
      <c r="F5301" t="s">
        <v>1102</v>
      </c>
    </row>
    <row r="5302" spans="1:6" x14ac:dyDescent="0.25">
      <c r="A5302" t="s">
        <v>17362</v>
      </c>
      <c r="B5302" t="s">
        <v>6123</v>
      </c>
      <c r="C5302" t="s">
        <v>17363</v>
      </c>
      <c r="D5302" t="s">
        <v>1648</v>
      </c>
      <c r="E5302" t="s">
        <v>271</v>
      </c>
      <c r="F5302" t="s">
        <v>1647</v>
      </c>
    </row>
    <row r="5303" spans="1:6" x14ac:dyDescent="0.25">
      <c r="A5303" t="s">
        <v>2252</v>
      </c>
      <c r="B5303" t="s">
        <v>2253</v>
      </c>
      <c r="C5303" t="s">
        <v>2254</v>
      </c>
      <c r="D5303" t="s">
        <v>510</v>
      </c>
      <c r="E5303" t="s">
        <v>271</v>
      </c>
      <c r="F5303" t="s">
        <v>852</v>
      </c>
    </row>
    <row r="5304" spans="1:6" x14ac:dyDescent="0.25">
      <c r="A5304" t="s">
        <v>17364</v>
      </c>
      <c r="B5304" t="s">
        <v>17365</v>
      </c>
      <c r="C5304" t="s">
        <v>17366</v>
      </c>
      <c r="D5304" t="s">
        <v>0</v>
      </c>
      <c r="E5304" t="s">
        <v>271</v>
      </c>
      <c r="F5304" t="s">
        <v>319</v>
      </c>
    </row>
    <row r="5305" spans="1:6" x14ac:dyDescent="0.25">
      <c r="A5305" t="s">
        <v>17367</v>
      </c>
      <c r="B5305" t="s">
        <v>17368</v>
      </c>
      <c r="C5305" t="s">
        <v>17369</v>
      </c>
      <c r="D5305" t="s">
        <v>0</v>
      </c>
      <c r="E5305" t="s">
        <v>271</v>
      </c>
      <c r="F5305" t="s">
        <v>325</v>
      </c>
    </row>
    <row r="5306" spans="1:6" x14ac:dyDescent="0.25">
      <c r="A5306" t="s">
        <v>17370</v>
      </c>
      <c r="B5306" t="s">
        <v>17371</v>
      </c>
      <c r="C5306" t="s">
        <v>17372</v>
      </c>
      <c r="D5306" t="s">
        <v>476</v>
      </c>
      <c r="E5306" t="s">
        <v>341</v>
      </c>
      <c r="F5306" t="s">
        <v>429</v>
      </c>
    </row>
    <row r="5307" spans="1:6" x14ac:dyDescent="0.25">
      <c r="A5307" t="s">
        <v>17373</v>
      </c>
      <c r="B5307" t="s">
        <v>17374</v>
      </c>
      <c r="C5307" t="s">
        <v>17375</v>
      </c>
      <c r="D5307" t="s">
        <v>0</v>
      </c>
      <c r="E5307" t="s">
        <v>271</v>
      </c>
      <c r="F5307" t="s">
        <v>436</v>
      </c>
    </row>
    <row r="5308" spans="1:6" x14ac:dyDescent="0.25">
      <c r="A5308" t="s">
        <v>17376</v>
      </c>
      <c r="B5308" t="s">
        <v>17377</v>
      </c>
      <c r="C5308" t="s">
        <v>17378</v>
      </c>
      <c r="D5308" t="s">
        <v>498</v>
      </c>
      <c r="E5308" t="s">
        <v>271</v>
      </c>
      <c r="F5308" t="s">
        <v>926</v>
      </c>
    </row>
    <row r="5309" spans="1:6" x14ac:dyDescent="0.25">
      <c r="A5309" t="s">
        <v>17379</v>
      </c>
      <c r="B5309" t="s">
        <v>17380</v>
      </c>
      <c r="C5309" t="s">
        <v>17381</v>
      </c>
      <c r="D5309" t="s">
        <v>0</v>
      </c>
      <c r="E5309" t="s">
        <v>271</v>
      </c>
      <c r="F5309" t="s">
        <v>895</v>
      </c>
    </row>
    <row r="5310" spans="1:6" x14ac:dyDescent="0.25">
      <c r="A5310" t="s">
        <v>2187</v>
      </c>
      <c r="B5310" t="s">
        <v>2188</v>
      </c>
      <c r="C5310" t="s">
        <v>2189</v>
      </c>
      <c r="D5310" t="s">
        <v>0</v>
      </c>
      <c r="E5310" t="s">
        <v>271</v>
      </c>
      <c r="F5310" t="s">
        <v>436</v>
      </c>
    </row>
    <row r="5311" spans="1:6" x14ac:dyDescent="0.25">
      <c r="A5311" t="s">
        <v>17382</v>
      </c>
      <c r="B5311" t="s">
        <v>17383</v>
      </c>
      <c r="C5311" t="s">
        <v>17384</v>
      </c>
      <c r="D5311" t="s">
        <v>314</v>
      </c>
      <c r="E5311" t="s">
        <v>271</v>
      </c>
      <c r="F5311" t="s">
        <v>352</v>
      </c>
    </row>
    <row r="5312" spans="1:6" x14ac:dyDescent="0.25">
      <c r="A5312" t="s">
        <v>17385</v>
      </c>
      <c r="B5312" t="s">
        <v>17386</v>
      </c>
      <c r="C5312" t="s">
        <v>17387</v>
      </c>
      <c r="D5312" t="s">
        <v>0</v>
      </c>
      <c r="E5312" t="s">
        <v>271</v>
      </c>
      <c r="F5312" t="s">
        <v>1225</v>
      </c>
    </row>
    <row r="5313" spans="1:6" x14ac:dyDescent="0.25">
      <c r="A5313" t="s">
        <v>17388</v>
      </c>
      <c r="B5313" t="s">
        <v>17389</v>
      </c>
      <c r="C5313" t="s">
        <v>17390</v>
      </c>
      <c r="D5313" t="s">
        <v>453</v>
      </c>
      <c r="E5313" t="s">
        <v>271</v>
      </c>
      <c r="F5313" t="s">
        <v>454</v>
      </c>
    </row>
    <row r="5314" spans="1:6" x14ac:dyDescent="0.25">
      <c r="A5314" t="s">
        <v>17391</v>
      </c>
      <c r="B5314" t="s">
        <v>17392</v>
      </c>
      <c r="C5314" t="s">
        <v>17393</v>
      </c>
      <c r="D5314" t="s">
        <v>314</v>
      </c>
      <c r="E5314" t="s">
        <v>271</v>
      </c>
      <c r="F5314" t="s">
        <v>352</v>
      </c>
    </row>
    <row r="5315" spans="1:6" x14ac:dyDescent="0.25">
      <c r="A5315" t="s">
        <v>17394</v>
      </c>
      <c r="B5315" t="s">
        <v>17395</v>
      </c>
      <c r="C5315" t="s">
        <v>17396</v>
      </c>
      <c r="D5315" t="s">
        <v>239</v>
      </c>
      <c r="E5315" t="s">
        <v>271</v>
      </c>
      <c r="F5315" t="s">
        <v>544</v>
      </c>
    </row>
    <row r="5316" spans="1:6" x14ac:dyDescent="0.25">
      <c r="A5316" t="s">
        <v>17397</v>
      </c>
      <c r="B5316" t="s">
        <v>17398</v>
      </c>
      <c r="C5316" t="s">
        <v>17399</v>
      </c>
      <c r="D5316" t="s">
        <v>17400</v>
      </c>
      <c r="E5316" t="s">
        <v>17401</v>
      </c>
      <c r="F5316" t="s">
        <v>17402</v>
      </c>
    </row>
    <row r="5317" spans="1:6" x14ac:dyDescent="0.25">
      <c r="A5317" t="s">
        <v>17403</v>
      </c>
      <c r="B5317" t="s">
        <v>17404</v>
      </c>
      <c r="C5317" t="s">
        <v>17405</v>
      </c>
      <c r="D5317" t="s">
        <v>3767</v>
      </c>
      <c r="E5317" t="s">
        <v>269</v>
      </c>
      <c r="F5317" t="s">
        <v>3766</v>
      </c>
    </row>
    <row r="5318" spans="1:6" x14ac:dyDescent="0.25">
      <c r="A5318" t="s">
        <v>17406</v>
      </c>
      <c r="B5318" t="s">
        <v>17407</v>
      </c>
      <c r="C5318" t="s">
        <v>17408</v>
      </c>
      <c r="D5318" t="s">
        <v>461</v>
      </c>
      <c r="E5318" t="s">
        <v>271</v>
      </c>
      <c r="F5318" t="s">
        <v>336</v>
      </c>
    </row>
    <row r="5319" spans="1:6" x14ac:dyDescent="0.25">
      <c r="A5319" t="s">
        <v>17409</v>
      </c>
      <c r="B5319" t="s">
        <v>17410</v>
      </c>
      <c r="C5319" t="s">
        <v>7231</v>
      </c>
      <c r="D5319" t="s">
        <v>2166</v>
      </c>
      <c r="E5319" t="s">
        <v>271</v>
      </c>
      <c r="F5319" t="s">
        <v>2165</v>
      </c>
    </row>
    <row r="5320" spans="1:6" x14ac:dyDescent="0.25">
      <c r="A5320" t="s">
        <v>3761</v>
      </c>
      <c r="B5320" t="s">
        <v>3762</v>
      </c>
      <c r="C5320" t="s">
        <v>3763</v>
      </c>
      <c r="D5320" t="s">
        <v>822</v>
      </c>
      <c r="E5320" t="s">
        <v>269</v>
      </c>
      <c r="F5320" t="s">
        <v>821</v>
      </c>
    </row>
    <row r="5321" spans="1:6" x14ac:dyDescent="0.25">
      <c r="A5321" t="s">
        <v>17411</v>
      </c>
      <c r="B5321" t="s">
        <v>17412</v>
      </c>
      <c r="C5321" t="s">
        <v>17413</v>
      </c>
      <c r="D5321" t="s">
        <v>0</v>
      </c>
      <c r="E5321" t="s">
        <v>271</v>
      </c>
      <c r="F5321" t="s">
        <v>1148</v>
      </c>
    </row>
    <row r="5322" spans="1:6" x14ac:dyDescent="0.25">
      <c r="A5322" t="s">
        <v>2530</v>
      </c>
      <c r="B5322" t="s">
        <v>2531</v>
      </c>
      <c r="C5322" t="s">
        <v>2532</v>
      </c>
      <c r="D5322" t="s">
        <v>1958</v>
      </c>
      <c r="E5322" t="s">
        <v>271</v>
      </c>
      <c r="F5322" t="s">
        <v>1957</v>
      </c>
    </row>
    <row r="5323" spans="1:6" x14ac:dyDescent="0.25">
      <c r="A5323" t="s">
        <v>1943</v>
      </c>
      <c r="B5323" t="s">
        <v>1944</v>
      </c>
      <c r="C5323" t="s">
        <v>1945</v>
      </c>
      <c r="D5323" t="s">
        <v>0</v>
      </c>
      <c r="E5323" t="s">
        <v>271</v>
      </c>
      <c r="F5323" t="s">
        <v>356</v>
      </c>
    </row>
    <row r="5324" spans="1:6" x14ac:dyDescent="0.25">
      <c r="A5324" t="s">
        <v>17414</v>
      </c>
      <c r="B5324" t="s">
        <v>17415</v>
      </c>
      <c r="C5324" t="s">
        <v>17416</v>
      </c>
      <c r="D5324" t="s">
        <v>246</v>
      </c>
      <c r="E5324" t="s">
        <v>271</v>
      </c>
      <c r="F5324" t="s">
        <v>426</v>
      </c>
    </row>
    <row r="5325" spans="1:6" x14ac:dyDescent="0.25">
      <c r="A5325" t="s">
        <v>17417</v>
      </c>
      <c r="B5325" t="s">
        <v>516</v>
      </c>
      <c r="C5325" t="s">
        <v>17418</v>
      </c>
      <c r="D5325" t="s">
        <v>340</v>
      </c>
      <c r="E5325" t="s">
        <v>271</v>
      </c>
      <c r="F5325" t="s">
        <v>317</v>
      </c>
    </row>
    <row r="5326" spans="1:6" x14ac:dyDescent="0.25">
      <c r="A5326" t="s">
        <v>17419</v>
      </c>
      <c r="B5326" t="s">
        <v>17420</v>
      </c>
      <c r="C5326" t="s">
        <v>17421</v>
      </c>
      <c r="D5326" t="s">
        <v>0</v>
      </c>
      <c r="E5326" t="s">
        <v>271</v>
      </c>
      <c r="F5326" t="s">
        <v>325</v>
      </c>
    </row>
    <row r="5327" spans="1:6" x14ac:dyDescent="0.25">
      <c r="A5327" t="s">
        <v>17422</v>
      </c>
      <c r="B5327" t="s">
        <v>17423</v>
      </c>
      <c r="C5327" t="s">
        <v>17424</v>
      </c>
      <c r="D5327" t="s">
        <v>0</v>
      </c>
      <c r="E5327" t="s">
        <v>271</v>
      </c>
      <c r="F5327" t="s">
        <v>1141</v>
      </c>
    </row>
    <row r="5328" spans="1:6" x14ac:dyDescent="0.25">
      <c r="A5328" t="s">
        <v>1363</v>
      </c>
      <c r="B5328" t="s">
        <v>1364</v>
      </c>
      <c r="C5328" t="s">
        <v>1365</v>
      </c>
      <c r="D5328" t="s">
        <v>0</v>
      </c>
      <c r="E5328" t="s">
        <v>271</v>
      </c>
      <c r="F5328" t="s">
        <v>731</v>
      </c>
    </row>
    <row r="5329" spans="1:6" x14ac:dyDescent="0.25">
      <c r="A5329" t="s">
        <v>653</v>
      </c>
      <c r="B5329" t="s">
        <v>654</v>
      </c>
      <c r="C5329" t="s">
        <v>655</v>
      </c>
      <c r="D5329" t="s">
        <v>0</v>
      </c>
      <c r="E5329" t="s">
        <v>271</v>
      </c>
      <c r="F5329" t="s">
        <v>356</v>
      </c>
    </row>
    <row r="5330" spans="1:6" x14ac:dyDescent="0.25">
      <c r="A5330" t="s">
        <v>3567</v>
      </c>
      <c r="B5330" t="s">
        <v>3568</v>
      </c>
      <c r="C5330" t="s">
        <v>3569</v>
      </c>
      <c r="D5330" t="s">
        <v>584</v>
      </c>
      <c r="E5330" t="s">
        <v>271</v>
      </c>
      <c r="F5330" t="s">
        <v>585</v>
      </c>
    </row>
    <row r="5331" spans="1:6" x14ac:dyDescent="0.25">
      <c r="A5331" t="s">
        <v>17425</v>
      </c>
      <c r="B5331" t="s">
        <v>17426</v>
      </c>
      <c r="C5331" t="s">
        <v>17427</v>
      </c>
      <c r="D5331" t="s">
        <v>0</v>
      </c>
      <c r="E5331" t="s">
        <v>271</v>
      </c>
      <c r="F5331" t="s">
        <v>355</v>
      </c>
    </row>
    <row r="5332" spans="1:6" x14ac:dyDescent="0.25">
      <c r="A5332" t="s">
        <v>1429</v>
      </c>
      <c r="B5332" t="s">
        <v>1430</v>
      </c>
      <c r="C5332" t="s">
        <v>1434</v>
      </c>
      <c r="D5332" t="s">
        <v>1433</v>
      </c>
      <c r="E5332" t="s">
        <v>271</v>
      </c>
      <c r="F5332" t="s">
        <v>1432</v>
      </c>
    </row>
    <row r="5333" spans="1:6" x14ac:dyDescent="0.25">
      <c r="A5333" t="s">
        <v>2616</v>
      </c>
      <c r="B5333" t="s">
        <v>2617</v>
      </c>
      <c r="C5333" t="s">
        <v>2618</v>
      </c>
      <c r="D5333" t="s">
        <v>0</v>
      </c>
      <c r="E5333" t="s">
        <v>271</v>
      </c>
      <c r="F5333" t="s">
        <v>2349</v>
      </c>
    </row>
    <row r="5334" spans="1:6" x14ac:dyDescent="0.25">
      <c r="A5334" t="s">
        <v>17428</v>
      </c>
      <c r="B5334" t="s">
        <v>17429</v>
      </c>
      <c r="C5334" t="s">
        <v>17430</v>
      </c>
      <c r="D5334" t="s">
        <v>1643</v>
      </c>
      <c r="E5334" t="s">
        <v>271</v>
      </c>
      <c r="F5334" t="s">
        <v>2028</v>
      </c>
    </row>
    <row r="5335" spans="1:6" x14ac:dyDescent="0.25">
      <c r="A5335" t="s">
        <v>17431</v>
      </c>
      <c r="B5335" t="s">
        <v>17432</v>
      </c>
      <c r="C5335" t="s">
        <v>17433</v>
      </c>
      <c r="D5335" t="s">
        <v>0</v>
      </c>
      <c r="E5335" t="s">
        <v>271</v>
      </c>
      <c r="F5335" t="s">
        <v>319</v>
      </c>
    </row>
    <row r="5336" spans="1:6" x14ac:dyDescent="0.25">
      <c r="A5336" t="s">
        <v>17434</v>
      </c>
      <c r="B5336" t="s">
        <v>17435</v>
      </c>
      <c r="C5336" t="s">
        <v>17436</v>
      </c>
      <c r="D5336" t="s">
        <v>450</v>
      </c>
      <c r="E5336" t="s">
        <v>271</v>
      </c>
      <c r="F5336" t="s">
        <v>2794</v>
      </c>
    </row>
    <row r="5337" spans="1:6" x14ac:dyDescent="0.25">
      <c r="A5337" t="s">
        <v>17437</v>
      </c>
      <c r="B5337" t="s">
        <v>421</v>
      </c>
      <c r="C5337" t="s">
        <v>17438</v>
      </c>
      <c r="D5337" t="s">
        <v>1485</v>
      </c>
      <c r="E5337" t="s">
        <v>271</v>
      </c>
      <c r="F5337" t="s">
        <v>1519</v>
      </c>
    </row>
    <row r="5338" spans="1:6" x14ac:dyDescent="0.25">
      <c r="A5338" t="s">
        <v>17439</v>
      </c>
      <c r="B5338" t="s">
        <v>16945</v>
      </c>
      <c r="C5338" t="s">
        <v>17440</v>
      </c>
      <c r="D5338" t="s">
        <v>651</v>
      </c>
      <c r="E5338" t="s">
        <v>271</v>
      </c>
      <c r="F5338" t="s">
        <v>650</v>
      </c>
    </row>
    <row r="5339" spans="1:6" x14ac:dyDescent="0.25">
      <c r="A5339" t="s">
        <v>17441</v>
      </c>
      <c r="B5339" t="s">
        <v>17442</v>
      </c>
      <c r="C5339" t="s">
        <v>17443</v>
      </c>
      <c r="D5339" t="s">
        <v>448</v>
      </c>
      <c r="E5339" t="s">
        <v>271</v>
      </c>
      <c r="F5339" t="s">
        <v>449</v>
      </c>
    </row>
    <row r="5340" spans="1:6" x14ac:dyDescent="0.25">
      <c r="A5340" t="s">
        <v>17444</v>
      </c>
      <c r="B5340" t="s">
        <v>17445</v>
      </c>
      <c r="C5340" t="s">
        <v>17446</v>
      </c>
      <c r="D5340" t="s">
        <v>845</v>
      </c>
      <c r="E5340" t="s">
        <v>271</v>
      </c>
      <c r="F5340" t="s">
        <v>844</v>
      </c>
    </row>
    <row r="5341" spans="1:6" x14ac:dyDescent="0.25">
      <c r="A5341" t="s">
        <v>17447</v>
      </c>
      <c r="B5341" t="s">
        <v>17448</v>
      </c>
      <c r="C5341" t="s">
        <v>17449</v>
      </c>
      <c r="D5341" t="s">
        <v>1239</v>
      </c>
      <c r="E5341" t="s">
        <v>271</v>
      </c>
      <c r="F5341" t="s">
        <v>1238</v>
      </c>
    </row>
    <row r="5342" spans="1:6" x14ac:dyDescent="0.25">
      <c r="A5342" t="s">
        <v>17450</v>
      </c>
      <c r="B5342" t="s">
        <v>17451</v>
      </c>
      <c r="C5342" t="s">
        <v>17452</v>
      </c>
      <c r="D5342" t="s">
        <v>845</v>
      </c>
      <c r="E5342" t="s">
        <v>271</v>
      </c>
      <c r="F5342" t="s">
        <v>844</v>
      </c>
    </row>
    <row r="5343" spans="1:6" x14ac:dyDescent="0.25">
      <c r="A5343" t="s">
        <v>17453</v>
      </c>
      <c r="B5343" t="s">
        <v>17454</v>
      </c>
      <c r="C5343" t="s">
        <v>17455</v>
      </c>
      <c r="D5343" t="s">
        <v>2493</v>
      </c>
      <c r="E5343" t="s">
        <v>271</v>
      </c>
      <c r="F5343" t="s">
        <v>2492</v>
      </c>
    </row>
    <row r="5344" spans="1:6" x14ac:dyDescent="0.25">
      <c r="A5344" t="s">
        <v>17456</v>
      </c>
      <c r="B5344" t="s">
        <v>17457</v>
      </c>
      <c r="C5344" t="s">
        <v>17458</v>
      </c>
      <c r="D5344" t="s">
        <v>239</v>
      </c>
      <c r="E5344" t="s">
        <v>271</v>
      </c>
      <c r="F5344" t="s">
        <v>544</v>
      </c>
    </row>
    <row r="5345" spans="1:6" x14ac:dyDescent="0.25">
      <c r="A5345" t="s">
        <v>3691</v>
      </c>
      <c r="B5345" t="s">
        <v>3692</v>
      </c>
      <c r="C5345" t="s">
        <v>3693</v>
      </c>
      <c r="D5345" t="s">
        <v>2908</v>
      </c>
      <c r="E5345" t="s">
        <v>271</v>
      </c>
      <c r="F5345" t="s">
        <v>2470</v>
      </c>
    </row>
    <row r="5346" spans="1:6" x14ac:dyDescent="0.25">
      <c r="A5346" t="s">
        <v>17459</v>
      </c>
      <c r="B5346" t="s">
        <v>17460</v>
      </c>
      <c r="C5346" t="s">
        <v>17461</v>
      </c>
      <c r="D5346" t="s">
        <v>0</v>
      </c>
      <c r="E5346" t="s">
        <v>271</v>
      </c>
      <c r="F5346" t="s">
        <v>881</v>
      </c>
    </row>
    <row r="5347" spans="1:6" x14ac:dyDescent="0.25">
      <c r="A5347" t="s">
        <v>3694</v>
      </c>
      <c r="B5347" t="s">
        <v>3695</v>
      </c>
      <c r="C5347" t="s">
        <v>3696</v>
      </c>
      <c r="D5347" t="s">
        <v>822</v>
      </c>
      <c r="E5347" t="s">
        <v>269</v>
      </c>
      <c r="F5347" t="s">
        <v>821</v>
      </c>
    </row>
    <row r="5348" spans="1:6" x14ac:dyDescent="0.25">
      <c r="A5348" t="s">
        <v>17462</v>
      </c>
      <c r="B5348" t="s">
        <v>17463</v>
      </c>
      <c r="C5348" t="s">
        <v>17464</v>
      </c>
      <c r="D5348" t="s">
        <v>1137</v>
      </c>
      <c r="E5348" t="s">
        <v>269</v>
      </c>
      <c r="F5348" t="s">
        <v>1136</v>
      </c>
    </row>
    <row r="5349" spans="1:6" x14ac:dyDescent="0.25">
      <c r="A5349" t="s">
        <v>17465</v>
      </c>
      <c r="B5349" t="s">
        <v>17466</v>
      </c>
      <c r="C5349" t="s">
        <v>17467</v>
      </c>
      <c r="D5349" t="s">
        <v>835</v>
      </c>
      <c r="E5349" t="s">
        <v>269</v>
      </c>
      <c r="F5349" t="s">
        <v>834</v>
      </c>
    </row>
    <row r="5350" spans="1:6" x14ac:dyDescent="0.25">
      <c r="A5350" t="s">
        <v>17468</v>
      </c>
      <c r="B5350" t="s">
        <v>17469</v>
      </c>
      <c r="C5350" t="s">
        <v>17470</v>
      </c>
      <c r="D5350" t="s">
        <v>0</v>
      </c>
      <c r="E5350" t="s">
        <v>271</v>
      </c>
      <c r="F5350" t="s">
        <v>431</v>
      </c>
    </row>
    <row r="5351" spans="1:6" x14ac:dyDescent="0.25">
      <c r="A5351" t="s">
        <v>787</v>
      </c>
      <c r="B5351" t="s">
        <v>788</v>
      </c>
      <c r="C5351" t="s">
        <v>789</v>
      </c>
      <c r="D5351" t="s">
        <v>0</v>
      </c>
      <c r="E5351" t="s">
        <v>271</v>
      </c>
      <c r="F5351" t="s">
        <v>325</v>
      </c>
    </row>
    <row r="5352" spans="1:6" x14ac:dyDescent="0.25">
      <c r="A5352" t="s">
        <v>17471</v>
      </c>
      <c r="B5352" t="s">
        <v>17472</v>
      </c>
      <c r="C5352" t="s">
        <v>17473</v>
      </c>
      <c r="D5352" t="s">
        <v>871</v>
      </c>
      <c r="E5352" t="s">
        <v>271</v>
      </c>
      <c r="F5352" t="s">
        <v>2636</v>
      </c>
    </row>
    <row r="5353" spans="1:6" x14ac:dyDescent="0.25">
      <c r="A5353" t="s">
        <v>17474</v>
      </c>
      <c r="B5353" t="s">
        <v>17475</v>
      </c>
      <c r="C5353" t="s">
        <v>17476</v>
      </c>
      <c r="D5353" t="s">
        <v>246</v>
      </c>
      <c r="E5353" t="s">
        <v>271</v>
      </c>
      <c r="F5353" t="s">
        <v>426</v>
      </c>
    </row>
    <row r="5354" spans="1:6" x14ac:dyDescent="0.25">
      <c r="A5354" t="s">
        <v>17477</v>
      </c>
      <c r="B5354" t="s">
        <v>17478</v>
      </c>
      <c r="C5354" t="s">
        <v>17479</v>
      </c>
      <c r="D5354" t="s">
        <v>0</v>
      </c>
      <c r="E5354" t="s">
        <v>271</v>
      </c>
      <c r="F5354" t="s">
        <v>1534</v>
      </c>
    </row>
    <row r="5355" spans="1:6" x14ac:dyDescent="0.25">
      <c r="A5355" t="s">
        <v>17480</v>
      </c>
      <c r="B5355" t="s">
        <v>11508</v>
      </c>
      <c r="C5355" t="s">
        <v>17481</v>
      </c>
      <c r="D5355" t="s">
        <v>1643</v>
      </c>
      <c r="E5355" t="s">
        <v>271</v>
      </c>
      <c r="F5355" t="s">
        <v>2028</v>
      </c>
    </row>
    <row r="5356" spans="1:6" x14ac:dyDescent="0.25">
      <c r="A5356" t="s">
        <v>17482</v>
      </c>
      <c r="B5356" t="s">
        <v>17483</v>
      </c>
      <c r="C5356" t="s">
        <v>17484</v>
      </c>
      <c r="D5356" t="s">
        <v>367</v>
      </c>
      <c r="E5356" t="s">
        <v>271</v>
      </c>
      <c r="F5356" t="s">
        <v>4437</v>
      </c>
    </row>
    <row r="5357" spans="1:6" x14ac:dyDescent="0.25">
      <c r="A5357" t="s">
        <v>17485</v>
      </c>
      <c r="B5357" t="s">
        <v>17486</v>
      </c>
      <c r="C5357" t="s">
        <v>17487</v>
      </c>
      <c r="D5357" t="s">
        <v>258</v>
      </c>
      <c r="E5357" t="s">
        <v>271</v>
      </c>
      <c r="F5357" t="s">
        <v>524</v>
      </c>
    </row>
    <row r="5358" spans="1:6" x14ac:dyDescent="0.25">
      <c r="A5358" t="s">
        <v>17488</v>
      </c>
      <c r="B5358" t="s">
        <v>17489</v>
      </c>
      <c r="C5358" t="s">
        <v>17490</v>
      </c>
      <c r="D5358" t="s">
        <v>547</v>
      </c>
      <c r="E5358" t="s">
        <v>271</v>
      </c>
      <c r="F5358" t="s">
        <v>428</v>
      </c>
    </row>
    <row r="5359" spans="1:6" x14ac:dyDescent="0.25">
      <c r="A5359" t="s">
        <v>17491</v>
      </c>
      <c r="B5359" t="s">
        <v>17492</v>
      </c>
      <c r="C5359" t="s">
        <v>17493</v>
      </c>
      <c r="D5359" t="s">
        <v>416</v>
      </c>
      <c r="E5359" t="s">
        <v>271</v>
      </c>
      <c r="F5359" t="s">
        <v>439</v>
      </c>
    </row>
    <row r="5360" spans="1:6" x14ac:dyDescent="0.25">
      <c r="A5360" t="s">
        <v>17494</v>
      </c>
      <c r="B5360" t="s">
        <v>17495</v>
      </c>
      <c r="C5360" t="s">
        <v>17496</v>
      </c>
      <c r="D5360" t="s">
        <v>482</v>
      </c>
      <c r="E5360" t="s">
        <v>271</v>
      </c>
      <c r="F5360" t="s">
        <v>483</v>
      </c>
    </row>
    <row r="5361" spans="1:6" x14ac:dyDescent="0.25">
      <c r="A5361" t="s">
        <v>17497</v>
      </c>
      <c r="B5361" t="s">
        <v>17498</v>
      </c>
      <c r="C5361" t="s">
        <v>17499</v>
      </c>
      <c r="D5361" t="s">
        <v>312</v>
      </c>
      <c r="E5361" t="s">
        <v>271</v>
      </c>
      <c r="F5361" t="s">
        <v>311</v>
      </c>
    </row>
    <row r="5362" spans="1:6" x14ac:dyDescent="0.25">
      <c r="A5362" t="s">
        <v>17500</v>
      </c>
      <c r="B5362" t="s">
        <v>17501</v>
      </c>
      <c r="C5362" t="s">
        <v>17502</v>
      </c>
      <c r="D5362" t="s">
        <v>503</v>
      </c>
      <c r="E5362" t="s">
        <v>271</v>
      </c>
      <c r="F5362" t="s">
        <v>504</v>
      </c>
    </row>
    <row r="5363" spans="1:6" x14ac:dyDescent="0.25">
      <c r="A5363" t="s">
        <v>17503</v>
      </c>
      <c r="B5363" t="s">
        <v>17504</v>
      </c>
      <c r="C5363" t="s">
        <v>17505</v>
      </c>
      <c r="D5363" t="s">
        <v>1032</v>
      </c>
      <c r="E5363" t="s">
        <v>271</v>
      </c>
      <c r="F5363" t="s">
        <v>1031</v>
      </c>
    </row>
    <row r="5364" spans="1:6" x14ac:dyDescent="0.25">
      <c r="A5364" t="s">
        <v>17506</v>
      </c>
      <c r="B5364" t="s">
        <v>17507</v>
      </c>
      <c r="C5364" t="s">
        <v>17508</v>
      </c>
      <c r="D5364" t="s">
        <v>1638</v>
      </c>
      <c r="E5364" t="s">
        <v>271</v>
      </c>
      <c r="F5364" t="s">
        <v>1637</v>
      </c>
    </row>
    <row r="5365" spans="1:6" x14ac:dyDescent="0.25">
      <c r="A5365" t="s">
        <v>17509</v>
      </c>
      <c r="B5365" t="s">
        <v>17510</v>
      </c>
      <c r="C5365" t="s">
        <v>17511</v>
      </c>
      <c r="D5365" t="s">
        <v>0</v>
      </c>
      <c r="E5365" t="s">
        <v>271</v>
      </c>
      <c r="F5365" t="s">
        <v>436</v>
      </c>
    </row>
    <row r="5366" spans="1:6" x14ac:dyDescent="0.25">
      <c r="A5366" t="s">
        <v>17512</v>
      </c>
      <c r="B5366" t="s">
        <v>17513</v>
      </c>
      <c r="C5366" t="s">
        <v>17514</v>
      </c>
      <c r="D5366" t="s">
        <v>2962</v>
      </c>
      <c r="E5366" t="s">
        <v>271</v>
      </c>
      <c r="F5366" t="s">
        <v>860</v>
      </c>
    </row>
    <row r="5367" spans="1:6" x14ac:dyDescent="0.25">
      <c r="A5367" t="s">
        <v>17515</v>
      </c>
      <c r="B5367" t="s">
        <v>17516</v>
      </c>
      <c r="C5367" t="s">
        <v>17517</v>
      </c>
      <c r="D5367" t="s">
        <v>6005</v>
      </c>
      <c r="E5367" t="s">
        <v>271</v>
      </c>
      <c r="F5367" t="s">
        <v>4399</v>
      </c>
    </row>
    <row r="5368" spans="1:6" x14ac:dyDescent="0.25">
      <c r="A5368" t="s">
        <v>17518</v>
      </c>
      <c r="B5368" t="s">
        <v>17519</v>
      </c>
      <c r="C5368" t="s">
        <v>17520</v>
      </c>
      <c r="D5368" t="s">
        <v>822</v>
      </c>
      <c r="E5368" t="s">
        <v>269</v>
      </c>
      <c r="F5368" t="s">
        <v>821</v>
      </c>
    </row>
    <row r="5369" spans="1:6" x14ac:dyDescent="0.25">
      <c r="A5369" t="s">
        <v>17521</v>
      </c>
      <c r="B5369" t="s">
        <v>17522</v>
      </c>
      <c r="C5369" t="s">
        <v>17523</v>
      </c>
      <c r="D5369" t="s">
        <v>2681</v>
      </c>
      <c r="E5369" t="s">
        <v>271</v>
      </c>
      <c r="F5369" t="s">
        <v>2680</v>
      </c>
    </row>
    <row r="5370" spans="1:6" x14ac:dyDescent="0.25">
      <c r="A5370" t="s">
        <v>17524</v>
      </c>
      <c r="B5370" t="s">
        <v>17525</v>
      </c>
      <c r="C5370" t="s">
        <v>17526</v>
      </c>
      <c r="D5370" t="s">
        <v>556</v>
      </c>
      <c r="E5370" t="s">
        <v>271</v>
      </c>
      <c r="F5370" t="s">
        <v>1567</v>
      </c>
    </row>
    <row r="5371" spans="1:6" x14ac:dyDescent="0.25">
      <c r="A5371" t="s">
        <v>17527</v>
      </c>
      <c r="B5371" t="s">
        <v>17528</v>
      </c>
      <c r="C5371" t="s">
        <v>17529</v>
      </c>
      <c r="D5371" t="s">
        <v>500</v>
      </c>
      <c r="E5371" t="s">
        <v>271</v>
      </c>
      <c r="F5371" t="s">
        <v>501</v>
      </c>
    </row>
    <row r="5372" spans="1:6" x14ac:dyDescent="0.25">
      <c r="A5372" t="s">
        <v>17530</v>
      </c>
      <c r="B5372" t="s">
        <v>17531</v>
      </c>
      <c r="C5372" t="s">
        <v>17532</v>
      </c>
      <c r="D5372" t="s">
        <v>0</v>
      </c>
      <c r="E5372" t="s">
        <v>271</v>
      </c>
      <c r="F5372" t="s">
        <v>1534</v>
      </c>
    </row>
    <row r="5373" spans="1:6" x14ac:dyDescent="0.25">
      <c r="A5373" t="s">
        <v>17533</v>
      </c>
      <c r="B5373" t="s">
        <v>17534</v>
      </c>
      <c r="C5373" t="s">
        <v>17535</v>
      </c>
      <c r="D5373" t="s">
        <v>222</v>
      </c>
      <c r="E5373" t="s">
        <v>271</v>
      </c>
      <c r="F5373" t="s">
        <v>313</v>
      </c>
    </row>
    <row r="5374" spans="1:6" x14ac:dyDescent="0.25">
      <c r="A5374" t="s">
        <v>17536</v>
      </c>
      <c r="B5374" t="s">
        <v>17537</v>
      </c>
      <c r="C5374" t="s">
        <v>17538</v>
      </c>
      <c r="D5374" t="s">
        <v>986</v>
      </c>
      <c r="E5374" t="s">
        <v>271</v>
      </c>
      <c r="F5374" t="s">
        <v>985</v>
      </c>
    </row>
    <row r="5375" spans="1:6" x14ac:dyDescent="0.25">
      <c r="A5375" t="s">
        <v>17539</v>
      </c>
      <c r="B5375" t="s">
        <v>17540</v>
      </c>
      <c r="C5375" t="s">
        <v>17541</v>
      </c>
      <c r="D5375" t="s">
        <v>361</v>
      </c>
      <c r="E5375" t="s">
        <v>271</v>
      </c>
      <c r="F5375" t="s">
        <v>582</v>
      </c>
    </row>
    <row r="5376" spans="1:6" x14ac:dyDescent="0.25">
      <c r="A5376" t="s">
        <v>17542</v>
      </c>
      <c r="B5376" t="s">
        <v>17543</v>
      </c>
      <c r="C5376" t="s">
        <v>17544</v>
      </c>
      <c r="D5376" t="s">
        <v>1126</v>
      </c>
      <c r="E5376" t="s">
        <v>271</v>
      </c>
      <c r="F5376" t="s">
        <v>1125</v>
      </c>
    </row>
    <row r="5377" spans="1:6" x14ac:dyDescent="0.25">
      <c r="A5377" t="s">
        <v>17545</v>
      </c>
      <c r="B5377" t="s">
        <v>17546</v>
      </c>
      <c r="C5377" t="s">
        <v>17547</v>
      </c>
      <c r="D5377" t="s">
        <v>232</v>
      </c>
      <c r="E5377" t="s">
        <v>271</v>
      </c>
      <c r="F5377" t="s">
        <v>329</v>
      </c>
    </row>
    <row r="5378" spans="1:6" x14ac:dyDescent="0.25">
      <c r="A5378" t="s">
        <v>17548</v>
      </c>
      <c r="B5378" t="s">
        <v>17549</v>
      </c>
      <c r="C5378" t="s">
        <v>17550</v>
      </c>
      <c r="D5378" t="s">
        <v>616</v>
      </c>
      <c r="E5378" t="s">
        <v>271</v>
      </c>
      <c r="F5378" t="s">
        <v>1102</v>
      </c>
    </row>
    <row r="5379" spans="1:6" x14ac:dyDescent="0.25">
      <c r="A5379" t="s">
        <v>17551</v>
      </c>
      <c r="B5379" t="s">
        <v>17552</v>
      </c>
      <c r="C5379" t="s">
        <v>17553</v>
      </c>
      <c r="D5379" t="s">
        <v>1643</v>
      </c>
      <c r="E5379" t="s">
        <v>271</v>
      </c>
      <c r="F5379" t="s">
        <v>1642</v>
      </c>
    </row>
    <row r="5380" spans="1:6" x14ac:dyDescent="0.25">
      <c r="A5380" t="s">
        <v>17554</v>
      </c>
      <c r="B5380" t="s">
        <v>17555</v>
      </c>
      <c r="C5380" t="s">
        <v>17556</v>
      </c>
      <c r="D5380" t="s">
        <v>0</v>
      </c>
      <c r="E5380" t="s">
        <v>271</v>
      </c>
      <c r="F5380" t="s">
        <v>1225</v>
      </c>
    </row>
    <row r="5381" spans="1:6" x14ac:dyDescent="0.25">
      <c r="A5381" t="s">
        <v>1606</v>
      </c>
      <c r="B5381" t="s">
        <v>1607</v>
      </c>
      <c r="C5381" t="s">
        <v>1610</v>
      </c>
      <c r="D5381" t="s">
        <v>1609</v>
      </c>
      <c r="E5381" t="s">
        <v>271</v>
      </c>
      <c r="F5381" t="s">
        <v>1608</v>
      </c>
    </row>
    <row r="5382" spans="1:6" x14ac:dyDescent="0.25">
      <c r="A5382" t="s">
        <v>17557</v>
      </c>
      <c r="B5382" t="s">
        <v>17558</v>
      </c>
      <c r="C5382" t="s">
        <v>17559</v>
      </c>
      <c r="D5382" t="s">
        <v>1915</v>
      </c>
      <c r="E5382" t="s">
        <v>269</v>
      </c>
      <c r="F5382" t="s">
        <v>1914</v>
      </c>
    </row>
    <row r="5383" spans="1:6" x14ac:dyDescent="0.25">
      <c r="A5383" t="s">
        <v>17560</v>
      </c>
      <c r="B5383" t="s">
        <v>17561</v>
      </c>
      <c r="C5383" t="s">
        <v>17562</v>
      </c>
      <c r="D5383" t="s">
        <v>0</v>
      </c>
      <c r="E5383" t="s">
        <v>271</v>
      </c>
      <c r="F5383" t="s">
        <v>356</v>
      </c>
    </row>
    <row r="5384" spans="1:6" x14ac:dyDescent="0.25">
      <c r="A5384" t="s">
        <v>17563</v>
      </c>
      <c r="B5384" t="s">
        <v>17564</v>
      </c>
      <c r="C5384" t="s">
        <v>17565</v>
      </c>
      <c r="D5384" t="s">
        <v>6188</v>
      </c>
      <c r="E5384" t="s">
        <v>271</v>
      </c>
      <c r="F5384" t="s">
        <v>480</v>
      </c>
    </row>
    <row r="5385" spans="1:6" x14ac:dyDescent="0.25">
      <c r="A5385" t="s">
        <v>17566</v>
      </c>
      <c r="B5385" t="s">
        <v>17567</v>
      </c>
      <c r="C5385" t="s">
        <v>17568</v>
      </c>
      <c r="D5385" t="s">
        <v>1643</v>
      </c>
      <c r="E5385" t="s">
        <v>271</v>
      </c>
      <c r="F5385" t="s">
        <v>1642</v>
      </c>
    </row>
    <row r="5386" spans="1:6" x14ac:dyDescent="0.25">
      <c r="A5386" t="s">
        <v>17569</v>
      </c>
      <c r="B5386" t="s">
        <v>17570</v>
      </c>
      <c r="C5386" t="s">
        <v>17571</v>
      </c>
      <c r="D5386" t="s">
        <v>506</v>
      </c>
      <c r="E5386" t="s">
        <v>271</v>
      </c>
      <c r="F5386" t="s">
        <v>507</v>
      </c>
    </row>
    <row r="5387" spans="1:6" x14ac:dyDescent="0.25">
      <c r="A5387" t="s">
        <v>1516</v>
      </c>
      <c r="B5387" t="s">
        <v>1517</v>
      </c>
      <c r="C5387" t="s">
        <v>1520</v>
      </c>
      <c r="D5387" t="s">
        <v>1485</v>
      </c>
      <c r="E5387" t="s">
        <v>271</v>
      </c>
      <c r="F5387" t="s">
        <v>1519</v>
      </c>
    </row>
    <row r="5388" spans="1:6" x14ac:dyDescent="0.25">
      <c r="A5388" t="s">
        <v>2255</v>
      </c>
      <c r="B5388" t="s">
        <v>2256</v>
      </c>
      <c r="C5388" t="s">
        <v>2257</v>
      </c>
      <c r="D5388" t="s">
        <v>1303</v>
      </c>
      <c r="E5388" t="s">
        <v>269</v>
      </c>
      <c r="F5388" t="s">
        <v>1302</v>
      </c>
    </row>
    <row r="5389" spans="1:6" x14ac:dyDescent="0.25">
      <c r="A5389" t="s">
        <v>17572</v>
      </c>
      <c r="B5389" t="s">
        <v>17573</v>
      </c>
      <c r="C5389" t="s">
        <v>17574</v>
      </c>
      <c r="D5389" t="s">
        <v>2681</v>
      </c>
      <c r="E5389" t="s">
        <v>271</v>
      </c>
      <c r="F5389" t="s">
        <v>2680</v>
      </c>
    </row>
    <row r="5390" spans="1:6" x14ac:dyDescent="0.25">
      <c r="A5390" t="s">
        <v>17575</v>
      </c>
      <c r="B5390" t="s">
        <v>17576</v>
      </c>
      <c r="C5390" t="s">
        <v>17577</v>
      </c>
      <c r="D5390" t="s">
        <v>1559</v>
      </c>
      <c r="E5390" t="s">
        <v>271</v>
      </c>
      <c r="F5390" t="s">
        <v>1558</v>
      </c>
    </row>
    <row r="5391" spans="1:6" x14ac:dyDescent="0.25">
      <c r="A5391" t="s">
        <v>17578</v>
      </c>
      <c r="B5391" t="s">
        <v>17579</v>
      </c>
      <c r="C5391" t="s">
        <v>17580</v>
      </c>
      <c r="D5391" t="s">
        <v>14520</v>
      </c>
      <c r="E5391" t="s">
        <v>271</v>
      </c>
      <c r="F5391" t="s">
        <v>14521</v>
      </c>
    </row>
    <row r="5392" spans="1:6" x14ac:dyDescent="0.25">
      <c r="A5392" t="s">
        <v>17581</v>
      </c>
      <c r="B5392" t="s">
        <v>17582</v>
      </c>
      <c r="C5392" t="s">
        <v>750</v>
      </c>
      <c r="D5392" t="s">
        <v>586</v>
      </c>
      <c r="E5392" t="s">
        <v>271</v>
      </c>
      <c r="F5392" t="s">
        <v>334</v>
      </c>
    </row>
    <row r="5393" spans="1:6" x14ac:dyDescent="0.25">
      <c r="A5393" t="s">
        <v>17583</v>
      </c>
      <c r="B5393" t="s">
        <v>17584</v>
      </c>
      <c r="C5393" t="s">
        <v>17585</v>
      </c>
      <c r="D5393" t="s">
        <v>0</v>
      </c>
      <c r="E5393" t="s">
        <v>271</v>
      </c>
      <c r="F5393" t="s">
        <v>1141</v>
      </c>
    </row>
    <row r="5394" spans="1:6" x14ac:dyDescent="0.25">
      <c r="A5394" t="s">
        <v>17586</v>
      </c>
      <c r="B5394" t="s">
        <v>17587</v>
      </c>
      <c r="C5394" t="s">
        <v>10555</v>
      </c>
      <c r="D5394" t="s">
        <v>498</v>
      </c>
      <c r="E5394" t="s">
        <v>271</v>
      </c>
      <c r="F5394" t="s">
        <v>926</v>
      </c>
    </row>
    <row r="5395" spans="1:6" x14ac:dyDescent="0.25">
      <c r="A5395" t="s">
        <v>17588</v>
      </c>
      <c r="B5395" t="s">
        <v>17589</v>
      </c>
      <c r="C5395" t="s">
        <v>17590</v>
      </c>
      <c r="D5395" t="s">
        <v>1361</v>
      </c>
      <c r="E5395" t="s">
        <v>271</v>
      </c>
      <c r="F5395" t="s">
        <v>2260</v>
      </c>
    </row>
    <row r="5396" spans="1:6" x14ac:dyDescent="0.25">
      <c r="A5396" t="s">
        <v>17591</v>
      </c>
      <c r="B5396" t="s">
        <v>17592</v>
      </c>
      <c r="C5396" t="s">
        <v>17593</v>
      </c>
      <c r="D5396" t="s">
        <v>0</v>
      </c>
      <c r="E5396" t="s">
        <v>271</v>
      </c>
      <c r="F5396" t="s">
        <v>1148</v>
      </c>
    </row>
    <row r="5397" spans="1:6" x14ac:dyDescent="0.25">
      <c r="A5397" t="s">
        <v>17594</v>
      </c>
      <c r="B5397" t="s">
        <v>17595</v>
      </c>
      <c r="C5397" t="s">
        <v>17596</v>
      </c>
      <c r="D5397" t="s">
        <v>492</v>
      </c>
      <c r="E5397" t="s">
        <v>271</v>
      </c>
      <c r="F5397" t="s">
        <v>1221</v>
      </c>
    </row>
    <row r="5398" spans="1:6" x14ac:dyDescent="0.25">
      <c r="A5398" t="s">
        <v>17597</v>
      </c>
      <c r="B5398" t="s">
        <v>17598</v>
      </c>
      <c r="C5398" t="s">
        <v>17599</v>
      </c>
      <c r="D5398" t="s">
        <v>997</v>
      </c>
      <c r="E5398" t="s">
        <v>271</v>
      </c>
      <c r="F5398" t="s">
        <v>996</v>
      </c>
    </row>
    <row r="5399" spans="1:6" x14ac:dyDescent="0.25">
      <c r="A5399" t="s">
        <v>17600</v>
      </c>
      <c r="B5399" t="s">
        <v>17601</v>
      </c>
      <c r="C5399" t="s">
        <v>17602</v>
      </c>
      <c r="D5399" t="s">
        <v>1199</v>
      </c>
      <c r="E5399" t="s">
        <v>271</v>
      </c>
      <c r="F5399" t="s">
        <v>1198</v>
      </c>
    </row>
    <row r="5400" spans="1:6" x14ac:dyDescent="0.25">
      <c r="A5400" t="s">
        <v>3726</v>
      </c>
      <c r="B5400" t="s">
        <v>3727</v>
      </c>
      <c r="C5400" t="s">
        <v>3728</v>
      </c>
      <c r="D5400" t="s">
        <v>2166</v>
      </c>
      <c r="E5400" t="s">
        <v>271</v>
      </c>
      <c r="F5400" t="s">
        <v>2165</v>
      </c>
    </row>
    <row r="5401" spans="1:6" x14ac:dyDescent="0.25">
      <c r="A5401" t="s">
        <v>17603</v>
      </c>
      <c r="B5401" t="s">
        <v>17604</v>
      </c>
      <c r="C5401" t="s">
        <v>17605</v>
      </c>
      <c r="D5401" t="s">
        <v>1848</v>
      </c>
      <c r="E5401" t="s">
        <v>269</v>
      </c>
      <c r="F5401" t="s">
        <v>1847</v>
      </c>
    </row>
    <row r="5402" spans="1:6" x14ac:dyDescent="0.25">
      <c r="A5402" t="s">
        <v>17606</v>
      </c>
      <c r="B5402" t="s">
        <v>227</v>
      </c>
      <c r="C5402" t="s">
        <v>17607</v>
      </c>
      <c r="D5402" t="s">
        <v>0</v>
      </c>
      <c r="E5402" t="s">
        <v>271</v>
      </c>
      <c r="F5402" t="s">
        <v>1679</v>
      </c>
    </row>
    <row r="5403" spans="1:6" x14ac:dyDescent="0.25">
      <c r="A5403" t="s">
        <v>17608</v>
      </c>
      <c r="B5403" t="s">
        <v>17609</v>
      </c>
      <c r="C5403" t="s">
        <v>17610</v>
      </c>
      <c r="D5403" t="s">
        <v>8047</v>
      </c>
      <c r="E5403" t="s">
        <v>271</v>
      </c>
      <c r="F5403" t="s">
        <v>3830</v>
      </c>
    </row>
    <row r="5404" spans="1:6" x14ac:dyDescent="0.25">
      <c r="A5404" t="s">
        <v>17611</v>
      </c>
      <c r="B5404" t="s">
        <v>17612</v>
      </c>
      <c r="C5404" t="s">
        <v>12107</v>
      </c>
      <c r="D5404" t="s">
        <v>503</v>
      </c>
      <c r="E5404" t="s">
        <v>271</v>
      </c>
      <c r="F5404" t="s">
        <v>504</v>
      </c>
    </row>
    <row r="5405" spans="1:6" x14ac:dyDescent="0.25">
      <c r="A5405" t="s">
        <v>17613</v>
      </c>
      <c r="B5405" t="s">
        <v>17614</v>
      </c>
      <c r="C5405" t="s">
        <v>17615</v>
      </c>
      <c r="D5405" t="s">
        <v>3378</v>
      </c>
      <c r="E5405" t="s">
        <v>271</v>
      </c>
      <c r="F5405" t="s">
        <v>3377</v>
      </c>
    </row>
    <row r="5406" spans="1:6" x14ac:dyDescent="0.25">
      <c r="A5406" t="s">
        <v>17616</v>
      </c>
      <c r="B5406" t="s">
        <v>17617</v>
      </c>
      <c r="C5406" t="s">
        <v>17618</v>
      </c>
      <c r="D5406" t="s">
        <v>451</v>
      </c>
      <c r="E5406" t="s">
        <v>271</v>
      </c>
      <c r="F5406" t="s">
        <v>433</v>
      </c>
    </row>
    <row r="5407" spans="1:6" x14ac:dyDescent="0.25">
      <c r="A5407" t="s">
        <v>17619</v>
      </c>
      <c r="B5407" t="s">
        <v>17620</v>
      </c>
      <c r="C5407" t="s">
        <v>17621</v>
      </c>
      <c r="D5407" t="s">
        <v>340</v>
      </c>
      <c r="E5407" t="s">
        <v>271</v>
      </c>
      <c r="F5407" t="s">
        <v>317</v>
      </c>
    </row>
    <row r="5408" spans="1:6" x14ac:dyDescent="0.25">
      <c r="A5408" t="s">
        <v>2085</v>
      </c>
      <c r="B5408" t="s">
        <v>2086</v>
      </c>
      <c r="C5408" t="s">
        <v>2087</v>
      </c>
      <c r="D5408" t="s">
        <v>353</v>
      </c>
      <c r="E5408" t="s">
        <v>271</v>
      </c>
      <c r="F5408" t="s">
        <v>354</v>
      </c>
    </row>
    <row r="5409" spans="1:6" x14ac:dyDescent="0.25">
      <c r="A5409" t="s">
        <v>3236</v>
      </c>
      <c r="B5409" t="s">
        <v>3237</v>
      </c>
      <c r="C5409" t="s">
        <v>3238</v>
      </c>
      <c r="D5409" t="s">
        <v>232</v>
      </c>
      <c r="E5409" t="s">
        <v>271</v>
      </c>
      <c r="F5409" t="s">
        <v>329</v>
      </c>
    </row>
    <row r="5410" spans="1:6" x14ac:dyDescent="0.25">
      <c r="A5410" t="s">
        <v>17622</v>
      </c>
      <c r="B5410" t="s">
        <v>17623</v>
      </c>
      <c r="C5410" t="s">
        <v>2170</v>
      </c>
      <c r="D5410" t="s">
        <v>282</v>
      </c>
      <c r="E5410" t="s">
        <v>271</v>
      </c>
      <c r="F5410" t="s">
        <v>1191</v>
      </c>
    </row>
    <row r="5411" spans="1:6" x14ac:dyDescent="0.25">
      <c r="A5411" t="s">
        <v>17624</v>
      </c>
      <c r="B5411" t="s">
        <v>17625</v>
      </c>
      <c r="C5411" t="s">
        <v>17626</v>
      </c>
      <c r="D5411" t="s">
        <v>0</v>
      </c>
      <c r="E5411" t="s">
        <v>271</v>
      </c>
      <c r="F5411" t="s">
        <v>881</v>
      </c>
    </row>
    <row r="5412" spans="1:6" x14ac:dyDescent="0.25">
      <c r="A5412" t="s">
        <v>17627</v>
      </c>
      <c r="B5412" t="s">
        <v>17628</v>
      </c>
      <c r="C5412" t="s">
        <v>17629</v>
      </c>
      <c r="D5412" t="s">
        <v>5598</v>
      </c>
      <c r="E5412" t="s">
        <v>271</v>
      </c>
      <c r="F5412" t="s">
        <v>4427</v>
      </c>
    </row>
    <row r="5413" spans="1:6" x14ac:dyDescent="0.25">
      <c r="A5413" t="s">
        <v>17630</v>
      </c>
      <c r="B5413" t="s">
        <v>17631</v>
      </c>
      <c r="C5413" t="s">
        <v>17632</v>
      </c>
      <c r="D5413" t="s">
        <v>314</v>
      </c>
      <c r="E5413" t="s">
        <v>271</v>
      </c>
      <c r="F5413" t="s">
        <v>370</v>
      </c>
    </row>
    <row r="5414" spans="1:6" x14ac:dyDescent="0.25">
      <c r="A5414" t="s">
        <v>17633</v>
      </c>
      <c r="B5414" t="s">
        <v>17634</v>
      </c>
      <c r="C5414" t="s">
        <v>17635</v>
      </c>
      <c r="D5414" t="s">
        <v>237</v>
      </c>
      <c r="E5414" t="s">
        <v>271</v>
      </c>
      <c r="F5414" t="s">
        <v>427</v>
      </c>
    </row>
    <row r="5415" spans="1:6" x14ac:dyDescent="0.25">
      <c r="A5415" t="s">
        <v>17636</v>
      </c>
      <c r="B5415" t="s">
        <v>17637</v>
      </c>
      <c r="C5415" t="s">
        <v>17638</v>
      </c>
      <c r="D5415" t="s">
        <v>0</v>
      </c>
      <c r="E5415" t="s">
        <v>271</v>
      </c>
      <c r="F5415" t="s">
        <v>431</v>
      </c>
    </row>
    <row r="5416" spans="1:6" x14ac:dyDescent="0.25">
      <c r="A5416" t="s">
        <v>17639</v>
      </c>
      <c r="B5416" t="s">
        <v>17640</v>
      </c>
      <c r="C5416" t="s">
        <v>17641</v>
      </c>
      <c r="D5416" t="s">
        <v>0</v>
      </c>
      <c r="E5416" t="s">
        <v>271</v>
      </c>
      <c r="F5416" t="s">
        <v>3941</v>
      </c>
    </row>
    <row r="5417" spans="1:6" x14ac:dyDescent="0.25">
      <c r="A5417" t="s">
        <v>17642</v>
      </c>
      <c r="B5417" t="s">
        <v>17643</v>
      </c>
      <c r="C5417" t="s">
        <v>17644</v>
      </c>
      <c r="D5417" t="s">
        <v>376</v>
      </c>
      <c r="E5417" t="s">
        <v>341</v>
      </c>
      <c r="F5417" t="s">
        <v>415</v>
      </c>
    </row>
    <row r="5418" spans="1:6" x14ac:dyDescent="0.25">
      <c r="A5418" t="s">
        <v>17645</v>
      </c>
      <c r="B5418" t="s">
        <v>17646</v>
      </c>
      <c r="C5418" t="s">
        <v>17647</v>
      </c>
      <c r="D5418" t="s">
        <v>295</v>
      </c>
      <c r="E5418" t="s">
        <v>271</v>
      </c>
      <c r="F5418" t="s">
        <v>1888</v>
      </c>
    </row>
    <row r="5419" spans="1:6" x14ac:dyDescent="0.25">
      <c r="A5419" t="s">
        <v>17648</v>
      </c>
      <c r="B5419" t="s">
        <v>17649</v>
      </c>
      <c r="C5419" t="s">
        <v>17650</v>
      </c>
      <c r="D5419" t="s">
        <v>361</v>
      </c>
      <c r="E5419" t="s">
        <v>271</v>
      </c>
      <c r="F5419" t="s">
        <v>582</v>
      </c>
    </row>
    <row r="5420" spans="1:6" x14ac:dyDescent="0.25">
      <c r="A5420" t="s">
        <v>17651</v>
      </c>
      <c r="B5420" t="s">
        <v>17601</v>
      </c>
      <c r="C5420" t="s">
        <v>17652</v>
      </c>
      <c r="D5420" t="s">
        <v>1199</v>
      </c>
      <c r="E5420" t="s">
        <v>271</v>
      </c>
      <c r="F5420" t="s">
        <v>1198</v>
      </c>
    </row>
    <row r="5421" spans="1:6" x14ac:dyDescent="0.25">
      <c r="A5421" t="s">
        <v>17653</v>
      </c>
      <c r="B5421" t="s">
        <v>17654</v>
      </c>
      <c r="C5421" t="s">
        <v>17655</v>
      </c>
      <c r="D5421" t="s">
        <v>2940</v>
      </c>
      <c r="E5421" t="s">
        <v>271</v>
      </c>
      <c r="F5421" t="s">
        <v>2939</v>
      </c>
    </row>
    <row r="5422" spans="1:6" x14ac:dyDescent="0.25">
      <c r="A5422" t="s">
        <v>17656</v>
      </c>
      <c r="B5422" t="s">
        <v>17657</v>
      </c>
      <c r="C5422" t="s">
        <v>10219</v>
      </c>
      <c r="D5422" t="s">
        <v>519</v>
      </c>
      <c r="E5422" t="s">
        <v>271</v>
      </c>
      <c r="F5422" t="s">
        <v>324</v>
      </c>
    </row>
    <row r="5423" spans="1:6" x14ac:dyDescent="0.25">
      <c r="A5423" t="s">
        <v>17658</v>
      </c>
      <c r="B5423" t="s">
        <v>17659</v>
      </c>
      <c r="C5423" t="s">
        <v>17660</v>
      </c>
      <c r="D5423" t="s">
        <v>0</v>
      </c>
      <c r="E5423" t="s">
        <v>271</v>
      </c>
      <c r="F5423" t="s">
        <v>325</v>
      </c>
    </row>
    <row r="5424" spans="1:6" x14ac:dyDescent="0.25">
      <c r="A5424" t="s">
        <v>17661</v>
      </c>
      <c r="B5424" t="s">
        <v>17662</v>
      </c>
      <c r="C5424" t="s">
        <v>17663</v>
      </c>
      <c r="D5424" t="s">
        <v>668</v>
      </c>
      <c r="E5424" t="s">
        <v>271</v>
      </c>
      <c r="F5424" t="s">
        <v>667</v>
      </c>
    </row>
    <row r="5425" spans="1:6" x14ac:dyDescent="0.25">
      <c r="A5425" t="s">
        <v>17664</v>
      </c>
      <c r="B5425" t="s">
        <v>17665</v>
      </c>
      <c r="C5425" t="s">
        <v>17666</v>
      </c>
      <c r="D5425" t="s">
        <v>0</v>
      </c>
      <c r="E5425" t="s">
        <v>271</v>
      </c>
      <c r="F5425" t="s">
        <v>323</v>
      </c>
    </row>
    <row r="5426" spans="1:6" x14ac:dyDescent="0.25">
      <c r="A5426" t="s">
        <v>17667</v>
      </c>
      <c r="B5426" t="s">
        <v>17668</v>
      </c>
      <c r="C5426" t="s">
        <v>17669</v>
      </c>
      <c r="D5426" t="s">
        <v>498</v>
      </c>
      <c r="E5426" t="s">
        <v>271</v>
      </c>
      <c r="F5426" t="s">
        <v>926</v>
      </c>
    </row>
    <row r="5427" spans="1:6" x14ac:dyDescent="0.25">
      <c r="A5427" t="s">
        <v>17670</v>
      </c>
      <c r="B5427" t="s">
        <v>17671</v>
      </c>
      <c r="C5427" t="s">
        <v>17672</v>
      </c>
      <c r="D5427" t="s">
        <v>416</v>
      </c>
      <c r="E5427" t="s">
        <v>271</v>
      </c>
      <c r="F5427" t="s">
        <v>439</v>
      </c>
    </row>
    <row r="5428" spans="1:6" x14ac:dyDescent="0.25">
      <c r="A5428" t="s">
        <v>17673</v>
      </c>
      <c r="B5428" t="s">
        <v>17674</v>
      </c>
      <c r="C5428" t="s">
        <v>17675</v>
      </c>
      <c r="D5428" t="s">
        <v>0</v>
      </c>
      <c r="E5428" t="s">
        <v>271</v>
      </c>
      <c r="F5428" t="s">
        <v>1321</v>
      </c>
    </row>
    <row r="5429" spans="1:6" x14ac:dyDescent="0.25">
      <c r="A5429" t="s">
        <v>17676</v>
      </c>
      <c r="B5429" t="s">
        <v>17677</v>
      </c>
      <c r="C5429" t="s">
        <v>16780</v>
      </c>
      <c r="D5429" t="s">
        <v>1643</v>
      </c>
      <c r="E5429" t="s">
        <v>271</v>
      </c>
      <c r="F5429" t="s">
        <v>1642</v>
      </c>
    </row>
    <row r="5430" spans="1:6" x14ac:dyDescent="0.25">
      <c r="A5430" t="s">
        <v>755</v>
      </c>
      <c r="B5430" t="s">
        <v>756</v>
      </c>
      <c r="C5430" t="s">
        <v>758</v>
      </c>
      <c r="D5430" t="s">
        <v>586</v>
      </c>
      <c r="E5430" t="s">
        <v>271</v>
      </c>
      <c r="F5430" t="s">
        <v>334</v>
      </c>
    </row>
    <row r="5431" spans="1:6" x14ac:dyDescent="0.25">
      <c r="A5431" t="s">
        <v>924</v>
      </c>
      <c r="B5431" t="s">
        <v>925</v>
      </c>
      <c r="C5431" t="s">
        <v>927</v>
      </c>
      <c r="D5431" t="s">
        <v>498</v>
      </c>
      <c r="E5431" t="s">
        <v>271</v>
      </c>
      <c r="F5431" t="s">
        <v>926</v>
      </c>
    </row>
    <row r="5432" spans="1:6" x14ac:dyDescent="0.25">
      <c r="A5432" t="s">
        <v>17678</v>
      </c>
      <c r="B5432" t="s">
        <v>17679</v>
      </c>
      <c r="C5432" t="s">
        <v>17680</v>
      </c>
      <c r="D5432" t="s">
        <v>232</v>
      </c>
      <c r="E5432" t="s">
        <v>271</v>
      </c>
      <c r="F5432" t="s">
        <v>329</v>
      </c>
    </row>
    <row r="5433" spans="1:6" x14ac:dyDescent="0.25">
      <c r="A5433" t="s">
        <v>17681</v>
      </c>
      <c r="B5433" t="s">
        <v>17682</v>
      </c>
      <c r="C5433" t="s">
        <v>17683</v>
      </c>
      <c r="D5433" t="s">
        <v>8593</v>
      </c>
      <c r="E5433" t="s">
        <v>271</v>
      </c>
      <c r="F5433" t="s">
        <v>4385</v>
      </c>
    </row>
    <row r="5434" spans="1:6" x14ac:dyDescent="0.25">
      <c r="A5434" t="s">
        <v>2711</v>
      </c>
      <c r="B5434" t="s">
        <v>2712</v>
      </c>
      <c r="C5434" t="s">
        <v>2715</v>
      </c>
      <c r="D5434" t="s">
        <v>2714</v>
      </c>
      <c r="E5434" t="s">
        <v>271</v>
      </c>
      <c r="F5434" t="s">
        <v>2713</v>
      </c>
    </row>
    <row r="5435" spans="1:6" x14ac:dyDescent="0.25">
      <c r="A5435" t="s">
        <v>17684</v>
      </c>
      <c r="B5435" t="s">
        <v>17685</v>
      </c>
      <c r="C5435" t="s">
        <v>17686</v>
      </c>
      <c r="D5435" t="s">
        <v>0</v>
      </c>
      <c r="E5435" t="s">
        <v>271</v>
      </c>
      <c r="F5435" t="s">
        <v>356</v>
      </c>
    </row>
    <row r="5436" spans="1:6" x14ac:dyDescent="0.25">
      <c r="A5436" t="s">
        <v>17687</v>
      </c>
      <c r="B5436" t="s">
        <v>17688</v>
      </c>
      <c r="C5436" t="s">
        <v>17689</v>
      </c>
      <c r="D5436" t="s">
        <v>246</v>
      </c>
      <c r="E5436" t="s">
        <v>271</v>
      </c>
      <c r="F5436" t="s">
        <v>426</v>
      </c>
    </row>
    <row r="5437" spans="1:6" x14ac:dyDescent="0.25">
      <c r="A5437" t="s">
        <v>17690</v>
      </c>
      <c r="B5437" t="s">
        <v>17691</v>
      </c>
      <c r="C5437" t="s">
        <v>17692</v>
      </c>
      <c r="D5437" t="s">
        <v>1542</v>
      </c>
      <c r="E5437" t="s">
        <v>269</v>
      </c>
      <c r="F5437" t="s">
        <v>1541</v>
      </c>
    </row>
    <row r="5438" spans="1:6" x14ac:dyDescent="0.25">
      <c r="A5438" t="s">
        <v>17693</v>
      </c>
      <c r="B5438" t="s">
        <v>17694</v>
      </c>
      <c r="C5438" t="s">
        <v>17695</v>
      </c>
      <c r="D5438" t="s">
        <v>1019</v>
      </c>
      <c r="E5438" t="s">
        <v>271</v>
      </c>
      <c r="F5438" t="s">
        <v>1018</v>
      </c>
    </row>
    <row r="5439" spans="1:6" x14ac:dyDescent="0.25">
      <c r="A5439" t="s">
        <v>17696</v>
      </c>
      <c r="B5439" t="s">
        <v>17697</v>
      </c>
      <c r="C5439" t="s">
        <v>17698</v>
      </c>
      <c r="D5439" t="s">
        <v>0</v>
      </c>
      <c r="E5439" t="s">
        <v>271</v>
      </c>
      <c r="F5439" t="s">
        <v>688</v>
      </c>
    </row>
    <row r="5440" spans="1:6" x14ac:dyDescent="0.25">
      <c r="A5440" t="s">
        <v>17699</v>
      </c>
      <c r="B5440" t="s">
        <v>17700</v>
      </c>
      <c r="C5440" t="s">
        <v>17701</v>
      </c>
      <c r="D5440" t="s">
        <v>2908</v>
      </c>
      <c r="E5440" t="s">
        <v>271</v>
      </c>
      <c r="F5440" t="s">
        <v>2470</v>
      </c>
    </row>
    <row r="5441" spans="1:6" x14ac:dyDescent="0.25">
      <c r="A5441" t="s">
        <v>2551</v>
      </c>
      <c r="B5441" t="s">
        <v>2552</v>
      </c>
      <c r="C5441" t="s">
        <v>2553</v>
      </c>
      <c r="D5441" t="s">
        <v>1297</v>
      </c>
      <c r="E5441" t="s">
        <v>271</v>
      </c>
      <c r="F5441" t="s">
        <v>996</v>
      </c>
    </row>
    <row r="5442" spans="1:6" x14ac:dyDescent="0.25">
      <c r="A5442" t="s">
        <v>17702</v>
      </c>
      <c r="B5442" t="s">
        <v>17703</v>
      </c>
      <c r="C5442" t="s">
        <v>17704</v>
      </c>
      <c r="D5442" t="s">
        <v>1601</v>
      </c>
      <c r="E5442" t="s">
        <v>269</v>
      </c>
      <c r="F5442" t="s">
        <v>1600</v>
      </c>
    </row>
    <row r="5443" spans="1:6" x14ac:dyDescent="0.25">
      <c r="A5443" t="s">
        <v>17705</v>
      </c>
      <c r="B5443" t="s">
        <v>5258</v>
      </c>
      <c r="C5443" t="s">
        <v>14967</v>
      </c>
      <c r="D5443" t="s">
        <v>1559</v>
      </c>
      <c r="E5443" t="s">
        <v>271</v>
      </c>
      <c r="F5443" t="s">
        <v>1558</v>
      </c>
    </row>
    <row r="5444" spans="1:6" x14ac:dyDescent="0.25">
      <c r="A5444" t="s">
        <v>17706</v>
      </c>
      <c r="B5444" t="s">
        <v>17707</v>
      </c>
      <c r="C5444" t="s">
        <v>17708</v>
      </c>
      <c r="D5444" t="s">
        <v>260</v>
      </c>
      <c r="E5444" t="s">
        <v>265</v>
      </c>
      <c r="F5444" t="s">
        <v>7985</v>
      </c>
    </row>
    <row r="5445" spans="1:6" x14ac:dyDescent="0.25">
      <c r="A5445" t="s">
        <v>17709</v>
      </c>
      <c r="B5445" t="s">
        <v>17710</v>
      </c>
      <c r="C5445" t="s">
        <v>17711</v>
      </c>
      <c r="D5445" t="s">
        <v>0</v>
      </c>
      <c r="E5445" t="s">
        <v>271</v>
      </c>
      <c r="F5445" t="s">
        <v>319</v>
      </c>
    </row>
    <row r="5446" spans="1:6" x14ac:dyDescent="0.25">
      <c r="A5446" t="s">
        <v>17712</v>
      </c>
      <c r="B5446" t="s">
        <v>17713</v>
      </c>
      <c r="C5446" t="s">
        <v>17714</v>
      </c>
      <c r="D5446" t="s">
        <v>1413</v>
      </c>
      <c r="E5446" t="s">
        <v>271</v>
      </c>
      <c r="F5446" t="s">
        <v>1412</v>
      </c>
    </row>
    <row r="5447" spans="1:6" x14ac:dyDescent="0.25">
      <c r="A5447" t="s">
        <v>17715</v>
      </c>
      <c r="B5447" t="s">
        <v>17716</v>
      </c>
      <c r="C5447" t="s">
        <v>17717</v>
      </c>
      <c r="D5447" t="s">
        <v>1199</v>
      </c>
      <c r="E5447" t="s">
        <v>271</v>
      </c>
      <c r="F5447" t="s">
        <v>1198</v>
      </c>
    </row>
    <row r="5448" spans="1:6" x14ac:dyDescent="0.25">
      <c r="A5448" t="s">
        <v>17718</v>
      </c>
      <c r="B5448" t="s">
        <v>17719</v>
      </c>
      <c r="C5448" t="s">
        <v>17720</v>
      </c>
      <c r="D5448" t="s">
        <v>610</v>
      </c>
      <c r="E5448" t="s">
        <v>271</v>
      </c>
      <c r="F5448" t="s">
        <v>611</v>
      </c>
    </row>
    <row r="5449" spans="1:6" x14ac:dyDescent="0.25">
      <c r="A5449" t="s">
        <v>17721</v>
      </c>
      <c r="B5449" t="s">
        <v>17722</v>
      </c>
      <c r="C5449" t="s">
        <v>17723</v>
      </c>
      <c r="D5449" t="s">
        <v>1915</v>
      </c>
      <c r="E5449" t="s">
        <v>269</v>
      </c>
      <c r="F5449" t="s">
        <v>1914</v>
      </c>
    </row>
    <row r="5450" spans="1:6" x14ac:dyDescent="0.25">
      <c r="A5450" t="s">
        <v>17724</v>
      </c>
      <c r="B5450" t="s">
        <v>17725</v>
      </c>
      <c r="C5450" t="s">
        <v>17726</v>
      </c>
      <c r="D5450" t="s">
        <v>1915</v>
      </c>
      <c r="E5450" t="s">
        <v>269</v>
      </c>
      <c r="F5450" t="s">
        <v>1914</v>
      </c>
    </row>
    <row r="5451" spans="1:6" x14ac:dyDescent="0.25">
      <c r="A5451" t="s">
        <v>17727</v>
      </c>
      <c r="B5451" t="s">
        <v>17728</v>
      </c>
      <c r="C5451" t="s">
        <v>17729</v>
      </c>
      <c r="D5451" t="s">
        <v>361</v>
      </c>
      <c r="E5451" t="s">
        <v>271</v>
      </c>
      <c r="F5451" t="s">
        <v>4420</v>
      </c>
    </row>
    <row r="5452" spans="1:6" x14ac:dyDescent="0.25">
      <c r="A5452" t="s">
        <v>17730</v>
      </c>
      <c r="B5452" t="s">
        <v>17731</v>
      </c>
      <c r="C5452" t="s">
        <v>17732</v>
      </c>
      <c r="D5452" t="s">
        <v>2158</v>
      </c>
      <c r="E5452" t="s">
        <v>269</v>
      </c>
      <c r="F5452" t="s">
        <v>2157</v>
      </c>
    </row>
    <row r="5453" spans="1:6" x14ac:dyDescent="0.25">
      <c r="A5453" t="s">
        <v>17733</v>
      </c>
      <c r="B5453" t="s">
        <v>17734</v>
      </c>
      <c r="C5453" t="s">
        <v>17735</v>
      </c>
      <c r="D5453" t="s">
        <v>675</v>
      </c>
      <c r="E5453" t="s">
        <v>271</v>
      </c>
      <c r="F5453" t="s">
        <v>674</v>
      </c>
    </row>
    <row r="5454" spans="1:6" x14ac:dyDescent="0.25">
      <c r="A5454" t="s">
        <v>17736</v>
      </c>
      <c r="B5454" t="s">
        <v>17737</v>
      </c>
      <c r="C5454" t="s">
        <v>17738</v>
      </c>
      <c r="D5454" t="s">
        <v>0</v>
      </c>
      <c r="E5454" t="s">
        <v>271</v>
      </c>
      <c r="F5454" t="s">
        <v>562</v>
      </c>
    </row>
    <row r="5455" spans="1:6" x14ac:dyDescent="0.25">
      <c r="A5455" t="s">
        <v>3045</v>
      </c>
      <c r="B5455" t="s">
        <v>3046</v>
      </c>
      <c r="C5455" t="s">
        <v>3047</v>
      </c>
      <c r="D5455" t="s">
        <v>2311</v>
      </c>
      <c r="E5455" t="s">
        <v>271</v>
      </c>
      <c r="F5455" t="s">
        <v>424</v>
      </c>
    </row>
    <row r="5456" spans="1:6" x14ac:dyDescent="0.25">
      <c r="A5456" t="s">
        <v>17739</v>
      </c>
      <c r="B5456" t="s">
        <v>17740</v>
      </c>
      <c r="C5456" t="s">
        <v>17741</v>
      </c>
      <c r="D5456" t="s">
        <v>2058</v>
      </c>
      <c r="E5456" t="s">
        <v>271</v>
      </c>
      <c r="F5456" t="s">
        <v>2057</v>
      </c>
    </row>
    <row r="5457" spans="1:6" x14ac:dyDescent="0.25">
      <c r="A5457" t="s">
        <v>17742</v>
      </c>
      <c r="B5457" t="s">
        <v>17743</v>
      </c>
      <c r="C5457" t="s">
        <v>17744</v>
      </c>
      <c r="D5457" t="s">
        <v>1542</v>
      </c>
      <c r="E5457" t="s">
        <v>269</v>
      </c>
      <c r="F5457" t="s">
        <v>1541</v>
      </c>
    </row>
    <row r="5458" spans="1:6" x14ac:dyDescent="0.25">
      <c r="A5458" t="s">
        <v>3504</v>
      </c>
      <c r="B5458" t="s">
        <v>3505</v>
      </c>
      <c r="C5458" t="s">
        <v>3506</v>
      </c>
      <c r="D5458" t="s">
        <v>0</v>
      </c>
      <c r="E5458" t="s">
        <v>271</v>
      </c>
      <c r="F5458" t="s">
        <v>436</v>
      </c>
    </row>
    <row r="5459" spans="1:6" x14ac:dyDescent="0.25">
      <c r="A5459" t="s">
        <v>1397</v>
      </c>
      <c r="B5459" t="s">
        <v>1398</v>
      </c>
      <c r="C5459" t="s">
        <v>1399</v>
      </c>
      <c r="D5459" t="s">
        <v>498</v>
      </c>
      <c r="E5459" t="s">
        <v>271</v>
      </c>
      <c r="F5459" t="s">
        <v>926</v>
      </c>
    </row>
    <row r="5460" spans="1:6" x14ac:dyDescent="0.25">
      <c r="A5460" t="s">
        <v>17745</v>
      </c>
      <c r="B5460" t="s">
        <v>17746</v>
      </c>
      <c r="C5460" t="s">
        <v>17747</v>
      </c>
      <c r="D5460" t="s">
        <v>0</v>
      </c>
      <c r="E5460" t="s">
        <v>271</v>
      </c>
      <c r="F5460" t="s">
        <v>1225</v>
      </c>
    </row>
    <row r="5461" spans="1:6" x14ac:dyDescent="0.25">
      <c r="A5461" t="s">
        <v>17748</v>
      </c>
      <c r="B5461" t="s">
        <v>17749</v>
      </c>
      <c r="C5461" t="s">
        <v>17750</v>
      </c>
      <c r="D5461" t="s">
        <v>272</v>
      </c>
      <c r="E5461" t="s">
        <v>269</v>
      </c>
      <c r="F5461" t="s">
        <v>907</v>
      </c>
    </row>
    <row r="5462" spans="1:6" x14ac:dyDescent="0.25">
      <c r="A5462" t="s">
        <v>17751</v>
      </c>
      <c r="B5462" t="s">
        <v>17752</v>
      </c>
      <c r="C5462" t="s">
        <v>17753</v>
      </c>
      <c r="D5462" t="s">
        <v>578</v>
      </c>
      <c r="E5462" t="s">
        <v>271</v>
      </c>
      <c r="F5462" t="s">
        <v>321</v>
      </c>
    </row>
    <row r="5463" spans="1:6" x14ac:dyDescent="0.25">
      <c r="A5463" t="s">
        <v>3462</v>
      </c>
      <c r="B5463" t="s">
        <v>3463</v>
      </c>
      <c r="C5463" t="s">
        <v>3465</v>
      </c>
      <c r="D5463" t="s">
        <v>0</v>
      </c>
      <c r="E5463" t="s">
        <v>271</v>
      </c>
      <c r="F5463" t="s">
        <v>688</v>
      </c>
    </row>
    <row r="5464" spans="1:6" x14ac:dyDescent="0.25">
      <c r="A5464" t="s">
        <v>17754</v>
      </c>
      <c r="B5464" t="s">
        <v>17755</v>
      </c>
      <c r="C5464" t="s">
        <v>17756</v>
      </c>
      <c r="D5464" t="s">
        <v>0</v>
      </c>
      <c r="E5464" t="s">
        <v>271</v>
      </c>
      <c r="F5464" t="s">
        <v>1148</v>
      </c>
    </row>
    <row r="5465" spans="1:6" x14ac:dyDescent="0.25">
      <c r="A5465" t="s">
        <v>17757</v>
      </c>
      <c r="B5465" t="s">
        <v>17758</v>
      </c>
      <c r="C5465" t="s">
        <v>17759</v>
      </c>
      <c r="D5465" t="s">
        <v>871</v>
      </c>
      <c r="E5465" t="s">
        <v>271</v>
      </c>
      <c r="F5465" t="s">
        <v>870</v>
      </c>
    </row>
    <row r="5466" spans="1:6" x14ac:dyDescent="0.25">
      <c r="A5466" t="s">
        <v>1570</v>
      </c>
      <c r="B5466" t="s">
        <v>1571</v>
      </c>
      <c r="C5466" t="s">
        <v>1572</v>
      </c>
      <c r="D5466" t="s">
        <v>1239</v>
      </c>
      <c r="E5466" t="s">
        <v>271</v>
      </c>
      <c r="F5466" t="s">
        <v>1238</v>
      </c>
    </row>
    <row r="5467" spans="1:6" x14ac:dyDescent="0.25">
      <c r="A5467" t="s">
        <v>17760</v>
      </c>
      <c r="B5467" t="s">
        <v>17761</v>
      </c>
      <c r="C5467" t="s">
        <v>17762</v>
      </c>
      <c r="D5467" t="s">
        <v>0</v>
      </c>
      <c r="E5467" t="s">
        <v>271</v>
      </c>
      <c r="F5467" t="s">
        <v>562</v>
      </c>
    </row>
    <row r="5468" spans="1:6" x14ac:dyDescent="0.25">
      <c r="A5468" t="s">
        <v>17763</v>
      </c>
      <c r="B5468" t="s">
        <v>17764</v>
      </c>
      <c r="C5468" t="s">
        <v>11799</v>
      </c>
      <c r="D5468" t="s">
        <v>1110</v>
      </c>
      <c r="E5468" t="s">
        <v>271</v>
      </c>
      <c r="F5468" t="s">
        <v>1109</v>
      </c>
    </row>
    <row r="5469" spans="1:6" x14ac:dyDescent="0.25">
      <c r="A5469" t="s">
        <v>17765</v>
      </c>
      <c r="B5469" t="s">
        <v>17766</v>
      </c>
      <c r="C5469" t="s">
        <v>17767</v>
      </c>
      <c r="D5469" t="s">
        <v>1186</v>
      </c>
      <c r="E5469" t="s">
        <v>271</v>
      </c>
      <c r="F5469" t="s">
        <v>1185</v>
      </c>
    </row>
    <row r="5470" spans="1:6" x14ac:dyDescent="0.25">
      <c r="A5470" t="s">
        <v>17768</v>
      </c>
      <c r="B5470" t="s">
        <v>17769</v>
      </c>
      <c r="C5470" t="s">
        <v>17770</v>
      </c>
      <c r="D5470" t="s">
        <v>0</v>
      </c>
      <c r="E5470" t="s">
        <v>271</v>
      </c>
      <c r="F5470" t="s">
        <v>1534</v>
      </c>
    </row>
    <row r="5471" spans="1:6" x14ac:dyDescent="0.25">
      <c r="A5471" t="s">
        <v>17771</v>
      </c>
      <c r="B5471" t="s">
        <v>17772</v>
      </c>
      <c r="C5471" t="s">
        <v>17773</v>
      </c>
      <c r="D5471" t="s">
        <v>997</v>
      </c>
      <c r="E5471" t="s">
        <v>271</v>
      </c>
      <c r="F5471" t="s">
        <v>996</v>
      </c>
    </row>
    <row r="5472" spans="1:6" x14ac:dyDescent="0.25">
      <c r="A5472" t="s">
        <v>17774</v>
      </c>
      <c r="B5472" t="s">
        <v>17775</v>
      </c>
      <c r="C5472" t="s">
        <v>17776</v>
      </c>
      <c r="D5472" t="s">
        <v>482</v>
      </c>
      <c r="E5472" t="s">
        <v>271</v>
      </c>
      <c r="F5472" t="s">
        <v>483</v>
      </c>
    </row>
    <row r="5473" spans="1:6" x14ac:dyDescent="0.25">
      <c r="A5473" t="s">
        <v>17777</v>
      </c>
      <c r="B5473" t="s">
        <v>17778</v>
      </c>
      <c r="C5473" t="s">
        <v>17779</v>
      </c>
      <c r="D5473" t="s">
        <v>17780</v>
      </c>
      <c r="E5473" t="s">
        <v>271</v>
      </c>
      <c r="F5473" t="s">
        <v>567</v>
      </c>
    </row>
    <row r="5474" spans="1:6" x14ac:dyDescent="0.25">
      <c r="A5474" t="s">
        <v>17781</v>
      </c>
      <c r="B5474" t="s">
        <v>17782</v>
      </c>
      <c r="C5474" t="s">
        <v>17783</v>
      </c>
      <c r="D5474" t="s">
        <v>0</v>
      </c>
      <c r="E5474" t="s">
        <v>271</v>
      </c>
      <c r="F5474" t="s">
        <v>1148</v>
      </c>
    </row>
    <row r="5475" spans="1:6" x14ac:dyDescent="0.25">
      <c r="A5475" t="s">
        <v>17784</v>
      </c>
      <c r="B5475" t="s">
        <v>17785</v>
      </c>
      <c r="C5475" t="s">
        <v>17786</v>
      </c>
      <c r="D5475" t="s">
        <v>0</v>
      </c>
      <c r="E5475" t="s">
        <v>271</v>
      </c>
      <c r="F5475" t="s">
        <v>2349</v>
      </c>
    </row>
    <row r="5476" spans="1:6" x14ac:dyDescent="0.25">
      <c r="A5476" t="s">
        <v>17787</v>
      </c>
      <c r="B5476" t="s">
        <v>17788</v>
      </c>
      <c r="C5476" t="s">
        <v>17789</v>
      </c>
      <c r="D5476" t="s">
        <v>967</v>
      </c>
      <c r="E5476" t="s">
        <v>271</v>
      </c>
      <c r="F5476" t="s">
        <v>966</v>
      </c>
    </row>
    <row r="5477" spans="1:6" x14ac:dyDescent="0.25">
      <c r="A5477" t="s">
        <v>17790</v>
      </c>
      <c r="B5477" t="s">
        <v>17791</v>
      </c>
      <c r="C5477" t="s">
        <v>17792</v>
      </c>
      <c r="D5477" t="s">
        <v>345</v>
      </c>
      <c r="E5477" t="s">
        <v>269</v>
      </c>
      <c r="F5477" t="s">
        <v>684</v>
      </c>
    </row>
    <row r="5478" spans="1:6" x14ac:dyDescent="0.25">
      <c r="A5478" t="s">
        <v>3601</v>
      </c>
      <c r="B5478" t="s">
        <v>3602</v>
      </c>
      <c r="C5478" t="s">
        <v>3603</v>
      </c>
      <c r="D5478" t="s">
        <v>0</v>
      </c>
      <c r="E5478" t="s">
        <v>271</v>
      </c>
      <c r="F5478" t="s">
        <v>436</v>
      </c>
    </row>
    <row r="5479" spans="1:6" x14ac:dyDescent="0.25">
      <c r="A5479" t="s">
        <v>17793</v>
      </c>
      <c r="B5479" t="s">
        <v>17794</v>
      </c>
      <c r="C5479" t="s">
        <v>17795</v>
      </c>
      <c r="D5479" t="s">
        <v>651</v>
      </c>
      <c r="E5479" t="s">
        <v>271</v>
      </c>
      <c r="F5479" t="s">
        <v>650</v>
      </c>
    </row>
    <row r="5480" spans="1:6" x14ac:dyDescent="0.25">
      <c r="A5480" t="s">
        <v>17796</v>
      </c>
      <c r="B5480" t="s">
        <v>17797</v>
      </c>
      <c r="C5480" t="s">
        <v>17798</v>
      </c>
      <c r="D5480" t="s">
        <v>30</v>
      </c>
      <c r="E5480" t="s">
        <v>11147</v>
      </c>
      <c r="F5480" t="s">
        <v>17799</v>
      </c>
    </row>
    <row r="5481" spans="1:6" x14ac:dyDescent="0.25">
      <c r="A5481" t="s">
        <v>17800</v>
      </c>
      <c r="B5481" t="s">
        <v>17801</v>
      </c>
      <c r="C5481" t="s">
        <v>17802</v>
      </c>
      <c r="D5481" t="s">
        <v>0</v>
      </c>
      <c r="E5481" t="s">
        <v>271</v>
      </c>
      <c r="F5481" t="s">
        <v>1534</v>
      </c>
    </row>
    <row r="5482" spans="1:6" x14ac:dyDescent="0.25">
      <c r="A5482" t="s">
        <v>17803</v>
      </c>
      <c r="B5482" t="s">
        <v>17804</v>
      </c>
      <c r="C5482" t="s">
        <v>17805</v>
      </c>
      <c r="D5482" t="s">
        <v>0</v>
      </c>
      <c r="E5482" t="s">
        <v>271</v>
      </c>
      <c r="F5482" t="s">
        <v>4421</v>
      </c>
    </row>
    <row r="5483" spans="1:6" x14ac:dyDescent="0.25">
      <c r="A5483" t="s">
        <v>17806</v>
      </c>
      <c r="B5483" t="s">
        <v>17807</v>
      </c>
      <c r="C5483" t="s">
        <v>17808</v>
      </c>
      <c r="D5483" t="s">
        <v>616</v>
      </c>
      <c r="E5483" t="s">
        <v>271</v>
      </c>
      <c r="F5483" t="s">
        <v>333</v>
      </c>
    </row>
    <row r="5484" spans="1:6" x14ac:dyDescent="0.25">
      <c r="A5484" t="s">
        <v>17809</v>
      </c>
      <c r="B5484" t="s">
        <v>17810</v>
      </c>
      <c r="C5484" t="s">
        <v>17811</v>
      </c>
      <c r="D5484" t="s">
        <v>272</v>
      </c>
      <c r="E5484" t="s">
        <v>269</v>
      </c>
      <c r="F5484" t="s">
        <v>907</v>
      </c>
    </row>
    <row r="5485" spans="1:6" x14ac:dyDescent="0.25">
      <c r="A5485" t="s">
        <v>17812</v>
      </c>
      <c r="B5485" t="s">
        <v>7549</v>
      </c>
      <c r="C5485" t="s">
        <v>7550</v>
      </c>
      <c r="D5485" t="s">
        <v>498</v>
      </c>
      <c r="E5485" t="s">
        <v>271</v>
      </c>
      <c r="F5485" t="s">
        <v>926</v>
      </c>
    </row>
    <row r="5486" spans="1:6" x14ac:dyDescent="0.25">
      <c r="A5486" t="s">
        <v>17813</v>
      </c>
      <c r="B5486" t="s">
        <v>17814</v>
      </c>
      <c r="C5486" t="s">
        <v>17815</v>
      </c>
      <c r="D5486" t="s">
        <v>236</v>
      </c>
      <c r="E5486" t="s">
        <v>271</v>
      </c>
      <c r="F5486" t="s">
        <v>306</v>
      </c>
    </row>
    <row r="5487" spans="1:6" x14ac:dyDescent="0.25">
      <c r="A5487" t="s">
        <v>17816</v>
      </c>
      <c r="B5487" t="s">
        <v>17817</v>
      </c>
      <c r="C5487" t="s">
        <v>17818</v>
      </c>
      <c r="D5487" t="s">
        <v>1165</v>
      </c>
      <c r="E5487" t="s">
        <v>271</v>
      </c>
      <c r="F5487" t="s">
        <v>1402</v>
      </c>
    </row>
    <row r="5488" spans="1:6" x14ac:dyDescent="0.25">
      <c r="A5488" t="s">
        <v>17819</v>
      </c>
      <c r="B5488" t="s">
        <v>17820</v>
      </c>
      <c r="C5488" t="s">
        <v>17821</v>
      </c>
      <c r="D5488" t="s">
        <v>314</v>
      </c>
      <c r="E5488" t="s">
        <v>271</v>
      </c>
      <c r="F5488" t="s">
        <v>352</v>
      </c>
    </row>
    <row r="5489" spans="1:6" x14ac:dyDescent="0.25">
      <c r="A5489" t="s">
        <v>1539</v>
      </c>
      <c r="B5489" t="s">
        <v>1540</v>
      </c>
      <c r="C5489" t="s">
        <v>1543</v>
      </c>
      <c r="D5489" t="s">
        <v>1542</v>
      </c>
      <c r="E5489" t="s">
        <v>269</v>
      </c>
      <c r="F5489" t="s">
        <v>1541</v>
      </c>
    </row>
    <row r="5490" spans="1:6" x14ac:dyDescent="0.25">
      <c r="A5490" t="s">
        <v>751</v>
      </c>
      <c r="B5490" t="s">
        <v>752</v>
      </c>
      <c r="C5490" t="s">
        <v>754</v>
      </c>
      <c r="D5490" t="s">
        <v>8</v>
      </c>
      <c r="E5490" t="s">
        <v>271</v>
      </c>
      <c r="F5490" t="s">
        <v>753</v>
      </c>
    </row>
    <row r="5491" spans="1:6" x14ac:dyDescent="0.25">
      <c r="A5491" t="s">
        <v>17822</v>
      </c>
      <c r="B5491" t="s">
        <v>17823</v>
      </c>
      <c r="C5491" t="s">
        <v>17824</v>
      </c>
      <c r="D5491" t="s">
        <v>0</v>
      </c>
      <c r="E5491" t="s">
        <v>271</v>
      </c>
      <c r="F5491" t="s">
        <v>431</v>
      </c>
    </row>
    <row r="5492" spans="1:6" x14ac:dyDescent="0.25">
      <c r="A5492" t="s">
        <v>17825</v>
      </c>
      <c r="B5492" t="s">
        <v>17826</v>
      </c>
      <c r="C5492" t="s">
        <v>17827</v>
      </c>
      <c r="D5492" t="s">
        <v>0</v>
      </c>
      <c r="E5492" t="s">
        <v>271</v>
      </c>
      <c r="F5492" t="s">
        <v>356</v>
      </c>
    </row>
    <row r="5493" spans="1:6" x14ac:dyDescent="0.25">
      <c r="A5493" t="s">
        <v>17828</v>
      </c>
      <c r="B5493" t="s">
        <v>17829</v>
      </c>
      <c r="C5493" t="s">
        <v>17830</v>
      </c>
      <c r="D5493" t="s">
        <v>1643</v>
      </c>
      <c r="E5493" t="s">
        <v>271</v>
      </c>
      <c r="F5493" t="s">
        <v>4416</v>
      </c>
    </row>
    <row r="5494" spans="1:6" x14ac:dyDescent="0.25">
      <c r="A5494" t="s">
        <v>17831</v>
      </c>
      <c r="B5494" t="s">
        <v>17832</v>
      </c>
      <c r="C5494" t="s">
        <v>17833</v>
      </c>
      <c r="D5494" t="s">
        <v>0</v>
      </c>
      <c r="E5494" t="s">
        <v>271</v>
      </c>
      <c r="F5494" t="s">
        <v>731</v>
      </c>
    </row>
    <row r="5495" spans="1:6" x14ac:dyDescent="0.25">
      <c r="A5495" t="s">
        <v>17834</v>
      </c>
      <c r="B5495" t="s">
        <v>17835</v>
      </c>
      <c r="C5495" t="s">
        <v>12333</v>
      </c>
      <c r="D5495" t="s">
        <v>1059</v>
      </c>
      <c r="E5495" t="s">
        <v>271</v>
      </c>
      <c r="F5495" t="s">
        <v>1058</v>
      </c>
    </row>
    <row r="5496" spans="1:6" x14ac:dyDescent="0.25">
      <c r="A5496" t="s">
        <v>17836</v>
      </c>
      <c r="B5496" t="s">
        <v>17837</v>
      </c>
      <c r="C5496" t="s">
        <v>17838</v>
      </c>
      <c r="D5496" t="s">
        <v>1286</v>
      </c>
      <c r="E5496" t="s">
        <v>269</v>
      </c>
      <c r="F5496" t="s">
        <v>1285</v>
      </c>
    </row>
    <row r="5497" spans="1:6" x14ac:dyDescent="0.25">
      <c r="A5497" t="s">
        <v>17839</v>
      </c>
      <c r="B5497" t="s">
        <v>17840</v>
      </c>
      <c r="C5497" t="s">
        <v>17841</v>
      </c>
      <c r="D5497" t="s">
        <v>446</v>
      </c>
      <c r="E5497" t="s">
        <v>271</v>
      </c>
      <c r="F5497" t="s">
        <v>321</v>
      </c>
    </row>
    <row r="5498" spans="1:6" x14ac:dyDescent="0.25">
      <c r="A5498" t="s">
        <v>1407</v>
      </c>
      <c r="B5498" t="s">
        <v>1408</v>
      </c>
      <c r="C5498" t="s">
        <v>1409</v>
      </c>
      <c r="D5498" t="s">
        <v>0</v>
      </c>
      <c r="E5498" t="s">
        <v>271</v>
      </c>
      <c r="F5498" t="s">
        <v>895</v>
      </c>
    </row>
    <row r="5499" spans="1:6" x14ac:dyDescent="0.25">
      <c r="A5499" t="s">
        <v>17842</v>
      </c>
      <c r="B5499" t="s">
        <v>17843</v>
      </c>
      <c r="C5499" t="s">
        <v>17844</v>
      </c>
      <c r="D5499" t="s">
        <v>0</v>
      </c>
      <c r="E5499" t="s">
        <v>271</v>
      </c>
      <c r="F5499" t="s">
        <v>436</v>
      </c>
    </row>
    <row r="5500" spans="1:6" x14ac:dyDescent="0.25">
      <c r="A5500" t="s">
        <v>17845</v>
      </c>
      <c r="B5500" t="s">
        <v>17846</v>
      </c>
      <c r="C5500" t="s">
        <v>17847</v>
      </c>
      <c r="D5500" t="s">
        <v>2908</v>
      </c>
      <c r="E5500" t="s">
        <v>271</v>
      </c>
      <c r="F5500" t="s">
        <v>2470</v>
      </c>
    </row>
    <row r="5501" spans="1:6" x14ac:dyDescent="0.25">
      <c r="A5501" t="s">
        <v>17848</v>
      </c>
      <c r="B5501" t="s">
        <v>17849</v>
      </c>
      <c r="C5501" t="s">
        <v>17850</v>
      </c>
      <c r="D5501" t="s">
        <v>314</v>
      </c>
      <c r="E5501" t="s">
        <v>271</v>
      </c>
      <c r="F5501" t="s">
        <v>3081</v>
      </c>
    </row>
    <row r="5502" spans="1:6" x14ac:dyDescent="0.25">
      <c r="A5502" t="s">
        <v>17851</v>
      </c>
      <c r="B5502" t="s">
        <v>17852</v>
      </c>
      <c r="C5502" t="s">
        <v>17853</v>
      </c>
      <c r="D5502" t="s">
        <v>0</v>
      </c>
      <c r="E5502" t="s">
        <v>271</v>
      </c>
      <c r="F5502" t="s">
        <v>319</v>
      </c>
    </row>
    <row r="5503" spans="1:6" x14ac:dyDescent="0.25">
      <c r="A5503" t="s">
        <v>17854</v>
      </c>
      <c r="B5503" t="s">
        <v>17855</v>
      </c>
      <c r="C5503" t="s">
        <v>17856</v>
      </c>
      <c r="D5503" t="s">
        <v>314</v>
      </c>
      <c r="E5503" t="s">
        <v>271</v>
      </c>
      <c r="F5503" t="s">
        <v>352</v>
      </c>
    </row>
    <row r="5504" spans="1:6" x14ac:dyDescent="0.25">
      <c r="A5504" t="s">
        <v>17857</v>
      </c>
      <c r="B5504" t="s">
        <v>9574</v>
      </c>
      <c r="C5504" t="s">
        <v>9575</v>
      </c>
      <c r="D5504" t="s">
        <v>830</v>
      </c>
      <c r="E5504" t="s">
        <v>271</v>
      </c>
      <c r="F5504" t="s">
        <v>829</v>
      </c>
    </row>
    <row r="5505" spans="1:6" x14ac:dyDescent="0.25">
      <c r="A5505" t="s">
        <v>2360</v>
      </c>
      <c r="B5505" t="s">
        <v>2361</v>
      </c>
      <c r="C5505" t="s">
        <v>2362</v>
      </c>
      <c r="D5505" t="s">
        <v>237</v>
      </c>
      <c r="E5505" t="s">
        <v>271</v>
      </c>
      <c r="F5505" t="s">
        <v>427</v>
      </c>
    </row>
    <row r="5506" spans="1:6" x14ac:dyDescent="0.25">
      <c r="A5506" t="s">
        <v>17858</v>
      </c>
      <c r="B5506" t="s">
        <v>17859</v>
      </c>
      <c r="C5506" t="s">
        <v>17860</v>
      </c>
      <c r="D5506" t="s">
        <v>1542</v>
      </c>
      <c r="E5506" t="s">
        <v>269</v>
      </c>
      <c r="F5506" t="s">
        <v>1541</v>
      </c>
    </row>
    <row r="5507" spans="1:6" x14ac:dyDescent="0.25">
      <c r="A5507" t="s">
        <v>2313</v>
      </c>
      <c r="B5507" t="s">
        <v>2314</v>
      </c>
      <c r="C5507" t="s">
        <v>2315</v>
      </c>
      <c r="D5507" t="s">
        <v>0</v>
      </c>
      <c r="E5507" t="s">
        <v>271</v>
      </c>
      <c r="F5507" t="s">
        <v>319</v>
      </c>
    </row>
    <row r="5508" spans="1:6" x14ac:dyDescent="0.25">
      <c r="A5508" t="s">
        <v>17861</v>
      </c>
      <c r="B5508" t="s">
        <v>17862</v>
      </c>
      <c r="C5508" t="s">
        <v>17863</v>
      </c>
      <c r="D5508" t="s">
        <v>0</v>
      </c>
      <c r="E5508" t="s">
        <v>271</v>
      </c>
      <c r="F5508" t="s">
        <v>731</v>
      </c>
    </row>
    <row r="5509" spans="1:6" x14ac:dyDescent="0.25">
      <c r="A5509" t="s">
        <v>2363</v>
      </c>
      <c r="B5509" t="s">
        <v>2364</v>
      </c>
      <c r="C5509" t="s">
        <v>2365</v>
      </c>
      <c r="D5509" t="s">
        <v>453</v>
      </c>
      <c r="E5509" t="s">
        <v>271</v>
      </c>
      <c r="F5509" t="s">
        <v>2285</v>
      </c>
    </row>
    <row r="5510" spans="1:6" x14ac:dyDescent="0.25">
      <c r="A5510" t="s">
        <v>1423</v>
      </c>
      <c r="B5510" t="s">
        <v>1424</v>
      </c>
      <c r="C5510" t="s">
        <v>1425</v>
      </c>
      <c r="D5510" t="s">
        <v>361</v>
      </c>
      <c r="E5510" t="s">
        <v>271</v>
      </c>
      <c r="F5510" t="s">
        <v>582</v>
      </c>
    </row>
    <row r="5511" spans="1:6" x14ac:dyDescent="0.25">
      <c r="A5511" t="s">
        <v>17864</v>
      </c>
      <c r="B5511" t="s">
        <v>17865</v>
      </c>
      <c r="C5511" t="s">
        <v>17866</v>
      </c>
      <c r="D5511" t="s">
        <v>2166</v>
      </c>
      <c r="E5511" t="s">
        <v>271</v>
      </c>
      <c r="F5511" t="s">
        <v>2165</v>
      </c>
    </row>
    <row r="5512" spans="1:6" x14ac:dyDescent="0.25">
      <c r="A5512" t="s">
        <v>17867</v>
      </c>
      <c r="B5512" t="s">
        <v>17868</v>
      </c>
      <c r="C5512" t="s">
        <v>17869</v>
      </c>
      <c r="D5512" t="s">
        <v>0</v>
      </c>
      <c r="E5512" t="s">
        <v>271</v>
      </c>
      <c r="F5512" t="s">
        <v>809</v>
      </c>
    </row>
    <row r="5513" spans="1:6" x14ac:dyDescent="0.25">
      <c r="A5513" t="s">
        <v>17870</v>
      </c>
      <c r="B5513" t="s">
        <v>17871</v>
      </c>
      <c r="C5513" t="s">
        <v>17872</v>
      </c>
      <c r="D5513" t="s">
        <v>4815</v>
      </c>
      <c r="E5513" t="s">
        <v>271</v>
      </c>
      <c r="F5513" t="s">
        <v>2713</v>
      </c>
    </row>
    <row r="5514" spans="1:6" x14ac:dyDescent="0.25">
      <c r="A5514" t="s">
        <v>17873</v>
      </c>
      <c r="B5514" t="s">
        <v>17874</v>
      </c>
      <c r="C5514" t="s">
        <v>17875</v>
      </c>
      <c r="D5514" t="s">
        <v>2488</v>
      </c>
      <c r="E5514" t="s">
        <v>269</v>
      </c>
      <c r="F5514" t="s">
        <v>2487</v>
      </c>
    </row>
    <row r="5515" spans="1:6" x14ac:dyDescent="0.25">
      <c r="A5515" t="s">
        <v>17876</v>
      </c>
      <c r="B5515" t="s">
        <v>17877</v>
      </c>
      <c r="C5515" t="s">
        <v>17878</v>
      </c>
      <c r="D5515" t="s">
        <v>0</v>
      </c>
      <c r="E5515" t="s">
        <v>271</v>
      </c>
      <c r="F5515" t="s">
        <v>2349</v>
      </c>
    </row>
    <row r="5516" spans="1:6" x14ac:dyDescent="0.25">
      <c r="A5516" t="s">
        <v>17879</v>
      </c>
      <c r="B5516" t="s">
        <v>17880</v>
      </c>
      <c r="C5516" t="s">
        <v>17881</v>
      </c>
      <c r="D5516" t="s">
        <v>0</v>
      </c>
      <c r="E5516" t="s">
        <v>271</v>
      </c>
      <c r="F5516" t="s">
        <v>2447</v>
      </c>
    </row>
    <row r="5517" spans="1:6" x14ac:dyDescent="0.25">
      <c r="A5517" t="s">
        <v>17882</v>
      </c>
      <c r="B5517" t="s">
        <v>13049</v>
      </c>
      <c r="C5517" t="s">
        <v>17883</v>
      </c>
      <c r="D5517" t="s">
        <v>0</v>
      </c>
      <c r="E5517" t="s">
        <v>271</v>
      </c>
      <c r="F5517" t="s">
        <v>325</v>
      </c>
    </row>
    <row r="5518" spans="1:6" x14ac:dyDescent="0.25">
      <c r="A5518" t="s">
        <v>17884</v>
      </c>
      <c r="B5518" t="s">
        <v>17885</v>
      </c>
      <c r="C5518" t="s">
        <v>17886</v>
      </c>
      <c r="D5518" t="s">
        <v>610</v>
      </c>
      <c r="E5518" t="s">
        <v>271</v>
      </c>
      <c r="F5518" t="s">
        <v>611</v>
      </c>
    </row>
    <row r="5519" spans="1:6" x14ac:dyDescent="0.25">
      <c r="A5519" t="s">
        <v>17887</v>
      </c>
      <c r="B5519" t="s">
        <v>17888</v>
      </c>
      <c r="C5519" t="s">
        <v>17889</v>
      </c>
      <c r="D5519" t="s">
        <v>6005</v>
      </c>
      <c r="E5519" t="s">
        <v>271</v>
      </c>
      <c r="F5519" t="s">
        <v>4399</v>
      </c>
    </row>
    <row r="5520" spans="1:6" x14ac:dyDescent="0.25">
      <c r="A5520" t="s">
        <v>17890</v>
      </c>
      <c r="B5520" t="s">
        <v>225</v>
      </c>
      <c r="C5520" t="s">
        <v>17891</v>
      </c>
      <c r="D5520" t="s">
        <v>519</v>
      </c>
      <c r="E5520" t="s">
        <v>271</v>
      </c>
      <c r="F5520" t="s">
        <v>324</v>
      </c>
    </row>
    <row r="5521" spans="1:6" x14ac:dyDescent="0.25">
      <c r="A5521" t="s">
        <v>17892</v>
      </c>
      <c r="B5521" t="s">
        <v>17893</v>
      </c>
      <c r="C5521" t="s">
        <v>17824</v>
      </c>
      <c r="D5521" t="s">
        <v>0</v>
      </c>
      <c r="E5521" t="s">
        <v>271</v>
      </c>
      <c r="F5521" t="s">
        <v>431</v>
      </c>
    </row>
    <row r="5522" spans="1:6" x14ac:dyDescent="0.25">
      <c r="A5522" t="s">
        <v>17894</v>
      </c>
      <c r="B5522" t="s">
        <v>17895</v>
      </c>
      <c r="C5522" t="s">
        <v>9885</v>
      </c>
      <c r="D5522" t="s">
        <v>0</v>
      </c>
      <c r="E5522" t="s">
        <v>271</v>
      </c>
      <c r="F5522" t="s">
        <v>881</v>
      </c>
    </row>
    <row r="5523" spans="1:6" x14ac:dyDescent="0.25">
      <c r="A5523" t="s">
        <v>17896</v>
      </c>
      <c r="B5523" t="s">
        <v>17897</v>
      </c>
      <c r="C5523" t="s">
        <v>17898</v>
      </c>
      <c r="D5523" t="s">
        <v>1485</v>
      </c>
      <c r="E5523" t="s">
        <v>271</v>
      </c>
      <c r="F5523" t="s">
        <v>1519</v>
      </c>
    </row>
    <row r="5524" spans="1:6" x14ac:dyDescent="0.25">
      <c r="A5524" t="s">
        <v>17899</v>
      </c>
      <c r="B5524" t="s">
        <v>17900</v>
      </c>
      <c r="C5524" t="s">
        <v>17901</v>
      </c>
      <c r="D5524" t="s">
        <v>793</v>
      </c>
      <c r="E5524" t="s">
        <v>271</v>
      </c>
      <c r="F5524" t="s">
        <v>792</v>
      </c>
    </row>
    <row r="5525" spans="1:6" x14ac:dyDescent="0.25">
      <c r="A5525" t="s">
        <v>17902</v>
      </c>
      <c r="B5525" t="s">
        <v>17903</v>
      </c>
      <c r="C5525" t="s">
        <v>17904</v>
      </c>
      <c r="D5525" t="s">
        <v>0</v>
      </c>
      <c r="E5525" t="s">
        <v>271</v>
      </c>
      <c r="F5525" t="s">
        <v>3941</v>
      </c>
    </row>
    <row r="5526" spans="1:6" x14ac:dyDescent="0.25">
      <c r="A5526" t="s">
        <v>3717</v>
      </c>
      <c r="B5526" t="s">
        <v>3718</v>
      </c>
      <c r="C5526" t="s">
        <v>3719</v>
      </c>
      <c r="D5526" t="s">
        <v>718</v>
      </c>
      <c r="E5526" t="s">
        <v>271</v>
      </c>
      <c r="F5526" t="s">
        <v>333</v>
      </c>
    </row>
    <row r="5527" spans="1:6" x14ac:dyDescent="0.25">
      <c r="A5527" t="s">
        <v>2548</v>
      </c>
      <c r="B5527" t="s">
        <v>2549</v>
      </c>
      <c r="C5527" t="s">
        <v>2550</v>
      </c>
      <c r="D5527" t="s">
        <v>500</v>
      </c>
      <c r="E5527" t="s">
        <v>271</v>
      </c>
      <c r="F5527" t="s">
        <v>501</v>
      </c>
    </row>
    <row r="5528" spans="1:6" x14ac:dyDescent="0.25">
      <c r="A5528" t="s">
        <v>2267</v>
      </c>
      <c r="B5528" t="s">
        <v>2268</v>
      </c>
      <c r="C5528" t="s">
        <v>2269</v>
      </c>
      <c r="D5528" t="s">
        <v>0</v>
      </c>
      <c r="E5528" t="s">
        <v>271</v>
      </c>
      <c r="F5528" t="s">
        <v>431</v>
      </c>
    </row>
    <row r="5529" spans="1:6" x14ac:dyDescent="0.25">
      <c r="A5529" t="s">
        <v>17905</v>
      </c>
      <c r="B5529" t="s">
        <v>17906</v>
      </c>
      <c r="C5529" t="s">
        <v>17907</v>
      </c>
      <c r="D5529" t="s">
        <v>0</v>
      </c>
      <c r="E5529" t="s">
        <v>271</v>
      </c>
      <c r="F5529" t="s">
        <v>325</v>
      </c>
    </row>
    <row r="5530" spans="1:6" x14ac:dyDescent="0.25">
      <c r="A5530" t="s">
        <v>2661</v>
      </c>
      <c r="B5530" t="s">
        <v>2662</v>
      </c>
      <c r="C5530" t="s">
        <v>2663</v>
      </c>
      <c r="D5530" t="s">
        <v>295</v>
      </c>
      <c r="E5530" t="s">
        <v>271</v>
      </c>
      <c r="F5530" t="s">
        <v>294</v>
      </c>
    </row>
    <row r="5531" spans="1:6" x14ac:dyDescent="0.25">
      <c r="A5531" t="s">
        <v>2658</v>
      </c>
      <c r="B5531" t="s">
        <v>2659</v>
      </c>
      <c r="C5531" t="s">
        <v>2660</v>
      </c>
      <c r="D5531" t="s">
        <v>0</v>
      </c>
      <c r="E5531" t="s">
        <v>271</v>
      </c>
      <c r="F5531" t="s">
        <v>1011</v>
      </c>
    </row>
    <row r="5532" spans="1:6" x14ac:dyDescent="0.25">
      <c r="A5532" t="s">
        <v>17908</v>
      </c>
      <c r="B5532" t="s">
        <v>17909</v>
      </c>
      <c r="C5532" t="s">
        <v>17910</v>
      </c>
      <c r="D5532" t="s">
        <v>4089</v>
      </c>
      <c r="E5532" t="s">
        <v>271</v>
      </c>
      <c r="F5532" t="s">
        <v>480</v>
      </c>
    </row>
    <row r="5533" spans="1:6" x14ac:dyDescent="0.25">
      <c r="A5533" t="s">
        <v>17911</v>
      </c>
      <c r="B5533" t="s">
        <v>17912</v>
      </c>
      <c r="C5533" t="s">
        <v>17913</v>
      </c>
      <c r="D5533" t="s">
        <v>17914</v>
      </c>
      <c r="E5533" t="s">
        <v>271</v>
      </c>
      <c r="F5533" t="s">
        <v>599</v>
      </c>
    </row>
    <row r="5534" spans="1:6" x14ac:dyDescent="0.25">
      <c r="A5534" t="s">
        <v>17915</v>
      </c>
      <c r="B5534" t="s">
        <v>17916</v>
      </c>
      <c r="C5534" t="s">
        <v>17917</v>
      </c>
      <c r="D5534" t="s">
        <v>416</v>
      </c>
      <c r="E5534" t="s">
        <v>271</v>
      </c>
      <c r="F5534" t="s">
        <v>439</v>
      </c>
    </row>
    <row r="5535" spans="1:6" x14ac:dyDescent="0.25">
      <c r="A5535" t="s">
        <v>17918</v>
      </c>
      <c r="B5535" t="s">
        <v>17919</v>
      </c>
      <c r="C5535" t="s">
        <v>17920</v>
      </c>
      <c r="D5535" t="s">
        <v>1623</v>
      </c>
      <c r="E5535" t="s">
        <v>271</v>
      </c>
      <c r="F5535" t="s">
        <v>1622</v>
      </c>
    </row>
    <row r="5536" spans="1:6" x14ac:dyDescent="0.25">
      <c r="A5536" t="s">
        <v>17921</v>
      </c>
      <c r="B5536" t="s">
        <v>17922</v>
      </c>
      <c r="C5536" t="s">
        <v>17923</v>
      </c>
      <c r="D5536" t="s">
        <v>1542</v>
      </c>
      <c r="E5536" t="s">
        <v>269</v>
      </c>
      <c r="F5536" t="s">
        <v>1541</v>
      </c>
    </row>
    <row r="5537" spans="1:6" x14ac:dyDescent="0.25">
      <c r="A5537" t="s">
        <v>17924</v>
      </c>
      <c r="B5537" t="s">
        <v>17925</v>
      </c>
      <c r="C5537" t="s">
        <v>17926</v>
      </c>
      <c r="D5537" t="s">
        <v>453</v>
      </c>
      <c r="E5537" t="s">
        <v>271</v>
      </c>
      <c r="F5537" t="s">
        <v>454</v>
      </c>
    </row>
    <row r="5538" spans="1:6" x14ac:dyDescent="0.25">
      <c r="A5538" t="s">
        <v>17927</v>
      </c>
      <c r="B5538" t="s">
        <v>17928</v>
      </c>
      <c r="C5538" t="s">
        <v>17929</v>
      </c>
      <c r="D5538" t="s">
        <v>0</v>
      </c>
      <c r="E5538" t="s">
        <v>271</v>
      </c>
      <c r="F5538" t="s">
        <v>1534</v>
      </c>
    </row>
    <row r="5539" spans="1:6" x14ac:dyDescent="0.25">
      <c r="A5539" t="s">
        <v>2412</v>
      </c>
      <c r="B5539" t="s">
        <v>2413</v>
      </c>
      <c r="C5539" t="s">
        <v>2414</v>
      </c>
      <c r="D5539" t="s">
        <v>2067</v>
      </c>
      <c r="E5539" t="s">
        <v>271</v>
      </c>
      <c r="F5539" t="s">
        <v>2066</v>
      </c>
    </row>
    <row r="5540" spans="1:6" x14ac:dyDescent="0.25">
      <c r="A5540" t="s">
        <v>17930</v>
      </c>
      <c r="B5540" t="s">
        <v>17931</v>
      </c>
      <c r="C5540" t="s">
        <v>17932</v>
      </c>
      <c r="D5540" t="s">
        <v>1126</v>
      </c>
      <c r="E5540" t="s">
        <v>271</v>
      </c>
      <c r="F5540" t="s">
        <v>1125</v>
      </c>
    </row>
    <row r="5541" spans="1:6" x14ac:dyDescent="0.25">
      <c r="A5541" t="s">
        <v>17933</v>
      </c>
      <c r="B5541" t="s">
        <v>17934</v>
      </c>
      <c r="C5541" t="s">
        <v>10577</v>
      </c>
      <c r="D5541" t="s">
        <v>0</v>
      </c>
      <c r="E5541" t="s">
        <v>271</v>
      </c>
      <c r="F5541" t="s">
        <v>1321</v>
      </c>
    </row>
    <row r="5542" spans="1:6" x14ac:dyDescent="0.25">
      <c r="A5542" t="s">
        <v>2136</v>
      </c>
      <c r="B5542" t="s">
        <v>2137</v>
      </c>
      <c r="C5542" t="s">
        <v>2139</v>
      </c>
      <c r="D5542" t="s">
        <v>0</v>
      </c>
      <c r="E5542" t="s">
        <v>271</v>
      </c>
      <c r="F5542" t="s">
        <v>2138</v>
      </c>
    </row>
    <row r="5543" spans="1:6" x14ac:dyDescent="0.25">
      <c r="A5543" t="s">
        <v>17935</v>
      </c>
      <c r="B5543" t="s">
        <v>17936</v>
      </c>
      <c r="C5543" t="s">
        <v>17937</v>
      </c>
      <c r="D5543" t="s">
        <v>2589</v>
      </c>
      <c r="E5543" t="s">
        <v>271</v>
      </c>
      <c r="F5543" t="s">
        <v>2588</v>
      </c>
    </row>
    <row r="5544" spans="1:6" x14ac:dyDescent="0.25">
      <c r="A5544" t="s">
        <v>3772</v>
      </c>
      <c r="B5544" t="s">
        <v>3773</v>
      </c>
      <c r="C5544" t="s">
        <v>3774</v>
      </c>
      <c r="D5544" t="s">
        <v>0</v>
      </c>
      <c r="E5544" t="s">
        <v>271</v>
      </c>
      <c r="F5544" t="s">
        <v>562</v>
      </c>
    </row>
    <row r="5545" spans="1:6" x14ac:dyDescent="0.25">
      <c r="A5545" t="s">
        <v>17938</v>
      </c>
      <c r="B5545" t="s">
        <v>17939</v>
      </c>
      <c r="C5545" t="s">
        <v>9738</v>
      </c>
      <c r="D5545" t="s">
        <v>1361</v>
      </c>
      <c r="E5545" t="s">
        <v>271</v>
      </c>
      <c r="F5545" t="s">
        <v>1360</v>
      </c>
    </row>
    <row r="5546" spans="1:6" x14ac:dyDescent="0.25">
      <c r="A5546" t="s">
        <v>17940</v>
      </c>
      <c r="B5546" t="s">
        <v>17941</v>
      </c>
      <c r="C5546" t="s">
        <v>17942</v>
      </c>
      <c r="D5546" t="s">
        <v>1433</v>
      </c>
      <c r="E5546" t="s">
        <v>271</v>
      </c>
      <c r="F5546" t="s">
        <v>1432</v>
      </c>
    </row>
    <row r="5547" spans="1:6" x14ac:dyDescent="0.25">
      <c r="A5547" t="s">
        <v>17943</v>
      </c>
      <c r="B5547" t="s">
        <v>17944</v>
      </c>
      <c r="C5547" t="s">
        <v>17945</v>
      </c>
      <c r="D5547" t="s">
        <v>0</v>
      </c>
      <c r="E5547" t="s">
        <v>271</v>
      </c>
      <c r="F5547" t="s">
        <v>1321</v>
      </c>
    </row>
    <row r="5548" spans="1:6" x14ac:dyDescent="0.25">
      <c r="A5548" t="s">
        <v>17946</v>
      </c>
      <c r="B5548" t="s">
        <v>17947</v>
      </c>
      <c r="C5548" t="s">
        <v>17948</v>
      </c>
      <c r="D5548" t="s">
        <v>1623</v>
      </c>
      <c r="E5548" t="s">
        <v>271</v>
      </c>
      <c r="F5548" t="s">
        <v>1622</v>
      </c>
    </row>
    <row r="5549" spans="1:6" x14ac:dyDescent="0.25">
      <c r="A5549" t="s">
        <v>17949</v>
      </c>
      <c r="B5549" t="s">
        <v>17950</v>
      </c>
      <c r="C5549" t="s">
        <v>17951</v>
      </c>
      <c r="D5549" t="s">
        <v>0</v>
      </c>
      <c r="E5549" t="s">
        <v>271</v>
      </c>
      <c r="F5549" t="s">
        <v>436</v>
      </c>
    </row>
    <row r="5550" spans="1:6" x14ac:dyDescent="0.25">
      <c r="A5550" t="s">
        <v>17952</v>
      </c>
      <c r="B5550" t="s">
        <v>17953</v>
      </c>
      <c r="C5550" t="s">
        <v>17954</v>
      </c>
      <c r="D5550" t="s">
        <v>237</v>
      </c>
      <c r="E5550" t="s">
        <v>271</v>
      </c>
      <c r="F5550" t="s">
        <v>427</v>
      </c>
    </row>
    <row r="5551" spans="1:6" x14ac:dyDescent="0.25">
      <c r="A5551" t="s">
        <v>17955</v>
      </c>
      <c r="B5551" t="s">
        <v>15867</v>
      </c>
      <c r="C5551" t="s">
        <v>9114</v>
      </c>
      <c r="D5551" t="s">
        <v>0</v>
      </c>
      <c r="E5551" t="s">
        <v>271</v>
      </c>
      <c r="F5551" t="s">
        <v>325</v>
      </c>
    </row>
    <row r="5552" spans="1:6" x14ac:dyDescent="0.25">
      <c r="A5552" t="s">
        <v>759</v>
      </c>
      <c r="B5552" t="s">
        <v>760</v>
      </c>
      <c r="C5552" t="s">
        <v>762</v>
      </c>
      <c r="D5552" t="s">
        <v>0</v>
      </c>
      <c r="E5552" t="s">
        <v>271</v>
      </c>
      <c r="F5552" t="s">
        <v>575</v>
      </c>
    </row>
    <row r="5553" spans="1:6" x14ac:dyDescent="0.25">
      <c r="A5553" t="s">
        <v>17956</v>
      </c>
      <c r="B5553" t="s">
        <v>17957</v>
      </c>
      <c r="C5553" t="s">
        <v>17958</v>
      </c>
      <c r="D5553" t="s">
        <v>0</v>
      </c>
      <c r="E5553" t="s">
        <v>271</v>
      </c>
      <c r="F5553" t="s">
        <v>2608</v>
      </c>
    </row>
    <row r="5554" spans="1:6" x14ac:dyDescent="0.25">
      <c r="A5554" t="s">
        <v>17959</v>
      </c>
      <c r="B5554" t="s">
        <v>17960</v>
      </c>
      <c r="C5554" t="s">
        <v>17961</v>
      </c>
      <c r="D5554" t="s">
        <v>552</v>
      </c>
      <c r="E5554" t="s">
        <v>230</v>
      </c>
      <c r="F5554" t="s">
        <v>553</v>
      </c>
    </row>
    <row r="5555" spans="1:6" x14ac:dyDescent="0.25">
      <c r="A5555" t="s">
        <v>17962</v>
      </c>
      <c r="B5555" t="s">
        <v>17963</v>
      </c>
      <c r="C5555" t="s">
        <v>17964</v>
      </c>
      <c r="D5555" t="s">
        <v>0</v>
      </c>
      <c r="E5555" t="s">
        <v>271</v>
      </c>
      <c r="F5555" t="s">
        <v>436</v>
      </c>
    </row>
    <row r="5556" spans="1:6" x14ac:dyDescent="0.25">
      <c r="A5556" t="s">
        <v>17965</v>
      </c>
      <c r="B5556" t="s">
        <v>17966</v>
      </c>
      <c r="C5556" t="s">
        <v>17967</v>
      </c>
      <c r="D5556" t="s">
        <v>1019</v>
      </c>
      <c r="E5556" t="s">
        <v>271</v>
      </c>
      <c r="F5556" t="s">
        <v>1018</v>
      </c>
    </row>
    <row r="5557" spans="1:6" x14ac:dyDescent="0.25">
      <c r="A5557" t="s">
        <v>17968</v>
      </c>
      <c r="B5557" t="s">
        <v>17969</v>
      </c>
      <c r="C5557" t="s">
        <v>17970</v>
      </c>
      <c r="D5557" t="s">
        <v>1186</v>
      </c>
      <c r="E5557" t="s">
        <v>271</v>
      </c>
      <c r="F5557" t="s">
        <v>1185</v>
      </c>
    </row>
    <row r="5558" spans="1:6" x14ac:dyDescent="0.25">
      <c r="A5558" t="s">
        <v>17971</v>
      </c>
      <c r="B5558" t="s">
        <v>17972</v>
      </c>
      <c r="C5558" t="s">
        <v>17973</v>
      </c>
      <c r="D5558" t="s">
        <v>312</v>
      </c>
      <c r="E5558" t="s">
        <v>271</v>
      </c>
      <c r="F5558" t="s">
        <v>311</v>
      </c>
    </row>
    <row r="5559" spans="1:6" x14ac:dyDescent="0.25">
      <c r="A5559" t="s">
        <v>17974</v>
      </c>
      <c r="B5559" t="s">
        <v>17975</v>
      </c>
      <c r="C5559" t="s">
        <v>13954</v>
      </c>
      <c r="D5559" t="s">
        <v>0</v>
      </c>
      <c r="E5559" t="s">
        <v>271</v>
      </c>
      <c r="F5559" t="s">
        <v>1115</v>
      </c>
    </row>
    <row r="5560" spans="1:6" x14ac:dyDescent="0.25">
      <c r="A5560" t="s">
        <v>3273</v>
      </c>
      <c r="B5560" t="s">
        <v>3274</v>
      </c>
      <c r="C5560" t="s">
        <v>3276</v>
      </c>
      <c r="D5560" t="s">
        <v>986</v>
      </c>
      <c r="E5560" t="s">
        <v>271</v>
      </c>
      <c r="F5560" t="s">
        <v>3275</v>
      </c>
    </row>
    <row r="5561" spans="1:6" x14ac:dyDescent="0.25">
      <c r="A5561" t="s">
        <v>17976</v>
      </c>
      <c r="B5561" t="s">
        <v>17977</v>
      </c>
      <c r="C5561" t="s">
        <v>17978</v>
      </c>
      <c r="D5561" t="s">
        <v>0</v>
      </c>
      <c r="E5561" t="s">
        <v>271</v>
      </c>
      <c r="F5561" t="s">
        <v>809</v>
      </c>
    </row>
    <row r="5562" spans="1:6" x14ac:dyDescent="0.25">
      <c r="A5562" t="s">
        <v>17979</v>
      </c>
      <c r="B5562" t="s">
        <v>17980</v>
      </c>
      <c r="C5562" t="s">
        <v>17981</v>
      </c>
      <c r="D5562" t="s">
        <v>2116</v>
      </c>
      <c r="E5562" t="s">
        <v>271</v>
      </c>
      <c r="F5562" t="s">
        <v>2115</v>
      </c>
    </row>
    <row r="5563" spans="1:6" x14ac:dyDescent="0.25">
      <c r="A5563" t="s">
        <v>17982</v>
      </c>
      <c r="B5563" t="s">
        <v>17983</v>
      </c>
      <c r="C5563" t="s">
        <v>17984</v>
      </c>
      <c r="D5563" t="s">
        <v>2009</v>
      </c>
      <c r="E5563" t="s">
        <v>271</v>
      </c>
      <c r="F5563" t="s">
        <v>2008</v>
      </c>
    </row>
    <row r="5564" spans="1:6" x14ac:dyDescent="0.25">
      <c r="A5564" t="s">
        <v>17985</v>
      </c>
      <c r="B5564" t="s">
        <v>17986</v>
      </c>
      <c r="C5564" t="s">
        <v>4476</v>
      </c>
      <c r="D5564" t="s">
        <v>540</v>
      </c>
      <c r="E5564" t="s">
        <v>271</v>
      </c>
      <c r="F5564" t="s">
        <v>339</v>
      </c>
    </row>
    <row r="5565" spans="1:6" x14ac:dyDescent="0.25">
      <c r="A5565" t="s">
        <v>17987</v>
      </c>
      <c r="B5565" t="s">
        <v>17988</v>
      </c>
      <c r="C5565" t="s">
        <v>17989</v>
      </c>
      <c r="D5565" t="s">
        <v>1079</v>
      </c>
      <c r="E5565" t="s">
        <v>271</v>
      </c>
      <c r="F5565" t="s">
        <v>1747</v>
      </c>
    </row>
    <row r="5566" spans="1:6" x14ac:dyDescent="0.25">
      <c r="A5566" t="s">
        <v>1769</v>
      </c>
      <c r="B5566" t="s">
        <v>1770</v>
      </c>
      <c r="C5566" t="s">
        <v>1771</v>
      </c>
      <c r="D5566" t="s">
        <v>0</v>
      </c>
      <c r="E5566" t="s">
        <v>271</v>
      </c>
      <c r="F5566" t="s">
        <v>323</v>
      </c>
    </row>
    <row r="5567" spans="1:6" x14ac:dyDescent="0.25">
      <c r="A5567" t="s">
        <v>3644</v>
      </c>
      <c r="B5567" t="s">
        <v>3645</v>
      </c>
      <c r="C5567" t="s">
        <v>3646</v>
      </c>
      <c r="D5567" t="s">
        <v>492</v>
      </c>
      <c r="E5567" t="s">
        <v>271</v>
      </c>
      <c r="F5567" t="s">
        <v>493</v>
      </c>
    </row>
    <row r="5568" spans="1:6" x14ac:dyDescent="0.25">
      <c r="A5568" t="s">
        <v>2758</v>
      </c>
      <c r="B5568" t="s">
        <v>2759</v>
      </c>
      <c r="C5568" t="s">
        <v>2760</v>
      </c>
      <c r="D5568" t="s">
        <v>2493</v>
      </c>
      <c r="E5568" t="s">
        <v>271</v>
      </c>
      <c r="F5568" t="s">
        <v>2492</v>
      </c>
    </row>
    <row r="5569" spans="1:6" x14ac:dyDescent="0.25">
      <c r="A5569" t="s">
        <v>910</v>
      </c>
      <c r="B5569" t="s">
        <v>911</v>
      </c>
      <c r="C5569" t="s">
        <v>912</v>
      </c>
      <c r="D5569" t="s">
        <v>340</v>
      </c>
      <c r="E5569" t="s">
        <v>271</v>
      </c>
      <c r="F5569" t="s">
        <v>317</v>
      </c>
    </row>
    <row r="5570" spans="1:6" x14ac:dyDescent="0.25">
      <c r="A5570" t="s">
        <v>17990</v>
      </c>
      <c r="B5570" t="s">
        <v>17991</v>
      </c>
      <c r="C5570" t="s">
        <v>17992</v>
      </c>
      <c r="D5570" t="s">
        <v>9267</v>
      </c>
      <c r="E5570" t="s">
        <v>271</v>
      </c>
      <c r="F5570" t="s">
        <v>3332</v>
      </c>
    </row>
    <row r="5571" spans="1:6" x14ac:dyDescent="0.25">
      <c r="A5571" t="s">
        <v>17993</v>
      </c>
      <c r="B5571" t="s">
        <v>17994</v>
      </c>
      <c r="C5571" t="s">
        <v>17995</v>
      </c>
      <c r="D5571" t="s">
        <v>239</v>
      </c>
      <c r="E5571" t="s">
        <v>271</v>
      </c>
      <c r="F5571" t="s">
        <v>544</v>
      </c>
    </row>
    <row r="5572" spans="1:6" x14ac:dyDescent="0.25">
      <c r="A5572" t="s">
        <v>17996</v>
      </c>
      <c r="B5572" t="s">
        <v>17997</v>
      </c>
      <c r="C5572" t="s">
        <v>17998</v>
      </c>
      <c r="D5572" t="s">
        <v>4089</v>
      </c>
      <c r="E5572" t="s">
        <v>271</v>
      </c>
      <c r="F5572" t="s">
        <v>480</v>
      </c>
    </row>
    <row r="5573" spans="1:6" x14ac:dyDescent="0.25">
      <c r="A5573" t="s">
        <v>1241</v>
      </c>
      <c r="B5573" t="s">
        <v>1242</v>
      </c>
      <c r="C5573" t="s">
        <v>1245</v>
      </c>
      <c r="D5573" t="s">
        <v>1244</v>
      </c>
      <c r="E5573" t="s">
        <v>271</v>
      </c>
      <c r="F5573" t="s">
        <v>1243</v>
      </c>
    </row>
    <row r="5574" spans="1:6" x14ac:dyDescent="0.25">
      <c r="A5574" t="s">
        <v>17999</v>
      </c>
      <c r="B5574" t="s">
        <v>18000</v>
      </c>
      <c r="C5574" t="s">
        <v>18001</v>
      </c>
      <c r="D5574" t="s">
        <v>1019</v>
      </c>
      <c r="E5574" t="s">
        <v>271</v>
      </c>
      <c r="F5574" t="s">
        <v>1018</v>
      </c>
    </row>
    <row r="5575" spans="1:6" x14ac:dyDescent="0.25">
      <c r="A5575" t="s">
        <v>18002</v>
      </c>
      <c r="B5575" t="s">
        <v>18003</v>
      </c>
      <c r="C5575" t="s">
        <v>18004</v>
      </c>
      <c r="D5575" t="s">
        <v>2940</v>
      </c>
      <c r="E5575" t="s">
        <v>271</v>
      </c>
      <c r="F5575" t="s">
        <v>2939</v>
      </c>
    </row>
    <row r="5576" spans="1:6" x14ac:dyDescent="0.25">
      <c r="A5576" t="s">
        <v>2916</v>
      </c>
      <c r="B5576" t="s">
        <v>2917</v>
      </c>
      <c r="C5576" t="s">
        <v>2918</v>
      </c>
      <c r="D5576" t="s">
        <v>0</v>
      </c>
      <c r="E5576" t="s">
        <v>271</v>
      </c>
      <c r="F5576" t="s">
        <v>562</v>
      </c>
    </row>
    <row r="5577" spans="1:6" x14ac:dyDescent="0.25">
      <c r="A5577" t="s">
        <v>18005</v>
      </c>
      <c r="B5577" t="s">
        <v>18006</v>
      </c>
      <c r="C5577" t="s">
        <v>18007</v>
      </c>
      <c r="D5577" t="s">
        <v>547</v>
      </c>
      <c r="E5577" t="s">
        <v>271</v>
      </c>
      <c r="F5577" t="s">
        <v>428</v>
      </c>
    </row>
    <row r="5578" spans="1:6" x14ac:dyDescent="0.25">
      <c r="A5578" t="s">
        <v>18008</v>
      </c>
      <c r="B5578" t="s">
        <v>18009</v>
      </c>
      <c r="C5578" t="s">
        <v>18010</v>
      </c>
      <c r="D5578" t="s">
        <v>450</v>
      </c>
      <c r="E5578" t="s">
        <v>271</v>
      </c>
      <c r="F5578" t="s">
        <v>326</v>
      </c>
    </row>
    <row r="5579" spans="1:6" x14ac:dyDescent="0.25">
      <c r="A5579" t="s">
        <v>2449</v>
      </c>
      <c r="B5579" t="s">
        <v>2450</v>
      </c>
      <c r="C5579" t="s">
        <v>2451</v>
      </c>
      <c r="D5579" t="s">
        <v>0</v>
      </c>
      <c r="E5579" t="s">
        <v>271</v>
      </c>
      <c r="F5579" t="s">
        <v>1180</v>
      </c>
    </row>
    <row r="5580" spans="1:6" x14ac:dyDescent="0.25">
      <c r="A5580" t="s">
        <v>18011</v>
      </c>
      <c r="B5580" t="s">
        <v>18012</v>
      </c>
      <c r="C5580" t="s">
        <v>18013</v>
      </c>
      <c r="D5580" t="s">
        <v>0</v>
      </c>
      <c r="E5580" t="s">
        <v>271</v>
      </c>
      <c r="F5580" t="s">
        <v>431</v>
      </c>
    </row>
    <row r="5581" spans="1:6" x14ac:dyDescent="0.25">
      <c r="A5581" t="s">
        <v>18014</v>
      </c>
      <c r="B5581" t="s">
        <v>18015</v>
      </c>
      <c r="C5581" t="s">
        <v>18016</v>
      </c>
      <c r="D5581" t="s">
        <v>1485</v>
      </c>
      <c r="E5581" t="s">
        <v>271</v>
      </c>
      <c r="F5581" t="s">
        <v>1519</v>
      </c>
    </row>
    <row r="5582" spans="1:6" x14ac:dyDescent="0.25">
      <c r="A5582" t="s">
        <v>18017</v>
      </c>
      <c r="B5582" t="s">
        <v>18018</v>
      </c>
      <c r="C5582" t="s">
        <v>18019</v>
      </c>
      <c r="D5582" t="s">
        <v>0</v>
      </c>
      <c r="E5582" t="s">
        <v>271</v>
      </c>
      <c r="F5582" t="s">
        <v>1141</v>
      </c>
    </row>
    <row r="5583" spans="1:6" x14ac:dyDescent="0.25">
      <c r="A5583" t="s">
        <v>18020</v>
      </c>
      <c r="B5583" t="s">
        <v>18021</v>
      </c>
      <c r="C5583" t="s">
        <v>18022</v>
      </c>
      <c r="D5583" t="s">
        <v>1165</v>
      </c>
      <c r="E5583" t="s">
        <v>271</v>
      </c>
      <c r="F5583" t="s">
        <v>1402</v>
      </c>
    </row>
    <row r="5584" spans="1:6" x14ac:dyDescent="0.25">
      <c r="A5584" t="s">
        <v>1016</v>
      </c>
      <c r="B5584" t="s">
        <v>1017</v>
      </c>
      <c r="C5584" t="s">
        <v>1020</v>
      </c>
      <c r="D5584" t="s">
        <v>1019</v>
      </c>
      <c r="E5584" t="s">
        <v>271</v>
      </c>
      <c r="F5584" t="s">
        <v>1018</v>
      </c>
    </row>
    <row r="5585" spans="1:6" x14ac:dyDescent="0.25">
      <c r="A5585" t="s">
        <v>2294</v>
      </c>
      <c r="B5585" t="s">
        <v>2295</v>
      </c>
      <c r="C5585" t="s">
        <v>2296</v>
      </c>
      <c r="D5585" t="s">
        <v>1548</v>
      </c>
      <c r="E5585" t="s">
        <v>271</v>
      </c>
      <c r="F5585" t="s">
        <v>1547</v>
      </c>
    </row>
    <row r="5586" spans="1:6" x14ac:dyDescent="0.25">
      <c r="A5586" t="s">
        <v>18023</v>
      </c>
      <c r="B5586" t="s">
        <v>18024</v>
      </c>
      <c r="C5586" t="s">
        <v>18025</v>
      </c>
      <c r="D5586" t="s">
        <v>0</v>
      </c>
      <c r="E5586" t="s">
        <v>271</v>
      </c>
      <c r="F5586" t="s">
        <v>2377</v>
      </c>
    </row>
    <row r="5587" spans="1:6" x14ac:dyDescent="0.25">
      <c r="A5587" t="s">
        <v>18026</v>
      </c>
      <c r="B5587" t="s">
        <v>5646</v>
      </c>
      <c r="C5587" t="s">
        <v>5647</v>
      </c>
      <c r="D5587" t="s">
        <v>0</v>
      </c>
      <c r="E5587" t="s">
        <v>271</v>
      </c>
      <c r="F5587" t="s">
        <v>323</v>
      </c>
    </row>
    <row r="5588" spans="1:6" x14ac:dyDescent="0.25">
      <c r="A5588" t="s">
        <v>3060</v>
      </c>
      <c r="B5588" t="s">
        <v>3061</v>
      </c>
      <c r="C5588" t="s">
        <v>3062</v>
      </c>
      <c r="D5588" t="s">
        <v>1920</v>
      </c>
      <c r="E5588" t="s">
        <v>271</v>
      </c>
      <c r="F5588" t="s">
        <v>1919</v>
      </c>
    </row>
    <row r="5589" spans="1:6" x14ac:dyDescent="0.25">
      <c r="A5589" t="s">
        <v>18027</v>
      </c>
      <c r="B5589" t="s">
        <v>18028</v>
      </c>
      <c r="C5589" t="s">
        <v>7401</v>
      </c>
      <c r="D5589" t="s">
        <v>0</v>
      </c>
      <c r="E5589" t="s">
        <v>271</v>
      </c>
      <c r="F5589" t="s">
        <v>1141</v>
      </c>
    </row>
    <row r="5590" spans="1:6" x14ac:dyDescent="0.25">
      <c r="A5590" t="s">
        <v>18029</v>
      </c>
      <c r="B5590" t="s">
        <v>18030</v>
      </c>
      <c r="C5590" t="s">
        <v>18031</v>
      </c>
      <c r="D5590" t="s">
        <v>363</v>
      </c>
      <c r="E5590" t="s">
        <v>271</v>
      </c>
      <c r="F5590" t="s">
        <v>364</v>
      </c>
    </row>
    <row r="5591" spans="1:6" x14ac:dyDescent="0.25">
      <c r="A5591" t="s">
        <v>18032</v>
      </c>
      <c r="B5591" t="s">
        <v>18033</v>
      </c>
      <c r="C5591" t="s">
        <v>12024</v>
      </c>
      <c r="D5591" t="s">
        <v>1542</v>
      </c>
      <c r="E5591" t="s">
        <v>269</v>
      </c>
      <c r="F5591" t="s">
        <v>1541</v>
      </c>
    </row>
    <row r="5592" spans="1:6" x14ac:dyDescent="0.25">
      <c r="A5592" t="s">
        <v>18034</v>
      </c>
      <c r="B5592" t="s">
        <v>18035</v>
      </c>
      <c r="C5592" t="s">
        <v>18036</v>
      </c>
      <c r="D5592" t="s">
        <v>267</v>
      </c>
      <c r="E5592" t="s">
        <v>271</v>
      </c>
      <c r="F5592" t="s">
        <v>480</v>
      </c>
    </row>
    <row r="5593" spans="1:6" x14ac:dyDescent="0.25">
      <c r="A5593" t="s">
        <v>18037</v>
      </c>
      <c r="B5593" t="s">
        <v>18038</v>
      </c>
      <c r="C5593" t="s">
        <v>18039</v>
      </c>
      <c r="D5593" t="s">
        <v>0</v>
      </c>
      <c r="E5593" t="s">
        <v>271</v>
      </c>
      <c r="F5593" t="s">
        <v>1321</v>
      </c>
    </row>
    <row r="5594" spans="1:6" x14ac:dyDescent="0.25">
      <c r="A5594" t="s">
        <v>18040</v>
      </c>
      <c r="B5594" t="s">
        <v>18041</v>
      </c>
      <c r="C5594" t="s">
        <v>18042</v>
      </c>
      <c r="D5594" t="s">
        <v>1079</v>
      </c>
      <c r="E5594" t="s">
        <v>271</v>
      </c>
      <c r="F5594" t="s">
        <v>3880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4FE13-4E13-4369-8FE1-B4D81A483432}">
  <sheetPr codeName="Sheet22"/>
  <dimension ref="A1:F137"/>
  <sheetViews>
    <sheetView workbookViewId="0">
      <selection sqref="A1:XFD1048576"/>
    </sheetView>
  </sheetViews>
  <sheetFormatPr defaultRowHeight="15" x14ac:dyDescent="0.25"/>
  <cols>
    <col min="1" max="1" width="31.42578125" bestFit="1" customWidth="1"/>
    <col min="2" max="2" width="10.28515625" bestFit="1" customWidth="1"/>
    <col min="3" max="3" width="33.42578125" bestFit="1" customWidth="1"/>
    <col min="4" max="4" width="32.28515625" bestFit="1" customWidth="1"/>
    <col min="5" max="5" width="36.85546875" bestFit="1" customWidth="1"/>
    <col min="6" max="6" width="14.5703125" bestFit="1" customWidth="1"/>
  </cols>
  <sheetData>
    <row r="1" spans="1:6" x14ac:dyDescent="0.25">
      <c r="A1" s="21" t="s">
        <v>206</v>
      </c>
      <c r="B1" s="21" t="s">
        <v>205</v>
      </c>
      <c r="C1" s="21" t="s">
        <v>4374</v>
      </c>
      <c r="D1" s="21" t="s">
        <v>4375</v>
      </c>
      <c r="E1" s="21" t="s">
        <v>4376</v>
      </c>
      <c r="F1" s="21" t="s">
        <v>4377</v>
      </c>
    </row>
    <row r="2" spans="1:6" x14ac:dyDescent="0.25">
      <c r="A2" t="s">
        <v>3824</v>
      </c>
      <c r="B2" t="s">
        <v>3823</v>
      </c>
      <c r="C2">
        <v>6135.7703836729997</v>
      </c>
      <c r="D2">
        <v>5772.2373493960004</v>
      </c>
      <c r="E2">
        <v>2255.4566214000001</v>
      </c>
      <c r="F2">
        <v>64</v>
      </c>
    </row>
    <row r="3" spans="1:6" x14ac:dyDescent="0.25">
      <c r="A3" t="s">
        <v>4327</v>
      </c>
      <c r="B3" t="s">
        <v>4326</v>
      </c>
      <c r="C3">
        <v>4650.9416396480001</v>
      </c>
      <c r="D3">
        <v>5235.6355434569996</v>
      </c>
      <c r="E3">
        <v>2461.6615553920001</v>
      </c>
      <c r="F3">
        <v>58</v>
      </c>
    </row>
    <row r="4" spans="1:6" x14ac:dyDescent="0.25">
      <c r="A4" t="s">
        <v>4075</v>
      </c>
      <c r="B4" t="s">
        <v>4074</v>
      </c>
      <c r="C4">
        <v>4947.5842480769998</v>
      </c>
      <c r="D4">
        <v>4312.6394252370001</v>
      </c>
      <c r="E4">
        <v>1816.378527887</v>
      </c>
      <c r="F4">
        <v>49</v>
      </c>
    </row>
    <row r="5" spans="1:6" x14ac:dyDescent="0.25">
      <c r="A5" t="s">
        <v>4276</v>
      </c>
      <c r="B5" t="s">
        <v>4275</v>
      </c>
      <c r="C5">
        <v>3823.4084535040001</v>
      </c>
      <c r="D5">
        <v>4001.698599501</v>
      </c>
      <c r="E5">
        <v>1690.7706647319999</v>
      </c>
      <c r="F5">
        <v>54</v>
      </c>
    </row>
    <row r="6" spans="1:6" x14ac:dyDescent="0.25">
      <c r="A6" t="s">
        <v>4224</v>
      </c>
      <c r="B6" t="s">
        <v>4223</v>
      </c>
      <c r="C6">
        <v>3222.6721050040001</v>
      </c>
      <c r="D6">
        <v>3470.0048675500002</v>
      </c>
      <c r="E6">
        <v>1475.0617324150001</v>
      </c>
      <c r="F6">
        <v>49</v>
      </c>
    </row>
    <row r="7" spans="1:6" x14ac:dyDescent="0.25">
      <c r="A7" t="s">
        <v>3970</v>
      </c>
      <c r="B7" t="s">
        <v>3969</v>
      </c>
      <c r="C7">
        <v>6558.9446463140002</v>
      </c>
      <c r="D7">
        <v>7506.678174359</v>
      </c>
      <c r="E7">
        <v>2997.4771891800001</v>
      </c>
      <c r="F7">
        <v>58</v>
      </c>
    </row>
    <row r="8" spans="1:6" x14ac:dyDescent="0.25">
      <c r="A8" t="s">
        <v>4065</v>
      </c>
      <c r="B8" t="s">
        <v>4064</v>
      </c>
      <c r="C8">
        <v>2510.1327094990002</v>
      </c>
      <c r="D8">
        <v>2477.2307468039999</v>
      </c>
      <c r="E8">
        <v>1183.648768237</v>
      </c>
      <c r="F8">
        <v>25</v>
      </c>
    </row>
    <row r="9" spans="1:6" x14ac:dyDescent="0.25">
      <c r="A9" t="s">
        <v>3893</v>
      </c>
      <c r="B9" t="s">
        <v>3892</v>
      </c>
      <c r="C9">
        <v>3479.6936027870001</v>
      </c>
      <c r="D9">
        <v>3895.9009736339999</v>
      </c>
      <c r="E9">
        <v>1592.359683481</v>
      </c>
      <c r="F9">
        <v>10.666666666999999</v>
      </c>
    </row>
    <row r="10" spans="1:6" x14ac:dyDescent="0.25">
      <c r="A10" t="s">
        <v>4093</v>
      </c>
      <c r="B10" t="s">
        <v>4092</v>
      </c>
      <c r="C10">
        <v>5227.7237253740004</v>
      </c>
      <c r="D10">
        <v>5953.2734147000001</v>
      </c>
      <c r="E10">
        <v>2508.1659430019999</v>
      </c>
      <c r="F10">
        <v>56</v>
      </c>
    </row>
    <row r="11" spans="1:6" x14ac:dyDescent="0.25">
      <c r="A11" t="s">
        <v>3843</v>
      </c>
      <c r="B11" t="s">
        <v>3842</v>
      </c>
      <c r="C11">
        <v>11545.922752979999</v>
      </c>
      <c r="D11">
        <v>10488.800827075</v>
      </c>
      <c r="E11">
        <v>4600.7779309460002</v>
      </c>
      <c r="F11">
        <v>100</v>
      </c>
    </row>
    <row r="12" spans="1:6" x14ac:dyDescent="0.25">
      <c r="A12" t="s">
        <v>4120</v>
      </c>
      <c r="B12" t="s">
        <v>4119</v>
      </c>
      <c r="C12">
        <v>7275.1850364029997</v>
      </c>
      <c r="D12">
        <v>6431.000419043</v>
      </c>
      <c r="E12">
        <v>3213.650475595</v>
      </c>
      <c r="F12">
        <v>70</v>
      </c>
    </row>
    <row r="13" spans="1:6" x14ac:dyDescent="0.25">
      <c r="A13" t="s">
        <v>4016</v>
      </c>
      <c r="B13" t="s">
        <v>4015</v>
      </c>
      <c r="C13">
        <v>3324.1281548679999</v>
      </c>
      <c r="D13">
        <v>2915.1593392619998</v>
      </c>
      <c r="E13">
        <v>1438.2060404470001</v>
      </c>
      <c r="F13">
        <v>51</v>
      </c>
    </row>
    <row r="14" spans="1:6" x14ac:dyDescent="0.25">
      <c r="A14" t="s">
        <v>4362</v>
      </c>
      <c r="B14" t="s">
        <v>4361</v>
      </c>
      <c r="C14">
        <v>3427.0493211930002</v>
      </c>
      <c r="D14">
        <v>3205.965390934</v>
      </c>
      <c r="E14">
        <v>1262.8718310039999</v>
      </c>
      <c r="F14">
        <v>45</v>
      </c>
    </row>
    <row r="15" spans="1:6" x14ac:dyDescent="0.25">
      <c r="A15" t="s">
        <v>4233</v>
      </c>
      <c r="B15" t="s">
        <v>4232</v>
      </c>
      <c r="C15">
        <v>4582.3400254529997</v>
      </c>
      <c r="D15">
        <v>4477.9803197789997</v>
      </c>
      <c r="E15">
        <v>1787.970894325</v>
      </c>
      <c r="F15">
        <v>55</v>
      </c>
    </row>
    <row r="16" spans="1:6" x14ac:dyDescent="0.25">
      <c r="A16" t="s">
        <v>4087</v>
      </c>
      <c r="B16" t="s">
        <v>4086</v>
      </c>
      <c r="C16">
        <v>5670.7345475359998</v>
      </c>
      <c r="D16">
        <v>4488.6889186159997</v>
      </c>
      <c r="E16">
        <v>1935.8399071040001</v>
      </c>
      <c r="F16">
        <v>54</v>
      </c>
    </row>
    <row r="17" spans="1:6" x14ac:dyDescent="0.25">
      <c r="A17" t="s">
        <v>4354</v>
      </c>
      <c r="B17" t="s">
        <v>4353</v>
      </c>
      <c r="C17">
        <v>9588.5659497929992</v>
      </c>
      <c r="D17">
        <v>11291.09597083</v>
      </c>
      <c r="E17">
        <v>4729.0713131319999</v>
      </c>
      <c r="F17">
        <v>103</v>
      </c>
    </row>
    <row r="18" spans="1:6" x14ac:dyDescent="0.25">
      <c r="A18" t="s">
        <v>4334</v>
      </c>
      <c r="B18" t="s">
        <v>4333</v>
      </c>
      <c r="C18">
        <v>18348.475226768001</v>
      </c>
      <c r="D18">
        <v>19699.098491414999</v>
      </c>
      <c r="E18">
        <v>8789.1881830660004</v>
      </c>
      <c r="F18">
        <v>107.5</v>
      </c>
    </row>
    <row r="19" spans="1:6" x14ac:dyDescent="0.25">
      <c r="A19" t="s">
        <v>3889</v>
      </c>
      <c r="B19" t="s">
        <v>3888</v>
      </c>
      <c r="C19">
        <v>2858.4485436559999</v>
      </c>
      <c r="D19">
        <v>3415.9095447449999</v>
      </c>
      <c r="E19">
        <v>1294.9844970619999</v>
      </c>
      <c r="F19">
        <v>43</v>
      </c>
    </row>
    <row r="20" spans="1:6" x14ac:dyDescent="0.25">
      <c r="A20" t="s">
        <v>4313</v>
      </c>
      <c r="B20" t="s">
        <v>4312</v>
      </c>
      <c r="C20">
        <v>2492.4878713399999</v>
      </c>
      <c r="D20">
        <v>2346.3294516870001</v>
      </c>
      <c r="E20">
        <v>1282.2179618089999</v>
      </c>
      <c r="F20">
        <v>49</v>
      </c>
    </row>
    <row r="21" spans="1:6" x14ac:dyDescent="0.25">
      <c r="A21" t="s">
        <v>3934</v>
      </c>
      <c r="B21" t="s">
        <v>3933</v>
      </c>
      <c r="C21">
        <v>8601.1437017959997</v>
      </c>
      <c r="D21">
        <v>8938.6662436919996</v>
      </c>
      <c r="E21">
        <v>4448.7240816289996</v>
      </c>
      <c r="F21">
        <v>111</v>
      </c>
    </row>
    <row r="22" spans="1:6" x14ac:dyDescent="0.25">
      <c r="A22" t="s">
        <v>3961</v>
      </c>
      <c r="B22" t="s">
        <v>3960</v>
      </c>
      <c r="C22">
        <v>7615.3008049350001</v>
      </c>
      <c r="D22">
        <v>11124.043300265001</v>
      </c>
      <c r="E22">
        <v>5097.7496516179999</v>
      </c>
      <c r="F22">
        <v>54</v>
      </c>
    </row>
    <row r="23" spans="1:6" x14ac:dyDescent="0.25">
      <c r="A23" t="s">
        <v>3850</v>
      </c>
      <c r="B23" t="s">
        <v>3849</v>
      </c>
      <c r="C23">
        <v>4166.636152178</v>
      </c>
      <c r="D23">
        <v>3410.610218027</v>
      </c>
      <c r="E23">
        <v>1474.3893102889999</v>
      </c>
      <c r="F23">
        <v>48</v>
      </c>
    </row>
    <row r="24" spans="1:6" x14ac:dyDescent="0.25">
      <c r="A24" t="s">
        <v>3945</v>
      </c>
      <c r="B24" t="s">
        <v>3944</v>
      </c>
      <c r="C24">
        <v>6441.8252130689998</v>
      </c>
      <c r="D24">
        <v>8212.0526399900009</v>
      </c>
      <c r="E24">
        <v>3785.5553036000001</v>
      </c>
      <c r="F24">
        <v>50</v>
      </c>
    </row>
    <row r="25" spans="1:6" x14ac:dyDescent="0.25">
      <c r="A25" t="s">
        <v>3784</v>
      </c>
      <c r="B25" t="s">
        <v>3783</v>
      </c>
      <c r="C25">
        <v>2799.7079806420002</v>
      </c>
      <c r="D25">
        <v>4219.8122069860001</v>
      </c>
      <c r="E25">
        <v>2041.1976149770001</v>
      </c>
      <c r="F25">
        <v>46</v>
      </c>
    </row>
    <row r="26" spans="1:6" x14ac:dyDescent="0.25">
      <c r="A26" t="s">
        <v>4052</v>
      </c>
      <c r="B26" t="s">
        <v>4051</v>
      </c>
      <c r="C26">
        <v>12744.198981595</v>
      </c>
      <c r="D26">
        <v>17187.619407278999</v>
      </c>
      <c r="E26">
        <v>8420.69742262</v>
      </c>
      <c r="F26">
        <v>175</v>
      </c>
    </row>
    <row r="27" spans="1:6" x14ac:dyDescent="0.25">
      <c r="A27" t="s">
        <v>4217</v>
      </c>
      <c r="B27" t="s">
        <v>4216</v>
      </c>
      <c r="C27">
        <v>3634.2217669199999</v>
      </c>
      <c r="D27">
        <v>3435.326521252</v>
      </c>
      <c r="E27">
        <v>1564.3578271629999</v>
      </c>
      <c r="F27">
        <v>35</v>
      </c>
    </row>
    <row r="28" spans="1:6" x14ac:dyDescent="0.25">
      <c r="A28" t="s">
        <v>257</v>
      </c>
      <c r="B28" t="s">
        <v>4346</v>
      </c>
      <c r="C28">
        <v>6382.4847699149996</v>
      </c>
      <c r="D28">
        <v>5696.7199001620002</v>
      </c>
      <c r="E28">
        <v>2388.516111332</v>
      </c>
      <c r="F28">
        <v>93</v>
      </c>
    </row>
    <row r="29" spans="1:6" x14ac:dyDescent="0.25">
      <c r="A29" t="s">
        <v>3974</v>
      </c>
      <c r="B29" t="s">
        <v>3973</v>
      </c>
      <c r="C29">
        <v>5219.6537497930003</v>
      </c>
      <c r="D29">
        <v>5584.6855730879997</v>
      </c>
      <c r="E29">
        <v>2323.8914493329999</v>
      </c>
      <c r="F29">
        <v>83</v>
      </c>
    </row>
    <row r="30" spans="1:6" x14ac:dyDescent="0.25">
      <c r="A30" t="s">
        <v>4128</v>
      </c>
      <c r="B30" t="s">
        <v>4127</v>
      </c>
      <c r="C30">
        <v>2903.5465903290001</v>
      </c>
      <c r="D30">
        <v>2993.484266815</v>
      </c>
      <c r="E30">
        <v>1371.934222614</v>
      </c>
      <c r="F30">
        <v>22</v>
      </c>
    </row>
    <row r="31" spans="1:6" x14ac:dyDescent="0.25">
      <c r="A31" t="s">
        <v>4261</v>
      </c>
      <c r="B31" t="s">
        <v>4260</v>
      </c>
      <c r="C31">
        <v>4177.0125770209997</v>
      </c>
      <c r="D31">
        <v>6009.0851118809996</v>
      </c>
      <c r="E31">
        <v>2711.8205653579998</v>
      </c>
      <c r="F31">
        <v>70</v>
      </c>
    </row>
    <row r="32" spans="1:6" x14ac:dyDescent="0.25">
      <c r="A32" t="s">
        <v>3906</v>
      </c>
      <c r="B32" t="s">
        <v>3905</v>
      </c>
      <c r="C32">
        <v>4084.6620234980001</v>
      </c>
      <c r="D32">
        <v>3051.7642735670001</v>
      </c>
      <c r="E32">
        <v>1582.574438976</v>
      </c>
      <c r="F32">
        <v>39</v>
      </c>
    </row>
    <row r="33" spans="1:6" x14ac:dyDescent="0.25">
      <c r="A33" t="s">
        <v>4103</v>
      </c>
      <c r="B33" t="s">
        <v>4102</v>
      </c>
      <c r="C33">
        <v>52962.1349692</v>
      </c>
      <c r="D33">
        <v>22285.454093155</v>
      </c>
      <c r="E33">
        <v>9596.6053759330007</v>
      </c>
      <c r="F33">
        <v>110</v>
      </c>
    </row>
    <row r="34" spans="1:6" x14ac:dyDescent="0.25">
      <c r="A34" t="s">
        <v>4331</v>
      </c>
      <c r="B34" t="s">
        <v>4330</v>
      </c>
      <c r="C34">
        <v>22427.219889648</v>
      </c>
      <c r="D34">
        <v>21264.326222472999</v>
      </c>
      <c r="E34">
        <v>9941.0453669800008</v>
      </c>
      <c r="F34">
        <v>222</v>
      </c>
    </row>
    <row r="35" spans="1:6" x14ac:dyDescent="0.25">
      <c r="A35" t="s">
        <v>4249</v>
      </c>
      <c r="B35" t="s">
        <v>4248</v>
      </c>
      <c r="C35">
        <v>7796.1929330209996</v>
      </c>
      <c r="D35">
        <v>6192.6499054710002</v>
      </c>
      <c r="E35">
        <v>2601.378211789</v>
      </c>
      <c r="F35">
        <v>60</v>
      </c>
    </row>
    <row r="36" spans="1:6" x14ac:dyDescent="0.25">
      <c r="A36" t="s">
        <v>4185</v>
      </c>
      <c r="B36" t="s">
        <v>4184</v>
      </c>
      <c r="C36">
        <v>19234.111194960999</v>
      </c>
      <c r="D36">
        <v>28771.002877736999</v>
      </c>
      <c r="E36">
        <v>11632.268759693001</v>
      </c>
      <c r="F36">
        <v>109</v>
      </c>
    </row>
    <row r="37" spans="1:6" x14ac:dyDescent="0.25">
      <c r="A37" t="s">
        <v>3884</v>
      </c>
      <c r="B37" t="s">
        <v>3883</v>
      </c>
      <c r="C37">
        <v>3960.4848779710001</v>
      </c>
      <c r="D37">
        <v>3408.6452821990001</v>
      </c>
      <c r="E37">
        <v>1419.671026301</v>
      </c>
      <c r="F37">
        <v>49</v>
      </c>
    </row>
    <row r="38" spans="1:6" x14ac:dyDescent="0.25">
      <c r="A38" t="s">
        <v>224</v>
      </c>
      <c r="B38" t="s">
        <v>4324</v>
      </c>
      <c r="C38">
        <v>2670.3748053600002</v>
      </c>
      <c r="D38">
        <v>3226.1539553010002</v>
      </c>
      <c r="E38">
        <v>1578.8954599149999</v>
      </c>
      <c r="F38">
        <v>44</v>
      </c>
    </row>
    <row r="39" spans="1:6" x14ac:dyDescent="0.25">
      <c r="A39" t="s">
        <v>4289</v>
      </c>
      <c r="B39" t="s">
        <v>4288</v>
      </c>
      <c r="C39">
        <v>8795.0911423510006</v>
      </c>
      <c r="D39">
        <v>6198.4546646700001</v>
      </c>
      <c r="E39">
        <v>2740.5151391180002</v>
      </c>
      <c r="F39">
        <v>78</v>
      </c>
    </row>
    <row r="40" spans="1:6" x14ac:dyDescent="0.25">
      <c r="A40" t="s">
        <v>4285</v>
      </c>
      <c r="B40" t="s">
        <v>4284</v>
      </c>
      <c r="C40">
        <v>8406.6078033869999</v>
      </c>
      <c r="D40">
        <v>10894.242203431</v>
      </c>
      <c r="E40">
        <v>5085.4524362359998</v>
      </c>
      <c r="F40">
        <v>71</v>
      </c>
    </row>
    <row r="41" spans="1:6" x14ac:dyDescent="0.25">
      <c r="A41" t="s">
        <v>3878</v>
      </c>
      <c r="B41" t="s">
        <v>3877</v>
      </c>
      <c r="C41">
        <v>1865.0483273069999</v>
      </c>
      <c r="D41">
        <v>1980.7041289589999</v>
      </c>
      <c r="E41">
        <v>860.22273988200004</v>
      </c>
      <c r="F41">
        <v>24</v>
      </c>
    </row>
    <row r="42" spans="1:6" x14ac:dyDescent="0.25">
      <c r="A42" t="s">
        <v>4338</v>
      </c>
      <c r="B42" t="s">
        <v>4337</v>
      </c>
      <c r="C42">
        <v>6380.9913961760003</v>
      </c>
      <c r="D42">
        <v>4453.5729509820003</v>
      </c>
      <c r="E42">
        <v>2063.7726402200001</v>
      </c>
      <c r="F42">
        <v>71</v>
      </c>
    </row>
    <row r="43" spans="1:6" x14ac:dyDescent="0.25">
      <c r="A43" t="s">
        <v>4358</v>
      </c>
      <c r="B43" t="s">
        <v>4357</v>
      </c>
      <c r="C43">
        <v>10331.093674536</v>
      </c>
      <c r="D43">
        <v>9010.7584047529999</v>
      </c>
      <c r="E43">
        <v>4503.9322706140001</v>
      </c>
      <c r="F43">
        <v>103</v>
      </c>
    </row>
    <row r="44" spans="1:6" x14ac:dyDescent="0.25">
      <c r="A44" t="s">
        <v>3839</v>
      </c>
      <c r="B44" t="s">
        <v>3838</v>
      </c>
      <c r="C44">
        <v>5184.0765241090003</v>
      </c>
      <c r="D44">
        <v>6073.5353174510001</v>
      </c>
      <c r="E44">
        <v>2703.7799583599999</v>
      </c>
      <c r="F44">
        <v>63</v>
      </c>
    </row>
    <row r="45" spans="1:6" x14ac:dyDescent="0.25">
      <c r="A45" t="s">
        <v>4207</v>
      </c>
      <c r="B45" t="s">
        <v>4206</v>
      </c>
      <c r="C45">
        <v>7238.6472296399998</v>
      </c>
      <c r="D45">
        <v>9667.2560512159998</v>
      </c>
      <c r="E45">
        <v>4844.1350901189999</v>
      </c>
      <c r="F45">
        <v>55</v>
      </c>
    </row>
    <row r="46" spans="1:6" x14ac:dyDescent="0.25">
      <c r="A46" t="s">
        <v>4032</v>
      </c>
      <c r="B46" t="s">
        <v>4031</v>
      </c>
      <c r="C46">
        <v>35205.551159112998</v>
      </c>
      <c r="D46">
        <v>62659.230738459999</v>
      </c>
      <c r="E46">
        <v>26353.383083241999</v>
      </c>
      <c r="F46">
        <v>252</v>
      </c>
    </row>
    <row r="47" spans="1:6" x14ac:dyDescent="0.25">
      <c r="A47" t="s">
        <v>4156</v>
      </c>
      <c r="B47" t="s">
        <v>4155</v>
      </c>
      <c r="C47">
        <v>11182.994242373999</v>
      </c>
      <c r="D47">
        <v>10999.006933786</v>
      </c>
      <c r="E47">
        <v>4423.678762001</v>
      </c>
      <c r="F47">
        <v>112</v>
      </c>
    </row>
    <row r="48" spans="1:6" x14ac:dyDescent="0.25">
      <c r="A48" t="s">
        <v>257</v>
      </c>
      <c r="B48" t="s">
        <v>4159</v>
      </c>
      <c r="C48">
        <v>5748.6212619380003</v>
      </c>
      <c r="D48">
        <v>4706.1264913129999</v>
      </c>
      <c r="E48">
        <v>1908.5128803160001</v>
      </c>
      <c r="F48">
        <v>100</v>
      </c>
    </row>
    <row r="49" spans="1:6" x14ac:dyDescent="0.25">
      <c r="A49" t="s">
        <v>4212</v>
      </c>
      <c r="B49" t="s">
        <v>4211</v>
      </c>
      <c r="C49">
        <v>9967.6226305559994</v>
      </c>
      <c r="D49">
        <v>13023.955910705001</v>
      </c>
      <c r="E49">
        <v>5546.5222141220002</v>
      </c>
      <c r="F49">
        <v>122</v>
      </c>
    </row>
    <row r="50" spans="1:6" x14ac:dyDescent="0.25">
      <c r="A50" t="s">
        <v>3914</v>
      </c>
      <c r="B50" t="s">
        <v>3913</v>
      </c>
      <c r="C50">
        <v>5327.1297113820001</v>
      </c>
      <c r="D50">
        <v>5480.2643582130004</v>
      </c>
      <c r="E50">
        <v>2571.2535041410001</v>
      </c>
      <c r="F50">
        <v>54</v>
      </c>
    </row>
    <row r="51" spans="1:6" x14ac:dyDescent="0.25">
      <c r="A51" t="s">
        <v>3901</v>
      </c>
      <c r="B51" t="s">
        <v>3900</v>
      </c>
      <c r="C51">
        <v>3788.0219873209999</v>
      </c>
      <c r="D51">
        <v>2530.6240470729999</v>
      </c>
      <c r="E51">
        <v>1104.71830682</v>
      </c>
      <c r="F51">
        <v>50</v>
      </c>
    </row>
    <row r="52" spans="1:6" x14ac:dyDescent="0.25">
      <c r="A52" t="s">
        <v>4152</v>
      </c>
      <c r="B52" t="s">
        <v>4151</v>
      </c>
      <c r="C52">
        <v>12562.160745813</v>
      </c>
      <c r="D52">
        <v>9963.7320287050006</v>
      </c>
      <c r="E52">
        <v>4895.0643592819997</v>
      </c>
      <c r="F52">
        <v>196</v>
      </c>
    </row>
    <row r="53" spans="1:6" x14ac:dyDescent="0.25">
      <c r="A53" t="s">
        <v>3966</v>
      </c>
      <c r="B53" t="s">
        <v>3965</v>
      </c>
      <c r="C53">
        <v>3395.70585394</v>
      </c>
      <c r="D53">
        <v>3400.3542498759998</v>
      </c>
      <c r="E53">
        <v>1542.2668925630001</v>
      </c>
      <c r="F53">
        <v>48</v>
      </c>
    </row>
    <row r="54" spans="1:6" x14ac:dyDescent="0.25">
      <c r="A54" t="s">
        <v>4253</v>
      </c>
      <c r="B54" t="s">
        <v>4252</v>
      </c>
      <c r="C54">
        <v>5186.5238051699998</v>
      </c>
      <c r="D54">
        <v>6618.8143406429999</v>
      </c>
      <c r="E54">
        <v>2818.9221301849998</v>
      </c>
      <c r="F54">
        <v>33</v>
      </c>
    </row>
    <row r="55" spans="1:6" x14ac:dyDescent="0.25">
      <c r="A55" t="s">
        <v>3930</v>
      </c>
      <c r="B55" t="s">
        <v>3929</v>
      </c>
      <c r="C55">
        <v>7802.6871280770001</v>
      </c>
      <c r="D55">
        <v>9000.5979973720005</v>
      </c>
      <c r="E55">
        <v>3735.9721176879998</v>
      </c>
      <c r="F55">
        <v>64</v>
      </c>
    </row>
    <row r="56" spans="1:6" x14ac:dyDescent="0.25">
      <c r="A56" t="s">
        <v>3993</v>
      </c>
      <c r="B56" t="s">
        <v>3992</v>
      </c>
      <c r="C56">
        <v>69613.569796462005</v>
      </c>
      <c r="D56">
        <v>2246.3216302350002</v>
      </c>
      <c r="E56">
        <v>1061.3214309059999</v>
      </c>
      <c r="F56">
        <v>46</v>
      </c>
    </row>
    <row r="57" spans="1:6" x14ac:dyDescent="0.25">
      <c r="A57" t="s">
        <v>4350</v>
      </c>
      <c r="B57" t="s">
        <v>4349</v>
      </c>
      <c r="C57">
        <v>2475.9752687340001</v>
      </c>
      <c r="D57">
        <v>3402.9009444660001</v>
      </c>
      <c r="E57">
        <v>1362.94461265</v>
      </c>
      <c r="F57">
        <v>43</v>
      </c>
    </row>
    <row r="58" spans="1:6" x14ac:dyDescent="0.25">
      <c r="A58" t="s">
        <v>4257</v>
      </c>
      <c r="B58" t="s">
        <v>4256</v>
      </c>
      <c r="C58">
        <v>10673.484259469</v>
      </c>
      <c r="D58">
        <v>7932.1719860530002</v>
      </c>
      <c r="E58">
        <v>3308.8980341360002</v>
      </c>
      <c r="F58">
        <v>91</v>
      </c>
    </row>
    <row r="59" spans="1:6" x14ac:dyDescent="0.25">
      <c r="A59" t="s">
        <v>4245</v>
      </c>
      <c r="B59" t="s">
        <v>4244</v>
      </c>
      <c r="C59">
        <v>10466.961507</v>
      </c>
      <c r="D59">
        <v>4439.6022787069996</v>
      </c>
      <c r="E59">
        <v>1986.536409072</v>
      </c>
      <c r="F59">
        <v>71</v>
      </c>
    </row>
    <row r="60" spans="1:6" x14ac:dyDescent="0.25">
      <c r="A60" t="s">
        <v>4321</v>
      </c>
      <c r="B60" t="s">
        <v>4320</v>
      </c>
      <c r="C60">
        <v>11894.537292645</v>
      </c>
      <c r="D60">
        <v>15875.253475288</v>
      </c>
      <c r="E60">
        <v>7297.187703517</v>
      </c>
      <c r="F60">
        <v>53</v>
      </c>
    </row>
    <row r="61" spans="1:6" x14ac:dyDescent="0.25">
      <c r="A61" t="s">
        <v>3918</v>
      </c>
      <c r="B61" t="s">
        <v>3917</v>
      </c>
      <c r="C61">
        <v>1488.4888214590001</v>
      </c>
      <c r="D61">
        <v>1433.270002217</v>
      </c>
      <c r="E61">
        <v>616.26659075199996</v>
      </c>
      <c r="F61">
        <v>31</v>
      </c>
    </row>
    <row r="62" spans="1:6" x14ac:dyDescent="0.25">
      <c r="A62" t="s">
        <v>4007</v>
      </c>
      <c r="B62" t="s">
        <v>4006</v>
      </c>
      <c r="C62">
        <v>2110.6234317950002</v>
      </c>
      <c r="D62">
        <v>3072.84561007</v>
      </c>
      <c r="E62">
        <v>1376.952763924</v>
      </c>
      <c r="F62">
        <v>36</v>
      </c>
    </row>
    <row r="63" spans="1:6" x14ac:dyDescent="0.25">
      <c r="A63" t="s">
        <v>4040</v>
      </c>
      <c r="B63" t="s">
        <v>4039</v>
      </c>
      <c r="C63">
        <v>4988.2353880769997</v>
      </c>
      <c r="D63">
        <v>6587.9057016779998</v>
      </c>
      <c r="E63">
        <v>2876.2493812530001</v>
      </c>
      <c r="F63">
        <v>60</v>
      </c>
    </row>
    <row r="64" spans="1:6" x14ac:dyDescent="0.25">
      <c r="A64" t="s">
        <v>4070</v>
      </c>
      <c r="B64" t="s">
        <v>4069</v>
      </c>
      <c r="C64">
        <v>2806.6612449240001</v>
      </c>
      <c r="D64">
        <v>5564.2511400740004</v>
      </c>
      <c r="E64">
        <v>2273.6836783499998</v>
      </c>
      <c r="F64">
        <v>49</v>
      </c>
    </row>
    <row r="65" spans="1:6" x14ac:dyDescent="0.25">
      <c r="A65" t="s">
        <v>3982</v>
      </c>
      <c r="B65" t="s">
        <v>3981</v>
      </c>
      <c r="C65">
        <v>18925.612850124999</v>
      </c>
      <c r="D65">
        <v>26278.082733906002</v>
      </c>
      <c r="E65">
        <v>10658.976746536</v>
      </c>
      <c r="F65">
        <v>106</v>
      </c>
    </row>
    <row r="66" spans="1:6" x14ac:dyDescent="0.25">
      <c r="A66" t="s">
        <v>3854</v>
      </c>
      <c r="B66" t="s">
        <v>3853</v>
      </c>
      <c r="C66">
        <v>5239.671956571</v>
      </c>
      <c r="D66">
        <v>5336.1162901219996</v>
      </c>
      <c r="E66">
        <v>2159.5086859839998</v>
      </c>
      <c r="F66">
        <v>63</v>
      </c>
    </row>
    <row r="67" spans="1:6" x14ac:dyDescent="0.25">
      <c r="A67" t="s">
        <v>4124</v>
      </c>
      <c r="B67" t="s">
        <v>4123</v>
      </c>
      <c r="C67">
        <v>7139.1351413969996</v>
      </c>
      <c r="D67">
        <v>7518.3052498799998</v>
      </c>
      <c r="E67">
        <v>3038.798529011</v>
      </c>
      <c r="F67">
        <v>66</v>
      </c>
    </row>
    <row r="68" spans="1:6" x14ac:dyDescent="0.25">
      <c r="A68" t="s">
        <v>3862</v>
      </c>
      <c r="B68" t="s">
        <v>3861</v>
      </c>
      <c r="C68">
        <v>6584.1174702589997</v>
      </c>
      <c r="D68">
        <v>8248.0536173410001</v>
      </c>
      <c r="E68">
        <v>3506.8278005910001</v>
      </c>
      <c r="F68">
        <v>64</v>
      </c>
    </row>
    <row r="69" spans="1:6" x14ac:dyDescent="0.25">
      <c r="A69" t="s">
        <v>4136</v>
      </c>
      <c r="B69" t="s">
        <v>4135</v>
      </c>
      <c r="C69">
        <v>6649.9598814359997</v>
      </c>
      <c r="D69">
        <v>8165.0803873969999</v>
      </c>
      <c r="E69">
        <v>4000.2037267159999</v>
      </c>
      <c r="F69">
        <v>100</v>
      </c>
    </row>
    <row r="70" spans="1:6" x14ac:dyDescent="0.25">
      <c r="A70" t="s">
        <v>4118</v>
      </c>
      <c r="B70" t="s">
        <v>4117</v>
      </c>
      <c r="C70">
        <v>6120.8087535089999</v>
      </c>
      <c r="D70">
        <v>9181.9988076059999</v>
      </c>
      <c r="E70">
        <v>3938.3430706210002</v>
      </c>
      <c r="F70">
        <v>78</v>
      </c>
    </row>
    <row r="71" spans="1:6" x14ac:dyDescent="0.25">
      <c r="A71" t="s">
        <v>3815</v>
      </c>
      <c r="B71" t="s">
        <v>3814</v>
      </c>
      <c r="C71">
        <v>8423.2869294909997</v>
      </c>
      <c r="D71">
        <v>6567.6964773319996</v>
      </c>
      <c r="E71">
        <v>3229.741494289</v>
      </c>
      <c r="F71">
        <v>63</v>
      </c>
    </row>
    <row r="72" spans="1:6" x14ac:dyDescent="0.25">
      <c r="A72" t="s">
        <v>4293</v>
      </c>
      <c r="B72" t="s">
        <v>4292</v>
      </c>
      <c r="C72">
        <v>3407.739109095</v>
      </c>
      <c r="D72">
        <v>4287.876823048</v>
      </c>
      <c r="E72">
        <v>2701.094891106</v>
      </c>
      <c r="F72">
        <v>91</v>
      </c>
    </row>
    <row r="73" spans="1:6" x14ac:dyDescent="0.25">
      <c r="A73" t="s">
        <v>3794</v>
      </c>
      <c r="B73" t="s">
        <v>3793</v>
      </c>
      <c r="C73">
        <v>14803.215464845</v>
      </c>
      <c r="D73">
        <v>32860.540729672997</v>
      </c>
      <c r="E73">
        <v>14568.727602117</v>
      </c>
      <c r="F73">
        <v>177</v>
      </c>
    </row>
    <row r="74" spans="1:6" x14ac:dyDescent="0.25">
      <c r="A74" t="s">
        <v>3820</v>
      </c>
      <c r="B74" t="s">
        <v>3819</v>
      </c>
      <c r="C74">
        <v>35070.575981752998</v>
      </c>
      <c r="D74">
        <v>42697.316721003997</v>
      </c>
      <c r="E74">
        <v>17842.644428380001</v>
      </c>
      <c r="F74">
        <v>161</v>
      </c>
    </row>
    <row r="75" spans="1:6" x14ac:dyDescent="0.25">
      <c r="A75" t="s">
        <v>4190</v>
      </c>
      <c r="B75" t="s">
        <v>4189</v>
      </c>
      <c r="C75">
        <v>1990.8750856500001</v>
      </c>
      <c r="D75">
        <v>3543.969087981</v>
      </c>
      <c r="E75">
        <v>1430.7330377579999</v>
      </c>
      <c r="F75">
        <v>18</v>
      </c>
    </row>
    <row r="76" spans="1:6" x14ac:dyDescent="0.25">
      <c r="A76" t="s">
        <v>3922</v>
      </c>
      <c r="B76" t="s">
        <v>3921</v>
      </c>
      <c r="C76">
        <v>14729.945073972</v>
      </c>
      <c r="D76">
        <v>16224.988953143</v>
      </c>
      <c r="E76">
        <v>7719.7009869499998</v>
      </c>
      <c r="F76">
        <v>229</v>
      </c>
    </row>
    <row r="77" spans="1:6" x14ac:dyDescent="0.25">
      <c r="A77" t="s">
        <v>4371</v>
      </c>
      <c r="B77" t="s">
        <v>4370</v>
      </c>
      <c r="C77">
        <v>3587.6457814609998</v>
      </c>
      <c r="D77">
        <v>4208.4645602259998</v>
      </c>
      <c r="E77">
        <v>1667.544879092</v>
      </c>
      <c r="F77">
        <v>10.666666666999999</v>
      </c>
    </row>
    <row r="78" spans="1:6" x14ac:dyDescent="0.25">
      <c r="A78" t="s">
        <v>4044</v>
      </c>
      <c r="B78" t="s">
        <v>4043</v>
      </c>
      <c r="C78">
        <v>2238.084257472</v>
      </c>
      <c r="D78">
        <v>2929.6647139790002</v>
      </c>
      <c r="E78">
        <v>1273.624583029</v>
      </c>
      <c r="F78">
        <v>22</v>
      </c>
    </row>
    <row r="79" spans="1:6" x14ac:dyDescent="0.25">
      <c r="A79" t="s">
        <v>4237</v>
      </c>
      <c r="B79" t="s">
        <v>4236</v>
      </c>
      <c r="C79">
        <v>1812.612938539</v>
      </c>
      <c r="D79">
        <v>1671.8939229600001</v>
      </c>
      <c r="E79">
        <v>721.26362737199997</v>
      </c>
      <c r="F79">
        <v>27</v>
      </c>
    </row>
    <row r="80" spans="1:6" x14ac:dyDescent="0.25">
      <c r="A80" t="s">
        <v>4012</v>
      </c>
      <c r="B80" t="s">
        <v>4011</v>
      </c>
      <c r="C80">
        <v>5656.2141388979999</v>
      </c>
      <c r="D80">
        <v>5608.9734970250001</v>
      </c>
      <c r="E80">
        <v>2454.9016361720001</v>
      </c>
      <c r="F80">
        <v>54</v>
      </c>
    </row>
    <row r="81" spans="1:6" x14ac:dyDescent="0.25">
      <c r="A81" t="s">
        <v>3798</v>
      </c>
      <c r="B81" t="s">
        <v>3797</v>
      </c>
      <c r="C81">
        <v>29114.804502227998</v>
      </c>
      <c r="D81">
        <v>35208.368499841999</v>
      </c>
      <c r="E81">
        <v>15070.794959211</v>
      </c>
      <c r="F81">
        <v>149</v>
      </c>
    </row>
    <row r="82" spans="1:6" x14ac:dyDescent="0.25">
      <c r="A82" t="s">
        <v>4195</v>
      </c>
      <c r="B82" t="s">
        <v>4194</v>
      </c>
      <c r="C82">
        <v>4332.6065900510002</v>
      </c>
      <c r="D82">
        <v>5142.6649012380003</v>
      </c>
      <c r="E82">
        <v>2327.7890206520001</v>
      </c>
      <c r="F82">
        <v>49.5</v>
      </c>
    </row>
    <row r="83" spans="1:6" x14ac:dyDescent="0.25">
      <c r="A83" t="s">
        <v>4366</v>
      </c>
      <c r="B83" t="s">
        <v>4365</v>
      </c>
      <c r="C83">
        <v>6691.2268077890003</v>
      </c>
      <c r="D83">
        <v>12322.097340921</v>
      </c>
      <c r="E83">
        <v>5100.5687124639999</v>
      </c>
      <c r="F83">
        <v>61</v>
      </c>
    </row>
    <row r="84" spans="1:6" x14ac:dyDescent="0.25">
      <c r="A84" t="s">
        <v>3986</v>
      </c>
      <c r="B84" t="s">
        <v>3985</v>
      </c>
      <c r="C84">
        <v>7267.1835790320001</v>
      </c>
      <c r="D84">
        <v>10309.407079529999</v>
      </c>
      <c r="E84">
        <v>4528.0148602440004</v>
      </c>
      <c r="F84">
        <v>77</v>
      </c>
    </row>
    <row r="85" spans="1:6" x14ac:dyDescent="0.25">
      <c r="A85" t="s">
        <v>4099</v>
      </c>
      <c r="B85" t="s">
        <v>4098</v>
      </c>
      <c r="C85">
        <v>39766.639978844003</v>
      </c>
      <c r="D85">
        <v>45602.376797607998</v>
      </c>
      <c r="E85">
        <v>21784.006232731001</v>
      </c>
      <c r="F85">
        <v>255</v>
      </c>
    </row>
    <row r="86" spans="1:6" x14ac:dyDescent="0.25">
      <c r="A86" t="s">
        <v>3949</v>
      </c>
      <c r="B86" t="s">
        <v>3948</v>
      </c>
      <c r="C86">
        <v>4877.7859502470001</v>
      </c>
      <c r="D86">
        <v>4036.0654880090001</v>
      </c>
      <c r="E86">
        <v>1609.330347525</v>
      </c>
      <c r="F86">
        <v>58</v>
      </c>
    </row>
    <row r="87" spans="1:6" x14ac:dyDescent="0.25">
      <c r="A87" t="s">
        <v>3802</v>
      </c>
      <c r="B87" t="s">
        <v>3801</v>
      </c>
      <c r="C87">
        <v>7553.9667961900004</v>
      </c>
      <c r="D87">
        <v>8384.5709172379993</v>
      </c>
      <c r="E87">
        <v>3462.228088284</v>
      </c>
      <c r="F87">
        <v>102</v>
      </c>
    </row>
    <row r="88" spans="1:6" x14ac:dyDescent="0.25">
      <c r="A88" t="s">
        <v>4229</v>
      </c>
      <c r="B88" t="s">
        <v>4228</v>
      </c>
      <c r="C88">
        <v>15934.643871673999</v>
      </c>
      <c r="D88">
        <v>21483.428438977</v>
      </c>
      <c r="E88">
        <v>8894.3686733930008</v>
      </c>
      <c r="F88">
        <v>102</v>
      </c>
    </row>
    <row r="89" spans="1:6" x14ac:dyDescent="0.25">
      <c r="A89" t="s">
        <v>3999</v>
      </c>
      <c r="B89" t="s">
        <v>3998</v>
      </c>
      <c r="C89">
        <v>5384.1484451460001</v>
      </c>
      <c r="D89">
        <v>6599.303270849</v>
      </c>
      <c r="E89">
        <v>3261.5137836899999</v>
      </c>
      <c r="F89">
        <v>44</v>
      </c>
    </row>
    <row r="90" spans="1:6" x14ac:dyDescent="0.25">
      <c r="A90" t="s">
        <v>4180</v>
      </c>
      <c r="B90" t="s">
        <v>4179</v>
      </c>
      <c r="C90">
        <v>6194.3003547649996</v>
      </c>
      <c r="D90">
        <v>5593.8725404659999</v>
      </c>
      <c r="E90">
        <v>2562.4244421560002</v>
      </c>
      <c r="F90">
        <v>47</v>
      </c>
    </row>
    <row r="91" spans="1:6" x14ac:dyDescent="0.25">
      <c r="A91" t="s">
        <v>3978</v>
      </c>
      <c r="B91" t="s">
        <v>3977</v>
      </c>
      <c r="C91">
        <v>3259.0869348239999</v>
      </c>
      <c r="D91">
        <v>3192.6868893020001</v>
      </c>
      <c r="E91">
        <v>1524.217649103</v>
      </c>
      <c r="F91">
        <v>44</v>
      </c>
    </row>
    <row r="92" spans="1:6" x14ac:dyDescent="0.25">
      <c r="A92" t="s">
        <v>4197</v>
      </c>
      <c r="B92" t="s">
        <v>4196</v>
      </c>
      <c r="C92">
        <v>3851.612742715</v>
      </c>
      <c r="D92">
        <v>3526.805080182</v>
      </c>
      <c r="E92">
        <v>1507.718957006</v>
      </c>
      <c r="F92">
        <v>34</v>
      </c>
    </row>
    <row r="93" spans="1:6" x14ac:dyDescent="0.25">
      <c r="A93" t="s">
        <v>4168</v>
      </c>
      <c r="B93" t="s">
        <v>4167</v>
      </c>
      <c r="C93">
        <v>9738.8364614549992</v>
      </c>
      <c r="D93">
        <v>12650.130163491</v>
      </c>
      <c r="E93">
        <v>5091.4684274640003</v>
      </c>
      <c r="F93">
        <v>94</v>
      </c>
    </row>
    <row r="94" spans="1:6" x14ac:dyDescent="0.25">
      <c r="A94" t="s">
        <v>4299</v>
      </c>
      <c r="B94" t="s">
        <v>4298</v>
      </c>
      <c r="C94">
        <v>8915.9171553329998</v>
      </c>
      <c r="D94">
        <v>9387.361527514</v>
      </c>
      <c r="E94">
        <v>4041.061811609</v>
      </c>
      <c r="F94">
        <v>119</v>
      </c>
    </row>
    <row r="95" spans="1:6" x14ac:dyDescent="0.25">
      <c r="A95" t="s">
        <v>3858</v>
      </c>
      <c r="B95" t="s">
        <v>3857</v>
      </c>
      <c r="C95">
        <v>3341.9708588399999</v>
      </c>
      <c r="D95">
        <v>2908.3715480609999</v>
      </c>
      <c r="E95">
        <v>1503.013502755</v>
      </c>
      <c r="F95">
        <v>32</v>
      </c>
    </row>
    <row r="96" spans="1:6" x14ac:dyDescent="0.25">
      <c r="A96" t="s">
        <v>3807</v>
      </c>
      <c r="B96" t="s">
        <v>3806</v>
      </c>
      <c r="C96">
        <v>12165.456816751999</v>
      </c>
      <c r="D96">
        <v>12887.789243994001</v>
      </c>
      <c r="E96">
        <v>5767.2788946279998</v>
      </c>
      <c r="F96">
        <v>98</v>
      </c>
    </row>
    <row r="97" spans="1:6" x14ac:dyDescent="0.25">
      <c r="A97" t="s">
        <v>4036</v>
      </c>
      <c r="B97" t="s">
        <v>4035</v>
      </c>
      <c r="C97">
        <v>4380.198343092</v>
      </c>
      <c r="D97">
        <v>5756.7761718649999</v>
      </c>
      <c r="E97">
        <v>3279.3756491849999</v>
      </c>
      <c r="F97">
        <v>88</v>
      </c>
    </row>
    <row r="98" spans="1:6" x14ac:dyDescent="0.25">
      <c r="A98" t="s">
        <v>3811</v>
      </c>
      <c r="B98" t="s">
        <v>3810</v>
      </c>
      <c r="C98">
        <v>44454.569333369</v>
      </c>
      <c r="D98">
        <v>71398.888457413996</v>
      </c>
      <c r="E98">
        <v>32154.919443273</v>
      </c>
      <c r="F98">
        <v>109</v>
      </c>
    </row>
    <row r="99" spans="1:6" x14ac:dyDescent="0.25">
      <c r="A99" t="s">
        <v>4023</v>
      </c>
      <c r="B99" t="s">
        <v>4022</v>
      </c>
      <c r="C99">
        <v>9140.9829428400008</v>
      </c>
      <c r="D99">
        <v>9572.5021116299995</v>
      </c>
      <c r="E99">
        <v>4254.6175926690003</v>
      </c>
      <c r="F99">
        <v>83</v>
      </c>
    </row>
    <row r="100" spans="1:6" x14ac:dyDescent="0.25">
      <c r="A100" t="s">
        <v>4140</v>
      </c>
      <c r="B100" t="s">
        <v>4139</v>
      </c>
      <c r="C100">
        <v>3604.914768054</v>
      </c>
      <c r="D100">
        <v>2680.1182410870001</v>
      </c>
      <c r="E100">
        <v>1648.0922251699999</v>
      </c>
      <c r="F100">
        <v>47</v>
      </c>
    </row>
    <row r="101" spans="1:6" x14ac:dyDescent="0.25">
      <c r="A101" t="s">
        <v>4144</v>
      </c>
      <c r="B101" t="s">
        <v>4143</v>
      </c>
      <c r="C101">
        <v>4694.2786734319998</v>
      </c>
      <c r="D101">
        <v>3635.411708222</v>
      </c>
      <c r="E101">
        <v>1842.5682935729999</v>
      </c>
      <c r="F101">
        <v>54</v>
      </c>
    </row>
    <row r="102" spans="1:6" x14ac:dyDescent="0.25">
      <c r="A102" t="s">
        <v>3957</v>
      </c>
      <c r="B102" t="s">
        <v>3956</v>
      </c>
      <c r="C102">
        <v>3427.1464639790001</v>
      </c>
      <c r="D102">
        <v>6302.1595925510001</v>
      </c>
      <c r="E102">
        <v>2662.4951391999998</v>
      </c>
      <c r="F102">
        <v>38</v>
      </c>
    </row>
    <row r="103" spans="1:6" x14ac:dyDescent="0.25">
      <c r="A103" t="s">
        <v>4163</v>
      </c>
      <c r="B103" t="s">
        <v>4162</v>
      </c>
      <c r="C103">
        <v>4813.4134412129997</v>
      </c>
      <c r="D103">
        <v>6525.2681823510002</v>
      </c>
      <c r="E103">
        <v>2759.4574360440001</v>
      </c>
      <c r="F103">
        <v>51</v>
      </c>
    </row>
    <row r="104" spans="1:6" x14ac:dyDescent="0.25">
      <c r="A104" t="s">
        <v>4114</v>
      </c>
      <c r="B104" t="s">
        <v>4113</v>
      </c>
      <c r="C104">
        <v>15447.194319073</v>
      </c>
      <c r="D104">
        <v>11874.913090710001</v>
      </c>
      <c r="E104">
        <v>5284.9890419020003</v>
      </c>
      <c r="F104">
        <v>173</v>
      </c>
    </row>
    <row r="105" spans="1:6" x14ac:dyDescent="0.25">
      <c r="A105" t="s">
        <v>3778</v>
      </c>
      <c r="B105" t="s">
        <v>3777</v>
      </c>
      <c r="C105">
        <v>3308.8278416889998</v>
      </c>
      <c r="D105">
        <v>2846.018278692</v>
      </c>
      <c r="E105">
        <v>1316.138539459</v>
      </c>
      <c r="F105">
        <v>41</v>
      </c>
    </row>
    <row r="106" spans="1:6" x14ac:dyDescent="0.25">
      <c r="A106" t="s">
        <v>4309</v>
      </c>
      <c r="B106" t="s">
        <v>4308</v>
      </c>
      <c r="C106">
        <v>6178.0592267430002</v>
      </c>
      <c r="D106">
        <v>4965.0968070400004</v>
      </c>
      <c r="E106">
        <v>2242.0720864509999</v>
      </c>
      <c r="F106">
        <v>78</v>
      </c>
    </row>
    <row r="107" spans="1:6" x14ac:dyDescent="0.25">
      <c r="A107" t="s">
        <v>4202</v>
      </c>
      <c r="B107" t="s">
        <v>4201</v>
      </c>
      <c r="C107">
        <v>4817.7656800189998</v>
      </c>
      <c r="D107">
        <v>3854.1093339839999</v>
      </c>
      <c r="E107">
        <v>1934.830785208</v>
      </c>
      <c r="F107">
        <v>75</v>
      </c>
    </row>
    <row r="108" spans="1:6" x14ac:dyDescent="0.25">
      <c r="A108" t="s">
        <v>3926</v>
      </c>
      <c r="B108" t="s">
        <v>3925</v>
      </c>
      <c r="C108">
        <v>10231.355949399</v>
      </c>
      <c r="D108">
        <v>14630.441343328999</v>
      </c>
      <c r="E108">
        <v>5800.8226979259998</v>
      </c>
      <c r="F108">
        <v>79</v>
      </c>
    </row>
    <row r="109" spans="1:6" x14ac:dyDescent="0.25">
      <c r="A109" t="s">
        <v>4061</v>
      </c>
      <c r="B109" t="s">
        <v>4060</v>
      </c>
      <c r="C109">
        <v>12706.589363387</v>
      </c>
      <c r="D109">
        <v>38909.248167783997</v>
      </c>
      <c r="E109">
        <v>16382.173395316</v>
      </c>
      <c r="F109">
        <v>131</v>
      </c>
    </row>
    <row r="110" spans="1:6" x14ac:dyDescent="0.25">
      <c r="A110" t="s">
        <v>4003</v>
      </c>
      <c r="B110" t="s">
        <v>4002</v>
      </c>
      <c r="C110">
        <v>7823.3547120900002</v>
      </c>
      <c r="D110">
        <v>6481.0421024819998</v>
      </c>
      <c r="E110">
        <v>2826.4394354380001</v>
      </c>
      <c r="F110">
        <v>68</v>
      </c>
    </row>
    <row r="111" spans="1:6" x14ac:dyDescent="0.25">
      <c r="A111" t="s">
        <v>4110</v>
      </c>
      <c r="B111" t="s">
        <v>4109</v>
      </c>
      <c r="C111">
        <v>6348.6748994890004</v>
      </c>
      <c r="D111">
        <v>4662.346288062</v>
      </c>
      <c r="E111">
        <v>2116.4737849879998</v>
      </c>
      <c r="F111">
        <v>76</v>
      </c>
    </row>
    <row r="112" spans="1:6" x14ac:dyDescent="0.25">
      <c r="A112" t="s">
        <v>3835</v>
      </c>
      <c r="B112" t="s">
        <v>3834</v>
      </c>
      <c r="C112">
        <v>3303.469427047</v>
      </c>
      <c r="D112">
        <v>2034.409932432</v>
      </c>
      <c r="E112">
        <v>913.63543830200001</v>
      </c>
      <c r="F112">
        <v>38</v>
      </c>
    </row>
    <row r="113" spans="1:6" x14ac:dyDescent="0.25">
      <c r="A113" t="s">
        <v>4343</v>
      </c>
      <c r="B113" t="s">
        <v>4342</v>
      </c>
      <c r="C113">
        <v>3775.966298289</v>
      </c>
      <c r="D113">
        <v>5055.4769510249998</v>
      </c>
      <c r="E113">
        <v>2051.06229545</v>
      </c>
      <c r="F113">
        <v>10.666666666999999</v>
      </c>
    </row>
    <row r="114" spans="1:6" x14ac:dyDescent="0.25">
      <c r="A114" t="s">
        <v>4241</v>
      </c>
      <c r="B114" t="s">
        <v>4240</v>
      </c>
      <c r="C114">
        <v>5510.64767097</v>
      </c>
      <c r="D114">
        <v>3396.066981683</v>
      </c>
      <c r="E114">
        <v>1390.650039377</v>
      </c>
      <c r="F114">
        <v>99</v>
      </c>
    </row>
    <row r="115" spans="1:6" x14ac:dyDescent="0.25">
      <c r="A115" t="s">
        <v>4048</v>
      </c>
      <c r="B115" t="s">
        <v>4047</v>
      </c>
      <c r="C115">
        <v>7560.1764996789998</v>
      </c>
      <c r="D115">
        <v>5449.7502482350001</v>
      </c>
      <c r="E115">
        <v>2315.4603347520001</v>
      </c>
      <c r="F115">
        <v>90</v>
      </c>
    </row>
    <row r="116" spans="1:6" x14ac:dyDescent="0.25">
      <c r="A116" t="s">
        <v>4058</v>
      </c>
      <c r="B116" t="s">
        <v>4057</v>
      </c>
      <c r="C116">
        <v>12346.343299861001</v>
      </c>
      <c r="D116">
        <v>48335.311374755998</v>
      </c>
      <c r="E116">
        <v>21128.390843084999</v>
      </c>
      <c r="F116">
        <v>127</v>
      </c>
    </row>
    <row r="117" spans="1:6" x14ac:dyDescent="0.25">
      <c r="A117" t="s">
        <v>3876</v>
      </c>
      <c r="B117" t="s">
        <v>3875</v>
      </c>
      <c r="C117">
        <v>5548.8664182140001</v>
      </c>
      <c r="D117">
        <v>16660.153396365</v>
      </c>
      <c r="E117">
        <v>6705.8413920599996</v>
      </c>
      <c r="F117">
        <v>49</v>
      </c>
    </row>
    <row r="118" spans="1:6" x14ac:dyDescent="0.25">
      <c r="A118" t="s">
        <v>3896</v>
      </c>
      <c r="B118" t="s">
        <v>3895</v>
      </c>
      <c r="C118">
        <v>22137.990063969999</v>
      </c>
      <c r="D118">
        <v>23259.654752015002</v>
      </c>
      <c r="E118">
        <v>9842.9072060590006</v>
      </c>
      <c r="F118">
        <v>135</v>
      </c>
    </row>
    <row r="119" spans="1:6" x14ac:dyDescent="0.25">
      <c r="A119" t="s">
        <v>257</v>
      </c>
      <c r="B119" t="s">
        <v>4082</v>
      </c>
      <c r="C119">
        <v>7358.2314249459996</v>
      </c>
      <c r="D119">
        <v>9058.3083255719994</v>
      </c>
      <c r="E119">
        <v>3890.9721146249999</v>
      </c>
      <c r="F119">
        <v>100</v>
      </c>
    </row>
    <row r="120" spans="1:6" x14ac:dyDescent="0.25">
      <c r="A120" t="s">
        <v>4133</v>
      </c>
      <c r="B120" t="s">
        <v>4132</v>
      </c>
      <c r="C120">
        <v>3204.266395865</v>
      </c>
      <c r="D120">
        <v>3405.826459502</v>
      </c>
      <c r="E120">
        <v>1399.140790275</v>
      </c>
      <c r="F120">
        <v>6.75</v>
      </c>
    </row>
    <row r="121" spans="1:6" x14ac:dyDescent="0.25">
      <c r="A121" t="s">
        <v>3828</v>
      </c>
      <c r="B121" t="s">
        <v>3827</v>
      </c>
      <c r="C121">
        <v>3070.5187501179998</v>
      </c>
      <c r="D121">
        <v>2968.2882541230001</v>
      </c>
      <c r="E121">
        <v>1291.197940537</v>
      </c>
      <c r="F121">
        <v>56</v>
      </c>
    </row>
    <row r="122" spans="1:6" x14ac:dyDescent="0.25">
      <c r="A122" t="s">
        <v>3953</v>
      </c>
      <c r="B122" t="s">
        <v>3952</v>
      </c>
      <c r="C122">
        <v>28095.226875554999</v>
      </c>
      <c r="D122">
        <v>44024.550269459003</v>
      </c>
      <c r="E122">
        <v>19305.140843656998</v>
      </c>
      <c r="F122">
        <v>191</v>
      </c>
    </row>
    <row r="123" spans="1:6" x14ac:dyDescent="0.25">
      <c r="A123" t="s">
        <v>4220</v>
      </c>
      <c r="B123" t="s">
        <v>4219</v>
      </c>
      <c r="C123">
        <v>5105.2355386669997</v>
      </c>
      <c r="D123">
        <v>6539.0650817670003</v>
      </c>
      <c r="E123">
        <v>3257.506848175</v>
      </c>
      <c r="F123">
        <v>52</v>
      </c>
    </row>
    <row r="124" spans="1:6" x14ac:dyDescent="0.25">
      <c r="A124" t="s">
        <v>3939</v>
      </c>
      <c r="B124" t="s">
        <v>3938</v>
      </c>
      <c r="C124">
        <v>5996.8546197779997</v>
      </c>
      <c r="D124">
        <v>7292.3014362180002</v>
      </c>
      <c r="E124">
        <v>3649.7722236929999</v>
      </c>
      <c r="F124">
        <v>69</v>
      </c>
    </row>
    <row r="125" spans="1:6" x14ac:dyDescent="0.25">
      <c r="A125" t="s">
        <v>3910</v>
      </c>
      <c r="B125" t="s">
        <v>3909</v>
      </c>
      <c r="C125">
        <v>5328.1786243059996</v>
      </c>
      <c r="D125">
        <v>5695.1651979839999</v>
      </c>
      <c r="E125">
        <v>2362.728225412</v>
      </c>
      <c r="F125">
        <v>21</v>
      </c>
    </row>
    <row r="126" spans="1:6" x14ac:dyDescent="0.25">
      <c r="A126" t="s">
        <v>4079</v>
      </c>
      <c r="B126" t="s">
        <v>4078</v>
      </c>
      <c r="C126">
        <v>5021.0476742069995</v>
      </c>
      <c r="D126">
        <v>4017.9357326139998</v>
      </c>
      <c r="E126">
        <v>1630.701285072</v>
      </c>
      <c r="F126">
        <v>57</v>
      </c>
    </row>
    <row r="127" spans="1:6" x14ac:dyDescent="0.25">
      <c r="A127" t="s">
        <v>3789</v>
      </c>
      <c r="B127" t="s">
        <v>3788</v>
      </c>
      <c r="C127">
        <v>15193.499633793001</v>
      </c>
      <c r="D127">
        <v>21253.909371313999</v>
      </c>
      <c r="E127">
        <v>9323.5108696719999</v>
      </c>
      <c r="F127">
        <v>104</v>
      </c>
    </row>
    <row r="128" spans="1:6" x14ac:dyDescent="0.25">
      <c r="A128" t="s">
        <v>4305</v>
      </c>
      <c r="B128" t="s">
        <v>4304</v>
      </c>
      <c r="C128">
        <v>16334.495973739</v>
      </c>
      <c r="D128">
        <v>11058.183989990001</v>
      </c>
      <c r="E128">
        <v>4938.3988118830002</v>
      </c>
      <c r="F128">
        <v>161</v>
      </c>
    </row>
    <row r="129" spans="1:6" x14ac:dyDescent="0.25">
      <c r="A129" t="s">
        <v>4028</v>
      </c>
      <c r="B129" t="s">
        <v>4027</v>
      </c>
      <c r="C129">
        <v>16235.057099621999</v>
      </c>
      <c r="D129">
        <v>17649.782959347998</v>
      </c>
      <c r="E129">
        <v>9373.0009106319994</v>
      </c>
      <c r="F129">
        <v>119</v>
      </c>
    </row>
    <row r="130" spans="1:6" x14ac:dyDescent="0.25">
      <c r="A130" t="s">
        <v>4281</v>
      </c>
      <c r="B130" t="s">
        <v>4280</v>
      </c>
      <c r="C130">
        <v>8134.176161198</v>
      </c>
      <c r="D130">
        <v>6478.8998570330004</v>
      </c>
      <c r="E130">
        <v>3220.4134877020001</v>
      </c>
      <c r="F130">
        <v>85</v>
      </c>
    </row>
    <row r="131" spans="1:6" x14ac:dyDescent="0.25">
      <c r="A131" t="s">
        <v>3866</v>
      </c>
      <c r="B131" t="s">
        <v>3865</v>
      </c>
      <c r="C131">
        <v>2609.3890551760001</v>
      </c>
      <c r="D131">
        <v>3275.744711756</v>
      </c>
      <c r="E131">
        <v>1475.8531898159999</v>
      </c>
      <c r="F131">
        <v>37</v>
      </c>
    </row>
    <row r="132" spans="1:6" x14ac:dyDescent="0.25">
      <c r="A132" t="s">
        <v>4317</v>
      </c>
      <c r="B132" t="s">
        <v>4316</v>
      </c>
      <c r="C132">
        <v>5675.7041238620004</v>
      </c>
      <c r="D132">
        <v>5445.6765927460001</v>
      </c>
      <c r="E132">
        <v>2306.3673246359999</v>
      </c>
      <c r="F132">
        <v>46</v>
      </c>
    </row>
    <row r="133" spans="1:6" x14ac:dyDescent="0.25">
      <c r="A133" t="s">
        <v>3871</v>
      </c>
      <c r="B133" t="s">
        <v>3870</v>
      </c>
      <c r="C133">
        <v>5328.2323790199998</v>
      </c>
      <c r="D133">
        <v>7067.6874271870001</v>
      </c>
      <c r="E133">
        <v>3400.732533759</v>
      </c>
      <c r="F133">
        <v>38</v>
      </c>
    </row>
    <row r="134" spans="1:6" x14ac:dyDescent="0.25">
      <c r="A134" t="s">
        <v>4266</v>
      </c>
      <c r="B134" t="s">
        <v>4265</v>
      </c>
      <c r="C134">
        <v>18779.419418313999</v>
      </c>
      <c r="D134">
        <v>14899.770643124</v>
      </c>
      <c r="E134">
        <v>6778.0309885249999</v>
      </c>
      <c r="F134">
        <v>142</v>
      </c>
    </row>
    <row r="135" spans="1:6" x14ac:dyDescent="0.25">
      <c r="A135" t="s">
        <v>4148</v>
      </c>
      <c r="B135" t="s">
        <v>4147</v>
      </c>
      <c r="C135">
        <v>4921.1296198950004</v>
      </c>
      <c r="D135">
        <v>5133.1121936999998</v>
      </c>
      <c r="E135">
        <v>2208.645457051</v>
      </c>
      <c r="F135">
        <v>61</v>
      </c>
    </row>
    <row r="136" spans="1:6" x14ac:dyDescent="0.25">
      <c r="A136" t="s">
        <v>4178</v>
      </c>
      <c r="B136" t="s">
        <v>4177</v>
      </c>
      <c r="C136">
        <v>967.09397141399995</v>
      </c>
      <c r="D136">
        <v>3175.9360459589998</v>
      </c>
      <c r="E136">
        <v>1590.9232137280001</v>
      </c>
      <c r="F136">
        <v>49.5</v>
      </c>
    </row>
    <row r="137" spans="1:6" x14ac:dyDescent="0.25">
      <c r="A137" t="s">
        <v>4271</v>
      </c>
      <c r="B137" t="s">
        <v>4270</v>
      </c>
      <c r="C137">
        <v>7958.5931686350004</v>
      </c>
      <c r="D137">
        <v>6246.8711633909998</v>
      </c>
      <c r="E137">
        <v>3060.1971080409999</v>
      </c>
      <c r="F137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15E6F-DD5D-48A1-B7A9-F9561812362D}">
  <sheetPr codeName="Sheet20"/>
  <dimension ref="A1:AB2486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.42578125" bestFit="1" customWidth="1"/>
    <col min="3" max="3" width="20.42578125" bestFit="1" customWidth="1"/>
    <col min="4" max="4" width="25" bestFit="1" customWidth="1"/>
    <col min="5" max="5" width="16" bestFit="1" customWidth="1"/>
    <col min="6" max="7" width="38.28515625" bestFit="1" customWidth="1"/>
    <col min="8" max="8" width="42.42578125" bestFit="1" customWidth="1"/>
    <col min="9" max="9" width="10" bestFit="1" customWidth="1"/>
    <col min="10" max="10" width="6.7109375" bestFit="1" customWidth="1"/>
    <col min="11" max="11" width="14.7109375" bestFit="1" customWidth="1"/>
    <col min="12" max="12" width="15.85546875" bestFit="1" customWidth="1"/>
    <col min="13" max="13" width="15.140625" bestFit="1" customWidth="1"/>
    <col min="14" max="14" width="24.42578125" bestFit="1" customWidth="1"/>
    <col min="15" max="15" width="10" bestFit="1" customWidth="1"/>
    <col min="16" max="16" width="27" bestFit="1" customWidth="1"/>
    <col min="17" max="17" width="29.140625" bestFit="1" customWidth="1"/>
    <col min="18" max="18" width="17" bestFit="1" customWidth="1"/>
    <col min="19" max="19" width="24.5703125" bestFit="1" customWidth="1"/>
    <col min="20" max="20" width="36.28515625" bestFit="1" customWidth="1"/>
    <col min="21" max="21" width="37.42578125" bestFit="1" customWidth="1"/>
    <col min="22" max="22" width="9.7109375" bestFit="1" customWidth="1"/>
    <col min="23" max="23" width="19.5703125" bestFit="1" customWidth="1"/>
    <col min="24" max="24" width="6.28515625" bestFit="1" customWidth="1"/>
    <col min="25" max="25" width="28.140625" bestFit="1" customWidth="1"/>
    <col min="26" max="26" width="26.5703125" bestFit="1" customWidth="1"/>
    <col min="27" max="27" width="16.42578125" bestFit="1" customWidth="1"/>
    <col min="28" max="28" width="10.5703125" bestFit="1" customWidth="1"/>
  </cols>
  <sheetData>
    <row r="1" spans="1:28" x14ac:dyDescent="0.25">
      <c r="A1" s="21" t="s">
        <v>205</v>
      </c>
      <c r="B1" s="21" t="s">
        <v>206</v>
      </c>
      <c r="C1" s="21" t="s">
        <v>620</v>
      </c>
      <c r="D1" s="21" t="s">
        <v>621</v>
      </c>
      <c r="E1" s="21" t="s">
        <v>622</v>
      </c>
      <c r="F1" s="21" t="s">
        <v>623</v>
      </c>
      <c r="G1" s="21" t="s">
        <v>624</v>
      </c>
      <c r="H1" s="21" t="s">
        <v>625</v>
      </c>
      <c r="I1" s="21" t="s">
        <v>207</v>
      </c>
      <c r="J1" s="21" t="s">
        <v>626</v>
      </c>
      <c r="K1" s="21" t="s">
        <v>627</v>
      </c>
      <c r="L1" s="21" t="s">
        <v>628</v>
      </c>
      <c r="M1" s="21" t="s">
        <v>629</v>
      </c>
      <c r="N1" s="21" t="s">
        <v>630</v>
      </c>
      <c r="O1" s="21" t="s">
        <v>631</v>
      </c>
      <c r="P1" s="21" t="s">
        <v>632</v>
      </c>
      <c r="Q1" s="21" t="s">
        <v>633</v>
      </c>
      <c r="R1" s="21" t="s">
        <v>634</v>
      </c>
      <c r="S1" s="21" t="s">
        <v>635</v>
      </c>
      <c r="T1" s="21" t="s">
        <v>636</v>
      </c>
      <c r="U1" s="21" t="s">
        <v>637</v>
      </c>
      <c r="V1" s="21" t="s">
        <v>638</v>
      </c>
      <c r="W1" s="21" t="s">
        <v>208</v>
      </c>
      <c r="X1" s="21" t="s">
        <v>639</v>
      </c>
      <c r="Y1" s="21" t="s">
        <v>640</v>
      </c>
      <c r="Z1" s="21" t="s">
        <v>641</v>
      </c>
      <c r="AA1" s="21" t="s">
        <v>642</v>
      </c>
      <c r="AB1" s="21" t="s">
        <v>643</v>
      </c>
    </row>
    <row r="2" spans="1:28" x14ac:dyDescent="0.25">
      <c r="A2" t="s">
        <v>3777</v>
      </c>
      <c r="B2" t="s">
        <v>3778</v>
      </c>
      <c r="C2" t="s">
        <v>646</v>
      </c>
      <c r="D2" t="s">
        <v>3779</v>
      </c>
      <c r="E2" t="s">
        <v>647</v>
      </c>
      <c r="F2" t="s">
        <v>3780</v>
      </c>
      <c r="G2" t="s">
        <v>769</v>
      </c>
      <c r="H2" t="s">
        <v>683</v>
      </c>
      <c r="I2" t="s">
        <v>798</v>
      </c>
      <c r="J2" t="s">
        <v>524</v>
      </c>
      <c r="K2" t="s">
        <v>166</v>
      </c>
      <c r="L2" t="s">
        <v>0</v>
      </c>
      <c r="M2" t="s">
        <v>178</v>
      </c>
      <c r="N2">
        <v>233.21109999999999</v>
      </c>
      <c r="O2">
        <v>160</v>
      </c>
      <c r="P2">
        <v>2812.04</v>
      </c>
      <c r="Q2">
        <v>10453.31</v>
      </c>
      <c r="R2">
        <v>2146.4899999999998</v>
      </c>
      <c r="S2">
        <v>1587.6927014600001</v>
      </c>
      <c r="T2">
        <v>0</v>
      </c>
      <c r="U2">
        <v>0</v>
      </c>
      <c r="V2">
        <v>2146.4899999999998</v>
      </c>
      <c r="W2" t="s">
        <v>258</v>
      </c>
      <c r="X2" t="s">
        <v>271</v>
      </c>
      <c r="Y2" t="s">
        <v>3781</v>
      </c>
      <c r="AA2" t="s">
        <v>3782</v>
      </c>
      <c r="AB2" t="s">
        <v>181</v>
      </c>
    </row>
    <row r="3" spans="1:28" x14ac:dyDescent="0.25">
      <c r="A3" t="s">
        <v>3783</v>
      </c>
      <c r="B3" t="s">
        <v>3784</v>
      </c>
      <c r="C3" t="s">
        <v>646</v>
      </c>
      <c r="D3" t="s">
        <v>3779</v>
      </c>
      <c r="E3" t="s">
        <v>647</v>
      </c>
      <c r="F3" t="s">
        <v>666</v>
      </c>
      <c r="G3" t="s">
        <v>666</v>
      </c>
      <c r="H3" t="s">
        <v>683</v>
      </c>
      <c r="I3" t="s">
        <v>3785</v>
      </c>
      <c r="J3" t="s">
        <v>432</v>
      </c>
      <c r="K3" t="s">
        <v>166</v>
      </c>
      <c r="L3" t="s">
        <v>0</v>
      </c>
      <c r="M3" t="s">
        <v>178</v>
      </c>
      <c r="N3">
        <v>290</v>
      </c>
      <c r="O3">
        <v>83</v>
      </c>
      <c r="P3">
        <v>3441.71</v>
      </c>
      <c r="Q3">
        <v>10224.94</v>
      </c>
      <c r="R3">
        <v>2348.16</v>
      </c>
      <c r="S3">
        <v>1082.95576452</v>
      </c>
      <c r="T3">
        <v>0</v>
      </c>
      <c r="U3">
        <v>0</v>
      </c>
      <c r="V3">
        <v>2348.16</v>
      </c>
      <c r="W3" t="s">
        <v>0</v>
      </c>
      <c r="X3" t="s">
        <v>271</v>
      </c>
      <c r="Y3" t="s">
        <v>3786</v>
      </c>
      <c r="AA3" t="s">
        <v>3787</v>
      </c>
      <c r="AB3" t="s">
        <v>181</v>
      </c>
    </row>
    <row r="4" spans="1:28" x14ac:dyDescent="0.25">
      <c r="A4" t="s">
        <v>3788</v>
      </c>
      <c r="B4" t="s">
        <v>3789</v>
      </c>
      <c r="C4" t="s">
        <v>646</v>
      </c>
      <c r="D4" t="s">
        <v>3779</v>
      </c>
      <c r="E4" t="s">
        <v>647</v>
      </c>
      <c r="F4" t="s">
        <v>3780</v>
      </c>
      <c r="G4" t="s">
        <v>769</v>
      </c>
      <c r="H4" t="s">
        <v>683</v>
      </c>
      <c r="I4" t="s">
        <v>3790</v>
      </c>
      <c r="J4" t="s">
        <v>599</v>
      </c>
      <c r="K4" t="s">
        <v>166</v>
      </c>
      <c r="L4" t="s">
        <v>0</v>
      </c>
      <c r="M4" t="s">
        <v>178</v>
      </c>
      <c r="N4">
        <v>1060.2669000000001</v>
      </c>
      <c r="O4">
        <v>237.1669</v>
      </c>
      <c r="P4">
        <v>13090.89</v>
      </c>
      <c r="Q4">
        <v>41062</v>
      </c>
      <c r="R4">
        <v>2978.2813952900001</v>
      </c>
      <c r="S4">
        <v>4858.2275757300004</v>
      </c>
      <c r="T4">
        <v>654.99139529000001</v>
      </c>
      <c r="U4">
        <v>15.52</v>
      </c>
      <c r="V4">
        <v>2993.08</v>
      </c>
      <c r="W4" t="s">
        <v>598</v>
      </c>
      <c r="X4" t="s">
        <v>271</v>
      </c>
      <c r="Y4" t="s">
        <v>3791</v>
      </c>
      <c r="AA4" t="s">
        <v>3792</v>
      </c>
      <c r="AB4" t="s">
        <v>181</v>
      </c>
    </row>
    <row r="5" spans="1:28" x14ac:dyDescent="0.25">
      <c r="A5" t="s">
        <v>3793</v>
      </c>
      <c r="B5" t="s">
        <v>3794</v>
      </c>
      <c r="C5" t="s">
        <v>646</v>
      </c>
      <c r="D5" t="s">
        <v>3779</v>
      </c>
      <c r="E5" t="s">
        <v>647</v>
      </c>
      <c r="F5" t="s">
        <v>666</v>
      </c>
      <c r="G5" t="s">
        <v>666</v>
      </c>
      <c r="H5" t="s">
        <v>761</v>
      </c>
      <c r="I5" t="s">
        <v>1712</v>
      </c>
      <c r="J5" t="s">
        <v>335</v>
      </c>
      <c r="K5" t="s">
        <v>166</v>
      </c>
      <c r="L5" t="s">
        <v>0</v>
      </c>
      <c r="M5" t="s">
        <v>178</v>
      </c>
      <c r="N5">
        <v>294</v>
      </c>
      <c r="O5">
        <v>273</v>
      </c>
      <c r="P5">
        <v>10979.96</v>
      </c>
      <c r="Q5">
        <v>14486.39</v>
      </c>
      <c r="R5">
        <v>4373.87</v>
      </c>
      <c r="S5">
        <v>2766.4174413800001</v>
      </c>
      <c r="T5">
        <v>0</v>
      </c>
      <c r="U5">
        <v>0</v>
      </c>
      <c r="V5">
        <v>4373.87</v>
      </c>
      <c r="W5" t="s">
        <v>572</v>
      </c>
      <c r="X5" t="s">
        <v>271</v>
      </c>
      <c r="Y5" t="s">
        <v>3795</v>
      </c>
      <c r="AA5" t="s">
        <v>3796</v>
      </c>
      <c r="AB5" t="s">
        <v>181</v>
      </c>
    </row>
    <row r="6" spans="1:28" x14ac:dyDescent="0.25">
      <c r="A6" t="s">
        <v>3797</v>
      </c>
      <c r="B6" t="s">
        <v>3798</v>
      </c>
      <c r="C6" t="s">
        <v>646</v>
      </c>
      <c r="D6" t="s">
        <v>3779</v>
      </c>
      <c r="E6" t="s">
        <v>647</v>
      </c>
      <c r="F6" t="s">
        <v>3780</v>
      </c>
      <c r="G6" t="s">
        <v>769</v>
      </c>
      <c r="H6" t="s">
        <v>962</v>
      </c>
      <c r="I6" t="s">
        <v>725</v>
      </c>
      <c r="J6" t="s">
        <v>726</v>
      </c>
      <c r="K6" t="s">
        <v>166</v>
      </c>
      <c r="L6" t="s">
        <v>0</v>
      </c>
      <c r="M6" t="s">
        <v>178</v>
      </c>
      <c r="N6">
        <v>617</v>
      </c>
      <c r="O6">
        <v>45</v>
      </c>
      <c r="P6">
        <v>10537.72</v>
      </c>
      <c r="Q6">
        <v>35737.599999999999</v>
      </c>
      <c r="R6">
        <v>2883.11</v>
      </c>
      <c r="S6">
        <v>1267.7223796200001</v>
      </c>
      <c r="T6">
        <v>0</v>
      </c>
      <c r="U6">
        <v>44.43</v>
      </c>
      <c r="V6">
        <v>2927.54</v>
      </c>
      <c r="W6" t="s">
        <v>0</v>
      </c>
      <c r="X6" t="s">
        <v>271</v>
      </c>
      <c r="Y6" t="s">
        <v>3799</v>
      </c>
      <c r="AA6" t="s">
        <v>3800</v>
      </c>
      <c r="AB6" t="s">
        <v>181</v>
      </c>
    </row>
    <row r="7" spans="1:28" x14ac:dyDescent="0.25">
      <c r="A7" t="s">
        <v>3801</v>
      </c>
      <c r="B7" t="s">
        <v>3802</v>
      </c>
      <c r="C7" t="s">
        <v>646</v>
      </c>
      <c r="D7" t="s">
        <v>3779</v>
      </c>
      <c r="E7" t="s">
        <v>647</v>
      </c>
      <c r="F7" t="s">
        <v>666</v>
      </c>
      <c r="G7" t="s">
        <v>666</v>
      </c>
      <c r="H7" t="s">
        <v>770</v>
      </c>
      <c r="I7" t="s">
        <v>3803</v>
      </c>
      <c r="J7" t="s">
        <v>2577</v>
      </c>
      <c r="K7" t="s">
        <v>166</v>
      </c>
      <c r="L7" t="s">
        <v>0</v>
      </c>
      <c r="M7" t="s">
        <v>178</v>
      </c>
      <c r="N7">
        <v>1450.75</v>
      </c>
      <c r="O7">
        <v>914.75</v>
      </c>
      <c r="P7">
        <v>18632.400000000001</v>
      </c>
      <c r="Q7">
        <v>36146.980000000003</v>
      </c>
      <c r="R7">
        <v>10293.959999999999</v>
      </c>
      <c r="S7">
        <v>3659.82931022</v>
      </c>
      <c r="T7">
        <v>0</v>
      </c>
      <c r="U7">
        <v>0</v>
      </c>
      <c r="V7">
        <v>10293.959999999999</v>
      </c>
      <c r="W7" t="s">
        <v>2578</v>
      </c>
      <c r="X7" t="s">
        <v>271</v>
      </c>
      <c r="Y7" t="s">
        <v>3804</v>
      </c>
      <c r="AA7" t="s">
        <v>3805</v>
      </c>
      <c r="AB7" t="s">
        <v>181</v>
      </c>
    </row>
    <row r="8" spans="1:28" x14ac:dyDescent="0.25">
      <c r="A8" t="s">
        <v>3793</v>
      </c>
      <c r="B8" t="s">
        <v>3794</v>
      </c>
      <c r="C8" t="s">
        <v>646</v>
      </c>
      <c r="D8" t="s">
        <v>3779</v>
      </c>
      <c r="E8" t="s">
        <v>647</v>
      </c>
      <c r="F8" t="s">
        <v>666</v>
      </c>
      <c r="G8" t="s">
        <v>666</v>
      </c>
      <c r="H8" t="s">
        <v>713</v>
      </c>
      <c r="I8" t="s">
        <v>1712</v>
      </c>
      <c r="J8" t="s">
        <v>335</v>
      </c>
      <c r="K8" t="s">
        <v>166</v>
      </c>
      <c r="L8" t="s">
        <v>0</v>
      </c>
      <c r="M8" t="s">
        <v>178</v>
      </c>
      <c r="N8">
        <v>1272.5</v>
      </c>
      <c r="O8">
        <v>1115.5</v>
      </c>
      <c r="P8">
        <v>32610.86</v>
      </c>
      <c r="Q8">
        <v>10676.75</v>
      </c>
      <c r="R8">
        <v>3349.5991071399999</v>
      </c>
      <c r="S8">
        <v>1725.0581687700001</v>
      </c>
      <c r="T8">
        <v>1.45910714</v>
      </c>
      <c r="U8">
        <v>0</v>
      </c>
      <c r="V8">
        <v>3348.14</v>
      </c>
      <c r="W8" t="s">
        <v>572</v>
      </c>
      <c r="X8" t="s">
        <v>271</v>
      </c>
      <c r="Y8" t="s">
        <v>3795</v>
      </c>
      <c r="AA8" t="s">
        <v>3796</v>
      </c>
      <c r="AB8" t="s">
        <v>181</v>
      </c>
    </row>
    <row r="9" spans="1:28" x14ac:dyDescent="0.25">
      <c r="A9" t="s">
        <v>3806</v>
      </c>
      <c r="B9" t="s">
        <v>3807</v>
      </c>
      <c r="C9" t="s">
        <v>646</v>
      </c>
      <c r="D9" t="s">
        <v>3779</v>
      </c>
      <c r="E9" t="s">
        <v>647</v>
      </c>
      <c r="F9" t="s">
        <v>3780</v>
      </c>
      <c r="G9" t="s">
        <v>769</v>
      </c>
      <c r="H9" t="s">
        <v>802</v>
      </c>
      <c r="I9" t="s">
        <v>2071</v>
      </c>
      <c r="J9" t="s">
        <v>1664</v>
      </c>
      <c r="K9" t="s">
        <v>166</v>
      </c>
      <c r="L9" t="s">
        <v>0</v>
      </c>
      <c r="M9" t="s">
        <v>178</v>
      </c>
      <c r="N9">
        <v>130.05000000000001</v>
      </c>
      <c r="O9">
        <v>113</v>
      </c>
      <c r="P9">
        <v>1614</v>
      </c>
      <c r="Q9">
        <v>5907.97</v>
      </c>
      <c r="R9">
        <v>1164.43</v>
      </c>
      <c r="S9">
        <v>531.20359266000003</v>
      </c>
      <c r="T9">
        <v>0</v>
      </c>
      <c r="U9">
        <v>0</v>
      </c>
      <c r="V9">
        <v>1164.43</v>
      </c>
      <c r="W9" t="s">
        <v>1665</v>
      </c>
      <c r="X9" t="s">
        <v>271</v>
      </c>
      <c r="Y9" t="s">
        <v>3808</v>
      </c>
      <c r="AA9" t="s">
        <v>3809</v>
      </c>
      <c r="AB9" t="s">
        <v>181</v>
      </c>
    </row>
    <row r="10" spans="1:28" x14ac:dyDescent="0.25">
      <c r="A10" t="s">
        <v>3810</v>
      </c>
      <c r="B10" t="s">
        <v>3811</v>
      </c>
      <c r="C10" t="s">
        <v>646</v>
      </c>
      <c r="D10" t="s">
        <v>3779</v>
      </c>
      <c r="E10" t="s">
        <v>647</v>
      </c>
      <c r="F10" t="s">
        <v>3780</v>
      </c>
      <c r="G10" t="s">
        <v>769</v>
      </c>
      <c r="H10" t="s">
        <v>683</v>
      </c>
      <c r="I10" t="s">
        <v>771</v>
      </c>
      <c r="J10" t="s">
        <v>319</v>
      </c>
      <c r="K10" t="s">
        <v>166</v>
      </c>
      <c r="L10" t="s">
        <v>0</v>
      </c>
      <c r="M10" t="s">
        <v>178</v>
      </c>
      <c r="N10">
        <v>3338</v>
      </c>
      <c r="O10">
        <v>562</v>
      </c>
      <c r="P10">
        <v>51801.34</v>
      </c>
      <c r="Q10">
        <v>101894.42</v>
      </c>
      <c r="R10">
        <v>8752.9446712900008</v>
      </c>
      <c r="S10">
        <v>8640.9036923999993</v>
      </c>
      <c r="T10">
        <v>566.57467128999997</v>
      </c>
      <c r="U10">
        <v>0</v>
      </c>
      <c r="V10">
        <v>8755.3700000000008</v>
      </c>
      <c r="W10" t="s">
        <v>0</v>
      </c>
      <c r="X10" t="s">
        <v>271</v>
      </c>
      <c r="Y10" t="s">
        <v>3812</v>
      </c>
      <c r="AA10" t="s">
        <v>3813</v>
      </c>
      <c r="AB10" t="s">
        <v>181</v>
      </c>
    </row>
    <row r="11" spans="1:28" x14ac:dyDescent="0.25">
      <c r="A11" t="s">
        <v>3814</v>
      </c>
      <c r="B11" t="s">
        <v>3815</v>
      </c>
      <c r="C11" t="s">
        <v>646</v>
      </c>
      <c r="D11" t="s">
        <v>3779</v>
      </c>
      <c r="E11" t="s">
        <v>647</v>
      </c>
      <c r="F11" t="s">
        <v>3780</v>
      </c>
      <c r="G11" t="s">
        <v>769</v>
      </c>
      <c r="H11" t="s">
        <v>683</v>
      </c>
      <c r="I11" t="s">
        <v>3816</v>
      </c>
      <c r="J11" t="s">
        <v>548</v>
      </c>
      <c r="K11" t="s">
        <v>166</v>
      </c>
      <c r="L11" t="s">
        <v>0</v>
      </c>
      <c r="M11" t="s">
        <v>178</v>
      </c>
      <c r="N11">
        <v>213.9333</v>
      </c>
      <c r="O11">
        <v>43</v>
      </c>
      <c r="P11">
        <v>3807.66</v>
      </c>
      <c r="Q11">
        <v>7956.44</v>
      </c>
      <c r="R11">
        <v>727.13141007000002</v>
      </c>
      <c r="S11">
        <v>948.95681645000002</v>
      </c>
      <c r="T11">
        <v>36.361410069999998</v>
      </c>
      <c r="U11">
        <v>0</v>
      </c>
      <c r="V11">
        <v>726.77</v>
      </c>
      <c r="W11" t="s">
        <v>241</v>
      </c>
      <c r="X11" t="s">
        <v>271</v>
      </c>
      <c r="Y11" t="s">
        <v>3817</v>
      </c>
      <c r="AA11" t="s">
        <v>3818</v>
      </c>
      <c r="AB11" t="s">
        <v>181</v>
      </c>
    </row>
    <row r="12" spans="1:28" x14ac:dyDescent="0.25">
      <c r="A12" t="s">
        <v>3819</v>
      </c>
      <c r="B12" t="s">
        <v>3820</v>
      </c>
      <c r="C12" t="s">
        <v>646</v>
      </c>
      <c r="D12" t="s">
        <v>3779</v>
      </c>
      <c r="E12" t="s">
        <v>647</v>
      </c>
      <c r="F12" t="s">
        <v>3780</v>
      </c>
      <c r="G12" t="s">
        <v>769</v>
      </c>
      <c r="H12" t="s">
        <v>797</v>
      </c>
      <c r="I12" t="s">
        <v>798</v>
      </c>
      <c r="J12" t="s">
        <v>524</v>
      </c>
      <c r="K12" t="s">
        <v>166</v>
      </c>
      <c r="L12" t="s">
        <v>0</v>
      </c>
      <c r="M12" t="s">
        <v>178</v>
      </c>
      <c r="N12">
        <v>185</v>
      </c>
      <c r="O12">
        <v>153</v>
      </c>
      <c r="P12">
        <v>2101.17</v>
      </c>
      <c r="Q12">
        <v>7026.2</v>
      </c>
      <c r="R12">
        <v>1558.16872405</v>
      </c>
      <c r="S12">
        <v>1307.8702141799999</v>
      </c>
      <c r="T12">
        <v>2.8724050000000001E-2</v>
      </c>
      <c r="U12">
        <v>0</v>
      </c>
      <c r="V12">
        <v>1558.14</v>
      </c>
      <c r="W12" t="s">
        <v>258</v>
      </c>
      <c r="X12" t="s">
        <v>271</v>
      </c>
      <c r="Y12" t="s">
        <v>3821</v>
      </c>
      <c r="AA12" t="s">
        <v>3822</v>
      </c>
      <c r="AB12" t="s">
        <v>181</v>
      </c>
    </row>
    <row r="13" spans="1:28" x14ac:dyDescent="0.25">
      <c r="A13" t="s">
        <v>3823</v>
      </c>
      <c r="B13" t="s">
        <v>3824</v>
      </c>
      <c r="C13" t="s">
        <v>646</v>
      </c>
      <c r="D13" t="s">
        <v>3779</v>
      </c>
      <c r="E13" t="s">
        <v>647</v>
      </c>
      <c r="F13" t="s">
        <v>3780</v>
      </c>
      <c r="G13" t="s">
        <v>769</v>
      </c>
      <c r="H13" t="s">
        <v>802</v>
      </c>
      <c r="I13" t="s">
        <v>1801</v>
      </c>
      <c r="J13" t="s">
        <v>437</v>
      </c>
      <c r="K13" t="s">
        <v>166</v>
      </c>
      <c r="L13" t="s">
        <v>0</v>
      </c>
      <c r="M13" t="s">
        <v>178</v>
      </c>
      <c r="N13">
        <v>44.041600000000003</v>
      </c>
      <c r="O13">
        <v>43.041600000000003</v>
      </c>
      <c r="P13">
        <v>1251.3599999999999</v>
      </c>
      <c r="Q13">
        <v>3221.95</v>
      </c>
      <c r="R13">
        <v>496.95</v>
      </c>
      <c r="S13">
        <v>367.72230390999999</v>
      </c>
      <c r="T13">
        <v>0</v>
      </c>
      <c r="U13">
        <v>0</v>
      </c>
      <c r="V13">
        <v>496.95</v>
      </c>
      <c r="W13" t="s">
        <v>510</v>
      </c>
      <c r="X13" t="s">
        <v>271</v>
      </c>
      <c r="Y13" t="s">
        <v>3825</v>
      </c>
      <c r="AA13" t="s">
        <v>3826</v>
      </c>
      <c r="AB13" t="s">
        <v>181</v>
      </c>
    </row>
    <row r="14" spans="1:28" x14ac:dyDescent="0.25">
      <c r="A14" t="s">
        <v>3827</v>
      </c>
      <c r="B14" t="s">
        <v>3828</v>
      </c>
      <c r="C14" t="s">
        <v>646</v>
      </c>
      <c r="D14" t="s">
        <v>3779</v>
      </c>
      <c r="E14" t="s">
        <v>647</v>
      </c>
      <c r="F14" t="s">
        <v>3780</v>
      </c>
      <c r="G14" t="s">
        <v>769</v>
      </c>
      <c r="H14" t="s">
        <v>757</v>
      </c>
      <c r="I14" t="s">
        <v>3829</v>
      </c>
      <c r="J14" t="s">
        <v>3830</v>
      </c>
      <c r="K14" t="s">
        <v>166</v>
      </c>
      <c r="L14" t="s">
        <v>0</v>
      </c>
      <c r="M14" t="s">
        <v>178</v>
      </c>
      <c r="N14">
        <v>279</v>
      </c>
      <c r="O14">
        <v>101</v>
      </c>
      <c r="P14">
        <v>4852.4399999999996</v>
      </c>
      <c r="Q14">
        <v>7459.66</v>
      </c>
      <c r="R14">
        <v>2078.54</v>
      </c>
      <c r="S14">
        <v>1182.94423181</v>
      </c>
      <c r="T14">
        <v>0</v>
      </c>
      <c r="U14">
        <v>0</v>
      </c>
      <c r="V14">
        <v>2078.54</v>
      </c>
      <c r="W14" t="s">
        <v>3831</v>
      </c>
      <c r="X14" t="s">
        <v>271</v>
      </c>
      <c r="Y14" t="s">
        <v>3832</v>
      </c>
      <c r="AA14" t="s">
        <v>3833</v>
      </c>
      <c r="AB14" t="s">
        <v>181</v>
      </c>
    </row>
    <row r="15" spans="1:28" x14ac:dyDescent="0.25">
      <c r="A15" t="s">
        <v>3834</v>
      </c>
      <c r="B15" t="s">
        <v>3835</v>
      </c>
      <c r="C15" t="s">
        <v>646</v>
      </c>
      <c r="D15" t="s">
        <v>3779</v>
      </c>
      <c r="E15" t="s">
        <v>647</v>
      </c>
      <c r="F15" t="s">
        <v>3780</v>
      </c>
      <c r="G15" t="s">
        <v>769</v>
      </c>
      <c r="H15" t="s">
        <v>679</v>
      </c>
      <c r="I15" t="s">
        <v>1251</v>
      </c>
      <c r="J15" t="s">
        <v>821</v>
      </c>
      <c r="K15" t="s">
        <v>166</v>
      </c>
      <c r="L15" t="s">
        <v>0</v>
      </c>
      <c r="M15" t="s">
        <v>178</v>
      </c>
      <c r="N15">
        <v>137</v>
      </c>
      <c r="O15">
        <v>99</v>
      </c>
      <c r="P15">
        <v>2074.23</v>
      </c>
      <c r="Q15">
        <v>7313.89</v>
      </c>
      <c r="R15">
        <v>1834.8928017200001</v>
      </c>
      <c r="S15">
        <v>2001.44509522</v>
      </c>
      <c r="T15">
        <v>-3.5271982799999999</v>
      </c>
      <c r="U15">
        <v>0</v>
      </c>
      <c r="V15">
        <v>1838.42</v>
      </c>
      <c r="W15" t="s">
        <v>822</v>
      </c>
      <c r="X15" t="s">
        <v>269</v>
      </c>
      <c r="Y15" t="s">
        <v>3836</v>
      </c>
      <c r="AA15" t="s">
        <v>3837</v>
      </c>
      <c r="AB15" t="s">
        <v>181</v>
      </c>
    </row>
    <row r="16" spans="1:28" x14ac:dyDescent="0.25">
      <c r="A16" t="s">
        <v>3838</v>
      </c>
      <c r="B16" t="s">
        <v>3839</v>
      </c>
      <c r="C16" t="s">
        <v>646</v>
      </c>
      <c r="D16" t="s">
        <v>3779</v>
      </c>
      <c r="E16" t="s">
        <v>647</v>
      </c>
      <c r="F16" t="s">
        <v>3780</v>
      </c>
      <c r="G16" t="s">
        <v>769</v>
      </c>
      <c r="H16" t="s">
        <v>909</v>
      </c>
      <c r="I16" t="s">
        <v>906</v>
      </c>
      <c r="J16" t="s">
        <v>907</v>
      </c>
      <c r="K16" t="s">
        <v>166</v>
      </c>
      <c r="L16" t="s">
        <v>0</v>
      </c>
      <c r="M16" t="s">
        <v>178</v>
      </c>
      <c r="N16">
        <v>49</v>
      </c>
      <c r="O16">
        <v>44</v>
      </c>
      <c r="P16">
        <v>1628.76</v>
      </c>
      <c r="Q16">
        <v>1715.23</v>
      </c>
      <c r="R16">
        <v>322.38</v>
      </c>
      <c r="S16">
        <v>357.44341351000003</v>
      </c>
      <c r="T16">
        <v>0</v>
      </c>
      <c r="U16">
        <v>0</v>
      </c>
      <c r="V16">
        <v>322.38</v>
      </c>
      <c r="W16" t="s">
        <v>272</v>
      </c>
      <c r="X16" t="s">
        <v>269</v>
      </c>
      <c r="Y16" t="s">
        <v>3840</v>
      </c>
      <c r="AA16" t="s">
        <v>3841</v>
      </c>
      <c r="AB16" t="s">
        <v>181</v>
      </c>
    </row>
    <row r="17" spans="1:28" x14ac:dyDescent="0.25">
      <c r="A17" t="s">
        <v>3788</v>
      </c>
      <c r="B17" t="s">
        <v>3789</v>
      </c>
      <c r="C17" t="s">
        <v>646</v>
      </c>
      <c r="D17" t="s">
        <v>3779</v>
      </c>
      <c r="E17" t="s">
        <v>647</v>
      </c>
      <c r="F17" t="s">
        <v>3780</v>
      </c>
      <c r="G17" t="s">
        <v>769</v>
      </c>
      <c r="H17" t="s">
        <v>649</v>
      </c>
      <c r="I17" t="s">
        <v>3790</v>
      </c>
      <c r="J17" t="s">
        <v>599</v>
      </c>
      <c r="K17" t="s">
        <v>166</v>
      </c>
      <c r="L17" t="s">
        <v>0</v>
      </c>
      <c r="M17" t="s">
        <v>178</v>
      </c>
      <c r="N17">
        <v>395</v>
      </c>
      <c r="O17">
        <v>312</v>
      </c>
      <c r="P17">
        <v>6465.66</v>
      </c>
      <c r="Q17">
        <v>21998.85</v>
      </c>
      <c r="R17">
        <v>1007.59</v>
      </c>
      <c r="S17">
        <v>1407.3625501900001</v>
      </c>
      <c r="T17">
        <v>0</v>
      </c>
      <c r="U17">
        <v>209.59</v>
      </c>
      <c r="V17">
        <v>1217.18</v>
      </c>
      <c r="W17" t="s">
        <v>598</v>
      </c>
      <c r="X17" t="s">
        <v>271</v>
      </c>
      <c r="Y17" t="s">
        <v>3791</v>
      </c>
      <c r="AA17" t="s">
        <v>3792</v>
      </c>
      <c r="AB17" t="s">
        <v>181</v>
      </c>
    </row>
    <row r="18" spans="1:28" x14ac:dyDescent="0.25">
      <c r="A18" t="s">
        <v>3842</v>
      </c>
      <c r="B18" t="s">
        <v>3843</v>
      </c>
      <c r="C18" t="s">
        <v>646</v>
      </c>
      <c r="D18" t="s">
        <v>3779</v>
      </c>
      <c r="E18" t="s">
        <v>647</v>
      </c>
      <c r="F18" t="s">
        <v>3780</v>
      </c>
      <c r="G18" t="s">
        <v>769</v>
      </c>
      <c r="H18" t="s">
        <v>649</v>
      </c>
      <c r="I18" t="s">
        <v>3844</v>
      </c>
      <c r="J18" t="s">
        <v>3845</v>
      </c>
      <c r="K18" t="s">
        <v>166</v>
      </c>
      <c r="L18" t="s">
        <v>0</v>
      </c>
      <c r="M18" t="s">
        <v>178</v>
      </c>
      <c r="N18">
        <v>623</v>
      </c>
      <c r="O18">
        <v>16</v>
      </c>
      <c r="P18">
        <v>7469.46</v>
      </c>
      <c r="Q18">
        <v>27013.68</v>
      </c>
      <c r="R18">
        <v>1754.68</v>
      </c>
      <c r="S18">
        <v>2054.5005427599999</v>
      </c>
      <c r="T18">
        <v>0</v>
      </c>
      <c r="U18">
        <v>0</v>
      </c>
      <c r="V18">
        <v>1754.68</v>
      </c>
      <c r="W18" t="s">
        <v>3846</v>
      </c>
      <c r="X18" t="s">
        <v>271</v>
      </c>
      <c r="Y18" t="s">
        <v>3847</v>
      </c>
      <c r="AA18" t="s">
        <v>3848</v>
      </c>
      <c r="AB18" t="s">
        <v>181</v>
      </c>
    </row>
    <row r="19" spans="1:28" x14ac:dyDescent="0.25">
      <c r="A19" t="s">
        <v>3849</v>
      </c>
      <c r="B19" t="s">
        <v>3850</v>
      </c>
      <c r="C19" t="s">
        <v>646</v>
      </c>
      <c r="D19" t="s">
        <v>3779</v>
      </c>
      <c r="E19" t="s">
        <v>647</v>
      </c>
      <c r="F19" t="s">
        <v>3780</v>
      </c>
      <c r="G19" t="s">
        <v>769</v>
      </c>
      <c r="H19" t="s">
        <v>1171</v>
      </c>
      <c r="I19" t="s">
        <v>1184</v>
      </c>
      <c r="J19" t="s">
        <v>1185</v>
      </c>
      <c r="K19" t="s">
        <v>166</v>
      </c>
      <c r="L19" t="s">
        <v>0</v>
      </c>
      <c r="M19" t="s">
        <v>178</v>
      </c>
      <c r="N19">
        <v>59</v>
      </c>
      <c r="O19">
        <v>11</v>
      </c>
      <c r="P19">
        <v>3189.06</v>
      </c>
      <c r="Q19">
        <v>19918.490000000002</v>
      </c>
      <c r="R19">
        <v>857.02264667999998</v>
      </c>
      <c r="S19">
        <v>264.12631964000002</v>
      </c>
      <c r="T19">
        <v>1.0826466800000001</v>
      </c>
      <c r="U19">
        <v>0</v>
      </c>
      <c r="V19">
        <v>855.94</v>
      </c>
      <c r="W19" t="s">
        <v>1186</v>
      </c>
      <c r="X19" t="s">
        <v>271</v>
      </c>
      <c r="Y19" t="s">
        <v>3851</v>
      </c>
      <c r="AA19" t="s">
        <v>3852</v>
      </c>
      <c r="AB19" t="s">
        <v>181</v>
      </c>
    </row>
    <row r="20" spans="1:28" x14ac:dyDescent="0.25">
      <c r="A20" t="s">
        <v>3788</v>
      </c>
      <c r="B20" t="s">
        <v>3789</v>
      </c>
      <c r="C20" t="s">
        <v>646</v>
      </c>
      <c r="D20" t="s">
        <v>3779</v>
      </c>
      <c r="E20" t="s">
        <v>647</v>
      </c>
      <c r="F20" t="s">
        <v>3780</v>
      </c>
      <c r="G20" t="s">
        <v>769</v>
      </c>
      <c r="H20" t="s">
        <v>1045</v>
      </c>
      <c r="I20" t="s">
        <v>3790</v>
      </c>
      <c r="J20" t="s">
        <v>599</v>
      </c>
      <c r="K20" t="s">
        <v>166</v>
      </c>
      <c r="L20" t="s">
        <v>0</v>
      </c>
      <c r="M20" t="s">
        <v>178</v>
      </c>
      <c r="N20">
        <v>145</v>
      </c>
      <c r="O20">
        <v>130</v>
      </c>
      <c r="P20">
        <v>2207.5</v>
      </c>
      <c r="Q20">
        <v>12982.24</v>
      </c>
      <c r="R20">
        <v>664.93</v>
      </c>
      <c r="S20">
        <v>1118.8283133100001</v>
      </c>
      <c r="T20">
        <v>0</v>
      </c>
      <c r="U20">
        <v>6.27</v>
      </c>
      <c r="V20">
        <v>671.2</v>
      </c>
      <c r="W20" t="s">
        <v>598</v>
      </c>
      <c r="X20" t="s">
        <v>271</v>
      </c>
      <c r="Y20" t="s">
        <v>3791</v>
      </c>
      <c r="AA20" t="s">
        <v>3792</v>
      </c>
      <c r="AB20" t="s">
        <v>181</v>
      </c>
    </row>
    <row r="21" spans="1:28" x14ac:dyDescent="0.25">
      <c r="A21" t="s">
        <v>3810</v>
      </c>
      <c r="B21" t="s">
        <v>3811</v>
      </c>
      <c r="C21" t="s">
        <v>646</v>
      </c>
      <c r="D21" t="s">
        <v>3779</v>
      </c>
      <c r="E21" t="s">
        <v>647</v>
      </c>
      <c r="F21" t="s">
        <v>3780</v>
      </c>
      <c r="G21" t="s">
        <v>769</v>
      </c>
      <c r="H21" t="s">
        <v>802</v>
      </c>
      <c r="I21" t="s">
        <v>771</v>
      </c>
      <c r="J21" t="s">
        <v>319</v>
      </c>
      <c r="K21" t="s">
        <v>166</v>
      </c>
      <c r="L21" t="s">
        <v>0</v>
      </c>
      <c r="M21" t="s">
        <v>178</v>
      </c>
      <c r="N21">
        <v>952.5</v>
      </c>
      <c r="O21">
        <v>858.5</v>
      </c>
      <c r="P21">
        <v>12180.05</v>
      </c>
      <c r="Q21">
        <v>34177.089999999997</v>
      </c>
      <c r="R21">
        <v>2915.92</v>
      </c>
      <c r="S21">
        <v>3569.7038139000001</v>
      </c>
      <c r="T21">
        <v>0</v>
      </c>
      <c r="U21">
        <v>0</v>
      </c>
      <c r="V21">
        <v>2915.92</v>
      </c>
      <c r="W21" t="s">
        <v>0</v>
      </c>
      <c r="X21" t="s">
        <v>271</v>
      </c>
      <c r="Y21" t="s">
        <v>3812</v>
      </c>
      <c r="AA21" t="s">
        <v>3813</v>
      </c>
      <c r="AB21" t="s">
        <v>181</v>
      </c>
    </row>
    <row r="22" spans="1:28" x14ac:dyDescent="0.25">
      <c r="A22" t="s">
        <v>3853</v>
      </c>
      <c r="B22" t="s">
        <v>3854</v>
      </c>
      <c r="C22" t="s">
        <v>646</v>
      </c>
      <c r="D22" t="s">
        <v>3779</v>
      </c>
      <c r="E22" t="s">
        <v>647</v>
      </c>
      <c r="F22" t="s">
        <v>3780</v>
      </c>
      <c r="G22" t="s">
        <v>769</v>
      </c>
      <c r="H22" t="s">
        <v>713</v>
      </c>
      <c r="I22" t="s">
        <v>746</v>
      </c>
      <c r="J22" t="s">
        <v>504</v>
      </c>
      <c r="K22" t="s">
        <v>166</v>
      </c>
      <c r="L22" t="s">
        <v>0</v>
      </c>
      <c r="M22" t="s">
        <v>178</v>
      </c>
      <c r="N22">
        <v>218</v>
      </c>
      <c r="O22">
        <v>59</v>
      </c>
      <c r="P22">
        <v>5032.1499999999996</v>
      </c>
      <c r="Q22">
        <v>3550.95</v>
      </c>
      <c r="R22">
        <v>784.65</v>
      </c>
      <c r="S22">
        <v>207.07344125</v>
      </c>
      <c r="T22">
        <v>0</v>
      </c>
      <c r="U22">
        <v>0</v>
      </c>
      <c r="V22">
        <v>784.65</v>
      </c>
      <c r="W22" t="s">
        <v>503</v>
      </c>
      <c r="X22" t="s">
        <v>271</v>
      </c>
      <c r="Y22" t="s">
        <v>3855</v>
      </c>
      <c r="AA22" t="s">
        <v>3856</v>
      </c>
      <c r="AB22" t="s">
        <v>181</v>
      </c>
    </row>
    <row r="23" spans="1:28" x14ac:dyDescent="0.25">
      <c r="A23" t="s">
        <v>3857</v>
      </c>
      <c r="B23" t="s">
        <v>3858</v>
      </c>
      <c r="C23" t="s">
        <v>646</v>
      </c>
      <c r="D23" t="s">
        <v>3779</v>
      </c>
      <c r="E23" t="s">
        <v>647</v>
      </c>
      <c r="F23" t="s">
        <v>3780</v>
      </c>
      <c r="G23" t="s">
        <v>769</v>
      </c>
      <c r="H23" t="s">
        <v>683</v>
      </c>
      <c r="I23" t="s">
        <v>952</v>
      </c>
      <c r="J23" t="s">
        <v>434</v>
      </c>
      <c r="K23" t="s">
        <v>166</v>
      </c>
      <c r="L23" t="s">
        <v>0</v>
      </c>
      <c r="M23" t="s">
        <v>178</v>
      </c>
      <c r="N23">
        <v>163</v>
      </c>
      <c r="O23">
        <v>86</v>
      </c>
      <c r="P23">
        <v>2144.0700000000002</v>
      </c>
      <c r="Q23">
        <v>8450</v>
      </c>
      <c r="R23">
        <v>1817.52</v>
      </c>
      <c r="S23">
        <v>710.06740788000002</v>
      </c>
      <c r="T23">
        <v>0</v>
      </c>
      <c r="U23">
        <v>0</v>
      </c>
      <c r="V23">
        <v>1817.52</v>
      </c>
      <c r="W23" t="s">
        <v>466</v>
      </c>
      <c r="X23" t="s">
        <v>271</v>
      </c>
      <c r="Y23" t="s">
        <v>3859</v>
      </c>
      <c r="AA23" t="s">
        <v>3860</v>
      </c>
      <c r="AB23" t="s">
        <v>181</v>
      </c>
    </row>
    <row r="24" spans="1:28" x14ac:dyDescent="0.25">
      <c r="A24" t="s">
        <v>3861</v>
      </c>
      <c r="B24" t="s">
        <v>3862</v>
      </c>
      <c r="C24" t="s">
        <v>646</v>
      </c>
      <c r="D24" t="s">
        <v>3779</v>
      </c>
      <c r="E24" t="s">
        <v>647</v>
      </c>
      <c r="F24" t="s">
        <v>3780</v>
      </c>
      <c r="G24" t="s">
        <v>769</v>
      </c>
      <c r="H24" t="s">
        <v>679</v>
      </c>
      <c r="I24" t="s">
        <v>2065</v>
      </c>
      <c r="J24" t="s">
        <v>2066</v>
      </c>
      <c r="K24" t="s">
        <v>166</v>
      </c>
      <c r="L24" t="s">
        <v>0</v>
      </c>
      <c r="M24" t="s">
        <v>178</v>
      </c>
      <c r="N24">
        <v>17</v>
      </c>
      <c r="O24">
        <v>14</v>
      </c>
      <c r="P24">
        <v>150.66999999999999</v>
      </c>
      <c r="Q24">
        <v>647.91</v>
      </c>
      <c r="R24">
        <v>60.383500079999997</v>
      </c>
      <c r="S24">
        <v>268.00107786000001</v>
      </c>
      <c r="T24">
        <v>-0.33649992000000001</v>
      </c>
      <c r="U24">
        <v>0</v>
      </c>
      <c r="V24">
        <v>60.72</v>
      </c>
      <c r="W24" t="s">
        <v>2067</v>
      </c>
      <c r="X24" t="s">
        <v>271</v>
      </c>
      <c r="Y24" t="s">
        <v>3863</v>
      </c>
      <c r="AA24" t="s">
        <v>3864</v>
      </c>
      <c r="AB24" t="s">
        <v>181</v>
      </c>
    </row>
    <row r="25" spans="1:28" x14ac:dyDescent="0.25">
      <c r="A25" t="s">
        <v>3865</v>
      </c>
      <c r="B25" t="s">
        <v>3866</v>
      </c>
      <c r="C25" t="s">
        <v>646</v>
      </c>
      <c r="D25" t="s">
        <v>3779</v>
      </c>
      <c r="E25" t="s">
        <v>647</v>
      </c>
      <c r="F25" t="s">
        <v>3780</v>
      </c>
      <c r="G25" t="s">
        <v>769</v>
      </c>
      <c r="H25" t="s">
        <v>672</v>
      </c>
      <c r="I25" t="s">
        <v>3867</v>
      </c>
      <c r="J25" t="s">
        <v>881</v>
      </c>
      <c r="K25" t="s">
        <v>166</v>
      </c>
      <c r="L25" t="s">
        <v>0</v>
      </c>
      <c r="M25" t="s">
        <v>178</v>
      </c>
      <c r="N25">
        <v>179</v>
      </c>
      <c r="O25">
        <v>141</v>
      </c>
      <c r="P25">
        <v>3939</v>
      </c>
      <c r="Q25">
        <v>9809.5300000000007</v>
      </c>
      <c r="R25">
        <v>1094.00833554</v>
      </c>
      <c r="S25">
        <v>2547.44557463</v>
      </c>
      <c r="T25">
        <v>0.13833554000000001</v>
      </c>
      <c r="U25">
        <v>0</v>
      </c>
      <c r="V25">
        <v>1093.8699999999999</v>
      </c>
      <c r="W25" t="s">
        <v>0</v>
      </c>
      <c r="X25" t="s">
        <v>271</v>
      </c>
      <c r="Y25" t="s">
        <v>3868</v>
      </c>
      <c r="AA25" t="s">
        <v>3869</v>
      </c>
      <c r="AB25" t="s">
        <v>181</v>
      </c>
    </row>
    <row r="26" spans="1:28" x14ac:dyDescent="0.25">
      <c r="A26" t="s">
        <v>3870</v>
      </c>
      <c r="B26" t="s">
        <v>3871</v>
      </c>
      <c r="C26" t="s">
        <v>646</v>
      </c>
      <c r="D26" t="s">
        <v>3779</v>
      </c>
      <c r="E26" t="s">
        <v>647</v>
      </c>
      <c r="F26" t="s">
        <v>666</v>
      </c>
      <c r="G26" t="s">
        <v>666</v>
      </c>
      <c r="H26" t="s">
        <v>761</v>
      </c>
      <c r="I26" t="s">
        <v>3872</v>
      </c>
      <c r="J26" t="s">
        <v>355</v>
      </c>
      <c r="K26" t="s">
        <v>166</v>
      </c>
      <c r="L26" t="s">
        <v>0</v>
      </c>
      <c r="M26" t="s">
        <v>178</v>
      </c>
      <c r="N26">
        <v>2</v>
      </c>
      <c r="O26">
        <v>2</v>
      </c>
      <c r="P26">
        <v>66</v>
      </c>
      <c r="Q26">
        <v>117.44</v>
      </c>
      <c r="R26">
        <v>11.44</v>
      </c>
      <c r="S26">
        <v>17.951634009999999</v>
      </c>
      <c r="T26">
        <v>0</v>
      </c>
      <c r="U26">
        <v>0</v>
      </c>
      <c r="V26">
        <v>11.44</v>
      </c>
      <c r="W26" t="s">
        <v>0</v>
      </c>
      <c r="X26" t="s">
        <v>271</v>
      </c>
      <c r="Y26" t="s">
        <v>3873</v>
      </c>
      <c r="AA26" t="s">
        <v>3874</v>
      </c>
      <c r="AB26" t="s">
        <v>181</v>
      </c>
    </row>
    <row r="27" spans="1:28" x14ac:dyDescent="0.25">
      <c r="A27" t="s">
        <v>3875</v>
      </c>
      <c r="B27" t="s">
        <v>3876</v>
      </c>
      <c r="C27" t="s">
        <v>646</v>
      </c>
      <c r="D27" t="s">
        <v>3779</v>
      </c>
      <c r="E27" t="s">
        <v>647</v>
      </c>
      <c r="F27" t="s">
        <v>3780</v>
      </c>
      <c r="G27" t="s">
        <v>769</v>
      </c>
      <c r="H27" t="s">
        <v>713</v>
      </c>
      <c r="I27" t="s">
        <v>1190</v>
      </c>
      <c r="J27" t="s">
        <v>1191</v>
      </c>
      <c r="K27" t="s">
        <v>166</v>
      </c>
      <c r="L27" t="s">
        <v>0</v>
      </c>
      <c r="M27" t="s">
        <v>178</v>
      </c>
      <c r="N27">
        <v>1327</v>
      </c>
      <c r="O27">
        <v>9</v>
      </c>
      <c r="P27">
        <v>30374.74</v>
      </c>
      <c r="Q27">
        <v>13667.43</v>
      </c>
      <c r="R27">
        <v>1475.07</v>
      </c>
      <c r="S27">
        <v>1473.64706729</v>
      </c>
      <c r="T27">
        <v>7</v>
      </c>
      <c r="U27">
        <v>60.01</v>
      </c>
      <c r="V27">
        <v>1535.08</v>
      </c>
      <c r="W27" t="s">
        <v>282</v>
      </c>
      <c r="X27" t="s">
        <v>271</v>
      </c>
      <c r="Y27" t="s">
        <v>2170</v>
      </c>
      <c r="AA27" t="s">
        <v>2171</v>
      </c>
      <c r="AB27" t="s">
        <v>181</v>
      </c>
    </row>
    <row r="28" spans="1:28" x14ac:dyDescent="0.25">
      <c r="A28" t="s">
        <v>3877</v>
      </c>
      <c r="B28" t="s">
        <v>3878</v>
      </c>
      <c r="C28" t="s">
        <v>646</v>
      </c>
      <c r="D28" t="s">
        <v>3779</v>
      </c>
      <c r="E28" t="s">
        <v>647</v>
      </c>
      <c r="F28" t="s">
        <v>648</v>
      </c>
      <c r="G28" t="s">
        <v>648</v>
      </c>
      <c r="H28" t="s">
        <v>1171</v>
      </c>
      <c r="I28" t="s">
        <v>3879</v>
      </c>
      <c r="J28" t="s">
        <v>3880</v>
      </c>
      <c r="K28" t="s">
        <v>166</v>
      </c>
      <c r="L28" t="s">
        <v>0</v>
      </c>
      <c r="M28" t="s">
        <v>178</v>
      </c>
      <c r="N28">
        <v>13</v>
      </c>
      <c r="O28">
        <v>9</v>
      </c>
      <c r="P28">
        <v>530.70000000000005</v>
      </c>
      <c r="Q28">
        <v>4909.67</v>
      </c>
      <c r="R28">
        <v>280.77999999999997</v>
      </c>
      <c r="S28">
        <v>41.826946049999997</v>
      </c>
      <c r="T28">
        <v>0</v>
      </c>
      <c r="U28">
        <v>0</v>
      </c>
      <c r="V28">
        <v>280.77999999999997</v>
      </c>
      <c r="W28" t="s">
        <v>1079</v>
      </c>
      <c r="X28" t="s">
        <v>271</v>
      </c>
      <c r="Y28" t="s">
        <v>3881</v>
      </c>
      <c r="AA28" t="s">
        <v>3882</v>
      </c>
      <c r="AB28" t="s">
        <v>181</v>
      </c>
    </row>
    <row r="29" spans="1:28" x14ac:dyDescent="0.25">
      <c r="A29" t="s">
        <v>3883</v>
      </c>
      <c r="B29" t="s">
        <v>3884</v>
      </c>
      <c r="C29" t="s">
        <v>646</v>
      </c>
      <c r="D29" t="s">
        <v>3779</v>
      </c>
      <c r="E29" t="s">
        <v>647</v>
      </c>
      <c r="F29" t="s">
        <v>3780</v>
      </c>
      <c r="G29" t="s">
        <v>769</v>
      </c>
      <c r="H29" t="s">
        <v>1171</v>
      </c>
      <c r="I29" t="s">
        <v>3885</v>
      </c>
      <c r="J29" t="s">
        <v>1861</v>
      </c>
      <c r="K29" t="s">
        <v>166</v>
      </c>
      <c r="L29" t="s">
        <v>0</v>
      </c>
      <c r="M29" t="s">
        <v>178</v>
      </c>
      <c r="N29">
        <v>251</v>
      </c>
      <c r="O29">
        <v>0</v>
      </c>
      <c r="P29">
        <v>18432.48</v>
      </c>
      <c r="Q29">
        <v>80559.990000000005</v>
      </c>
      <c r="R29">
        <v>-908.62</v>
      </c>
      <c r="S29">
        <v>1712.75369613</v>
      </c>
      <c r="T29">
        <v>0</v>
      </c>
      <c r="U29">
        <v>0</v>
      </c>
      <c r="V29">
        <v>-908.62</v>
      </c>
      <c r="W29" t="s">
        <v>1862</v>
      </c>
      <c r="X29" t="s">
        <v>271</v>
      </c>
      <c r="Y29" t="s">
        <v>3886</v>
      </c>
      <c r="AA29" t="s">
        <v>3887</v>
      </c>
      <c r="AB29" t="s">
        <v>181</v>
      </c>
    </row>
    <row r="30" spans="1:28" x14ac:dyDescent="0.25">
      <c r="A30" t="s">
        <v>3888</v>
      </c>
      <c r="B30" t="s">
        <v>3889</v>
      </c>
      <c r="C30" t="s">
        <v>646</v>
      </c>
      <c r="D30" t="s">
        <v>3779</v>
      </c>
      <c r="E30" t="s">
        <v>647</v>
      </c>
      <c r="F30" t="s">
        <v>3780</v>
      </c>
      <c r="G30" t="s">
        <v>769</v>
      </c>
      <c r="H30" t="s">
        <v>909</v>
      </c>
      <c r="I30" t="s">
        <v>1368</v>
      </c>
      <c r="J30" t="s">
        <v>1369</v>
      </c>
      <c r="K30" t="s">
        <v>166</v>
      </c>
      <c r="L30" t="s">
        <v>0</v>
      </c>
      <c r="M30" t="s">
        <v>178</v>
      </c>
      <c r="N30">
        <v>82</v>
      </c>
      <c r="O30">
        <v>78</v>
      </c>
      <c r="P30">
        <v>2775</v>
      </c>
      <c r="Q30">
        <v>1404.74</v>
      </c>
      <c r="R30">
        <v>-103.5</v>
      </c>
      <c r="S30">
        <v>277.28509707000001</v>
      </c>
      <c r="T30">
        <v>0</v>
      </c>
      <c r="U30">
        <v>0</v>
      </c>
      <c r="V30">
        <v>-103.5</v>
      </c>
      <c r="W30" t="s">
        <v>1370</v>
      </c>
      <c r="X30" t="s">
        <v>271</v>
      </c>
      <c r="Y30" t="s">
        <v>3890</v>
      </c>
      <c r="AA30" t="s">
        <v>3891</v>
      </c>
      <c r="AB30" t="s">
        <v>181</v>
      </c>
    </row>
    <row r="31" spans="1:28" x14ac:dyDescent="0.25">
      <c r="A31" t="s">
        <v>3892</v>
      </c>
      <c r="B31" t="s">
        <v>3893</v>
      </c>
      <c r="C31" t="s">
        <v>646</v>
      </c>
      <c r="D31" t="s">
        <v>3779</v>
      </c>
      <c r="E31" t="s">
        <v>647</v>
      </c>
      <c r="F31" t="s">
        <v>666</v>
      </c>
      <c r="G31" t="s">
        <v>666</v>
      </c>
      <c r="H31" t="s">
        <v>683</v>
      </c>
      <c r="I31" t="s">
        <v>2102</v>
      </c>
      <c r="J31" t="s">
        <v>355</v>
      </c>
      <c r="K31" t="s">
        <v>166</v>
      </c>
      <c r="L31" t="s">
        <v>0</v>
      </c>
      <c r="M31" t="s">
        <v>178</v>
      </c>
      <c r="N31">
        <v>89</v>
      </c>
      <c r="O31">
        <v>18</v>
      </c>
      <c r="P31">
        <v>886.5</v>
      </c>
      <c r="Q31">
        <v>4207.5600000000004</v>
      </c>
      <c r="R31">
        <v>1046.72</v>
      </c>
      <c r="S31">
        <v>464.54723522</v>
      </c>
      <c r="T31">
        <v>0</v>
      </c>
      <c r="U31">
        <v>0</v>
      </c>
      <c r="V31">
        <v>1046.72</v>
      </c>
      <c r="W31" t="s">
        <v>0</v>
      </c>
      <c r="X31" t="s">
        <v>271</v>
      </c>
      <c r="Y31" t="s">
        <v>2103</v>
      </c>
      <c r="AA31" t="s">
        <v>3894</v>
      </c>
      <c r="AB31" t="s">
        <v>181</v>
      </c>
    </row>
    <row r="32" spans="1:28" x14ac:dyDescent="0.25">
      <c r="A32" t="s">
        <v>3895</v>
      </c>
      <c r="B32" t="s">
        <v>3896</v>
      </c>
      <c r="C32" t="s">
        <v>646</v>
      </c>
      <c r="D32" t="s">
        <v>3779</v>
      </c>
      <c r="E32" t="s">
        <v>647</v>
      </c>
      <c r="F32" t="s">
        <v>3780</v>
      </c>
      <c r="G32" t="s">
        <v>769</v>
      </c>
      <c r="H32" t="s">
        <v>856</v>
      </c>
      <c r="I32" t="s">
        <v>3897</v>
      </c>
      <c r="J32" t="s">
        <v>437</v>
      </c>
      <c r="K32" t="s">
        <v>166</v>
      </c>
      <c r="L32" t="s">
        <v>0</v>
      </c>
      <c r="M32" t="s">
        <v>178</v>
      </c>
      <c r="N32">
        <v>12</v>
      </c>
      <c r="O32">
        <v>6</v>
      </c>
      <c r="P32">
        <v>180</v>
      </c>
      <c r="Q32">
        <v>2184.04</v>
      </c>
      <c r="R32">
        <v>27.9</v>
      </c>
      <c r="S32">
        <v>46.016223760000003</v>
      </c>
      <c r="T32">
        <v>0</v>
      </c>
      <c r="U32">
        <v>0</v>
      </c>
      <c r="V32">
        <v>27.9</v>
      </c>
      <c r="W32" t="s">
        <v>510</v>
      </c>
      <c r="X32" t="s">
        <v>271</v>
      </c>
      <c r="Y32" t="s">
        <v>3898</v>
      </c>
      <c r="AA32" t="s">
        <v>3899</v>
      </c>
      <c r="AB32" t="s">
        <v>181</v>
      </c>
    </row>
    <row r="33" spans="1:28" x14ac:dyDescent="0.25">
      <c r="A33" t="s">
        <v>3900</v>
      </c>
      <c r="B33" t="s">
        <v>3901</v>
      </c>
      <c r="C33" t="s">
        <v>646</v>
      </c>
      <c r="D33" t="s">
        <v>3779</v>
      </c>
      <c r="E33" t="s">
        <v>647</v>
      </c>
      <c r="F33" t="s">
        <v>3780</v>
      </c>
      <c r="G33" t="s">
        <v>769</v>
      </c>
      <c r="H33" t="s">
        <v>757</v>
      </c>
      <c r="I33" t="s">
        <v>3902</v>
      </c>
      <c r="J33" t="s">
        <v>1225</v>
      </c>
      <c r="K33" t="s">
        <v>166</v>
      </c>
      <c r="L33" t="s">
        <v>0</v>
      </c>
      <c r="M33" t="s">
        <v>178</v>
      </c>
      <c r="N33">
        <v>2</v>
      </c>
      <c r="O33">
        <v>0</v>
      </c>
      <c r="P33">
        <v>14.1</v>
      </c>
      <c r="Q33">
        <v>55.06</v>
      </c>
      <c r="R33">
        <v>10.37</v>
      </c>
      <c r="S33">
        <v>1.9147280799999999</v>
      </c>
      <c r="T33">
        <v>0</v>
      </c>
      <c r="U33">
        <v>0</v>
      </c>
      <c r="V33">
        <v>10.37</v>
      </c>
      <c r="W33" t="s">
        <v>0</v>
      </c>
      <c r="X33" t="s">
        <v>271</v>
      </c>
      <c r="Y33" t="s">
        <v>3903</v>
      </c>
      <c r="AA33" t="s">
        <v>3904</v>
      </c>
      <c r="AB33" t="s">
        <v>181</v>
      </c>
    </row>
    <row r="34" spans="1:28" x14ac:dyDescent="0.25">
      <c r="A34" t="s">
        <v>3905</v>
      </c>
      <c r="B34" t="s">
        <v>3906</v>
      </c>
      <c r="C34" t="s">
        <v>646</v>
      </c>
      <c r="D34" t="s">
        <v>3779</v>
      </c>
      <c r="E34" t="s">
        <v>647</v>
      </c>
      <c r="F34" t="s">
        <v>3780</v>
      </c>
      <c r="G34" t="s">
        <v>769</v>
      </c>
      <c r="H34" t="s">
        <v>708</v>
      </c>
      <c r="I34" t="s">
        <v>3753</v>
      </c>
      <c r="J34" t="s">
        <v>489</v>
      </c>
      <c r="K34" t="s">
        <v>166</v>
      </c>
      <c r="L34" t="s">
        <v>0</v>
      </c>
      <c r="M34" t="s">
        <v>178</v>
      </c>
      <c r="N34">
        <v>59</v>
      </c>
      <c r="O34">
        <v>0</v>
      </c>
      <c r="P34">
        <v>2219</v>
      </c>
      <c r="Q34">
        <v>1712.82</v>
      </c>
      <c r="R34">
        <v>255.69</v>
      </c>
      <c r="S34">
        <v>26.175882080000001</v>
      </c>
      <c r="T34">
        <v>0</v>
      </c>
      <c r="U34">
        <v>0</v>
      </c>
      <c r="V34">
        <v>255.69</v>
      </c>
      <c r="W34" t="s">
        <v>488</v>
      </c>
      <c r="X34" t="s">
        <v>271</v>
      </c>
      <c r="Y34" t="s">
        <v>3907</v>
      </c>
      <c r="AA34" t="s">
        <v>3908</v>
      </c>
      <c r="AB34" t="s">
        <v>181</v>
      </c>
    </row>
    <row r="35" spans="1:28" x14ac:dyDescent="0.25">
      <c r="A35" t="s">
        <v>3777</v>
      </c>
      <c r="B35" t="s">
        <v>3778</v>
      </c>
      <c r="C35" t="s">
        <v>646</v>
      </c>
      <c r="D35" t="s">
        <v>3779</v>
      </c>
      <c r="E35" t="s">
        <v>647</v>
      </c>
      <c r="F35" t="s">
        <v>3780</v>
      </c>
      <c r="G35" t="s">
        <v>769</v>
      </c>
      <c r="H35" t="s">
        <v>909</v>
      </c>
      <c r="I35" t="s">
        <v>798</v>
      </c>
      <c r="J35" t="s">
        <v>524</v>
      </c>
      <c r="K35" t="s">
        <v>166</v>
      </c>
      <c r="L35" t="s">
        <v>0</v>
      </c>
      <c r="M35" t="s">
        <v>178</v>
      </c>
      <c r="N35">
        <v>60</v>
      </c>
      <c r="O35">
        <v>60</v>
      </c>
      <c r="P35">
        <v>2100.14</v>
      </c>
      <c r="Q35">
        <v>2599.66</v>
      </c>
      <c r="R35">
        <v>397.41</v>
      </c>
      <c r="S35">
        <v>692.00570796</v>
      </c>
      <c r="T35">
        <v>0</v>
      </c>
      <c r="U35">
        <v>0</v>
      </c>
      <c r="V35">
        <v>397.41</v>
      </c>
      <c r="W35" t="s">
        <v>258</v>
      </c>
      <c r="X35" t="s">
        <v>271</v>
      </c>
      <c r="Y35" t="s">
        <v>3781</v>
      </c>
      <c r="AA35" t="s">
        <v>3782</v>
      </c>
      <c r="AB35" t="s">
        <v>181</v>
      </c>
    </row>
    <row r="36" spans="1:28" x14ac:dyDescent="0.25">
      <c r="A36" t="s">
        <v>3909</v>
      </c>
      <c r="B36" t="s">
        <v>3910</v>
      </c>
      <c r="C36" t="s">
        <v>646</v>
      </c>
      <c r="D36" t="s">
        <v>3779</v>
      </c>
      <c r="E36" t="s">
        <v>647</v>
      </c>
      <c r="F36" t="s">
        <v>666</v>
      </c>
      <c r="G36" t="s">
        <v>666</v>
      </c>
      <c r="H36" t="s">
        <v>1159</v>
      </c>
      <c r="I36" t="s">
        <v>3911</v>
      </c>
      <c r="J36" t="s">
        <v>355</v>
      </c>
      <c r="K36" t="s">
        <v>166</v>
      </c>
      <c r="L36" t="s">
        <v>0</v>
      </c>
      <c r="M36" t="s">
        <v>178</v>
      </c>
      <c r="N36">
        <v>16</v>
      </c>
      <c r="O36">
        <v>0</v>
      </c>
      <c r="P36">
        <v>168</v>
      </c>
      <c r="Q36">
        <v>1099.56</v>
      </c>
      <c r="R36">
        <v>253.48</v>
      </c>
      <c r="S36">
        <v>40.496210769999998</v>
      </c>
      <c r="T36">
        <v>0</v>
      </c>
      <c r="U36">
        <v>0</v>
      </c>
      <c r="V36">
        <v>253.48</v>
      </c>
      <c r="W36" t="s">
        <v>0</v>
      </c>
      <c r="X36" t="s">
        <v>271</v>
      </c>
      <c r="Y36" t="s">
        <v>3912</v>
      </c>
      <c r="AA36" t="s">
        <v>3894</v>
      </c>
      <c r="AB36" t="s">
        <v>181</v>
      </c>
    </row>
    <row r="37" spans="1:28" x14ac:dyDescent="0.25">
      <c r="A37" t="s">
        <v>3913</v>
      </c>
      <c r="B37" t="s">
        <v>3914</v>
      </c>
      <c r="C37" t="s">
        <v>646</v>
      </c>
      <c r="D37" t="s">
        <v>3779</v>
      </c>
      <c r="E37" t="s">
        <v>647</v>
      </c>
      <c r="F37" t="s">
        <v>3780</v>
      </c>
      <c r="G37" t="s">
        <v>769</v>
      </c>
      <c r="H37" t="s">
        <v>1515</v>
      </c>
      <c r="I37" t="s">
        <v>984</v>
      </c>
      <c r="J37" t="s">
        <v>985</v>
      </c>
      <c r="K37" t="s">
        <v>166</v>
      </c>
      <c r="L37" t="s">
        <v>0</v>
      </c>
      <c r="M37" t="s">
        <v>178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t="s">
        <v>986</v>
      </c>
      <c r="X37" t="s">
        <v>271</v>
      </c>
      <c r="Y37" t="s">
        <v>3915</v>
      </c>
      <c r="AA37" t="s">
        <v>3916</v>
      </c>
      <c r="AB37" t="s">
        <v>181</v>
      </c>
    </row>
    <row r="38" spans="1:28" x14ac:dyDescent="0.25">
      <c r="A38" t="s">
        <v>3793</v>
      </c>
      <c r="B38" t="s">
        <v>3794</v>
      </c>
      <c r="C38" t="s">
        <v>646</v>
      </c>
      <c r="D38" t="s">
        <v>3779</v>
      </c>
      <c r="E38" t="s">
        <v>647</v>
      </c>
      <c r="F38" t="s">
        <v>666</v>
      </c>
      <c r="G38" t="s">
        <v>666</v>
      </c>
      <c r="H38" t="s">
        <v>1515</v>
      </c>
      <c r="I38" t="s">
        <v>1712</v>
      </c>
      <c r="J38" t="s">
        <v>335</v>
      </c>
      <c r="K38" t="s">
        <v>166</v>
      </c>
      <c r="L38" t="s">
        <v>0</v>
      </c>
      <c r="M38" t="s">
        <v>178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t="s">
        <v>572</v>
      </c>
      <c r="X38" t="s">
        <v>271</v>
      </c>
      <c r="Y38" t="s">
        <v>3795</v>
      </c>
      <c r="AA38" t="s">
        <v>3796</v>
      </c>
      <c r="AB38" t="s">
        <v>181</v>
      </c>
    </row>
    <row r="39" spans="1:28" x14ac:dyDescent="0.25">
      <c r="A39" t="s">
        <v>3917</v>
      </c>
      <c r="B39" t="s">
        <v>3918</v>
      </c>
      <c r="C39" t="s">
        <v>646</v>
      </c>
      <c r="D39" t="s">
        <v>3779</v>
      </c>
      <c r="E39" t="s">
        <v>647</v>
      </c>
      <c r="F39" t="s">
        <v>3780</v>
      </c>
      <c r="G39" t="s">
        <v>769</v>
      </c>
      <c r="H39" t="s">
        <v>717</v>
      </c>
      <c r="I39" t="s">
        <v>1083</v>
      </c>
      <c r="J39" t="s">
        <v>731</v>
      </c>
      <c r="K39" t="s">
        <v>166</v>
      </c>
      <c r="L39" t="s">
        <v>0</v>
      </c>
      <c r="M39" t="s">
        <v>178</v>
      </c>
      <c r="N39">
        <v>2</v>
      </c>
      <c r="O39">
        <v>2</v>
      </c>
      <c r="P39">
        <v>24</v>
      </c>
      <c r="Q39">
        <v>117.76</v>
      </c>
      <c r="R39">
        <v>7.08</v>
      </c>
      <c r="S39">
        <v>3.6</v>
      </c>
      <c r="T39">
        <v>0</v>
      </c>
      <c r="U39">
        <v>0</v>
      </c>
      <c r="V39">
        <v>7.08</v>
      </c>
      <c r="W39" t="s">
        <v>0</v>
      </c>
      <c r="X39" t="s">
        <v>271</v>
      </c>
      <c r="Y39" t="s">
        <v>3919</v>
      </c>
      <c r="AA39" t="s">
        <v>3920</v>
      </c>
      <c r="AB39" t="s">
        <v>181</v>
      </c>
    </row>
    <row r="40" spans="1:28" x14ac:dyDescent="0.25">
      <c r="A40" t="s">
        <v>3921</v>
      </c>
      <c r="B40" t="s">
        <v>3922</v>
      </c>
      <c r="C40" t="s">
        <v>646</v>
      </c>
      <c r="D40" t="s">
        <v>3779</v>
      </c>
      <c r="E40" t="s">
        <v>647</v>
      </c>
      <c r="F40" t="s">
        <v>666</v>
      </c>
      <c r="G40" t="s">
        <v>666</v>
      </c>
      <c r="H40" t="s">
        <v>683</v>
      </c>
      <c r="I40" t="s">
        <v>902</v>
      </c>
      <c r="J40" t="s">
        <v>562</v>
      </c>
      <c r="K40" t="s">
        <v>166</v>
      </c>
      <c r="L40" t="s">
        <v>0</v>
      </c>
      <c r="M40" t="s">
        <v>178</v>
      </c>
      <c r="N40">
        <v>1239.4167</v>
      </c>
      <c r="O40">
        <v>362.41669999999999</v>
      </c>
      <c r="P40">
        <v>15050.36</v>
      </c>
      <c r="Q40">
        <v>43296.84</v>
      </c>
      <c r="R40">
        <v>8733.5101055499999</v>
      </c>
      <c r="S40">
        <v>5229.12638169</v>
      </c>
      <c r="T40">
        <v>2.5901055500000001</v>
      </c>
      <c r="U40">
        <v>0</v>
      </c>
      <c r="V40">
        <v>8730.92</v>
      </c>
      <c r="W40" t="s">
        <v>0</v>
      </c>
      <c r="X40" t="s">
        <v>271</v>
      </c>
      <c r="Y40" t="s">
        <v>3923</v>
      </c>
      <c r="AA40" t="s">
        <v>3924</v>
      </c>
      <c r="AB40" t="s">
        <v>181</v>
      </c>
    </row>
    <row r="41" spans="1:28" x14ac:dyDescent="0.25">
      <c r="A41" t="s">
        <v>3925</v>
      </c>
      <c r="B41" t="s">
        <v>3926</v>
      </c>
      <c r="C41" t="s">
        <v>646</v>
      </c>
      <c r="D41" t="s">
        <v>3779</v>
      </c>
      <c r="E41" t="s">
        <v>647</v>
      </c>
      <c r="F41" t="s">
        <v>3780</v>
      </c>
      <c r="G41" t="s">
        <v>769</v>
      </c>
      <c r="H41" t="s">
        <v>909</v>
      </c>
      <c r="I41" t="s">
        <v>2284</v>
      </c>
      <c r="J41" t="s">
        <v>2285</v>
      </c>
      <c r="K41" t="s">
        <v>166</v>
      </c>
      <c r="L41" t="s">
        <v>0</v>
      </c>
      <c r="M41" t="s">
        <v>178</v>
      </c>
      <c r="N41">
        <v>237.5</v>
      </c>
      <c r="O41">
        <v>228</v>
      </c>
      <c r="P41">
        <v>7770.45</v>
      </c>
      <c r="Q41">
        <v>7570.97</v>
      </c>
      <c r="R41">
        <v>2765.2143781300001</v>
      </c>
      <c r="S41">
        <v>1089.2340285299999</v>
      </c>
      <c r="T41">
        <v>5.4378129999999997E-2</v>
      </c>
      <c r="U41">
        <v>0</v>
      </c>
      <c r="V41">
        <v>2765.16</v>
      </c>
      <c r="W41" t="s">
        <v>453</v>
      </c>
      <c r="X41" t="s">
        <v>271</v>
      </c>
      <c r="Y41" t="s">
        <v>3927</v>
      </c>
      <c r="AA41" t="s">
        <v>3928</v>
      </c>
      <c r="AB41" t="s">
        <v>181</v>
      </c>
    </row>
    <row r="42" spans="1:28" x14ac:dyDescent="0.25">
      <c r="A42" t="s">
        <v>3929</v>
      </c>
      <c r="B42" t="s">
        <v>3930</v>
      </c>
      <c r="C42" t="s">
        <v>646</v>
      </c>
      <c r="D42" t="s">
        <v>3779</v>
      </c>
      <c r="E42" t="s">
        <v>647</v>
      </c>
      <c r="F42" t="s">
        <v>3780</v>
      </c>
      <c r="G42" t="s">
        <v>769</v>
      </c>
      <c r="H42" t="s">
        <v>703</v>
      </c>
      <c r="I42" t="s">
        <v>3649</v>
      </c>
      <c r="J42" t="s">
        <v>1567</v>
      </c>
      <c r="K42" t="s">
        <v>166</v>
      </c>
      <c r="L42" t="s">
        <v>0</v>
      </c>
      <c r="M42" t="s">
        <v>178</v>
      </c>
      <c r="N42">
        <v>593.2002</v>
      </c>
      <c r="O42">
        <v>263.00009999999997</v>
      </c>
      <c r="P42">
        <v>10542.29</v>
      </c>
      <c r="Q42">
        <v>33039.910000000003</v>
      </c>
      <c r="R42">
        <v>8202.0389529099994</v>
      </c>
      <c r="S42">
        <v>4862.2354941499998</v>
      </c>
      <c r="T42">
        <v>-0.58104708999999999</v>
      </c>
      <c r="U42">
        <v>0</v>
      </c>
      <c r="V42">
        <v>8202.6200000000008</v>
      </c>
      <c r="W42" t="s">
        <v>556</v>
      </c>
      <c r="X42" t="s">
        <v>271</v>
      </c>
      <c r="Y42" t="s">
        <v>3931</v>
      </c>
      <c r="AA42" t="s">
        <v>3932</v>
      </c>
      <c r="AB42" t="s">
        <v>181</v>
      </c>
    </row>
    <row r="43" spans="1:28" x14ac:dyDescent="0.25">
      <c r="A43" t="s">
        <v>3929</v>
      </c>
      <c r="B43" t="s">
        <v>3930</v>
      </c>
      <c r="C43" t="s">
        <v>646</v>
      </c>
      <c r="D43" t="s">
        <v>3779</v>
      </c>
      <c r="E43" t="s">
        <v>647</v>
      </c>
      <c r="F43" t="s">
        <v>3780</v>
      </c>
      <c r="G43" t="s">
        <v>769</v>
      </c>
      <c r="H43" t="s">
        <v>683</v>
      </c>
      <c r="I43" t="s">
        <v>3649</v>
      </c>
      <c r="J43" t="s">
        <v>1567</v>
      </c>
      <c r="K43" t="s">
        <v>166</v>
      </c>
      <c r="L43" t="s">
        <v>0</v>
      </c>
      <c r="M43" t="s">
        <v>178</v>
      </c>
      <c r="N43">
        <v>88.1</v>
      </c>
      <c r="O43">
        <v>45</v>
      </c>
      <c r="P43">
        <v>1309.69</v>
      </c>
      <c r="Q43">
        <v>4842.6400000000003</v>
      </c>
      <c r="R43">
        <v>1308.3404700200001</v>
      </c>
      <c r="S43">
        <v>849.07450657000004</v>
      </c>
      <c r="T43">
        <v>0.12047002</v>
      </c>
      <c r="U43">
        <v>0</v>
      </c>
      <c r="V43">
        <v>1308.22</v>
      </c>
      <c r="W43" t="s">
        <v>556</v>
      </c>
      <c r="X43" t="s">
        <v>271</v>
      </c>
      <c r="Y43" t="s">
        <v>3931</v>
      </c>
      <c r="AA43" t="s">
        <v>3932</v>
      </c>
      <c r="AB43" t="s">
        <v>181</v>
      </c>
    </row>
    <row r="44" spans="1:28" x14ac:dyDescent="0.25">
      <c r="A44" t="s">
        <v>3933</v>
      </c>
      <c r="B44" t="s">
        <v>3934</v>
      </c>
      <c r="C44" t="s">
        <v>646</v>
      </c>
      <c r="D44" t="s">
        <v>3779</v>
      </c>
      <c r="E44" t="s">
        <v>647</v>
      </c>
      <c r="F44" t="s">
        <v>3780</v>
      </c>
      <c r="G44" t="s">
        <v>769</v>
      </c>
      <c r="H44" t="s">
        <v>802</v>
      </c>
      <c r="I44" t="s">
        <v>3935</v>
      </c>
      <c r="J44" t="s">
        <v>1214</v>
      </c>
      <c r="K44" t="s">
        <v>166</v>
      </c>
      <c r="L44" t="s">
        <v>0</v>
      </c>
      <c r="M44" t="s">
        <v>178</v>
      </c>
      <c r="N44">
        <v>656.20830000000001</v>
      </c>
      <c r="O44">
        <v>566.08330000000001</v>
      </c>
      <c r="P44">
        <v>7699.8</v>
      </c>
      <c r="Q44">
        <v>28989.8</v>
      </c>
      <c r="R44">
        <v>6024.17</v>
      </c>
      <c r="S44">
        <v>2748.5091979899998</v>
      </c>
      <c r="T44">
        <v>0</v>
      </c>
      <c r="U44">
        <v>0</v>
      </c>
      <c r="V44">
        <v>6024.17</v>
      </c>
      <c r="W44" t="s">
        <v>0</v>
      </c>
      <c r="X44" t="s">
        <v>271</v>
      </c>
      <c r="Y44" t="s">
        <v>3936</v>
      </c>
      <c r="AA44" t="s">
        <v>3937</v>
      </c>
      <c r="AB44" t="s">
        <v>181</v>
      </c>
    </row>
    <row r="45" spans="1:28" x14ac:dyDescent="0.25">
      <c r="A45" t="s">
        <v>3806</v>
      </c>
      <c r="B45" t="s">
        <v>3807</v>
      </c>
      <c r="C45" t="s">
        <v>646</v>
      </c>
      <c r="D45" t="s">
        <v>3779</v>
      </c>
      <c r="E45" t="s">
        <v>647</v>
      </c>
      <c r="F45" t="s">
        <v>3780</v>
      </c>
      <c r="G45" t="s">
        <v>769</v>
      </c>
      <c r="H45" t="s">
        <v>761</v>
      </c>
      <c r="I45" t="s">
        <v>2071</v>
      </c>
      <c r="J45" t="s">
        <v>1664</v>
      </c>
      <c r="K45" t="s">
        <v>166</v>
      </c>
      <c r="L45" t="s">
        <v>0</v>
      </c>
      <c r="M45" t="s">
        <v>178</v>
      </c>
      <c r="N45">
        <v>55</v>
      </c>
      <c r="O45">
        <v>26</v>
      </c>
      <c r="P45">
        <v>1140.6300000000001</v>
      </c>
      <c r="Q45">
        <v>2097.21</v>
      </c>
      <c r="R45">
        <v>561.13</v>
      </c>
      <c r="S45">
        <v>360.18064055000002</v>
      </c>
      <c r="T45">
        <v>0</v>
      </c>
      <c r="U45">
        <v>0</v>
      </c>
      <c r="V45">
        <v>561.13</v>
      </c>
      <c r="W45" t="s">
        <v>1665</v>
      </c>
      <c r="X45" t="s">
        <v>271</v>
      </c>
      <c r="Y45" t="s">
        <v>3808</v>
      </c>
      <c r="AA45" t="s">
        <v>3809</v>
      </c>
      <c r="AB45" t="s">
        <v>181</v>
      </c>
    </row>
    <row r="46" spans="1:28" x14ac:dyDescent="0.25">
      <c r="A46" t="s">
        <v>3870</v>
      </c>
      <c r="B46" t="s">
        <v>3871</v>
      </c>
      <c r="C46" t="s">
        <v>646</v>
      </c>
      <c r="D46" t="s">
        <v>3779</v>
      </c>
      <c r="E46" t="s">
        <v>647</v>
      </c>
      <c r="F46" t="s">
        <v>666</v>
      </c>
      <c r="G46" t="s">
        <v>666</v>
      </c>
      <c r="H46" t="s">
        <v>713</v>
      </c>
      <c r="I46" t="s">
        <v>3872</v>
      </c>
      <c r="J46" t="s">
        <v>355</v>
      </c>
      <c r="K46" t="s">
        <v>166</v>
      </c>
      <c r="L46" t="s">
        <v>0</v>
      </c>
      <c r="M46" t="s">
        <v>178</v>
      </c>
      <c r="N46">
        <v>770</v>
      </c>
      <c r="O46">
        <v>21</v>
      </c>
      <c r="P46">
        <v>22037.62</v>
      </c>
      <c r="Q46">
        <v>9026.49</v>
      </c>
      <c r="R46">
        <v>2897.07</v>
      </c>
      <c r="S46">
        <v>129.84581238999999</v>
      </c>
      <c r="T46">
        <v>0</v>
      </c>
      <c r="U46">
        <v>0</v>
      </c>
      <c r="V46">
        <v>2897.07</v>
      </c>
      <c r="W46" t="s">
        <v>0</v>
      </c>
      <c r="X46" t="s">
        <v>271</v>
      </c>
      <c r="Y46" t="s">
        <v>3873</v>
      </c>
      <c r="AA46" t="s">
        <v>3874</v>
      </c>
      <c r="AB46" t="s">
        <v>181</v>
      </c>
    </row>
    <row r="47" spans="1:28" x14ac:dyDescent="0.25">
      <c r="A47" t="s">
        <v>3938</v>
      </c>
      <c r="B47" t="s">
        <v>3939</v>
      </c>
      <c r="C47" t="s">
        <v>646</v>
      </c>
      <c r="D47" t="s">
        <v>3779</v>
      </c>
      <c r="E47" t="s">
        <v>647</v>
      </c>
      <c r="F47" t="s">
        <v>3780</v>
      </c>
      <c r="G47" t="s">
        <v>769</v>
      </c>
      <c r="H47" t="s">
        <v>713</v>
      </c>
      <c r="I47" t="s">
        <v>3940</v>
      </c>
      <c r="J47" t="s">
        <v>3941</v>
      </c>
      <c r="K47" t="s">
        <v>166</v>
      </c>
      <c r="L47" t="s">
        <v>0</v>
      </c>
      <c r="M47" t="s">
        <v>178</v>
      </c>
      <c r="N47">
        <v>463</v>
      </c>
      <c r="O47">
        <v>44</v>
      </c>
      <c r="P47">
        <v>10947.32</v>
      </c>
      <c r="Q47">
        <v>13991.65</v>
      </c>
      <c r="R47">
        <v>1471.82</v>
      </c>
      <c r="S47">
        <v>746.53673438999999</v>
      </c>
      <c r="T47">
        <v>0</v>
      </c>
      <c r="U47">
        <v>0</v>
      </c>
      <c r="V47">
        <v>1471.82</v>
      </c>
      <c r="W47" t="s">
        <v>0</v>
      </c>
      <c r="X47" t="s">
        <v>271</v>
      </c>
      <c r="Y47" t="s">
        <v>3942</v>
      </c>
      <c r="AA47" t="s">
        <v>3943</v>
      </c>
      <c r="AB47" t="s">
        <v>181</v>
      </c>
    </row>
    <row r="48" spans="1:28" x14ac:dyDescent="0.25">
      <c r="A48" t="s">
        <v>3827</v>
      </c>
      <c r="B48" t="s">
        <v>3828</v>
      </c>
      <c r="C48" t="s">
        <v>646</v>
      </c>
      <c r="D48" t="s">
        <v>3779</v>
      </c>
      <c r="E48" t="s">
        <v>647</v>
      </c>
      <c r="F48" t="s">
        <v>3780</v>
      </c>
      <c r="G48" t="s">
        <v>769</v>
      </c>
      <c r="H48" t="s">
        <v>909</v>
      </c>
      <c r="I48" t="s">
        <v>3829</v>
      </c>
      <c r="J48" t="s">
        <v>3830</v>
      </c>
      <c r="K48" t="s">
        <v>166</v>
      </c>
      <c r="L48" t="s">
        <v>0</v>
      </c>
      <c r="M48" t="s">
        <v>178</v>
      </c>
      <c r="N48">
        <v>6</v>
      </c>
      <c r="O48">
        <v>0</v>
      </c>
      <c r="P48">
        <v>39.6</v>
      </c>
      <c r="Q48">
        <v>169.76</v>
      </c>
      <c r="R48">
        <v>63.94</v>
      </c>
      <c r="S48">
        <v>4.9800566899999996</v>
      </c>
      <c r="T48">
        <v>0</v>
      </c>
      <c r="U48">
        <v>0</v>
      </c>
      <c r="V48">
        <v>63.94</v>
      </c>
      <c r="W48" t="s">
        <v>3831</v>
      </c>
      <c r="X48" t="s">
        <v>271</v>
      </c>
      <c r="Y48" t="s">
        <v>3832</v>
      </c>
      <c r="AA48" t="s">
        <v>3833</v>
      </c>
      <c r="AB48" t="s">
        <v>181</v>
      </c>
    </row>
    <row r="49" spans="1:28" x14ac:dyDescent="0.25">
      <c r="A49" t="s">
        <v>3853</v>
      </c>
      <c r="B49" t="s">
        <v>3854</v>
      </c>
      <c r="C49" t="s">
        <v>646</v>
      </c>
      <c r="D49" t="s">
        <v>3779</v>
      </c>
      <c r="E49" t="s">
        <v>647</v>
      </c>
      <c r="F49" t="s">
        <v>3780</v>
      </c>
      <c r="G49" t="s">
        <v>769</v>
      </c>
      <c r="H49" t="s">
        <v>802</v>
      </c>
      <c r="I49" t="s">
        <v>746</v>
      </c>
      <c r="J49" t="s">
        <v>504</v>
      </c>
      <c r="K49" t="s">
        <v>166</v>
      </c>
      <c r="L49" t="s">
        <v>0</v>
      </c>
      <c r="M49" t="s">
        <v>178</v>
      </c>
      <c r="N49">
        <v>123.75</v>
      </c>
      <c r="O49">
        <v>34.75</v>
      </c>
      <c r="P49">
        <v>844</v>
      </c>
      <c r="Q49">
        <v>3389.16</v>
      </c>
      <c r="R49">
        <v>398.97</v>
      </c>
      <c r="S49">
        <v>286.64507774999998</v>
      </c>
      <c r="T49">
        <v>0</v>
      </c>
      <c r="U49">
        <v>0</v>
      </c>
      <c r="V49">
        <v>398.97</v>
      </c>
      <c r="W49" t="s">
        <v>503</v>
      </c>
      <c r="X49" t="s">
        <v>271</v>
      </c>
      <c r="Y49" t="s">
        <v>3855</v>
      </c>
      <c r="AA49" t="s">
        <v>3856</v>
      </c>
      <c r="AB49" t="s">
        <v>181</v>
      </c>
    </row>
    <row r="50" spans="1:28" x14ac:dyDescent="0.25">
      <c r="A50" t="s">
        <v>3783</v>
      </c>
      <c r="B50" t="s">
        <v>3784</v>
      </c>
      <c r="C50" t="s">
        <v>646</v>
      </c>
      <c r="D50" t="s">
        <v>3779</v>
      </c>
      <c r="E50" t="s">
        <v>647</v>
      </c>
      <c r="F50" t="s">
        <v>666</v>
      </c>
      <c r="G50" t="s">
        <v>666</v>
      </c>
      <c r="H50" t="s">
        <v>679</v>
      </c>
      <c r="I50" t="s">
        <v>3785</v>
      </c>
      <c r="J50" t="s">
        <v>432</v>
      </c>
      <c r="K50" t="s">
        <v>166</v>
      </c>
      <c r="L50" t="s">
        <v>0</v>
      </c>
      <c r="M50" t="s">
        <v>178</v>
      </c>
      <c r="N50">
        <v>701</v>
      </c>
      <c r="O50">
        <v>493</v>
      </c>
      <c r="P50">
        <v>7638.6</v>
      </c>
      <c r="Q50">
        <v>30643.08</v>
      </c>
      <c r="R50">
        <v>3472.1151233000001</v>
      </c>
      <c r="S50">
        <v>9354.0282823599991</v>
      </c>
      <c r="T50">
        <v>-0.66487669999999999</v>
      </c>
      <c r="U50">
        <v>0</v>
      </c>
      <c r="V50">
        <v>3472.78</v>
      </c>
      <c r="W50" t="s">
        <v>0</v>
      </c>
      <c r="X50" t="s">
        <v>271</v>
      </c>
      <c r="Y50" t="s">
        <v>3786</v>
      </c>
      <c r="AA50" t="s">
        <v>3787</v>
      </c>
      <c r="AB50" t="s">
        <v>181</v>
      </c>
    </row>
    <row r="51" spans="1:28" x14ac:dyDescent="0.25">
      <c r="A51" t="s">
        <v>3944</v>
      </c>
      <c r="B51" t="s">
        <v>3945</v>
      </c>
      <c r="C51" t="s">
        <v>646</v>
      </c>
      <c r="D51" t="s">
        <v>3779</v>
      </c>
      <c r="E51" t="s">
        <v>647</v>
      </c>
      <c r="F51" t="s">
        <v>3780</v>
      </c>
      <c r="G51" t="s">
        <v>769</v>
      </c>
      <c r="H51" t="s">
        <v>717</v>
      </c>
      <c r="I51" t="s">
        <v>798</v>
      </c>
      <c r="J51" t="s">
        <v>524</v>
      </c>
      <c r="K51" t="s">
        <v>166</v>
      </c>
      <c r="L51" t="s">
        <v>0</v>
      </c>
      <c r="M51" t="s">
        <v>178</v>
      </c>
      <c r="N51">
        <v>193</v>
      </c>
      <c r="O51">
        <v>30</v>
      </c>
      <c r="P51">
        <v>2616.96</v>
      </c>
      <c r="Q51">
        <v>12810.47</v>
      </c>
      <c r="R51">
        <v>2816.6174040999999</v>
      </c>
      <c r="S51">
        <v>198.09276391</v>
      </c>
      <c r="T51">
        <v>0.53740410000000005</v>
      </c>
      <c r="U51">
        <v>0</v>
      </c>
      <c r="V51">
        <v>2816.08</v>
      </c>
      <c r="W51" t="s">
        <v>258</v>
      </c>
      <c r="X51" t="s">
        <v>271</v>
      </c>
      <c r="Y51" t="s">
        <v>3946</v>
      </c>
      <c r="AA51" t="s">
        <v>3947</v>
      </c>
      <c r="AB51" t="s">
        <v>181</v>
      </c>
    </row>
    <row r="52" spans="1:28" x14ac:dyDescent="0.25">
      <c r="A52" t="s">
        <v>3948</v>
      </c>
      <c r="B52" t="s">
        <v>3949</v>
      </c>
      <c r="C52" t="s">
        <v>646</v>
      </c>
      <c r="D52" t="s">
        <v>3779</v>
      </c>
      <c r="E52" t="s">
        <v>647</v>
      </c>
      <c r="F52" t="s">
        <v>3780</v>
      </c>
      <c r="G52" t="s">
        <v>769</v>
      </c>
      <c r="H52" t="s">
        <v>802</v>
      </c>
      <c r="I52" t="s">
        <v>2250</v>
      </c>
      <c r="J52" t="s">
        <v>358</v>
      </c>
      <c r="K52" t="s">
        <v>166</v>
      </c>
      <c r="L52" t="s">
        <v>0</v>
      </c>
      <c r="M52" t="s">
        <v>178</v>
      </c>
      <c r="N52">
        <v>25.75</v>
      </c>
      <c r="O52">
        <v>16.75</v>
      </c>
      <c r="P52">
        <v>336</v>
      </c>
      <c r="Q52">
        <v>1191.9100000000001</v>
      </c>
      <c r="R52">
        <v>349.45</v>
      </c>
      <c r="S52">
        <v>81.907483069999998</v>
      </c>
      <c r="T52">
        <v>0</v>
      </c>
      <c r="U52">
        <v>0</v>
      </c>
      <c r="V52">
        <v>349.45</v>
      </c>
      <c r="W52" t="s">
        <v>357</v>
      </c>
      <c r="X52" t="s">
        <v>271</v>
      </c>
      <c r="Y52" t="s">
        <v>3950</v>
      </c>
      <c r="AA52" t="s">
        <v>3951</v>
      </c>
      <c r="AB52" t="s">
        <v>181</v>
      </c>
    </row>
    <row r="53" spans="1:28" x14ac:dyDescent="0.25">
      <c r="A53" t="s">
        <v>3952</v>
      </c>
      <c r="B53" t="s">
        <v>3953</v>
      </c>
      <c r="C53" t="s">
        <v>646</v>
      </c>
      <c r="D53" t="s">
        <v>3779</v>
      </c>
      <c r="E53" t="s">
        <v>647</v>
      </c>
      <c r="F53" t="s">
        <v>666</v>
      </c>
      <c r="G53" t="s">
        <v>666</v>
      </c>
      <c r="H53" t="s">
        <v>713</v>
      </c>
      <c r="I53" t="s">
        <v>2032</v>
      </c>
      <c r="J53" t="s">
        <v>311</v>
      </c>
      <c r="K53" t="s">
        <v>166</v>
      </c>
      <c r="L53" t="s">
        <v>0</v>
      </c>
      <c r="M53" t="s">
        <v>178</v>
      </c>
      <c r="N53">
        <v>1571</v>
      </c>
      <c r="O53">
        <v>1046</v>
      </c>
      <c r="P53">
        <v>39188.93</v>
      </c>
      <c r="Q53">
        <v>18518.72</v>
      </c>
      <c r="R53">
        <v>2459.6359418400002</v>
      </c>
      <c r="S53">
        <v>4005.9121986300001</v>
      </c>
      <c r="T53">
        <v>16.975941840000001</v>
      </c>
      <c r="U53">
        <v>119.18</v>
      </c>
      <c r="V53">
        <v>2572.84</v>
      </c>
      <c r="W53" t="s">
        <v>312</v>
      </c>
      <c r="X53" t="s">
        <v>271</v>
      </c>
      <c r="Y53" t="s">
        <v>3954</v>
      </c>
      <c r="AA53" t="s">
        <v>3955</v>
      </c>
      <c r="AB53" t="s">
        <v>181</v>
      </c>
    </row>
    <row r="54" spans="1:28" x14ac:dyDescent="0.25">
      <c r="A54" t="s">
        <v>3956</v>
      </c>
      <c r="B54" t="s">
        <v>3957</v>
      </c>
      <c r="C54" t="s">
        <v>646</v>
      </c>
      <c r="D54" t="s">
        <v>3779</v>
      </c>
      <c r="E54" t="s">
        <v>647</v>
      </c>
      <c r="F54" t="s">
        <v>666</v>
      </c>
      <c r="G54" t="s">
        <v>666</v>
      </c>
      <c r="H54" t="s">
        <v>679</v>
      </c>
      <c r="I54" t="s">
        <v>1068</v>
      </c>
      <c r="J54" t="s">
        <v>501</v>
      </c>
      <c r="K54" t="s">
        <v>166</v>
      </c>
      <c r="L54" t="s">
        <v>0</v>
      </c>
      <c r="M54" t="s">
        <v>178</v>
      </c>
      <c r="N54">
        <v>120.04170000000001</v>
      </c>
      <c r="O54">
        <v>11</v>
      </c>
      <c r="P54">
        <v>1216.01</v>
      </c>
      <c r="Q54">
        <v>3592.54</v>
      </c>
      <c r="R54">
        <v>638.06584963</v>
      </c>
      <c r="S54">
        <v>317.67137998999999</v>
      </c>
      <c r="T54">
        <v>4.5849630000000002E-2</v>
      </c>
      <c r="U54">
        <v>0</v>
      </c>
      <c r="V54">
        <v>638.02</v>
      </c>
      <c r="W54" t="s">
        <v>500</v>
      </c>
      <c r="X54" t="s">
        <v>271</v>
      </c>
      <c r="Y54" t="s">
        <v>3958</v>
      </c>
      <c r="AA54" t="s">
        <v>3959</v>
      </c>
      <c r="AB54" t="s">
        <v>181</v>
      </c>
    </row>
    <row r="55" spans="1:28" x14ac:dyDescent="0.25">
      <c r="A55" t="s">
        <v>3960</v>
      </c>
      <c r="B55" t="s">
        <v>3961</v>
      </c>
      <c r="C55" t="s">
        <v>646</v>
      </c>
      <c r="D55" t="s">
        <v>3779</v>
      </c>
      <c r="E55" t="s">
        <v>647</v>
      </c>
      <c r="F55" t="s">
        <v>666</v>
      </c>
      <c r="G55" t="s">
        <v>666</v>
      </c>
      <c r="H55" t="s">
        <v>683</v>
      </c>
      <c r="I55" t="s">
        <v>3962</v>
      </c>
      <c r="J55" t="s">
        <v>575</v>
      </c>
      <c r="K55" t="s">
        <v>166</v>
      </c>
      <c r="L55" t="s">
        <v>0</v>
      </c>
      <c r="M55" t="s">
        <v>178</v>
      </c>
      <c r="N55">
        <v>2048</v>
      </c>
      <c r="O55">
        <v>1214</v>
      </c>
      <c r="P55">
        <v>34025.21</v>
      </c>
      <c r="Q55">
        <v>37422.769999999997</v>
      </c>
      <c r="R55">
        <v>-1917.9327206600001</v>
      </c>
      <c r="S55">
        <v>10788.1754939</v>
      </c>
      <c r="T55">
        <v>-2.7206600000000002E-3</v>
      </c>
      <c r="U55">
        <v>0</v>
      </c>
      <c r="V55">
        <v>-1766.13</v>
      </c>
      <c r="W55" t="s">
        <v>0</v>
      </c>
      <c r="X55" t="s">
        <v>271</v>
      </c>
      <c r="Y55" t="s">
        <v>3963</v>
      </c>
      <c r="AA55" t="s">
        <v>3964</v>
      </c>
      <c r="AB55" t="s">
        <v>181</v>
      </c>
    </row>
    <row r="56" spans="1:28" x14ac:dyDescent="0.25">
      <c r="A56" t="s">
        <v>3965</v>
      </c>
      <c r="B56" t="s">
        <v>3966</v>
      </c>
      <c r="C56" t="s">
        <v>646</v>
      </c>
      <c r="D56" t="s">
        <v>3779</v>
      </c>
      <c r="E56" t="s">
        <v>647</v>
      </c>
      <c r="F56" t="s">
        <v>3780</v>
      </c>
      <c r="G56" t="s">
        <v>769</v>
      </c>
      <c r="H56" t="s">
        <v>761</v>
      </c>
      <c r="I56" t="s">
        <v>2339</v>
      </c>
      <c r="J56" t="s">
        <v>2165</v>
      </c>
      <c r="K56" t="s">
        <v>166</v>
      </c>
      <c r="L56" t="s">
        <v>0</v>
      </c>
      <c r="M56" t="s">
        <v>178</v>
      </c>
      <c r="N56">
        <v>56</v>
      </c>
      <c r="O56">
        <v>0</v>
      </c>
      <c r="P56">
        <v>2067.59</v>
      </c>
      <c r="Q56">
        <v>1722.99</v>
      </c>
      <c r="R56">
        <v>183.81</v>
      </c>
      <c r="S56">
        <v>83.859953559999994</v>
      </c>
      <c r="T56">
        <v>0</v>
      </c>
      <c r="U56">
        <v>0</v>
      </c>
      <c r="V56">
        <v>183.81</v>
      </c>
      <c r="W56" t="s">
        <v>2166</v>
      </c>
      <c r="X56" t="s">
        <v>271</v>
      </c>
      <c r="Y56" t="s">
        <v>3967</v>
      </c>
      <c r="AA56" t="s">
        <v>3968</v>
      </c>
      <c r="AB56" t="s">
        <v>181</v>
      </c>
    </row>
    <row r="57" spans="1:28" x14ac:dyDescent="0.25">
      <c r="A57" t="s">
        <v>3969</v>
      </c>
      <c r="B57" t="s">
        <v>3970</v>
      </c>
      <c r="C57" t="s">
        <v>646</v>
      </c>
      <c r="D57" t="s">
        <v>3779</v>
      </c>
      <c r="E57" t="s">
        <v>647</v>
      </c>
      <c r="F57" t="s">
        <v>3780</v>
      </c>
      <c r="G57" t="s">
        <v>769</v>
      </c>
      <c r="H57" t="s">
        <v>679</v>
      </c>
      <c r="I57" t="s">
        <v>1518</v>
      </c>
      <c r="J57" t="s">
        <v>1519</v>
      </c>
      <c r="K57" t="s">
        <v>166</v>
      </c>
      <c r="L57" t="s">
        <v>0</v>
      </c>
      <c r="M57" t="s">
        <v>178</v>
      </c>
      <c r="N57">
        <v>243.6</v>
      </c>
      <c r="O57">
        <v>26.6</v>
      </c>
      <c r="P57">
        <v>5210.46</v>
      </c>
      <c r="Q57">
        <v>14308.2</v>
      </c>
      <c r="R57">
        <v>2399.1153673099998</v>
      </c>
      <c r="S57">
        <v>1688.6745151800001</v>
      </c>
      <c r="T57">
        <v>-9.7146326900000002</v>
      </c>
      <c r="U57">
        <v>0</v>
      </c>
      <c r="V57">
        <v>2408.83</v>
      </c>
      <c r="W57" t="s">
        <v>1485</v>
      </c>
      <c r="X57" t="s">
        <v>271</v>
      </c>
      <c r="Y57" t="s">
        <v>3971</v>
      </c>
      <c r="AA57" t="s">
        <v>3972</v>
      </c>
      <c r="AB57" t="s">
        <v>181</v>
      </c>
    </row>
    <row r="58" spans="1:28" x14ac:dyDescent="0.25">
      <c r="A58" t="s">
        <v>3973</v>
      </c>
      <c r="B58" t="s">
        <v>3974</v>
      </c>
      <c r="C58" t="s">
        <v>646</v>
      </c>
      <c r="D58" t="s">
        <v>3779</v>
      </c>
      <c r="E58" t="s">
        <v>647</v>
      </c>
      <c r="F58" t="s">
        <v>3780</v>
      </c>
      <c r="G58" t="s">
        <v>769</v>
      </c>
      <c r="H58" t="s">
        <v>797</v>
      </c>
      <c r="I58" t="s">
        <v>880</v>
      </c>
      <c r="J58" t="s">
        <v>881</v>
      </c>
      <c r="K58" t="s">
        <v>166</v>
      </c>
      <c r="L58" t="s">
        <v>0</v>
      </c>
      <c r="M58" t="s">
        <v>178</v>
      </c>
      <c r="N58">
        <v>56</v>
      </c>
      <c r="O58">
        <v>24</v>
      </c>
      <c r="P58">
        <v>494.84</v>
      </c>
      <c r="Q58">
        <v>2087.0700000000002</v>
      </c>
      <c r="R58">
        <v>238.02951708000001</v>
      </c>
      <c r="S58">
        <v>165.97124192000001</v>
      </c>
      <c r="T58">
        <v>-4.8292000000000002E-4</v>
      </c>
      <c r="U58">
        <v>0</v>
      </c>
      <c r="V58">
        <v>238.03</v>
      </c>
      <c r="W58" t="s">
        <v>0</v>
      </c>
      <c r="X58" t="s">
        <v>271</v>
      </c>
      <c r="Y58" t="s">
        <v>3975</v>
      </c>
      <c r="AA58" t="s">
        <v>3976</v>
      </c>
      <c r="AB58" t="s">
        <v>181</v>
      </c>
    </row>
    <row r="59" spans="1:28" x14ac:dyDescent="0.25">
      <c r="A59" t="s">
        <v>3977</v>
      </c>
      <c r="B59" t="s">
        <v>3978</v>
      </c>
      <c r="C59" t="s">
        <v>646</v>
      </c>
      <c r="D59" t="s">
        <v>3779</v>
      </c>
      <c r="E59" t="s">
        <v>647</v>
      </c>
      <c r="F59" t="s">
        <v>3780</v>
      </c>
      <c r="G59" t="s">
        <v>769</v>
      </c>
      <c r="H59" t="s">
        <v>962</v>
      </c>
      <c r="I59" t="s">
        <v>1489</v>
      </c>
      <c r="J59" t="s">
        <v>816</v>
      </c>
      <c r="K59" t="s">
        <v>166</v>
      </c>
      <c r="L59" t="s">
        <v>0</v>
      </c>
      <c r="M59" t="s">
        <v>178</v>
      </c>
      <c r="N59">
        <v>59</v>
      </c>
      <c r="O59">
        <v>39</v>
      </c>
      <c r="P59">
        <v>978.67</v>
      </c>
      <c r="Q59">
        <v>3720.73</v>
      </c>
      <c r="R59">
        <v>747.04</v>
      </c>
      <c r="S59">
        <v>208.01275981000001</v>
      </c>
      <c r="T59">
        <v>0</v>
      </c>
      <c r="U59">
        <v>0</v>
      </c>
      <c r="V59">
        <v>747.04</v>
      </c>
      <c r="W59" t="s">
        <v>817</v>
      </c>
      <c r="X59" t="s">
        <v>271</v>
      </c>
      <c r="Y59" t="s">
        <v>3979</v>
      </c>
      <c r="AA59" t="s">
        <v>3980</v>
      </c>
      <c r="AB59" t="s">
        <v>181</v>
      </c>
    </row>
    <row r="60" spans="1:28" x14ac:dyDescent="0.25">
      <c r="A60" t="s">
        <v>3981</v>
      </c>
      <c r="B60" t="s">
        <v>3982</v>
      </c>
      <c r="C60" t="s">
        <v>646</v>
      </c>
      <c r="D60" t="s">
        <v>3779</v>
      </c>
      <c r="E60" t="s">
        <v>647</v>
      </c>
      <c r="F60" t="s">
        <v>3780</v>
      </c>
      <c r="G60" t="s">
        <v>769</v>
      </c>
      <c r="H60" t="s">
        <v>679</v>
      </c>
      <c r="I60" t="s">
        <v>2384</v>
      </c>
      <c r="J60" t="s">
        <v>447</v>
      </c>
      <c r="K60" t="s">
        <v>166</v>
      </c>
      <c r="L60" t="s">
        <v>0</v>
      </c>
      <c r="M60" t="s">
        <v>178</v>
      </c>
      <c r="N60">
        <v>380.24970000000002</v>
      </c>
      <c r="O60">
        <v>317.91629999999998</v>
      </c>
      <c r="P60">
        <v>3282.84</v>
      </c>
      <c r="Q60">
        <v>11502.24</v>
      </c>
      <c r="R60">
        <v>-1569.79697412</v>
      </c>
      <c r="S60">
        <v>5282.4810154699999</v>
      </c>
      <c r="T60">
        <v>2.8430258799999999</v>
      </c>
      <c r="U60">
        <v>2695.71</v>
      </c>
      <c r="V60">
        <v>1137.3</v>
      </c>
      <c r="W60" t="s">
        <v>446</v>
      </c>
      <c r="X60" t="s">
        <v>271</v>
      </c>
      <c r="Y60" t="s">
        <v>3983</v>
      </c>
      <c r="AA60" t="s">
        <v>3984</v>
      </c>
      <c r="AB60" t="s">
        <v>181</v>
      </c>
    </row>
    <row r="61" spans="1:28" x14ac:dyDescent="0.25">
      <c r="A61" t="s">
        <v>3985</v>
      </c>
      <c r="B61" t="s">
        <v>3986</v>
      </c>
      <c r="C61" t="s">
        <v>646</v>
      </c>
      <c r="D61" t="s">
        <v>3779</v>
      </c>
      <c r="E61" t="s">
        <v>647</v>
      </c>
      <c r="F61" t="s">
        <v>3780</v>
      </c>
      <c r="G61" t="s">
        <v>769</v>
      </c>
      <c r="H61" t="s">
        <v>802</v>
      </c>
      <c r="I61" t="s">
        <v>3987</v>
      </c>
      <c r="J61" t="s">
        <v>3988</v>
      </c>
      <c r="K61" t="s">
        <v>166</v>
      </c>
      <c r="L61" t="s">
        <v>0</v>
      </c>
      <c r="M61" t="s">
        <v>178</v>
      </c>
      <c r="N61">
        <v>56.083300000000001</v>
      </c>
      <c r="O61">
        <v>30</v>
      </c>
      <c r="P61">
        <v>699.66</v>
      </c>
      <c r="Q61">
        <v>3876.35</v>
      </c>
      <c r="R61">
        <v>717.4</v>
      </c>
      <c r="S61">
        <v>237.77426163000001</v>
      </c>
      <c r="T61">
        <v>0</v>
      </c>
      <c r="U61">
        <v>0</v>
      </c>
      <c r="V61">
        <v>717.4</v>
      </c>
      <c r="W61" t="s">
        <v>3989</v>
      </c>
      <c r="X61" t="s">
        <v>271</v>
      </c>
      <c r="Y61" t="s">
        <v>3990</v>
      </c>
      <c r="AA61" t="s">
        <v>3991</v>
      </c>
      <c r="AB61" t="s">
        <v>181</v>
      </c>
    </row>
    <row r="62" spans="1:28" x14ac:dyDescent="0.25">
      <c r="A62" t="s">
        <v>3985</v>
      </c>
      <c r="B62" t="s">
        <v>3986</v>
      </c>
      <c r="C62" t="s">
        <v>646</v>
      </c>
      <c r="D62" t="s">
        <v>3779</v>
      </c>
      <c r="E62" t="s">
        <v>647</v>
      </c>
      <c r="F62" t="s">
        <v>3780</v>
      </c>
      <c r="G62" t="s">
        <v>769</v>
      </c>
      <c r="H62" t="s">
        <v>1171</v>
      </c>
      <c r="I62" t="s">
        <v>3987</v>
      </c>
      <c r="J62" t="s">
        <v>3988</v>
      </c>
      <c r="K62" t="s">
        <v>166</v>
      </c>
      <c r="L62" t="s">
        <v>0</v>
      </c>
      <c r="M62" t="s">
        <v>178</v>
      </c>
      <c r="N62">
        <v>255</v>
      </c>
      <c r="O62">
        <v>244</v>
      </c>
      <c r="P62">
        <v>5257.81</v>
      </c>
      <c r="Q62">
        <v>61659.25</v>
      </c>
      <c r="R62">
        <v>9697.3505457299998</v>
      </c>
      <c r="S62">
        <v>237.73483603</v>
      </c>
      <c r="T62">
        <v>20.750545729999999</v>
      </c>
      <c r="U62">
        <v>0</v>
      </c>
      <c r="V62">
        <v>9676.6</v>
      </c>
      <c r="W62" t="s">
        <v>3989</v>
      </c>
      <c r="X62" t="s">
        <v>271</v>
      </c>
      <c r="Y62" t="s">
        <v>3990</v>
      </c>
      <c r="AA62" t="s">
        <v>3991</v>
      </c>
      <c r="AB62" t="s">
        <v>181</v>
      </c>
    </row>
    <row r="63" spans="1:28" x14ac:dyDescent="0.25">
      <c r="A63" t="s">
        <v>3992</v>
      </c>
      <c r="B63" t="s">
        <v>3993</v>
      </c>
      <c r="C63" t="s">
        <v>646</v>
      </c>
      <c r="D63" t="s">
        <v>3779</v>
      </c>
      <c r="E63" t="s">
        <v>647</v>
      </c>
      <c r="F63" t="s">
        <v>3780</v>
      </c>
      <c r="G63" t="s">
        <v>769</v>
      </c>
      <c r="H63" t="s">
        <v>1045</v>
      </c>
      <c r="I63" t="s">
        <v>3994</v>
      </c>
      <c r="J63" t="s">
        <v>3995</v>
      </c>
      <c r="K63" t="s">
        <v>166</v>
      </c>
      <c r="L63" t="s">
        <v>0</v>
      </c>
      <c r="M63" t="s">
        <v>178</v>
      </c>
      <c r="N63">
        <v>53</v>
      </c>
      <c r="O63">
        <v>51</v>
      </c>
      <c r="P63">
        <v>618.70000000000005</v>
      </c>
      <c r="Q63">
        <v>3552.26</v>
      </c>
      <c r="R63">
        <v>239.83</v>
      </c>
      <c r="S63">
        <v>365.41103557000002</v>
      </c>
      <c r="T63">
        <v>0</v>
      </c>
      <c r="U63">
        <v>0</v>
      </c>
      <c r="V63">
        <v>239.83</v>
      </c>
      <c r="W63" t="s">
        <v>250</v>
      </c>
      <c r="X63" t="s">
        <v>269</v>
      </c>
      <c r="Y63" t="s">
        <v>3996</v>
      </c>
      <c r="AA63" t="s">
        <v>3997</v>
      </c>
      <c r="AB63" t="s">
        <v>181</v>
      </c>
    </row>
    <row r="64" spans="1:28" x14ac:dyDescent="0.25">
      <c r="A64" t="s">
        <v>3956</v>
      </c>
      <c r="B64" t="s">
        <v>3957</v>
      </c>
      <c r="C64" t="s">
        <v>646</v>
      </c>
      <c r="D64" t="s">
        <v>3779</v>
      </c>
      <c r="E64" t="s">
        <v>647</v>
      </c>
      <c r="F64" t="s">
        <v>666</v>
      </c>
      <c r="G64" t="s">
        <v>666</v>
      </c>
      <c r="H64" t="s">
        <v>1045</v>
      </c>
      <c r="I64" t="s">
        <v>1068</v>
      </c>
      <c r="J64" t="s">
        <v>501</v>
      </c>
      <c r="K64" t="s">
        <v>166</v>
      </c>
      <c r="L64" t="s">
        <v>0</v>
      </c>
      <c r="M64" t="s">
        <v>178</v>
      </c>
      <c r="N64">
        <v>3</v>
      </c>
      <c r="O64">
        <v>3</v>
      </c>
      <c r="P64">
        <v>30</v>
      </c>
      <c r="Q64">
        <v>237.61</v>
      </c>
      <c r="R64">
        <v>38.6</v>
      </c>
      <c r="S64">
        <v>21.831845560000001</v>
      </c>
      <c r="T64">
        <v>0</v>
      </c>
      <c r="U64">
        <v>0</v>
      </c>
      <c r="V64">
        <v>38.6</v>
      </c>
      <c r="W64" t="s">
        <v>500</v>
      </c>
      <c r="X64" t="s">
        <v>271</v>
      </c>
      <c r="Y64" t="s">
        <v>3958</v>
      </c>
      <c r="AA64" t="s">
        <v>3959</v>
      </c>
      <c r="AB64" t="s">
        <v>181</v>
      </c>
    </row>
    <row r="65" spans="1:28" x14ac:dyDescent="0.25">
      <c r="A65" t="s">
        <v>3998</v>
      </c>
      <c r="B65" t="s">
        <v>3999</v>
      </c>
      <c r="C65" t="s">
        <v>646</v>
      </c>
      <c r="D65" t="s">
        <v>3779</v>
      </c>
      <c r="E65" t="s">
        <v>647</v>
      </c>
      <c r="F65" t="s">
        <v>3780</v>
      </c>
      <c r="G65" t="s">
        <v>769</v>
      </c>
      <c r="H65" t="s">
        <v>713</v>
      </c>
      <c r="I65" t="s">
        <v>1636</v>
      </c>
      <c r="J65" t="s">
        <v>1637</v>
      </c>
      <c r="K65" t="s">
        <v>166</v>
      </c>
      <c r="L65" t="s">
        <v>0</v>
      </c>
      <c r="M65" t="s">
        <v>178</v>
      </c>
      <c r="N65">
        <v>1174.7501</v>
      </c>
      <c r="O65">
        <v>116.5834</v>
      </c>
      <c r="P65">
        <v>24692.84</v>
      </c>
      <c r="Q65">
        <v>18871.98</v>
      </c>
      <c r="R65">
        <v>2078.0330306000001</v>
      </c>
      <c r="S65">
        <v>743.79186368000001</v>
      </c>
      <c r="T65">
        <v>-3.3769694000000001</v>
      </c>
      <c r="U65">
        <v>0</v>
      </c>
      <c r="V65">
        <v>2081.41</v>
      </c>
      <c r="W65" t="s">
        <v>1638</v>
      </c>
      <c r="X65" t="s">
        <v>271</v>
      </c>
      <c r="Y65" t="s">
        <v>4000</v>
      </c>
      <c r="AA65" t="s">
        <v>4001</v>
      </c>
      <c r="AB65" t="s">
        <v>181</v>
      </c>
    </row>
    <row r="66" spans="1:28" x14ac:dyDescent="0.25">
      <c r="A66" t="s">
        <v>3814</v>
      </c>
      <c r="B66" t="s">
        <v>3815</v>
      </c>
      <c r="C66" t="s">
        <v>646</v>
      </c>
      <c r="D66" t="s">
        <v>3779</v>
      </c>
      <c r="E66" t="s">
        <v>647</v>
      </c>
      <c r="F66" t="s">
        <v>3780</v>
      </c>
      <c r="G66" t="s">
        <v>769</v>
      </c>
      <c r="H66" t="s">
        <v>703</v>
      </c>
      <c r="I66" t="s">
        <v>3816</v>
      </c>
      <c r="J66" t="s">
        <v>548</v>
      </c>
      <c r="K66" t="s">
        <v>166</v>
      </c>
      <c r="L66" t="s">
        <v>0</v>
      </c>
      <c r="M66" t="s">
        <v>178</v>
      </c>
      <c r="N66">
        <v>426.15</v>
      </c>
      <c r="O66">
        <v>189</v>
      </c>
      <c r="P66">
        <v>7085.7</v>
      </c>
      <c r="Q66">
        <v>13155.04</v>
      </c>
      <c r="R66">
        <v>1049.57590523</v>
      </c>
      <c r="S66">
        <v>2331.0606787900001</v>
      </c>
      <c r="T66">
        <v>65.475905229999995</v>
      </c>
      <c r="U66">
        <v>53.47</v>
      </c>
      <c r="V66">
        <v>1102.08</v>
      </c>
      <c r="W66" t="s">
        <v>241</v>
      </c>
      <c r="X66" t="s">
        <v>271</v>
      </c>
      <c r="Y66" t="s">
        <v>3817</v>
      </c>
      <c r="AA66" t="s">
        <v>3818</v>
      </c>
      <c r="AB66" t="s">
        <v>181</v>
      </c>
    </row>
    <row r="67" spans="1:28" x14ac:dyDescent="0.25">
      <c r="A67" t="s">
        <v>4002</v>
      </c>
      <c r="B67" t="s">
        <v>4003</v>
      </c>
      <c r="C67" t="s">
        <v>646</v>
      </c>
      <c r="D67" t="s">
        <v>3779</v>
      </c>
      <c r="E67" t="s">
        <v>647</v>
      </c>
      <c r="F67" t="s">
        <v>3780</v>
      </c>
      <c r="G67" t="s">
        <v>769</v>
      </c>
      <c r="H67" t="s">
        <v>802</v>
      </c>
      <c r="I67" t="s">
        <v>2635</v>
      </c>
      <c r="J67" t="s">
        <v>2636</v>
      </c>
      <c r="K67" t="s">
        <v>166</v>
      </c>
      <c r="L67" t="s">
        <v>0</v>
      </c>
      <c r="M67" t="s">
        <v>178</v>
      </c>
      <c r="N67">
        <v>114.083</v>
      </c>
      <c r="O67">
        <v>112.083</v>
      </c>
      <c r="P67">
        <v>1605</v>
      </c>
      <c r="Q67">
        <v>5594</v>
      </c>
      <c r="R67">
        <v>1696.07</v>
      </c>
      <c r="S67">
        <v>564.47759910000002</v>
      </c>
      <c r="T67">
        <v>0</v>
      </c>
      <c r="U67">
        <v>0</v>
      </c>
      <c r="V67">
        <v>1696.07</v>
      </c>
      <c r="W67" t="s">
        <v>1609</v>
      </c>
      <c r="X67" t="s">
        <v>271</v>
      </c>
      <c r="Y67" t="s">
        <v>4004</v>
      </c>
      <c r="AA67" t="s">
        <v>4005</v>
      </c>
      <c r="AB67" t="s">
        <v>181</v>
      </c>
    </row>
    <row r="68" spans="1:28" x14ac:dyDescent="0.25">
      <c r="A68" t="s">
        <v>4006</v>
      </c>
      <c r="B68" t="s">
        <v>4007</v>
      </c>
      <c r="C68" t="s">
        <v>646</v>
      </c>
      <c r="D68" t="s">
        <v>3779</v>
      </c>
      <c r="E68" t="s">
        <v>647</v>
      </c>
      <c r="F68" t="s">
        <v>3780</v>
      </c>
      <c r="G68" t="s">
        <v>769</v>
      </c>
      <c r="H68" t="s">
        <v>770</v>
      </c>
      <c r="I68" t="s">
        <v>4008</v>
      </c>
      <c r="J68" t="s">
        <v>688</v>
      </c>
      <c r="K68" t="s">
        <v>166</v>
      </c>
      <c r="L68" t="s">
        <v>0</v>
      </c>
      <c r="M68" t="s">
        <v>178</v>
      </c>
      <c r="N68">
        <v>2</v>
      </c>
      <c r="O68">
        <v>2</v>
      </c>
      <c r="P68">
        <v>20</v>
      </c>
      <c r="Q68">
        <v>37.159999999999997</v>
      </c>
      <c r="R68">
        <v>4.3600000000000003</v>
      </c>
      <c r="S68">
        <v>3.6</v>
      </c>
      <c r="T68">
        <v>0</v>
      </c>
      <c r="U68">
        <v>0</v>
      </c>
      <c r="V68">
        <v>4.3600000000000003</v>
      </c>
      <c r="W68" t="s">
        <v>0</v>
      </c>
      <c r="X68" t="s">
        <v>271</v>
      </c>
      <c r="Y68" t="s">
        <v>4009</v>
      </c>
      <c r="AA68" t="s">
        <v>4010</v>
      </c>
      <c r="AB68" t="s">
        <v>181</v>
      </c>
    </row>
    <row r="69" spans="1:28" x14ac:dyDescent="0.25">
      <c r="A69" t="s">
        <v>4011</v>
      </c>
      <c r="B69" t="s">
        <v>4012</v>
      </c>
      <c r="C69" t="s">
        <v>646</v>
      </c>
      <c r="D69" t="s">
        <v>3779</v>
      </c>
      <c r="E69" t="s">
        <v>647</v>
      </c>
      <c r="F69" t="s">
        <v>3780</v>
      </c>
      <c r="G69" t="s">
        <v>769</v>
      </c>
      <c r="H69" t="s">
        <v>797</v>
      </c>
      <c r="I69" t="s">
        <v>2142</v>
      </c>
      <c r="J69" t="s">
        <v>1924</v>
      </c>
      <c r="K69" t="s">
        <v>166</v>
      </c>
      <c r="L69" t="s">
        <v>0</v>
      </c>
      <c r="M69" t="s">
        <v>178</v>
      </c>
      <c r="N69">
        <v>111</v>
      </c>
      <c r="O69">
        <v>3</v>
      </c>
      <c r="P69">
        <v>1776</v>
      </c>
      <c r="Q69">
        <v>5005.5</v>
      </c>
      <c r="R69">
        <v>702.87</v>
      </c>
      <c r="S69">
        <v>118.86483541</v>
      </c>
      <c r="T69">
        <v>0</v>
      </c>
      <c r="U69">
        <v>0</v>
      </c>
      <c r="V69">
        <v>702.87</v>
      </c>
      <c r="W69" t="s">
        <v>1925</v>
      </c>
      <c r="X69" t="s">
        <v>271</v>
      </c>
      <c r="Y69" t="s">
        <v>4013</v>
      </c>
      <c r="AA69" t="s">
        <v>4014</v>
      </c>
      <c r="AB69" t="s">
        <v>181</v>
      </c>
    </row>
    <row r="70" spans="1:28" x14ac:dyDescent="0.25">
      <c r="A70" t="s">
        <v>4015</v>
      </c>
      <c r="B70" t="s">
        <v>4016</v>
      </c>
      <c r="C70" t="s">
        <v>646</v>
      </c>
      <c r="D70" t="s">
        <v>3779</v>
      </c>
      <c r="E70" t="s">
        <v>647</v>
      </c>
      <c r="F70" t="s">
        <v>3780</v>
      </c>
      <c r="G70" t="s">
        <v>769</v>
      </c>
      <c r="H70" t="s">
        <v>672</v>
      </c>
      <c r="I70" t="s">
        <v>4017</v>
      </c>
      <c r="J70" t="s">
        <v>4018</v>
      </c>
      <c r="K70" t="s">
        <v>166</v>
      </c>
      <c r="L70" t="s">
        <v>0</v>
      </c>
      <c r="M70" t="s">
        <v>178</v>
      </c>
      <c r="N70">
        <v>67</v>
      </c>
      <c r="O70">
        <v>18</v>
      </c>
      <c r="P70">
        <v>1554.64</v>
      </c>
      <c r="Q70">
        <v>2639.99</v>
      </c>
      <c r="R70">
        <v>308.30527962000002</v>
      </c>
      <c r="S70">
        <v>314.06791428999998</v>
      </c>
      <c r="T70">
        <v>0.11527962</v>
      </c>
      <c r="U70">
        <v>0</v>
      </c>
      <c r="V70">
        <v>308.19</v>
      </c>
      <c r="W70" t="s">
        <v>4019</v>
      </c>
      <c r="X70" t="s">
        <v>271</v>
      </c>
      <c r="Y70" t="s">
        <v>4020</v>
      </c>
      <c r="AA70" t="s">
        <v>4021</v>
      </c>
      <c r="AB70" t="s">
        <v>181</v>
      </c>
    </row>
    <row r="71" spans="1:28" x14ac:dyDescent="0.25">
      <c r="A71" t="s">
        <v>4022</v>
      </c>
      <c r="B71" t="s">
        <v>4023</v>
      </c>
      <c r="C71" t="s">
        <v>646</v>
      </c>
      <c r="D71" t="s">
        <v>3779</v>
      </c>
      <c r="E71" t="s">
        <v>647</v>
      </c>
      <c r="F71" t="s">
        <v>3780</v>
      </c>
      <c r="G71" t="s">
        <v>769</v>
      </c>
      <c r="H71" t="s">
        <v>1175</v>
      </c>
      <c r="I71" t="s">
        <v>4024</v>
      </c>
      <c r="J71" t="s">
        <v>447</v>
      </c>
      <c r="K71" t="s">
        <v>166</v>
      </c>
      <c r="L71" t="s">
        <v>0</v>
      </c>
      <c r="M71" t="s">
        <v>178</v>
      </c>
      <c r="N71">
        <v>2</v>
      </c>
      <c r="O71">
        <v>0</v>
      </c>
      <c r="P71">
        <v>22</v>
      </c>
      <c r="Q71">
        <v>228.4</v>
      </c>
      <c r="R71">
        <v>26.06</v>
      </c>
      <c r="S71">
        <v>10.78182226</v>
      </c>
      <c r="T71">
        <v>0</v>
      </c>
      <c r="U71">
        <v>0</v>
      </c>
      <c r="V71">
        <v>26.06</v>
      </c>
      <c r="W71" t="s">
        <v>446</v>
      </c>
      <c r="X71" t="s">
        <v>271</v>
      </c>
      <c r="Y71" t="s">
        <v>4025</v>
      </c>
      <c r="AA71" t="s">
        <v>4026</v>
      </c>
      <c r="AB71" t="s">
        <v>181</v>
      </c>
    </row>
    <row r="72" spans="1:28" x14ac:dyDescent="0.25">
      <c r="A72" t="s">
        <v>4027</v>
      </c>
      <c r="B72" t="s">
        <v>4028</v>
      </c>
      <c r="C72" t="s">
        <v>646</v>
      </c>
      <c r="D72" t="s">
        <v>3779</v>
      </c>
      <c r="E72" t="s">
        <v>647</v>
      </c>
      <c r="F72" t="s">
        <v>3780</v>
      </c>
      <c r="G72" t="s">
        <v>769</v>
      </c>
      <c r="H72" t="s">
        <v>1045</v>
      </c>
      <c r="I72" t="s">
        <v>1251</v>
      </c>
      <c r="J72" t="s">
        <v>821</v>
      </c>
      <c r="K72" t="s">
        <v>166</v>
      </c>
      <c r="L72" t="s">
        <v>0</v>
      </c>
      <c r="M72" t="s">
        <v>178</v>
      </c>
      <c r="N72">
        <v>847.16669999999999</v>
      </c>
      <c r="O72">
        <v>324.16669999999999</v>
      </c>
      <c r="P72">
        <v>9897.6</v>
      </c>
      <c r="Q72">
        <v>89491.9</v>
      </c>
      <c r="R72">
        <v>11138.82</v>
      </c>
      <c r="S72">
        <v>1775.70969279</v>
      </c>
      <c r="T72">
        <v>0</v>
      </c>
      <c r="U72">
        <v>0</v>
      </c>
      <c r="V72">
        <v>11138.82</v>
      </c>
      <c r="W72" t="s">
        <v>822</v>
      </c>
      <c r="X72" t="s">
        <v>269</v>
      </c>
      <c r="Y72" t="s">
        <v>4029</v>
      </c>
      <c r="AA72" t="s">
        <v>4030</v>
      </c>
      <c r="AB72" t="s">
        <v>181</v>
      </c>
    </row>
    <row r="73" spans="1:28" x14ac:dyDescent="0.25">
      <c r="A73" t="s">
        <v>4031</v>
      </c>
      <c r="B73" t="s">
        <v>4032</v>
      </c>
      <c r="C73" t="s">
        <v>646</v>
      </c>
      <c r="D73" t="s">
        <v>3779</v>
      </c>
      <c r="E73" t="s">
        <v>647</v>
      </c>
      <c r="F73" t="s">
        <v>3780</v>
      </c>
      <c r="G73" t="s">
        <v>769</v>
      </c>
      <c r="H73" t="s">
        <v>761</v>
      </c>
      <c r="I73" t="s">
        <v>1513</v>
      </c>
      <c r="J73" t="s">
        <v>333</v>
      </c>
      <c r="K73" t="s">
        <v>166</v>
      </c>
      <c r="L73" t="s">
        <v>0</v>
      </c>
      <c r="M73" t="s">
        <v>178</v>
      </c>
      <c r="N73">
        <v>478</v>
      </c>
      <c r="O73">
        <v>363</v>
      </c>
      <c r="P73">
        <v>16150.62</v>
      </c>
      <c r="Q73">
        <v>12729.55</v>
      </c>
      <c r="R73">
        <v>1006</v>
      </c>
      <c r="S73">
        <v>2362.54714401</v>
      </c>
      <c r="T73">
        <v>0</v>
      </c>
      <c r="U73">
        <v>0</v>
      </c>
      <c r="V73">
        <v>1006</v>
      </c>
      <c r="W73" t="s">
        <v>718</v>
      </c>
      <c r="X73" t="s">
        <v>271</v>
      </c>
      <c r="Y73" t="s">
        <v>4033</v>
      </c>
      <c r="AA73" t="s">
        <v>4034</v>
      </c>
      <c r="AB73" t="s">
        <v>181</v>
      </c>
    </row>
    <row r="74" spans="1:28" x14ac:dyDescent="0.25">
      <c r="A74" t="s">
        <v>3838</v>
      </c>
      <c r="B74" t="s">
        <v>3839</v>
      </c>
      <c r="C74" t="s">
        <v>646</v>
      </c>
      <c r="D74" t="s">
        <v>3779</v>
      </c>
      <c r="E74" t="s">
        <v>647</v>
      </c>
      <c r="F74" t="s">
        <v>3780</v>
      </c>
      <c r="G74" t="s">
        <v>769</v>
      </c>
      <c r="H74" t="s">
        <v>713</v>
      </c>
      <c r="I74" t="s">
        <v>906</v>
      </c>
      <c r="J74" t="s">
        <v>907</v>
      </c>
      <c r="K74" t="s">
        <v>166</v>
      </c>
      <c r="L74" t="s">
        <v>0</v>
      </c>
      <c r="M74" t="s">
        <v>178</v>
      </c>
      <c r="N74">
        <v>39.5</v>
      </c>
      <c r="O74">
        <v>27</v>
      </c>
      <c r="P74">
        <v>1052.78</v>
      </c>
      <c r="Q74">
        <v>2458.1</v>
      </c>
      <c r="R74">
        <v>386.72</v>
      </c>
      <c r="S74">
        <v>327.89879815</v>
      </c>
      <c r="T74">
        <v>0</v>
      </c>
      <c r="U74">
        <v>0</v>
      </c>
      <c r="V74">
        <v>386.72</v>
      </c>
      <c r="W74" t="s">
        <v>272</v>
      </c>
      <c r="X74" t="s">
        <v>269</v>
      </c>
      <c r="Y74" t="s">
        <v>3840</v>
      </c>
      <c r="AA74" t="s">
        <v>3841</v>
      </c>
      <c r="AB74" t="s">
        <v>181</v>
      </c>
    </row>
    <row r="75" spans="1:28" x14ac:dyDescent="0.25">
      <c r="A75" t="s">
        <v>4035</v>
      </c>
      <c r="B75" t="s">
        <v>4036</v>
      </c>
      <c r="C75" t="s">
        <v>646</v>
      </c>
      <c r="D75" t="s">
        <v>3779</v>
      </c>
      <c r="E75" t="s">
        <v>647</v>
      </c>
      <c r="F75" t="s">
        <v>3780</v>
      </c>
      <c r="G75" t="s">
        <v>769</v>
      </c>
      <c r="H75" t="s">
        <v>717</v>
      </c>
      <c r="I75" t="s">
        <v>3464</v>
      </c>
      <c r="J75" t="s">
        <v>688</v>
      </c>
      <c r="K75" t="s">
        <v>166</v>
      </c>
      <c r="L75" t="s">
        <v>0</v>
      </c>
      <c r="M75" t="s">
        <v>178</v>
      </c>
      <c r="N75">
        <v>133</v>
      </c>
      <c r="O75">
        <v>116</v>
      </c>
      <c r="P75">
        <v>1672.01</v>
      </c>
      <c r="Q75">
        <v>7666.75</v>
      </c>
      <c r="R75">
        <v>956.62089550999997</v>
      </c>
      <c r="S75">
        <v>248.16533828999999</v>
      </c>
      <c r="T75">
        <v>1.63089551</v>
      </c>
      <c r="U75">
        <v>0</v>
      </c>
      <c r="V75">
        <v>954.99</v>
      </c>
      <c r="W75" t="s">
        <v>0</v>
      </c>
      <c r="X75" t="s">
        <v>271</v>
      </c>
      <c r="Y75" t="s">
        <v>4037</v>
      </c>
      <c r="AA75" t="s">
        <v>4038</v>
      </c>
      <c r="AB75" t="s">
        <v>181</v>
      </c>
    </row>
    <row r="76" spans="1:28" x14ac:dyDescent="0.25">
      <c r="A76" t="s">
        <v>4002</v>
      </c>
      <c r="B76" t="s">
        <v>4003</v>
      </c>
      <c r="C76" t="s">
        <v>646</v>
      </c>
      <c r="D76" t="s">
        <v>3779</v>
      </c>
      <c r="E76" t="s">
        <v>647</v>
      </c>
      <c r="F76" t="s">
        <v>3780</v>
      </c>
      <c r="G76" t="s">
        <v>769</v>
      </c>
      <c r="H76" t="s">
        <v>962</v>
      </c>
      <c r="I76" t="s">
        <v>2635</v>
      </c>
      <c r="J76" t="s">
        <v>2636</v>
      </c>
      <c r="K76" t="s">
        <v>166</v>
      </c>
      <c r="L76" t="s">
        <v>0</v>
      </c>
      <c r="M76" t="s">
        <v>178</v>
      </c>
      <c r="N76">
        <v>117</v>
      </c>
      <c r="O76">
        <v>101</v>
      </c>
      <c r="P76">
        <v>2156.69</v>
      </c>
      <c r="Q76">
        <v>8554.1299999999992</v>
      </c>
      <c r="R76">
        <v>2878.3144438999998</v>
      </c>
      <c r="S76">
        <v>911.37594733000003</v>
      </c>
      <c r="T76">
        <v>4.4438999999999998E-3</v>
      </c>
      <c r="U76">
        <v>0</v>
      </c>
      <c r="V76">
        <v>2878.31</v>
      </c>
      <c r="W76" t="s">
        <v>1609</v>
      </c>
      <c r="X76" t="s">
        <v>271</v>
      </c>
      <c r="Y76" t="s">
        <v>4004</v>
      </c>
      <c r="AA76" t="s">
        <v>4005</v>
      </c>
      <c r="AB76" t="s">
        <v>181</v>
      </c>
    </row>
    <row r="77" spans="1:28" x14ac:dyDescent="0.25">
      <c r="A77" t="s">
        <v>3921</v>
      </c>
      <c r="B77" t="s">
        <v>3922</v>
      </c>
      <c r="C77" t="s">
        <v>646</v>
      </c>
      <c r="D77" t="s">
        <v>3779</v>
      </c>
      <c r="E77" t="s">
        <v>647</v>
      </c>
      <c r="F77" t="s">
        <v>666</v>
      </c>
      <c r="G77" t="s">
        <v>666</v>
      </c>
      <c r="H77" t="s">
        <v>962</v>
      </c>
      <c r="I77" t="s">
        <v>902</v>
      </c>
      <c r="J77" t="s">
        <v>562</v>
      </c>
      <c r="K77" t="s">
        <v>166</v>
      </c>
      <c r="L77" t="s">
        <v>0</v>
      </c>
      <c r="M77" t="s">
        <v>178</v>
      </c>
      <c r="N77">
        <v>99</v>
      </c>
      <c r="O77">
        <v>17</v>
      </c>
      <c r="P77">
        <v>1705.14</v>
      </c>
      <c r="Q77">
        <v>7217.85</v>
      </c>
      <c r="R77">
        <v>611.09</v>
      </c>
      <c r="S77">
        <v>238.16256666999999</v>
      </c>
      <c r="T77">
        <v>0</v>
      </c>
      <c r="U77">
        <v>0</v>
      </c>
      <c r="V77">
        <v>611.09</v>
      </c>
      <c r="W77" t="s">
        <v>0</v>
      </c>
      <c r="X77" t="s">
        <v>271</v>
      </c>
      <c r="Y77" t="s">
        <v>3923</v>
      </c>
      <c r="AA77" t="s">
        <v>3924</v>
      </c>
      <c r="AB77" t="s">
        <v>181</v>
      </c>
    </row>
    <row r="78" spans="1:28" x14ac:dyDescent="0.25">
      <c r="A78" t="s">
        <v>4039</v>
      </c>
      <c r="B78" t="s">
        <v>4040</v>
      </c>
      <c r="C78" t="s">
        <v>646</v>
      </c>
      <c r="D78" t="s">
        <v>3779</v>
      </c>
      <c r="E78" t="s">
        <v>647</v>
      </c>
      <c r="F78" t="s">
        <v>3780</v>
      </c>
      <c r="G78" t="s">
        <v>769</v>
      </c>
      <c r="H78" t="s">
        <v>761</v>
      </c>
      <c r="I78" t="s">
        <v>1595</v>
      </c>
      <c r="J78" t="s">
        <v>544</v>
      </c>
      <c r="K78" t="s">
        <v>166</v>
      </c>
      <c r="L78" t="s">
        <v>0</v>
      </c>
      <c r="M78" t="s">
        <v>178</v>
      </c>
      <c r="N78">
        <v>98</v>
      </c>
      <c r="O78">
        <v>86</v>
      </c>
      <c r="P78">
        <v>3655.18</v>
      </c>
      <c r="Q78">
        <v>4983.88</v>
      </c>
      <c r="R78">
        <v>1606.4</v>
      </c>
      <c r="S78">
        <v>825.80863064000005</v>
      </c>
      <c r="T78">
        <v>0</v>
      </c>
      <c r="U78">
        <v>0</v>
      </c>
      <c r="V78">
        <v>1606.4</v>
      </c>
      <c r="W78" t="s">
        <v>239</v>
      </c>
      <c r="X78" t="s">
        <v>271</v>
      </c>
      <c r="Y78" t="s">
        <v>4041</v>
      </c>
      <c r="AA78" t="s">
        <v>4042</v>
      </c>
      <c r="AB78" t="s">
        <v>181</v>
      </c>
    </row>
    <row r="79" spans="1:28" x14ac:dyDescent="0.25">
      <c r="A79" t="s">
        <v>4043</v>
      </c>
      <c r="B79" t="s">
        <v>4044</v>
      </c>
      <c r="C79" t="s">
        <v>646</v>
      </c>
      <c r="D79" t="s">
        <v>3779</v>
      </c>
      <c r="E79" t="s">
        <v>647</v>
      </c>
      <c r="F79" t="s">
        <v>666</v>
      </c>
      <c r="G79" t="s">
        <v>666</v>
      </c>
      <c r="H79" t="s">
        <v>757</v>
      </c>
      <c r="I79" t="s">
        <v>1431</v>
      </c>
      <c r="J79" t="s">
        <v>1432</v>
      </c>
      <c r="K79" t="s">
        <v>166</v>
      </c>
      <c r="L79" t="s">
        <v>0</v>
      </c>
      <c r="M79" t="s">
        <v>178</v>
      </c>
      <c r="N79">
        <v>104.6</v>
      </c>
      <c r="O79">
        <v>87.6</v>
      </c>
      <c r="P79">
        <v>2723.06</v>
      </c>
      <c r="Q79">
        <v>5994.66</v>
      </c>
      <c r="R79">
        <v>-713.88952998000002</v>
      </c>
      <c r="S79">
        <v>2521.01676086</v>
      </c>
      <c r="T79">
        <v>0.12047002</v>
      </c>
      <c r="U79">
        <v>0</v>
      </c>
      <c r="V79">
        <v>-714.01</v>
      </c>
      <c r="W79" t="s">
        <v>1433</v>
      </c>
      <c r="X79" t="s">
        <v>271</v>
      </c>
      <c r="Y79" t="s">
        <v>4045</v>
      </c>
      <c r="AA79" t="s">
        <v>4046</v>
      </c>
      <c r="AB79" t="s">
        <v>181</v>
      </c>
    </row>
    <row r="80" spans="1:28" x14ac:dyDescent="0.25">
      <c r="A80" t="s">
        <v>4047</v>
      </c>
      <c r="B80" t="s">
        <v>4048</v>
      </c>
      <c r="C80" t="s">
        <v>646</v>
      </c>
      <c r="D80" t="s">
        <v>3779</v>
      </c>
      <c r="E80" t="s">
        <v>647</v>
      </c>
      <c r="F80" t="s">
        <v>666</v>
      </c>
      <c r="G80" t="s">
        <v>666</v>
      </c>
      <c r="H80" t="s">
        <v>797</v>
      </c>
      <c r="I80" t="s">
        <v>2292</v>
      </c>
      <c r="J80" t="s">
        <v>1847</v>
      </c>
      <c r="K80" t="s">
        <v>166</v>
      </c>
      <c r="L80" t="s">
        <v>0</v>
      </c>
      <c r="M80" t="s">
        <v>178</v>
      </c>
      <c r="N80">
        <v>48</v>
      </c>
      <c r="O80">
        <v>15</v>
      </c>
      <c r="P80">
        <v>524.04</v>
      </c>
      <c r="Q80">
        <v>2017.24</v>
      </c>
      <c r="R80">
        <v>407.7686832</v>
      </c>
      <c r="S80">
        <v>140.35357020999999</v>
      </c>
      <c r="T80">
        <v>1.8683200000000001E-2</v>
      </c>
      <c r="U80">
        <v>0</v>
      </c>
      <c r="V80">
        <v>407.75</v>
      </c>
      <c r="W80" t="s">
        <v>1848</v>
      </c>
      <c r="X80" t="s">
        <v>269</v>
      </c>
      <c r="Y80" t="s">
        <v>4049</v>
      </c>
      <c r="AA80" t="s">
        <v>4050</v>
      </c>
      <c r="AB80" t="s">
        <v>181</v>
      </c>
    </row>
    <row r="81" spans="1:28" x14ac:dyDescent="0.25">
      <c r="A81" t="s">
        <v>3827</v>
      </c>
      <c r="B81" t="s">
        <v>3828</v>
      </c>
      <c r="C81" t="s">
        <v>646</v>
      </c>
      <c r="D81" t="s">
        <v>3779</v>
      </c>
      <c r="E81" t="s">
        <v>647</v>
      </c>
      <c r="F81" t="s">
        <v>3780</v>
      </c>
      <c r="G81" t="s">
        <v>769</v>
      </c>
      <c r="H81" t="s">
        <v>797</v>
      </c>
      <c r="I81" t="s">
        <v>3829</v>
      </c>
      <c r="J81" t="s">
        <v>3830</v>
      </c>
      <c r="K81" t="s">
        <v>166</v>
      </c>
      <c r="L81" t="s">
        <v>0</v>
      </c>
      <c r="M81" t="s">
        <v>178</v>
      </c>
      <c r="N81">
        <v>232</v>
      </c>
      <c r="O81">
        <v>0</v>
      </c>
      <c r="P81">
        <v>2320</v>
      </c>
      <c r="Q81">
        <v>9588.08</v>
      </c>
      <c r="R81">
        <v>4075.96</v>
      </c>
      <c r="S81">
        <v>428.476</v>
      </c>
      <c r="T81">
        <v>0</v>
      </c>
      <c r="U81">
        <v>0</v>
      </c>
      <c r="V81">
        <v>4075.96</v>
      </c>
      <c r="W81" t="s">
        <v>3831</v>
      </c>
      <c r="X81" t="s">
        <v>271</v>
      </c>
      <c r="Y81" t="s">
        <v>3832</v>
      </c>
      <c r="AA81" t="s">
        <v>3833</v>
      </c>
      <c r="AB81" t="s">
        <v>181</v>
      </c>
    </row>
    <row r="82" spans="1:28" x14ac:dyDescent="0.25">
      <c r="A82" t="s">
        <v>4051</v>
      </c>
      <c r="B82" t="s">
        <v>4052</v>
      </c>
      <c r="C82" t="s">
        <v>646</v>
      </c>
      <c r="D82" t="s">
        <v>3779</v>
      </c>
      <c r="E82" t="s">
        <v>647</v>
      </c>
      <c r="F82" t="s">
        <v>3780</v>
      </c>
      <c r="G82" t="s">
        <v>769</v>
      </c>
      <c r="H82" t="s">
        <v>1171</v>
      </c>
      <c r="I82" t="s">
        <v>4053</v>
      </c>
      <c r="J82" t="s">
        <v>4054</v>
      </c>
      <c r="K82" t="s">
        <v>166</v>
      </c>
      <c r="L82" t="s">
        <v>0</v>
      </c>
      <c r="M82" t="s">
        <v>178</v>
      </c>
      <c r="N82">
        <v>526</v>
      </c>
      <c r="O82">
        <v>88</v>
      </c>
      <c r="P82">
        <v>24722.34</v>
      </c>
      <c r="Q82">
        <v>127426.2</v>
      </c>
      <c r="R82">
        <v>6911.4404433500004</v>
      </c>
      <c r="S82">
        <v>299.15199999999999</v>
      </c>
      <c r="T82">
        <v>1.17044335</v>
      </c>
      <c r="U82">
        <v>0</v>
      </c>
      <c r="V82">
        <v>6910.27</v>
      </c>
      <c r="W82" t="s">
        <v>2488</v>
      </c>
      <c r="X82" t="s">
        <v>269</v>
      </c>
      <c r="Y82" t="s">
        <v>4055</v>
      </c>
      <c r="AA82" t="s">
        <v>4056</v>
      </c>
      <c r="AB82" t="s">
        <v>181</v>
      </c>
    </row>
    <row r="83" spans="1:28" x14ac:dyDescent="0.25">
      <c r="A83" t="s">
        <v>4057</v>
      </c>
      <c r="B83" t="s">
        <v>4058</v>
      </c>
      <c r="C83" t="s">
        <v>646</v>
      </c>
      <c r="D83" t="s">
        <v>3779</v>
      </c>
      <c r="E83" t="s">
        <v>647</v>
      </c>
      <c r="F83" t="s">
        <v>3780</v>
      </c>
      <c r="G83" t="s">
        <v>769</v>
      </c>
      <c r="H83" t="s">
        <v>797</v>
      </c>
      <c r="I83" t="s">
        <v>1190</v>
      </c>
      <c r="J83" t="s">
        <v>1191</v>
      </c>
      <c r="K83" t="s">
        <v>166</v>
      </c>
      <c r="L83" t="s">
        <v>0</v>
      </c>
      <c r="M83" t="s">
        <v>178</v>
      </c>
      <c r="N83">
        <v>15</v>
      </c>
      <c r="O83">
        <v>4</v>
      </c>
      <c r="P83">
        <v>154</v>
      </c>
      <c r="Q83">
        <v>403.79</v>
      </c>
      <c r="R83">
        <v>27.37</v>
      </c>
      <c r="S83">
        <v>37.921572670000003</v>
      </c>
      <c r="T83">
        <v>1</v>
      </c>
      <c r="U83">
        <v>0</v>
      </c>
      <c r="V83">
        <v>27.37</v>
      </c>
      <c r="W83" t="s">
        <v>282</v>
      </c>
      <c r="X83" t="s">
        <v>271</v>
      </c>
      <c r="Y83" t="s">
        <v>4059</v>
      </c>
      <c r="AA83" t="s">
        <v>2171</v>
      </c>
      <c r="AB83" t="s">
        <v>181</v>
      </c>
    </row>
    <row r="84" spans="1:28" x14ac:dyDescent="0.25">
      <c r="A84" t="s">
        <v>3913</v>
      </c>
      <c r="B84" t="s">
        <v>3914</v>
      </c>
      <c r="C84" t="s">
        <v>646</v>
      </c>
      <c r="D84" t="s">
        <v>3779</v>
      </c>
      <c r="E84" t="s">
        <v>647</v>
      </c>
      <c r="F84" t="s">
        <v>3780</v>
      </c>
      <c r="G84" t="s">
        <v>769</v>
      </c>
      <c r="H84" t="s">
        <v>679</v>
      </c>
      <c r="I84" t="s">
        <v>984</v>
      </c>
      <c r="J84" t="s">
        <v>985</v>
      </c>
      <c r="K84" t="s">
        <v>166</v>
      </c>
      <c r="L84" t="s">
        <v>0</v>
      </c>
      <c r="M84" t="s">
        <v>178</v>
      </c>
      <c r="N84">
        <v>3</v>
      </c>
      <c r="O84">
        <v>3</v>
      </c>
      <c r="P84">
        <v>40.549999999999997</v>
      </c>
      <c r="Q84">
        <v>80.92</v>
      </c>
      <c r="R84">
        <v>-2.4610611499999999</v>
      </c>
      <c r="S84">
        <v>41.949423690000003</v>
      </c>
      <c r="T84">
        <v>-0.30106115</v>
      </c>
      <c r="U84">
        <v>0</v>
      </c>
      <c r="V84">
        <v>-2.16</v>
      </c>
      <c r="W84" t="s">
        <v>986</v>
      </c>
      <c r="X84" t="s">
        <v>271</v>
      </c>
      <c r="Y84" t="s">
        <v>3915</v>
      </c>
      <c r="AA84" t="s">
        <v>3916</v>
      </c>
      <c r="AB84" t="s">
        <v>181</v>
      </c>
    </row>
    <row r="85" spans="1:28" x14ac:dyDescent="0.25">
      <c r="A85" t="s">
        <v>4060</v>
      </c>
      <c r="B85" t="s">
        <v>4061</v>
      </c>
      <c r="C85" t="s">
        <v>646</v>
      </c>
      <c r="D85" t="s">
        <v>3779</v>
      </c>
      <c r="E85" t="s">
        <v>647</v>
      </c>
      <c r="F85" t="s">
        <v>648</v>
      </c>
      <c r="G85" t="s">
        <v>648</v>
      </c>
      <c r="H85" t="s">
        <v>757</v>
      </c>
      <c r="I85" t="s">
        <v>1114</v>
      </c>
      <c r="J85" t="s">
        <v>1115</v>
      </c>
      <c r="K85" t="s">
        <v>166</v>
      </c>
      <c r="L85" t="s">
        <v>0</v>
      </c>
      <c r="M85" t="s">
        <v>178</v>
      </c>
      <c r="N85">
        <v>703</v>
      </c>
      <c r="O85">
        <v>703</v>
      </c>
      <c r="P85">
        <v>4854.75</v>
      </c>
      <c r="Q85">
        <v>13009.57</v>
      </c>
      <c r="R85">
        <v>-665.87</v>
      </c>
      <c r="S85">
        <v>3323.9952365600002</v>
      </c>
      <c r="T85">
        <v>0</v>
      </c>
      <c r="U85">
        <v>0</v>
      </c>
      <c r="V85">
        <v>-665.87</v>
      </c>
      <c r="W85" t="s">
        <v>0</v>
      </c>
      <c r="X85" t="s">
        <v>271</v>
      </c>
      <c r="Y85" t="s">
        <v>4062</v>
      </c>
      <c r="AA85" t="s">
        <v>4063</v>
      </c>
      <c r="AB85" t="s">
        <v>181</v>
      </c>
    </row>
    <row r="86" spans="1:28" x14ac:dyDescent="0.25">
      <c r="A86" t="s">
        <v>3801</v>
      </c>
      <c r="B86" t="s">
        <v>3802</v>
      </c>
      <c r="C86" t="s">
        <v>646</v>
      </c>
      <c r="D86" t="s">
        <v>3779</v>
      </c>
      <c r="E86" t="s">
        <v>647</v>
      </c>
      <c r="F86" t="s">
        <v>666</v>
      </c>
      <c r="G86" t="s">
        <v>666</v>
      </c>
      <c r="H86" t="s">
        <v>856</v>
      </c>
      <c r="I86" t="s">
        <v>3803</v>
      </c>
      <c r="J86" t="s">
        <v>2577</v>
      </c>
      <c r="K86" t="s">
        <v>166</v>
      </c>
      <c r="L86" t="s">
        <v>0</v>
      </c>
      <c r="M86" t="s">
        <v>178</v>
      </c>
      <c r="N86">
        <v>4</v>
      </c>
      <c r="O86">
        <v>3</v>
      </c>
      <c r="P86">
        <v>55.55</v>
      </c>
      <c r="Q86">
        <v>523.32000000000005</v>
      </c>
      <c r="R86">
        <v>68.91</v>
      </c>
      <c r="S86">
        <v>20.125299999999999</v>
      </c>
      <c r="T86">
        <v>0</v>
      </c>
      <c r="U86">
        <v>0</v>
      </c>
      <c r="V86">
        <v>68.91</v>
      </c>
      <c r="W86" t="s">
        <v>2578</v>
      </c>
      <c r="X86" t="s">
        <v>271</v>
      </c>
      <c r="Y86" t="s">
        <v>3804</v>
      </c>
      <c r="AA86" t="s">
        <v>3805</v>
      </c>
      <c r="AB86" t="s">
        <v>181</v>
      </c>
    </row>
    <row r="87" spans="1:28" x14ac:dyDescent="0.25">
      <c r="A87" t="s">
        <v>4064</v>
      </c>
      <c r="B87" t="s">
        <v>4065</v>
      </c>
      <c r="C87" t="s">
        <v>646</v>
      </c>
      <c r="D87" t="s">
        <v>3779</v>
      </c>
      <c r="E87" t="s">
        <v>647</v>
      </c>
      <c r="F87" t="s">
        <v>3780</v>
      </c>
      <c r="G87" t="s">
        <v>769</v>
      </c>
      <c r="H87" t="s">
        <v>909</v>
      </c>
      <c r="I87" t="s">
        <v>2469</v>
      </c>
      <c r="J87" t="s">
        <v>2470</v>
      </c>
      <c r="K87" t="s">
        <v>166</v>
      </c>
      <c r="L87" t="s">
        <v>0</v>
      </c>
      <c r="M87" t="s">
        <v>178</v>
      </c>
      <c r="N87">
        <v>48</v>
      </c>
      <c r="O87">
        <v>48</v>
      </c>
      <c r="P87">
        <v>1440</v>
      </c>
      <c r="Q87">
        <v>1023.01</v>
      </c>
      <c r="R87">
        <v>106.54</v>
      </c>
      <c r="S87">
        <v>129.82168827999999</v>
      </c>
      <c r="T87">
        <v>0</v>
      </c>
      <c r="U87">
        <v>0</v>
      </c>
      <c r="V87">
        <v>106.54</v>
      </c>
      <c r="W87" t="s">
        <v>4066</v>
      </c>
      <c r="X87" t="s">
        <v>271</v>
      </c>
      <c r="Y87" t="s">
        <v>4067</v>
      </c>
      <c r="AA87" t="s">
        <v>4068</v>
      </c>
      <c r="AB87" t="s">
        <v>181</v>
      </c>
    </row>
    <row r="88" spans="1:28" x14ac:dyDescent="0.25">
      <c r="A88" t="s">
        <v>3819</v>
      </c>
      <c r="B88" t="s">
        <v>3820</v>
      </c>
      <c r="C88" t="s">
        <v>646</v>
      </c>
      <c r="D88" t="s">
        <v>3779</v>
      </c>
      <c r="E88" t="s">
        <v>647</v>
      </c>
      <c r="F88" t="s">
        <v>3780</v>
      </c>
      <c r="G88" t="s">
        <v>769</v>
      </c>
      <c r="H88" t="s">
        <v>717</v>
      </c>
      <c r="I88" t="s">
        <v>798</v>
      </c>
      <c r="J88" t="s">
        <v>524</v>
      </c>
      <c r="K88" t="s">
        <v>166</v>
      </c>
      <c r="L88" t="s">
        <v>0</v>
      </c>
      <c r="M88" t="s">
        <v>178</v>
      </c>
      <c r="N88">
        <v>141</v>
      </c>
      <c r="O88">
        <v>115</v>
      </c>
      <c r="P88">
        <v>1970.35</v>
      </c>
      <c r="Q88">
        <v>9594.9599999999991</v>
      </c>
      <c r="R88">
        <v>2857.7165996499998</v>
      </c>
      <c r="S88">
        <v>1053.25</v>
      </c>
      <c r="T88">
        <v>2.6599649999999999E-2</v>
      </c>
      <c r="U88">
        <v>0</v>
      </c>
      <c r="V88">
        <v>2857.69</v>
      </c>
      <c r="W88" t="s">
        <v>258</v>
      </c>
      <c r="X88" t="s">
        <v>271</v>
      </c>
      <c r="Y88" t="s">
        <v>3821</v>
      </c>
      <c r="AA88" t="s">
        <v>3822</v>
      </c>
      <c r="AB88" t="s">
        <v>181</v>
      </c>
    </row>
    <row r="89" spans="1:28" x14ac:dyDescent="0.25">
      <c r="A89" t="s">
        <v>4069</v>
      </c>
      <c r="B89" t="s">
        <v>4070</v>
      </c>
      <c r="C89" t="s">
        <v>646</v>
      </c>
      <c r="D89" t="s">
        <v>3779</v>
      </c>
      <c r="E89" t="s">
        <v>647</v>
      </c>
      <c r="F89" t="s">
        <v>3780</v>
      </c>
      <c r="G89" t="s">
        <v>769</v>
      </c>
      <c r="H89" t="s">
        <v>1045</v>
      </c>
      <c r="I89" t="s">
        <v>4071</v>
      </c>
      <c r="J89" t="s">
        <v>785</v>
      </c>
      <c r="K89" t="s">
        <v>166</v>
      </c>
      <c r="L89" t="s">
        <v>0</v>
      </c>
      <c r="M89" t="s">
        <v>178</v>
      </c>
      <c r="N89">
        <v>4</v>
      </c>
      <c r="O89">
        <v>3</v>
      </c>
      <c r="P89">
        <v>29</v>
      </c>
      <c r="Q89">
        <v>178.24</v>
      </c>
      <c r="R89">
        <v>22</v>
      </c>
      <c r="S89">
        <v>6.1515000000000004</v>
      </c>
      <c r="T89">
        <v>0</v>
      </c>
      <c r="U89">
        <v>0</v>
      </c>
      <c r="V89">
        <v>22</v>
      </c>
      <c r="W89" t="s">
        <v>0</v>
      </c>
      <c r="X89" t="s">
        <v>271</v>
      </c>
      <c r="Y89" t="s">
        <v>4072</v>
      </c>
      <c r="AA89" t="s">
        <v>4073</v>
      </c>
      <c r="AB89" t="s">
        <v>181</v>
      </c>
    </row>
    <row r="90" spans="1:28" x14ac:dyDescent="0.25">
      <c r="A90" t="s">
        <v>4074</v>
      </c>
      <c r="B90" t="s">
        <v>4075</v>
      </c>
      <c r="C90" t="s">
        <v>646</v>
      </c>
      <c r="D90" t="s">
        <v>3779</v>
      </c>
      <c r="E90" t="s">
        <v>647</v>
      </c>
      <c r="F90" t="s">
        <v>3780</v>
      </c>
      <c r="G90" t="s">
        <v>769</v>
      </c>
      <c r="H90" t="s">
        <v>708</v>
      </c>
      <c r="I90" t="s">
        <v>1284</v>
      </c>
      <c r="J90" t="s">
        <v>1285</v>
      </c>
      <c r="K90" t="s">
        <v>166</v>
      </c>
      <c r="L90" t="s">
        <v>0</v>
      </c>
      <c r="M90" t="s">
        <v>178</v>
      </c>
      <c r="N90">
        <v>1</v>
      </c>
      <c r="O90">
        <v>1</v>
      </c>
      <c r="P90">
        <v>5.85</v>
      </c>
      <c r="Q90">
        <v>25.69</v>
      </c>
      <c r="R90">
        <v>7.25</v>
      </c>
      <c r="S90">
        <v>7.6585035000000001</v>
      </c>
      <c r="T90">
        <v>0</v>
      </c>
      <c r="U90">
        <v>0</v>
      </c>
      <c r="V90">
        <v>7.25</v>
      </c>
      <c r="W90" t="s">
        <v>1286</v>
      </c>
      <c r="X90" t="s">
        <v>269</v>
      </c>
      <c r="Y90" t="s">
        <v>4076</v>
      </c>
      <c r="AA90" t="s">
        <v>4077</v>
      </c>
      <c r="AB90" t="s">
        <v>181</v>
      </c>
    </row>
    <row r="91" spans="1:28" x14ac:dyDescent="0.25">
      <c r="A91" t="s">
        <v>4078</v>
      </c>
      <c r="B91" t="s">
        <v>4079</v>
      </c>
      <c r="C91" t="s">
        <v>646</v>
      </c>
      <c r="D91" t="s">
        <v>3779</v>
      </c>
      <c r="E91" t="s">
        <v>647</v>
      </c>
      <c r="F91" t="s">
        <v>3780</v>
      </c>
      <c r="G91" t="s">
        <v>769</v>
      </c>
      <c r="H91" t="s">
        <v>1515</v>
      </c>
      <c r="I91" t="s">
        <v>885</v>
      </c>
      <c r="J91" t="s">
        <v>324</v>
      </c>
      <c r="K91" t="s">
        <v>166</v>
      </c>
      <c r="L91" t="s">
        <v>0</v>
      </c>
      <c r="M91" t="s">
        <v>178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519</v>
      </c>
      <c r="X91" t="s">
        <v>271</v>
      </c>
      <c r="Y91" t="s">
        <v>4080</v>
      </c>
      <c r="AA91" t="s">
        <v>4081</v>
      </c>
      <c r="AB91" t="s">
        <v>181</v>
      </c>
    </row>
    <row r="92" spans="1:28" x14ac:dyDescent="0.25">
      <c r="A92" t="s">
        <v>4047</v>
      </c>
      <c r="B92" t="s">
        <v>4048</v>
      </c>
      <c r="C92" t="s">
        <v>646</v>
      </c>
      <c r="D92" t="s">
        <v>3779</v>
      </c>
      <c r="E92" t="s">
        <v>647</v>
      </c>
      <c r="F92" t="s">
        <v>666</v>
      </c>
      <c r="G92" t="s">
        <v>666</v>
      </c>
      <c r="H92" t="s">
        <v>1515</v>
      </c>
      <c r="I92" t="s">
        <v>2292</v>
      </c>
      <c r="J92" t="s">
        <v>1847</v>
      </c>
      <c r="K92" t="s">
        <v>166</v>
      </c>
      <c r="L92" t="s">
        <v>0</v>
      </c>
      <c r="M92" t="s">
        <v>178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 t="s">
        <v>1848</v>
      </c>
      <c r="X92" t="s">
        <v>269</v>
      </c>
      <c r="Y92" t="s">
        <v>4049</v>
      </c>
      <c r="AA92" t="s">
        <v>4050</v>
      </c>
      <c r="AB92" t="s">
        <v>181</v>
      </c>
    </row>
    <row r="93" spans="1:28" x14ac:dyDescent="0.25">
      <c r="A93" t="s">
        <v>4082</v>
      </c>
      <c r="B93" t="s">
        <v>257</v>
      </c>
      <c r="C93" t="s">
        <v>646</v>
      </c>
      <c r="D93" t="s">
        <v>3779</v>
      </c>
      <c r="E93" t="s">
        <v>647</v>
      </c>
      <c r="F93" t="s">
        <v>3780</v>
      </c>
      <c r="G93" t="s">
        <v>769</v>
      </c>
      <c r="H93" t="s">
        <v>1515</v>
      </c>
      <c r="I93" t="s">
        <v>4083</v>
      </c>
      <c r="J93" t="s">
        <v>1972</v>
      </c>
      <c r="K93" t="s">
        <v>166</v>
      </c>
      <c r="L93" t="s">
        <v>0</v>
      </c>
      <c r="M93" t="s">
        <v>178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 t="s">
        <v>1973</v>
      </c>
      <c r="X93" t="s">
        <v>271</v>
      </c>
      <c r="Y93" t="s">
        <v>4084</v>
      </c>
      <c r="AA93" t="s">
        <v>4085</v>
      </c>
      <c r="AB93" t="s">
        <v>181</v>
      </c>
    </row>
    <row r="94" spans="1:28" x14ac:dyDescent="0.25">
      <c r="A94" t="s">
        <v>3973</v>
      </c>
      <c r="B94" t="s">
        <v>3974</v>
      </c>
      <c r="C94" t="s">
        <v>646</v>
      </c>
      <c r="D94" t="s">
        <v>3779</v>
      </c>
      <c r="E94" t="s">
        <v>647</v>
      </c>
      <c r="F94" t="s">
        <v>3780</v>
      </c>
      <c r="G94" t="s">
        <v>769</v>
      </c>
      <c r="H94" t="s">
        <v>856</v>
      </c>
      <c r="I94" t="s">
        <v>880</v>
      </c>
      <c r="J94" t="s">
        <v>881</v>
      </c>
      <c r="K94" t="s">
        <v>166</v>
      </c>
      <c r="L94" t="s">
        <v>0</v>
      </c>
      <c r="M94" t="s">
        <v>178</v>
      </c>
      <c r="N94">
        <v>1</v>
      </c>
      <c r="O94">
        <v>0</v>
      </c>
      <c r="P94">
        <v>24</v>
      </c>
      <c r="Q94">
        <v>105.47</v>
      </c>
      <c r="R94">
        <v>6.33</v>
      </c>
      <c r="S94">
        <v>5.276376</v>
      </c>
      <c r="T94">
        <v>0</v>
      </c>
      <c r="U94">
        <v>0</v>
      </c>
      <c r="V94">
        <v>6.33</v>
      </c>
      <c r="W94" t="s">
        <v>0</v>
      </c>
      <c r="X94" t="s">
        <v>271</v>
      </c>
      <c r="Y94" t="s">
        <v>3975</v>
      </c>
      <c r="AA94" t="s">
        <v>3976</v>
      </c>
      <c r="AB94" t="s">
        <v>181</v>
      </c>
    </row>
    <row r="95" spans="1:28" x14ac:dyDescent="0.25">
      <c r="A95" t="s">
        <v>4006</v>
      </c>
      <c r="B95" t="s">
        <v>4007</v>
      </c>
      <c r="C95" t="s">
        <v>646</v>
      </c>
      <c r="D95" t="s">
        <v>3779</v>
      </c>
      <c r="E95" t="s">
        <v>647</v>
      </c>
      <c r="F95" t="s">
        <v>3780</v>
      </c>
      <c r="G95" t="s">
        <v>769</v>
      </c>
      <c r="H95" t="s">
        <v>757</v>
      </c>
      <c r="I95" t="s">
        <v>4008</v>
      </c>
      <c r="J95" t="s">
        <v>688</v>
      </c>
      <c r="K95" t="s">
        <v>166</v>
      </c>
      <c r="L95" t="s">
        <v>0</v>
      </c>
      <c r="M95" t="s">
        <v>178</v>
      </c>
      <c r="N95">
        <v>73</v>
      </c>
      <c r="O95">
        <v>20</v>
      </c>
      <c r="P95">
        <v>1135.1300000000001</v>
      </c>
      <c r="Q95">
        <v>2162.42</v>
      </c>
      <c r="R95">
        <v>391.87</v>
      </c>
      <c r="S95">
        <v>214.23668927</v>
      </c>
      <c r="T95">
        <v>0</v>
      </c>
      <c r="U95">
        <v>0</v>
      </c>
      <c r="V95">
        <v>391.87</v>
      </c>
      <c r="W95" t="s">
        <v>0</v>
      </c>
      <c r="X95" t="s">
        <v>271</v>
      </c>
      <c r="Y95" t="s">
        <v>4009</v>
      </c>
      <c r="AA95" t="s">
        <v>4010</v>
      </c>
      <c r="AB95" t="s">
        <v>181</v>
      </c>
    </row>
    <row r="96" spans="1:28" x14ac:dyDescent="0.25">
      <c r="A96" t="s">
        <v>4086</v>
      </c>
      <c r="B96" t="s">
        <v>4087</v>
      </c>
      <c r="C96" t="s">
        <v>646</v>
      </c>
      <c r="D96" t="s">
        <v>3779</v>
      </c>
      <c r="E96" t="s">
        <v>647</v>
      </c>
      <c r="F96" t="s">
        <v>3780</v>
      </c>
      <c r="G96" t="s">
        <v>769</v>
      </c>
      <c r="H96" t="s">
        <v>730</v>
      </c>
      <c r="I96" t="s">
        <v>4088</v>
      </c>
      <c r="J96" t="s">
        <v>480</v>
      </c>
      <c r="K96" t="s">
        <v>166</v>
      </c>
      <c r="L96" t="s">
        <v>0</v>
      </c>
      <c r="M96" t="s">
        <v>178</v>
      </c>
      <c r="N96">
        <v>55</v>
      </c>
      <c r="O96">
        <v>55</v>
      </c>
      <c r="P96">
        <v>720.07</v>
      </c>
      <c r="Q96">
        <v>3760.76</v>
      </c>
      <c r="R96">
        <v>858.5</v>
      </c>
      <c r="S96">
        <v>487.03498947999998</v>
      </c>
      <c r="T96">
        <v>0</v>
      </c>
      <c r="U96">
        <v>0</v>
      </c>
      <c r="V96">
        <v>858.5</v>
      </c>
      <c r="W96" t="s">
        <v>4089</v>
      </c>
      <c r="X96" t="s">
        <v>271</v>
      </c>
      <c r="Y96" t="s">
        <v>4090</v>
      </c>
      <c r="AA96" t="s">
        <v>4091</v>
      </c>
      <c r="AB96" t="s">
        <v>181</v>
      </c>
    </row>
    <row r="97" spans="1:28" x14ac:dyDescent="0.25">
      <c r="A97" t="s">
        <v>4082</v>
      </c>
      <c r="B97" t="s">
        <v>257</v>
      </c>
      <c r="C97" t="s">
        <v>646</v>
      </c>
      <c r="D97" t="s">
        <v>3779</v>
      </c>
      <c r="E97" t="s">
        <v>647</v>
      </c>
      <c r="F97" t="s">
        <v>3780</v>
      </c>
      <c r="G97" t="s">
        <v>769</v>
      </c>
      <c r="H97" t="s">
        <v>703</v>
      </c>
      <c r="I97" t="s">
        <v>4083</v>
      </c>
      <c r="J97" t="s">
        <v>1972</v>
      </c>
      <c r="K97" t="s">
        <v>166</v>
      </c>
      <c r="L97" t="s">
        <v>0</v>
      </c>
      <c r="M97" t="s">
        <v>178</v>
      </c>
      <c r="N97">
        <v>540.1</v>
      </c>
      <c r="O97">
        <v>185</v>
      </c>
      <c r="P97">
        <v>4778.8500000000004</v>
      </c>
      <c r="Q97">
        <v>21089.3</v>
      </c>
      <c r="R97">
        <v>3672.5581882400002</v>
      </c>
      <c r="S97">
        <v>1812.6881364799999</v>
      </c>
      <c r="T97">
        <v>8.1882399999999994E-3</v>
      </c>
      <c r="U97">
        <v>0</v>
      </c>
      <c r="V97">
        <v>3672.55</v>
      </c>
      <c r="W97" t="s">
        <v>1973</v>
      </c>
      <c r="X97" t="s">
        <v>271</v>
      </c>
      <c r="Y97" t="s">
        <v>4084</v>
      </c>
      <c r="AA97" t="s">
        <v>4085</v>
      </c>
      <c r="AB97" t="s">
        <v>181</v>
      </c>
    </row>
    <row r="98" spans="1:28" x14ac:dyDescent="0.25">
      <c r="A98" t="s">
        <v>3823</v>
      </c>
      <c r="B98" t="s">
        <v>3824</v>
      </c>
      <c r="C98" t="s">
        <v>646</v>
      </c>
      <c r="D98" t="s">
        <v>3779</v>
      </c>
      <c r="E98" t="s">
        <v>647</v>
      </c>
      <c r="F98" t="s">
        <v>3780</v>
      </c>
      <c r="G98" t="s">
        <v>769</v>
      </c>
      <c r="H98" t="s">
        <v>909</v>
      </c>
      <c r="I98" t="s">
        <v>1801</v>
      </c>
      <c r="J98" t="s">
        <v>437</v>
      </c>
      <c r="K98" t="s">
        <v>166</v>
      </c>
      <c r="L98" t="s">
        <v>0</v>
      </c>
      <c r="M98" t="s">
        <v>178</v>
      </c>
      <c r="N98">
        <v>88</v>
      </c>
      <c r="O98">
        <v>88</v>
      </c>
      <c r="P98">
        <v>2683.85</v>
      </c>
      <c r="Q98">
        <v>2185.19</v>
      </c>
      <c r="R98">
        <v>208.58437813</v>
      </c>
      <c r="S98">
        <v>486.37618581999999</v>
      </c>
      <c r="T98">
        <v>5.4378129999999997E-2</v>
      </c>
      <c r="U98">
        <v>0</v>
      </c>
      <c r="V98">
        <v>208.53</v>
      </c>
      <c r="W98" t="s">
        <v>510</v>
      </c>
      <c r="X98" t="s">
        <v>271</v>
      </c>
      <c r="Y98" t="s">
        <v>3825</v>
      </c>
      <c r="AA98" t="s">
        <v>3826</v>
      </c>
      <c r="AB98" t="s">
        <v>181</v>
      </c>
    </row>
    <row r="99" spans="1:28" x14ac:dyDescent="0.25">
      <c r="A99" t="s">
        <v>4092</v>
      </c>
      <c r="B99" t="s">
        <v>4093</v>
      </c>
      <c r="C99" t="s">
        <v>646</v>
      </c>
      <c r="D99" t="s">
        <v>3779</v>
      </c>
      <c r="E99" t="s">
        <v>647</v>
      </c>
      <c r="F99" t="s">
        <v>3780</v>
      </c>
      <c r="G99" t="s">
        <v>769</v>
      </c>
      <c r="H99" t="s">
        <v>909</v>
      </c>
      <c r="I99" t="s">
        <v>4094</v>
      </c>
      <c r="J99" t="s">
        <v>370</v>
      </c>
      <c r="K99" t="s">
        <v>166</v>
      </c>
      <c r="L99" t="s">
        <v>0</v>
      </c>
      <c r="M99" t="s">
        <v>178</v>
      </c>
      <c r="N99">
        <v>50.75</v>
      </c>
      <c r="O99">
        <v>32.75</v>
      </c>
      <c r="P99">
        <v>1338.6</v>
      </c>
      <c r="Q99">
        <v>1732.2</v>
      </c>
      <c r="R99">
        <v>234.86308392999999</v>
      </c>
      <c r="S99">
        <v>300.71086392000001</v>
      </c>
      <c r="T99">
        <v>0.80308393</v>
      </c>
      <c r="U99">
        <v>0</v>
      </c>
      <c r="V99">
        <v>234.06</v>
      </c>
      <c r="W99" t="s">
        <v>314</v>
      </c>
      <c r="X99" t="s">
        <v>271</v>
      </c>
      <c r="Y99" t="s">
        <v>4095</v>
      </c>
      <c r="Z99" t="s">
        <v>4096</v>
      </c>
      <c r="AA99" t="s">
        <v>4097</v>
      </c>
      <c r="AB99" t="s">
        <v>181</v>
      </c>
    </row>
    <row r="100" spans="1:28" x14ac:dyDescent="0.25">
      <c r="A100" t="s">
        <v>4078</v>
      </c>
      <c r="B100" t="s">
        <v>4079</v>
      </c>
      <c r="C100" t="s">
        <v>646</v>
      </c>
      <c r="D100" t="s">
        <v>3779</v>
      </c>
      <c r="E100" t="s">
        <v>647</v>
      </c>
      <c r="F100" t="s">
        <v>3780</v>
      </c>
      <c r="G100" t="s">
        <v>769</v>
      </c>
      <c r="H100" t="s">
        <v>679</v>
      </c>
      <c r="I100" t="s">
        <v>885</v>
      </c>
      <c r="J100" t="s">
        <v>324</v>
      </c>
      <c r="K100" t="s">
        <v>166</v>
      </c>
      <c r="L100" t="s">
        <v>0</v>
      </c>
      <c r="M100" t="s">
        <v>178</v>
      </c>
      <c r="N100">
        <v>31</v>
      </c>
      <c r="O100">
        <v>18</v>
      </c>
      <c r="P100">
        <v>291.19</v>
      </c>
      <c r="Q100">
        <v>893.01</v>
      </c>
      <c r="R100">
        <v>-14.989364869999999</v>
      </c>
      <c r="S100">
        <v>188.27001200000001</v>
      </c>
      <c r="T100">
        <v>-0.60936486999999995</v>
      </c>
      <c r="U100">
        <v>0</v>
      </c>
      <c r="V100">
        <v>-14.38</v>
      </c>
      <c r="W100" t="s">
        <v>519</v>
      </c>
      <c r="X100" t="s">
        <v>271</v>
      </c>
      <c r="Y100" t="s">
        <v>4080</v>
      </c>
      <c r="AA100" t="s">
        <v>4081</v>
      </c>
      <c r="AB100" t="s">
        <v>181</v>
      </c>
    </row>
    <row r="101" spans="1:28" x14ac:dyDescent="0.25">
      <c r="A101" t="s">
        <v>4098</v>
      </c>
      <c r="B101" t="s">
        <v>4099</v>
      </c>
      <c r="C101" t="s">
        <v>646</v>
      </c>
      <c r="D101" t="s">
        <v>3779</v>
      </c>
      <c r="E101" t="s">
        <v>647</v>
      </c>
      <c r="F101" t="s">
        <v>666</v>
      </c>
      <c r="G101" t="s">
        <v>666</v>
      </c>
      <c r="H101" t="s">
        <v>757</v>
      </c>
      <c r="I101" t="s">
        <v>765</v>
      </c>
      <c r="J101" t="s">
        <v>436</v>
      </c>
      <c r="K101" t="s">
        <v>166</v>
      </c>
      <c r="L101" t="s">
        <v>0</v>
      </c>
      <c r="M101" t="s">
        <v>178</v>
      </c>
      <c r="N101">
        <v>827.5</v>
      </c>
      <c r="O101">
        <v>665.5</v>
      </c>
      <c r="P101">
        <v>19734.77</v>
      </c>
      <c r="Q101">
        <v>43155.7</v>
      </c>
      <c r="R101">
        <v>-779.7</v>
      </c>
      <c r="S101">
        <v>5617.3740441500004</v>
      </c>
      <c r="T101">
        <v>81.5</v>
      </c>
      <c r="U101">
        <v>2376.09</v>
      </c>
      <c r="V101">
        <v>1607.19</v>
      </c>
      <c r="W101" t="s">
        <v>0</v>
      </c>
      <c r="X101" t="s">
        <v>271</v>
      </c>
      <c r="Y101" t="s">
        <v>4100</v>
      </c>
      <c r="AA101" t="s">
        <v>4101</v>
      </c>
      <c r="AB101" t="s">
        <v>181</v>
      </c>
    </row>
    <row r="102" spans="1:28" x14ac:dyDescent="0.25">
      <c r="A102" t="s">
        <v>3925</v>
      </c>
      <c r="B102" t="s">
        <v>3926</v>
      </c>
      <c r="C102" t="s">
        <v>646</v>
      </c>
      <c r="D102" t="s">
        <v>3779</v>
      </c>
      <c r="E102" t="s">
        <v>647</v>
      </c>
      <c r="F102" t="s">
        <v>3780</v>
      </c>
      <c r="G102" t="s">
        <v>769</v>
      </c>
      <c r="H102" t="s">
        <v>713</v>
      </c>
      <c r="I102" t="s">
        <v>2284</v>
      </c>
      <c r="J102" t="s">
        <v>2285</v>
      </c>
      <c r="K102" t="s">
        <v>166</v>
      </c>
      <c r="L102" t="s">
        <v>0</v>
      </c>
      <c r="M102" t="s">
        <v>178</v>
      </c>
      <c r="N102">
        <v>3384</v>
      </c>
      <c r="O102">
        <v>2521</v>
      </c>
      <c r="P102">
        <v>67852.31</v>
      </c>
      <c r="Q102">
        <v>22208.38</v>
      </c>
      <c r="R102">
        <v>1448.7568883700001</v>
      </c>
      <c r="S102">
        <v>4722.1813440100004</v>
      </c>
      <c r="T102">
        <v>-0.15311163</v>
      </c>
      <c r="U102">
        <v>1.1399999999999999</v>
      </c>
      <c r="V102">
        <v>1450.05</v>
      </c>
      <c r="W102" t="s">
        <v>453</v>
      </c>
      <c r="X102" t="s">
        <v>271</v>
      </c>
      <c r="Y102" t="s">
        <v>3927</v>
      </c>
      <c r="AA102" t="s">
        <v>3928</v>
      </c>
      <c r="AB102" t="s">
        <v>181</v>
      </c>
    </row>
    <row r="103" spans="1:28" x14ac:dyDescent="0.25">
      <c r="A103" t="s">
        <v>3944</v>
      </c>
      <c r="B103" t="s">
        <v>3945</v>
      </c>
      <c r="C103" t="s">
        <v>646</v>
      </c>
      <c r="D103" t="s">
        <v>3779</v>
      </c>
      <c r="E103" t="s">
        <v>647</v>
      </c>
      <c r="F103" t="s">
        <v>3780</v>
      </c>
      <c r="G103" t="s">
        <v>769</v>
      </c>
      <c r="H103" t="s">
        <v>683</v>
      </c>
      <c r="I103" t="s">
        <v>798</v>
      </c>
      <c r="J103" t="s">
        <v>524</v>
      </c>
      <c r="K103" t="s">
        <v>166</v>
      </c>
      <c r="L103" t="s">
        <v>0</v>
      </c>
      <c r="M103" t="s">
        <v>178</v>
      </c>
      <c r="N103">
        <v>309.25</v>
      </c>
      <c r="O103">
        <v>223</v>
      </c>
      <c r="P103">
        <v>5243.38</v>
      </c>
      <c r="Q103">
        <v>13967.42</v>
      </c>
      <c r="R103">
        <v>4241.38</v>
      </c>
      <c r="S103">
        <v>2965.3750970199999</v>
      </c>
      <c r="T103">
        <v>0</v>
      </c>
      <c r="U103">
        <v>0</v>
      </c>
      <c r="V103">
        <v>4241.38</v>
      </c>
      <c r="W103" t="s">
        <v>258</v>
      </c>
      <c r="X103" t="s">
        <v>271</v>
      </c>
      <c r="Y103" t="s">
        <v>3946</v>
      </c>
      <c r="AA103" t="s">
        <v>3947</v>
      </c>
      <c r="AB103" t="s">
        <v>181</v>
      </c>
    </row>
    <row r="104" spans="1:28" x14ac:dyDescent="0.25">
      <c r="A104" t="s">
        <v>4102</v>
      </c>
      <c r="B104" t="s">
        <v>4103</v>
      </c>
      <c r="C104" t="s">
        <v>646</v>
      </c>
      <c r="D104" t="s">
        <v>3779</v>
      </c>
      <c r="E104" t="s">
        <v>647</v>
      </c>
      <c r="F104" t="s">
        <v>3780</v>
      </c>
      <c r="G104" t="s">
        <v>769</v>
      </c>
      <c r="H104" t="s">
        <v>797</v>
      </c>
      <c r="I104" t="s">
        <v>4104</v>
      </c>
      <c r="J104" t="s">
        <v>4105</v>
      </c>
      <c r="K104" t="s">
        <v>166</v>
      </c>
      <c r="L104" t="s">
        <v>0</v>
      </c>
      <c r="M104" t="s">
        <v>178</v>
      </c>
      <c r="N104">
        <v>240</v>
      </c>
      <c r="O104">
        <v>139</v>
      </c>
      <c r="P104">
        <v>2452.15</v>
      </c>
      <c r="Q104">
        <v>9112.4</v>
      </c>
      <c r="R104">
        <v>2511.5954457100001</v>
      </c>
      <c r="S104">
        <v>1223.41895544</v>
      </c>
      <c r="T104">
        <v>7.5445709999999999E-2</v>
      </c>
      <c r="U104">
        <v>0</v>
      </c>
      <c r="V104">
        <v>2511.52</v>
      </c>
      <c r="W104" t="s">
        <v>4106</v>
      </c>
      <c r="X104" t="s">
        <v>269</v>
      </c>
      <c r="Y104" t="s">
        <v>4107</v>
      </c>
      <c r="AA104" t="s">
        <v>4108</v>
      </c>
      <c r="AB104" t="s">
        <v>181</v>
      </c>
    </row>
    <row r="105" spans="1:28" x14ac:dyDescent="0.25">
      <c r="A105" t="s">
        <v>4109</v>
      </c>
      <c r="B105" t="s">
        <v>4110</v>
      </c>
      <c r="C105" t="s">
        <v>646</v>
      </c>
      <c r="D105" t="s">
        <v>3779</v>
      </c>
      <c r="E105" t="s">
        <v>647</v>
      </c>
      <c r="F105" t="s">
        <v>3780</v>
      </c>
      <c r="G105" t="s">
        <v>769</v>
      </c>
      <c r="H105" t="s">
        <v>761</v>
      </c>
      <c r="I105" t="s">
        <v>1046</v>
      </c>
      <c r="J105" t="s">
        <v>971</v>
      </c>
      <c r="K105" t="s">
        <v>166</v>
      </c>
      <c r="L105" t="s">
        <v>0</v>
      </c>
      <c r="M105" t="s">
        <v>178</v>
      </c>
      <c r="N105">
        <v>31</v>
      </c>
      <c r="O105">
        <v>27</v>
      </c>
      <c r="P105">
        <v>1052.74</v>
      </c>
      <c r="Q105">
        <v>967.4</v>
      </c>
      <c r="R105">
        <v>163.31</v>
      </c>
      <c r="S105">
        <v>178.88293203000001</v>
      </c>
      <c r="T105">
        <v>0</v>
      </c>
      <c r="U105">
        <v>0</v>
      </c>
      <c r="V105">
        <v>163.31</v>
      </c>
      <c r="W105" t="s">
        <v>972</v>
      </c>
      <c r="X105" t="s">
        <v>269</v>
      </c>
      <c r="Y105" t="s">
        <v>4111</v>
      </c>
      <c r="AA105" t="s">
        <v>4112</v>
      </c>
      <c r="AB105" t="s">
        <v>181</v>
      </c>
    </row>
    <row r="106" spans="1:28" x14ac:dyDescent="0.25">
      <c r="A106" t="s">
        <v>4057</v>
      </c>
      <c r="B106" t="s">
        <v>4058</v>
      </c>
      <c r="C106" t="s">
        <v>646</v>
      </c>
      <c r="D106" t="s">
        <v>3779</v>
      </c>
      <c r="E106" t="s">
        <v>647</v>
      </c>
      <c r="F106" t="s">
        <v>3780</v>
      </c>
      <c r="G106" t="s">
        <v>769</v>
      </c>
      <c r="H106" t="s">
        <v>649</v>
      </c>
      <c r="I106" t="s">
        <v>1190</v>
      </c>
      <c r="J106" t="s">
        <v>1191</v>
      </c>
      <c r="K106" t="s">
        <v>166</v>
      </c>
      <c r="L106" t="s">
        <v>0</v>
      </c>
      <c r="M106" t="s">
        <v>178</v>
      </c>
      <c r="N106">
        <v>1300</v>
      </c>
      <c r="O106">
        <v>231</v>
      </c>
      <c r="P106">
        <v>13969.47</v>
      </c>
      <c r="Q106">
        <v>47590.66</v>
      </c>
      <c r="R106">
        <v>3510.4</v>
      </c>
      <c r="S106">
        <v>3521.3001783</v>
      </c>
      <c r="T106">
        <v>553.5</v>
      </c>
      <c r="U106">
        <v>7.94</v>
      </c>
      <c r="V106">
        <v>3580.59</v>
      </c>
      <c r="W106" t="s">
        <v>282</v>
      </c>
      <c r="X106" t="s">
        <v>271</v>
      </c>
      <c r="Y106" t="s">
        <v>4059</v>
      </c>
      <c r="AA106" t="s">
        <v>2171</v>
      </c>
      <c r="AB106" t="s">
        <v>181</v>
      </c>
    </row>
    <row r="107" spans="1:28" x14ac:dyDescent="0.25">
      <c r="A107" t="s">
        <v>4102</v>
      </c>
      <c r="B107" t="s">
        <v>4103</v>
      </c>
      <c r="C107" t="s">
        <v>646</v>
      </c>
      <c r="D107" t="s">
        <v>3779</v>
      </c>
      <c r="E107" t="s">
        <v>647</v>
      </c>
      <c r="F107" t="s">
        <v>3780</v>
      </c>
      <c r="G107" t="s">
        <v>769</v>
      </c>
      <c r="H107" t="s">
        <v>757</v>
      </c>
      <c r="I107" t="s">
        <v>4104</v>
      </c>
      <c r="J107" t="s">
        <v>4105</v>
      </c>
      <c r="K107" t="s">
        <v>166</v>
      </c>
      <c r="L107" t="s">
        <v>0</v>
      </c>
      <c r="M107" t="s">
        <v>178</v>
      </c>
      <c r="N107">
        <v>615.5</v>
      </c>
      <c r="O107">
        <v>477.5</v>
      </c>
      <c r="P107">
        <v>14310.64</v>
      </c>
      <c r="Q107">
        <v>21867.759999999998</v>
      </c>
      <c r="R107">
        <v>3233.7</v>
      </c>
      <c r="S107">
        <v>3502.8462919499998</v>
      </c>
      <c r="T107">
        <v>0</v>
      </c>
      <c r="U107">
        <v>0</v>
      </c>
      <c r="V107">
        <v>3233.7</v>
      </c>
      <c r="W107" t="s">
        <v>4106</v>
      </c>
      <c r="X107" t="s">
        <v>269</v>
      </c>
      <c r="Y107" t="s">
        <v>4107</v>
      </c>
      <c r="AA107" t="s">
        <v>4108</v>
      </c>
      <c r="AB107" t="s">
        <v>181</v>
      </c>
    </row>
    <row r="108" spans="1:28" x14ac:dyDescent="0.25">
      <c r="A108" t="s">
        <v>3913</v>
      </c>
      <c r="B108" t="s">
        <v>3914</v>
      </c>
      <c r="C108" t="s">
        <v>646</v>
      </c>
      <c r="D108" t="s">
        <v>3779</v>
      </c>
      <c r="E108" t="s">
        <v>647</v>
      </c>
      <c r="F108" t="s">
        <v>3780</v>
      </c>
      <c r="G108" t="s">
        <v>769</v>
      </c>
      <c r="H108" t="s">
        <v>1045</v>
      </c>
      <c r="I108" t="s">
        <v>984</v>
      </c>
      <c r="J108" t="s">
        <v>985</v>
      </c>
      <c r="K108" t="s">
        <v>166</v>
      </c>
      <c r="L108" t="s">
        <v>0</v>
      </c>
      <c r="M108" t="s">
        <v>178</v>
      </c>
      <c r="N108">
        <v>23.066700000000001</v>
      </c>
      <c r="O108">
        <v>15.166700000000001</v>
      </c>
      <c r="P108">
        <v>447.46</v>
      </c>
      <c r="Q108">
        <v>3328.54</v>
      </c>
      <c r="R108">
        <v>181.23</v>
      </c>
      <c r="S108">
        <v>56.713522400000002</v>
      </c>
      <c r="T108">
        <v>0</v>
      </c>
      <c r="U108">
        <v>0</v>
      </c>
      <c r="V108">
        <v>181.23</v>
      </c>
      <c r="W108" t="s">
        <v>986</v>
      </c>
      <c r="X108" t="s">
        <v>271</v>
      </c>
      <c r="Y108" t="s">
        <v>3915</v>
      </c>
      <c r="AA108" t="s">
        <v>3916</v>
      </c>
      <c r="AB108" t="s">
        <v>181</v>
      </c>
    </row>
    <row r="109" spans="1:28" x14ac:dyDescent="0.25">
      <c r="A109" t="s">
        <v>3849</v>
      </c>
      <c r="B109" t="s">
        <v>3850</v>
      </c>
      <c r="C109" t="s">
        <v>646</v>
      </c>
      <c r="D109" t="s">
        <v>3779</v>
      </c>
      <c r="E109" t="s">
        <v>647</v>
      </c>
      <c r="F109" t="s">
        <v>3780</v>
      </c>
      <c r="G109" t="s">
        <v>769</v>
      </c>
      <c r="H109" t="s">
        <v>909</v>
      </c>
      <c r="I109" t="s">
        <v>1184</v>
      </c>
      <c r="J109" t="s">
        <v>1185</v>
      </c>
      <c r="K109" t="s">
        <v>166</v>
      </c>
      <c r="L109" t="s">
        <v>0</v>
      </c>
      <c r="M109" t="s">
        <v>178</v>
      </c>
      <c r="N109">
        <v>64</v>
      </c>
      <c r="O109">
        <v>64</v>
      </c>
      <c r="P109">
        <v>2126.15</v>
      </c>
      <c r="Q109">
        <v>1863.14</v>
      </c>
      <c r="R109">
        <v>324.70999999999998</v>
      </c>
      <c r="S109">
        <v>280.48011515000002</v>
      </c>
      <c r="T109">
        <v>0</v>
      </c>
      <c r="U109">
        <v>0</v>
      </c>
      <c r="V109">
        <v>324.70999999999998</v>
      </c>
      <c r="W109" t="s">
        <v>1186</v>
      </c>
      <c r="X109" t="s">
        <v>271</v>
      </c>
      <c r="Y109" t="s">
        <v>3851</v>
      </c>
      <c r="AA109" t="s">
        <v>3852</v>
      </c>
      <c r="AB109" t="s">
        <v>181</v>
      </c>
    </row>
    <row r="110" spans="1:28" x14ac:dyDescent="0.25">
      <c r="A110" t="s">
        <v>3888</v>
      </c>
      <c r="B110" t="s">
        <v>3889</v>
      </c>
      <c r="C110" t="s">
        <v>646</v>
      </c>
      <c r="D110" t="s">
        <v>3779</v>
      </c>
      <c r="E110" t="s">
        <v>647</v>
      </c>
      <c r="F110" t="s">
        <v>3780</v>
      </c>
      <c r="G110" t="s">
        <v>769</v>
      </c>
      <c r="H110" t="s">
        <v>962</v>
      </c>
      <c r="I110" t="s">
        <v>1368</v>
      </c>
      <c r="J110" t="s">
        <v>1369</v>
      </c>
      <c r="K110" t="s">
        <v>166</v>
      </c>
      <c r="L110" t="s">
        <v>0</v>
      </c>
      <c r="M110" t="s">
        <v>178</v>
      </c>
      <c r="N110">
        <v>1</v>
      </c>
      <c r="O110">
        <v>1</v>
      </c>
      <c r="P110">
        <v>32.299999999999997</v>
      </c>
      <c r="Q110">
        <v>63.95</v>
      </c>
      <c r="R110">
        <v>-11.34</v>
      </c>
      <c r="S110">
        <v>21.38800998</v>
      </c>
      <c r="T110">
        <v>0</v>
      </c>
      <c r="U110">
        <v>0</v>
      </c>
      <c r="V110">
        <v>-11.34</v>
      </c>
      <c r="W110" t="s">
        <v>1370</v>
      </c>
      <c r="X110" t="s">
        <v>271</v>
      </c>
      <c r="Y110" t="s">
        <v>3890</v>
      </c>
      <c r="AA110" t="s">
        <v>3891</v>
      </c>
      <c r="AB110" t="s">
        <v>181</v>
      </c>
    </row>
    <row r="111" spans="1:28" x14ac:dyDescent="0.25">
      <c r="A111" t="s">
        <v>4113</v>
      </c>
      <c r="B111" t="s">
        <v>4114</v>
      </c>
      <c r="C111" t="s">
        <v>646</v>
      </c>
      <c r="D111" t="s">
        <v>3779</v>
      </c>
      <c r="E111" t="s">
        <v>647</v>
      </c>
      <c r="F111" t="s">
        <v>3780</v>
      </c>
      <c r="G111" t="s">
        <v>769</v>
      </c>
      <c r="H111" t="s">
        <v>1175</v>
      </c>
      <c r="I111" t="s">
        <v>1913</v>
      </c>
      <c r="J111" t="s">
        <v>1914</v>
      </c>
      <c r="K111" t="s">
        <v>166</v>
      </c>
      <c r="L111" t="s">
        <v>0</v>
      </c>
      <c r="M111" t="s">
        <v>178</v>
      </c>
      <c r="N111">
        <v>34</v>
      </c>
      <c r="O111">
        <v>34</v>
      </c>
      <c r="P111">
        <v>498</v>
      </c>
      <c r="Q111">
        <v>761.84</v>
      </c>
      <c r="R111">
        <v>90.04</v>
      </c>
      <c r="S111">
        <v>139.70806328</v>
      </c>
      <c r="T111">
        <v>0</v>
      </c>
      <c r="U111">
        <v>0</v>
      </c>
      <c r="V111">
        <v>90.04</v>
      </c>
      <c r="W111" t="s">
        <v>1915</v>
      </c>
      <c r="X111" t="s">
        <v>269</v>
      </c>
      <c r="Y111" t="s">
        <v>4115</v>
      </c>
      <c r="AA111" t="s">
        <v>4116</v>
      </c>
      <c r="AB111" t="s">
        <v>181</v>
      </c>
    </row>
    <row r="112" spans="1:28" x14ac:dyDescent="0.25">
      <c r="A112" t="s">
        <v>3883</v>
      </c>
      <c r="B112" t="s">
        <v>3884</v>
      </c>
      <c r="C112" t="s">
        <v>646</v>
      </c>
      <c r="D112" t="s">
        <v>3779</v>
      </c>
      <c r="E112" t="s">
        <v>647</v>
      </c>
      <c r="F112" t="s">
        <v>3780</v>
      </c>
      <c r="G112" t="s">
        <v>769</v>
      </c>
      <c r="H112" t="s">
        <v>713</v>
      </c>
      <c r="I112" t="s">
        <v>3885</v>
      </c>
      <c r="J112" t="s">
        <v>1861</v>
      </c>
      <c r="K112" t="s">
        <v>166</v>
      </c>
      <c r="L112" t="s">
        <v>0</v>
      </c>
      <c r="M112" t="s">
        <v>178</v>
      </c>
      <c r="N112">
        <v>16</v>
      </c>
      <c r="O112">
        <v>1</v>
      </c>
      <c r="P112">
        <v>534</v>
      </c>
      <c r="Q112">
        <v>359.28</v>
      </c>
      <c r="R112">
        <v>28.24</v>
      </c>
      <c r="S112">
        <v>30.008546599999999</v>
      </c>
      <c r="T112">
        <v>0</v>
      </c>
      <c r="U112">
        <v>0</v>
      </c>
      <c r="V112">
        <v>28.24</v>
      </c>
      <c r="W112" t="s">
        <v>1862</v>
      </c>
      <c r="X112" t="s">
        <v>271</v>
      </c>
      <c r="Y112" t="s">
        <v>3886</v>
      </c>
      <c r="AA112" t="s">
        <v>3887</v>
      </c>
      <c r="AB112" t="s">
        <v>181</v>
      </c>
    </row>
    <row r="113" spans="1:28" x14ac:dyDescent="0.25">
      <c r="A113" t="s">
        <v>3981</v>
      </c>
      <c r="B113" t="s">
        <v>3982</v>
      </c>
      <c r="C113" t="s">
        <v>646</v>
      </c>
      <c r="D113" t="s">
        <v>3779</v>
      </c>
      <c r="E113" t="s">
        <v>647</v>
      </c>
      <c r="F113" t="s">
        <v>3780</v>
      </c>
      <c r="G113" t="s">
        <v>769</v>
      </c>
      <c r="H113" t="s">
        <v>730</v>
      </c>
      <c r="I113" t="s">
        <v>2384</v>
      </c>
      <c r="J113" t="s">
        <v>447</v>
      </c>
      <c r="K113" t="s">
        <v>166</v>
      </c>
      <c r="L113" t="s">
        <v>0</v>
      </c>
      <c r="M113" t="s">
        <v>178</v>
      </c>
      <c r="N113">
        <v>51</v>
      </c>
      <c r="O113">
        <v>0</v>
      </c>
      <c r="P113">
        <v>2532</v>
      </c>
      <c r="Q113">
        <v>479.9</v>
      </c>
      <c r="R113">
        <v>92.932802069999994</v>
      </c>
      <c r="S113">
        <v>15.00135493</v>
      </c>
      <c r="T113">
        <v>40.47280207</v>
      </c>
      <c r="U113">
        <v>0</v>
      </c>
      <c r="V113">
        <v>93.17</v>
      </c>
      <c r="W113" t="s">
        <v>446</v>
      </c>
      <c r="X113" t="s">
        <v>271</v>
      </c>
      <c r="Y113" t="s">
        <v>3983</v>
      </c>
      <c r="AA113" t="s">
        <v>3984</v>
      </c>
      <c r="AB113" t="s">
        <v>181</v>
      </c>
    </row>
    <row r="114" spans="1:28" x14ac:dyDescent="0.25">
      <c r="A114" t="s">
        <v>4027</v>
      </c>
      <c r="B114" t="s">
        <v>4028</v>
      </c>
      <c r="C114" t="s">
        <v>646</v>
      </c>
      <c r="D114" t="s">
        <v>3779</v>
      </c>
      <c r="E114" t="s">
        <v>647</v>
      </c>
      <c r="F114" t="s">
        <v>3780</v>
      </c>
      <c r="G114" t="s">
        <v>769</v>
      </c>
      <c r="H114" t="s">
        <v>1159</v>
      </c>
      <c r="I114" t="s">
        <v>1251</v>
      </c>
      <c r="J114" t="s">
        <v>821</v>
      </c>
      <c r="K114" t="s">
        <v>166</v>
      </c>
      <c r="L114" t="s">
        <v>0</v>
      </c>
      <c r="M114" t="s">
        <v>178</v>
      </c>
      <c r="N114">
        <v>13</v>
      </c>
      <c r="O114">
        <v>2</v>
      </c>
      <c r="P114">
        <v>139.12</v>
      </c>
      <c r="Q114">
        <v>705.45</v>
      </c>
      <c r="R114">
        <v>132.65</v>
      </c>
      <c r="S114">
        <v>55.311599999999999</v>
      </c>
      <c r="T114">
        <v>0</v>
      </c>
      <c r="U114">
        <v>0</v>
      </c>
      <c r="V114">
        <v>132.65</v>
      </c>
      <c r="W114" t="s">
        <v>822</v>
      </c>
      <c r="X114" t="s">
        <v>269</v>
      </c>
      <c r="Y114" t="s">
        <v>4029</v>
      </c>
      <c r="AA114" t="s">
        <v>4030</v>
      </c>
      <c r="AB114" t="s">
        <v>181</v>
      </c>
    </row>
    <row r="115" spans="1:28" x14ac:dyDescent="0.25">
      <c r="A115" t="s">
        <v>4117</v>
      </c>
      <c r="B115" t="s">
        <v>4118</v>
      </c>
      <c r="C115" t="s">
        <v>646</v>
      </c>
      <c r="D115" t="s">
        <v>3779</v>
      </c>
      <c r="E115" t="s">
        <v>647</v>
      </c>
      <c r="F115" t="s">
        <v>3780</v>
      </c>
      <c r="G115" t="s">
        <v>769</v>
      </c>
      <c r="H115" t="s">
        <v>717</v>
      </c>
      <c r="I115" t="s">
        <v>1190</v>
      </c>
      <c r="J115" t="s">
        <v>1191</v>
      </c>
      <c r="K115" t="s">
        <v>166</v>
      </c>
      <c r="L115" t="s">
        <v>0</v>
      </c>
      <c r="M115" t="s">
        <v>178</v>
      </c>
      <c r="N115">
        <v>524</v>
      </c>
      <c r="O115">
        <v>1</v>
      </c>
      <c r="P115">
        <v>5641.1</v>
      </c>
      <c r="Q115">
        <v>17473.650000000001</v>
      </c>
      <c r="R115">
        <v>1156.8</v>
      </c>
      <c r="S115">
        <v>40.683229420000004</v>
      </c>
      <c r="T115">
        <v>0</v>
      </c>
      <c r="U115">
        <v>0</v>
      </c>
      <c r="V115">
        <v>1156.8</v>
      </c>
      <c r="W115" t="s">
        <v>282</v>
      </c>
      <c r="X115" t="s">
        <v>271</v>
      </c>
      <c r="Y115" t="s">
        <v>2170</v>
      </c>
      <c r="AA115" t="s">
        <v>2171</v>
      </c>
      <c r="AB115" t="s">
        <v>181</v>
      </c>
    </row>
    <row r="116" spans="1:28" x14ac:dyDescent="0.25">
      <c r="A116" t="s">
        <v>4119</v>
      </c>
      <c r="B116" t="s">
        <v>4120</v>
      </c>
      <c r="C116" t="s">
        <v>646</v>
      </c>
      <c r="D116" t="s">
        <v>3779</v>
      </c>
      <c r="E116" t="s">
        <v>647</v>
      </c>
      <c r="F116" t="s">
        <v>3780</v>
      </c>
      <c r="G116" t="s">
        <v>769</v>
      </c>
      <c r="H116" t="s">
        <v>717</v>
      </c>
      <c r="I116" t="s">
        <v>1374</v>
      </c>
      <c r="J116" t="s">
        <v>441</v>
      </c>
      <c r="K116" t="s">
        <v>166</v>
      </c>
      <c r="L116" t="s">
        <v>0</v>
      </c>
      <c r="M116" t="s">
        <v>178</v>
      </c>
      <c r="N116">
        <v>167</v>
      </c>
      <c r="O116">
        <v>18</v>
      </c>
      <c r="P116">
        <v>2550.9</v>
      </c>
      <c r="Q116">
        <v>9295.24</v>
      </c>
      <c r="R116">
        <v>1729.2622123000001</v>
      </c>
      <c r="S116">
        <v>123.65951344</v>
      </c>
      <c r="T116">
        <v>1.6122122999999999</v>
      </c>
      <c r="U116">
        <v>0</v>
      </c>
      <c r="V116">
        <v>1727.65</v>
      </c>
      <c r="W116" t="s">
        <v>440</v>
      </c>
      <c r="X116" t="s">
        <v>271</v>
      </c>
      <c r="Y116" t="s">
        <v>4121</v>
      </c>
      <c r="AA116" t="s">
        <v>4122</v>
      </c>
      <c r="AB116" t="s">
        <v>181</v>
      </c>
    </row>
    <row r="117" spans="1:28" x14ac:dyDescent="0.25">
      <c r="A117" t="s">
        <v>3965</v>
      </c>
      <c r="B117" t="s">
        <v>3966</v>
      </c>
      <c r="C117" t="s">
        <v>646</v>
      </c>
      <c r="D117" t="s">
        <v>3779</v>
      </c>
      <c r="E117" t="s">
        <v>647</v>
      </c>
      <c r="F117" t="s">
        <v>3780</v>
      </c>
      <c r="G117" t="s">
        <v>769</v>
      </c>
      <c r="H117" t="s">
        <v>1045</v>
      </c>
      <c r="I117" t="s">
        <v>2339</v>
      </c>
      <c r="J117" t="s">
        <v>2165</v>
      </c>
      <c r="K117" t="s">
        <v>166</v>
      </c>
      <c r="L117" t="s">
        <v>0</v>
      </c>
      <c r="M117" t="s">
        <v>178</v>
      </c>
      <c r="N117">
        <v>9</v>
      </c>
      <c r="O117">
        <v>7</v>
      </c>
      <c r="P117">
        <v>78.8</v>
      </c>
      <c r="Q117">
        <v>731.32</v>
      </c>
      <c r="R117">
        <v>40.42</v>
      </c>
      <c r="S117">
        <v>54.064162879999998</v>
      </c>
      <c r="T117">
        <v>0</v>
      </c>
      <c r="U117">
        <v>0</v>
      </c>
      <c r="V117">
        <v>40.42</v>
      </c>
      <c r="W117" t="s">
        <v>2166</v>
      </c>
      <c r="X117" t="s">
        <v>271</v>
      </c>
      <c r="Y117" t="s">
        <v>3967</v>
      </c>
      <c r="AA117" t="s">
        <v>3968</v>
      </c>
      <c r="AB117" t="s">
        <v>181</v>
      </c>
    </row>
    <row r="118" spans="1:28" x14ac:dyDescent="0.25">
      <c r="A118" t="s">
        <v>4123</v>
      </c>
      <c r="B118" t="s">
        <v>4124</v>
      </c>
      <c r="C118" t="s">
        <v>646</v>
      </c>
      <c r="D118" t="s">
        <v>3779</v>
      </c>
      <c r="E118" t="s">
        <v>647</v>
      </c>
      <c r="F118" t="s">
        <v>3780</v>
      </c>
      <c r="G118" t="s">
        <v>769</v>
      </c>
      <c r="H118" t="s">
        <v>1159</v>
      </c>
      <c r="I118" t="s">
        <v>746</v>
      </c>
      <c r="J118" t="s">
        <v>504</v>
      </c>
      <c r="K118" t="s">
        <v>166</v>
      </c>
      <c r="L118" t="s">
        <v>0</v>
      </c>
      <c r="M118" t="s">
        <v>178</v>
      </c>
      <c r="N118">
        <v>2</v>
      </c>
      <c r="O118">
        <v>2</v>
      </c>
      <c r="P118">
        <v>19.12</v>
      </c>
      <c r="Q118">
        <v>85.3</v>
      </c>
      <c r="R118">
        <v>6.68</v>
      </c>
      <c r="S118">
        <v>24.9786</v>
      </c>
      <c r="T118">
        <v>0</v>
      </c>
      <c r="U118">
        <v>0</v>
      </c>
      <c r="V118">
        <v>6.68</v>
      </c>
      <c r="W118" t="s">
        <v>503</v>
      </c>
      <c r="X118" t="s">
        <v>271</v>
      </c>
      <c r="Y118" t="s">
        <v>4125</v>
      </c>
      <c r="AA118" t="s">
        <v>4126</v>
      </c>
      <c r="AB118" t="s">
        <v>181</v>
      </c>
    </row>
    <row r="119" spans="1:28" x14ac:dyDescent="0.25">
      <c r="A119" t="s">
        <v>4117</v>
      </c>
      <c r="B119" t="s">
        <v>4118</v>
      </c>
      <c r="C119" t="s">
        <v>646</v>
      </c>
      <c r="D119" t="s">
        <v>3779</v>
      </c>
      <c r="E119" t="s">
        <v>647</v>
      </c>
      <c r="F119" t="s">
        <v>3780</v>
      </c>
      <c r="G119" t="s">
        <v>769</v>
      </c>
      <c r="H119" t="s">
        <v>679</v>
      </c>
      <c r="I119" t="s">
        <v>1190</v>
      </c>
      <c r="J119" t="s">
        <v>1191</v>
      </c>
      <c r="K119" t="s">
        <v>166</v>
      </c>
      <c r="L119" t="s">
        <v>0</v>
      </c>
      <c r="M119" t="s">
        <v>178</v>
      </c>
      <c r="N119">
        <v>29</v>
      </c>
      <c r="O119">
        <v>26</v>
      </c>
      <c r="P119">
        <v>387.31</v>
      </c>
      <c r="Q119">
        <v>1105.53</v>
      </c>
      <c r="R119">
        <v>81.94</v>
      </c>
      <c r="S119">
        <v>228.68511832999999</v>
      </c>
      <c r="T119">
        <v>0</v>
      </c>
      <c r="U119">
        <v>0</v>
      </c>
      <c r="V119">
        <v>81.94</v>
      </c>
      <c r="W119" t="s">
        <v>282</v>
      </c>
      <c r="X119" t="s">
        <v>271</v>
      </c>
      <c r="Y119" t="s">
        <v>2170</v>
      </c>
      <c r="AA119" t="s">
        <v>2171</v>
      </c>
      <c r="AB119" t="s">
        <v>181</v>
      </c>
    </row>
    <row r="120" spans="1:28" x14ac:dyDescent="0.25">
      <c r="A120" t="s">
        <v>3998</v>
      </c>
      <c r="B120" t="s">
        <v>3999</v>
      </c>
      <c r="C120" t="s">
        <v>646</v>
      </c>
      <c r="D120" t="s">
        <v>3779</v>
      </c>
      <c r="E120" t="s">
        <v>647</v>
      </c>
      <c r="F120" t="s">
        <v>3780</v>
      </c>
      <c r="G120" t="s">
        <v>769</v>
      </c>
      <c r="H120" t="s">
        <v>1175</v>
      </c>
      <c r="I120" t="s">
        <v>1636</v>
      </c>
      <c r="J120" t="s">
        <v>1637</v>
      </c>
      <c r="K120" t="s">
        <v>166</v>
      </c>
      <c r="L120" t="s">
        <v>0</v>
      </c>
      <c r="M120" t="s">
        <v>178</v>
      </c>
      <c r="N120">
        <v>1.3332999999999999</v>
      </c>
      <c r="O120">
        <v>1</v>
      </c>
      <c r="P120">
        <v>18</v>
      </c>
      <c r="Q120">
        <v>55.68</v>
      </c>
      <c r="R120">
        <v>11.02</v>
      </c>
      <c r="S120">
        <v>5.2126009800000004</v>
      </c>
      <c r="T120">
        <v>0</v>
      </c>
      <c r="U120">
        <v>0</v>
      </c>
      <c r="V120">
        <v>11.02</v>
      </c>
      <c r="W120" t="s">
        <v>1638</v>
      </c>
      <c r="X120" t="s">
        <v>271</v>
      </c>
      <c r="Y120" t="s">
        <v>4000</v>
      </c>
      <c r="AA120" t="s">
        <v>4001</v>
      </c>
      <c r="AB120" t="s">
        <v>181</v>
      </c>
    </row>
    <row r="121" spans="1:28" x14ac:dyDescent="0.25">
      <c r="A121" t="s">
        <v>4127</v>
      </c>
      <c r="B121" t="s">
        <v>4128</v>
      </c>
      <c r="C121" t="s">
        <v>646</v>
      </c>
      <c r="D121" t="s">
        <v>3779</v>
      </c>
      <c r="E121" t="s">
        <v>647</v>
      </c>
      <c r="F121" t="s">
        <v>3780</v>
      </c>
      <c r="G121" t="s">
        <v>769</v>
      </c>
      <c r="H121" t="s">
        <v>1515</v>
      </c>
      <c r="I121" t="s">
        <v>4129</v>
      </c>
      <c r="J121" t="s">
        <v>2057</v>
      </c>
      <c r="K121" t="s">
        <v>166</v>
      </c>
      <c r="L121" t="s">
        <v>0</v>
      </c>
      <c r="M121" t="s">
        <v>178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 t="s">
        <v>2058</v>
      </c>
      <c r="X121" t="s">
        <v>271</v>
      </c>
      <c r="Y121" t="s">
        <v>4130</v>
      </c>
      <c r="AA121" t="s">
        <v>4131</v>
      </c>
      <c r="AB121" t="s">
        <v>181</v>
      </c>
    </row>
    <row r="122" spans="1:28" x14ac:dyDescent="0.25">
      <c r="A122" t="s">
        <v>4132</v>
      </c>
      <c r="B122" t="s">
        <v>4133</v>
      </c>
      <c r="C122" t="s">
        <v>646</v>
      </c>
      <c r="D122" t="s">
        <v>3779</v>
      </c>
      <c r="E122" t="s">
        <v>647</v>
      </c>
      <c r="F122" t="s">
        <v>666</v>
      </c>
      <c r="G122" t="s">
        <v>666</v>
      </c>
      <c r="H122" t="s">
        <v>713</v>
      </c>
      <c r="I122" t="s">
        <v>3911</v>
      </c>
      <c r="J122" t="s">
        <v>355</v>
      </c>
      <c r="K122" t="s">
        <v>166</v>
      </c>
      <c r="L122" t="s">
        <v>0</v>
      </c>
      <c r="M122" t="s">
        <v>178</v>
      </c>
      <c r="N122">
        <v>458</v>
      </c>
      <c r="O122">
        <v>3</v>
      </c>
      <c r="P122">
        <v>13214.68</v>
      </c>
      <c r="Q122">
        <v>5199.84</v>
      </c>
      <c r="R122">
        <v>1723.23</v>
      </c>
      <c r="S122">
        <v>87.825024440000007</v>
      </c>
      <c r="T122">
        <v>0</v>
      </c>
      <c r="U122">
        <v>0</v>
      </c>
      <c r="V122">
        <v>1723.23</v>
      </c>
      <c r="W122" t="s">
        <v>0</v>
      </c>
      <c r="X122" t="s">
        <v>271</v>
      </c>
      <c r="Y122" t="s">
        <v>4134</v>
      </c>
      <c r="AA122" t="s">
        <v>3894</v>
      </c>
      <c r="AB122" t="s">
        <v>181</v>
      </c>
    </row>
    <row r="123" spans="1:28" x14ac:dyDescent="0.25">
      <c r="A123" t="s">
        <v>4135</v>
      </c>
      <c r="B123" t="s">
        <v>4136</v>
      </c>
      <c r="C123" t="s">
        <v>646</v>
      </c>
      <c r="D123" t="s">
        <v>3779</v>
      </c>
      <c r="E123" t="s">
        <v>647</v>
      </c>
      <c r="F123" t="s">
        <v>3780</v>
      </c>
      <c r="G123" t="s">
        <v>769</v>
      </c>
      <c r="H123" t="s">
        <v>797</v>
      </c>
      <c r="I123" t="s">
        <v>1083</v>
      </c>
      <c r="J123" t="s">
        <v>731</v>
      </c>
      <c r="K123" t="s">
        <v>166</v>
      </c>
      <c r="L123" t="s">
        <v>0</v>
      </c>
      <c r="M123" t="s">
        <v>178</v>
      </c>
      <c r="N123">
        <v>29</v>
      </c>
      <c r="O123">
        <v>24</v>
      </c>
      <c r="P123">
        <v>290.75</v>
      </c>
      <c r="Q123">
        <v>1236.02</v>
      </c>
      <c r="R123">
        <v>406.22</v>
      </c>
      <c r="S123">
        <v>181.00223717</v>
      </c>
      <c r="T123">
        <v>0</v>
      </c>
      <c r="U123">
        <v>0</v>
      </c>
      <c r="V123">
        <v>406.22</v>
      </c>
      <c r="W123" t="s">
        <v>0</v>
      </c>
      <c r="X123" t="s">
        <v>271</v>
      </c>
      <c r="Y123" t="s">
        <v>4137</v>
      </c>
      <c r="AA123" t="s">
        <v>4138</v>
      </c>
      <c r="AB123" t="s">
        <v>181</v>
      </c>
    </row>
    <row r="124" spans="1:28" x14ac:dyDescent="0.25">
      <c r="A124" t="s">
        <v>3952</v>
      </c>
      <c r="B124" t="s">
        <v>3953</v>
      </c>
      <c r="C124" t="s">
        <v>646</v>
      </c>
      <c r="D124" t="s">
        <v>3779</v>
      </c>
      <c r="E124" t="s">
        <v>647</v>
      </c>
      <c r="F124" t="s">
        <v>666</v>
      </c>
      <c r="G124" t="s">
        <v>666</v>
      </c>
      <c r="H124" t="s">
        <v>703</v>
      </c>
      <c r="I124" t="s">
        <v>2032</v>
      </c>
      <c r="J124" t="s">
        <v>311</v>
      </c>
      <c r="K124" t="s">
        <v>166</v>
      </c>
      <c r="L124" t="s">
        <v>0</v>
      </c>
      <c r="M124" t="s">
        <v>178</v>
      </c>
      <c r="N124">
        <v>1737.9332999999999</v>
      </c>
      <c r="O124">
        <v>826.58330000000001</v>
      </c>
      <c r="P124">
        <v>30198.73</v>
      </c>
      <c r="Q124">
        <v>60555.86</v>
      </c>
      <c r="R124">
        <v>3331.4915922099999</v>
      </c>
      <c r="S124">
        <v>11389.50915525</v>
      </c>
      <c r="T124">
        <v>626.85159221000004</v>
      </c>
      <c r="U124">
        <v>1270.08</v>
      </c>
      <c r="V124">
        <v>4183.71</v>
      </c>
      <c r="W124" t="s">
        <v>312</v>
      </c>
      <c r="X124" t="s">
        <v>271</v>
      </c>
      <c r="Y124" t="s">
        <v>3954</v>
      </c>
      <c r="AA124" t="s">
        <v>3955</v>
      </c>
      <c r="AB124" t="s">
        <v>181</v>
      </c>
    </row>
    <row r="125" spans="1:28" x14ac:dyDescent="0.25">
      <c r="A125" t="s">
        <v>4022</v>
      </c>
      <c r="B125" t="s">
        <v>4023</v>
      </c>
      <c r="C125" t="s">
        <v>646</v>
      </c>
      <c r="D125" t="s">
        <v>3779</v>
      </c>
      <c r="E125" t="s">
        <v>647</v>
      </c>
      <c r="F125" t="s">
        <v>3780</v>
      </c>
      <c r="G125" t="s">
        <v>769</v>
      </c>
      <c r="H125" t="s">
        <v>757</v>
      </c>
      <c r="I125" t="s">
        <v>4024</v>
      </c>
      <c r="J125" t="s">
        <v>447</v>
      </c>
      <c r="K125" t="s">
        <v>166</v>
      </c>
      <c r="L125" t="s">
        <v>0</v>
      </c>
      <c r="M125" t="s">
        <v>178</v>
      </c>
      <c r="N125">
        <v>345.05</v>
      </c>
      <c r="O125">
        <v>182.05</v>
      </c>
      <c r="P125">
        <v>7457.8</v>
      </c>
      <c r="Q125">
        <v>15863.05</v>
      </c>
      <c r="R125">
        <v>998.47</v>
      </c>
      <c r="S125">
        <v>3981.2588179099998</v>
      </c>
      <c r="T125">
        <v>0</v>
      </c>
      <c r="U125">
        <v>0</v>
      </c>
      <c r="V125">
        <v>998.47</v>
      </c>
      <c r="W125" t="s">
        <v>446</v>
      </c>
      <c r="X125" t="s">
        <v>271</v>
      </c>
      <c r="Y125" t="s">
        <v>4025</v>
      </c>
      <c r="AA125" t="s">
        <v>4026</v>
      </c>
      <c r="AB125" t="s">
        <v>181</v>
      </c>
    </row>
    <row r="126" spans="1:28" x14ac:dyDescent="0.25">
      <c r="A126" t="s">
        <v>3823</v>
      </c>
      <c r="B126" t="s">
        <v>3824</v>
      </c>
      <c r="C126" t="s">
        <v>646</v>
      </c>
      <c r="D126" t="s">
        <v>3779</v>
      </c>
      <c r="E126" t="s">
        <v>647</v>
      </c>
      <c r="F126" t="s">
        <v>3780</v>
      </c>
      <c r="G126" t="s">
        <v>769</v>
      </c>
      <c r="H126" t="s">
        <v>703</v>
      </c>
      <c r="I126" t="s">
        <v>1801</v>
      </c>
      <c r="J126" t="s">
        <v>437</v>
      </c>
      <c r="K126" t="s">
        <v>166</v>
      </c>
      <c r="L126" t="s">
        <v>0</v>
      </c>
      <c r="M126" t="s">
        <v>178</v>
      </c>
      <c r="N126">
        <v>235.5</v>
      </c>
      <c r="O126">
        <v>134</v>
      </c>
      <c r="P126">
        <v>4623.1000000000004</v>
      </c>
      <c r="Q126">
        <v>7528.64</v>
      </c>
      <c r="R126">
        <v>1738.0559076300001</v>
      </c>
      <c r="S126">
        <v>1233.3476843000001</v>
      </c>
      <c r="T126">
        <v>-0.11409237</v>
      </c>
      <c r="U126">
        <v>0</v>
      </c>
      <c r="V126">
        <v>1738.17</v>
      </c>
      <c r="W126" t="s">
        <v>510</v>
      </c>
      <c r="X126" t="s">
        <v>271</v>
      </c>
      <c r="Y126" t="s">
        <v>3825</v>
      </c>
      <c r="AA126" t="s">
        <v>3826</v>
      </c>
      <c r="AB126" t="s">
        <v>181</v>
      </c>
    </row>
    <row r="127" spans="1:28" x14ac:dyDescent="0.25">
      <c r="A127" t="s">
        <v>3865</v>
      </c>
      <c r="B127" t="s">
        <v>3866</v>
      </c>
      <c r="C127" t="s">
        <v>646</v>
      </c>
      <c r="D127" t="s">
        <v>3779</v>
      </c>
      <c r="E127" t="s">
        <v>647</v>
      </c>
      <c r="F127" t="s">
        <v>3780</v>
      </c>
      <c r="G127" t="s">
        <v>769</v>
      </c>
      <c r="H127" t="s">
        <v>1171</v>
      </c>
      <c r="I127" t="s">
        <v>3867</v>
      </c>
      <c r="J127" t="s">
        <v>881</v>
      </c>
      <c r="K127" t="s">
        <v>166</v>
      </c>
      <c r="L127" t="s">
        <v>0</v>
      </c>
      <c r="M127" t="s">
        <v>178</v>
      </c>
      <c r="N127">
        <v>3</v>
      </c>
      <c r="O127">
        <v>1</v>
      </c>
      <c r="P127">
        <v>43.6</v>
      </c>
      <c r="Q127">
        <v>297.25</v>
      </c>
      <c r="R127">
        <v>13.72</v>
      </c>
      <c r="S127">
        <v>0.19</v>
      </c>
      <c r="T127">
        <v>0</v>
      </c>
      <c r="U127">
        <v>0</v>
      </c>
      <c r="V127">
        <v>13.72</v>
      </c>
      <c r="W127" t="s">
        <v>0</v>
      </c>
      <c r="X127" t="s">
        <v>271</v>
      </c>
      <c r="Y127" t="s">
        <v>3868</v>
      </c>
      <c r="AA127" t="s">
        <v>3869</v>
      </c>
      <c r="AB127" t="s">
        <v>181</v>
      </c>
    </row>
    <row r="128" spans="1:28" x14ac:dyDescent="0.25">
      <c r="A128" t="s">
        <v>3992</v>
      </c>
      <c r="B128" t="s">
        <v>3993</v>
      </c>
      <c r="C128" t="s">
        <v>646</v>
      </c>
      <c r="D128" t="s">
        <v>3779</v>
      </c>
      <c r="E128" t="s">
        <v>647</v>
      </c>
      <c r="F128" t="s">
        <v>3780</v>
      </c>
      <c r="G128" t="s">
        <v>769</v>
      </c>
      <c r="H128" t="s">
        <v>708</v>
      </c>
      <c r="I128" t="s">
        <v>3994</v>
      </c>
      <c r="J128" t="s">
        <v>3995</v>
      </c>
      <c r="K128" t="s">
        <v>166</v>
      </c>
      <c r="L128" t="s">
        <v>0</v>
      </c>
      <c r="M128" t="s">
        <v>178</v>
      </c>
      <c r="N128">
        <v>32</v>
      </c>
      <c r="O128">
        <v>26</v>
      </c>
      <c r="P128">
        <v>422.96</v>
      </c>
      <c r="Q128">
        <v>1156.75</v>
      </c>
      <c r="R128">
        <v>-209.93</v>
      </c>
      <c r="S128">
        <v>482.86303844999998</v>
      </c>
      <c r="T128">
        <v>0</v>
      </c>
      <c r="U128">
        <v>0</v>
      </c>
      <c r="V128">
        <v>-209.93</v>
      </c>
      <c r="W128" t="s">
        <v>250</v>
      </c>
      <c r="X128" t="s">
        <v>269</v>
      </c>
      <c r="Y128" t="s">
        <v>3996</v>
      </c>
      <c r="AA128" t="s">
        <v>3997</v>
      </c>
      <c r="AB128" t="s">
        <v>181</v>
      </c>
    </row>
    <row r="129" spans="1:28" x14ac:dyDescent="0.25">
      <c r="A129" t="s">
        <v>4139</v>
      </c>
      <c r="B129" t="s">
        <v>4140</v>
      </c>
      <c r="C129" t="s">
        <v>646</v>
      </c>
      <c r="D129" t="s">
        <v>3779</v>
      </c>
      <c r="E129" t="s">
        <v>647</v>
      </c>
      <c r="F129" t="s">
        <v>3780</v>
      </c>
      <c r="G129" t="s">
        <v>769</v>
      </c>
      <c r="H129" t="s">
        <v>703</v>
      </c>
      <c r="I129" t="s">
        <v>778</v>
      </c>
      <c r="J129" t="s">
        <v>428</v>
      </c>
      <c r="K129" t="s">
        <v>166</v>
      </c>
      <c r="L129" t="s">
        <v>0</v>
      </c>
      <c r="M129" t="s">
        <v>178</v>
      </c>
      <c r="N129">
        <v>466.91660000000002</v>
      </c>
      <c r="O129">
        <v>206.25</v>
      </c>
      <c r="P129">
        <v>7766.05</v>
      </c>
      <c r="Q129">
        <v>24068.65</v>
      </c>
      <c r="R129">
        <v>4315.9226355700002</v>
      </c>
      <c r="S129">
        <v>3813.5383018399998</v>
      </c>
      <c r="T129">
        <v>0.53263556999999995</v>
      </c>
      <c r="U129">
        <v>0</v>
      </c>
      <c r="V129">
        <v>4315.3900000000003</v>
      </c>
      <c r="W129" t="s">
        <v>547</v>
      </c>
      <c r="X129" t="s">
        <v>271</v>
      </c>
      <c r="Y129" t="s">
        <v>4141</v>
      </c>
      <c r="AA129" t="s">
        <v>4142</v>
      </c>
      <c r="AB129" t="s">
        <v>181</v>
      </c>
    </row>
    <row r="130" spans="1:28" x14ac:dyDescent="0.25">
      <c r="A130" t="s">
        <v>4127</v>
      </c>
      <c r="B130" t="s">
        <v>4128</v>
      </c>
      <c r="C130" t="s">
        <v>646</v>
      </c>
      <c r="D130" t="s">
        <v>3779</v>
      </c>
      <c r="E130" t="s">
        <v>647</v>
      </c>
      <c r="F130" t="s">
        <v>3780</v>
      </c>
      <c r="G130" t="s">
        <v>769</v>
      </c>
      <c r="H130" t="s">
        <v>683</v>
      </c>
      <c r="I130" t="s">
        <v>4129</v>
      </c>
      <c r="J130" t="s">
        <v>2057</v>
      </c>
      <c r="K130" t="s">
        <v>166</v>
      </c>
      <c r="L130" t="s">
        <v>0</v>
      </c>
      <c r="M130" t="s">
        <v>178</v>
      </c>
      <c r="N130">
        <v>127.7111</v>
      </c>
      <c r="O130">
        <v>71</v>
      </c>
      <c r="P130">
        <v>1707.97</v>
      </c>
      <c r="Q130">
        <v>6639.98</v>
      </c>
      <c r="R130">
        <v>937.49952504999999</v>
      </c>
      <c r="S130">
        <v>1054.1321278099999</v>
      </c>
      <c r="T130">
        <v>-4.7495000000000002E-4</v>
      </c>
      <c r="U130">
        <v>0</v>
      </c>
      <c r="V130">
        <v>937.5</v>
      </c>
      <c r="W130" t="s">
        <v>2058</v>
      </c>
      <c r="X130" t="s">
        <v>271</v>
      </c>
      <c r="Y130" t="s">
        <v>4130</v>
      </c>
      <c r="AA130" t="s">
        <v>4131</v>
      </c>
      <c r="AB130" t="s">
        <v>181</v>
      </c>
    </row>
    <row r="131" spans="1:28" x14ac:dyDescent="0.25">
      <c r="A131" t="s">
        <v>4127</v>
      </c>
      <c r="B131" t="s">
        <v>4128</v>
      </c>
      <c r="C131" t="s">
        <v>646</v>
      </c>
      <c r="D131" t="s">
        <v>3779</v>
      </c>
      <c r="E131" t="s">
        <v>647</v>
      </c>
      <c r="F131" t="s">
        <v>3780</v>
      </c>
      <c r="G131" t="s">
        <v>769</v>
      </c>
      <c r="H131" t="s">
        <v>770</v>
      </c>
      <c r="I131" t="s">
        <v>4129</v>
      </c>
      <c r="J131" t="s">
        <v>2057</v>
      </c>
      <c r="K131" t="s">
        <v>166</v>
      </c>
      <c r="L131" t="s">
        <v>0</v>
      </c>
      <c r="M131" t="s">
        <v>178</v>
      </c>
      <c r="N131">
        <v>206.75</v>
      </c>
      <c r="O131">
        <v>116.75</v>
      </c>
      <c r="P131">
        <v>4111.95</v>
      </c>
      <c r="Q131">
        <v>4331.3500000000004</v>
      </c>
      <c r="R131">
        <v>540.9</v>
      </c>
      <c r="S131">
        <v>571.80813740999997</v>
      </c>
      <c r="T131">
        <v>0</v>
      </c>
      <c r="U131">
        <v>0</v>
      </c>
      <c r="V131">
        <v>540.9</v>
      </c>
      <c r="W131" t="s">
        <v>2058</v>
      </c>
      <c r="X131" t="s">
        <v>271</v>
      </c>
      <c r="Y131" t="s">
        <v>4130</v>
      </c>
      <c r="AA131" t="s">
        <v>4131</v>
      </c>
      <c r="AB131" t="s">
        <v>181</v>
      </c>
    </row>
    <row r="132" spans="1:28" x14ac:dyDescent="0.25">
      <c r="A132" t="s">
        <v>4123</v>
      </c>
      <c r="B132" t="s">
        <v>4124</v>
      </c>
      <c r="C132" t="s">
        <v>646</v>
      </c>
      <c r="D132" t="s">
        <v>3779</v>
      </c>
      <c r="E132" t="s">
        <v>647</v>
      </c>
      <c r="F132" t="s">
        <v>3780</v>
      </c>
      <c r="G132" t="s">
        <v>769</v>
      </c>
      <c r="H132" t="s">
        <v>649</v>
      </c>
      <c r="I132" t="s">
        <v>746</v>
      </c>
      <c r="J132" t="s">
        <v>504</v>
      </c>
      <c r="K132" t="s">
        <v>166</v>
      </c>
      <c r="L132" t="s">
        <v>0</v>
      </c>
      <c r="M132" t="s">
        <v>178</v>
      </c>
      <c r="N132">
        <v>248</v>
      </c>
      <c r="O132">
        <v>217</v>
      </c>
      <c r="P132">
        <v>5806.21</v>
      </c>
      <c r="Q132">
        <v>14250.94</v>
      </c>
      <c r="R132">
        <v>1181.01</v>
      </c>
      <c r="S132">
        <v>1174.01928447</v>
      </c>
      <c r="T132">
        <v>0</v>
      </c>
      <c r="U132">
        <v>0</v>
      </c>
      <c r="V132">
        <v>1181.01</v>
      </c>
      <c r="W132" t="s">
        <v>503</v>
      </c>
      <c r="X132" t="s">
        <v>271</v>
      </c>
      <c r="Y132" t="s">
        <v>4125</v>
      </c>
      <c r="AA132" t="s">
        <v>4126</v>
      </c>
      <c r="AB132" t="s">
        <v>181</v>
      </c>
    </row>
    <row r="133" spans="1:28" x14ac:dyDescent="0.25">
      <c r="A133" t="s">
        <v>4011</v>
      </c>
      <c r="B133" t="s">
        <v>4012</v>
      </c>
      <c r="C133" t="s">
        <v>646</v>
      </c>
      <c r="D133" t="s">
        <v>3779</v>
      </c>
      <c r="E133" t="s">
        <v>647</v>
      </c>
      <c r="F133" t="s">
        <v>3780</v>
      </c>
      <c r="G133" t="s">
        <v>769</v>
      </c>
      <c r="H133" t="s">
        <v>708</v>
      </c>
      <c r="I133" t="s">
        <v>2142</v>
      </c>
      <c r="J133" t="s">
        <v>1924</v>
      </c>
      <c r="K133" t="s">
        <v>166</v>
      </c>
      <c r="L133" t="s">
        <v>0</v>
      </c>
      <c r="M133" t="s">
        <v>178</v>
      </c>
      <c r="N133">
        <v>11</v>
      </c>
      <c r="O133">
        <v>7</v>
      </c>
      <c r="P133">
        <v>80.989999999999995</v>
      </c>
      <c r="Q133">
        <v>378.32</v>
      </c>
      <c r="R133">
        <v>65.05</v>
      </c>
      <c r="S133">
        <v>90.482304619999994</v>
      </c>
      <c r="T133">
        <v>0</v>
      </c>
      <c r="U133">
        <v>0</v>
      </c>
      <c r="V133">
        <v>65.05</v>
      </c>
      <c r="W133" t="s">
        <v>1925</v>
      </c>
      <c r="X133" t="s">
        <v>271</v>
      </c>
      <c r="Y133" t="s">
        <v>4013</v>
      </c>
      <c r="AA133" t="s">
        <v>4014</v>
      </c>
      <c r="AB133" t="s">
        <v>181</v>
      </c>
    </row>
    <row r="134" spans="1:28" x14ac:dyDescent="0.25">
      <c r="A134" t="s">
        <v>4027</v>
      </c>
      <c r="B134" t="s">
        <v>4028</v>
      </c>
      <c r="C134" t="s">
        <v>646</v>
      </c>
      <c r="D134" t="s">
        <v>3779</v>
      </c>
      <c r="E134" t="s">
        <v>647</v>
      </c>
      <c r="F134" t="s">
        <v>3780</v>
      </c>
      <c r="G134" t="s">
        <v>769</v>
      </c>
      <c r="H134" t="s">
        <v>1171</v>
      </c>
      <c r="I134" t="s">
        <v>1251</v>
      </c>
      <c r="J134" t="s">
        <v>821</v>
      </c>
      <c r="K134" t="s">
        <v>166</v>
      </c>
      <c r="L134" t="s">
        <v>0</v>
      </c>
      <c r="M134" t="s">
        <v>178</v>
      </c>
      <c r="N134">
        <v>344</v>
      </c>
      <c r="O134">
        <v>172</v>
      </c>
      <c r="P134">
        <v>22473.62</v>
      </c>
      <c r="Q134">
        <v>161244.21</v>
      </c>
      <c r="R134">
        <v>20149.511567699999</v>
      </c>
      <c r="S134">
        <v>1859.33805196</v>
      </c>
      <c r="T134">
        <v>1.5677E-3</v>
      </c>
      <c r="U134">
        <v>0</v>
      </c>
      <c r="V134">
        <v>20149.509999999998</v>
      </c>
      <c r="W134" t="s">
        <v>822</v>
      </c>
      <c r="X134" t="s">
        <v>269</v>
      </c>
      <c r="Y134" t="s">
        <v>4029</v>
      </c>
      <c r="AA134" t="s">
        <v>4030</v>
      </c>
      <c r="AB134" t="s">
        <v>181</v>
      </c>
    </row>
    <row r="135" spans="1:28" x14ac:dyDescent="0.25">
      <c r="A135" t="s">
        <v>4143</v>
      </c>
      <c r="B135" t="s">
        <v>4144</v>
      </c>
      <c r="C135" t="s">
        <v>646</v>
      </c>
      <c r="D135" t="s">
        <v>3779</v>
      </c>
      <c r="E135" t="s">
        <v>647</v>
      </c>
      <c r="F135" t="s">
        <v>3780</v>
      </c>
      <c r="G135" t="s">
        <v>769</v>
      </c>
      <c r="H135" t="s">
        <v>962</v>
      </c>
      <c r="I135" t="s">
        <v>1828</v>
      </c>
      <c r="J135" t="s">
        <v>1829</v>
      </c>
      <c r="K135" t="s">
        <v>166</v>
      </c>
      <c r="L135" t="s">
        <v>0</v>
      </c>
      <c r="M135" t="s">
        <v>178</v>
      </c>
      <c r="N135">
        <v>15</v>
      </c>
      <c r="O135">
        <v>3</v>
      </c>
      <c r="P135">
        <v>171.08</v>
      </c>
      <c r="Q135">
        <v>794.27</v>
      </c>
      <c r="R135">
        <v>165.7</v>
      </c>
      <c r="S135">
        <v>34.401714370000001</v>
      </c>
      <c r="T135">
        <v>0</v>
      </c>
      <c r="U135">
        <v>0</v>
      </c>
      <c r="V135">
        <v>165.7</v>
      </c>
      <c r="W135" t="s">
        <v>1361</v>
      </c>
      <c r="X135" t="s">
        <v>271</v>
      </c>
      <c r="Y135" t="s">
        <v>4145</v>
      </c>
      <c r="AA135" t="s">
        <v>4146</v>
      </c>
      <c r="AB135" t="s">
        <v>181</v>
      </c>
    </row>
    <row r="136" spans="1:28" x14ac:dyDescent="0.25">
      <c r="A136" t="s">
        <v>3838</v>
      </c>
      <c r="B136" t="s">
        <v>3839</v>
      </c>
      <c r="C136" t="s">
        <v>646</v>
      </c>
      <c r="D136" t="s">
        <v>3779</v>
      </c>
      <c r="E136" t="s">
        <v>647</v>
      </c>
      <c r="F136" t="s">
        <v>3780</v>
      </c>
      <c r="G136" t="s">
        <v>769</v>
      </c>
      <c r="H136" t="s">
        <v>1045</v>
      </c>
      <c r="I136" t="s">
        <v>906</v>
      </c>
      <c r="J136" t="s">
        <v>907</v>
      </c>
      <c r="K136" t="s">
        <v>166</v>
      </c>
      <c r="L136" t="s">
        <v>0</v>
      </c>
      <c r="M136" t="s">
        <v>178</v>
      </c>
      <c r="N136">
        <v>53</v>
      </c>
      <c r="O136">
        <v>2</v>
      </c>
      <c r="P136">
        <v>526.35</v>
      </c>
      <c r="Q136">
        <v>3989.81</v>
      </c>
      <c r="R136">
        <v>741.85</v>
      </c>
      <c r="S136">
        <v>187.93702433999999</v>
      </c>
      <c r="T136">
        <v>0</v>
      </c>
      <c r="U136">
        <v>0</v>
      </c>
      <c r="V136">
        <v>741.85</v>
      </c>
      <c r="W136" t="s">
        <v>272</v>
      </c>
      <c r="X136" t="s">
        <v>269</v>
      </c>
      <c r="Y136" t="s">
        <v>3840</v>
      </c>
      <c r="AA136" t="s">
        <v>3841</v>
      </c>
      <c r="AB136" t="s">
        <v>181</v>
      </c>
    </row>
    <row r="137" spans="1:28" x14ac:dyDescent="0.25">
      <c r="A137" t="s">
        <v>3909</v>
      </c>
      <c r="B137" t="s">
        <v>3910</v>
      </c>
      <c r="C137" t="s">
        <v>646</v>
      </c>
      <c r="D137" t="s">
        <v>3779</v>
      </c>
      <c r="E137" t="s">
        <v>647</v>
      </c>
      <c r="F137" t="s">
        <v>666</v>
      </c>
      <c r="G137" t="s">
        <v>666</v>
      </c>
      <c r="H137" t="s">
        <v>679</v>
      </c>
      <c r="I137" t="s">
        <v>3911</v>
      </c>
      <c r="J137" t="s">
        <v>355</v>
      </c>
      <c r="K137" t="s">
        <v>166</v>
      </c>
      <c r="L137" t="s">
        <v>0</v>
      </c>
      <c r="M137" t="s">
        <v>178</v>
      </c>
      <c r="N137">
        <v>369</v>
      </c>
      <c r="O137">
        <v>295</v>
      </c>
      <c r="P137">
        <v>6032.09</v>
      </c>
      <c r="Q137">
        <v>20213.689999999999</v>
      </c>
      <c r="R137">
        <v>179.93948992</v>
      </c>
      <c r="S137">
        <v>10629.13705075</v>
      </c>
      <c r="T137">
        <v>-27.200510080000001</v>
      </c>
      <c r="U137">
        <v>0</v>
      </c>
      <c r="V137">
        <v>207.14</v>
      </c>
      <c r="W137" t="s">
        <v>0</v>
      </c>
      <c r="X137" t="s">
        <v>271</v>
      </c>
      <c r="Y137" t="s">
        <v>3912</v>
      </c>
      <c r="AA137" t="s">
        <v>3894</v>
      </c>
      <c r="AB137" t="s">
        <v>181</v>
      </c>
    </row>
    <row r="138" spans="1:28" x14ac:dyDescent="0.25">
      <c r="A138" t="s">
        <v>3929</v>
      </c>
      <c r="B138" t="s">
        <v>3930</v>
      </c>
      <c r="C138" t="s">
        <v>646</v>
      </c>
      <c r="D138" t="s">
        <v>3779</v>
      </c>
      <c r="E138" t="s">
        <v>647</v>
      </c>
      <c r="F138" t="s">
        <v>3780</v>
      </c>
      <c r="G138" t="s">
        <v>769</v>
      </c>
      <c r="H138" t="s">
        <v>797</v>
      </c>
      <c r="I138" t="s">
        <v>3649</v>
      </c>
      <c r="J138" t="s">
        <v>1567</v>
      </c>
      <c r="K138" t="s">
        <v>166</v>
      </c>
      <c r="L138" t="s">
        <v>0</v>
      </c>
      <c r="M138" t="s">
        <v>178</v>
      </c>
      <c r="N138">
        <v>53</v>
      </c>
      <c r="O138">
        <v>4</v>
      </c>
      <c r="P138">
        <v>538</v>
      </c>
      <c r="Q138">
        <v>2165.37</v>
      </c>
      <c r="R138">
        <v>660.29736641</v>
      </c>
      <c r="S138">
        <v>50.986925370000002</v>
      </c>
      <c r="T138">
        <v>3.7366410000000003E-2</v>
      </c>
      <c r="U138">
        <v>0</v>
      </c>
      <c r="V138">
        <v>660.26</v>
      </c>
      <c r="W138" t="s">
        <v>556</v>
      </c>
      <c r="X138" t="s">
        <v>271</v>
      </c>
      <c r="Y138" t="s">
        <v>3931</v>
      </c>
      <c r="AA138" t="s">
        <v>3932</v>
      </c>
      <c r="AB138" t="s">
        <v>181</v>
      </c>
    </row>
    <row r="139" spans="1:28" x14ac:dyDescent="0.25">
      <c r="A139" t="s">
        <v>3981</v>
      </c>
      <c r="B139" t="s">
        <v>3982</v>
      </c>
      <c r="C139" t="s">
        <v>646</v>
      </c>
      <c r="D139" t="s">
        <v>3779</v>
      </c>
      <c r="E139" t="s">
        <v>647</v>
      </c>
      <c r="F139" t="s">
        <v>3780</v>
      </c>
      <c r="G139" t="s">
        <v>769</v>
      </c>
      <c r="H139" t="s">
        <v>717</v>
      </c>
      <c r="I139" t="s">
        <v>2384</v>
      </c>
      <c r="J139" t="s">
        <v>447</v>
      </c>
      <c r="K139" t="s">
        <v>166</v>
      </c>
      <c r="L139" t="s">
        <v>0</v>
      </c>
      <c r="M139" t="s">
        <v>178</v>
      </c>
      <c r="N139">
        <v>168</v>
      </c>
      <c r="O139">
        <v>161</v>
      </c>
      <c r="P139">
        <v>2384</v>
      </c>
      <c r="Q139">
        <v>7484.05</v>
      </c>
      <c r="R139">
        <v>361.79</v>
      </c>
      <c r="S139">
        <v>1226.4186696199999</v>
      </c>
      <c r="T139">
        <v>0</v>
      </c>
      <c r="U139">
        <v>0.5</v>
      </c>
      <c r="V139">
        <v>362.29</v>
      </c>
      <c r="W139" t="s">
        <v>446</v>
      </c>
      <c r="X139" t="s">
        <v>271</v>
      </c>
      <c r="Y139" t="s">
        <v>3983</v>
      </c>
      <c r="AA139" t="s">
        <v>3984</v>
      </c>
      <c r="AB139" t="s">
        <v>181</v>
      </c>
    </row>
    <row r="140" spans="1:28" x14ac:dyDescent="0.25">
      <c r="A140" t="s">
        <v>4147</v>
      </c>
      <c r="B140" t="s">
        <v>4148</v>
      </c>
      <c r="C140" t="s">
        <v>646</v>
      </c>
      <c r="D140" t="s">
        <v>3779</v>
      </c>
      <c r="E140" t="s">
        <v>647</v>
      </c>
      <c r="F140" t="s">
        <v>3780</v>
      </c>
      <c r="G140" t="s">
        <v>769</v>
      </c>
      <c r="H140" t="s">
        <v>730</v>
      </c>
      <c r="I140" t="s">
        <v>1301</v>
      </c>
      <c r="J140" t="s">
        <v>1302</v>
      </c>
      <c r="K140" t="s">
        <v>166</v>
      </c>
      <c r="L140" t="s">
        <v>0</v>
      </c>
      <c r="M140" t="s">
        <v>178</v>
      </c>
      <c r="N140">
        <v>51</v>
      </c>
      <c r="O140">
        <v>4</v>
      </c>
      <c r="P140">
        <v>1475.8</v>
      </c>
      <c r="Q140">
        <v>7243.08</v>
      </c>
      <c r="R140">
        <v>846.32276333000004</v>
      </c>
      <c r="S140">
        <v>26.606499199999998</v>
      </c>
      <c r="T140">
        <v>1758.82276333</v>
      </c>
      <c r="U140">
        <v>0</v>
      </c>
      <c r="V140">
        <v>882.95</v>
      </c>
      <c r="W140" t="s">
        <v>1303</v>
      </c>
      <c r="X140" t="s">
        <v>269</v>
      </c>
      <c r="Y140" t="s">
        <v>4149</v>
      </c>
      <c r="AA140" t="s">
        <v>4150</v>
      </c>
      <c r="AB140" t="s">
        <v>181</v>
      </c>
    </row>
    <row r="141" spans="1:28" x14ac:dyDescent="0.25">
      <c r="A141" t="s">
        <v>4015</v>
      </c>
      <c r="B141" t="s">
        <v>4016</v>
      </c>
      <c r="C141" t="s">
        <v>646</v>
      </c>
      <c r="D141" t="s">
        <v>3779</v>
      </c>
      <c r="E141" t="s">
        <v>647</v>
      </c>
      <c r="F141" t="s">
        <v>3780</v>
      </c>
      <c r="G141" t="s">
        <v>769</v>
      </c>
      <c r="H141" t="s">
        <v>708</v>
      </c>
      <c r="I141" t="s">
        <v>4017</v>
      </c>
      <c r="J141" t="s">
        <v>4018</v>
      </c>
      <c r="K141" t="s">
        <v>166</v>
      </c>
      <c r="L141" t="s">
        <v>0</v>
      </c>
      <c r="M141" t="s">
        <v>178</v>
      </c>
      <c r="N141">
        <v>39</v>
      </c>
      <c r="O141">
        <v>11</v>
      </c>
      <c r="P141">
        <v>110.34</v>
      </c>
      <c r="Q141">
        <v>478.37</v>
      </c>
      <c r="R141">
        <v>108.1</v>
      </c>
      <c r="S141">
        <v>23.32192959</v>
      </c>
      <c r="T141">
        <v>0</v>
      </c>
      <c r="U141">
        <v>0</v>
      </c>
      <c r="V141">
        <v>108.1</v>
      </c>
      <c r="W141" t="s">
        <v>4019</v>
      </c>
      <c r="X141" t="s">
        <v>271</v>
      </c>
      <c r="Y141" t="s">
        <v>4020</v>
      </c>
      <c r="AA141" t="s">
        <v>4021</v>
      </c>
      <c r="AB141" t="s">
        <v>181</v>
      </c>
    </row>
    <row r="142" spans="1:28" x14ac:dyDescent="0.25">
      <c r="A142" t="s">
        <v>4151</v>
      </c>
      <c r="B142" t="s">
        <v>4152</v>
      </c>
      <c r="C142" t="s">
        <v>646</v>
      </c>
      <c r="D142" t="s">
        <v>3779</v>
      </c>
      <c r="E142" t="s">
        <v>647</v>
      </c>
      <c r="F142" t="s">
        <v>666</v>
      </c>
      <c r="G142" t="s">
        <v>666</v>
      </c>
      <c r="H142" t="s">
        <v>757</v>
      </c>
      <c r="I142" t="s">
        <v>765</v>
      </c>
      <c r="J142" t="s">
        <v>436</v>
      </c>
      <c r="K142" t="s">
        <v>166</v>
      </c>
      <c r="L142" t="s">
        <v>0</v>
      </c>
      <c r="M142" t="s">
        <v>178</v>
      </c>
      <c r="N142">
        <v>478</v>
      </c>
      <c r="O142">
        <v>312</v>
      </c>
      <c r="P142">
        <v>12040.62</v>
      </c>
      <c r="Q142">
        <v>23071.77</v>
      </c>
      <c r="R142">
        <v>5579.57</v>
      </c>
      <c r="S142">
        <v>2163.4644613599999</v>
      </c>
      <c r="T142">
        <v>4.8</v>
      </c>
      <c r="U142">
        <v>0</v>
      </c>
      <c r="V142">
        <v>5574.77</v>
      </c>
      <c r="W142" t="s">
        <v>0</v>
      </c>
      <c r="X142" t="s">
        <v>271</v>
      </c>
      <c r="Y142" t="s">
        <v>4153</v>
      </c>
      <c r="AA142" t="s">
        <v>4154</v>
      </c>
      <c r="AB142" t="s">
        <v>181</v>
      </c>
    </row>
    <row r="143" spans="1:28" x14ac:dyDescent="0.25">
      <c r="A143" t="s">
        <v>4027</v>
      </c>
      <c r="B143" t="s">
        <v>4028</v>
      </c>
      <c r="C143" t="s">
        <v>646</v>
      </c>
      <c r="D143" t="s">
        <v>3779</v>
      </c>
      <c r="E143" t="s">
        <v>647</v>
      </c>
      <c r="F143" t="s">
        <v>3780</v>
      </c>
      <c r="G143" t="s">
        <v>769</v>
      </c>
      <c r="H143" t="s">
        <v>797</v>
      </c>
      <c r="I143" t="s">
        <v>1251</v>
      </c>
      <c r="J143" t="s">
        <v>821</v>
      </c>
      <c r="K143" t="s">
        <v>166</v>
      </c>
      <c r="L143" t="s">
        <v>0</v>
      </c>
      <c r="M143" t="s">
        <v>178</v>
      </c>
      <c r="N143">
        <v>537</v>
      </c>
      <c r="O143">
        <v>85</v>
      </c>
      <c r="P143">
        <v>5607.49</v>
      </c>
      <c r="Q143">
        <v>14593.86</v>
      </c>
      <c r="R143">
        <v>766.32521861999999</v>
      </c>
      <c r="S143">
        <v>1205.8216719300001</v>
      </c>
      <c r="T143">
        <v>1066.4152186199999</v>
      </c>
      <c r="U143">
        <v>0</v>
      </c>
      <c r="V143">
        <v>766.33</v>
      </c>
      <c r="W143" t="s">
        <v>822</v>
      </c>
      <c r="X143" t="s">
        <v>269</v>
      </c>
      <c r="Y143" t="s">
        <v>4029</v>
      </c>
      <c r="AA143" t="s">
        <v>4030</v>
      </c>
      <c r="AB143" t="s">
        <v>181</v>
      </c>
    </row>
    <row r="144" spans="1:28" x14ac:dyDescent="0.25">
      <c r="A144" t="s">
        <v>4155</v>
      </c>
      <c r="B144" t="s">
        <v>4156</v>
      </c>
      <c r="C144" t="s">
        <v>646</v>
      </c>
      <c r="D144" t="s">
        <v>3779</v>
      </c>
      <c r="E144" t="s">
        <v>647</v>
      </c>
      <c r="F144" t="s">
        <v>3780</v>
      </c>
      <c r="G144" t="s">
        <v>769</v>
      </c>
      <c r="H144" t="s">
        <v>1045</v>
      </c>
      <c r="I144" t="s">
        <v>885</v>
      </c>
      <c r="J144" t="s">
        <v>324</v>
      </c>
      <c r="K144" t="s">
        <v>166</v>
      </c>
      <c r="L144" t="s">
        <v>0</v>
      </c>
      <c r="M144" t="s">
        <v>178</v>
      </c>
      <c r="N144">
        <v>61</v>
      </c>
      <c r="O144">
        <v>57</v>
      </c>
      <c r="P144">
        <v>623</v>
      </c>
      <c r="Q144">
        <v>4587.32</v>
      </c>
      <c r="R144">
        <v>379.36</v>
      </c>
      <c r="S144">
        <v>449.63640877</v>
      </c>
      <c r="T144">
        <v>0</v>
      </c>
      <c r="U144">
        <v>0</v>
      </c>
      <c r="V144">
        <v>379.36</v>
      </c>
      <c r="W144" t="s">
        <v>519</v>
      </c>
      <c r="X144" t="s">
        <v>271</v>
      </c>
      <c r="Y144" t="s">
        <v>4157</v>
      </c>
      <c r="AA144" t="s">
        <v>4158</v>
      </c>
      <c r="AB144" t="s">
        <v>181</v>
      </c>
    </row>
    <row r="145" spans="1:28" x14ac:dyDescent="0.25">
      <c r="A145" t="s">
        <v>4159</v>
      </c>
      <c r="B145" t="s">
        <v>257</v>
      </c>
      <c r="C145" t="s">
        <v>646</v>
      </c>
      <c r="D145" t="s">
        <v>3779</v>
      </c>
      <c r="E145" t="s">
        <v>647</v>
      </c>
      <c r="F145" t="s">
        <v>3780</v>
      </c>
      <c r="G145" t="s">
        <v>769</v>
      </c>
      <c r="H145" t="s">
        <v>703</v>
      </c>
      <c r="I145" t="s">
        <v>673</v>
      </c>
      <c r="J145" t="s">
        <v>674</v>
      </c>
      <c r="K145" t="s">
        <v>166</v>
      </c>
      <c r="L145" t="s">
        <v>0</v>
      </c>
      <c r="M145" t="s">
        <v>178</v>
      </c>
      <c r="N145">
        <v>327</v>
      </c>
      <c r="O145">
        <v>133</v>
      </c>
      <c r="P145">
        <v>2372.5700000000002</v>
      </c>
      <c r="Q145">
        <v>11164.94</v>
      </c>
      <c r="R145">
        <v>3739.99041554</v>
      </c>
      <c r="S145">
        <v>1428.8168846200001</v>
      </c>
      <c r="T145">
        <v>1.0415539999999999E-2</v>
      </c>
      <c r="U145">
        <v>0</v>
      </c>
      <c r="V145">
        <v>3739.98</v>
      </c>
      <c r="W145" t="s">
        <v>675</v>
      </c>
      <c r="X145" t="s">
        <v>271</v>
      </c>
      <c r="Y145" t="s">
        <v>4160</v>
      </c>
      <c r="AA145" t="s">
        <v>4161</v>
      </c>
      <c r="AB145" t="s">
        <v>181</v>
      </c>
    </row>
    <row r="146" spans="1:28" x14ac:dyDescent="0.25">
      <c r="A146" t="s">
        <v>4043</v>
      </c>
      <c r="B146" t="s">
        <v>4044</v>
      </c>
      <c r="C146" t="s">
        <v>646</v>
      </c>
      <c r="D146" t="s">
        <v>3779</v>
      </c>
      <c r="E146" t="s">
        <v>647</v>
      </c>
      <c r="F146" t="s">
        <v>666</v>
      </c>
      <c r="G146" t="s">
        <v>666</v>
      </c>
      <c r="H146" t="s">
        <v>1045</v>
      </c>
      <c r="I146" t="s">
        <v>1431</v>
      </c>
      <c r="J146" t="s">
        <v>1432</v>
      </c>
      <c r="K146" t="s">
        <v>166</v>
      </c>
      <c r="L146" t="s">
        <v>0</v>
      </c>
      <c r="M146" t="s">
        <v>178</v>
      </c>
      <c r="N146">
        <v>53</v>
      </c>
      <c r="O146">
        <v>53</v>
      </c>
      <c r="P146">
        <v>538</v>
      </c>
      <c r="Q146">
        <v>3566.47</v>
      </c>
      <c r="R146">
        <v>527.59</v>
      </c>
      <c r="S146">
        <v>311.28472067000001</v>
      </c>
      <c r="T146">
        <v>0</v>
      </c>
      <c r="U146">
        <v>0</v>
      </c>
      <c r="V146">
        <v>527.59</v>
      </c>
      <c r="W146" t="s">
        <v>1433</v>
      </c>
      <c r="X146" t="s">
        <v>271</v>
      </c>
      <c r="Y146" t="s">
        <v>4045</v>
      </c>
      <c r="AA146" t="s">
        <v>4046</v>
      </c>
      <c r="AB146" t="s">
        <v>181</v>
      </c>
    </row>
    <row r="147" spans="1:28" x14ac:dyDescent="0.25">
      <c r="A147" t="s">
        <v>3917</v>
      </c>
      <c r="B147" t="s">
        <v>3918</v>
      </c>
      <c r="C147" t="s">
        <v>646</v>
      </c>
      <c r="D147" t="s">
        <v>3779</v>
      </c>
      <c r="E147" t="s">
        <v>647</v>
      </c>
      <c r="F147" t="s">
        <v>3780</v>
      </c>
      <c r="G147" t="s">
        <v>769</v>
      </c>
      <c r="H147" t="s">
        <v>757</v>
      </c>
      <c r="I147" t="s">
        <v>1083</v>
      </c>
      <c r="J147" t="s">
        <v>731</v>
      </c>
      <c r="K147" t="s">
        <v>166</v>
      </c>
      <c r="L147" t="s">
        <v>0</v>
      </c>
      <c r="M147" t="s">
        <v>178</v>
      </c>
      <c r="N147">
        <v>2</v>
      </c>
      <c r="O147">
        <v>2</v>
      </c>
      <c r="P147">
        <v>60</v>
      </c>
      <c r="Q147">
        <v>124.43</v>
      </c>
      <c r="R147">
        <v>22.75</v>
      </c>
      <c r="S147">
        <v>10.373577299999999</v>
      </c>
      <c r="T147">
        <v>0</v>
      </c>
      <c r="U147">
        <v>0</v>
      </c>
      <c r="V147">
        <v>22.75</v>
      </c>
      <c r="W147" t="s">
        <v>0</v>
      </c>
      <c r="X147" t="s">
        <v>271</v>
      </c>
      <c r="Y147" t="s">
        <v>3919</v>
      </c>
      <c r="AA147" t="s">
        <v>3920</v>
      </c>
      <c r="AB147" t="s">
        <v>181</v>
      </c>
    </row>
    <row r="148" spans="1:28" x14ac:dyDescent="0.25">
      <c r="A148" t="s">
        <v>4162</v>
      </c>
      <c r="B148" t="s">
        <v>4163</v>
      </c>
      <c r="C148" t="s">
        <v>646</v>
      </c>
      <c r="D148" t="s">
        <v>3779</v>
      </c>
      <c r="E148" t="s">
        <v>647</v>
      </c>
      <c r="F148" t="s">
        <v>3780</v>
      </c>
      <c r="G148" t="s">
        <v>769</v>
      </c>
      <c r="H148" t="s">
        <v>797</v>
      </c>
      <c r="I148" t="s">
        <v>4164</v>
      </c>
      <c r="J148" t="s">
        <v>985</v>
      </c>
      <c r="K148" t="s">
        <v>166</v>
      </c>
      <c r="L148" t="s">
        <v>0</v>
      </c>
      <c r="M148" t="s">
        <v>178</v>
      </c>
      <c r="N148">
        <v>52</v>
      </c>
      <c r="O148">
        <v>45</v>
      </c>
      <c r="P148">
        <v>564.62</v>
      </c>
      <c r="Q148">
        <v>1366.98</v>
      </c>
      <c r="R148">
        <v>190.84245547</v>
      </c>
      <c r="S148">
        <v>325.83585994999999</v>
      </c>
      <c r="T148">
        <v>1.245547E-2</v>
      </c>
      <c r="U148">
        <v>0</v>
      </c>
      <c r="V148">
        <v>190.83</v>
      </c>
      <c r="W148" t="s">
        <v>986</v>
      </c>
      <c r="X148" t="s">
        <v>271</v>
      </c>
      <c r="Y148" t="s">
        <v>4165</v>
      </c>
      <c r="AA148" t="s">
        <v>4166</v>
      </c>
      <c r="AB148" t="s">
        <v>181</v>
      </c>
    </row>
    <row r="149" spans="1:28" x14ac:dyDescent="0.25">
      <c r="A149" t="s">
        <v>3777</v>
      </c>
      <c r="B149" t="s">
        <v>3778</v>
      </c>
      <c r="C149" t="s">
        <v>646</v>
      </c>
      <c r="D149" t="s">
        <v>3779</v>
      </c>
      <c r="E149" t="s">
        <v>647</v>
      </c>
      <c r="F149" t="s">
        <v>3780</v>
      </c>
      <c r="G149" t="s">
        <v>769</v>
      </c>
      <c r="H149" t="s">
        <v>757</v>
      </c>
      <c r="I149" t="s">
        <v>798</v>
      </c>
      <c r="J149" t="s">
        <v>524</v>
      </c>
      <c r="K149" t="s">
        <v>166</v>
      </c>
      <c r="L149" t="s">
        <v>0</v>
      </c>
      <c r="M149" t="s">
        <v>178</v>
      </c>
      <c r="N149">
        <v>96.3</v>
      </c>
      <c r="O149">
        <v>78.3</v>
      </c>
      <c r="P149">
        <v>2325.5100000000002</v>
      </c>
      <c r="Q149">
        <v>3811.7</v>
      </c>
      <c r="R149">
        <v>696.47</v>
      </c>
      <c r="S149">
        <v>548.71795832999999</v>
      </c>
      <c r="T149">
        <v>0</v>
      </c>
      <c r="U149">
        <v>0</v>
      </c>
      <c r="V149">
        <v>696.47</v>
      </c>
      <c r="W149" t="s">
        <v>258</v>
      </c>
      <c r="X149" t="s">
        <v>271</v>
      </c>
      <c r="Y149" t="s">
        <v>3781</v>
      </c>
      <c r="AA149" t="s">
        <v>3782</v>
      </c>
      <c r="AB149" t="s">
        <v>181</v>
      </c>
    </row>
    <row r="150" spans="1:28" x14ac:dyDescent="0.25">
      <c r="A150" t="s">
        <v>4167</v>
      </c>
      <c r="B150" t="s">
        <v>4168</v>
      </c>
      <c r="C150" t="s">
        <v>646</v>
      </c>
      <c r="D150" t="s">
        <v>3779</v>
      </c>
      <c r="E150" t="s">
        <v>647</v>
      </c>
      <c r="F150" t="s">
        <v>3780</v>
      </c>
      <c r="G150" t="s">
        <v>769</v>
      </c>
      <c r="H150" t="s">
        <v>757</v>
      </c>
      <c r="I150" t="s">
        <v>4169</v>
      </c>
      <c r="J150" t="s">
        <v>662</v>
      </c>
      <c r="K150" t="s">
        <v>166</v>
      </c>
      <c r="L150" t="s">
        <v>0</v>
      </c>
      <c r="M150" t="s">
        <v>178</v>
      </c>
      <c r="N150">
        <v>1528</v>
      </c>
      <c r="O150">
        <v>579</v>
      </c>
      <c r="P150">
        <v>16356.9</v>
      </c>
      <c r="Q150">
        <v>23286.5</v>
      </c>
      <c r="R150">
        <v>406.19</v>
      </c>
      <c r="S150">
        <v>4972.0881081099997</v>
      </c>
      <c r="T150">
        <v>249.2</v>
      </c>
      <c r="U150">
        <v>2233.5700000000002</v>
      </c>
      <c r="V150">
        <v>2736.68</v>
      </c>
      <c r="W150" t="s">
        <v>586</v>
      </c>
      <c r="X150" t="s">
        <v>271</v>
      </c>
      <c r="Y150" t="s">
        <v>4170</v>
      </c>
      <c r="AA150" t="s">
        <v>4171</v>
      </c>
      <c r="AB150" t="s">
        <v>181</v>
      </c>
    </row>
    <row r="151" spans="1:28" x14ac:dyDescent="0.25">
      <c r="A151" t="s">
        <v>4172</v>
      </c>
      <c r="B151" t="s">
        <v>4173</v>
      </c>
      <c r="C151" t="s">
        <v>646</v>
      </c>
      <c r="D151" t="s">
        <v>3779</v>
      </c>
      <c r="E151" t="s">
        <v>647</v>
      </c>
      <c r="F151" t="s">
        <v>3780</v>
      </c>
      <c r="G151" t="s">
        <v>769</v>
      </c>
      <c r="H151" t="s">
        <v>1171</v>
      </c>
      <c r="I151" t="s">
        <v>1801</v>
      </c>
      <c r="J151" t="s">
        <v>437</v>
      </c>
      <c r="K151" t="s">
        <v>166</v>
      </c>
      <c r="L151" t="s">
        <v>0</v>
      </c>
      <c r="M151" t="s">
        <v>178</v>
      </c>
      <c r="N151">
        <v>21</v>
      </c>
      <c r="O151">
        <v>12</v>
      </c>
      <c r="P151">
        <v>350.65</v>
      </c>
      <c r="Q151">
        <v>2439.1799999999998</v>
      </c>
      <c r="R151">
        <v>437.65</v>
      </c>
      <c r="S151">
        <v>2.3779439</v>
      </c>
      <c r="T151">
        <v>0</v>
      </c>
      <c r="U151">
        <v>0</v>
      </c>
      <c r="V151">
        <v>437.65</v>
      </c>
      <c r="W151" t="s">
        <v>510</v>
      </c>
      <c r="X151" t="s">
        <v>271</v>
      </c>
      <c r="Y151" t="s">
        <v>4174</v>
      </c>
      <c r="Z151" t="s">
        <v>4175</v>
      </c>
      <c r="AA151" t="s">
        <v>4176</v>
      </c>
      <c r="AB151" t="s">
        <v>181</v>
      </c>
    </row>
    <row r="152" spans="1:28" x14ac:dyDescent="0.25">
      <c r="A152" t="s">
        <v>3956</v>
      </c>
      <c r="B152" t="s">
        <v>3957</v>
      </c>
      <c r="C152" t="s">
        <v>646</v>
      </c>
      <c r="D152" t="s">
        <v>3779</v>
      </c>
      <c r="E152" t="s">
        <v>647</v>
      </c>
      <c r="F152" t="s">
        <v>666</v>
      </c>
      <c r="G152" t="s">
        <v>666</v>
      </c>
      <c r="H152" t="s">
        <v>1171</v>
      </c>
      <c r="I152" t="s">
        <v>1068</v>
      </c>
      <c r="J152" t="s">
        <v>501</v>
      </c>
      <c r="K152" t="s">
        <v>166</v>
      </c>
      <c r="L152" t="s">
        <v>0</v>
      </c>
      <c r="M152" t="s">
        <v>178</v>
      </c>
      <c r="N152">
        <v>38</v>
      </c>
      <c r="O152">
        <v>0</v>
      </c>
      <c r="P152">
        <v>2779.7</v>
      </c>
      <c r="Q152">
        <v>10956.26</v>
      </c>
      <c r="R152">
        <v>794.01</v>
      </c>
      <c r="S152">
        <v>251.08656643</v>
      </c>
      <c r="T152">
        <v>0</v>
      </c>
      <c r="U152">
        <v>0</v>
      </c>
      <c r="V152">
        <v>794.01</v>
      </c>
      <c r="W152" t="s">
        <v>500</v>
      </c>
      <c r="X152" t="s">
        <v>271</v>
      </c>
      <c r="Y152" t="s">
        <v>3958</v>
      </c>
      <c r="AA152" t="s">
        <v>3959</v>
      </c>
      <c r="AB152" t="s">
        <v>181</v>
      </c>
    </row>
    <row r="153" spans="1:28" x14ac:dyDescent="0.25">
      <c r="A153" t="s">
        <v>4177</v>
      </c>
      <c r="B153" t="s">
        <v>4178</v>
      </c>
      <c r="C153" t="s">
        <v>646</v>
      </c>
      <c r="D153" t="s">
        <v>3779</v>
      </c>
      <c r="E153" t="s">
        <v>647</v>
      </c>
      <c r="F153" t="s">
        <v>3780</v>
      </c>
      <c r="G153" t="s">
        <v>769</v>
      </c>
      <c r="H153" t="s">
        <v>708</v>
      </c>
      <c r="I153" t="s">
        <v>1190</v>
      </c>
      <c r="J153" t="s">
        <v>1191</v>
      </c>
      <c r="K153" t="s">
        <v>166</v>
      </c>
      <c r="L153" t="s">
        <v>0</v>
      </c>
      <c r="M153" t="s">
        <v>178</v>
      </c>
      <c r="N153">
        <v>9</v>
      </c>
      <c r="O153">
        <v>0</v>
      </c>
      <c r="P153">
        <v>54.6</v>
      </c>
      <c r="Q153">
        <v>290.64</v>
      </c>
      <c r="R153">
        <v>22.378611450000001</v>
      </c>
      <c r="S153">
        <v>0.39745254000000002</v>
      </c>
      <c r="T153">
        <v>-6.138855E-2</v>
      </c>
      <c r="U153">
        <v>0</v>
      </c>
      <c r="V153">
        <v>22.44</v>
      </c>
      <c r="W153" t="s">
        <v>282</v>
      </c>
      <c r="X153" t="s">
        <v>271</v>
      </c>
      <c r="Y153" t="s">
        <v>4059</v>
      </c>
      <c r="AA153" t="s">
        <v>2171</v>
      </c>
      <c r="AB153" t="s">
        <v>181</v>
      </c>
    </row>
    <row r="154" spans="1:28" x14ac:dyDescent="0.25">
      <c r="A154" t="s">
        <v>4078</v>
      </c>
      <c r="B154" t="s">
        <v>4079</v>
      </c>
      <c r="C154" t="s">
        <v>646</v>
      </c>
      <c r="D154" t="s">
        <v>3779</v>
      </c>
      <c r="E154" t="s">
        <v>647</v>
      </c>
      <c r="F154" t="s">
        <v>3780</v>
      </c>
      <c r="G154" t="s">
        <v>769</v>
      </c>
      <c r="H154" t="s">
        <v>672</v>
      </c>
      <c r="I154" t="s">
        <v>885</v>
      </c>
      <c r="J154" t="s">
        <v>324</v>
      </c>
      <c r="K154" t="s">
        <v>166</v>
      </c>
      <c r="L154" t="s">
        <v>0</v>
      </c>
      <c r="M154" t="s">
        <v>178</v>
      </c>
      <c r="N154">
        <v>51</v>
      </c>
      <c r="O154">
        <v>44</v>
      </c>
      <c r="P154">
        <v>964.5</v>
      </c>
      <c r="Q154">
        <v>1461.09</v>
      </c>
      <c r="R154">
        <v>144.23576933000001</v>
      </c>
      <c r="S154">
        <v>271.53547517999999</v>
      </c>
      <c r="T154">
        <v>109.68576933</v>
      </c>
      <c r="U154">
        <v>0</v>
      </c>
      <c r="V154">
        <v>34.549999999999997</v>
      </c>
      <c r="W154" t="s">
        <v>519</v>
      </c>
      <c r="X154" t="s">
        <v>271</v>
      </c>
      <c r="Y154" t="s">
        <v>4080</v>
      </c>
      <c r="AA154" t="s">
        <v>4081</v>
      </c>
      <c r="AB154" t="s">
        <v>181</v>
      </c>
    </row>
    <row r="155" spans="1:28" x14ac:dyDescent="0.25">
      <c r="A155" t="s">
        <v>4179</v>
      </c>
      <c r="B155" t="s">
        <v>4180</v>
      </c>
      <c r="C155" t="s">
        <v>646</v>
      </c>
      <c r="D155" t="s">
        <v>3779</v>
      </c>
      <c r="E155" t="s">
        <v>647</v>
      </c>
      <c r="F155" t="s">
        <v>3780</v>
      </c>
      <c r="G155" t="s">
        <v>769</v>
      </c>
      <c r="H155" t="s">
        <v>856</v>
      </c>
      <c r="I155" t="s">
        <v>4181</v>
      </c>
      <c r="J155" t="s">
        <v>816</v>
      </c>
      <c r="K155" t="s">
        <v>166</v>
      </c>
      <c r="L155" t="s">
        <v>0</v>
      </c>
      <c r="M155" t="s">
        <v>178</v>
      </c>
      <c r="N155">
        <v>4</v>
      </c>
      <c r="O155">
        <v>4</v>
      </c>
      <c r="P155">
        <v>40</v>
      </c>
      <c r="Q155">
        <v>372.08</v>
      </c>
      <c r="R155">
        <v>22.87</v>
      </c>
      <c r="S155">
        <v>22</v>
      </c>
      <c r="T155">
        <v>0</v>
      </c>
      <c r="U155">
        <v>0</v>
      </c>
      <c r="V155">
        <v>22.87</v>
      </c>
      <c r="W155" t="s">
        <v>1490</v>
      </c>
      <c r="X155" t="s">
        <v>271</v>
      </c>
      <c r="Y155" t="s">
        <v>4182</v>
      </c>
      <c r="AA155" t="s">
        <v>4183</v>
      </c>
      <c r="AB155" t="s">
        <v>181</v>
      </c>
    </row>
    <row r="156" spans="1:28" x14ac:dyDescent="0.25">
      <c r="A156" t="s">
        <v>4123</v>
      </c>
      <c r="B156" t="s">
        <v>4124</v>
      </c>
      <c r="C156" t="s">
        <v>646</v>
      </c>
      <c r="D156" t="s">
        <v>3779</v>
      </c>
      <c r="E156" t="s">
        <v>647</v>
      </c>
      <c r="F156" t="s">
        <v>3780</v>
      </c>
      <c r="G156" t="s">
        <v>769</v>
      </c>
      <c r="H156" t="s">
        <v>717</v>
      </c>
      <c r="I156" t="s">
        <v>746</v>
      </c>
      <c r="J156" t="s">
        <v>504</v>
      </c>
      <c r="K156" t="s">
        <v>166</v>
      </c>
      <c r="L156" t="s">
        <v>0</v>
      </c>
      <c r="M156" t="s">
        <v>178</v>
      </c>
      <c r="N156">
        <v>95</v>
      </c>
      <c r="O156">
        <v>10</v>
      </c>
      <c r="P156">
        <v>1336</v>
      </c>
      <c r="Q156">
        <v>3791.01</v>
      </c>
      <c r="R156">
        <v>104.93</v>
      </c>
      <c r="S156">
        <v>33.832221750000002</v>
      </c>
      <c r="T156">
        <v>0</v>
      </c>
      <c r="U156">
        <v>0</v>
      </c>
      <c r="V156">
        <v>104.93</v>
      </c>
      <c r="W156" t="s">
        <v>503</v>
      </c>
      <c r="X156" t="s">
        <v>271</v>
      </c>
      <c r="Y156" t="s">
        <v>4125</v>
      </c>
      <c r="AA156" t="s">
        <v>4126</v>
      </c>
      <c r="AB156" t="s">
        <v>181</v>
      </c>
    </row>
    <row r="157" spans="1:28" x14ac:dyDescent="0.25">
      <c r="A157" t="s">
        <v>3806</v>
      </c>
      <c r="B157" t="s">
        <v>3807</v>
      </c>
      <c r="C157" t="s">
        <v>646</v>
      </c>
      <c r="D157" t="s">
        <v>3779</v>
      </c>
      <c r="E157" t="s">
        <v>647</v>
      </c>
      <c r="F157" t="s">
        <v>3780</v>
      </c>
      <c r="G157" t="s">
        <v>769</v>
      </c>
      <c r="H157" t="s">
        <v>1159</v>
      </c>
      <c r="I157" t="s">
        <v>2071</v>
      </c>
      <c r="J157" t="s">
        <v>1664</v>
      </c>
      <c r="K157" t="s">
        <v>166</v>
      </c>
      <c r="L157" t="s">
        <v>0</v>
      </c>
      <c r="M157" t="s">
        <v>178</v>
      </c>
      <c r="N157">
        <v>7</v>
      </c>
      <c r="O157">
        <v>5</v>
      </c>
      <c r="P157">
        <v>73.3</v>
      </c>
      <c r="Q157">
        <v>384.98</v>
      </c>
      <c r="R157">
        <v>63.02</v>
      </c>
      <c r="S157">
        <v>67.153617089999997</v>
      </c>
      <c r="T157">
        <v>0</v>
      </c>
      <c r="U157">
        <v>0</v>
      </c>
      <c r="V157">
        <v>63.02</v>
      </c>
      <c r="W157" t="s">
        <v>1665</v>
      </c>
      <c r="X157" t="s">
        <v>271</v>
      </c>
      <c r="Y157" t="s">
        <v>3808</v>
      </c>
      <c r="AA157" t="s">
        <v>3809</v>
      </c>
      <c r="AB157" t="s">
        <v>181</v>
      </c>
    </row>
    <row r="158" spans="1:28" x14ac:dyDescent="0.25">
      <c r="A158" t="s">
        <v>4184</v>
      </c>
      <c r="B158" t="s">
        <v>4185</v>
      </c>
      <c r="C158" t="s">
        <v>646</v>
      </c>
      <c r="D158" t="s">
        <v>3779</v>
      </c>
      <c r="E158" t="s">
        <v>647</v>
      </c>
      <c r="F158" t="s">
        <v>3780</v>
      </c>
      <c r="G158" t="s">
        <v>769</v>
      </c>
      <c r="H158" t="s">
        <v>856</v>
      </c>
      <c r="I158" t="s">
        <v>4186</v>
      </c>
      <c r="J158" t="s">
        <v>1164</v>
      </c>
      <c r="K158" t="s">
        <v>166</v>
      </c>
      <c r="L158" t="s">
        <v>0</v>
      </c>
      <c r="M158" t="s">
        <v>178</v>
      </c>
      <c r="N158">
        <v>9</v>
      </c>
      <c r="O158">
        <v>9</v>
      </c>
      <c r="P158">
        <v>172.36</v>
      </c>
      <c r="Q158">
        <v>2483.4699999999998</v>
      </c>
      <c r="R158">
        <v>161.46</v>
      </c>
      <c r="S158">
        <v>46.537199999999999</v>
      </c>
      <c r="T158">
        <v>0</v>
      </c>
      <c r="U158">
        <v>0</v>
      </c>
      <c r="V158">
        <v>161.46</v>
      </c>
      <c r="W158" t="s">
        <v>1165</v>
      </c>
      <c r="X158" t="s">
        <v>271</v>
      </c>
      <c r="Y158" t="s">
        <v>4187</v>
      </c>
      <c r="AA158" t="s">
        <v>4188</v>
      </c>
      <c r="AB158" t="s">
        <v>181</v>
      </c>
    </row>
    <row r="159" spans="1:28" x14ac:dyDescent="0.25">
      <c r="A159" t="s">
        <v>4002</v>
      </c>
      <c r="B159" t="s">
        <v>4003</v>
      </c>
      <c r="C159" t="s">
        <v>646</v>
      </c>
      <c r="D159" t="s">
        <v>3779</v>
      </c>
      <c r="E159" t="s">
        <v>647</v>
      </c>
      <c r="F159" t="s">
        <v>3780</v>
      </c>
      <c r="G159" t="s">
        <v>769</v>
      </c>
      <c r="H159" t="s">
        <v>717</v>
      </c>
      <c r="I159" t="s">
        <v>2635</v>
      </c>
      <c r="J159" t="s">
        <v>2636</v>
      </c>
      <c r="K159" t="s">
        <v>166</v>
      </c>
      <c r="L159" t="s">
        <v>0</v>
      </c>
      <c r="M159" t="s">
        <v>178</v>
      </c>
      <c r="N159">
        <v>31</v>
      </c>
      <c r="O159">
        <v>31</v>
      </c>
      <c r="P159">
        <v>2402.6999999999998</v>
      </c>
      <c r="Q159">
        <v>6163.64</v>
      </c>
      <c r="R159">
        <v>1136.08</v>
      </c>
      <c r="S159">
        <v>650.11997397000005</v>
      </c>
      <c r="T159">
        <v>0</v>
      </c>
      <c r="U159">
        <v>0</v>
      </c>
      <c r="V159">
        <v>1136.08</v>
      </c>
      <c r="W159" t="s">
        <v>1609</v>
      </c>
      <c r="X159" t="s">
        <v>271</v>
      </c>
      <c r="Y159" t="s">
        <v>4004</v>
      </c>
      <c r="AA159" t="s">
        <v>4005</v>
      </c>
      <c r="AB159" t="s">
        <v>181</v>
      </c>
    </row>
    <row r="160" spans="1:28" x14ac:dyDescent="0.25">
      <c r="A160" t="s">
        <v>4189</v>
      </c>
      <c r="B160" t="s">
        <v>4190</v>
      </c>
      <c r="C160" t="s">
        <v>646</v>
      </c>
      <c r="D160" t="s">
        <v>3779</v>
      </c>
      <c r="E160" t="s">
        <v>647</v>
      </c>
      <c r="F160" t="s">
        <v>666</v>
      </c>
      <c r="G160" t="s">
        <v>666</v>
      </c>
      <c r="H160" t="s">
        <v>683</v>
      </c>
      <c r="I160" t="s">
        <v>4191</v>
      </c>
      <c r="J160" t="s">
        <v>355</v>
      </c>
      <c r="K160" t="s">
        <v>166</v>
      </c>
      <c r="L160" t="s">
        <v>0</v>
      </c>
      <c r="M160" t="s">
        <v>178</v>
      </c>
      <c r="N160">
        <v>79</v>
      </c>
      <c r="O160">
        <v>15</v>
      </c>
      <c r="P160">
        <v>782.25</v>
      </c>
      <c r="Q160">
        <v>3700.38</v>
      </c>
      <c r="R160">
        <v>948.29</v>
      </c>
      <c r="S160">
        <v>400.42875828000001</v>
      </c>
      <c r="T160">
        <v>0</v>
      </c>
      <c r="U160">
        <v>0</v>
      </c>
      <c r="V160">
        <v>948.29</v>
      </c>
      <c r="W160" t="s">
        <v>0</v>
      </c>
      <c r="X160" t="s">
        <v>271</v>
      </c>
      <c r="Y160" t="s">
        <v>4192</v>
      </c>
      <c r="AA160" t="s">
        <v>4193</v>
      </c>
      <c r="AB160" t="s">
        <v>181</v>
      </c>
    </row>
    <row r="161" spans="1:28" x14ac:dyDescent="0.25">
      <c r="A161" t="s">
        <v>3917</v>
      </c>
      <c r="B161" t="s">
        <v>3918</v>
      </c>
      <c r="C161" t="s">
        <v>646</v>
      </c>
      <c r="D161" t="s">
        <v>3779</v>
      </c>
      <c r="E161" t="s">
        <v>647</v>
      </c>
      <c r="F161" t="s">
        <v>3780</v>
      </c>
      <c r="G161" t="s">
        <v>769</v>
      </c>
      <c r="H161" t="s">
        <v>856</v>
      </c>
      <c r="I161" t="s">
        <v>1083</v>
      </c>
      <c r="J161" t="s">
        <v>731</v>
      </c>
      <c r="K161" t="s">
        <v>166</v>
      </c>
      <c r="L161" t="s">
        <v>0</v>
      </c>
      <c r="M161" t="s">
        <v>178</v>
      </c>
      <c r="N161">
        <v>3</v>
      </c>
      <c r="O161">
        <v>3</v>
      </c>
      <c r="P161">
        <v>57.1</v>
      </c>
      <c r="Q161">
        <v>770.86</v>
      </c>
      <c r="R161">
        <v>11.42</v>
      </c>
      <c r="S161">
        <v>15.417</v>
      </c>
      <c r="T161">
        <v>0</v>
      </c>
      <c r="U161">
        <v>0</v>
      </c>
      <c r="V161">
        <v>11.42</v>
      </c>
      <c r="W161" t="s">
        <v>0</v>
      </c>
      <c r="X161" t="s">
        <v>271</v>
      </c>
      <c r="Y161" t="s">
        <v>3919</v>
      </c>
      <c r="AA161" t="s">
        <v>3920</v>
      </c>
      <c r="AB161" t="s">
        <v>181</v>
      </c>
    </row>
    <row r="162" spans="1:28" x14ac:dyDescent="0.25">
      <c r="A162" t="s">
        <v>4194</v>
      </c>
      <c r="B162" t="s">
        <v>4195</v>
      </c>
      <c r="C162" t="s">
        <v>646</v>
      </c>
      <c r="D162" t="s">
        <v>3779</v>
      </c>
      <c r="E162" t="s">
        <v>647</v>
      </c>
      <c r="F162" t="s">
        <v>3780</v>
      </c>
      <c r="G162" t="s">
        <v>769</v>
      </c>
      <c r="H162" t="s">
        <v>1515</v>
      </c>
      <c r="I162" t="s">
        <v>1190</v>
      </c>
      <c r="J162" t="s">
        <v>1191</v>
      </c>
      <c r="K162" t="s">
        <v>166</v>
      </c>
      <c r="L162" t="s">
        <v>0</v>
      </c>
      <c r="M162" t="s">
        <v>178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 t="s">
        <v>282</v>
      </c>
      <c r="X162" t="s">
        <v>271</v>
      </c>
      <c r="Y162" t="s">
        <v>4059</v>
      </c>
      <c r="AA162" t="s">
        <v>2171</v>
      </c>
      <c r="AB162" t="s">
        <v>181</v>
      </c>
    </row>
    <row r="163" spans="1:28" x14ac:dyDescent="0.25">
      <c r="A163" t="s">
        <v>4132</v>
      </c>
      <c r="B163" t="s">
        <v>4133</v>
      </c>
      <c r="C163" t="s">
        <v>646</v>
      </c>
      <c r="D163" t="s">
        <v>3779</v>
      </c>
      <c r="E163" t="s">
        <v>647</v>
      </c>
      <c r="F163" t="s">
        <v>666</v>
      </c>
      <c r="G163" t="s">
        <v>666</v>
      </c>
      <c r="H163" t="s">
        <v>1515</v>
      </c>
      <c r="I163" t="s">
        <v>3911</v>
      </c>
      <c r="J163" t="s">
        <v>355</v>
      </c>
      <c r="K163" t="s">
        <v>166</v>
      </c>
      <c r="L163" t="s">
        <v>0</v>
      </c>
      <c r="M163" t="s">
        <v>178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0</v>
      </c>
      <c r="X163" t="s">
        <v>271</v>
      </c>
      <c r="Y163" t="s">
        <v>4134</v>
      </c>
      <c r="AA163" t="s">
        <v>3894</v>
      </c>
      <c r="AB163" t="s">
        <v>181</v>
      </c>
    </row>
    <row r="164" spans="1:28" x14ac:dyDescent="0.25">
      <c r="A164" t="s">
        <v>4196</v>
      </c>
      <c r="B164" t="s">
        <v>4197</v>
      </c>
      <c r="C164" t="s">
        <v>646</v>
      </c>
      <c r="D164" t="s">
        <v>3779</v>
      </c>
      <c r="E164" t="s">
        <v>647</v>
      </c>
      <c r="F164" t="s">
        <v>3780</v>
      </c>
      <c r="G164" t="s">
        <v>769</v>
      </c>
      <c r="H164" t="s">
        <v>1515</v>
      </c>
      <c r="I164" t="s">
        <v>4198</v>
      </c>
      <c r="J164" t="s">
        <v>870</v>
      </c>
      <c r="K164" t="s">
        <v>166</v>
      </c>
      <c r="L164" t="s">
        <v>0</v>
      </c>
      <c r="M164" t="s">
        <v>178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871</v>
      </c>
      <c r="X164" t="s">
        <v>271</v>
      </c>
      <c r="Y164" t="s">
        <v>4199</v>
      </c>
      <c r="AA164" t="s">
        <v>4200</v>
      </c>
      <c r="AB164" t="s">
        <v>181</v>
      </c>
    </row>
    <row r="165" spans="1:28" x14ac:dyDescent="0.25">
      <c r="A165" t="s">
        <v>4201</v>
      </c>
      <c r="B165" t="s">
        <v>4202</v>
      </c>
      <c r="C165" t="s">
        <v>646</v>
      </c>
      <c r="D165" t="s">
        <v>3779</v>
      </c>
      <c r="E165" t="s">
        <v>647</v>
      </c>
      <c r="F165" t="s">
        <v>3780</v>
      </c>
      <c r="G165" t="s">
        <v>769</v>
      </c>
      <c r="H165" t="s">
        <v>1515</v>
      </c>
      <c r="I165" t="s">
        <v>4203</v>
      </c>
      <c r="J165" t="s">
        <v>688</v>
      </c>
      <c r="K165" t="s">
        <v>166</v>
      </c>
      <c r="L165" t="s">
        <v>0</v>
      </c>
      <c r="M165" t="s">
        <v>178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0</v>
      </c>
      <c r="X165" t="s">
        <v>271</v>
      </c>
      <c r="Y165" t="s">
        <v>4204</v>
      </c>
      <c r="AA165" t="s">
        <v>4205</v>
      </c>
      <c r="AB165" t="s">
        <v>181</v>
      </c>
    </row>
    <row r="166" spans="1:28" x14ac:dyDescent="0.25">
      <c r="A166" t="s">
        <v>3849</v>
      </c>
      <c r="B166" t="s">
        <v>3850</v>
      </c>
      <c r="C166" t="s">
        <v>646</v>
      </c>
      <c r="D166" t="s">
        <v>3779</v>
      </c>
      <c r="E166" t="s">
        <v>647</v>
      </c>
      <c r="F166" t="s">
        <v>3780</v>
      </c>
      <c r="G166" t="s">
        <v>769</v>
      </c>
      <c r="H166" t="s">
        <v>672</v>
      </c>
      <c r="I166" t="s">
        <v>1184</v>
      </c>
      <c r="J166" t="s">
        <v>1185</v>
      </c>
      <c r="K166" t="s">
        <v>166</v>
      </c>
      <c r="L166" t="s">
        <v>0</v>
      </c>
      <c r="M166" t="s">
        <v>178</v>
      </c>
      <c r="N166">
        <v>18</v>
      </c>
      <c r="O166">
        <v>18</v>
      </c>
      <c r="P166">
        <v>540</v>
      </c>
      <c r="Q166">
        <v>389.03</v>
      </c>
      <c r="R166">
        <v>21.606111840000001</v>
      </c>
      <c r="S166">
        <v>74.316890330000007</v>
      </c>
      <c r="T166">
        <v>4.6111840000000001E-2</v>
      </c>
      <c r="U166">
        <v>0</v>
      </c>
      <c r="V166">
        <v>21.56</v>
      </c>
      <c r="W166" t="s">
        <v>1186</v>
      </c>
      <c r="X166" t="s">
        <v>271</v>
      </c>
      <c r="Y166" t="s">
        <v>3851</v>
      </c>
      <c r="AA166" t="s">
        <v>3852</v>
      </c>
      <c r="AB166" t="s">
        <v>181</v>
      </c>
    </row>
    <row r="167" spans="1:28" x14ac:dyDescent="0.25">
      <c r="A167" t="s">
        <v>4035</v>
      </c>
      <c r="B167" t="s">
        <v>4036</v>
      </c>
      <c r="C167" t="s">
        <v>646</v>
      </c>
      <c r="D167" t="s">
        <v>3779</v>
      </c>
      <c r="E167" t="s">
        <v>647</v>
      </c>
      <c r="F167" t="s">
        <v>3780</v>
      </c>
      <c r="G167" t="s">
        <v>769</v>
      </c>
      <c r="H167" t="s">
        <v>730</v>
      </c>
      <c r="I167" t="s">
        <v>3464</v>
      </c>
      <c r="J167" t="s">
        <v>688</v>
      </c>
      <c r="K167" t="s">
        <v>166</v>
      </c>
      <c r="L167" t="s">
        <v>0</v>
      </c>
      <c r="M167" t="s">
        <v>178</v>
      </c>
      <c r="N167">
        <v>439</v>
      </c>
      <c r="O167">
        <v>22</v>
      </c>
      <c r="P167">
        <v>12483.42</v>
      </c>
      <c r="Q167">
        <v>25812.83</v>
      </c>
      <c r="R167">
        <v>2601.6762597500001</v>
      </c>
      <c r="S167">
        <v>133.83326252000001</v>
      </c>
      <c r="T167">
        <v>29709.356259749999</v>
      </c>
      <c r="U167">
        <v>0</v>
      </c>
      <c r="V167">
        <v>2726.06</v>
      </c>
      <c r="W167" t="s">
        <v>0</v>
      </c>
      <c r="X167" t="s">
        <v>271</v>
      </c>
      <c r="Y167" t="s">
        <v>4037</v>
      </c>
      <c r="AA167" t="s">
        <v>4038</v>
      </c>
      <c r="AB167" t="s">
        <v>181</v>
      </c>
    </row>
    <row r="168" spans="1:28" x14ac:dyDescent="0.25">
      <c r="A168" t="s">
        <v>3849</v>
      </c>
      <c r="B168" t="s">
        <v>3850</v>
      </c>
      <c r="C168" t="s">
        <v>646</v>
      </c>
      <c r="D168" t="s">
        <v>3779</v>
      </c>
      <c r="E168" t="s">
        <v>647</v>
      </c>
      <c r="F168" t="s">
        <v>3780</v>
      </c>
      <c r="G168" t="s">
        <v>769</v>
      </c>
      <c r="H168" t="s">
        <v>703</v>
      </c>
      <c r="I168" t="s">
        <v>1184</v>
      </c>
      <c r="J168" t="s">
        <v>1185</v>
      </c>
      <c r="K168" t="s">
        <v>166</v>
      </c>
      <c r="L168" t="s">
        <v>0</v>
      </c>
      <c r="M168" t="s">
        <v>178</v>
      </c>
      <c r="N168">
        <v>192.50020000000001</v>
      </c>
      <c r="O168">
        <v>127.0835</v>
      </c>
      <c r="P168">
        <v>4721.82</v>
      </c>
      <c r="Q168">
        <v>6251.67</v>
      </c>
      <c r="R168">
        <v>1271.2059418399999</v>
      </c>
      <c r="S168">
        <v>1528.79155769</v>
      </c>
      <c r="T168">
        <v>2.5941840000000001E-2</v>
      </c>
      <c r="U168">
        <v>0</v>
      </c>
      <c r="V168">
        <v>1271.18</v>
      </c>
      <c r="W168" t="s">
        <v>1186</v>
      </c>
      <c r="X168" t="s">
        <v>271</v>
      </c>
      <c r="Y168" t="s">
        <v>3851</v>
      </c>
      <c r="AA168" t="s">
        <v>3852</v>
      </c>
      <c r="AB168" t="s">
        <v>181</v>
      </c>
    </row>
    <row r="169" spans="1:28" x14ac:dyDescent="0.25">
      <c r="A169" t="s">
        <v>3838</v>
      </c>
      <c r="B169" t="s">
        <v>3839</v>
      </c>
      <c r="C169" t="s">
        <v>646</v>
      </c>
      <c r="D169" t="s">
        <v>3779</v>
      </c>
      <c r="E169" t="s">
        <v>647</v>
      </c>
      <c r="F169" t="s">
        <v>3780</v>
      </c>
      <c r="G169" t="s">
        <v>769</v>
      </c>
      <c r="H169" t="s">
        <v>683</v>
      </c>
      <c r="I169" t="s">
        <v>906</v>
      </c>
      <c r="J169" t="s">
        <v>907</v>
      </c>
      <c r="K169" t="s">
        <v>166</v>
      </c>
      <c r="L169" t="s">
        <v>0</v>
      </c>
      <c r="M169" t="s">
        <v>178</v>
      </c>
      <c r="N169">
        <v>234.5</v>
      </c>
      <c r="O169">
        <v>185.5</v>
      </c>
      <c r="P169">
        <v>3793.73</v>
      </c>
      <c r="Q169">
        <v>7970.28</v>
      </c>
      <c r="R169">
        <v>1527.15</v>
      </c>
      <c r="S169">
        <v>1922.07501271</v>
      </c>
      <c r="T169">
        <v>0</v>
      </c>
      <c r="U169">
        <v>0</v>
      </c>
      <c r="V169">
        <v>1527.15</v>
      </c>
      <c r="W169" t="s">
        <v>272</v>
      </c>
      <c r="X169" t="s">
        <v>269</v>
      </c>
      <c r="Y169" t="s">
        <v>3840</v>
      </c>
      <c r="AA169" t="s">
        <v>3841</v>
      </c>
      <c r="AB169" t="s">
        <v>181</v>
      </c>
    </row>
    <row r="170" spans="1:28" x14ac:dyDescent="0.25">
      <c r="A170" t="s">
        <v>3870</v>
      </c>
      <c r="B170" t="s">
        <v>3871</v>
      </c>
      <c r="C170" t="s">
        <v>646</v>
      </c>
      <c r="D170" t="s">
        <v>3779</v>
      </c>
      <c r="E170" t="s">
        <v>647</v>
      </c>
      <c r="F170" t="s">
        <v>666</v>
      </c>
      <c r="G170" t="s">
        <v>666</v>
      </c>
      <c r="H170" t="s">
        <v>708</v>
      </c>
      <c r="I170" t="s">
        <v>3872</v>
      </c>
      <c r="J170" t="s">
        <v>355</v>
      </c>
      <c r="K170" t="s">
        <v>166</v>
      </c>
      <c r="L170" t="s">
        <v>0</v>
      </c>
      <c r="M170" t="s">
        <v>178</v>
      </c>
      <c r="N170">
        <v>356</v>
      </c>
      <c r="O170">
        <v>57</v>
      </c>
      <c r="P170">
        <v>632.91999999999996</v>
      </c>
      <c r="Q170">
        <v>4847.45</v>
      </c>
      <c r="R170">
        <v>833.13903631999995</v>
      </c>
      <c r="S170">
        <v>353.75263704999998</v>
      </c>
      <c r="T170">
        <v>-0.59096367999999999</v>
      </c>
      <c r="U170">
        <v>0</v>
      </c>
      <c r="V170">
        <v>833.73</v>
      </c>
      <c r="W170" t="s">
        <v>0</v>
      </c>
      <c r="X170" t="s">
        <v>271</v>
      </c>
      <c r="Y170" t="s">
        <v>3873</v>
      </c>
      <c r="AA170" t="s">
        <v>3874</v>
      </c>
      <c r="AB170" t="s">
        <v>181</v>
      </c>
    </row>
    <row r="171" spans="1:28" x14ac:dyDescent="0.25">
      <c r="A171" t="s">
        <v>4206</v>
      </c>
      <c r="B171" t="s">
        <v>4207</v>
      </c>
      <c r="C171" t="s">
        <v>646</v>
      </c>
      <c r="D171" t="s">
        <v>3779</v>
      </c>
      <c r="E171" t="s">
        <v>647</v>
      </c>
      <c r="F171" t="s">
        <v>3780</v>
      </c>
      <c r="G171" t="s">
        <v>769</v>
      </c>
      <c r="H171" t="s">
        <v>713</v>
      </c>
      <c r="I171" t="s">
        <v>4208</v>
      </c>
      <c r="J171" t="s">
        <v>317</v>
      </c>
      <c r="K171" t="s">
        <v>166</v>
      </c>
      <c r="L171" t="s">
        <v>0</v>
      </c>
      <c r="M171" t="s">
        <v>178</v>
      </c>
      <c r="N171">
        <v>163</v>
      </c>
      <c r="O171">
        <v>49</v>
      </c>
      <c r="P171">
        <v>3935.16</v>
      </c>
      <c r="Q171">
        <v>2176.5100000000002</v>
      </c>
      <c r="R171">
        <v>557.12</v>
      </c>
      <c r="S171">
        <v>187.76362627</v>
      </c>
      <c r="T171">
        <v>0</v>
      </c>
      <c r="U171">
        <v>0</v>
      </c>
      <c r="V171">
        <v>557.12</v>
      </c>
      <c r="W171" t="s">
        <v>340</v>
      </c>
      <c r="X171" t="s">
        <v>271</v>
      </c>
      <c r="Y171" t="s">
        <v>4209</v>
      </c>
      <c r="AA171" t="s">
        <v>4210</v>
      </c>
      <c r="AB171" t="s">
        <v>181</v>
      </c>
    </row>
    <row r="172" spans="1:28" x14ac:dyDescent="0.25">
      <c r="A172" t="s">
        <v>3857</v>
      </c>
      <c r="B172" t="s">
        <v>3858</v>
      </c>
      <c r="C172" t="s">
        <v>646</v>
      </c>
      <c r="D172" t="s">
        <v>3779</v>
      </c>
      <c r="E172" t="s">
        <v>647</v>
      </c>
      <c r="F172" t="s">
        <v>3780</v>
      </c>
      <c r="G172" t="s">
        <v>769</v>
      </c>
      <c r="H172" t="s">
        <v>708</v>
      </c>
      <c r="I172" t="s">
        <v>952</v>
      </c>
      <c r="J172" t="s">
        <v>434</v>
      </c>
      <c r="K172" t="s">
        <v>166</v>
      </c>
      <c r="L172" t="s">
        <v>0</v>
      </c>
      <c r="M172" t="s">
        <v>178</v>
      </c>
      <c r="N172">
        <v>27</v>
      </c>
      <c r="O172">
        <v>27</v>
      </c>
      <c r="P172">
        <v>66.69</v>
      </c>
      <c r="Q172">
        <v>474.56</v>
      </c>
      <c r="R172">
        <v>27.63</v>
      </c>
      <c r="S172">
        <v>39.257857940000001</v>
      </c>
      <c r="T172">
        <v>0</v>
      </c>
      <c r="U172">
        <v>0</v>
      </c>
      <c r="V172">
        <v>27.63</v>
      </c>
      <c r="W172" t="s">
        <v>466</v>
      </c>
      <c r="X172" t="s">
        <v>271</v>
      </c>
      <c r="Y172" t="s">
        <v>3859</v>
      </c>
      <c r="AA172" t="s">
        <v>3860</v>
      </c>
      <c r="AB172" t="s">
        <v>181</v>
      </c>
    </row>
    <row r="173" spans="1:28" x14ac:dyDescent="0.25">
      <c r="A173" t="s">
        <v>4015</v>
      </c>
      <c r="B173" t="s">
        <v>4016</v>
      </c>
      <c r="C173" t="s">
        <v>646</v>
      </c>
      <c r="D173" t="s">
        <v>3779</v>
      </c>
      <c r="E173" t="s">
        <v>647</v>
      </c>
      <c r="F173" t="s">
        <v>3780</v>
      </c>
      <c r="G173" t="s">
        <v>769</v>
      </c>
      <c r="H173" t="s">
        <v>802</v>
      </c>
      <c r="I173" t="s">
        <v>4017</v>
      </c>
      <c r="J173" t="s">
        <v>4018</v>
      </c>
      <c r="K173" t="s">
        <v>166</v>
      </c>
      <c r="L173" t="s">
        <v>0</v>
      </c>
      <c r="M173" t="s">
        <v>178</v>
      </c>
      <c r="N173">
        <v>38.791600000000003</v>
      </c>
      <c r="O173">
        <v>30.7499</v>
      </c>
      <c r="P173">
        <v>459.97</v>
      </c>
      <c r="Q173">
        <v>1849.34</v>
      </c>
      <c r="R173">
        <v>344.73</v>
      </c>
      <c r="S173">
        <v>179.06801066</v>
      </c>
      <c r="T173">
        <v>0</v>
      </c>
      <c r="U173">
        <v>0</v>
      </c>
      <c r="V173">
        <v>344.73</v>
      </c>
      <c r="W173" t="s">
        <v>4019</v>
      </c>
      <c r="X173" t="s">
        <v>271</v>
      </c>
      <c r="Y173" t="s">
        <v>4020</v>
      </c>
      <c r="AA173" t="s">
        <v>4021</v>
      </c>
      <c r="AB173" t="s">
        <v>181</v>
      </c>
    </row>
    <row r="174" spans="1:28" x14ac:dyDescent="0.25">
      <c r="A174" t="s">
        <v>4155</v>
      </c>
      <c r="B174" t="s">
        <v>4156</v>
      </c>
      <c r="C174" t="s">
        <v>646</v>
      </c>
      <c r="D174" t="s">
        <v>3779</v>
      </c>
      <c r="E174" t="s">
        <v>647</v>
      </c>
      <c r="F174" t="s">
        <v>3780</v>
      </c>
      <c r="G174" t="s">
        <v>769</v>
      </c>
      <c r="H174" t="s">
        <v>802</v>
      </c>
      <c r="I174" t="s">
        <v>885</v>
      </c>
      <c r="J174" t="s">
        <v>324</v>
      </c>
      <c r="K174" t="s">
        <v>166</v>
      </c>
      <c r="L174" t="s">
        <v>0</v>
      </c>
      <c r="M174" t="s">
        <v>178</v>
      </c>
      <c r="N174">
        <v>369.25</v>
      </c>
      <c r="O174">
        <v>326</v>
      </c>
      <c r="P174">
        <v>6139.16</v>
      </c>
      <c r="Q174">
        <v>15785.35</v>
      </c>
      <c r="R174">
        <v>2168.06</v>
      </c>
      <c r="S174">
        <v>1730.38370171</v>
      </c>
      <c r="T174">
        <v>0</v>
      </c>
      <c r="U174">
        <v>0</v>
      </c>
      <c r="V174">
        <v>2168.06</v>
      </c>
      <c r="W174" t="s">
        <v>519</v>
      </c>
      <c r="X174" t="s">
        <v>271</v>
      </c>
      <c r="Y174" t="s">
        <v>4157</v>
      </c>
      <c r="AA174" t="s">
        <v>4158</v>
      </c>
      <c r="AB174" t="s">
        <v>181</v>
      </c>
    </row>
    <row r="175" spans="1:28" x14ac:dyDescent="0.25">
      <c r="A175" t="s">
        <v>4211</v>
      </c>
      <c r="B175" t="s">
        <v>4212</v>
      </c>
      <c r="C175" t="s">
        <v>646</v>
      </c>
      <c r="D175" t="s">
        <v>3779</v>
      </c>
      <c r="E175" t="s">
        <v>647</v>
      </c>
      <c r="F175" t="s">
        <v>3780</v>
      </c>
      <c r="G175" t="s">
        <v>769</v>
      </c>
      <c r="H175" t="s">
        <v>649</v>
      </c>
      <c r="I175" t="s">
        <v>4213</v>
      </c>
      <c r="J175" t="s">
        <v>437</v>
      </c>
      <c r="K175" t="s">
        <v>166</v>
      </c>
      <c r="L175" t="s">
        <v>0</v>
      </c>
      <c r="M175" t="s">
        <v>178</v>
      </c>
      <c r="N175">
        <v>140</v>
      </c>
      <c r="O175">
        <v>108</v>
      </c>
      <c r="P175">
        <v>2687.01</v>
      </c>
      <c r="Q175">
        <v>8819.98</v>
      </c>
      <c r="R175">
        <v>787.01</v>
      </c>
      <c r="S175">
        <v>739.52291918000003</v>
      </c>
      <c r="T175">
        <v>0</v>
      </c>
      <c r="U175">
        <v>0</v>
      </c>
      <c r="V175">
        <v>787.01</v>
      </c>
      <c r="W175" t="s">
        <v>510</v>
      </c>
      <c r="X175" t="s">
        <v>271</v>
      </c>
      <c r="Y175" t="s">
        <v>4214</v>
      </c>
      <c r="Z175" t="s">
        <v>4175</v>
      </c>
      <c r="AA175" t="s">
        <v>4215</v>
      </c>
      <c r="AB175" t="s">
        <v>181</v>
      </c>
    </row>
    <row r="176" spans="1:28" x14ac:dyDescent="0.25">
      <c r="A176" t="s">
        <v>4216</v>
      </c>
      <c r="B176" t="s">
        <v>4217</v>
      </c>
      <c r="C176" t="s">
        <v>646</v>
      </c>
      <c r="D176" t="s">
        <v>3779</v>
      </c>
      <c r="E176" t="s">
        <v>647</v>
      </c>
      <c r="F176" t="s">
        <v>666</v>
      </c>
      <c r="G176" t="s">
        <v>666</v>
      </c>
      <c r="H176" t="s">
        <v>649</v>
      </c>
      <c r="I176" t="s">
        <v>1636</v>
      </c>
      <c r="J176" t="s">
        <v>1637</v>
      </c>
      <c r="K176" t="s">
        <v>166</v>
      </c>
      <c r="L176" t="s">
        <v>0</v>
      </c>
      <c r="M176" t="s">
        <v>178</v>
      </c>
      <c r="N176">
        <v>533</v>
      </c>
      <c r="O176">
        <v>504</v>
      </c>
      <c r="P176">
        <v>16742.03</v>
      </c>
      <c r="Q176">
        <v>30101.13</v>
      </c>
      <c r="R176">
        <v>2718.92</v>
      </c>
      <c r="S176">
        <v>1597.8676437199999</v>
      </c>
      <c r="T176">
        <v>22.92</v>
      </c>
      <c r="U176">
        <v>0</v>
      </c>
      <c r="V176">
        <v>2718.92</v>
      </c>
      <c r="W176" t="s">
        <v>1638</v>
      </c>
      <c r="X176" t="s">
        <v>271</v>
      </c>
      <c r="Y176" t="s">
        <v>1639</v>
      </c>
      <c r="AA176" t="s">
        <v>4218</v>
      </c>
      <c r="AB176" t="s">
        <v>181</v>
      </c>
    </row>
    <row r="177" spans="1:28" x14ac:dyDescent="0.25">
      <c r="A177" t="s">
        <v>3823</v>
      </c>
      <c r="B177" t="s">
        <v>3824</v>
      </c>
      <c r="C177" t="s">
        <v>646</v>
      </c>
      <c r="D177" t="s">
        <v>3779</v>
      </c>
      <c r="E177" t="s">
        <v>647</v>
      </c>
      <c r="F177" t="s">
        <v>3780</v>
      </c>
      <c r="G177" t="s">
        <v>769</v>
      </c>
      <c r="H177" t="s">
        <v>730</v>
      </c>
      <c r="I177" t="s">
        <v>1801</v>
      </c>
      <c r="J177" t="s">
        <v>437</v>
      </c>
      <c r="K177" t="s">
        <v>166</v>
      </c>
      <c r="L177" t="s">
        <v>0</v>
      </c>
      <c r="M177" t="s">
        <v>178</v>
      </c>
      <c r="N177">
        <v>91</v>
      </c>
      <c r="O177">
        <v>47</v>
      </c>
      <c r="P177">
        <v>2625.41</v>
      </c>
      <c r="Q177">
        <v>4858.37</v>
      </c>
      <c r="R177">
        <v>721.96198282</v>
      </c>
      <c r="S177">
        <v>201.81979113</v>
      </c>
      <c r="T177">
        <v>372.89198282000001</v>
      </c>
      <c r="U177">
        <v>0</v>
      </c>
      <c r="V177">
        <v>780.77</v>
      </c>
      <c r="W177" t="s">
        <v>510</v>
      </c>
      <c r="X177" t="s">
        <v>271</v>
      </c>
      <c r="Y177" t="s">
        <v>3825</v>
      </c>
      <c r="AA177" t="s">
        <v>3826</v>
      </c>
      <c r="AB177" t="s">
        <v>181</v>
      </c>
    </row>
    <row r="178" spans="1:28" x14ac:dyDescent="0.25">
      <c r="A178" t="s">
        <v>4219</v>
      </c>
      <c r="B178" t="s">
        <v>4220</v>
      </c>
      <c r="C178" t="s">
        <v>646</v>
      </c>
      <c r="D178" t="s">
        <v>3779</v>
      </c>
      <c r="E178" t="s">
        <v>647</v>
      </c>
      <c r="F178" t="s">
        <v>3780</v>
      </c>
      <c r="G178" t="s">
        <v>769</v>
      </c>
      <c r="H178" t="s">
        <v>713</v>
      </c>
      <c r="I178" t="s">
        <v>1208</v>
      </c>
      <c r="J178" t="s">
        <v>1209</v>
      </c>
      <c r="K178" t="s">
        <v>166</v>
      </c>
      <c r="L178" t="s">
        <v>0</v>
      </c>
      <c r="M178" t="s">
        <v>178</v>
      </c>
      <c r="N178">
        <v>257</v>
      </c>
      <c r="O178">
        <v>186</v>
      </c>
      <c r="P178">
        <v>7947.8</v>
      </c>
      <c r="Q178">
        <v>8169.03</v>
      </c>
      <c r="R178">
        <v>2260.88</v>
      </c>
      <c r="S178">
        <v>1040.0114570000001</v>
      </c>
      <c r="T178">
        <v>0</v>
      </c>
      <c r="U178">
        <v>0</v>
      </c>
      <c r="V178">
        <v>2260.88</v>
      </c>
      <c r="W178" t="s">
        <v>1210</v>
      </c>
      <c r="X178" t="s">
        <v>271</v>
      </c>
      <c r="Y178" t="s">
        <v>4221</v>
      </c>
      <c r="AA178" t="s">
        <v>4222</v>
      </c>
      <c r="AB178" t="s">
        <v>181</v>
      </c>
    </row>
    <row r="179" spans="1:28" x14ac:dyDescent="0.25">
      <c r="A179" t="s">
        <v>4022</v>
      </c>
      <c r="B179" t="s">
        <v>4023</v>
      </c>
      <c r="C179" t="s">
        <v>646</v>
      </c>
      <c r="D179" t="s">
        <v>3779</v>
      </c>
      <c r="E179" t="s">
        <v>647</v>
      </c>
      <c r="F179" t="s">
        <v>3780</v>
      </c>
      <c r="G179" t="s">
        <v>769</v>
      </c>
      <c r="H179" t="s">
        <v>856</v>
      </c>
      <c r="I179" t="s">
        <v>4024</v>
      </c>
      <c r="J179" t="s">
        <v>447</v>
      </c>
      <c r="K179" t="s">
        <v>166</v>
      </c>
      <c r="L179" t="s">
        <v>0</v>
      </c>
      <c r="M179" t="s">
        <v>178</v>
      </c>
      <c r="N179">
        <v>15</v>
      </c>
      <c r="O179">
        <v>6</v>
      </c>
      <c r="P179">
        <v>230.3</v>
      </c>
      <c r="Q179">
        <v>2093.7600000000002</v>
      </c>
      <c r="R179">
        <v>253.41</v>
      </c>
      <c r="S179">
        <v>49.1806883</v>
      </c>
      <c r="T179">
        <v>0</v>
      </c>
      <c r="U179">
        <v>0</v>
      </c>
      <c r="V179">
        <v>253.41</v>
      </c>
      <c r="W179" t="s">
        <v>446</v>
      </c>
      <c r="X179" t="s">
        <v>271</v>
      </c>
      <c r="Y179" t="s">
        <v>4025</v>
      </c>
      <c r="AA179" t="s">
        <v>4026</v>
      </c>
      <c r="AB179" t="s">
        <v>181</v>
      </c>
    </row>
    <row r="180" spans="1:28" x14ac:dyDescent="0.25">
      <c r="A180" t="s">
        <v>4119</v>
      </c>
      <c r="B180" t="s">
        <v>4120</v>
      </c>
      <c r="C180" t="s">
        <v>646</v>
      </c>
      <c r="D180" t="s">
        <v>3779</v>
      </c>
      <c r="E180" t="s">
        <v>647</v>
      </c>
      <c r="F180" t="s">
        <v>3780</v>
      </c>
      <c r="G180" t="s">
        <v>769</v>
      </c>
      <c r="H180" t="s">
        <v>909</v>
      </c>
      <c r="I180" t="s">
        <v>1374</v>
      </c>
      <c r="J180" t="s">
        <v>441</v>
      </c>
      <c r="K180" t="s">
        <v>166</v>
      </c>
      <c r="L180" t="s">
        <v>0</v>
      </c>
      <c r="M180" t="s">
        <v>178</v>
      </c>
      <c r="N180">
        <v>108.25</v>
      </c>
      <c r="O180">
        <v>102</v>
      </c>
      <c r="P180">
        <v>3761.39</v>
      </c>
      <c r="Q180">
        <v>3519.61</v>
      </c>
      <c r="R180">
        <v>508.38476946999998</v>
      </c>
      <c r="S180">
        <v>809.15538122999999</v>
      </c>
      <c r="T180">
        <v>0.20476947000000001</v>
      </c>
      <c r="U180">
        <v>0</v>
      </c>
      <c r="V180">
        <v>508.18</v>
      </c>
      <c r="W180" t="s">
        <v>440</v>
      </c>
      <c r="X180" t="s">
        <v>271</v>
      </c>
      <c r="Y180" t="s">
        <v>4121</v>
      </c>
      <c r="AA180" t="s">
        <v>4122</v>
      </c>
      <c r="AB180" t="s">
        <v>181</v>
      </c>
    </row>
    <row r="181" spans="1:28" x14ac:dyDescent="0.25">
      <c r="A181" t="s">
        <v>3977</v>
      </c>
      <c r="B181" t="s">
        <v>3978</v>
      </c>
      <c r="C181" t="s">
        <v>646</v>
      </c>
      <c r="D181" t="s">
        <v>3779</v>
      </c>
      <c r="E181" t="s">
        <v>647</v>
      </c>
      <c r="F181" t="s">
        <v>3780</v>
      </c>
      <c r="G181" t="s">
        <v>769</v>
      </c>
      <c r="H181" t="s">
        <v>770</v>
      </c>
      <c r="I181" t="s">
        <v>1489</v>
      </c>
      <c r="J181" t="s">
        <v>816</v>
      </c>
      <c r="K181" t="s">
        <v>166</v>
      </c>
      <c r="L181" t="s">
        <v>0</v>
      </c>
      <c r="M181" t="s">
        <v>178</v>
      </c>
      <c r="N181">
        <v>30</v>
      </c>
      <c r="O181">
        <v>23</v>
      </c>
      <c r="P181">
        <v>230.5</v>
      </c>
      <c r="Q181">
        <v>595.41</v>
      </c>
      <c r="R181">
        <v>98.2</v>
      </c>
      <c r="S181">
        <v>71.736837320000006</v>
      </c>
      <c r="T181">
        <v>0</v>
      </c>
      <c r="U181">
        <v>0</v>
      </c>
      <c r="V181">
        <v>98.2</v>
      </c>
      <c r="W181" t="s">
        <v>817</v>
      </c>
      <c r="X181" t="s">
        <v>271</v>
      </c>
      <c r="Y181" t="s">
        <v>3979</v>
      </c>
      <c r="AA181" t="s">
        <v>3980</v>
      </c>
      <c r="AB181" t="s">
        <v>181</v>
      </c>
    </row>
    <row r="182" spans="1:28" x14ac:dyDescent="0.25">
      <c r="A182" t="s">
        <v>3834</v>
      </c>
      <c r="B182" t="s">
        <v>3835</v>
      </c>
      <c r="C182" t="s">
        <v>646</v>
      </c>
      <c r="D182" t="s">
        <v>3779</v>
      </c>
      <c r="E182" t="s">
        <v>647</v>
      </c>
      <c r="F182" t="s">
        <v>3780</v>
      </c>
      <c r="G182" t="s">
        <v>769</v>
      </c>
      <c r="H182" t="s">
        <v>683</v>
      </c>
      <c r="I182" t="s">
        <v>1251</v>
      </c>
      <c r="J182" t="s">
        <v>821</v>
      </c>
      <c r="K182" t="s">
        <v>166</v>
      </c>
      <c r="L182" t="s">
        <v>0</v>
      </c>
      <c r="M182" t="s">
        <v>178</v>
      </c>
      <c r="N182">
        <v>59</v>
      </c>
      <c r="O182">
        <v>54</v>
      </c>
      <c r="P182">
        <v>1154.9000000000001</v>
      </c>
      <c r="Q182">
        <v>2388.65</v>
      </c>
      <c r="R182">
        <v>750.47</v>
      </c>
      <c r="S182">
        <v>474.99024909000002</v>
      </c>
      <c r="T182">
        <v>0</v>
      </c>
      <c r="U182">
        <v>0</v>
      </c>
      <c r="V182">
        <v>750.47</v>
      </c>
      <c r="W182" t="s">
        <v>822</v>
      </c>
      <c r="X182" t="s">
        <v>269</v>
      </c>
      <c r="Y182" t="s">
        <v>3836</v>
      </c>
      <c r="AA182" t="s">
        <v>3837</v>
      </c>
      <c r="AB182" t="s">
        <v>181</v>
      </c>
    </row>
    <row r="183" spans="1:28" x14ac:dyDescent="0.25">
      <c r="A183" t="s">
        <v>3921</v>
      </c>
      <c r="B183" t="s">
        <v>3922</v>
      </c>
      <c r="C183" t="s">
        <v>646</v>
      </c>
      <c r="D183" t="s">
        <v>3779</v>
      </c>
      <c r="E183" t="s">
        <v>647</v>
      </c>
      <c r="F183" t="s">
        <v>666</v>
      </c>
      <c r="G183" t="s">
        <v>666</v>
      </c>
      <c r="H183" t="s">
        <v>909</v>
      </c>
      <c r="I183" t="s">
        <v>902</v>
      </c>
      <c r="J183" t="s">
        <v>562</v>
      </c>
      <c r="K183" t="s">
        <v>166</v>
      </c>
      <c r="L183" t="s">
        <v>0</v>
      </c>
      <c r="M183" t="s">
        <v>178</v>
      </c>
      <c r="N183">
        <v>30.25</v>
      </c>
      <c r="O183">
        <v>24</v>
      </c>
      <c r="P183">
        <v>793.2</v>
      </c>
      <c r="Q183">
        <v>922.72</v>
      </c>
      <c r="R183">
        <v>166.54</v>
      </c>
      <c r="S183">
        <v>139.15488869000001</v>
      </c>
      <c r="T183">
        <v>0</v>
      </c>
      <c r="U183">
        <v>0</v>
      </c>
      <c r="V183">
        <v>166.54</v>
      </c>
      <c r="W183" t="s">
        <v>0</v>
      </c>
      <c r="X183" t="s">
        <v>271</v>
      </c>
      <c r="Y183" t="s">
        <v>3923</v>
      </c>
      <c r="AA183" t="s">
        <v>3924</v>
      </c>
      <c r="AB183" t="s">
        <v>181</v>
      </c>
    </row>
    <row r="184" spans="1:28" x14ac:dyDescent="0.25">
      <c r="A184" t="s">
        <v>4117</v>
      </c>
      <c r="B184" t="s">
        <v>4118</v>
      </c>
      <c r="C184" t="s">
        <v>646</v>
      </c>
      <c r="D184" t="s">
        <v>3779</v>
      </c>
      <c r="E184" t="s">
        <v>647</v>
      </c>
      <c r="F184" t="s">
        <v>3780</v>
      </c>
      <c r="G184" t="s">
        <v>769</v>
      </c>
      <c r="H184" t="s">
        <v>1515</v>
      </c>
      <c r="I184" t="s">
        <v>1190</v>
      </c>
      <c r="J184" t="s">
        <v>1191</v>
      </c>
      <c r="K184" t="s">
        <v>166</v>
      </c>
      <c r="L184" t="s">
        <v>0</v>
      </c>
      <c r="M184" t="s">
        <v>178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282</v>
      </c>
      <c r="X184" t="s">
        <v>271</v>
      </c>
      <c r="Y184" t="s">
        <v>2170</v>
      </c>
      <c r="AA184" t="s">
        <v>2171</v>
      </c>
      <c r="AB184" t="s">
        <v>181</v>
      </c>
    </row>
    <row r="185" spans="1:28" x14ac:dyDescent="0.25">
      <c r="A185" t="s">
        <v>4086</v>
      </c>
      <c r="B185" t="s">
        <v>4087</v>
      </c>
      <c r="C185" t="s">
        <v>646</v>
      </c>
      <c r="D185" t="s">
        <v>3779</v>
      </c>
      <c r="E185" t="s">
        <v>647</v>
      </c>
      <c r="F185" t="s">
        <v>3780</v>
      </c>
      <c r="G185" t="s">
        <v>769</v>
      </c>
      <c r="H185" t="s">
        <v>679</v>
      </c>
      <c r="I185" t="s">
        <v>4088</v>
      </c>
      <c r="J185" t="s">
        <v>480</v>
      </c>
      <c r="K185" t="s">
        <v>166</v>
      </c>
      <c r="L185" t="s">
        <v>0</v>
      </c>
      <c r="M185" t="s">
        <v>178</v>
      </c>
      <c r="N185">
        <v>180.4333</v>
      </c>
      <c r="O185">
        <v>115</v>
      </c>
      <c r="P185">
        <v>2327.63</v>
      </c>
      <c r="Q185">
        <v>7538.92</v>
      </c>
      <c r="R185">
        <v>1403.91180018</v>
      </c>
      <c r="S185">
        <v>1566.3273402699999</v>
      </c>
      <c r="T185">
        <v>-4.4781998200000004</v>
      </c>
      <c r="U185">
        <v>0</v>
      </c>
      <c r="V185">
        <v>1408.39</v>
      </c>
      <c r="W185" t="s">
        <v>4089</v>
      </c>
      <c r="X185" t="s">
        <v>271</v>
      </c>
      <c r="Y185" t="s">
        <v>4090</v>
      </c>
      <c r="AA185" t="s">
        <v>4091</v>
      </c>
      <c r="AB185" t="s">
        <v>181</v>
      </c>
    </row>
    <row r="186" spans="1:28" x14ac:dyDescent="0.25">
      <c r="A186" t="s">
        <v>3849</v>
      </c>
      <c r="B186" t="s">
        <v>3850</v>
      </c>
      <c r="C186" t="s">
        <v>646</v>
      </c>
      <c r="D186" t="s">
        <v>3779</v>
      </c>
      <c r="E186" t="s">
        <v>647</v>
      </c>
      <c r="F186" t="s">
        <v>3780</v>
      </c>
      <c r="G186" t="s">
        <v>769</v>
      </c>
      <c r="H186" t="s">
        <v>708</v>
      </c>
      <c r="I186" t="s">
        <v>1184</v>
      </c>
      <c r="J186" t="s">
        <v>1185</v>
      </c>
      <c r="K186" t="s">
        <v>166</v>
      </c>
      <c r="L186" t="s">
        <v>0</v>
      </c>
      <c r="M186" t="s">
        <v>178</v>
      </c>
      <c r="N186">
        <v>11</v>
      </c>
      <c r="O186">
        <v>11</v>
      </c>
      <c r="P186">
        <v>391.2</v>
      </c>
      <c r="Q186">
        <v>472.32</v>
      </c>
      <c r="R186">
        <v>-44.84</v>
      </c>
      <c r="S186">
        <v>234.24553571999999</v>
      </c>
      <c r="T186">
        <v>0</v>
      </c>
      <c r="U186">
        <v>0</v>
      </c>
      <c r="V186">
        <v>-44.84</v>
      </c>
      <c r="W186" t="s">
        <v>1186</v>
      </c>
      <c r="X186" t="s">
        <v>271</v>
      </c>
      <c r="Y186" t="s">
        <v>3851</v>
      </c>
      <c r="AA186" t="s">
        <v>3852</v>
      </c>
      <c r="AB186" t="s">
        <v>181</v>
      </c>
    </row>
    <row r="187" spans="1:28" x14ac:dyDescent="0.25">
      <c r="A187" t="s">
        <v>4043</v>
      </c>
      <c r="B187" t="s">
        <v>4044</v>
      </c>
      <c r="C187" t="s">
        <v>646</v>
      </c>
      <c r="D187" t="s">
        <v>3779</v>
      </c>
      <c r="E187" t="s">
        <v>647</v>
      </c>
      <c r="F187" t="s">
        <v>666</v>
      </c>
      <c r="G187" t="s">
        <v>666</v>
      </c>
      <c r="H187" t="s">
        <v>708</v>
      </c>
      <c r="I187" t="s">
        <v>1431</v>
      </c>
      <c r="J187" t="s">
        <v>1432</v>
      </c>
      <c r="K187" t="s">
        <v>166</v>
      </c>
      <c r="L187" t="s">
        <v>0</v>
      </c>
      <c r="M187" t="s">
        <v>178</v>
      </c>
      <c r="N187">
        <v>1</v>
      </c>
      <c r="O187">
        <v>1</v>
      </c>
      <c r="P187">
        <v>0.81</v>
      </c>
      <c r="Q187">
        <v>25</v>
      </c>
      <c r="R187">
        <v>0.75</v>
      </c>
      <c r="S187">
        <v>2.0099999999999998</v>
      </c>
      <c r="T187">
        <v>0</v>
      </c>
      <c r="U187">
        <v>0</v>
      </c>
      <c r="V187">
        <v>0.75</v>
      </c>
      <c r="W187" t="s">
        <v>1433</v>
      </c>
      <c r="X187" t="s">
        <v>271</v>
      </c>
      <c r="Y187" t="s">
        <v>4045</v>
      </c>
      <c r="AA187" t="s">
        <v>4046</v>
      </c>
      <c r="AB187" t="s">
        <v>181</v>
      </c>
    </row>
    <row r="188" spans="1:28" x14ac:dyDescent="0.25">
      <c r="A188" t="s">
        <v>4119</v>
      </c>
      <c r="B188" t="s">
        <v>4120</v>
      </c>
      <c r="C188" t="s">
        <v>646</v>
      </c>
      <c r="D188" t="s">
        <v>3779</v>
      </c>
      <c r="E188" t="s">
        <v>647</v>
      </c>
      <c r="F188" t="s">
        <v>3780</v>
      </c>
      <c r="G188" t="s">
        <v>769</v>
      </c>
      <c r="H188" t="s">
        <v>962</v>
      </c>
      <c r="I188" t="s">
        <v>1374</v>
      </c>
      <c r="J188" t="s">
        <v>441</v>
      </c>
      <c r="K188" t="s">
        <v>166</v>
      </c>
      <c r="L188" t="s">
        <v>0</v>
      </c>
      <c r="M188" t="s">
        <v>178</v>
      </c>
      <c r="N188">
        <v>102.5</v>
      </c>
      <c r="O188">
        <v>13</v>
      </c>
      <c r="P188">
        <v>2173.9699999999998</v>
      </c>
      <c r="Q188">
        <v>6756.35</v>
      </c>
      <c r="R188">
        <v>1438.2602697499999</v>
      </c>
      <c r="S188">
        <v>270.1032123</v>
      </c>
      <c r="T188">
        <v>0.27026974999999998</v>
      </c>
      <c r="U188">
        <v>0</v>
      </c>
      <c r="V188">
        <v>1437.99</v>
      </c>
      <c r="W188" t="s">
        <v>440</v>
      </c>
      <c r="X188" t="s">
        <v>271</v>
      </c>
      <c r="Y188" t="s">
        <v>4121</v>
      </c>
      <c r="AA188" t="s">
        <v>4122</v>
      </c>
      <c r="AB188" t="s">
        <v>181</v>
      </c>
    </row>
    <row r="189" spans="1:28" x14ac:dyDescent="0.25">
      <c r="A189" t="s">
        <v>4201</v>
      </c>
      <c r="B189" t="s">
        <v>4202</v>
      </c>
      <c r="C189" t="s">
        <v>646</v>
      </c>
      <c r="D189" t="s">
        <v>3779</v>
      </c>
      <c r="E189" t="s">
        <v>647</v>
      </c>
      <c r="F189" t="s">
        <v>3780</v>
      </c>
      <c r="G189" t="s">
        <v>769</v>
      </c>
      <c r="H189" t="s">
        <v>797</v>
      </c>
      <c r="I189" t="s">
        <v>4203</v>
      </c>
      <c r="J189" t="s">
        <v>688</v>
      </c>
      <c r="K189" t="s">
        <v>166</v>
      </c>
      <c r="L189" t="s">
        <v>0</v>
      </c>
      <c r="M189" t="s">
        <v>178</v>
      </c>
      <c r="N189">
        <v>101</v>
      </c>
      <c r="O189">
        <v>67</v>
      </c>
      <c r="P189">
        <v>1070</v>
      </c>
      <c r="Q189">
        <v>3225.52</v>
      </c>
      <c r="R189">
        <v>475.84451669999999</v>
      </c>
      <c r="S189">
        <v>438.49973839</v>
      </c>
      <c r="T189">
        <v>3.4516699999999997E-2</v>
      </c>
      <c r="U189">
        <v>0</v>
      </c>
      <c r="V189">
        <v>475.81</v>
      </c>
      <c r="W189" t="s">
        <v>0</v>
      </c>
      <c r="X189" t="s">
        <v>271</v>
      </c>
      <c r="Y189" t="s">
        <v>4204</v>
      </c>
      <c r="AA189" t="s">
        <v>4205</v>
      </c>
      <c r="AB189" t="s">
        <v>181</v>
      </c>
    </row>
    <row r="190" spans="1:28" x14ac:dyDescent="0.25">
      <c r="A190" t="s">
        <v>4172</v>
      </c>
      <c r="B190" t="s">
        <v>4173</v>
      </c>
      <c r="C190" t="s">
        <v>646</v>
      </c>
      <c r="D190" t="s">
        <v>3779</v>
      </c>
      <c r="E190" t="s">
        <v>647</v>
      </c>
      <c r="F190" t="s">
        <v>3780</v>
      </c>
      <c r="G190" t="s">
        <v>769</v>
      </c>
      <c r="H190" t="s">
        <v>1175</v>
      </c>
      <c r="I190" t="s">
        <v>1801</v>
      </c>
      <c r="J190" t="s">
        <v>437</v>
      </c>
      <c r="K190" t="s">
        <v>166</v>
      </c>
      <c r="L190" t="s">
        <v>0</v>
      </c>
      <c r="M190" t="s">
        <v>178</v>
      </c>
      <c r="N190">
        <v>6</v>
      </c>
      <c r="O190">
        <v>2</v>
      </c>
      <c r="P190">
        <v>98</v>
      </c>
      <c r="Q190">
        <v>194.61</v>
      </c>
      <c r="R190">
        <v>17.309999999999999</v>
      </c>
      <c r="S190">
        <v>27.44</v>
      </c>
      <c r="T190">
        <v>0</v>
      </c>
      <c r="U190">
        <v>0</v>
      </c>
      <c r="V190">
        <v>17.309999999999999</v>
      </c>
      <c r="W190" t="s">
        <v>510</v>
      </c>
      <c r="X190" t="s">
        <v>271</v>
      </c>
      <c r="Y190" t="s">
        <v>4174</v>
      </c>
      <c r="Z190" t="s">
        <v>4175</v>
      </c>
      <c r="AA190" t="s">
        <v>4176</v>
      </c>
      <c r="AB190" t="s">
        <v>181</v>
      </c>
    </row>
    <row r="191" spans="1:28" x14ac:dyDescent="0.25">
      <c r="A191" t="s">
        <v>4223</v>
      </c>
      <c r="B191" t="s">
        <v>4224</v>
      </c>
      <c r="C191" t="s">
        <v>646</v>
      </c>
      <c r="D191" t="s">
        <v>3779</v>
      </c>
      <c r="E191" t="s">
        <v>647</v>
      </c>
      <c r="F191" t="s">
        <v>3780</v>
      </c>
      <c r="G191" t="s">
        <v>769</v>
      </c>
      <c r="H191" t="s">
        <v>730</v>
      </c>
      <c r="I191" t="s">
        <v>4225</v>
      </c>
      <c r="J191" t="s">
        <v>336</v>
      </c>
      <c r="K191" t="s">
        <v>166</v>
      </c>
      <c r="L191" t="s">
        <v>0</v>
      </c>
      <c r="M191" t="s">
        <v>178</v>
      </c>
      <c r="N191">
        <v>4</v>
      </c>
      <c r="O191">
        <v>1</v>
      </c>
      <c r="P191">
        <v>179.5</v>
      </c>
      <c r="Q191">
        <v>551.05999999999995</v>
      </c>
      <c r="R191">
        <v>57.386007679999999</v>
      </c>
      <c r="S191">
        <v>3.77</v>
      </c>
      <c r="T191">
        <v>133.33600767999999</v>
      </c>
      <c r="U191">
        <v>0</v>
      </c>
      <c r="V191">
        <v>58.06</v>
      </c>
      <c r="W191" t="s">
        <v>461</v>
      </c>
      <c r="X191" t="s">
        <v>271</v>
      </c>
      <c r="Y191" t="s">
        <v>4226</v>
      </c>
      <c r="AA191" t="s">
        <v>4227</v>
      </c>
      <c r="AB191" t="s">
        <v>181</v>
      </c>
    </row>
    <row r="192" spans="1:28" x14ac:dyDescent="0.25">
      <c r="A192" t="s">
        <v>4159</v>
      </c>
      <c r="B192" t="s">
        <v>257</v>
      </c>
      <c r="C192" t="s">
        <v>646</v>
      </c>
      <c r="D192" t="s">
        <v>3779</v>
      </c>
      <c r="E192" t="s">
        <v>647</v>
      </c>
      <c r="F192" t="s">
        <v>3780</v>
      </c>
      <c r="G192" t="s">
        <v>769</v>
      </c>
      <c r="H192" t="s">
        <v>797</v>
      </c>
      <c r="I192" t="s">
        <v>673</v>
      </c>
      <c r="J192" t="s">
        <v>674</v>
      </c>
      <c r="K192" t="s">
        <v>166</v>
      </c>
      <c r="L192" t="s">
        <v>0</v>
      </c>
      <c r="M192" t="s">
        <v>178</v>
      </c>
      <c r="N192">
        <v>153</v>
      </c>
      <c r="O192">
        <v>0</v>
      </c>
      <c r="P192">
        <v>1530</v>
      </c>
      <c r="Q192">
        <v>6833.03</v>
      </c>
      <c r="R192">
        <v>3639.27</v>
      </c>
      <c r="S192">
        <v>108.56881045</v>
      </c>
      <c r="T192">
        <v>0</v>
      </c>
      <c r="U192">
        <v>0</v>
      </c>
      <c r="V192">
        <v>3639.27</v>
      </c>
      <c r="W192" t="s">
        <v>675</v>
      </c>
      <c r="X192" t="s">
        <v>271</v>
      </c>
      <c r="Y192" t="s">
        <v>4160</v>
      </c>
      <c r="AA192" t="s">
        <v>4161</v>
      </c>
      <c r="AB192" t="s">
        <v>181</v>
      </c>
    </row>
    <row r="193" spans="1:28" x14ac:dyDescent="0.25">
      <c r="A193" t="s">
        <v>3992</v>
      </c>
      <c r="B193" t="s">
        <v>3993</v>
      </c>
      <c r="C193" t="s">
        <v>646</v>
      </c>
      <c r="D193" t="s">
        <v>3779</v>
      </c>
      <c r="E193" t="s">
        <v>647</v>
      </c>
      <c r="F193" t="s">
        <v>3780</v>
      </c>
      <c r="G193" t="s">
        <v>769</v>
      </c>
      <c r="H193" t="s">
        <v>649</v>
      </c>
      <c r="I193" t="s">
        <v>3994</v>
      </c>
      <c r="J193" t="s">
        <v>3995</v>
      </c>
      <c r="K193" t="s">
        <v>166</v>
      </c>
      <c r="L193" t="s">
        <v>0</v>
      </c>
      <c r="M193" t="s">
        <v>178</v>
      </c>
      <c r="N193">
        <v>100</v>
      </c>
      <c r="O193">
        <v>95</v>
      </c>
      <c r="P193">
        <v>3107.23</v>
      </c>
      <c r="Q193">
        <v>4622.21</v>
      </c>
      <c r="R193">
        <v>-199.59</v>
      </c>
      <c r="S193">
        <v>759.64267796000001</v>
      </c>
      <c r="T193">
        <v>0</v>
      </c>
      <c r="U193">
        <v>0</v>
      </c>
      <c r="V193">
        <v>-199.59</v>
      </c>
      <c r="W193" t="s">
        <v>250</v>
      </c>
      <c r="X193" t="s">
        <v>269</v>
      </c>
      <c r="Y193" t="s">
        <v>3996</v>
      </c>
      <c r="AA193" t="s">
        <v>3997</v>
      </c>
      <c r="AB193" t="s">
        <v>181</v>
      </c>
    </row>
    <row r="194" spans="1:28" x14ac:dyDescent="0.25">
      <c r="A194" t="s">
        <v>3814</v>
      </c>
      <c r="B194" t="s">
        <v>3815</v>
      </c>
      <c r="C194" t="s">
        <v>646</v>
      </c>
      <c r="D194" t="s">
        <v>3779</v>
      </c>
      <c r="E194" t="s">
        <v>647</v>
      </c>
      <c r="F194" t="s">
        <v>3780</v>
      </c>
      <c r="G194" t="s">
        <v>769</v>
      </c>
      <c r="H194" t="s">
        <v>962</v>
      </c>
      <c r="I194" t="s">
        <v>3816</v>
      </c>
      <c r="J194" t="s">
        <v>548</v>
      </c>
      <c r="K194" t="s">
        <v>166</v>
      </c>
      <c r="L194" t="s">
        <v>0</v>
      </c>
      <c r="M194" t="s">
        <v>178</v>
      </c>
      <c r="N194">
        <v>59</v>
      </c>
      <c r="O194">
        <v>39</v>
      </c>
      <c r="P194">
        <v>1115.17</v>
      </c>
      <c r="Q194">
        <v>3100.04</v>
      </c>
      <c r="R194">
        <v>248.21</v>
      </c>
      <c r="S194">
        <v>385.55165040000003</v>
      </c>
      <c r="T194">
        <v>0</v>
      </c>
      <c r="U194">
        <v>0</v>
      </c>
      <c r="V194">
        <v>248.21</v>
      </c>
      <c r="W194" t="s">
        <v>241</v>
      </c>
      <c r="X194" t="s">
        <v>271</v>
      </c>
      <c r="Y194" t="s">
        <v>3817</v>
      </c>
      <c r="AA194" t="s">
        <v>3818</v>
      </c>
      <c r="AB194" t="s">
        <v>181</v>
      </c>
    </row>
    <row r="195" spans="1:28" x14ac:dyDescent="0.25">
      <c r="A195" t="s">
        <v>4043</v>
      </c>
      <c r="B195" t="s">
        <v>4044</v>
      </c>
      <c r="C195" t="s">
        <v>646</v>
      </c>
      <c r="D195" t="s">
        <v>3779</v>
      </c>
      <c r="E195" t="s">
        <v>647</v>
      </c>
      <c r="F195" t="s">
        <v>666</v>
      </c>
      <c r="G195" t="s">
        <v>666</v>
      </c>
      <c r="H195" t="s">
        <v>649</v>
      </c>
      <c r="I195" t="s">
        <v>1431</v>
      </c>
      <c r="J195" t="s">
        <v>1432</v>
      </c>
      <c r="K195" t="s">
        <v>166</v>
      </c>
      <c r="L195" t="s">
        <v>0</v>
      </c>
      <c r="M195" t="s">
        <v>178</v>
      </c>
      <c r="N195">
        <v>195</v>
      </c>
      <c r="O195">
        <v>132</v>
      </c>
      <c r="P195">
        <v>4400.3100000000004</v>
      </c>
      <c r="Q195">
        <v>11660.04</v>
      </c>
      <c r="R195">
        <v>1788.83</v>
      </c>
      <c r="S195">
        <v>501.91504792000001</v>
      </c>
      <c r="T195">
        <v>0</v>
      </c>
      <c r="U195">
        <v>0</v>
      </c>
      <c r="V195">
        <v>1788.83</v>
      </c>
      <c r="W195" t="s">
        <v>1433</v>
      </c>
      <c r="X195" t="s">
        <v>271</v>
      </c>
      <c r="Y195" t="s">
        <v>4045</v>
      </c>
      <c r="AA195" t="s">
        <v>4046</v>
      </c>
      <c r="AB195" t="s">
        <v>181</v>
      </c>
    </row>
    <row r="196" spans="1:28" x14ac:dyDescent="0.25">
      <c r="A196" t="s">
        <v>3905</v>
      </c>
      <c r="B196" t="s">
        <v>3906</v>
      </c>
      <c r="C196" t="s">
        <v>646</v>
      </c>
      <c r="D196" t="s">
        <v>3779</v>
      </c>
      <c r="E196" t="s">
        <v>647</v>
      </c>
      <c r="F196" t="s">
        <v>3780</v>
      </c>
      <c r="G196" t="s">
        <v>769</v>
      </c>
      <c r="H196" t="s">
        <v>649</v>
      </c>
      <c r="I196" t="s">
        <v>3753</v>
      </c>
      <c r="J196" t="s">
        <v>489</v>
      </c>
      <c r="K196" t="s">
        <v>166</v>
      </c>
      <c r="L196" t="s">
        <v>0</v>
      </c>
      <c r="M196" t="s">
        <v>178</v>
      </c>
      <c r="N196">
        <v>13</v>
      </c>
      <c r="O196">
        <v>3</v>
      </c>
      <c r="P196">
        <v>130</v>
      </c>
      <c r="Q196">
        <v>578.84</v>
      </c>
      <c r="R196">
        <v>144.16</v>
      </c>
      <c r="S196">
        <v>33.719478289999998</v>
      </c>
      <c r="T196">
        <v>0</v>
      </c>
      <c r="U196">
        <v>0</v>
      </c>
      <c r="V196">
        <v>144.16</v>
      </c>
      <c r="W196" t="s">
        <v>488</v>
      </c>
      <c r="X196" t="s">
        <v>271</v>
      </c>
      <c r="Y196" t="s">
        <v>3907</v>
      </c>
      <c r="AA196" t="s">
        <v>3908</v>
      </c>
      <c r="AB196" t="s">
        <v>181</v>
      </c>
    </row>
    <row r="197" spans="1:28" x14ac:dyDescent="0.25">
      <c r="A197" t="s">
        <v>4228</v>
      </c>
      <c r="B197" t="s">
        <v>4229</v>
      </c>
      <c r="C197" t="s">
        <v>646</v>
      </c>
      <c r="D197" t="s">
        <v>3779</v>
      </c>
      <c r="E197" t="s">
        <v>647</v>
      </c>
      <c r="F197" t="s">
        <v>3780</v>
      </c>
      <c r="G197" t="s">
        <v>769</v>
      </c>
      <c r="H197" t="s">
        <v>909</v>
      </c>
      <c r="I197" t="s">
        <v>1971</v>
      </c>
      <c r="J197" t="s">
        <v>1972</v>
      </c>
      <c r="K197" t="s">
        <v>166</v>
      </c>
      <c r="L197" t="s">
        <v>0</v>
      </c>
      <c r="M197" t="s">
        <v>178</v>
      </c>
      <c r="N197">
        <v>167</v>
      </c>
      <c r="O197">
        <v>167</v>
      </c>
      <c r="P197">
        <v>5753.6</v>
      </c>
      <c r="Q197">
        <v>4032.2</v>
      </c>
      <c r="R197">
        <v>756.27</v>
      </c>
      <c r="S197">
        <v>689.34237044999998</v>
      </c>
      <c r="T197">
        <v>0</v>
      </c>
      <c r="U197">
        <v>0</v>
      </c>
      <c r="V197">
        <v>756.27</v>
      </c>
      <c r="W197" t="s">
        <v>1973</v>
      </c>
      <c r="X197" t="s">
        <v>271</v>
      </c>
      <c r="Y197" t="s">
        <v>4230</v>
      </c>
      <c r="AA197" t="s">
        <v>4231</v>
      </c>
      <c r="AB197" t="s">
        <v>181</v>
      </c>
    </row>
    <row r="198" spans="1:28" x14ac:dyDescent="0.25">
      <c r="A198" t="s">
        <v>4069</v>
      </c>
      <c r="B198" t="s">
        <v>4070</v>
      </c>
      <c r="C198" t="s">
        <v>646</v>
      </c>
      <c r="D198" t="s">
        <v>3779</v>
      </c>
      <c r="E198" t="s">
        <v>647</v>
      </c>
      <c r="F198" t="s">
        <v>3780</v>
      </c>
      <c r="G198" t="s">
        <v>769</v>
      </c>
      <c r="H198" t="s">
        <v>717</v>
      </c>
      <c r="I198" t="s">
        <v>4071</v>
      </c>
      <c r="J198" t="s">
        <v>785</v>
      </c>
      <c r="K198" t="s">
        <v>166</v>
      </c>
      <c r="L198" t="s">
        <v>0</v>
      </c>
      <c r="M198" t="s">
        <v>178</v>
      </c>
      <c r="N198">
        <v>10</v>
      </c>
      <c r="O198">
        <v>8</v>
      </c>
      <c r="P198">
        <v>100</v>
      </c>
      <c r="Q198">
        <v>365.46</v>
      </c>
      <c r="R198">
        <v>35.992455470000003</v>
      </c>
      <c r="S198">
        <v>36.6</v>
      </c>
      <c r="T198">
        <v>1.245547E-2</v>
      </c>
      <c r="U198">
        <v>0</v>
      </c>
      <c r="V198">
        <v>35.979999999999997</v>
      </c>
      <c r="W198" t="s">
        <v>0</v>
      </c>
      <c r="X198" t="s">
        <v>271</v>
      </c>
      <c r="Y198" t="s">
        <v>4072</v>
      </c>
      <c r="AA198" t="s">
        <v>4073</v>
      </c>
      <c r="AB198" t="s">
        <v>181</v>
      </c>
    </row>
    <row r="199" spans="1:28" x14ac:dyDescent="0.25">
      <c r="A199" t="s">
        <v>4086</v>
      </c>
      <c r="B199" t="s">
        <v>4087</v>
      </c>
      <c r="C199" t="s">
        <v>646</v>
      </c>
      <c r="D199" t="s">
        <v>3779</v>
      </c>
      <c r="E199" t="s">
        <v>647</v>
      </c>
      <c r="F199" t="s">
        <v>3780</v>
      </c>
      <c r="G199" t="s">
        <v>769</v>
      </c>
      <c r="H199" t="s">
        <v>797</v>
      </c>
      <c r="I199" t="s">
        <v>4088</v>
      </c>
      <c r="J199" t="s">
        <v>480</v>
      </c>
      <c r="K199" t="s">
        <v>166</v>
      </c>
      <c r="L199" t="s">
        <v>0</v>
      </c>
      <c r="M199" t="s">
        <v>178</v>
      </c>
      <c r="N199">
        <v>44</v>
      </c>
      <c r="O199">
        <v>0</v>
      </c>
      <c r="P199">
        <v>473</v>
      </c>
      <c r="Q199">
        <v>2155.77</v>
      </c>
      <c r="R199">
        <v>520.26856717999999</v>
      </c>
      <c r="S199">
        <v>64.38362549</v>
      </c>
      <c r="T199">
        <v>-1.43282E-3</v>
      </c>
      <c r="U199">
        <v>0</v>
      </c>
      <c r="V199">
        <v>520.27</v>
      </c>
      <c r="W199" t="s">
        <v>4089</v>
      </c>
      <c r="X199" t="s">
        <v>271</v>
      </c>
      <c r="Y199" t="s">
        <v>4090</v>
      </c>
      <c r="AA199" t="s">
        <v>4091</v>
      </c>
      <c r="AB199" t="s">
        <v>181</v>
      </c>
    </row>
    <row r="200" spans="1:28" x14ac:dyDescent="0.25">
      <c r="A200" t="s">
        <v>3925</v>
      </c>
      <c r="B200" t="s">
        <v>3926</v>
      </c>
      <c r="C200" t="s">
        <v>646</v>
      </c>
      <c r="D200" t="s">
        <v>3779</v>
      </c>
      <c r="E200" t="s">
        <v>647</v>
      </c>
      <c r="F200" t="s">
        <v>3780</v>
      </c>
      <c r="G200" t="s">
        <v>769</v>
      </c>
      <c r="H200" t="s">
        <v>708</v>
      </c>
      <c r="I200" t="s">
        <v>2284</v>
      </c>
      <c r="J200" t="s">
        <v>2285</v>
      </c>
      <c r="K200" t="s">
        <v>166</v>
      </c>
      <c r="L200" t="s">
        <v>0</v>
      </c>
      <c r="M200" t="s">
        <v>178</v>
      </c>
      <c r="N200">
        <v>2</v>
      </c>
      <c r="O200">
        <v>0</v>
      </c>
      <c r="P200">
        <v>1</v>
      </c>
      <c r="Q200">
        <v>25.98</v>
      </c>
      <c r="R200">
        <v>6.28</v>
      </c>
      <c r="S200">
        <v>1.82</v>
      </c>
      <c r="T200">
        <v>0</v>
      </c>
      <c r="U200">
        <v>0</v>
      </c>
      <c r="V200">
        <v>6.28</v>
      </c>
      <c r="W200" t="s">
        <v>453</v>
      </c>
      <c r="X200" t="s">
        <v>271</v>
      </c>
      <c r="Y200" t="s">
        <v>3927</v>
      </c>
      <c r="AA200" t="s">
        <v>3928</v>
      </c>
      <c r="AB200" t="s">
        <v>181</v>
      </c>
    </row>
    <row r="201" spans="1:28" x14ac:dyDescent="0.25">
      <c r="A201" t="s">
        <v>4135</v>
      </c>
      <c r="B201" t="s">
        <v>4136</v>
      </c>
      <c r="C201" t="s">
        <v>646</v>
      </c>
      <c r="D201" t="s">
        <v>3779</v>
      </c>
      <c r="E201" t="s">
        <v>647</v>
      </c>
      <c r="F201" t="s">
        <v>3780</v>
      </c>
      <c r="G201" t="s">
        <v>769</v>
      </c>
      <c r="H201" t="s">
        <v>672</v>
      </c>
      <c r="I201" t="s">
        <v>1083</v>
      </c>
      <c r="J201" t="s">
        <v>731</v>
      </c>
      <c r="K201" t="s">
        <v>166</v>
      </c>
      <c r="L201" t="s">
        <v>0</v>
      </c>
      <c r="M201" t="s">
        <v>178</v>
      </c>
      <c r="N201">
        <v>166</v>
      </c>
      <c r="O201">
        <v>121</v>
      </c>
      <c r="P201">
        <v>3961</v>
      </c>
      <c r="Q201">
        <v>7336.99</v>
      </c>
      <c r="R201">
        <v>1786.40444738</v>
      </c>
      <c r="S201">
        <v>1356.6036316</v>
      </c>
      <c r="T201">
        <v>0.18444737999999999</v>
      </c>
      <c r="U201">
        <v>0</v>
      </c>
      <c r="V201">
        <v>1786.22</v>
      </c>
      <c r="W201" t="s">
        <v>0</v>
      </c>
      <c r="X201" t="s">
        <v>271</v>
      </c>
      <c r="Y201" t="s">
        <v>4137</v>
      </c>
      <c r="AA201" t="s">
        <v>4138</v>
      </c>
      <c r="AB201" t="s">
        <v>181</v>
      </c>
    </row>
    <row r="202" spans="1:28" x14ac:dyDescent="0.25">
      <c r="A202" t="s">
        <v>4232</v>
      </c>
      <c r="B202" t="s">
        <v>4233</v>
      </c>
      <c r="C202" t="s">
        <v>646</v>
      </c>
      <c r="D202" t="s">
        <v>3779</v>
      </c>
      <c r="E202" t="s">
        <v>647</v>
      </c>
      <c r="F202" t="s">
        <v>3780</v>
      </c>
      <c r="G202" t="s">
        <v>769</v>
      </c>
      <c r="H202" t="s">
        <v>1171</v>
      </c>
      <c r="I202" t="s">
        <v>1296</v>
      </c>
      <c r="J202" t="s">
        <v>996</v>
      </c>
      <c r="K202" t="s">
        <v>166</v>
      </c>
      <c r="L202" t="s">
        <v>0</v>
      </c>
      <c r="M202" t="s">
        <v>178</v>
      </c>
      <c r="N202">
        <v>18</v>
      </c>
      <c r="O202">
        <v>0</v>
      </c>
      <c r="P202">
        <v>450.7</v>
      </c>
      <c r="Q202">
        <v>1122.24</v>
      </c>
      <c r="R202">
        <v>45.07</v>
      </c>
      <c r="S202">
        <v>62.602229999999999</v>
      </c>
      <c r="T202">
        <v>0</v>
      </c>
      <c r="U202">
        <v>0</v>
      </c>
      <c r="V202">
        <v>45.07</v>
      </c>
      <c r="W202" t="s">
        <v>1683</v>
      </c>
      <c r="X202" t="s">
        <v>271</v>
      </c>
      <c r="Y202" t="s">
        <v>4234</v>
      </c>
      <c r="AA202" t="s">
        <v>4235</v>
      </c>
      <c r="AB202" t="s">
        <v>181</v>
      </c>
    </row>
    <row r="203" spans="1:28" x14ac:dyDescent="0.25">
      <c r="A203" t="s">
        <v>4219</v>
      </c>
      <c r="B203" t="s">
        <v>4220</v>
      </c>
      <c r="C203" t="s">
        <v>646</v>
      </c>
      <c r="D203" t="s">
        <v>3779</v>
      </c>
      <c r="E203" t="s">
        <v>647</v>
      </c>
      <c r="F203" t="s">
        <v>3780</v>
      </c>
      <c r="G203" t="s">
        <v>769</v>
      </c>
      <c r="H203" t="s">
        <v>717</v>
      </c>
      <c r="I203" t="s">
        <v>1208</v>
      </c>
      <c r="J203" t="s">
        <v>1209</v>
      </c>
      <c r="K203" t="s">
        <v>166</v>
      </c>
      <c r="L203" t="s">
        <v>0</v>
      </c>
      <c r="M203" t="s">
        <v>178</v>
      </c>
      <c r="N203">
        <v>5</v>
      </c>
      <c r="O203">
        <v>5</v>
      </c>
      <c r="P203">
        <v>81.599999999999994</v>
      </c>
      <c r="Q203">
        <v>296.89999999999998</v>
      </c>
      <c r="R203">
        <v>35.950000000000003</v>
      </c>
      <c r="S203">
        <v>32.169179970000002</v>
      </c>
      <c r="T203">
        <v>0</v>
      </c>
      <c r="U203">
        <v>0</v>
      </c>
      <c r="V203">
        <v>35.950000000000003</v>
      </c>
      <c r="W203" t="s">
        <v>1210</v>
      </c>
      <c r="X203" t="s">
        <v>271</v>
      </c>
      <c r="Y203" t="s">
        <v>4221</v>
      </c>
      <c r="AA203" t="s">
        <v>4222</v>
      </c>
      <c r="AB203" t="s">
        <v>181</v>
      </c>
    </row>
    <row r="204" spans="1:28" x14ac:dyDescent="0.25">
      <c r="A204" t="s">
        <v>4236</v>
      </c>
      <c r="B204" t="s">
        <v>4237</v>
      </c>
      <c r="C204" t="s">
        <v>646</v>
      </c>
      <c r="D204" t="s">
        <v>3779</v>
      </c>
      <c r="E204" t="s">
        <v>647</v>
      </c>
      <c r="F204" t="s">
        <v>3780</v>
      </c>
      <c r="G204" t="s">
        <v>769</v>
      </c>
      <c r="H204" t="s">
        <v>717</v>
      </c>
      <c r="I204" t="s">
        <v>1546</v>
      </c>
      <c r="J204" t="s">
        <v>1547</v>
      </c>
      <c r="K204" t="s">
        <v>166</v>
      </c>
      <c r="L204" t="s">
        <v>0</v>
      </c>
      <c r="M204" t="s">
        <v>178</v>
      </c>
      <c r="N204">
        <v>24</v>
      </c>
      <c r="O204">
        <v>24</v>
      </c>
      <c r="P204">
        <v>240</v>
      </c>
      <c r="Q204">
        <v>678.96</v>
      </c>
      <c r="R204">
        <v>88.54</v>
      </c>
      <c r="S204">
        <v>43.2</v>
      </c>
      <c r="T204">
        <v>0</v>
      </c>
      <c r="U204">
        <v>0</v>
      </c>
      <c r="V204">
        <v>88.54</v>
      </c>
      <c r="W204" t="s">
        <v>1548</v>
      </c>
      <c r="X204" t="s">
        <v>271</v>
      </c>
      <c r="Y204" t="s">
        <v>4238</v>
      </c>
      <c r="AA204" t="s">
        <v>4239</v>
      </c>
      <c r="AB204" t="s">
        <v>181</v>
      </c>
    </row>
    <row r="205" spans="1:28" x14ac:dyDescent="0.25">
      <c r="A205" t="s">
        <v>4027</v>
      </c>
      <c r="B205" t="s">
        <v>4028</v>
      </c>
      <c r="C205" t="s">
        <v>646</v>
      </c>
      <c r="D205" t="s">
        <v>3779</v>
      </c>
      <c r="E205" t="s">
        <v>647</v>
      </c>
      <c r="F205" t="s">
        <v>3780</v>
      </c>
      <c r="G205" t="s">
        <v>769</v>
      </c>
      <c r="H205" t="s">
        <v>761</v>
      </c>
      <c r="I205" t="s">
        <v>1251</v>
      </c>
      <c r="J205" t="s">
        <v>821</v>
      </c>
      <c r="K205" t="s">
        <v>166</v>
      </c>
      <c r="L205" t="s">
        <v>0</v>
      </c>
      <c r="M205" t="s">
        <v>178</v>
      </c>
      <c r="N205">
        <v>316</v>
      </c>
      <c r="O205">
        <v>41</v>
      </c>
      <c r="P205">
        <v>11971.61</v>
      </c>
      <c r="Q205">
        <v>8379.0300000000007</v>
      </c>
      <c r="R205">
        <v>866.83</v>
      </c>
      <c r="S205">
        <v>425.61473461000003</v>
      </c>
      <c r="T205">
        <v>842.59</v>
      </c>
      <c r="U205">
        <v>0</v>
      </c>
      <c r="V205">
        <v>873.01</v>
      </c>
      <c r="W205" t="s">
        <v>822</v>
      </c>
      <c r="X205" t="s">
        <v>269</v>
      </c>
      <c r="Y205" t="s">
        <v>4029</v>
      </c>
      <c r="AA205" t="s">
        <v>4030</v>
      </c>
      <c r="AB205" t="s">
        <v>181</v>
      </c>
    </row>
    <row r="206" spans="1:28" x14ac:dyDescent="0.25">
      <c r="A206" t="s">
        <v>4240</v>
      </c>
      <c r="B206" t="s">
        <v>4241</v>
      </c>
      <c r="C206" t="s">
        <v>646</v>
      </c>
      <c r="D206" t="s">
        <v>3779</v>
      </c>
      <c r="E206" t="s">
        <v>647</v>
      </c>
      <c r="F206" t="s">
        <v>666</v>
      </c>
      <c r="G206" t="s">
        <v>666</v>
      </c>
      <c r="H206" t="s">
        <v>797</v>
      </c>
      <c r="I206" t="s">
        <v>880</v>
      </c>
      <c r="J206" t="s">
        <v>881</v>
      </c>
      <c r="K206" t="s">
        <v>166</v>
      </c>
      <c r="L206" t="s">
        <v>0</v>
      </c>
      <c r="M206" t="s">
        <v>178</v>
      </c>
      <c r="N206">
        <v>125</v>
      </c>
      <c r="O206">
        <v>93</v>
      </c>
      <c r="P206">
        <v>1257</v>
      </c>
      <c r="Q206">
        <v>3611.03</v>
      </c>
      <c r="R206">
        <v>384.04904212999998</v>
      </c>
      <c r="S206">
        <v>705.82085442000005</v>
      </c>
      <c r="T206">
        <v>-9.5786999999999999E-4</v>
      </c>
      <c r="U206">
        <v>0</v>
      </c>
      <c r="V206">
        <v>384.05</v>
      </c>
      <c r="W206" t="s">
        <v>0</v>
      </c>
      <c r="X206" t="s">
        <v>271</v>
      </c>
      <c r="Y206" t="s">
        <v>4242</v>
      </c>
      <c r="AA206" t="s">
        <v>4243</v>
      </c>
      <c r="AB206" t="s">
        <v>181</v>
      </c>
    </row>
    <row r="207" spans="1:28" x14ac:dyDescent="0.25">
      <c r="A207" t="s">
        <v>3788</v>
      </c>
      <c r="B207" t="s">
        <v>3789</v>
      </c>
      <c r="C207" t="s">
        <v>646</v>
      </c>
      <c r="D207" t="s">
        <v>3779</v>
      </c>
      <c r="E207" t="s">
        <v>647</v>
      </c>
      <c r="F207" t="s">
        <v>3780</v>
      </c>
      <c r="G207" t="s">
        <v>769</v>
      </c>
      <c r="H207" t="s">
        <v>703</v>
      </c>
      <c r="I207" t="s">
        <v>3790</v>
      </c>
      <c r="J207" t="s">
        <v>599</v>
      </c>
      <c r="K207" t="s">
        <v>166</v>
      </c>
      <c r="L207" t="s">
        <v>0</v>
      </c>
      <c r="M207" t="s">
        <v>178</v>
      </c>
      <c r="N207">
        <v>1075.4340999999999</v>
      </c>
      <c r="O207">
        <v>423.58390000000003</v>
      </c>
      <c r="P207">
        <v>18581.46</v>
      </c>
      <c r="Q207">
        <v>36674.550000000003</v>
      </c>
      <c r="R207">
        <v>2092.0123788699998</v>
      </c>
      <c r="S207">
        <v>6833.9392863399999</v>
      </c>
      <c r="T207">
        <v>44.742378870000003</v>
      </c>
      <c r="U207">
        <v>917.81</v>
      </c>
      <c r="V207">
        <v>3010.08</v>
      </c>
      <c r="W207" t="s">
        <v>598</v>
      </c>
      <c r="X207" t="s">
        <v>271</v>
      </c>
      <c r="Y207" t="s">
        <v>3791</v>
      </c>
      <c r="AA207" t="s">
        <v>3792</v>
      </c>
      <c r="AB207" t="s">
        <v>181</v>
      </c>
    </row>
    <row r="208" spans="1:28" x14ac:dyDescent="0.25">
      <c r="A208" t="s">
        <v>4031</v>
      </c>
      <c r="B208" t="s">
        <v>4032</v>
      </c>
      <c r="C208" t="s">
        <v>646</v>
      </c>
      <c r="D208" t="s">
        <v>3779</v>
      </c>
      <c r="E208" t="s">
        <v>647</v>
      </c>
      <c r="F208" t="s">
        <v>3780</v>
      </c>
      <c r="G208" t="s">
        <v>769</v>
      </c>
      <c r="H208" t="s">
        <v>708</v>
      </c>
      <c r="I208" t="s">
        <v>1513</v>
      </c>
      <c r="J208" t="s">
        <v>333</v>
      </c>
      <c r="K208" t="s">
        <v>166</v>
      </c>
      <c r="L208" t="s">
        <v>0</v>
      </c>
      <c r="M208" t="s">
        <v>178</v>
      </c>
      <c r="N208">
        <v>1121.6666</v>
      </c>
      <c r="O208">
        <v>444.66660000000002</v>
      </c>
      <c r="P208">
        <v>8045.81</v>
      </c>
      <c r="Q208">
        <v>23246.65</v>
      </c>
      <c r="R208">
        <v>-3680.13</v>
      </c>
      <c r="S208">
        <v>7722.5798026000002</v>
      </c>
      <c r="T208">
        <v>0</v>
      </c>
      <c r="U208">
        <v>6678</v>
      </c>
      <c r="V208">
        <v>2997.87</v>
      </c>
      <c r="W208" t="s">
        <v>718</v>
      </c>
      <c r="X208" t="s">
        <v>271</v>
      </c>
      <c r="Y208" t="s">
        <v>4033</v>
      </c>
      <c r="AA208" t="s">
        <v>4034</v>
      </c>
      <c r="AB208" t="s">
        <v>181</v>
      </c>
    </row>
    <row r="209" spans="1:28" x14ac:dyDescent="0.25">
      <c r="A209" t="s">
        <v>3788</v>
      </c>
      <c r="B209" t="s">
        <v>3789</v>
      </c>
      <c r="C209" t="s">
        <v>646</v>
      </c>
      <c r="D209" t="s">
        <v>3779</v>
      </c>
      <c r="E209" t="s">
        <v>647</v>
      </c>
      <c r="F209" t="s">
        <v>3780</v>
      </c>
      <c r="G209" t="s">
        <v>769</v>
      </c>
      <c r="H209" t="s">
        <v>672</v>
      </c>
      <c r="I209" t="s">
        <v>3790</v>
      </c>
      <c r="J209" t="s">
        <v>599</v>
      </c>
      <c r="K209" t="s">
        <v>166</v>
      </c>
      <c r="L209" t="s">
        <v>0</v>
      </c>
      <c r="M209" t="s">
        <v>178</v>
      </c>
      <c r="N209">
        <v>682</v>
      </c>
      <c r="O209">
        <v>631</v>
      </c>
      <c r="P209">
        <v>14666.88</v>
      </c>
      <c r="Q209">
        <v>19182.37</v>
      </c>
      <c r="R209">
        <v>789.80827994000003</v>
      </c>
      <c r="S209">
        <v>3299.4267320600002</v>
      </c>
      <c r="T209">
        <v>299.99827993999997</v>
      </c>
      <c r="U209">
        <v>655.11</v>
      </c>
      <c r="V209">
        <v>1443.83</v>
      </c>
      <c r="W209" t="s">
        <v>598</v>
      </c>
      <c r="X209" t="s">
        <v>271</v>
      </c>
      <c r="Y209" t="s">
        <v>3791</v>
      </c>
      <c r="AA209" t="s">
        <v>3792</v>
      </c>
      <c r="AB209" t="s">
        <v>181</v>
      </c>
    </row>
    <row r="210" spans="1:28" x14ac:dyDescent="0.25">
      <c r="A210" t="s">
        <v>4244</v>
      </c>
      <c r="B210" t="s">
        <v>4245</v>
      </c>
      <c r="C210" t="s">
        <v>646</v>
      </c>
      <c r="D210" t="s">
        <v>3779</v>
      </c>
      <c r="E210" t="s">
        <v>647</v>
      </c>
      <c r="F210" t="s">
        <v>3780</v>
      </c>
      <c r="G210" t="s">
        <v>769</v>
      </c>
      <c r="H210" t="s">
        <v>770</v>
      </c>
      <c r="I210" t="s">
        <v>1251</v>
      </c>
      <c r="J210" t="s">
        <v>821</v>
      </c>
      <c r="K210" t="s">
        <v>166</v>
      </c>
      <c r="L210" t="s">
        <v>0</v>
      </c>
      <c r="M210" t="s">
        <v>178</v>
      </c>
      <c r="N210">
        <v>528.25</v>
      </c>
      <c r="O210">
        <v>327.25</v>
      </c>
      <c r="P210">
        <v>8939.6</v>
      </c>
      <c r="Q210">
        <v>14675.89</v>
      </c>
      <c r="R210">
        <v>3833.56</v>
      </c>
      <c r="S210">
        <v>1566.1234201300001</v>
      </c>
      <c r="T210">
        <v>0</v>
      </c>
      <c r="U210">
        <v>0</v>
      </c>
      <c r="V210">
        <v>3833.56</v>
      </c>
      <c r="W210" t="s">
        <v>822</v>
      </c>
      <c r="X210" t="s">
        <v>269</v>
      </c>
      <c r="Y210" t="s">
        <v>4246</v>
      </c>
      <c r="AA210" t="s">
        <v>4247</v>
      </c>
      <c r="AB210" t="s">
        <v>181</v>
      </c>
    </row>
    <row r="211" spans="1:28" x14ac:dyDescent="0.25">
      <c r="A211" t="s">
        <v>4102</v>
      </c>
      <c r="B211" t="s">
        <v>4103</v>
      </c>
      <c r="C211" t="s">
        <v>646</v>
      </c>
      <c r="D211" t="s">
        <v>3779</v>
      </c>
      <c r="E211" t="s">
        <v>647</v>
      </c>
      <c r="F211" t="s">
        <v>3780</v>
      </c>
      <c r="G211" t="s">
        <v>769</v>
      </c>
      <c r="H211" t="s">
        <v>802</v>
      </c>
      <c r="I211" t="s">
        <v>4104</v>
      </c>
      <c r="J211" t="s">
        <v>4105</v>
      </c>
      <c r="K211" t="s">
        <v>166</v>
      </c>
      <c r="L211" t="s">
        <v>0</v>
      </c>
      <c r="M211" t="s">
        <v>178</v>
      </c>
      <c r="N211">
        <v>408.45</v>
      </c>
      <c r="O211">
        <v>405</v>
      </c>
      <c r="P211">
        <v>7114.39</v>
      </c>
      <c r="Q211">
        <v>21617.85</v>
      </c>
      <c r="R211">
        <v>4840.12</v>
      </c>
      <c r="S211">
        <v>2484.9656181599998</v>
      </c>
      <c r="T211">
        <v>0</v>
      </c>
      <c r="U211">
        <v>0</v>
      </c>
      <c r="V211">
        <v>4840.12</v>
      </c>
      <c r="W211" t="s">
        <v>4106</v>
      </c>
      <c r="X211" t="s">
        <v>269</v>
      </c>
      <c r="Y211" t="s">
        <v>4107</v>
      </c>
      <c r="AA211" t="s">
        <v>4108</v>
      </c>
      <c r="AB211" t="s">
        <v>181</v>
      </c>
    </row>
    <row r="212" spans="1:28" x14ac:dyDescent="0.25">
      <c r="A212" t="s">
        <v>3985</v>
      </c>
      <c r="B212" t="s">
        <v>3986</v>
      </c>
      <c r="C212" t="s">
        <v>646</v>
      </c>
      <c r="D212" t="s">
        <v>3779</v>
      </c>
      <c r="E212" t="s">
        <v>647</v>
      </c>
      <c r="F212" t="s">
        <v>3780</v>
      </c>
      <c r="G212" t="s">
        <v>769</v>
      </c>
      <c r="H212" t="s">
        <v>679</v>
      </c>
      <c r="I212" t="s">
        <v>3987</v>
      </c>
      <c r="J212" t="s">
        <v>3988</v>
      </c>
      <c r="K212" t="s">
        <v>166</v>
      </c>
      <c r="L212" t="s">
        <v>0</v>
      </c>
      <c r="M212" t="s">
        <v>178</v>
      </c>
      <c r="N212">
        <v>25</v>
      </c>
      <c r="O212">
        <v>18</v>
      </c>
      <c r="P212">
        <v>255.9</v>
      </c>
      <c r="Q212">
        <v>1346.98</v>
      </c>
      <c r="R212">
        <v>23.61773556</v>
      </c>
      <c r="S212">
        <v>469.60876165000002</v>
      </c>
      <c r="T212">
        <v>-0.54226443999999996</v>
      </c>
      <c r="U212">
        <v>0</v>
      </c>
      <c r="V212">
        <v>24.16</v>
      </c>
      <c r="W212" t="s">
        <v>3989</v>
      </c>
      <c r="X212" t="s">
        <v>271</v>
      </c>
      <c r="Y212" t="s">
        <v>3990</v>
      </c>
      <c r="AA212" t="s">
        <v>3991</v>
      </c>
      <c r="AB212" t="s">
        <v>181</v>
      </c>
    </row>
    <row r="213" spans="1:28" x14ac:dyDescent="0.25">
      <c r="A213" t="s">
        <v>4147</v>
      </c>
      <c r="B213" t="s">
        <v>4148</v>
      </c>
      <c r="C213" t="s">
        <v>646</v>
      </c>
      <c r="D213" t="s">
        <v>3779</v>
      </c>
      <c r="E213" t="s">
        <v>647</v>
      </c>
      <c r="F213" t="s">
        <v>3780</v>
      </c>
      <c r="G213" t="s">
        <v>769</v>
      </c>
      <c r="H213" t="s">
        <v>909</v>
      </c>
      <c r="I213" t="s">
        <v>1301</v>
      </c>
      <c r="J213" t="s">
        <v>1302</v>
      </c>
      <c r="K213" t="s">
        <v>166</v>
      </c>
      <c r="L213" t="s">
        <v>0</v>
      </c>
      <c r="M213" t="s">
        <v>178</v>
      </c>
      <c r="N213">
        <v>197</v>
      </c>
      <c r="O213">
        <v>195</v>
      </c>
      <c r="P213">
        <v>6768.2</v>
      </c>
      <c r="Q213">
        <v>6030.44</v>
      </c>
      <c r="R213">
        <v>1008.9359418400001</v>
      </c>
      <c r="S213">
        <v>966.69184571999995</v>
      </c>
      <c r="T213">
        <v>2.5941840000000001E-2</v>
      </c>
      <c r="U213">
        <v>0</v>
      </c>
      <c r="V213">
        <v>1008.91</v>
      </c>
      <c r="W213" t="s">
        <v>1303</v>
      </c>
      <c r="X213" t="s">
        <v>269</v>
      </c>
      <c r="Y213" t="s">
        <v>4149</v>
      </c>
      <c r="AA213" t="s">
        <v>4150</v>
      </c>
      <c r="AB213" t="s">
        <v>181</v>
      </c>
    </row>
    <row r="214" spans="1:28" x14ac:dyDescent="0.25">
      <c r="A214" t="s">
        <v>3853</v>
      </c>
      <c r="B214" t="s">
        <v>3854</v>
      </c>
      <c r="C214" t="s">
        <v>646</v>
      </c>
      <c r="D214" t="s">
        <v>3779</v>
      </c>
      <c r="E214" t="s">
        <v>647</v>
      </c>
      <c r="F214" t="s">
        <v>3780</v>
      </c>
      <c r="G214" t="s">
        <v>769</v>
      </c>
      <c r="H214" t="s">
        <v>679</v>
      </c>
      <c r="I214" t="s">
        <v>746</v>
      </c>
      <c r="J214" t="s">
        <v>504</v>
      </c>
      <c r="K214" t="s">
        <v>166</v>
      </c>
      <c r="L214" t="s">
        <v>0</v>
      </c>
      <c r="M214" t="s">
        <v>178</v>
      </c>
      <c r="N214">
        <v>118</v>
      </c>
      <c r="O214">
        <v>95</v>
      </c>
      <c r="P214">
        <v>729.64</v>
      </c>
      <c r="Q214">
        <v>2621.17</v>
      </c>
      <c r="R214">
        <v>485.99486507</v>
      </c>
      <c r="S214">
        <v>663.58429525999998</v>
      </c>
      <c r="T214">
        <v>-4.44513493</v>
      </c>
      <c r="U214">
        <v>0</v>
      </c>
      <c r="V214">
        <v>490.44</v>
      </c>
      <c r="W214" t="s">
        <v>503</v>
      </c>
      <c r="X214" t="s">
        <v>271</v>
      </c>
      <c r="Y214" t="s">
        <v>3855</v>
      </c>
      <c r="AA214" t="s">
        <v>3856</v>
      </c>
      <c r="AB214" t="s">
        <v>181</v>
      </c>
    </row>
    <row r="215" spans="1:28" x14ac:dyDescent="0.25">
      <c r="A215" t="s">
        <v>4248</v>
      </c>
      <c r="B215" t="s">
        <v>4249</v>
      </c>
      <c r="C215" t="s">
        <v>646</v>
      </c>
      <c r="D215" t="s">
        <v>3779</v>
      </c>
      <c r="E215" t="s">
        <v>647</v>
      </c>
      <c r="F215" t="s">
        <v>3780</v>
      </c>
      <c r="G215" t="s">
        <v>769</v>
      </c>
      <c r="H215" t="s">
        <v>1045</v>
      </c>
      <c r="I215" t="s">
        <v>1913</v>
      </c>
      <c r="J215" t="s">
        <v>1914</v>
      </c>
      <c r="K215" t="s">
        <v>166</v>
      </c>
      <c r="L215" t="s">
        <v>0</v>
      </c>
      <c r="M215" t="s">
        <v>178</v>
      </c>
      <c r="N215">
        <v>29</v>
      </c>
      <c r="O215">
        <v>29</v>
      </c>
      <c r="P215">
        <v>358</v>
      </c>
      <c r="Q215">
        <v>2585.39</v>
      </c>
      <c r="R215">
        <v>125.62</v>
      </c>
      <c r="S215">
        <v>164.86326181999999</v>
      </c>
      <c r="T215">
        <v>0</v>
      </c>
      <c r="U215">
        <v>0</v>
      </c>
      <c r="V215">
        <v>125.62</v>
      </c>
      <c r="W215" t="s">
        <v>1915</v>
      </c>
      <c r="X215" t="s">
        <v>269</v>
      </c>
      <c r="Y215" t="s">
        <v>4250</v>
      </c>
      <c r="AA215" t="s">
        <v>4251</v>
      </c>
      <c r="AB215" t="s">
        <v>181</v>
      </c>
    </row>
    <row r="216" spans="1:28" x14ac:dyDescent="0.25">
      <c r="A216" t="s">
        <v>3819</v>
      </c>
      <c r="B216" t="s">
        <v>3820</v>
      </c>
      <c r="C216" t="s">
        <v>646</v>
      </c>
      <c r="D216" t="s">
        <v>3779</v>
      </c>
      <c r="E216" t="s">
        <v>647</v>
      </c>
      <c r="F216" t="s">
        <v>3780</v>
      </c>
      <c r="G216" t="s">
        <v>769</v>
      </c>
      <c r="H216" t="s">
        <v>679</v>
      </c>
      <c r="I216" t="s">
        <v>798</v>
      </c>
      <c r="J216" t="s">
        <v>524</v>
      </c>
      <c r="K216" t="s">
        <v>166</v>
      </c>
      <c r="L216" t="s">
        <v>0</v>
      </c>
      <c r="M216" t="s">
        <v>178</v>
      </c>
      <c r="N216">
        <v>735.1</v>
      </c>
      <c r="O216">
        <v>596.1</v>
      </c>
      <c r="P216">
        <v>10772.17</v>
      </c>
      <c r="Q216">
        <v>30689.55</v>
      </c>
      <c r="R216">
        <v>747.72283172000004</v>
      </c>
      <c r="S216">
        <v>13213.82302233</v>
      </c>
      <c r="T216">
        <v>-18.387168280000001</v>
      </c>
      <c r="U216">
        <v>829.48</v>
      </c>
      <c r="V216">
        <v>1595.59</v>
      </c>
      <c r="W216" t="s">
        <v>258</v>
      </c>
      <c r="X216" t="s">
        <v>271</v>
      </c>
      <c r="Y216" t="s">
        <v>3821</v>
      </c>
      <c r="AA216" t="s">
        <v>3822</v>
      </c>
      <c r="AB216" t="s">
        <v>181</v>
      </c>
    </row>
    <row r="217" spans="1:28" x14ac:dyDescent="0.25">
      <c r="A217" t="s">
        <v>3925</v>
      </c>
      <c r="B217" t="s">
        <v>3926</v>
      </c>
      <c r="C217" t="s">
        <v>646</v>
      </c>
      <c r="D217" t="s">
        <v>3779</v>
      </c>
      <c r="E217" t="s">
        <v>647</v>
      </c>
      <c r="F217" t="s">
        <v>3780</v>
      </c>
      <c r="G217" t="s">
        <v>769</v>
      </c>
      <c r="H217" t="s">
        <v>649</v>
      </c>
      <c r="I217" t="s">
        <v>2284</v>
      </c>
      <c r="J217" t="s">
        <v>2285</v>
      </c>
      <c r="K217" t="s">
        <v>166</v>
      </c>
      <c r="L217" t="s">
        <v>0</v>
      </c>
      <c r="M217" t="s">
        <v>178</v>
      </c>
      <c r="N217">
        <v>90</v>
      </c>
      <c r="O217">
        <v>67</v>
      </c>
      <c r="P217">
        <v>1764.73</v>
      </c>
      <c r="Q217">
        <v>6983.87</v>
      </c>
      <c r="R217">
        <v>1495.49</v>
      </c>
      <c r="S217">
        <v>846.37573983000004</v>
      </c>
      <c r="T217">
        <v>0</v>
      </c>
      <c r="U217">
        <v>0</v>
      </c>
      <c r="V217">
        <v>1495.49</v>
      </c>
      <c r="W217" t="s">
        <v>453</v>
      </c>
      <c r="X217" t="s">
        <v>271</v>
      </c>
      <c r="Y217" t="s">
        <v>3927</v>
      </c>
      <c r="AA217" t="s">
        <v>3928</v>
      </c>
      <c r="AB217" t="s">
        <v>181</v>
      </c>
    </row>
    <row r="218" spans="1:28" x14ac:dyDescent="0.25">
      <c r="A218" t="s">
        <v>4252</v>
      </c>
      <c r="B218" t="s">
        <v>4253</v>
      </c>
      <c r="C218" t="s">
        <v>646</v>
      </c>
      <c r="D218" t="s">
        <v>3779</v>
      </c>
      <c r="E218" t="s">
        <v>647</v>
      </c>
      <c r="F218" t="s">
        <v>3780</v>
      </c>
      <c r="G218" t="s">
        <v>769</v>
      </c>
      <c r="H218" t="s">
        <v>797</v>
      </c>
      <c r="I218" t="s">
        <v>1046</v>
      </c>
      <c r="J218" t="s">
        <v>971</v>
      </c>
      <c r="K218" t="s">
        <v>166</v>
      </c>
      <c r="L218" t="s">
        <v>0</v>
      </c>
      <c r="M218" t="s">
        <v>178</v>
      </c>
      <c r="N218">
        <v>187</v>
      </c>
      <c r="O218">
        <v>91</v>
      </c>
      <c r="P218">
        <v>1514</v>
      </c>
      <c r="Q218">
        <v>4658.6099999999997</v>
      </c>
      <c r="R218">
        <v>568.06333169000004</v>
      </c>
      <c r="S218">
        <v>753.99716683999998</v>
      </c>
      <c r="T218">
        <v>1.333169E-2</v>
      </c>
      <c r="U218">
        <v>0</v>
      </c>
      <c r="V218">
        <v>568.04999999999995</v>
      </c>
      <c r="W218" t="s">
        <v>972</v>
      </c>
      <c r="X218" t="s">
        <v>269</v>
      </c>
      <c r="Y218" t="s">
        <v>4254</v>
      </c>
      <c r="AA218" t="s">
        <v>4255</v>
      </c>
      <c r="AB218" t="s">
        <v>181</v>
      </c>
    </row>
    <row r="219" spans="1:28" x14ac:dyDescent="0.25">
      <c r="A219" t="s">
        <v>4159</v>
      </c>
      <c r="B219" t="s">
        <v>257</v>
      </c>
      <c r="C219" t="s">
        <v>646</v>
      </c>
      <c r="D219" t="s">
        <v>3779</v>
      </c>
      <c r="E219" t="s">
        <v>647</v>
      </c>
      <c r="F219" t="s">
        <v>3780</v>
      </c>
      <c r="G219" t="s">
        <v>769</v>
      </c>
      <c r="H219" t="s">
        <v>770</v>
      </c>
      <c r="I219" t="s">
        <v>673</v>
      </c>
      <c r="J219" t="s">
        <v>674</v>
      </c>
      <c r="K219" t="s">
        <v>166</v>
      </c>
      <c r="L219" t="s">
        <v>0</v>
      </c>
      <c r="M219" t="s">
        <v>178</v>
      </c>
      <c r="N219">
        <v>318</v>
      </c>
      <c r="O219">
        <v>3</v>
      </c>
      <c r="P219">
        <v>4402</v>
      </c>
      <c r="Q219">
        <v>6453.02</v>
      </c>
      <c r="R219">
        <v>1590.71</v>
      </c>
      <c r="S219">
        <v>864.88337548000004</v>
      </c>
      <c r="T219">
        <v>0</v>
      </c>
      <c r="U219">
        <v>0</v>
      </c>
      <c r="V219">
        <v>1590.71</v>
      </c>
      <c r="W219" t="s">
        <v>675</v>
      </c>
      <c r="X219" t="s">
        <v>271</v>
      </c>
      <c r="Y219" t="s">
        <v>4160</v>
      </c>
      <c r="AA219" t="s">
        <v>4161</v>
      </c>
      <c r="AB219" t="s">
        <v>181</v>
      </c>
    </row>
    <row r="220" spans="1:28" x14ac:dyDescent="0.25">
      <c r="A220" t="s">
        <v>3985</v>
      </c>
      <c r="B220" t="s">
        <v>3986</v>
      </c>
      <c r="C220" t="s">
        <v>646</v>
      </c>
      <c r="D220" t="s">
        <v>3779</v>
      </c>
      <c r="E220" t="s">
        <v>647</v>
      </c>
      <c r="F220" t="s">
        <v>3780</v>
      </c>
      <c r="G220" t="s">
        <v>769</v>
      </c>
      <c r="H220" t="s">
        <v>672</v>
      </c>
      <c r="I220" t="s">
        <v>3987</v>
      </c>
      <c r="J220" t="s">
        <v>3988</v>
      </c>
      <c r="K220" t="s">
        <v>166</v>
      </c>
      <c r="L220" t="s">
        <v>0</v>
      </c>
      <c r="M220" t="s">
        <v>178</v>
      </c>
      <c r="N220">
        <v>160</v>
      </c>
      <c r="O220">
        <v>15</v>
      </c>
      <c r="P220">
        <v>3930.51</v>
      </c>
      <c r="Q220">
        <v>6895.16</v>
      </c>
      <c r="R220">
        <v>1051.11611184</v>
      </c>
      <c r="S220">
        <v>525.09983590000002</v>
      </c>
      <c r="T220">
        <v>4.6111840000000001E-2</v>
      </c>
      <c r="U220">
        <v>0</v>
      </c>
      <c r="V220">
        <v>1051.07</v>
      </c>
      <c r="W220" t="s">
        <v>3989</v>
      </c>
      <c r="X220" t="s">
        <v>271</v>
      </c>
      <c r="Y220" t="s">
        <v>3990</v>
      </c>
      <c r="AA220" t="s">
        <v>3991</v>
      </c>
      <c r="AB220" t="s">
        <v>181</v>
      </c>
    </row>
    <row r="221" spans="1:28" x14ac:dyDescent="0.25">
      <c r="A221" t="s">
        <v>4074</v>
      </c>
      <c r="B221" t="s">
        <v>4075</v>
      </c>
      <c r="C221" t="s">
        <v>646</v>
      </c>
      <c r="D221" t="s">
        <v>3779</v>
      </c>
      <c r="E221" t="s">
        <v>647</v>
      </c>
      <c r="F221" t="s">
        <v>3780</v>
      </c>
      <c r="G221" t="s">
        <v>769</v>
      </c>
      <c r="H221" t="s">
        <v>672</v>
      </c>
      <c r="I221" t="s">
        <v>1284</v>
      </c>
      <c r="J221" t="s">
        <v>1285</v>
      </c>
      <c r="K221" t="s">
        <v>166</v>
      </c>
      <c r="L221" t="s">
        <v>0</v>
      </c>
      <c r="M221" t="s">
        <v>178</v>
      </c>
      <c r="N221">
        <v>404</v>
      </c>
      <c r="O221">
        <v>368</v>
      </c>
      <c r="P221">
        <v>8872.2000000000007</v>
      </c>
      <c r="Q221">
        <v>15645.44</v>
      </c>
      <c r="R221">
        <v>3841.00275246</v>
      </c>
      <c r="S221">
        <v>3009.50944235</v>
      </c>
      <c r="T221">
        <v>0.16275245999999999</v>
      </c>
      <c r="U221">
        <v>0</v>
      </c>
      <c r="V221">
        <v>3840.84</v>
      </c>
      <c r="W221" t="s">
        <v>1286</v>
      </c>
      <c r="X221" t="s">
        <v>269</v>
      </c>
      <c r="Y221" t="s">
        <v>4076</v>
      </c>
      <c r="AA221" t="s">
        <v>4077</v>
      </c>
      <c r="AB221" t="s">
        <v>181</v>
      </c>
    </row>
    <row r="222" spans="1:28" x14ac:dyDescent="0.25">
      <c r="A222" t="s">
        <v>4256</v>
      </c>
      <c r="B222" t="s">
        <v>4257</v>
      </c>
      <c r="C222" t="s">
        <v>646</v>
      </c>
      <c r="D222" t="s">
        <v>3779</v>
      </c>
      <c r="E222" t="s">
        <v>647</v>
      </c>
      <c r="F222" t="s">
        <v>3780</v>
      </c>
      <c r="G222" t="s">
        <v>769</v>
      </c>
      <c r="H222" t="s">
        <v>761</v>
      </c>
      <c r="I222" t="s">
        <v>2284</v>
      </c>
      <c r="J222" t="s">
        <v>2285</v>
      </c>
      <c r="K222" t="s">
        <v>166</v>
      </c>
      <c r="L222" t="s">
        <v>0</v>
      </c>
      <c r="M222" t="s">
        <v>178</v>
      </c>
      <c r="N222">
        <v>34</v>
      </c>
      <c r="O222">
        <v>24</v>
      </c>
      <c r="P222">
        <v>1195.8</v>
      </c>
      <c r="Q222">
        <v>1428.6</v>
      </c>
      <c r="R222">
        <v>501.12</v>
      </c>
      <c r="S222">
        <v>229.33420957000001</v>
      </c>
      <c r="T222">
        <v>0</v>
      </c>
      <c r="U222">
        <v>0</v>
      </c>
      <c r="V222">
        <v>501.12</v>
      </c>
      <c r="W222" t="s">
        <v>453</v>
      </c>
      <c r="X222" t="s">
        <v>271</v>
      </c>
      <c r="Y222" t="s">
        <v>4258</v>
      </c>
      <c r="AA222" t="s">
        <v>4259</v>
      </c>
      <c r="AB222" t="s">
        <v>181</v>
      </c>
    </row>
    <row r="223" spans="1:28" x14ac:dyDescent="0.25">
      <c r="A223" t="s">
        <v>4092</v>
      </c>
      <c r="B223" t="s">
        <v>4093</v>
      </c>
      <c r="C223" t="s">
        <v>646</v>
      </c>
      <c r="D223" t="s">
        <v>3779</v>
      </c>
      <c r="E223" t="s">
        <v>647</v>
      </c>
      <c r="F223" t="s">
        <v>3780</v>
      </c>
      <c r="G223" t="s">
        <v>769</v>
      </c>
      <c r="H223" t="s">
        <v>757</v>
      </c>
      <c r="I223" t="s">
        <v>4094</v>
      </c>
      <c r="J223" t="s">
        <v>370</v>
      </c>
      <c r="K223" t="s">
        <v>166</v>
      </c>
      <c r="L223" t="s">
        <v>0</v>
      </c>
      <c r="M223" t="s">
        <v>178</v>
      </c>
      <c r="N223">
        <v>280</v>
      </c>
      <c r="O223">
        <v>167</v>
      </c>
      <c r="P223">
        <v>5932.91</v>
      </c>
      <c r="Q223">
        <v>8583.32</v>
      </c>
      <c r="R223">
        <v>1195.2607050300001</v>
      </c>
      <c r="S223">
        <v>1427.09802393</v>
      </c>
      <c r="T223">
        <v>9.78070503</v>
      </c>
      <c r="U223">
        <v>0</v>
      </c>
      <c r="V223">
        <v>1185.48</v>
      </c>
      <c r="W223" t="s">
        <v>314</v>
      </c>
      <c r="X223" t="s">
        <v>271</v>
      </c>
      <c r="Y223" t="s">
        <v>4095</v>
      </c>
      <c r="Z223" t="s">
        <v>4096</v>
      </c>
      <c r="AA223" t="s">
        <v>4097</v>
      </c>
      <c r="AB223" t="s">
        <v>181</v>
      </c>
    </row>
    <row r="224" spans="1:28" x14ac:dyDescent="0.25">
      <c r="A224" t="s">
        <v>3998</v>
      </c>
      <c r="B224" t="s">
        <v>3999</v>
      </c>
      <c r="C224" t="s">
        <v>646</v>
      </c>
      <c r="D224" t="s">
        <v>3779</v>
      </c>
      <c r="E224" t="s">
        <v>647</v>
      </c>
      <c r="F224" t="s">
        <v>3780</v>
      </c>
      <c r="G224" t="s">
        <v>769</v>
      </c>
      <c r="H224" t="s">
        <v>672</v>
      </c>
      <c r="I224" t="s">
        <v>1636</v>
      </c>
      <c r="J224" t="s">
        <v>1637</v>
      </c>
      <c r="K224" t="s">
        <v>166</v>
      </c>
      <c r="L224" t="s">
        <v>0</v>
      </c>
      <c r="M224" t="s">
        <v>178</v>
      </c>
      <c r="N224">
        <v>116</v>
      </c>
      <c r="O224">
        <v>39</v>
      </c>
      <c r="P224">
        <v>3154.96</v>
      </c>
      <c r="Q224">
        <v>4701.62</v>
      </c>
      <c r="R224">
        <v>352.53078040000003</v>
      </c>
      <c r="S224">
        <v>498.20330224999998</v>
      </c>
      <c r="T224">
        <v>-1.1492195999999999</v>
      </c>
      <c r="U224">
        <v>0</v>
      </c>
      <c r="V224">
        <v>353.68</v>
      </c>
      <c r="W224" t="s">
        <v>1638</v>
      </c>
      <c r="X224" t="s">
        <v>271</v>
      </c>
      <c r="Y224" t="s">
        <v>4000</v>
      </c>
      <c r="AA224" t="s">
        <v>4001</v>
      </c>
      <c r="AB224" t="s">
        <v>181</v>
      </c>
    </row>
    <row r="225" spans="1:28" x14ac:dyDescent="0.25">
      <c r="A225" t="s">
        <v>3917</v>
      </c>
      <c r="B225" t="s">
        <v>3918</v>
      </c>
      <c r="C225" t="s">
        <v>646</v>
      </c>
      <c r="D225" t="s">
        <v>3779</v>
      </c>
      <c r="E225" t="s">
        <v>647</v>
      </c>
      <c r="F225" t="s">
        <v>3780</v>
      </c>
      <c r="G225" t="s">
        <v>769</v>
      </c>
      <c r="H225" t="s">
        <v>761</v>
      </c>
      <c r="I225" t="s">
        <v>1083</v>
      </c>
      <c r="J225" t="s">
        <v>731</v>
      </c>
      <c r="K225" t="s">
        <v>166</v>
      </c>
      <c r="L225" t="s">
        <v>0</v>
      </c>
      <c r="M225" t="s">
        <v>178</v>
      </c>
      <c r="N225">
        <v>25</v>
      </c>
      <c r="O225">
        <v>24</v>
      </c>
      <c r="P225">
        <v>784.08</v>
      </c>
      <c r="Q225">
        <v>1630.11</v>
      </c>
      <c r="R225">
        <v>287.02</v>
      </c>
      <c r="S225">
        <v>355.48130544999998</v>
      </c>
      <c r="T225">
        <v>0</v>
      </c>
      <c r="U225">
        <v>0</v>
      </c>
      <c r="V225">
        <v>287.02</v>
      </c>
      <c r="W225" t="s">
        <v>0</v>
      </c>
      <c r="X225" t="s">
        <v>271</v>
      </c>
      <c r="Y225" t="s">
        <v>3919</v>
      </c>
      <c r="AA225" t="s">
        <v>3920</v>
      </c>
      <c r="AB225" t="s">
        <v>181</v>
      </c>
    </row>
    <row r="226" spans="1:28" x14ac:dyDescent="0.25">
      <c r="A226" t="s">
        <v>3956</v>
      </c>
      <c r="B226" t="s">
        <v>3957</v>
      </c>
      <c r="C226" t="s">
        <v>646</v>
      </c>
      <c r="D226" t="s">
        <v>3779</v>
      </c>
      <c r="E226" t="s">
        <v>647</v>
      </c>
      <c r="F226" t="s">
        <v>666</v>
      </c>
      <c r="G226" t="s">
        <v>666</v>
      </c>
      <c r="H226" t="s">
        <v>761</v>
      </c>
      <c r="I226" t="s">
        <v>1068</v>
      </c>
      <c r="J226" t="s">
        <v>501</v>
      </c>
      <c r="K226" t="s">
        <v>166</v>
      </c>
      <c r="L226" t="s">
        <v>0</v>
      </c>
      <c r="M226" t="s">
        <v>178</v>
      </c>
      <c r="N226">
        <v>31</v>
      </c>
      <c r="O226">
        <v>15</v>
      </c>
      <c r="P226">
        <v>1391.63</v>
      </c>
      <c r="Q226">
        <v>1251.5999999999999</v>
      </c>
      <c r="R226">
        <v>409.62</v>
      </c>
      <c r="S226">
        <v>143.52145042999999</v>
      </c>
      <c r="T226">
        <v>0</v>
      </c>
      <c r="U226">
        <v>0</v>
      </c>
      <c r="V226">
        <v>409.62</v>
      </c>
      <c r="W226" t="s">
        <v>500</v>
      </c>
      <c r="X226" t="s">
        <v>271</v>
      </c>
      <c r="Y226" t="s">
        <v>3958</v>
      </c>
      <c r="AA226" t="s">
        <v>3959</v>
      </c>
      <c r="AB226" t="s">
        <v>181</v>
      </c>
    </row>
    <row r="227" spans="1:28" x14ac:dyDescent="0.25">
      <c r="A227" t="s">
        <v>4184</v>
      </c>
      <c r="B227" t="s">
        <v>4185</v>
      </c>
      <c r="C227" t="s">
        <v>646</v>
      </c>
      <c r="D227" t="s">
        <v>3779</v>
      </c>
      <c r="E227" t="s">
        <v>647</v>
      </c>
      <c r="F227" t="s">
        <v>3780</v>
      </c>
      <c r="G227" t="s">
        <v>769</v>
      </c>
      <c r="H227" t="s">
        <v>717</v>
      </c>
      <c r="I227" t="s">
        <v>4186</v>
      </c>
      <c r="J227" t="s">
        <v>1164</v>
      </c>
      <c r="K227" t="s">
        <v>166</v>
      </c>
      <c r="L227" t="s">
        <v>0</v>
      </c>
      <c r="M227" t="s">
        <v>178</v>
      </c>
      <c r="N227">
        <v>134</v>
      </c>
      <c r="O227">
        <v>19</v>
      </c>
      <c r="P227">
        <v>2954.37</v>
      </c>
      <c r="Q227">
        <v>9528.19</v>
      </c>
      <c r="R227">
        <v>357.68664991000003</v>
      </c>
      <c r="S227">
        <v>295.93881238</v>
      </c>
      <c r="T227">
        <v>6.6499100000000002E-3</v>
      </c>
      <c r="U227">
        <v>75.680000000000007</v>
      </c>
      <c r="V227">
        <v>433.36</v>
      </c>
      <c r="W227" t="s">
        <v>1165</v>
      </c>
      <c r="X227" t="s">
        <v>271</v>
      </c>
      <c r="Y227" t="s">
        <v>4187</v>
      </c>
      <c r="AA227" t="s">
        <v>4188</v>
      </c>
      <c r="AB227" t="s">
        <v>181</v>
      </c>
    </row>
    <row r="228" spans="1:28" x14ac:dyDescent="0.25">
      <c r="A228" t="s">
        <v>4035</v>
      </c>
      <c r="B228" t="s">
        <v>4036</v>
      </c>
      <c r="C228" t="s">
        <v>646</v>
      </c>
      <c r="D228" t="s">
        <v>3779</v>
      </c>
      <c r="E228" t="s">
        <v>647</v>
      </c>
      <c r="F228" t="s">
        <v>3780</v>
      </c>
      <c r="G228" t="s">
        <v>769</v>
      </c>
      <c r="H228" t="s">
        <v>962</v>
      </c>
      <c r="I228" t="s">
        <v>3464</v>
      </c>
      <c r="J228" t="s">
        <v>688</v>
      </c>
      <c r="K228" t="s">
        <v>166</v>
      </c>
      <c r="L228" t="s">
        <v>0</v>
      </c>
      <c r="M228" t="s">
        <v>178</v>
      </c>
      <c r="N228">
        <v>13</v>
      </c>
      <c r="O228">
        <v>13</v>
      </c>
      <c r="P228">
        <v>172.25</v>
      </c>
      <c r="Q228">
        <v>706.9</v>
      </c>
      <c r="R228">
        <v>138</v>
      </c>
      <c r="S228">
        <v>103.43408547999999</v>
      </c>
      <c r="T228">
        <v>0</v>
      </c>
      <c r="U228">
        <v>0</v>
      </c>
      <c r="V228">
        <v>138</v>
      </c>
      <c r="W228" t="s">
        <v>0</v>
      </c>
      <c r="X228" t="s">
        <v>271</v>
      </c>
      <c r="Y228" t="s">
        <v>4037</v>
      </c>
      <c r="AA228" t="s">
        <v>4038</v>
      </c>
      <c r="AB228" t="s">
        <v>181</v>
      </c>
    </row>
    <row r="229" spans="1:28" x14ac:dyDescent="0.25">
      <c r="A229" t="s">
        <v>4092</v>
      </c>
      <c r="B229" t="s">
        <v>4093</v>
      </c>
      <c r="C229" t="s">
        <v>646</v>
      </c>
      <c r="D229" t="s">
        <v>3779</v>
      </c>
      <c r="E229" t="s">
        <v>647</v>
      </c>
      <c r="F229" t="s">
        <v>3780</v>
      </c>
      <c r="G229" t="s">
        <v>769</v>
      </c>
      <c r="H229" t="s">
        <v>1171</v>
      </c>
      <c r="I229" t="s">
        <v>4094</v>
      </c>
      <c r="J229" t="s">
        <v>370</v>
      </c>
      <c r="K229" t="s">
        <v>166</v>
      </c>
      <c r="L229" t="s">
        <v>0</v>
      </c>
      <c r="M229" t="s">
        <v>178</v>
      </c>
      <c r="N229">
        <v>44</v>
      </c>
      <c r="O229">
        <v>0</v>
      </c>
      <c r="P229">
        <v>3171.3</v>
      </c>
      <c r="Q229">
        <v>24828.84</v>
      </c>
      <c r="R229">
        <v>1672.02</v>
      </c>
      <c r="S229">
        <v>306.99994233000001</v>
      </c>
      <c r="T229">
        <v>0</v>
      </c>
      <c r="U229">
        <v>0</v>
      </c>
      <c r="V229">
        <v>1672.02</v>
      </c>
      <c r="W229" t="s">
        <v>314</v>
      </c>
      <c r="X229" t="s">
        <v>271</v>
      </c>
      <c r="Y229" t="s">
        <v>4095</v>
      </c>
      <c r="Z229" t="s">
        <v>4096</v>
      </c>
      <c r="AA229" t="s">
        <v>4097</v>
      </c>
      <c r="AB229" t="s">
        <v>181</v>
      </c>
    </row>
    <row r="230" spans="1:28" x14ac:dyDescent="0.25">
      <c r="A230" t="s">
        <v>3806</v>
      </c>
      <c r="B230" t="s">
        <v>3807</v>
      </c>
      <c r="C230" t="s">
        <v>646</v>
      </c>
      <c r="D230" t="s">
        <v>3779</v>
      </c>
      <c r="E230" t="s">
        <v>647</v>
      </c>
      <c r="F230" t="s">
        <v>3780</v>
      </c>
      <c r="G230" t="s">
        <v>769</v>
      </c>
      <c r="H230" t="s">
        <v>672</v>
      </c>
      <c r="I230" t="s">
        <v>2071</v>
      </c>
      <c r="J230" t="s">
        <v>1664</v>
      </c>
      <c r="K230" t="s">
        <v>166</v>
      </c>
      <c r="L230" t="s">
        <v>0</v>
      </c>
      <c r="M230" t="s">
        <v>178</v>
      </c>
      <c r="N230">
        <v>319</v>
      </c>
      <c r="O230">
        <v>104</v>
      </c>
      <c r="P230">
        <v>6981.06</v>
      </c>
      <c r="Q230">
        <v>13173.13</v>
      </c>
      <c r="R230">
        <v>1370.87387601</v>
      </c>
      <c r="S230">
        <v>1609.5583447399999</v>
      </c>
      <c r="T230">
        <v>0.55387600999999997</v>
      </c>
      <c r="U230">
        <v>0</v>
      </c>
      <c r="V230">
        <v>1370.32</v>
      </c>
      <c r="W230" t="s">
        <v>1665</v>
      </c>
      <c r="X230" t="s">
        <v>271</v>
      </c>
      <c r="Y230" t="s">
        <v>3808</v>
      </c>
      <c r="AA230" t="s">
        <v>3809</v>
      </c>
      <c r="AB230" t="s">
        <v>181</v>
      </c>
    </row>
    <row r="231" spans="1:28" x14ac:dyDescent="0.25">
      <c r="A231" t="s">
        <v>3801</v>
      </c>
      <c r="B231" t="s">
        <v>3802</v>
      </c>
      <c r="C231" t="s">
        <v>646</v>
      </c>
      <c r="D231" t="s">
        <v>3779</v>
      </c>
      <c r="E231" t="s">
        <v>647</v>
      </c>
      <c r="F231" t="s">
        <v>666</v>
      </c>
      <c r="G231" t="s">
        <v>666</v>
      </c>
      <c r="H231" t="s">
        <v>649</v>
      </c>
      <c r="I231" t="s">
        <v>3803</v>
      </c>
      <c r="J231" t="s">
        <v>2577</v>
      </c>
      <c r="K231" t="s">
        <v>166</v>
      </c>
      <c r="L231" t="s">
        <v>0</v>
      </c>
      <c r="M231" t="s">
        <v>178</v>
      </c>
      <c r="N231">
        <v>138</v>
      </c>
      <c r="O231">
        <v>120</v>
      </c>
      <c r="P231">
        <v>2901.94</v>
      </c>
      <c r="Q231">
        <v>11432.37</v>
      </c>
      <c r="R231">
        <v>2108.9699999999998</v>
      </c>
      <c r="S231">
        <v>808.89906113999996</v>
      </c>
      <c r="T231">
        <v>0</v>
      </c>
      <c r="U231">
        <v>0</v>
      </c>
      <c r="V231">
        <v>2108.9699999999998</v>
      </c>
      <c r="W231" t="s">
        <v>2578</v>
      </c>
      <c r="X231" t="s">
        <v>271</v>
      </c>
      <c r="Y231" t="s">
        <v>3804</v>
      </c>
      <c r="AA231" t="s">
        <v>3805</v>
      </c>
      <c r="AB231" t="s">
        <v>181</v>
      </c>
    </row>
    <row r="232" spans="1:28" x14ac:dyDescent="0.25">
      <c r="A232" t="s">
        <v>4260</v>
      </c>
      <c r="B232" t="s">
        <v>4261</v>
      </c>
      <c r="C232" t="s">
        <v>646</v>
      </c>
      <c r="D232" t="s">
        <v>3779</v>
      </c>
      <c r="E232" t="s">
        <v>647</v>
      </c>
      <c r="F232" t="s">
        <v>666</v>
      </c>
      <c r="G232" t="s">
        <v>666</v>
      </c>
      <c r="H232" t="s">
        <v>672</v>
      </c>
      <c r="I232" t="s">
        <v>4262</v>
      </c>
      <c r="J232" t="s">
        <v>1180</v>
      </c>
      <c r="K232" t="s">
        <v>166</v>
      </c>
      <c r="L232" t="s">
        <v>0</v>
      </c>
      <c r="M232" t="s">
        <v>178</v>
      </c>
      <c r="N232">
        <v>57</v>
      </c>
      <c r="O232">
        <v>21</v>
      </c>
      <c r="P232">
        <v>904</v>
      </c>
      <c r="Q232">
        <v>2806.79</v>
      </c>
      <c r="R232">
        <v>887.25222369000005</v>
      </c>
      <c r="S232">
        <v>198.94894694000001</v>
      </c>
      <c r="T232">
        <v>9.2223689999999997E-2</v>
      </c>
      <c r="U232">
        <v>0</v>
      </c>
      <c r="V232">
        <v>887.16</v>
      </c>
      <c r="W232" t="s">
        <v>0</v>
      </c>
      <c r="X232" t="s">
        <v>271</v>
      </c>
      <c r="Y232" t="s">
        <v>4263</v>
      </c>
      <c r="AA232" t="s">
        <v>4264</v>
      </c>
      <c r="AB232" t="s">
        <v>181</v>
      </c>
    </row>
    <row r="233" spans="1:28" x14ac:dyDescent="0.25">
      <c r="A233" t="s">
        <v>4135</v>
      </c>
      <c r="B233" t="s">
        <v>4136</v>
      </c>
      <c r="C233" t="s">
        <v>646</v>
      </c>
      <c r="D233" t="s">
        <v>3779</v>
      </c>
      <c r="E233" t="s">
        <v>647</v>
      </c>
      <c r="F233" t="s">
        <v>3780</v>
      </c>
      <c r="G233" t="s">
        <v>769</v>
      </c>
      <c r="H233" t="s">
        <v>802</v>
      </c>
      <c r="I233" t="s">
        <v>1083</v>
      </c>
      <c r="J233" t="s">
        <v>731</v>
      </c>
      <c r="K233" t="s">
        <v>166</v>
      </c>
      <c r="L233" t="s">
        <v>0</v>
      </c>
      <c r="M233" t="s">
        <v>178</v>
      </c>
      <c r="N233">
        <v>1</v>
      </c>
      <c r="O233">
        <v>1</v>
      </c>
      <c r="P233">
        <v>6</v>
      </c>
      <c r="Q233">
        <v>29.93</v>
      </c>
      <c r="R233">
        <v>7.63</v>
      </c>
      <c r="S233">
        <v>5.5307434100000004</v>
      </c>
      <c r="T233">
        <v>0</v>
      </c>
      <c r="U233">
        <v>0</v>
      </c>
      <c r="V233">
        <v>7.63</v>
      </c>
      <c r="W233" t="s">
        <v>0</v>
      </c>
      <c r="X233" t="s">
        <v>271</v>
      </c>
      <c r="Y233" t="s">
        <v>4137</v>
      </c>
      <c r="AA233" t="s">
        <v>4138</v>
      </c>
      <c r="AB233" t="s">
        <v>181</v>
      </c>
    </row>
    <row r="234" spans="1:28" x14ac:dyDescent="0.25">
      <c r="A234" t="s">
        <v>4265</v>
      </c>
      <c r="B234" t="s">
        <v>4266</v>
      </c>
      <c r="C234" t="s">
        <v>646</v>
      </c>
      <c r="D234" t="s">
        <v>3779</v>
      </c>
      <c r="E234" t="s">
        <v>647</v>
      </c>
      <c r="F234" t="s">
        <v>666</v>
      </c>
      <c r="G234" t="s">
        <v>666</v>
      </c>
      <c r="H234" t="s">
        <v>717</v>
      </c>
      <c r="I234" t="s">
        <v>4267</v>
      </c>
      <c r="J234" t="s">
        <v>326</v>
      </c>
      <c r="K234" t="s">
        <v>166</v>
      </c>
      <c r="L234" t="s">
        <v>0</v>
      </c>
      <c r="M234" t="s">
        <v>178</v>
      </c>
      <c r="N234">
        <v>82</v>
      </c>
      <c r="O234">
        <v>23</v>
      </c>
      <c r="P234">
        <v>1387.8</v>
      </c>
      <c r="Q234">
        <v>4089.38</v>
      </c>
      <c r="R234">
        <v>217.06735384000001</v>
      </c>
      <c r="S234">
        <v>203.70996869999999</v>
      </c>
      <c r="T234">
        <v>0.55735383999999999</v>
      </c>
      <c r="U234">
        <v>0</v>
      </c>
      <c r="V234">
        <v>216.51</v>
      </c>
      <c r="W234" t="s">
        <v>450</v>
      </c>
      <c r="X234" t="s">
        <v>271</v>
      </c>
      <c r="Y234" t="s">
        <v>4268</v>
      </c>
      <c r="AA234" t="s">
        <v>4269</v>
      </c>
      <c r="AB234" t="s">
        <v>181</v>
      </c>
    </row>
    <row r="235" spans="1:28" x14ac:dyDescent="0.25">
      <c r="A235" t="s">
        <v>4270</v>
      </c>
      <c r="B235" t="s">
        <v>4271</v>
      </c>
      <c r="C235" t="s">
        <v>646</v>
      </c>
      <c r="D235" t="s">
        <v>3779</v>
      </c>
      <c r="E235" t="s">
        <v>647</v>
      </c>
      <c r="F235" t="s">
        <v>3780</v>
      </c>
      <c r="G235" t="s">
        <v>769</v>
      </c>
      <c r="H235" t="s">
        <v>797</v>
      </c>
      <c r="I235" t="s">
        <v>4272</v>
      </c>
      <c r="J235" t="s">
        <v>352</v>
      </c>
      <c r="K235" t="s">
        <v>166</v>
      </c>
      <c r="L235" t="s">
        <v>0</v>
      </c>
      <c r="M235" t="s">
        <v>178</v>
      </c>
      <c r="N235">
        <v>90</v>
      </c>
      <c r="O235">
        <v>80</v>
      </c>
      <c r="P235">
        <v>1054</v>
      </c>
      <c r="Q235">
        <v>2797.35</v>
      </c>
      <c r="R235">
        <v>564.15857515000005</v>
      </c>
      <c r="S235">
        <v>747.80372305000003</v>
      </c>
      <c r="T235">
        <v>-1.4248500000000001E-3</v>
      </c>
      <c r="U235">
        <v>0</v>
      </c>
      <c r="V235">
        <v>564.16</v>
      </c>
      <c r="W235" t="s">
        <v>314</v>
      </c>
      <c r="X235" t="s">
        <v>271</v>
      </c>
      <c r="Y235" t="s">
        <v>4273</v>
      </c>
      <c r="AA235" t="s">
        <v>4274</v>
      </c>
      <c r="AB235" t="s">
        <v>181</v>
      </c>
    </row>
    <row r="236" spans="1:28" x14ac:dyDescent="0.25">
      <c r="A236" t="s">
        <v>4060</v>
      </c>
      <c r="B236" t="s">
        <v>4061</v>
      </c>
      <c r="C236" t="s">
        <v>646</v>
      </c>
      <c r="D236" t="s">
        <v>3779</v>
      </c>
      <c r="E236" t="s">
        <v>647</v>
      </c>
      <c r="F236" t="s">
        <v>648</v>
      </c>
      <c r="G236" t="s">
        <v>648</v>
      </c>
      <c r="H236" t="s">
        <v>1171</v>
      </c>
      <c r="I236" t="s">
        <v>1114</v>
      </c>
      <c r="J236" t="s">
        <v>1115</v>
      </c>
      <c r="K236" t="s">
        <v>166</v>
      </c>
      <c r="L236" t="s">
        <v>0</v>
      </c>
      <c r="M236" t="s">
        <v>178</v>
      </c>
      <c r="N236">
        <v>2</v>
      </c>
      <c r="O236">
        <v>2</v>
      </c>
      <c r="P236">
        <v>24.5</v>
      </c>
      <c r="Q236">
        <v>306.05</v>
      </c>
      <c r="R236">
        <v>10.59</v>
      </c>
      <c r="S236">
        <v>0</v>
      </c>
      <c r="T236">
        <v>0</v>
      </c>
      <c r="U236">
        <v>0</v>
      </c>
      <c r="V236">
        <v>10.59</v>
      </c>
      <c r="W236" t="s">
        <v>0</v>
      </c>
      <c r="X236" t="s">
        <v>271</v>
      </c>
      <c r="Y236" t="s">
        <v>4062</v>
      </c>
      <c r="AA236" t="s">
        <v>4063</v>
      </c>
      <c r="AB236" t="s">
        <v>181</v>
      </c>
    </row>
    <row r="237" spans="1:28" x14ac:dyDescent="0.25">
      <c r="A237" t="s">
        <v>4011</v>
      </c>
      <c r="B237" t="s">
        <v>4012</v>
      </c>
      <c r="C237" t="s">
        <v>646</v>
      </c>
      <c r="D237" t="s">
        <v>3779</v>
      </c>
      <c r="E237" t="s">
        <v>647</v>
      </c>
      <c r="F237" t="s">
        <v>3780</v>
      </c>
      <c r="G237" t="s">
        <v>769</v>
      </c>
      <c r="H237" t="s">
        <v>757</v>
      </c>
      <c r="I237" t="s">
        <v>2142</v>
      </c>
      <c r="J237" t="s">
        <v>1924</v>
      </c>
      <c r="K237" t="s">
        <v>166</v>
      </c>
      <c r="L237" t="s">
        <v>0</v>
      </c>
      <c r="M237" t="s">
        <v>178</v>
      </c>
      <c r="N237">
        <v>4</v>
      </c>
      <c r="O237">
        <v>4</v>
      </c>
      <c r="P237">
        <v>56.91</v>
      </c>
      <c r="Q237">
        <v>124.99</v>
      </c>
      <c r="R237">
        <v>35.659999999999997</v>
      </c>
      <c r="S237">
        <v>18.152177760000001</v>
      </c>
      <c r="T237">
        <v>0</v>
      </c>
      <c r="U237">
        <v>0</v>
      </c>
      <c r="V237">
        <v>35.659999999999997</v>
      </c>
      <c r="W237" t="s">
        <v>1925</v>
      </c>
      <c r="X237" t="s">
        <v>271</v>
      </c>
      <c r="Y237" t="s">
        <v>4013</v>
      </c>
      <c r="AA237" t="s">
        <v>4014</v>
      </c>
      <c r="AB237" t="s">
        <v>181</v>
      </c>
    </row>
    <row r="238" spans="1:28" x14ac:dyDescent="0.25">
      <c r="A238" t="s">
        <v>3888</v>
      </c>
      <c r="B238" t="s">
        <v>3889</v>
      </c>
      <c r="C238" t="s">
        <v>646</v>
      </c>
      <c r="D238" t="s">
        <v>3779</v>
      </c>
      <c r="E238" t="s">
        <v>647</v>
      </c>
      <c r="F238" t="s">
        <v>3780</v>
      </c>
      <c r="G238" t="s">
        <v>769</v>
      </c>
      <c r="H238" t="s">
        <v>797</v>
      </c>
      <c r="I238" t="s">
        <v>1368</v>
      </c>
      <c r="J238" t="s">
        <v>1369</v>
      </c>
      <c r="K238" t="s">
        <v>166</v>
      </c>
      <c r="L238" t="s">
        <v>0</v>
      </c>
      <c r="M238" t="s">
        <v>178</v>
      </c>
      <c r="N238">
        <v>15</v>
      </c>
      <c r="O238">
        <v>6</v>
      </c>
      <c r="P238">
        <v>150</v>
      </c>
      <c r="Q238">
        <v>455.34</v>
      </c>
      <c r="R238">
        <v>34.839042130000003</v>
      </c>
      <c r="S238">
        <v>54.2</v>
      </c>
      <c r="T238">
        <v>-9.5786999999999999E-4</v>
      </c>
      <c r="U238">
        <v>0</v>
      </c>
      <c r="V238">
        <v>34.840000000000003</v>
      </c>
      <c r="W238" t="s">
        <v>1370</v>
      </c>
      <c r="X238" t="s">
        <v>271</v>
      </c>
      <c r="Y238" t="s">
        <v>3890</v>
      </c>
      <c r="AA238" t="s">
        <v>3891</v>
      </c>
      <c r="AB238" t="s">
        <v>181</v>
      </c>
    </row>
    <row r="239" spans="1:28" x14ac:dyDescent="0.25">
      <c r="A239" t="s">
        <v>3892</v>
      </c>
      <c r="B239" t="s">
        <v>3893</v>
      </c>
      <c r="C239" t="s">
        <v>646</v>
      </c>
      <c r="D239" t="s">
        <v>3779</v>
      </c>
      <c r="E239" t="s">
        <v>647</v>
      </c>
      <c r="F239" t="s">
        <v>666</v>
      </c>
      <c r="G239" t="s">
        <v>666</v>
      </c>
      <c r="H239" t="s">
        <v>802</v>
      </c>
      <c r="I239" t="s">
        <v>2102</v>
      </c>
      <c r="J239" t="s">
        <v>355</v>
      </c>
      <c r="K239" t="s">
        <v>166</v>
      </c>
      <c r="L239" t="s">
        <v>0</v>
      </c>
      <c r="M239" t="s">
        <v>178</v>
      </c>
      <c r="N239">
        <v>12.5</v>
      </c>
      <c r="O239">
        <v>12.5</v>
      </c>
      <c r="P239">
        <v>250</v>
      </c>
      <c r="Q239">
        <v>591.29</v>
      </c>
      <c r="R239">
        <v>128.51</v>
      </c>
      <c r="S239">
        <v>65.960636750000006</v>
      </c>
      <c r="T239">
        <v>0</v>
      </c>
      <c r="U239">
        <v>0</v>
      </c>
      <c r="V239">
        <v>128.51</v>
      </c>
      <c r="W239" t="s">
        <v>0</v>
      </c>
      <c r="X239" t="s">
        <v>271</v>
      </c>
      <c r="Y239" t="s">
        <v>2103</v>
      </c>
      <c r="AA239" t="s">
        <v>3894</v>
      </c>
      <c r="AB239" t="s">
        <v>181</v>
      </c>
    </row>
    <row r="240" spans="1:28" x14ac:dyDescent="0.25">
      <c r="A240" t="s">
        <v>4102</v>
      </c>
      <c r="B240" t="s">
        <v>4103</v>
      </c>
      <c r="C240" t="s">
        <v>646</v>
      </c>
      <c r="D240" t="s">
        <v>3779</v>
      </c>
      <c r="E240" t="s">
        <v>647</v>
      </c>
      <c r="F240" t="s">
        <v>3780</v>
      </c>
      <c r="G240" t="s">
        <v>769</v>
      </c>
      <c r="H240" t="s">
        <v>1175</v>
      </c>
      <c r="I240" t="s">
        <v>4104</v>
      </c>
      <c r="J240" t="s">
        <v>4105</v>
      </c>
      <c r="K240" t="s">
        <v>166</v>
      </c>
      <c r="L240" t="s">
        <v>0</v>
      </c>
      <c r="M240" t="s">
        <v>178</v>
      </c>
      <c r="N240">
        <v>36</v>
      </c>
      <c r="O240">
        <v>36</v>
      </c>
      <c r="P240">
        <v>576</v>
      </c>
      <c r="Q240">
        <v>1482.28</v>
      </c>
      <c r="R240">
        <v>372.84</v>
      </c>
      <c r="S240">
        <v>144.18373399999999</v>
      </c>
      <c r="T240">
        <v>0</v>
      </c>
      <c r="U240">
        <v>0</v>
      </c>
      <c r="V240">
        <v>372.84</v>
      </c>
      <c r="W240" t="s">
        <v>4106</v>
      </c>
      <c r="X240" t="s">
        <v>269</v>
      </c>
      <c r="Y240" t="s">
        <v>4107</v>
      </c>
      <c r="AA240" t="s">
        <v>4108</v>
      </c>
      <c r="AB240" t="s">
        <v>181</v>
      </c>
    </row>
    <row r="241" spans="1:28" x14ac:dyDescent="0.25">
      <c r="A241" t="s">
        <v>4064</v>
      </c>
      <c r="B241" t="s">
        <v>4065</v>
      </c>
      <c r="C241" t="s">
        <v>646</v>
      </c>
      <c r="D241" t="s">
        <v>3779</v>
      </c>
      <c r="E241" t="s">
        <v>647</v>
      </c>
      <c r="F241" t="s">
        <v>3780</v>
      </c>
      <c r="G241" t="s">
        <v>769</v>
      </c>
      <c r="H241" t="s">
        <v>1045</v>
      </c>
      <c r="I241" t="s">
        <v>2469</v>
      </c>
      <c r="J241" t="s">
        <v>2470</v>
      </c>
      <c r="K241" t="s">
        <v>166</v>
      </c>
      <c r="L241" t="s">
        <v>0</v>
      </c>
      <c r="M241" t="s">
        <v>178</v>
      </c>
      <c r="N241">
        <v>13</v>
      </c>
      <c r="O241">
        <v>8</v>
      </c>
      <c r="P241">
        <v>155</v>
      </c>
      <c r="Q241">
        <v>821.19</v>
      </c>
      <c r="R241">
        <v>116.28</v>
      </c>
      <c r="S241">
        <v>19.32640559</v>
      </c>
      <c r="T241">
        <v>0</v>
      </c>
      <c r="U241">
        <v>0</v>
      </c>
      <c r="V241">
        <v>116.28</v>
      </c>
      <c r="W241" t="s">
        <v>4066</v>
      </c>
      <c r="X241" t="s">
        <v>271</v>
      </c>
      <c r="Y241" t="s">
        <v>4067</v>
      </c>
      <c r="AA241" t="s">
        <v>4068</v>
      </c>
      <c r="AB241" t="s">
        <v>181</v>
      </c>
    </row>
    <row r="242" spans="1:28" x14ac:dyDescent="0.25">
      <c r="A242" t="s">
        <v>4275</v>
      </c>
      <c r="B242" t="s">
        <v>4276</v>
      </c>
      <c r="C242" t="s">
        <v>646</v>
      </c>
      <c r="D242" t="s">
        <v>3779</v>
      </c>
      <c r="E242" t="s">
        <v>647</v>
      </c>
      <c r="F242" t="s">
        <v>3780</v>
      </c>
      <c r="G242" t="s">
        <v>769</v>
      </c>
      <c r="H242" t="s">
        <v>1171</v>
      </c>
      <c r="I242" t="s">
        <v>4277</v>
      </c>
      <c r="J242" t="s">
        <v>562</v>
      </c>
      <c r="K242" t="s">
        <v>166</v>
      </c>
      <c r="L242" t="s">
        <v>0</v>
      </c>
      <c r="M242" t="s">
        <v>178</v>
      </c>
      <c r="N242">
        <v>3</v>
      </c>
      <c r="O242">
        <v>3</v>
      </c>
      <c r="P242">
        <v>205.6</v>
      </c>
      <c r="Q242">
        <v>491.08</v>
      </c>
      <c r="R242">
        <v>35.78</v>
      </c>
      <c r="S242">
        <v>18.224021440000001</v>
      </c>
      <c r="T242">
        <v>0</v>
      </c>
      <c r="U242">
        <v>0</v>
      </c>
      <c r="V242">
        <v>35.78</v>
      </c>
      <c r="W242" t="s">
        <v>0</v>
      </c>
      <c r="X242" t="s">
        <v>271</v>
      </c>
      <c r="Y242" t="s">
        <v>4278</v>
      </c>
      <c r="AA242" t="s">
        <v>4279</v>
      </c>
      <c r="AB242" t="s">
        <v>181</v>
      </c>
    </row>
    <row r="243" spans="1:28" x14ac:dyDescent="0.25">
      <c r="A243" t="s">
        <v>3925</v>
      </c>
      <c r="B243" t="s">
        <v>3926</v>
      </c>
      <c r="C243" t="s">
        <v>646</v>
      </c>
      <c r="D243" t="s">
        <v>3779</v>
      </c>
      <c r="E243" t="s">
        <v>647</v>
      </c>
      <c r="F243" t="s">
        <v>3780</v>
      </c>
      <c r="G243" t="s">
        <v>769</v>
      </c>
      <c r="H243" t="s">
        <v>683</v>
      </c>
      <c r="I243" t="s">
        <v>2284</v>
      </c>
      <c r="J243" t="s">
        <v>2285</v>
      </c>
      <c r="K243" t="s">
        <v>166</v>
      </c>
      <c r="L243" t="s">
        <v>0</v>
      </c>
      <c r="M243" t="s">
        <v>178</v>
      </c>
      <c r="N243">
        <v>180.4444</v>
      </c>
      <c r="O243">
        <v>66</v>
      </c>
      <c r="P243">
        <v>2510.39</v>
      </c>
      <c r="Q243">
        <v>9272.98</v>
      </c>
      <c r="R243">
        <v>2894.12</v>
      </c>
      <c r="S243">
        <v>905.32024219000004</v>
      </c>
      <c r="T243">
        <v>0</v>
      </c>
      <c r="U243">
        <v>0</v>
      </c>
      <c r="V243">
        <v>2894.12</v>
      </c>
      <c r="W243" t="s">
        <v>453</v>
      </c>
      <c r="X243" t="s">
        <v>271</v>
      </c>
      <c r="Y243" t="s">
        <v>3927</v>
      </c>
      <c r="AA243" t="s">
        <v>3928</v>
      </c>
      <c r="AB243" t="s">
        <v>181</v>
      </c>
    </row>
    <row r="244" spans="1:28" x14ac:dyDescent="0.25">
      <c r="A244" t="s">
        <v>4027</v>
      </c>
      <c r="B244" t="s">
        <v>4028</v>
      </c>
      <c r="C244" t="s">
        <v>646</v>
      </c>
      <c r="D244" t="s">
        <v>3779</v>
      </c>
      <c r="E244" t="s">
        <v>647</v>
      </c>
      <c r="F244" t="s">
        <v>3780</v>
      </c>
      <c r="G244" t="s">
        <v>769</v>
      </c>
      <c r="H244" t="s">
        <v>703</v>
      </c>
      <c r="I244" t="s">
        <v>1251</v>
      </c>
      <c r="J244" t="s">
        <v>821</v>
      </c>
      <c r="K244" t="s">
        <v>166</v>
      </c>
      <c r="L244" t="s">
        <v>0</v>
      </c>
      <c r="M244" t="s">
        <v>178</v>
      </c>
      <c r="N244">
        <v>4078.5083</v>
      </c>
      <c r="O244">
        <v>949</v>
      </c>
      <c r="P244">
        <v>61713.69</v>
      </c>
      <c r="Q244">
        <v>104095.49</v>
      </c>
      <c r="R244">
        <v>11057.779512450001</v>
      </c>
      <c r="S244">
        <v>16619.492308649998</v>
      </c>
      <c r="T244">
        <v>12267.31951245</v>
      </c>
      <c r="U244">
        <v>0</v>
      </c>
      <c r="V244">
        <v>11106.14</v>
      </c>
      <c r="W244" t="s">
        <v>822</v>
      </c>
      <c r="X244" t="s">
        <v>269</v>
      </c>
      <c r="Y244" t="s">
        <v>4029</v>
      </c>
      <c r="AA244" t="s">
        <v>4030</v>
      </c>
      <c r="AB244" t="s">
        <v>181</v>
      </c>
    </row>
    <row r="245" spans="1:28" x14ac:dyDescent="0.25">
      <c r="A245" t="s">
        <v>3952</v>
      </c>
      <c r="B245" t="s">
        <v>3953</v>
      </c>
      <c r="C245" t="s">
        <v>646</v>
      </c>
      <c r="D245" t="s">
        <v>3779</v>
      </c>
      <c r="E245" t="s">
        <v>647</v>
      </c>
      <c r="F245" t="s">
        <v>666</v>
      </c>
      <c r="G245" t="s">
        <v>666</v>
      </c>
      <c r="H245" t="s">
        <v>679</v>
      </c>
      <c r="I245" t="s">
        <v>2032</v>
      </c>
      <c r="J245" t="s">
        <v>311</v>
      </c>
      <c r="K245" t="s">
        <v>166</v>
      </c>
      <c r="L245" t="s">
        <v>0</v>
      </c>
      <c r="M245" t="s">
        <v>178</v>
      </c>
      <c r="N245">
        <v>1015.64</v>
      </c>
      <c r="O245">
        <v>796.64</v>
      </c>
      <c r="P245">
        <v>14084.83</v>
      </c>
      <c r="Q245">
        <v>37616.01</v>
      </c>
      <c r="R245">
        <v>-4317.4290264600004</v>
      </c>
      <c r="S245">
        <v>17381.774181889999</v>
      </c>
      <c r="T245">
        <v>4361.7109735399999</v>
      </c>
      <c r="U245">
        <v>5509.09</v>
      </c>
      <c r="V245">
        <v>3375.02</v>
      </c>
      <c r="W245" t="s">
        <v>312</v>
      </c>
      <c r="X245" t="s">
        <v>271</v>
      </c>
      <c r="Y245" t="s">
        <v>3954</v>
      </c>
      <c r="AA245" t="s">
        <v>3955</v>
      </c>
      <c r="AB245" t="s">
        <v>181</v>
      </c>
    </row>
    <row r="246" spans="1:28" x14ac:dyDescent="0.25">
      <c r="A246" t="s">
        <v>4280</v>
      </c>
      <c r="B246" t="s">
        <v>4281</v>
      </c>
      <c r="C246" t="s">
        <v>646</v>
      </c>
      <c r="D246" t="s">
        <v>3779</v>
      </c>
      <c r="E246" t="s">
        <v>647</v>
      </c>
      <c r="F246" t="s">
        <v>3780</v>
      </c>
      <c r="G246" t="s">
        <v>769</v>
      </c>
      <c r="H246" t="s">
        <v>703</v>
      </c>
      <c r="I246" t="s">
        <v>1872</v>
      </c>
      <c r="J246" t="s">
        <v>1873</v>
      </c>
      <c r="K246" t="s">
        <v>166</v>
      </c>
      <c r="L246" t="s">
        <v>0</v>
      </c>
      <c r="M246" t="s">
        <v>178</v>
      </c>
      <c r="N246">
        <v>538.41679999999997</v>
      </c>
      <c r="O246">
        <v>284.00009999999997</v>
      </c>
      <c r="P246">
        <v>8588.18</v>
      </c>
      <c r="Q246">
        <v>23446.9</v>
      </c>
      <c r="R246">
        <v>4483.4931348600003</v>
      </c>
      <c r="S246">
        <v>5012.3432476099997</v>
      </c>
      <c r="T246">
        <v>0.75313485999999996</v>
      </c>
      <c r="U246">
        <v>0</v>
      </c>
      <c r="V246">
        <v>4482.74</v>
      </c>
      <c r="W246" t="s">
        <v>1874</v>
      </c>
      <c r="X246" t="s">
        <v>271</v>
      </c>
      <c r="Y246" t="s">
        <v>4282</v>
      </c>
      <c r="AA246" t="s">
        <v>4283</v>
      </c>
      <c r="AB246" t="s">
        <v>181</v>
      </c>
    </row>
    <row r="247" spans="1:28" x14ac:dyDescent="0.25">
      <c r="A247" t="s">
        <v>4155</v>
      </c>
      <c r="B247" t="s">
        <v>4156</v>
      </c>
      <c r="C247" t="s">
        <v>646</v>
      </c>
      <c r="D247" t="s">
        <v>3779</v>
      </c>
      <c r="E247" t="s">
        <v>647</v>
      </c>
      <c r="F247" t="s">
        <v>3780</v>
      </c>
      <c r="G247" t="s">
        <v>769</v>
      </c>
      <c r="H247" t="s">
        <v>703</v>
      </c>
      <c r="I247" t="s">
        <v>885</v>
      </c>
      <c r="J247" t="s">
        <v>324</v>
      </c>
      <c r="K247" t="s">
        <v>166</v>
      </c>
      <c r="L247" t="s">
        <v>0</v>
      </c>
      <c r="M247" t="s">
        <v>178</v>
      </c>
      <c r="N247">
        <v>535.5</v>
      </c>
      <c r="O247">
        <v>428.5</v>
      </c>
      <c r="P247">
        <v>12518.44</v>
      </c>
      <c r="Q247">
        <v>16649.419999999998</v>
      </c>
      <c r="R247">
        <v>1988.7450798299999</v>
      </c>
      <c r="S247">
        <v>3782.35742807</v>
      </c>
      <c r="T247">
        <v>-6.4920169999999999E-2</v>
      </c>
      <c r="U247">
        <v>0</v>
      </c>
      <c r="V247">
        <v>1988.81</v>
      </c>
      <c r="W247" t="s">
        <v>519</v>
      </c>
      <c r="X247" t="s">
        <v>271</v>
      </c>
      <c r="Y247" t="s">
        <v>4157</v>
      </c>
      <c r="AA247" t="s">
        <v>4158</v>
      </c>
      <c r="AB247" t="s">
        <v>181</v>
      </c>
    </row>
    <row r="248" spans="1:28" x14ac:dyDescent="0.25">
      <c r="A248" t="s">
        <v>4113</v>
      </c>
      <c r="B248" t="s">
        <v>4114</v>
      </c>
      <c r="C248" t="s">
        <v>646</v>
      </c>
      <c r="D248" t="s">
        <v>3779</v>
      </c>
      <c r="E248" t="s">
        <v>647</v>
      </c>
      <c r="F248" t="s">
        <v>3780</v>
      </c>
      <c r="G248" t="s">
        <v>769</v>
      </c>
      <c r="H248" t="s">
        <v>703</v>
      </c>
      <c r="I248" t="s">
        <v>1913</v>
      </c>
      <c r="J248" t="s">
        <v>1914</v>
      </c>
      <c r="K248" t="s">
        <v>166</v>
      </c>
      <c r="L248" t="s">
        <v>0</v>
      </c>
      <c r="M248" t="s">
        <v>178</v>
      </c>
      <c r="N248">
        <v>719.91690000000006</v>
      </c>
      <c r="O248">
        <v>512.58349999999996</v>
      </c>
      <c r="P248">
        <v>15851.69</v>
      </c>
      <c r="Q248">
        <v>31223.65</v>
      </c>
      <c r="R248">
        <v>6596.2521629900002</v>
      </c>
      <c r="S248">
        <v>6297.4929514900005</v>
      </c>
      <c r="T248">
        <v>-1.783701E-2</v>
      </c>
      <c r="U248">
        <v>0</v>
      </c>
      <c r="V248">
        <v>6596.27</v>
      </c>
      <c r="W248" t="s">
        <v>1915</v>
      </c>
      <c r="X248" t="s">
        <v>269</v>
      </c>
      <c r="Y248" t="s">
        <v>4115</v>
      </c>
      <c r="AA248" t="s">
        <v>4116</v>
      </c>
      <c r="AB248" t="s">
        <v>181</v>
      </c>
    </row>
    <row r="249" spans="1:28" x14ac:dyDescent="0.25">
      <c r="A249" t="s">
        <v>4265</v>
      </c>
      <c r="B249" t="s">
        <v>4266</v>
      </c>
      <c r="C249" t="s">
        <v>646</v>
      </c>
      <c r="D249" t="s">
        <v>3779</v>
      </c>
      <c r="E249" t="s">
        <v>647</v>
      </c>
      <c r="F249" t="s">
        <v>666</v>
      </c>
      <c r="G249" t="s">
        <v>666</v>
      </c>
      <c r="H249" t="s">
        <v>770</v>
      </c>
      <c r="I249" t="s">
        <v>4267</v>
      </c>
      <c r="J249" t="s">
        <v>326</v>
      </c>
      <c r="K249" t="s">
        <v>166</v>
      </c>
      <c r="L249" t="s">
        <v>0</v>
      </c>
      <c r="M249" t="s">
        <v>178</v>
      </c>
      <c r="N249">
        <v>1346</v>
      </c>
      <c r="O249">
        <v>753</v>
      </c>
      <c r="P249">
        <v>23318.75</v>
      </c>
      <c r="Q249">
        <v>31671.69</v>
      </c>
      <c r="R249">
        <v>2967.03</v>
      </c>
      <c r="S249">
        <v>3815.1168980500001</v>
      </c>
      <c r="T249">
        <v>87</v>
      </c>
      <c r="U249">
        <v>465.39</v>
      </c>
      <c r="V249">
        <v>3424.6</v>
      </c>
      <c r="W249" t="s">
        <v>450</v>
      </c>
      <c r="X249" t="s">
        <v>271</v>
      </c>
      <c r="Y249" t="s">
        <v>4268</v>
      </c>
      <c r="AA249" t="s">
        <v>4269</v>
      </c>
      <c r="AB249" t="s">
        <v>181</v>
      </c>
    </row>
    <row r="250" spans="1:28" x14ac:dyDescent="0.25">
      <c r="A250" t="s">
        <v>4284</v>
      </c>
      <c r="B250" t="s">
        <v>4285</v>
      </c>
      <c r="C250" t="s">
        <v>646</v>
      </c>
      <c r="D250" t="s">
        <v>3779</v>
      </c>
      <c r="E250" t="s">
        <v>647</v>
      </c>
      <c r="F250" t="s">
        <v>3780</v>
      </c>
      <c r="G250" t="s">
        <v>769</v>
      </c>
      <c r="H250" t="s">
        <v>770</v>
      </c>
      <c r="I250" t="s">
        <v>778</v>
      </c>
      <c r="J250" t="s">
        <v>428</v>
      </c>
      <c r="K250" t="s">
        <v>166</v>
      </c>
      <c r="L250" t="s">
        <v>0</v>
      </c>
      <c r="M250" t="s">
        <v>178</v>
      </c>
      <c r="N250">
        <v>790.75</v>
      </c>
      <c r="O250">
        <v>397.75</v>
      </c>
      <c r="P250">
        <v>15909.9</v>
      </c>
      <c r="Q250">
        <v>22726.48</v>
      </c>
      <c r="R250">
        <v>6412.91</v>
      </c>
      <c r="S250">
        <v>2343.2081184100002</v>
      </c>
      <c r="T250">
        <v>0</v>
      </c>
      <c r="U250">
        <v>0</v>
      </c>
      <c r="V250">
        <v>6412.91</v>
      </c>
      <c r="W250" t="s">
        <v>1977</v>
      </c>
      <c r="X250" t="s">
        <v>271</v>
      </c>
      <c r="Y250" t="s">
        <v>4286</v>
      </c>
      <c r="AA250" t="s">
        <v>4287</v>
      </c>
      <c r="AB250" t="s">
        <v>181</v>
      </c>
    </row>
    <row r="251" spans="1:28" x14ac:dyDescent="0.25">
      <c r="A251" t="s">
        <v>4280</v>
      </c>
      <c r="B251" t="s">
        <v>4281</v>
      </c>
      <c r="C251" t="s">
        <v>646</v>
      </c>
      <c r="D251" t="s">
        <v>3779</v>
      </c>
      <c r="E251" t="s">
        <v>647</v>
      </c>
      <c r="F251" t="s">
        <v>3780</v>
      </c>
      <c r="G251" t="s">
        <v>769</v>
      </c>
      <c r="H251" t="s">
        <v>713</v>
      </c>
      <c r="I251" t="s">
        <v>1872</v>
      </c>
      <c r="J251" t="s">
        <v>1873</v>
      </c>
      <c r="K251" t="s">
        <v>166</v>
      </c>
      <c r="L251" t="s">
        <v>0</v>
      </c>
      <c r="M251" t="s">
        <v>178</v>
      </c>
      <c r="N251">
        <v>401</v>
      </c>
      <c r="O251">
        <v>23</v>
      </c>
      <c r="P251">
        <v>12804.41</v>
      </c>
      <c r="Q251">
        <v>8430.01</v>
      </c>
      <c r="R251">
        <v>1480.083284</v>
      </c>
      <c r="S251">
        <v>538.25136256999997</v>
      </c>
      <c r="T251">
        <v>4.3532840000000004</v>
      </c>
      <c r="U251">
        <v>0</v>
      </c>
      <c r="V251">
        <v>1475.73</v>
      </c>
      <c r="W251" t="s">
        <v>1874</v>
      </c>
      <c r="X251" t="s">
        <v>271</v>
      </c>
      <c r="Y251" t="s">
        <v>4282</v>
      </c>
      <c r="AA251" t="s">
        <v>4283</v>
      </c>
      <c r="AB251" t="s">
        <v>181</v>
      </c>
    </row>
    <row r="252" spans="1:28" x14ac:dyDescent="0.25">
      <c r="A252" t="s">
        <v>4194</v>
      </c>
      <c r="B252" t="s">
        <v>4195</v>
      </c>
      <c r="C252" t="s">
        <v>646</v>
      </c>
      <c r="D252" t="s">
        <v>3779</v>
      </c>
      <c r="E252" t="s">
        <v>647</v>
      </c>
      <c r="F252" t="s">
        <v>3780</v>
      </c>
      <c r="G252" t="s">
        <v>769</v>
      </c>
      <c r="H252" t="s">
        <v>770</v>
      </c>
      <c r="I252" t="s">
        <v>1190</v>
      </c>
      <c r="J252" t="s">
        <v>1191</v>
      </c>
      <c r="K252" t="s">
        <v>166</v>
      </c>
      <c r="L252" t="s">
        <v>0</v>
      </c>
      <c r="M252" t="s">
        <v>178</v>
      </c>
      <c r="N252">
        <v>767</v>
      </c>
      <c r="O252">
        <v>566</v>
      </c>
      <c r="P252">
        <v>25636.6</v>
      </c>
      <c r="Q252">
        <v>20844.8</v>
      </c>
      <c r="R252">
        <v>1144.22</v>
      </c>
      <c r="S252">
        <v>2521.03337775</v>
      </c>
      <c r="T252">
        <v>0</v>
      </c>
      <c r="U252">
        <v>0</v>
      </c>
      <c r="V252">
        <v>1144.22</v>
      </c>
      <c r="W252" t="s">
        <v>282</v>
      </c>
      <c r="X252" t="s">
        <v>271</v>
      </c>
      <c r="Y252" t="s">
        <v>4059</v>
      </c>
      <c r="AA252" t="s">
        <v>2171</v>
      </c>
      <c r="AB252" t="s">
        <v>181</v>
      </c>
    </row>
    <row r="253" spans="1:28" x14ac:dyDescent="0.25">
      <c r="A253" t="s">
        <v>4132</v>
      </c>
      <c r="B253" t="s">
        <v>4133</v>
      </c>
      <c r="C253" t="s">
        <v>646</v>
      </c>
      <c r="D253" t="s">
        <v>3779</v>
      </c>
      <c r="E253" t="s">
        <v>647</v>
      </c>
      <c r="F253" t="s">
        <v>666</v>
      </c>
      <c r="G253" t="s">
        <v>666</v>
      </c>
      <c r="H253" t="s">
        <v>679</v>
      </c>
      <c r="I253" t="s">
        <v>3911</v>
      </c>
      <c r="J253" t="s">
        <v>355</v>
      </c>
      <c r="K253" t="s">
        <v>166</v>
      </c>
      <c r="L253" t="s">
        <v>0</v>
      </c>
      <c r="M253" t="s">
        <v>178</v>
      </c>
      <c r="N253">
        <v>241</v>
      </c>
      <c r="O253">
        <v>211</v>
      </c>
      <c r="P253">
        <v>3793.85</v>
      </c>
      <c r="Q253">
        <v>12952.61</v>
      </c>
      <c r="R253">
        <v>-68.092473150000004</v>
      </c>
      <c r="S253">
        <v>7420.4158240200004</v>
      </c>
      <c r="T253">
        <v>-17.742473149999999</v>
      </c>
      <c r="U253">
        <v>0</v>
      </c>
      <c r="V253">
        <v>-50.35</v>
      </c>
      <c r="W253" t="s">
        <v>0</v>
      </c>
      <c r="X253" t="s">
        <v>271</v>
      </c>
      <c r="Y253" t="s">
        <v>4134</v>
      </c>
      <c r="AA253" t="s">
        <v>3894</v>
      </c>
      <c r="AB253" t="s">
        <v>181</v>
      </c>
    </row>
    <row r="254" spans="1:28" x14ac:dyDescent="0.25">
      <c r="A254" t="s">
        <v>4057</v>
      </c>
      <c r="B254" t="s">
        <v>4058</v>
      </c>
      <c r="C254" t="s">
        <v>646</v>
      </c>
      <c r="D254" t="s">
        <v>3779</v>
      </c>
      <c r="E254" t="s">
        <v>647</v>
      </c>
      <c r="F254" t="s">
        <v>3780</v>
      </c>
      <c r="G254" t="s">
        <v>769</v>
      </c>
      <c r="H254" t="s">
        <v>962</v>
      </c>
      <c r="I254" t="s">
        <v>1190</v>
      </c>
      <c r="J254" t="s">
        <v>1191</v>
      </c>
      <c r="K254" t="s">
        <v>166</v>
      </c>
      <c r="L254" t="s">
        <v>0</v>
      </c>
      <c r="M254" t="s">
        <v>178</v>
      </c>
      <c r="N254">
        <v>264</v>
      </c>
      <c r="O254">
        <v>131</v>
      </c>
      <c r="P254">
        <v>3553.9</v>
      </c>
      <c r="Q254">
        <v>13460.98</v>
      </c>
      <c r="R254">
        <v>934.21311457000002</v>
      </c>
      <c r="S254">
        <v>1050.2612901</v>
      </c>
      <c r="T254">
        <v>92.363114569999993</v>
      </c>
      <c r="U254">
        <v>11.84</v>
      </c>
      <c r="V254">
        <v>951.86</v>
      </c>
      <c r="W254" t="s">
        <v>282</v>
      </c>
      <c r="X254" t="s">
        <v>271</v>
      </c>
      <c r="Y254" t="s">
        <v>4059</v>
      </c>
      <c r="AA254" t="s">
        <v>2171</v>
      </c>
      <c r="AB254" t="s">
        <v>181</v>
      </c>
    </row>
    <row r="255" spans="1:28" x14ac:dyDescent="0.25">
      <c r="A255" t="s">
        <v>4284</v>
      </c>
      <c r="B255" t="s">
        <v>4285</v>
      </c>
      <c r="C255" t="s">
        <v>646</v>
      </c>
      <c r="D255" t="s">
        <v>3779</v>
      </c>
      <c r="E255" t="s">
        <v>647</v>
      </c>
      <c r="F255" t="s">
        <v>3780</v>
      </c>
      <c r="G255" t="s">
        <v>769</v>
      </c>
      <c r="H255" t="s">
        <v>713</v>
      </c>
      <c r="I255" t="s">
        <v>778</v>
      </c>
      <c r="J255" t="s">
        <v>428</v>
      </c>
      <c r="K255" t="s">
        <v>166</v>
      </c>
      <c r="L255" t="s">
        <v>0</v>
      </c>
      <c r="M255" t="s">
        <v>178</v>
      </c>
      <c r="N255">
        <v>2393</v>
      </c>
      <c r="O255">
        <v>1510</v>
      </c>
      <c r="P255">
        <v>65308.85</v>
      </c>
      <c r="Q255">
        <v>26543.3</v>
      </c>
      <c r="R255">
        <v>5683.7748864300002</v>
      </c>
      <c r="S255">
        <v>2141.4061220200001</v>
      </c>
      <c r="T255">
        <v>64.78488643</v>
      </c>
      <c r="U255">
        <v>0</v>
      </c>
      <c r="V255">
        <v>5618.99</v>
      </c>
      <c r="W255" t="s">
        <v>1977</v>
      </c>
      <c r="X255" t="s">
        <v>271</v>
      </c>
      <c r="Y255" t="s">
        <v>4286</v>
      </c>
      <c r="AA255" t="s">
        <v>4287</v>
      </c>
      <c r="AB255" t="s">
        <v>181</v>
      </c>
    </row>
    <row r="256" spans="1:28" x14ac:dyDescent="0.25">
      <c r="A256" t="s">
        <v>4022</v>
      </c>
      <c r="B256" t="s">
        <v>4023</v>
      </c>
      <c r="C256" t="s">
        <v>646</v>
      </c>
      <c r="D256" t="s">
        <v>3779</v>
      </c>
      <c r="E256" t="s">
        <v>647</v>
      </c>
      <c r="F256" t="s">
        <v>3780</v>
      </c>
      <c r="G256" t="s">
        <v>769</v>
      </c>
      <c r="H256" t="s">
        <v>672</v>
      </c>
      <c r="I256" t="s">
        <v>4024</v>
      </c>
      <c r="J256" t="s">
        <v>447</v>
      </c>
      <c r="K256" t="s">
        <v>166</v>
      </c>
      <c r="L256" t="s">
        <v>0</v>
      </c>
      <c r="M256" t="s">
        <v>178</v>
      </c>
      <c r="N256">
        <v>229</v>
      </c>
      <c r="O256">
        <v>168</v>
      </c>
      <c r="P256">
        <v>2967.98</v>
      </c>
      <c r="Q256">
        <v>10097.120000000001</v>
      </c>
      <c r="R256">
        <v>1651.3851691499999</v>
      </c>
      <c r="S256">
        <v>1904.6605001999999</v>
      </c>
      <c r="T256">
        <v>9.5169149999999994E-2</v>
      </c>
      <c r="U256">
        <v>0</v>
      </c>
      <c r="V256">
        <v>1651.29</v>
      </c>
      <c r="W256" t="s">
        <v>446</v>
      </c>
      <c r="X256" t="s">
        <v>271</v>
      </c>
      <c r="Y256" t="s">
        <v>4025</v>
      </c>
      <c r="AA256" t="s">
        <v>4026</v>
      </c>
      <c r="AB256" t="s">
        <v>181</v>
      </c>
    </row>
    <row r="257" spans="1:28" x14ac:dyDescent="0.25">
      <c r="A257" t="s">
        <v>3895</v>
      </c>
      <c r="B257" t="s">
        <v>3896</v>
      </c>
      <c r="C257" t="s">
        <v>646</v>
      </c>
      <c r="D257" t="s">
        <v>3779</v>
      </c>
      <c r="E257" t="s">
        <v>647</v>
      </c>
      <c r="F257" t="s">
        <v>3780</v>
      </c>
      <c r="G257" t="s">
        <v>769</v>
      </c>
      <c r="H257" t="s">
        <v>730</v>
      </c>
      <c r="I257" t="s">
        <v>3897</v>
      </c>
      <c r="J257" t="s">
        <v>437</v>
      </c>
      <c r="K257" t="s">
        <v>166</v>
      </c>
      <c r="L257" t="s">
        <v>0</v>
      </c>
      <c r="M257" t="s">
        <v>178</v>
      </c>
      <c r="N257">
        <v>360</v>
      </c>
      <c r="O257">
        <v>117</v>
      </c>
      <c r="P257">
        <v>7601.95</v>
      </c>
      <c r="Q257">
        <v>43087.040000000001</v>
      </c>
      <c r="R257">
        <v>666.75651072999995</v>
      </c>
      <c r="S257">
        <v>668.92277430000001</v>
      </c>
      <c r="T257">
        <v>-44.363489270000002</v>
      </c>
      <c r="U257">
        <v>0</v>
      </c>
      <c r="V257">
        <v>711.12</v>
      </c>
      <c r="W257" t="s">
        <v>510</v>
      </c>
      <c r="X257" t="s">
        <v>271</v>
      </c>
      <c r="Y257" t="s">
        <v>3898</v>
      </c>
      <c r="AA257" t="s">
        <v>3899</v>
      </c>
      <c r="AB257" t="s">
        <v>181</v>
      </c>
    </row>
    <row r="258" spans="1:28" x14ac:dyDescent="0.25">
      <c r="A258" t="s">
        <v>3981</v>
      </c>
      <c r="B258" t="s">
        <v>3982</v>
      </c>
      <c r="C258" t="s">
        <v>646</v>
      </c>
      <c r="D258" t="s">
        <v>3779</v>
      </c>
      <c r="E258" t="s">
        <v>647</v>
      </c>
      <c r="F258" t="s">
        <v>3780</v>
      </c>
      <c r="G258" t="s">
        <v>769</v>
      </c>
      <c r="H258" t="s">
        <v>708</v>
      </c>
      <c r="I258" t="s">
        <v>2384</v>
      </c>
      <c r="J258" t="s">
        <v>447</v>
      </c>
      <c r="K258" t="s">
        <v>166</v>
      </c>
      <c r="L258" t="s">
        <v>0</v>
      </c>
      <c r="M258" t="s">
        <v>178</v>
      </c>
      <c r="N258">
        <v>173.00020000000001</v>
      </c>
      <c r="O258">
        <v>123.00020000000001</v>
      </c>
      <c r="P258">
        <v>2135.34</v>
      </c>
      <c r="Q258">
        <v>5581.69</v>
      </c>
      <c r="R258">
        <v>-885.64</v>
      </c>
      <c r="S258">
        <v>1890.6152926699999</v>
      </c>
      <c r="T258">
        <v>0</v>
      </c>
      <c r="U258">
        <v>1539.65</v>
      </c>
      <c r="V258">
        <v>654.01</v>
      </c>
      <c r="W258" t="s">
        <v>446</v>
      </c>
      <c r="X258" t="s">
        <v>271</v>
      </c>
      <c r="Y258" t="s">
        <v>3983</v>
      </c>
      <c r="AA258" t="s">
        <v>3984</v>
      </c>
      <c r="AB258" t="s">
        <v>181</v>
      </c>
    </row>
    <row r="259" spans="1:28" x14ac:dyDescent="0.25">
      <c r="A259" t="s">
        <v>4015</v>
      </c>
      <c r="B259" t="s">
        <v>4016</v>
      </c>
      <c r="C259" t="s">
        <v>646</v>
      </c>
      <c r="D259" t="s">
        <v>3779</v>
      </c>
      <c r="E259" t="s">
        <v>647</v>
      </c>
      <c r="F259" t="s">
        <v>3780</v>
      </c>
      <c r="G259" t="s">
        <v>769</v>
      </c>
      <c r="H259" t="s">
        <v>962</v>
      </c>
      <c r="I259" t="s">
        <v>4017</v>
      </c>
      <c r="J259" t="s">
        <v>4018</v>
      </c>
      <c r="K259" t="s">
        <v>166</v>
      </c>
      <c r="L259" t="s">
        <v>0</v>
      </c>
      <c r="M259" t="s">
        <v>178</v>
      </c>
      <c r="N259">
        <v>26</v>
      </c>
      <c r="O259">
        <v>15</v>
      </c>
      <c r="P259">
        <v>445.21</v>
      </c>
      <c r="Q259">
        <v>1731.18</v>
      </c>
      <c r="R259">
        <v>179.42</v>
      </c>
      <c r="S259">
        <v>101.28566171</v>
      </c>
      <c r="T259">
        <v>0</v>
      </c>
      <c r="U259">
        <v>0</v>
      </c>
      <c r="V259">
        <v>179.42</v>
      </c>
      <c r="W259" t="s">
        <v>4019</v>
      </c>
      <c r="X259" t="s">
        <v>271</v>
      </c>
      <c r="Y259" t="s">
        <v>4020</v>
      </c>
      <c r="AA259" t="s">
        <v>4021</v>
      </c>
      <c r="AB259" t="s">
        <v>181</v>
      </c>
    </row>
    <row r="260" spans="1:28" x14ac:dyDescent="0.25">
      <c r="A260" t="s">
        <v>4031</v>
      </c>
      <c r="B260" t="s">
        <v>4032</v>
      </c>
      <c r="C260" t="s">
        <v>646</v>
      </c>
      <c r="D260" t="s">
        <v>3779</v>
      </c>
      <c r="E260" t="s">
        <v>647</v>
      </c>
      <c r="F260" t="s">
        <v>3780</v>
      </c>
      <c r="G260" t="s">
        <v>769</v>
      </c>
      <c r="H260" t="s">
        <v>703</v>
      </c>
      <c r="I260" t="s">
        <v>1513</v>
      </c>
      <c r="J260" t="s">
        <v>333</v>
      </c>
      <c r="K260" t="s">
        <v>166</v>
      </c>
      <c r="L260" t="s">
        <v>0</v>
      </c>
      <c r="M260" t="s">
        <v>178</v>
      </c>
      <c r="N260">
        <v>3248.9000999999998</v>
      </c>
      <c r="O260">
        <v>1218.7501</v>
      </c>
      <c r="P260">
        <v>56797.79</v>
      </c>
      <c r="Q260">
        <v>115898.22</v>
      </c>
      <c r="R260">
        <v>8228.3895399600005</v>
      </c>
      <c r="S260">
        <v>18155.284992609999</v>
      </c>
      <c r="T260">
        <v>294.78953996000001</v>
      </c>
      <c r="U260">
        <v>987.43</v>
      </c>
      <c r="V260">
        <v>9217.27</v>
      </c>
      <c r="W260" t="s">
        <v>718</v>
      </c>
      <c r="X260" t="s">
        <v>271</v>
      </c>
      <c r="Y260" t="s">
        <v>4033</v>
      </c>
      <c r="AA260" t="s">
        <v>4034</v>
      </c>
      <c r="AB260" t="s">
        <v>181</v>
      </c>
    </row>
    <row r="261" spans="1:28" x14ac:dyDescent="0.25">
      <c r="A261" t="s">
        <v>4288</v>
      </c>
      <c r="B261" t="s">
        <v>4289</v>
      </c>
      <c r="C261" t="s">
        <v>646</v>
      </c>
      <c r="D261" t="s">
        <v>3779</v>
      </c>
      <c r="E261" t="s">
        <v>647</v>
      </c>
      <c r="F261" t="s">
        <v>3780</v>
      </c>
      <c r="G261" t="s">
        <v>769</v>
      </c>
      <c r="H261" t="s">
        <v>683</v>
      </c>
      <c r="I261" t="s">
        <v>1453</v>
      </c>
      <c r="J261" t="s">
        <v>1454</v>
      </c>
      <c r="K261" t="s">
        <v>166</v>
      </c>
      <c r="L261" t="s">
        <v>0</v>
      </c>
      <c r="M261" t="s">
        <v>178</v>
      </c>
      <c r="N261">
        <v>181.5</v>
      </c>
      <c r="O261">
        <v>115.5</v>
      </c>
      <c r="P261">
        <v>3010.37</v>
      </c>
      <c r="Q261">
        <v>8225.7800000000007</v>
      </c>
      <c r="R261">
        <v>1710.34023501</v>
      </c>
      <c r="S261">
        <v>1259.1371943300001</v>
      </c>
      <c r="T261">
        <v>6.0235009999999999E-2</v>
      </c>
      <c r="U261">
        <v>0</v>
      </c>
      <c r="V261">
        <v>1710.28</v>
      </c>
      <c r="W261" t="s">
        <v>1455</v>
      </c>
      <c r="X261" t="s">
        <v>271</v>
      </c>
      <c r="Y261" t="s">
        <v>4290</v>
      </c>
      <c r="AA261" t="s">
        <v>4291</v>
      </c>
      <c r="AB261" t="s">
        <v>181</v>
      </c>
    </row>
    <row r="262" spans="1:28" x14ac:dyDescent="0.25">
      <c r="A262" t="s">
        <v>4167</v>
      </c>
      <c r="B262" t="s">
        <v>4168</v>
      </c>
      <c r="C262" t="s">
        <v>646</v>
      </c>
      <c r="D262" t="s">
        <v>3779</v>
      </c>
      <c r="E262" t="s">
        <v>647</v>
      </c>
      <c r="F262" t="s">
        <v>3780</v>
      </c>
      <c r="G262" t="s">
        <v>769</v>
      </c>
      <c r="H262" t="s">
        <v>672</v>
      </c>
      <c r="I262" t="s">
        <v>4169</v>
      </c>
      <c r="J262" t="s">
        <v>662</v>
      </c>
      <c r="K262" t="s">
        <v>166</v>
      </c>
      <c r="L262" t="s">
        <v>0</v>
      </c>
      <c r="M262" t="s">
        <v>178</v>
      </c>
      <c r="N262">
        <v>543</v>
      </c>
      <c r="O262">
        <v>128</v>
      </c>
      <c r="P262">
        <v>10057.200000000001</v>
      </c>
      <c r="Q262">
        <v>25876.14</v>
      </c>
      <c r="R262">
        <v>1751.75</v>
      </c>
      <c r="S262">
        <v>1114.38965699</v>
      </c>
      <c r="T262">
        <v>1053.1300000000001</v>
      </c>
      <c r="U262">
        <v>0</v>
      </c>
      <c r="V262">
        <v>1782.53</v>
      </c>
      <c r="W262" t="s">
        <v>586</v>
      </c>
      <c r="X262" t="s">
        <v>271</v>
      </c>
      <c r="Y262" t="s">
        <v>4170</v>
      </c>
      <c r="AA262" t="s">
        <v>4171</v>
      </c>
      <c r="AB262" t="s">
        <v>181</v>
      </c>
    </row>
    <row r="263" spans="1:28" x14ac:dyDescent="0.25">
      <c r="A263" t="s">
        <v>3797</v>
      </c>
      <c r="B263" t="s">
        <v>3798</v>
      </c>
      <c r="C263" t="s">
        <v>646</v>
      </c>
      <c r="D263" t="s">
        <v>3779</v>
      </c>
      <c r="E263" t="s">
        <v>647</v>
      </c>
      <c r="F263" t="s">
        <v>3780</v>
      </c>
      <c r="G263" t="s">
        <v>769</v>
      </c>
      <c r="H263" t="s">
        <v>909</v>
      </c>
      <c r="I263" t="s">
        <v>725</v>
      </c>
      <c r="J263" t="s">
        <v>726</v>
      </c>
      <c r="K263" t="s">
        <v>166</v>
      </c>
      <c r="L263" t="s">
        <v>0</v>
      </c>
      <c r="M263" t="s">
        <v>178</v>
      </c>
      <c r="N263">
        <v>443.01659999999998</v>
      </c>
      <c r="O263">
        <v>438.41660000000002</v>
      </c>
      <c r="P263">
        <v>14409.69</v>
      </c>
      <c r="Q263">
        <v>12301.66</v>
      </c>
      <c r="R263">
        <v>593.88875626000004</v>
      </c>
      <c r="S263">
        <v>2925.89102009</v>
      </c>
      <c r="T263">
        <v>0.10875625999999999</v>
      </c>
      <c r="U263">
        <v>661.59</v>
      </c>
      <c r="V263">
        <v>1255.3699999999999</v>
      </c>
      <c r="W263" t="s">
        <v>0</v>
      </c>
      <c r="X263" t="s">
        <v>271</v>
      </c>
      <c r="Y263" t="s">
        <v>3799</v>
      </c>
      <c r="AA263" t="s">
        <v>3800</v>
      </c>
      <c r="AB263" t="s">
        <v>181</v>
      </c>
    </row>
    <row r="264" spans="1:28" x14ac:dyDescent="0.25">
      <c r="A264" t="s">
        <v>4117</v>
      </c>
      <c r="B264" t="s">
        <v>4118</v>
      </c>
      <c r="C264" t="s">
        <v>646</v>
      </c>
      <c r="D264" t="s">
        <v>3779</v>
      </c>
      <c r="E264" t="s">
        <v>647</v>
      </c>
      <c r="F264" t="s">
        <v>3780</v>
      </c>
      <c r="G264" t="s">
        <v>769</v>
      </c>
      <c r="H264" t="s">
        <v>1171</v>
      </c>
      <c r="I264" t="s">
        <v>1190</v>
      </c>
      <c r="J264" t="s">
        <v>1191</v>
      </c>
      <c r="K264" t="s">
        <v>166</v>
      </c>
      <c r="L264" t="s">
        <v>0</v>
      </c>
      <c r="M264" t="s">
        <v>178</v>
      </c>
      <c r="N264">
        <v>30</v>
      </c>
      <c r="O264">
        <v>6</v>
      </c>
      <c r="P264">
        <v>1671.59</v>
      </c>
      <c r="Q264">
        <v>14681.26</v>
      </c>
      <c r="R264">
        <v>1134.3934051399999</v>
      </c>
      <c r="S264">
        <v>164.92511002000001</v>
      </c>
      <c r="T264">
        <v>0.27340513999999999</v>
      </c>
      <c r="U264">
        <v>0</v>
      </c>
      <c r="V264">
        <v>1134.1199999999999</v>
      </c>
      <c r="W264" t="s">
        <v>282</v>
      </c>
      <c r="X264" t="s">
        <v>271</v>
      </c>
      <c r="Y264" t="s">
        <v>2170</v>
      </c>
      <c r="AA264" t="s">
        <v>2171</v>
      </c>
      <c r="AB264" t="s">
        <v>181</v>
      </c>
    </row>
    <row r="265" spans="1:28" x14ac:dyDescent="0.25">
      <c r="A265" t="s">
        <v>4064</v>
      </c>
      <c r="B265" t="s">
        <v>4065</v>
      </c>
      <c r="C265" t="s">
        <v>646</v>
      </c>
      <c r="D265" t="s">
        <v>3779</v>
      </c>
      <c r="E265" t="s">
        <v>647</v>
      </c>
      <c r="F265" t="s">
        <v>3780</v>
      </c>
      <c r="G265" t="s">
        <v>769</v>
      </c>
      <c r="H265" t="s">
        <v>708</v>
      </c>
      <c r="I265" t="s">
        <v>2469</v>
      </c>
      <c r="J265" t="s">
        <v>2470</v>
      </c>
      <c r="K265" t="s">
        <v>166</v>
      </c>
      <c r="L265" t="s">
        <v>0</v>
      </c>
      <c r="M265" t="s">
        <v>178</v>
      </c>
      <c r="N265">
        <v>10</v>
      </c>
      <c r="O265">
        <v>10</v>
      </c>
      <c r="P265">
        <v>187.5</v>
      </c>
      <c r="Q265">
        <v>316.44</v>
      </c>
      <c r="R265">
        <v>18.25</v>
      </c>
      <c r="S265">
        <v>144.17881389999999</v>
      </c>
      <c r="T265">
        <v>0</v>
      </c>
      <c r="U265">
        <v>0</v>
      </c>
      <c r="V265">
        <v>18.25</v>
      </c>
      <c r="W265" t="s">
        <v>4066</v>
      </c>
      <c r="X265" t="s">
        <v>271</v>
      </c>
      <c r="Y265" t="s">
        <v>4067</v>
      </c>
      <c r="AA265" t="s">
        <v>4068</v>
      </c>
      <c r="AB265" t="s">
        <v>181</v>
      </c>
    </row>
    <row r="266" spans="1:28" x14ac:dyDescent="0.25">
      <c r="A266" t="s">
        <v>4155</v>
      </c>
      <c r="B266" t="s">
        <v>4156</v>
      </c>
      <c r="C266" t="s">
        <v>646</v>
      </c>
      <c r="D266" t="s">
        <v>3779</v>
      </c>
      <c r="E266" t="s">
        <v>647</v>
      </c>
      <c r="F266" t="s">
        <v>3780</v>
      </c>
      <c r="G266" t="s">
        <v>769</v>
      </c>
      <c r="H266" t="s">
        <v>909</v>
      </c>
      <c r="I266" t="s">
        <v>885</v>
      </c>
      <c r="J266" t="s">
        <v>324</v>
      </c>
      <c r="K266" t="s">
        <v>166</v>
      </c>
      <c r="L266" t="s">
        <v>0</v>
      </c>
      <c r="M266" t="s">
        <v>178</v>
      </c>
      <c r="N266">
        <v>92</v>
      </c>
      <c r="O266">
        <v>87</v>
      </c>
      <c r="P266">
        <v>3060.55</v>
      </c>
      <c r="Q266">
        <v>2208.0100000000002</v>
      </c>
      <c r="R266">
        <v>220.12</v>
      </c>
      <c r="S266">
        <v>325.78923505</v>
      </c>
      <c r="T266">
        <v>0</v>
      </c>
      <c r="U266">
        <v>0</v>
      </c>
      <c r="V266">
        <v>220.12</v>
      </c>
      <c r="W266" t="s">
        <v>519</v>
      </c>
      <c r="X266" t="s">
        <v>271</v>
      </c>
      <c r="Y266" t="s">
        <v>4157</v>
      </c>
      <c r="AA266" t="s">
        <v>4158</v>
      </c>
      <c r="AB266" t="s">
        <v>181</v>
      </c>
    </row>
    <row r="267" spans="1:28" x14ac:dyDescent="0.25">
      <c r="A267" t="s">
        <v>4092</v>
      </c>
      <c r="B267" t="s">
        <v>4093</v>
      </c>
      <c r="C267" t="s">
        <v>646</v>
      </c>
      <c r="D267" t="s">
        <v>3779</v>
      </c>
      <c r="E267" t="s">
        <v>647</v>
      </c>
      <c r="F267" t="s">
        <v>3780</v>
      </c>
      <c r="G267" t="s">
        <v>769</v>
      </c>
      <c r="H267" t="s">
        <v>856</v>
      </c>
      <c r="I267" t="s">
        <v>4094</v>
      </c>
      <c r="J267" t="s">
        <v>370</v>
      </c>
      <c r="K267" t="s">
        <v>166</v>
      </c>
      <c r="L267" t="s">
        <v>0</v>
      </c>
      <c r="M267" t="s">
        <v>178</v>
      </c>
      <c r="N267">
        <v>3</v>
      </c>
      <c r="O267">
        <v>0</v>
      </c>
      <c r="P267">
        <v>38.22</v>
      </c>
      <c r="Q267">
        <v>582.37</v>
      </c>
      <c r="R267">
        <v>80.56</v>
      </c>
      <c r="S267">
        <v>10.68567176</v>
      </c>
      <c r="T267">
        <v>0</v>
      </c>
      <c r="U267">
        <v>0</v>
      </c>
      <c r="V267">
        <v>80.56</v>
      </c>
      <c r="W267" t="s">
        <v>314</v>
      </c>
      <c r="X267" t="s">
        <v>271</v>
      </c>
      <c r="Y267" t="s">
        <v>4095</v>
      </c>
      <c r="Z267" t="s">
        <v>4096</v>
      </c>
      <c r="AA267" t="s">
        <v>4097</v>
      </c>
      <c r="AB267" t="s">
        <v>181</v>
      </c>
    </row>
    <row r="268" spans="1:28" x14ac:dyDescent="0.25">
      <c r="A268" t="s">
        <v>4288</v>
      </c>
      <c r="B268" t="s">
        <v>4289</v>
      </c>
      <c r="C268" t="s">
        <v>646</v>
      </c>
      <c r="D268" t="s">
        <v>3779</v>
      </c>
      <c r="E268" t="s">
        <v>647</v>
      </c>
      <c r="F268" t="s">
        <v>3780</v>
      </c>
      <c r="G268" t="s">
        <v>769</v>
      </c>
      <c r="H268" t="s">
        <v>717</v>
      </c>
      <c r="I268" t="s">
        <v>1453</v>
      </c>
      <c r="J268" t="s">
        <v>1454</v>
      </c>
      <c r="K268" t="s">
        <v>166</v>
      </c>
      <c r="L268" t="s">
        <v>0</v>
      </c>
      <c r="M268" t="s">
        <v>178</v>
      </c>
      <c r="N268">
        <v>37</v>
      </c>
      <c r="O268">
        <v>25</v>
      </c>
      <c r="P268">
        <v>456.6</v>
      </c>
      <c r="Q268">
        <v>1553.45</v>
      </c>
      <c r="R268">
        <v>280.35000000000002</v>
      </c>
      <c r="S268">
        <v>67.481763020000002</v>
      </c>
      <c r="T268">
        <v>0</v>
      </c>
      <c r="U268">
        <v>0</v>
      </c>
      <c r="V268">
        <v>280.35000000000002</v>
      </c>
      <c r="W268" t="s">
        <v>1455</v>
      </c>
      <c r="X268" t="s">
        <v>271</v>
      </c>
      <c r="Y268" t="s">
        <v>4290</v>
      </c>
      <c r="AA268" t="s">
        <v>4291</v>
      </c>
      <c r="AB268" t="s">
        <v>181</v>
      </c>
    </row>
    <row r="269" spans="1:28" x14ac:dyDescent="0.25">
      <c r="A269" t="s">
        <v>4260</v>
      </c>
      <c r="B269" t="s">
        <v>4261</v>
      </c>
      <c r="C269" t="s">
        <v>646</v>
      </c>
      <c r="D269" t="s">
        <v>3779</v>
      </c>
      <c r="E269" t="s">
        <v>647</v>
      </c>
      <c r="F269" t="s">
        <v>666</v>
      </c>
      <c r="G269" t="s">
        <v>666</v>
      </c>
      <c r="H269" t="s">
        <v>802</v>
      </c>
      <c r="I269" t="s">
        <v>4262</v>
      </c>
      <c r="J269" t="s">
        <v>1180</v>
      </c>
      <c r="K269" t="s">
        <v>166</v>
      </c>
      <c r="L269" t="s">
        <v>0</v>
      </c>
      <c r="M269" t="s">
        <v>178</v>
      </c>
      <c r="N269">
        <v>1</v>
      </c>
      <c r="O269">
        <v>1</v>
      </c>
      <c r="P269">
        <v>4</v>
      </c>
      <c r="Q269">
        <v>37.369999999999997</v>
      </c>
      <c r="R269">
        <v>12.18</v>
      </c>
      <c r="S269">
        <v>2.2895187099999998</v>
      </c>
      <c r="T269">
        <v>0</v>
      </c>
      <c r="U269">
        <v>0</v>
      </c>
      <c r="V269">
        <v>12.18</v>
      </c>
      <c r="W269" t="s">
        <v>0</v>
      </c>
      <c r="X269" t="s">
        <v>271</v>
      </c>
      <c r="Y269" t="s">
        <v>4263</v>
      </c>
      <c r="AA269" t="s">
        <v>4264</v>
      </c>
      <c r="AB269" t="s">
        <v>181</v>
      </c>
    </row>
    <row r="270" spans="1:28" x14ac:dyDescent="0.25">
      <c r="A270" t="s">
        <v>4051</v>
      </c>
      <c r="B270" t="s">
        <v>4052</v>
      </c>
      <c r="C270" t="s">
        <v>646</v>
      </c>
      <c r="D270" t="s">
        <v>3779</v>
      </c>
      <c r="E270" t="s">
        <v>647</v>
      </c>
      <c r="F270" t="s">
        <v>3780</v>
      </c>
      <c r="G270" t="s">
        <v>769</v>
      </c>
      <c r="H270" t="s">
        <v>717</v>
      </c>
      <c r="I270" t="s">
        <v>4053</v>
      </c>
      <c r="J270" t="s">
        <v>4054</v>
      </c>
      <c r="K270" t="s">
        <v>166</v>
      </c>
      <c r="L270" t="s">
        <v>0</v>
      </c>
      <c r="M270" t="s">
        <v>178</v>
      </c>
      <c r="N270">
        <v>486</v>
      </c>
      <c r="O270">
        <v>383</v>
      </c>
      <c r="P270">
        <v>14863.22</v>
      </c>
      <c r="Q270">
        <v>37811.39</v>
      </c>
      <c r="R270">
        <v>3105.4889197900002</v>
      </c>
      <c r="S270">
        <v>1559.63151109</v>
      </c>
      <c r="T270">
        <v>6.8389197900000003</v>
      </c>
      <c r="U270">
        <v>0</v>
      </c>
      <c r="V270">
        <v>3098.65</v>
      </c>
      <c r="W270" t="s">
        <v>2488</v>
      </c>
      <c r="X270" t="s">
        <v>269</v>
      </c>
      <c r="Y270" t="s">
        <v>4055</v>
      </c>
      <c r="AA270" t="s">
        <v>4056</v>
      </c>
      <c r="AB270" t="s">
        <v>181</v>
      </c>
    </row>
    <row r="271" spans="1:28" x14ac:dyDescent="0.25">
      <c r="A271" t="s">
        <v>4292</v>
      </c>
      <c r="B271" t="s">
        <v>4293</v>
      </c>
      <c r="C271" t="s">
        <v>646</v>
      </c>
      <c r="D271" t="s">
        <v>3779</v>
      </c>
      <c r="E271" t="s">
        <v>647</v>
      </c>
      <c r="F271" t="s">
        <v>3780</v>
      </c>
      <c r="G271" t="s">
        <v>769</v>
      </c>
      <c r="H271" t="s">
        <v>708</v>
      </c>
      <c r="I271" t="s">
        <v>4294</v>
      </c>
      <c r="J271" t="s">
        <v>4295</v>
      </c>
      <c r="K271" t="s">
        <v>166</v>
      </c>
      <c r="L271" t="s">
        <v>0</v>
      </c>
      <c r="M271" t="s">
        <v>178</v>
      </c>
      <c r="N271">
        <v>6</v>
      </c>
      <c r="O271">
        <v>2</v>
      </c>
      <c r="P271">
        <v>1.96</v>
      </c>
      <c r="Q271">
        <v>89.24</v>
      </c>
      <c r="R271">
        <v>28.38</v>
      </c>
      <c r="S271">
        <v>5.94</v>
      </c>
      <c r="T271">
        <v>0</v>
      </c>
      <c r="U271">
        <v>0</v>
      </c>
      <c r="V271">
        <v>28.38</v>
      </c>
      <c r="W271" t="s">
        <v>0</v>
      </c>
      <c r="X271" t="s">
        <v>271</v>
      </c>
      <c r="Y271" t="s">
        <v>4296</v>
      </c>
      <c r="AA271" t="s">
        <v>4297</v>
      </c>
      <c r="AB271" t="s">
        <v>181</v>
      </c>
    </row>
    <row r="272" spans="1:28" x14ac:dyDescent="0.25">
      <c r="A272" t="s">
        <v>3998</v>
      </c>
      <c r="B272" t="s">
        <v>3999</v>
      </c>
      <c r="C272" t="s">
        <v>646</v>
      </c>
      <c r="D272" t="s">
        <v>3779</v>
      </c>
      <c r="E272" t="s">
        <v>647</v>
      </c>
      <c r="F272" t="s">
        <v>3780</v>
      </c>
      <c r="G272" t="s">
        <v>769</v>
      </c>
      <c r="H272" t="s">
        <v>1515</v>
      </c>
      <c r="I272" t="s">
        <v>1636</v>
      </c>
      <c r="J272" t="s">
        <v>1637</v>
      </c>
      <c r="K272" t="s">
        <v>166</v>
      </c>
      <c r="L272" t="s">
        <v>0</v>
      </c>
      <c r="M272" t="s">
        <v>178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 t="s">
        <v>1638</v>
      </c>
      <c r="X272" t="s">
        <v>271</v>
      </c>
      <c r="Y272" t="s">
        <v>4000</v>
      </c>
      <c r="AA272" t="s">
        <v>4001</v>
      </c>
      <c r="AB272" t="s">
        <v>181</v>
      </c>
    </row>
    <row r="273" spans="1:28" x14ac:dyDescent="0.25">
      <c r="A273" t="s">
        <v>4057</v>
      </c>
      <c r="B273" t="s">
        <v>4058</v>
      </c>
      <c r="C273" t="s">
        <v>646</v>
      </c>
      <c r="D273" t="s">
        <v>3779</v>
      </c>
      <c r="E273" t="s">
        <v>647</v>
      </c>
      <c r="F273" t="s">
        <v>3780</v>
      </c>
      <c r="G273" t="s">
        <v>769</v>
      </c>
      <c r="H273" t="s">
        <v>1515</v>
      </c>
      <c r="I273" t="s">
        <v>1190</v>
      </c>
      <c r="J273" t="s">
        <v>1191</v>
      </c>
      <c r="K273" t="s">
        <v>166</v>
      </c>
      <c r="L273" t="s">
        <v>0</v>
      </c>
      <c r="M273" t="s">
        <v>178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 t="s">
        <v>282</v>
      </c>
      <c r="X273" t="s">
        <v>271</v>
      </c>
      <c r="Y273" t="s">
        <v>4059</v>
      </c>
      <c r="AA273" t="s">
        <v>2171</v>
      </c>
      <c r="AB273" t="s">
        <v>181</v>
      </c>
    </row>
    <row r="274" spans="1:28" x14ac:dyDescent="0.25">
      <c r="A274" t="s">
        <v>4155</v>
      </c>
      <c r="B274" t="s">
        <v>4156</v>
      </c>
      <c r="C274" t="s">
        <v>646</v>
      </c>
      <c r="D274" t="s">
        <v>3779</v>
      </c>
      <c r="E274" t="s">
        <v>647</v>
      </c>
      <c r="F274" t="s">
        <v>3780</v>
      </c>
      <c r="G274" t="s">
        <v>769</v>
      </c>
      <c r="H274" t="s">
        <v>730</v>
      </c>
      <c r="I274" t="s">
        <v>885</v>
      </c>
      <c r="J274" t="s">
        <v>324</v>
      </c>
      <c r="K274" t="s">
        <v>166</v>
      </c>
      <c r="L274" t="s">
        <v>0</v>
      </c>
      <c r="M274" t="s">
        <v>178</v>
      </c>
      <c r="N274">
        <v>22</v>
      </c>
      <c r="O274">
        <v>21</v>
      </c>
      <c r="P274">
        <v>1238.7</v>
      </c>
      <c r="Q274">
        <v>434.9</v>
      </c>
      <c r="R274">
        <v>56.342703460000003</v>
      </c>
      <c r="S274">
        <v>84.502093459999998</v>
      </c>
      <c r="T274">
        <v>-0.17729654</v>
      </c>
      <c r="U274">
        <v>0</v>
      </c>
      <c r="V274">
        <v>56.52</v>
      </c>
      <c r="W274" t="s">
        <v>519</v>
      </c>
      <c r="X274" t="s">
        <v>271</v>
      </c>
      <c r="Y274" t="s">
        <v>4157</v>
      </c>
      <c r="AA274" t="s">
        <v>4158</v>
      </c>
      <c r="AB274" t="s">
        <v>181</v>
      </c>
    </row>
    <row r="275" spans="1:28" x14ac:dyDescent="0.25">
      <c r="A275" t="s">
        <v>3870</v>
      </c>
      <c r="B275" t="s">
        <v>3871</v>
      </c>
      <c r="C275" t="s">
        <v>646</v>
      </c>
      <c r="D275" t="s">
        <v>3779</v>
      </c>
      <c r="E275" t="s">
        <v>647</v>
      </c>
      <c r="F275" t="s">
        <v>666</v>
      </c>
      <c r="G275" t="s">
        <v>666</v>
      </c>
      <c r="H275" t="s">
        <v>802</v>
      </c>
      <c r="I275" t="s">
        <v>3872</v>
      </c>
      <c r="J275" t="s">
        <v>355</v>
      </c>
      <c r="K275" t="s">
        <v>166</v>
      </c>
      <c r="L275" t="s">
        <v>0</v>
      </c>
      <c r="M275" t="s">
        <v>178</v>
      </c>
      <c r="N275">
        <v>27.5</v>
      </c>
      <c r="O275">
        <v>27.5</v>
      </c>
      <c r="P275">
        <v>550</v>
      </c>
      <c r="Q275">
        <v>1321.95</v>
      </c>
      <c r="R275">
        <v>286.5</v>
      </c>
      <c r="S275">
        <v>146.81625826999999</v>
      </c>
      <c r="T275">
        <v>0</v>
      </c>
      <c r="U275">
        <v>0</v>
      </c>
      <c r="V275">
        <v>286.5</v>
      </c>
      <c r="W275" t="s">
        <v>0</v>
      </c>
      <c r="X275" t="s">
        <v>271</v>
      </c>
      <c r="Y275" t="s">
        <v>3873</v>
      </c>
      <c r="AA275" t="s">
        <v>3874</v>
      </c>
      <c r="AB275" t="s">
        <v>181</v>
      </c>
    </row>
    <row r="276" spans="1:28" x14ac:dyDescent="0.25">
      <c r="A276" t="s">
        <v>4127</v>
      </c>
      <c r="B276" t="s">
        <v>4128</v>
      </c>
      <c r="C276" t="s">
        <v>646</v>
      </c>
      <c r="D276" t="s">
        <v>3779</v>
      </c>
      <c r="E276" t="s">
        <v>647</v>
      </c>
      <c r="F276" t="s">
        <v>3780</v>
      </c>
      <c r="G276" t="s">
        <v>769</v>
      </c>
      <c r="H276" t="s">
        <v>761</v>
      </c>
      <c r="I276" t="s">
        <v>4129</v>
      </c>
      <c r="J276" t="s">
        <v>2057</v>
      </c>
      <c r="K276" t="s">
        <v>166</v>
      </c>
      <c r="L276" t="s">
        <v>0</v>
      </c>
      <c r="M276" t="s">
        <v>178</v>
      </c>
      <c r="N276">
        <v>35</v>
      </c>
      <c r="O276">
        <v>15</v>
      </c>
      <c r="P276">
        <v>1289.52</v>
      </c>
      <c r="Q276">
        <v>1418.59</v>
      </c>
      <c r="R276">
        <v>198.01352573</v>
      </c>
      <c r="S276">
        <v>218.97192634999999</v>
      </c>
      <c r="T276">
        <v>0.31352573</v>
      </c>
      <c r="U276">
        <v>0</v>
      </c>
      <c r="V276">
        <v>197.7</v>
      </c>
      <c r="W276" t="s">
        <v>2058</v>
      </c>
      <c r="X276" t="s">
        <v>271</v>
      </c>
      <c r="Y276" t="s">
        <v>4130</v>
      </c>
      <c r="AA276" t="s">
        <v>4131</v>
      </c>
      <c r="AB276" t="s">
        <v>181</v>
      </c>
    </row>
    <row r="277" spans="1:28" x14ac:dyDescent="0.25">
      <c r="A277" t="s">
        <v>4252</v>
      </c>
      <c r="B277" t="s">
        <v>4253</v>
      </c>
      <c r="C277" t="s">
        <v>646</v>
      </c>
      <c r="D277" t="s">
        <v>3779</v>
      </c>
      <c r="E277" t="s">
        <v>647</v>
      </c>
      <c r="F277" t="s">
        <v>3780</v>
      </c>
      <c r="G277" t="s">
        <v>769</v>
      </c>
      <c r="H277" t="s">
        <v>703</v>
      </c>
      <c r="I277" t="s">
        <v>1046</v>
      </c>
      <c r="J277" t="s">
        <v>971</v>
      </c>
      <c r="K277" t="s">
        <v>166</v>
      </c>
      <c r="L277" t="s">
        <v>0</v>
      </c>
      <c r="M277" t="s">
        <v>178</v>
      </c>
      <c r="N277">
        <v>530</v>
      </c>
      <c r="O277">
        <v>178</v>
      </c>
      <c r="P277">
        <v>12128.18</v>
      </c>
      <c r="Q277">
        <v>17321.79</v>
      </c>
      <c r="R277">
        <v>2065.5035392099999</v>
      </c>
      <c r="S277">
        <v>1583.83319142</v>
      </c>
      <c r="T277">
        <v>-6.6460790000000006E-2</v>
      </c>
      <c r="U277">
        <v>0</v>
      </c>
      <c r="V277">
        <v>2065.5700000000002</v>
      </c>
      <c r="W277" t="s">
        <v>972</v>
      </c>
      <c r="X277" t="s">
        <v>269</v>
      </c>
      <c r="Y277" t="s">
        <v>4254</v>
      </c>
      <c r="AA277" t="s">
        <v>4255</v>
      </c>
      <c r="AB277" t="s">
        <v>181</v>
      </c>
    </row>
    <row r="278" spans="1:28" x14ac:dyDescent="0.25">
      <c r="A278" t="s">
        <v>4240</v>
      </c>
      <c r="B278" t="s">
        <v>4241</v>
      </c>
      <c r="C278" t="s">
        <v>646</v>
      </c>
      <c r="D278" t="s">
        <v>3779</v>
      </c>
      <c r="E278" t="s">
        <v>647</v>
      </c>
      <c r="F278" t="s">
        <v>666</v>
      </c>
      <c r="G278" t="s">
        <v>666</v>
      </c>
      <c r="H278" t="s">
        <v>757</v>
      </c>
      <c r="I278" t="s">
        <v>880</v>
      </c>
      <c r="J278" t="s">
        <v>881</v>
      </c>
      <c r="K278" t="s">
        <v>166</v>
      </c>
      <c r="L278" t="s">
        <v>0</v>
      </c>
      <c r="M278" t="s">
        <v>178</v>
      </c>
      <c r="N278">
        <v>150.91249999999999</v>
      </c>
      <c r="O278">
        <v>127.91249999999999</v>
      </c>
      <c r="P278">
        <v>3818.41</v>
      </c>
      <c r="Q278">
        <v>3579.95</v>
      </c>
      <c r="R278">
        <v>-357.37</v>
      </c>
      <c r="S278">
        <v>1204.1538465199999</v>
      </c>
      <c r="T278">
        <v>68.010000000000005</v>
      </c>
      <c r="U278">
        <v>639.24</v>
      </c>
      <c r="V278">
        <v>279.74</v>
      </c>
      <c r="W278" t="s">
        <v>0</v>
      </c>
      <c r="X278" t="s">
        <v>271</v>
      </c>
      <c r="Y278" t="s">
        <v>4242</v>
      </c>
      <c r="AA278" t="s">
        <v>4243</v>
      </c>
      <c r="AB278" t="s">
        <v>181</v>
      </c>
    </row>
    <row r="279" spans="1:28" x14ac:dyDescent="0.25">
      <c r="A279" t="s">
        <v>4244</v>
      </c>
      <c r="B279" t="s">
        <v>4245</v>
      </c>
      <c r="C279" t="s">
        <v>646</v>
      </c>
      <c r="D279" t="s">
        <v>3779</v>
      </c>
      <c r="E279" t="s">
        <v>647</v>
      </c>
      <c r="F279" t="s">
        <v>3780</v>
      </c>
      <c r="G279" t="s">
        <v>769</v>
      </c>
      <c r="H279" t="s">
        <v>1171</v>
      </c>
      <c r="I279" t="s">
        <v>1251</v>
      </c>
      <c r="J279" t="s">
        <v>821</v>
      </c>
      <c r="K279" t="s">
        <v>166</v>
      </c>
      <c r="L279" t="s">
        <v>0</v>
      </c>
      <c r="M279" t="s">
        <v>178</v>
      </c>
      <c r="N279">
        <v>25</v>
      </c>
      <c r="O279">
        <v>15</v>
      </c>
      <c r="P279">
        <v>968.45</v>
      </c>
      <c r="Q279">
        <v>8859.07</v>
      </c>
      <c r="R279">
        <v>961.90664991000006</v>
      </c>
      <c r="S279">
        <v>80.071170789999996</v>
      </c>
      <c r="T279">
        <v>6.6499100000000002E-3</v>
      </c>
      <c r="U279">
        <v>0</v>
      </c>
      <c r="V279">
        <v>961.9</v>
      </c>
      <c r="W279" t="s">
        <v>822</v>
      </c>
      <c r="X279" t="s">
        <v>269</v>
      </c>
      <c r="Y279" t="s">
        <v>4246</v>
      </c>
      <c r="AA279" t="s">
        <v>4247</v>
      </c>
      <c r="AB279" t="s">
        <v>181</v>
      </c>
    </row>
    <row r="280" spans="1:28" x14ac:dyDescent="0.25">
      <c r="A280" t="s">
        <v>4057</v>
      </c>
      <c r="B280" t="s">
        <v>4058</v>
      </c>
      <c r="C280" t="s">
        <v>646</v>
      </c>
      <c r="D280" t="s">
        <v>3779</v>
      </c>
      <c r="E280" t="s">
        <v>647</v>
      </c>
      <c r="F280" t="s">
        <v>3780</v>
      </c>
      <c r="G280" t="s">
        <v>769</v>
      </c>
      <c r="H280" t="s">
        <v>708</v>
      </c>
      <c r="I280" t="s">
        <v>1190</v>
      </c>
      <c r="J280" t="s">
        <v>1191</v>
      </c>
      <c r="K280" t="s">
        <v>166</v>
      </c>
      <c r="L280" t="s">
        <v>0</v>
      </c>
      <c r="M280" t="s">
        <v>178</v>
      </c>
      <c r="N280">
        <v>252</v>
      </c>
      <c r="O280">
        <v>151</v>
      </c>
      <c r="P280">
        <v>4000.43</v>
      </c>
      <c r="Q280">
        <v>13400.52</v>
      </c>
      <c r="R280">
        <v>570.07481858999995</v>
      </c>
      <c r="S280">
        <v>3095.1139155800001</v>
      </c>
      <c r="T280">
        <v>4.8185900000000002E-3</v>
      </c>
      <c r="U280">
        <v>0</v>
      </c>
      <c r="V280">
        <v>570.07000000000005</v>
      </c>
      <c r="W280" t="s">
        <v>282</v>
      </c>
      <c r="X280" t="s">
        <v>271</v>
      </c>
      <c r="Y280" t="s">
        <v>4059</v>
      </c>
      <c r="AA280" t="s">
        <v>2171</v>
      </c>
      <c r="AB280" t="s">
        <v>181</v>
      </c>
    </row>
    <row r="281" spans="1:28" x14ac:dyDescent="0.25">
      <c r="A281" t="s">
        <v>4159</v>
      </c>
      <c r="B281" t="s">
        <v>257</v>
      </c>
      <c r="C281" t="s">
        <v>646</v>
      </c>
      <c r="D281" t="s">
        <v>3779</v>
      </c>
      <c r="E281" t="s">
        <v>647</v>
      </c>
      <c r="F281" t="s">
        <v>3780</v>
      </c>
      <c r="G281" t="s">
        <v>769</v>
      </c>
      <c r="H281" t="s">
        <v>679</v>
      </c>
      <c r="I281" t="s">
        <v>673</v>
      </c>
      <c r="J281" t="s">
        <v>674</v>
      </c>
      <c r="K281" t="s">
        <v>166</v>
      </c>
      <c r="L281" t="s">
        <v>0</v>
      </c>
      <c r="M281" t="s">
        <v>178</v>
      </c>
      <c r="N281">
        <v>159.19999999999999</v>
      </c>
      <c r="O281">
        <v>105.2</v>
      </c>
      <c r="P281">
        <v>1852.2</v>
      </c>
      <c r="Q281">
        <v>6806.05</v>
      </c>
      <c r="R281">
        <v>1925.90149612</v>
      </c>
      <c r="S281">
        <v>991.21885631999999</v>
      </c>
      <c r="T281">
        <v>257.38149612000001</v>
      </c>
      <c r="U281">
        <v>0</v>
      </c>
      <c r="V281">
        <v>1927.07</v>
      </c>
      <c r="W281" t="s">
        <v>675</v>
      </c>
      <c r="X281" t="s">
        <v>271</v>
      </c>
      <c r="Y281" t="s">
        <v>4160</v>
      </c>
      <c r="AA281" t="s">
        <v>4161</v>
      </c>
      <c r="AB281" t="s">
        <v>181</v>
      </c>
    </row>
    <row r="282" spans="1:28" x14ac:dyDescent="0.25">
      <c r="A282" t="s">
        <v>4135</v>
      </c>
      <c r="B282" t="s">
        <v>4136</v>
      </c>
      <c r="C282" t="s">
        <v>646</v>
      </c>
      <c r="D282" t="s">
        <v>3779</v>
      </c>
      <c r="E282" t="s">
        <v>647</v>
      </c>
      <c r="F282" t="s">
        <v>3780</v>
      </c>
      <c r="G282" t="s">
        <v>769</v>
      </c>
      <c r="H282" t="s">
        <v>761</v>
      </c>
      <c r="I282" t="s">
        <v>1083</v>
      </c>
      <c r="J282" t="s">
        <v>731</v>
      </c>
      <c r="K282" t="s">
        <v>166</v>
      </c>
      <c r="L282" t="s">
        <v>0</v>
      </c>
      <c r="M282" t="s">
        <v>178</v>
      </c>
      <c r="N282">
        <v>379</v>
      </c>
      <c r="O282">
        <v>189</v>
      </c>
      <c r="P282">
        <v>12953.03</v>
      </c>
      <c r="Q282">
        <v>13229.55</v>
      </c>
      <c r="R282">
        <v>2785.69</v>
      </c>
      <c r="S282">
        <v>2092.45509786</v>
      </c>
      <c r="T282">
        <v>0</v>
      </c>
      <c r="U282">
        <v>0</v>
      </c>
      <c r="V282">
        <v>2785.69</v>
      </c>
      <c r="W282" t="s">
        <v>0</v>
      </c>
      <c r="X282" t="s">
        <v>271</v>
      </c>
      <c r="Y282" t="s">
        <v>4137</v>
      </c>
      <c r="AA282" t="s">
        <v>4138</v>
      </c>
      <c r="AB282" t="s">
        <v>181</v>
      </c>
    </row>
    <row r="283" spans="1:28" x14ac:dyDescent="0.25">
      <c r="A283" t="s">
        <v>3895</v>
      </c>
      <c r="B283" t="s">
        <v>3896</v>
      </c>
      <c r="C283" t="s">
        <v>646</v>
      </c>
      <c r="D283" t="s">
        <v>3779</v>
      </c>
      <c r="E283" t="s">
        <v>647</v>
      </c>
      <c r="F283" t="s">
        <v>3780</v>
      </c>
      <c r="G283" t="s">
        <v>769</v>
      </c>
      <c r="H283" t="s">
        <v>761</v>
      </c>
      <c r="I283" t="s">
        <v>3897</v>
      </c>
      <c r="J283" t="s">
        <v>437</v>
      </c>
      <c r="K283" t="s">
        <v>166</v>
      </c>
      <c r="L283" t="s">
        <v>0</v>
      </c>
      <c r="M283" t="s">
        <v>178</v>
      </c>
      <c r="N283">
        <v>301</v>
      </c>
      <c r="O283">
        <v>97</v>
      </c>
      <c r="P283">
        <v>10745.99</v>
      </c>
      <c r="Q283">
        <v>8389.33</v>
      </c>
      <c r="R283">
        <v>640.5</v>
      </c>
      <c r="S283">
        <v>771.01595038000005</v>
      </c>
      <c r="T283">
        <v>0</v>
      </c>
      <c r="U283">
        <v>0</v>
      </c>
      <c r="V283">
        <v>640.5</v>
      </c>
      <c r="W283" t="s">
        <v>510</v>
      </c>
      <c r="X283" t="s">
        <v>271</v>
      </c>
      <c r="Y283" t="s">
        <v>3898</v>
      </c>
      <c r="AA283" t="s">
        <v>3899</v>
      </c>
      <c r="AB283" t="s">
        <v>181</v>
      </c>
    </row>
    <row r="284" spans="1:28" x14ac:dyDescent="0.25">
      <c r="A284" t="s">
        <v>4119</v>
      </c>
      <c r="B284" t="s">
        <v>4120</v>
      </c>
      <c r="C284" t="s">
        <v>646</v>
      </c>
      <c r="D284" t="s">
        <v>3779</v>
      </c>
      <c r="E284" t="s">
        <v>647</v>
      </c>
      <c r="F284" t="s">
        <v>3780</v>
      </c>
      <c r="G284" t="s">
        <v>769</v>
      </c>
      <c r="H284" t="s">
        <v>770</v>
      </c>
      <c r="I284" t="s">
        <v>1374</v>
      </c>
      <c r="J284" t="s">
        <v>441</v>
      </c>
      <c r="K284" t="s">
        <v>166</v>
      </c>
      <c r="L284" t="s">
        <v>0</v>
      </c>
      <c r="M284" t="s">
        <v>178</v>
      </c>
      <c r="N284">
        <v>82</v>
      </c>
      <c r="O284">
        <v>59</v>
      </c>
      <c r="P284">
        <v>901.75</v>
      </c>
      <c r="Q284">
        <v>1501.57</v>
      </c>
      <c r="R284">
        <v>166.24</v>
      </c>
      <c r="S284">
        <v>223.98910444000001</v>
      </c>
      <c r="T284">
        <v>0</v>
      </c>
      <c r="U284">
        <v>0</v>
      </c>
      <c r="V284">
        <v>166.24</v>
      </c>
      <c r="W284" t="s">
        <v>440</v>
      </c>
      <c r="X284" t="s">
        <v>271</v>
      </c>
      <c r="Y284" t="s">
        <v>4121</v>
      </c>
      <c r="AA284" t="s">
        <v>4122</v>
      </c>
      <c r="AB284" t="s">
        <v>181</v>
      </c>
    </row>
    <row r="285" spans="1:28" x14ac:dyDescent="0.25">
      <c r="A285" t="s">
        <v>4074</v>
      </c>
      <c r="B285" t="s">
        <v>4075</v>
      </c>
      <c r="C285" t="s">
        <v>646</v>
      </c>
      <c r="D285" t="s">
        <v>3779</v>
      </c>
      <c r="E285" t="s">
        <v>647</v>
      </c>
      <c r="F285" t="s">
        <v>3780</v>
      </c>
      <c r="G285" t="s">
        <v>769</v>
      </c>
      <c r="H285" t="s">
        <v>761</v>
      </c>
      <c r="I285" t="s">
        <v>1284</v>
      </c>
      <c r="J285" t="s">
        <v>1285</v>
      </c>
      <c r="K285" t="s">
        <v>166</v>
      </c>
      <c r="L285" t="s">
        <v>0</v>
      </c>
      <c r="M285" t="s">
        <v>178</v>
      </c>
      <c r="N285">
        <v>52</v>
      </c>
      <c r="O285">
        <v>0</v>
      </c>
      <c r="P285">
        <v>2086.36</v>
      </c>
      <c r="Q285">
        <v>1443.62</v>
      </c>
      <c r="R285">
        <v>136.76</v>
      </c>
      <c r="S285">
        <v>0</v>
      </c>
      <c r="T285">
        <v>0</v>
      </c>
      <c r="U285">
        <v>0</v>
      </c>
      <c r="V285">
        <v>136.76</v>
      </c>
      <c r="W285" t="s">
        <v>1286</v>
      </c>
      <c r="X285" t="s">
        <v>269</v>
      </c>
      <c r="Y285" t="s">
        <v>4076</v>
      </c>
      <c r="AA285" t="s">
        <v>4077</v>
      </c>
      <c r="AB285" t="s">
        <v>181</v>
      </c>
    </row>
    <row r="286" spans="1:28" x14ac:dyDescent="0.25">
      <c r="A286" t="s">
        <v>4060</v>
      </c>
      <c r="B286" t="s">
        <v>4061</v>
      </c>
      <c r="C286" t="s">
        <v>646</v>
      </c>
      <c r="D286" t="s">
        <v>3779</v>
      </c>
      <c r="E286" t="s">
        <v>647</v>
      </c>
      <c r="F286" t="s">
        <v>648</v>
      </c>
      <c r="G286" t="s">
        <v>648</v>
      </c>
      <c r="H286" t="s">
        <v>708</v>
      </c>
      <c r="I286" t="s">
        <v>1114</v>
      </c>
      <c r="J286" t="s">
        <v>1115</v>
      </c>
      <c r="K286" t="s">
        <v>166</v>
      </c>
      <c r="L286" t="s">
        <v>0</v>
      </c>
      <c r="M286" t="s">
        <v>178</v>
      </c>
      <c r="N286">
        <v>984</v>
      </c>
      <c r="O286">
        <v>225</v>
      </c>
      <c r="P286">
        <v>1890.98</v>
      </c>
      <c r="Q286">
        <v>14296.64</v>
      </c>
      <c r="R286">
        <v>1352.79</v>
      </c>
      <c r="S286">
        <v>1652.96</v>
      </c>
      <c r="T286">
        <v>0</v>
      </c>
      <c r="U286">
        <v>0</v>
      </c>
      <c r="V286">
        <v>1352.79</v>
      </c>
      <c r="W286" t="s">
        <v>0</v>
      </c>
      <c r="X286" t="s">
        <v>271</v>
      </c>
      <c r="Y286" t="s">
        <v>4062</v>
      </c>
      <c r="AA286" t="s">
        <v>4063</v>
      </c>
      <c r="AB286" t="s">
        <v>181</v>
      </c>
    </row>
    <row r="287" spans="1:28" x14ac:dyDescent="0.25">
      <c r="A287" t="s">
        <v>3870</v>
      </c>
      <c r="B287" t="s">
        <v>3871</v>
      </c>
      <c r="C287" t="s">
        <v>646</v>
      </c>
      <c r="D287" t="s">
        <v>3779</v>
      </c>
      <c r="E287" t="s">
        <v>647</v>
      </c>
      <c r="F287" t="s">
        <v>666</v>
      </c>
      <c r="G287" t="s">
        <v>666</v>
      </c>
      <c r="H287" t="s">
        <v>703</v>
      </c>
      <c r="I287" t="s">
        <v>3872</v>
      </c>
      <c r="J287" t="s">
        <v>355</v>
      </c>
      <c r="K287" t="s">
        <v>166</v>
      </c>
      <c r="L287" t="s">
        <v>0</v>
      </c>
      <c r="M287" t="s">
        <v>178</v>
      </c>
      <c r="N287">
        <v>274</v>
      </c>
      <c r="O287">
        <v>112</v>
      </c>
      <c r="P287">
        <v>2916.46</v>
      </c>
      <c r="Q287">
        <v>8862.41</v>
      </c>
      <c r="R287">
        <v>2599.9699999999998</v>
      </c>
      <c r="S287">
        <v>708.01753341999995</v>
      </c>
      <c r="T287">
        <v>0</v>
      </c>
      <c r="U287">
        <v>0</v>
      </c>
      <c r="V287">
        <v>2599.9699999999998</v>
      </c>
      <c r="W287" t="s">
        <v>0</v>
      </c>
      <c r="X287" t="s">
        <v>271</v>
      </c>
      <c r="Y287" t="s">
        <v>3873</v>
      </c>
      <c r="AA287" t="s">
        <v>3874</v>
      </c>
      <c r="AB287" t="s">
        <v>181</v>
      </c>
    </row>
    <row r="288" spans="1:28" x14ac:dyDescent="0.25">
      <c r="A288" t="s">
        <v>4155</v>
      </c>
      <c r="B288" t="s">
        <v>4156</v>
      </c>
      <c r="C288" t="s">
        <v>646</v>
      </c>
      <c r="D288" t="s">
        <v>3779</v>
      </c>
      <c r="E288" t="s">
        <v>647</v>
      </c>
      <c r="F288" t="s">
        <v>3780</v>
      </c>
      <c r="G288" t="s">
        <v>769</v>
      </c>
      <c r="H288" t="s">
        <v>797</v>
      </c>
      <c r="I288" t="s">
        <v>885</v>
      </c>
      <c r="J288" t="s">
        <v>324</v>
      </c>
      <c r="K288" t="s">
        <v>166</v>
      </c>
      <c r="L288" t="s">
        <v>0</v>
      </c>
      <c r="M288" t="s">
        <v>178</v>
      </c>
      <c r="N288">
        <v>337</v>
      </c>
      <c r="O288">
        <v>132</v>
      </c>
      <c r="P288">
        <v>3442.65</v>
      </c>
      <c r="Q288">
        <v>11459.85</v>
      </c>
      <c r="R288">
        <v>2226.4278599099998</v>
      </c>
      <c r="S288">
        <v>1106.93101185</v>
      </c>
      <c r="T288">
        <v>9.7859909999999994E-2</v>
      </c>
      <c r="U288">
        <v>0</v>
      </c>
      <c r="V288">
        <v>2226.33</v>
      </c>
      <c r="W288" t="s">
        <v>519</v>
      </c>
      <c r="X288" t="s">
        <v>271</v>
      </c>
      <c r="Y288" t="s">
        <v>4157</v>
      </c>
      <c r="AA288" t="s">
        <v>4158</v>
      </c>
      <c r="AB288" t="s">
        <v>181</v>
      </c>
    </row>
    <row r="289" spans="1:28" x14ac:dyDescent="0.25">
      <c r="A289" t="s">
        <v>3938</v>
      </c>
      <c r="B289" t="s">
        <v>3939</v>
      </c>
      <c r="C289" t="s">
        <v>646</v>
      </c>
      <c r="D289" t="s">
        <v>3779</v>
      </c>
      <c r="E289" t="s">
        <v>647</v>
      </c>
      <c r="F289" t="s">
        <v>3780</v>
      </c>
      <c r="G289" t="s">
        <v>769</v>
      </c>
      <c r="H289" t="s">
        <v>962</v>
      </c>
      <c r="I289" t="s">
        <v>3940</v>
      </c>
      <c r="J289" t="s">
        <v>3941</v>
      </c>
      <c r="K289" t="s">
        <v>166</v>
      </c>
      <c r="L289" t="s">
        <v>0</v>
      </c>
      <c r="M289" t="s">
        <v>178</v>
      </c>
      <c r="N289">
        <v>32</v>
      </c>
      <c r="O289">
        <v>32</v>
      </c>
      <c r="P289">
        <v>351.22</v>
      </c>
      <c r="Q289">
        <v>1613.05</v>
      </c>
      <c r="R289">
        <v>177.23</v>
      </c>
      <c r="S289">
        <v>177.06662528000001</v>
      </c>
      <c r="T289">
        <v>0</v>
      </c>
      <c r="U289">
        <v>0</v>
      </c>
      <c r="V289">
        <v>177.23</v>
      </c>
      <c r="W289" t="s">
        <v>0</v>
      </c>
      <c r="X289" t="s">
        <v>271</v>
      </c>
      <c r="Y289" t="s">
        <v>3942</v>
      </c>
      <c r="AA289" t="s">
        <v>3943</v>
      </c>
      <c r="AB289" t="s">
        <v>181</v>
      </c>
    </row>
    <row r="290" spans="1:28" x14ac:dyDescent="0.25">
      <c r="A290" t="s">
        <v>4078</v>
      </c>
      <c r="B290" t="s">
        <v>4079</v>
      </c>
      <c r="C290" t="s">
        <v>646</v>
      </c>
      <c r="D290" t="s">
        <v>3779</v>
      </c>
      <c r="E290" t="s">
        <v>647</v>
      </c>
      <c r="F290" t="s">
        <v>3780</v>
      </c>
      <c r="G290" t="s">
        <v>769</v>
      </c>
      <c r="H290" t="s">
        <v>683</v>
      </c>
      <c r="I290" t="s">
        <v>885</v>
      </c>
      <c r="J290" t="s">
        <v>324</v>
      </c>
      <c r="K290" t="s">
        <v>166</v>
      </c>
      <c r="L290" t="s">
        <v>0</v>
      </c>
      <c r="M290" t="s">
        <v>178</v>
      </c>
      <c r="N290">
        <v>62.583399999999997</v>
      </c>
      <c r="O290">
        <v>40.583399999999997</v>
      </c>
      <c r="P290">
        <v>1435.08</v>
      </c>
      <c r="Q290">
        <v>2167.0500000000002</v>
      </c>
      <c r="R290">
        <v>237.51505227999999</v>
      </c>
      <c r="S290">
        <v>517.08583229999999</v>
      </c>
      <c r="T290">
        <v>5.0250522799999997</v>
      </c>
      <c r="U290">
        <v>0</v>
      </c>
      <c r="V290">
        <v>232.49</v>
      </c>
      <c r="W290" t="s">
        <v>519</v>
      </c>
      <c r="X290" t="s">
        <v>271</v>
      </c>
      <c r="Y290" t="s">
        <v>4080</v>
      </c>
      <c r="AA290" t="s">
        <v>4081</v>
      </c>
      <c r="AB290" t="s">
        <v>181</v>
      </c>
    </row>
    <row r="291" spans="1:28" x14ac:dyDescent="0.25">
      <c r="A291" t="s">
        <v>4113</v>
      </c>
      <c r="B291" t="s">
        <v>4114</v>
      </c>
      <c r="C291" t="s">
        <v>646</v>
      </c>
      <c r="D291" t="s">
        <v>3779</v>
      </c>
      <c r="E291" t="s">
        <v>647</v>
      </c>
      <c r="F291" t="s">
        <v>3780</v>
      </c>
      <c r="G291" t="s">
        <v>769</v>
      </c>
      <c r="H291" t="s">
        <v>717</v>
      </c>
      <c r="I291" t="s">
        <v>1913</v>
      </c>
      <c r="J291" t="s">
        <v>1914</v>
      </c>
      <c r="K291" t="s">
        <v>166</v>
      </c>
      <c r="L291" t="s">
        <v>0</v>
      </c>
      <c r="M291" t="s">
        <v>178</v>
      </c>
      <c r="N291">
        <v>185</v>
      </c>
      <c r="O291">
        <v>57</v>
      </c>
      <c r="P291">
        <v>4411.9399999999996</v>
      </c>
      <c r="Q291">
        <v>15978.06</v>
      </c>
      <c r="R291">
        <v>3515.15</v>
      </c>
      <c r="S291">
        <v>322.21346652</v>
      </c>
      <c r="T291">
        <v>0</v>
      </c>
      <c r="U291">
        <v>0</v>
      </c>
      <c r="V291">
        <v>3515.15</v>
      </c>
      <c r="W291" t="s">
        <v>1915</v>
      </c>
      <c r="X291" t="s">
        <v>269</v>
      </c>
      <c r="Y291" t="s">
        <v>4115</v>
      </c>
      <c r="AA291" t="s">
        <v>4116</v>
      </c>
      <c r="AB291" t="s">
        <v>181</v>
      </c>
    </row>
    <row r="292" spans="1:28" x14ac:dyDescent="0.25">
      <c r="A292" t="s">
        <v>4078</v>
      </c>
      <c r="B292" t="s">
        <v>4079</v>
      </c>
      <c r="C292" t="s">
        <v>646</v>
      </c>
      <c r="D292" t="s">
        <v>3779</v>
      </c>
      <c r="E292" t="s">
        <v>647</v>
      </c>
      <c r="F292" t="s">
        <v>3780</v>
      </c>
      <c r="G292" t="s">
        <v>769</v>
      </c>
      <c r="H292" t="s">
        <v>713</v>
      </c>
      <c r="I292" t="s">
        <v>885</v>
      </c>
      <c r="J292" t="s">
        <v>324</v>
      </c>
      <c r="K292" t="s">
        <v>166</v>
      </c>
      <c r="L292" t="s">
        <v>0</v>
      </c>
      <c r="M292" t="s">
        <v>178</v>
      </c>
      <c r="N292">
        <v>116</v>
      </c>
      <c r="O292">
        <v>15</v>
      </c>
      <c r="P292">
        <v>2979.83</v>
      </c>
      <c r="Q292">
        <v>2337.36</v>
      </c>
      <c r="R292">
        <v>180.54</v>
      </c>
      <c r="S292">
        <v>137.01561373999999</v>
      </c>
      <c r="T292">
        <v>0</v>
      </c>
      <c r="U292">
        <v>0</v>
      </c>
      <c r="V292">
        <v>180.54</v>
      </c>
      <c r="W292" t="s">
        <v>519</v>
      </c>
      <c r="X292" t="s">
        <v>271</v>
      </c>
      <c r="Y292" t="s">
        <v>4080</v>
      </c>
      <c r="AA292" t="s">
        <v>4081</v>
      </c>
      <c r="AB292" t="s">
        <v>181</v>
      </c>
    </row>
    <row r="293" spans="1:28" x14ac:dyDescent="0.25">
      <c r="A293" t="s">
        <v>4035</v>
      </c>
      <c r="B293" t="s">
        <v>4036</v>
      </c>
      <c r="C293" t="s">
        <v>646</v>
      </c>
      <c r="D293" t="s">
        <v>3779</v>
      </c>
      <c r="E293" t="s">
        <v>647</v>
      </c>
      <c r="F293" t="s">
        <v>3780</v>
      </c>
      <c r="G293" t="s">
        <v>769</v>
      </c>
      <c r="H293" t="s">
        <v>856</v>
      </c>
      <c r="I293" t="s">
        <v>3464</v>
      </c>
      <c r="J293" t="s">
        <v>688</v>
      </c>
      <c r="K293" t="s">
        <v>166</v>
      </c>
      <c r="L293" t="s">
        <v>0</v>
      </c>
      <c r="M293" t="s">
        <v>178</v>
      </c>
      <c r="N293">
        <v>17</v>
      </c>
      <c r="O293">
        <v>0</v>
      </c>
      <c r="P293">
        <v>250</v>
      </c>
      <c r="Q293">
        <v>1208.77</v>
      </c>
      <c r="R293">
        <v>126.75</v>
      </c>
      <c r="S293">
        <v>69.684190000000001</v>
      </c>
      <c r="T293">
        <v>0</v>
      </c>
      <c r="U293">
        <v>0</v>
      </c>
      <c r="V293">
        <v>126.75</v>
      </c>
      <c r="W293" t="s">
        <v>0</v>
      </c>
      <c r="X293" t="s">
        <v>271</v>
      </c>
      <c r="Y293" t="s">
        <v>4037</v>
      </c>
      <c r="AA293" t="s">
        <v>4038</v>
      </c>
      <c r="AB293" t="s">
        <v>181</v>
      </c>
    </row>
    <row r="294" spans="1:28" x14ac:dyDescent="0.25">
      <c r="A294" t="s">
        <v>4031</v>
      </c>
      <c r="B294" t="s">
        <v>4032</v>
      </c>
      <c r="C294" t="s">
        <v>646</v>
      </c>
      <c r="D294" t="s">
        <v>3779</v>
      </c>
      <c r="E294" t="s">
        <v>647</v>
      </c>
      <c r="F294" t="s">
        <v>3780</v>
      </c>
      <c r="G294" t="s">
        <v>769</v>
      </c>
      <c r="H294" t="s">
        <v>770</v>
      </c>
      <c r="I294" t="s">
        <v>1513</v>
      </c>
      <c r="J294" t="s">
        <v>333</v>
      </c>
      <c r="K294" t="s">
        <v>166</v>
      </c>
      <c r="L294" t="s">
        <v>0</v>
      </c>
      <c r="M294" t="s">
        <v>178</v>
      </c>
      <c r="N294">
        <v>4082.8332999999998</v>
      </c>
      <c r="O294">
        <v>2361</v>
      </c>
      <c r="P294">
        <v>74866.45</v>
      </c>
      <c r="Q294">
        <v>88002</v>
      </c>
      <c r="R294">
        <v>7477.72</v>
      </c>
      <c r="S294">
        <v>11585.17457307</v>
      </c>
      <c r="T294">
        <v>0</v>
      </c>
      <c r="U294">
        <v>1322.76</v>
      </c>
      <c r="V294">
        <v>8800.48</v>
      </c>
      <c r="W294" t="s">
        <v>718</v>
      </c>
      <c r="X294" t="s">
        <v>271</v>
      </c>
      <c r="Y294" t="s">
        <v>4033</v>
      </c>
      <c r="AA294" t="s">
        <v>4034</v>
      </c>
      <c r="AB294" t="s">
        <v>181</v>
      </c>
    </row>
    <row r="295" spans="1:28" x14ac:dyDescent="0.25">
      <c r="A295" t="s">
        <v>4184</v>
      </c>
      <c r="B295" t="s">
        <v>4185</v>
      </c>
      <c r="C295" t="s">
        <v>646</v>
      </c>
      <c r="D295" t="s">
        <v>3779</v>
      </c>
      <c r="E295" t="s">
        <v>647</v>
      </c>
      <c r="F295" t="s">
        <v>3780</v>
      </c>
      <c r="G295" t="s">
        <v>769</v>
      </c>
      <c r="H295" t="s">
        <v>797</v>
      </c>
      <c r="I295" t="s">
        <v>4186</v>
      </c>
      <c r="J295" t="s">
        <v>1164</v>
      </c>
      <c r="K295" t="s">
        <v>166</v>
      </c>
      <c r="L295" t="s">
        <v>0</v>
      </c>
      <c r="M295" t="s">
        <v>178</v>
      </c>
      <c r="N295">
        <v>413</v>
      </c>
      <c r="O295">
        <v>386</v>
      </c>
      <c r="P295">
        <v>4214.51</v>
      </c>
      <c r="Q295">
        <v>11242.31</v>
      </c>
      <c r="R295">
        <v>894.7128927</v>
      </c>
      <c r="S295">
        <v>2972.2087783900001</v>
      </c>
      <c r="T295">
        <v>2.8926999999999998E-3</v>
      </c>
      <c r="U295">
        <v>14.45</v>
      </c>
      <c r="V295">
        <v>909.16</v>
      </c>
      <c r="W295" t="s">
        <v>1165</v>
      </c>
      <c r="X295" t="s">
        <v>271</v>
      </c>
      <c r="Y295" t="s">
        <v>4187</v>
      </c>
      <c r="AA295" t="s">
        <v>4188</v>
      </c>
      <c r="AB295" t="s">
        <v>181</v>
      </c>
    </row>
    <row r="296" spans="1:28" x14ac:dyDescent="0.25">
      <c r="A296" t="s">
        <v>3913</v>
      </c>
      <c r="B296" t="s">
        <v>3914</v>
      </c>
      <c r="C296" t="s">
        <v>646</v>
      </c>
      <c r="D296" t="s">
        <v>3779</v>
      </c>
      <c r="E296" t="s">
        <v>647</v>
      </c>
      <c r="F296" t="s">
        <v>3780</v>
      </c>
      <c r="G296" t="s">
        <v>769</v>
      </c>
      <c r="H296" t="s">
        <v>683</v>
      </c>
      <c r="I296" t="s">
        <v>984</v>
      </c>
      <c r="J296" t="s">
        <v>985</v>
      </c>
      <c r="K296" t="s">
        <v>166</v>
      </c>
      <c r="L296" t="s">
        <v>0</v>
      </c>
      <c r="M296" t="s">
        <v>178</v>
      </c>
      <c r="N296">
        <v>323.41669999999999</v>
      </c>
      <c r="O296">
        <v>255</v>
      </c>
      <c r="P296">
        <v>4958.01</v>
      </c>
      <c r="Q296">
        <v>12232.4</v>
      </c>
      <c r="R296">
        <v>2890.4404700300001</v>
      </c>
      <c r="S296">
        <v>2339.35194288</v>
      </c>
      <c r="T296">
        <v>0.12047003000000001</v>
      </c>
      <c r="U296">
        <v>0</v>
      </c>
      <c r="V296">
        <v>2890.32</v>
      </c>
      <c r="W296" t="s">
        <v>986</v>
      </c>
      <c r="X296" t="s">
        <v>271</v>
      </c>
      <c r="Y296" t="s">
        <v>3915</v>
      </c>
      <c r="AA296" t="s">
        <v>3916</v>
      </c>
      <c r="AB296" t="s">
        <v>181</v>
      </c>
    </row>
    <row r="297" spans="1:28" x14ac:dyDescent="0.25">
      <c r="A297" t="s">
        <v>4162</v>
      </c>
      <c r="B297" t="s">
        <v>4163</v>
      </c>
      <c r="C297" t="s">
        <v>646</v>
      </c>
      <c r="D297" t="s">
        <v>3779</v>
      </c>
      <c r="E297" t="s">
        <v>647</v>
      </c>
      <c r="F297" t="s">
        <v>3780</v>
      </c>
      <c r="G297" t="s">
        <v>769</v>
      </c>
      <c r="H297" t="s">
        <v>672</v>
      </c>
      <c r="I297" t="s">
        <v>4164</v>
      </c>
      <c r="J297" t="s">
        <v>985</v>
      </c>
      <c r="K297" t="s">
        <v>166</v>
      </c>
      <c r="L297" t="s">
        <v>0</v>
      </c>
      <c r="M297" t="s">
        <v>178</v>
      </c>
      <c r="N297">
        <v>132</v>
      </c>
      <c r="O297">
        <v>95</v>
      </c>
      <c r="P297">
        <v>1430.54</v>
      </c>
      <c r="Q297">
        <v>6529.83</v>
      </c>
      <c r="R297">
        <v>450.51565077999999</v>
      </c>
      <c r="S297">
        <v>1820.5276845000001</v>
      </c>
      <c r="T297">
        <v>0.45565077999999998</v>
      </c>
      <c r="U297">
        <v>0</v>
      </c>
      <c r="V297">
        <v>450.06</v>
      </c>
      <c r="W297" t="s">
        <v>986</v>
      </c>
      <c r="X297" t="s">
        <v>271</v>
      </c>
      <c r="Y297" t="s">
        <v>4165</v>
      </c>
      <c r="AA297" t="s">
        <v>4166</v>
      </c>
      <c r="AB297" t="s">
        <v>181</v>
      </c>
    </row>
    <row r="298" spans="1:28" x14ac:dyDescent="0.25">
      <c r="A298" t="s">
        <v>4244</v>
      </c>
      <c r="B298" t="s">
        <v>4245</v>
      </c>
      <c r="C298" t="s">
        <v>646</v>
      </c>
      <c r="D298" t="s">
        <v>3779</v>
      </c>
      <c r="E298" t="s">
        <v>647</v>
      </c>
      <c r="F298" t="s">
        <v>3780</v>
      </c>
      <c r="G298" t="s">
        <v>769</v>
      </c>
      <c r="H298" t="s">
        <v>672</v>
      </c>
      <c r="I298" t="s">
        <v>1251</v>
      </c>
      <c r="J298" t="s">
        <v>821</v>
      </c>
      <c r="K298" t="s">
        <v>166</v>
      </c>
      <c r="L298" t="s">
        <v>0</v>
      </c>
      <c r="M298" t="s">
        <v>178</v>
      </c>
      <c r="N298">
        <v>61</v>
      </c>
      <c r="O298">
        <v>35</v>
      </c>
      <c r="P298">
        <v>1330</v>
      </c>
      <c r="Q298">
        <v>2373.63</v>
      </c>
      <c r="R298">
        <v>528.49305591999996</v>
      </c>
      <c r="S298">
        <v>241.20255148999999</v>
      </c>
      <c r="T298">
        <v>2.3055920000000001E-2</v>
      </c>
      <c r="U298">
        <v>0</v>
      </c>
      <c r="V298">
        <v>528.47</v>
      </c>
      <c r="W298" t="s">
        <v>822</v>
      </c>
      <c r="X298" t="s">
        <v>269</v>
      </c>
      <c r="Y298" t="s">
        <v>4246</v>
      </c>
      <c r="AA298" t="s">
        <v>4247</v>
      </c>
      <c r="AB298" t="s">
        <v>181</v>
      </c>
    </row>
    <row r="299" spans="1:28" x14ac:dyDescent="0.25">
      <c r="A299" t="s">
        <v>3834</v>
      </c>
      <c r="B299" t="s">
        <v>3835</v>
      </c>
      <c r="C299" t="s">
        <v>646</v>
      </c>
      <c r="D299" t="s">
        <v>3779</v>
      </c>
      <c r="E299" t="s">
        <v>647</v>
      </c>
      <c r="F299" t="s">
        <v>3780</v>
      </c>
      <c r="G299" t="s">
        <v>769</v>
      </c>
      <c r="H299" t="s">
        <v>649</v>
      </c>
      <c r="I299" t="s">
        <v>1251</v>
      </c>
      <c r="J299" t="s">
        <v>821</v>
      </c>
      <c r="K299" t="s">
        <v>166</v>
      </c>
      <c r="L299" t="s">
        <v>0</v>
      </c>
      <c r="M299" t="s">
        <v>178</v>
      </c>
      <c r="N299">
        <v>56</v>
      </c>
      <c r="O299">
        <v>56</v>
      </c>
      <c r="P299">
        <v>1370.82</v>
      </c>
      <c r="Q299">
        <v>3899.27</v>
      </c>
      <c r="R299">
        <v>1092.46</v>
      </c>
      <c r="S299">
        <v>277.96967397999998</v>
      </c>
      <c r="T299">
        <v>0</v>
      </c>
      <c r="U299">
        <v>0</v>
      </c>
      <c r="V299">
        <v>1092.46</v>
      </c>
      <c r="W299" t="s">
        <v>822</v>
      </c>
      <c r="X299" t="s">
        <v>269</v>
      </c>
      <c r="Y299" t="s">
        <v>3836</v>
      </c>
      <c r="AA299" t="s">
        <v>3837</v>
      </c>
      <c r="AB299" t="s">
        <v>181</v>
      </c>
    </row>
    <row r="300" spans="1:28" x14ac:dyDescent="0.25">
      <c r="A300" t="s">
        <v>3865</v>
      </c>
      <c r="B300" t="s">
        <v>3866</v>
      </c>
      <c r="C300" t="s">
        <v>646</v>
      </c>
      <c r="D300" t="s">
        <v>3779</v>
      </c>
      <c r="E300" t="s">
        <v>647</v>
      </c>
      <c r="F300" t="s">
        <v>3780</v>
      </c>
      <c r="G300" t="s">
        <v>769</v>
      </c>
      <c r="H300" t="s">
        <v>649</v>
      </c>
      <c r="I300" t="s">
        <v>3867</v>
      </c>
      <c r="J300" t="s">
        <v>881</v>
      </c>
      <c r="K300" t="s">
        <v>166</v>
      </c>
      <c r="L300" t="s">
        <v>0</v>
      </c>
      <c r="M300" t="s">
        <v>178</v>
      </c>
      <c r="N300">
        <v>262</v>
      </c>
      <c r="O300">
        <v>191</v>
      </c>
      <c r="P300">
        <v>9059.06</v>
      </c>
      <c r="Q300">
        <v>18639.73</v>
      </c>
      <c r="R300">
        <v>2861.95</v>
      </c>
      <c r="S300">
        <v>1070.5457619599999</v>
      </c>
      <c r="T300">
        <v>0</v>
      </c>
      <c r="U300">
        <v>0</v>
      </c>
      <c r="V300">
        <v>2861.95</v>
      </c>
      <c r="W300" t="s">
        <v>0</v>
      </c>
      <c r="X300" t="s">
        <v>271</v>
      </c>
      <c r="Y300" t="s">
        <v>3868</v>
      </c>
      <c r="AA300" t="s">
        <v>3869</v>
      </c>
      <c r="AB300" t="s">
        <v>181</v>
      </c>
    </row>
    <row r="301" spans="1:28" x14ac:dyDescent="0.25">
      <c r="A301" t="s">
        <v>4147</v>
      </c>
      <c r="B301" t="s">
        <v>4148</v>
      </c>
      <c r="C301" t="s">
        <v>646</v>
      </c>
      <c r="D301" t="s">
        <v>3779</v>
      </c>
      <c r="E301" t="s">
        <v>647</v>
      </c>
      <c r="F301" t="s">
        <v>3780</v>
      </c>
      <c r="G301" t="s">
        <v>769</v>
      </c>
      <c r="H301" t="s">
        <v>802</v>
      </c>
      <c r="I301" t="s">
        <v>1301</v>
      </c>
      <c r="J301" t="s">
        <v>1302</v>
      </c>
      <c r="K301" t="s">
        <v>166</v>
      </c>
      <c r="L301" t="s">
        <v>0</v>
      </c>
      <c r="M301" t="s">
        <v>178</v>
      </c>
      <c r="N301">
        <v>33.958300000000001</v>
      </c>
      <c r="O301">
        <v>32.375</v>
      </c>
      <c r="P301">
        <v>560</v>
      </c>
      <c r="Q301">
        <v>1806.09</v>
      </c>
      <c r="R301">
        <v>468.51</v>
      </c>
      <c r="S301">
        <v>190.34766234</v>
      </c>
      <c r="T301">
        <v>0</v>
      </c>
      <c r="U301">
        <v>0</v>
      </c>
      <c r="V301">
        <v>468.51</v>
      </c>
      <c r="W301" t="s">
        <v>1303</v>
      </c>
      <c r="X301" t="s">
        <v>269</v>
      </c>
      <c r="Y301" t="s">
        <v>4149</v>
      </c>
      <c r="AA301" t="s">
        <v>4150</v>
      </c>
      <c r="AB301" t="s">
        <v>181</v>
      </c>
    </row>
    <row r="302" spans="1:28" x14ac:dyDescent="0.25">
      <c r="A302" t="s">
        <v>3965</v>
      </c>
      <c r="B302" t="s">
        <v>3966</v>
      </c>
      <c r="C302" t="s">
        <v>646</v>
      </c>
      <c r="D302" t="s">
        <v>3779</v>
      </c>
      <c r="E302" t="s">
        <v>647</v>
      </c>
      <c r="F302" t="s">
        <v>3780</v>
      </c>
      <c r="G302" t="s">
        <v>769</v>
      </c>
      <c r="H302" t="s">
        <v>672</v>
      </c>
      <c r="I302" t="s">
        <v>2339</v>
      </c>
      <c r="J302" t="s">
        <v>2165</v>
      </c>
      <c r="K302" t="s">
        <v>166</v>
      </c>
      <c r="L302" t="s">
        <v>0</v>
      </c>
      <c r="M302" t="s">
        <v>178</v>
      </c>
      <c r="N302">
        <v>45</v>
      </c>
      <c r="O302">
        <v>45</v>
      </c>
      <c r="P302">
        <v>833</v>
      </c>
      <c r="Q302">
        <v>2076.44</v>
      </c>
      <c r="R302">
        <v>37.593008249999997</v>
      </c>
      <c r="S302">
        <v>659.27673181</v>
      </c>
      <c r="T302">
        <v>-7.6991749999999998E-2</v>
      </c>
      <c r="U302">
        <v>0</v>
      </c>
      <c r="V302">
        <v>37.67</v>
      </c>
      <c r="W302" t="s">
        <v>2166</v>
      </c>
      <c r="X302" t="s">
        <v>271</v>
      </c>
      <c r="Y302" t="s">
        <v>3967</v>
      </c>
      <c r="AA302" t="s">
        <v>3968</v>
      </c>
      <c r="AB302" t="s">
        <v>181</v>
      </c>
    </row>
    <row r="303" spans="1:28" x14ac:dyDescent="0.25">
      <c r="A303" t="s">
        <v>4298</v>
      </c>
      <c r="B303" t="s">
        <v>4299</v>
      </c>
      <c r="C303" t="s">
        <v>646</v>
      </c>
      <c r="D303" t="s">
        <v>3779</v>
      </c>
      <c r="E303" t="s">
        <v>647</v>
      </c>
      <c r="F303" t="s">
        <v>666</v>
      </c>
      <c r="G303" t="s">
        <v>666</v>
      </c>
      <c r="H303" t="s">
        <v>797</v>
      </c>
      <c r="I303" t="s">
        <v>4300</v>
      </c>
      <c r="J303" t="s">
        <v>511</v>
      </c>
      <c r="K303" t="s">
        <v>166</v>
      </c>
      <c r="L303" t="s">
        <v>0</v>
      </c>
      <c r="M303" t="s">
        <v>178</v>
      </c>
      <c r="N303">
        <v>81</v>
      </c>
      <c r="O303">
        <v>78</v>
      </c>
      <c r="P303">
        <v>932</v>
      </c>
      <c r="Q303">
        <v>2186.19</v>
      </c>
      <c r="R303">
        <v>157.40053972000001</v>
      </c>
      <c r="S303">
        <v>690.90151063999997</v>
      </c>
      <c r="T303">
        <v>1.0539720000000001E-2</v>
      </c>
      <c r="U303">
        <v>0</v>
      </c>
      <c r="V303">
        <v>157.38999999999999</v>
      </c>
      <c r="W303" t="s">
        <v>510</v>
      </c>
      <c r="X303" t="s">
        <v>271</v>
      </c>
      <c r="Y303" t="s">
        <v>4301</v>
      </c>
      <c r="Z303" t="s">
        <v>4302</v>
      </c>
      <c r="AA303" t="s">
        <v>4303</v>
      </c>
      <c r="AB303" t="s">
        <v>181</v>
      </c>
    </row>
    <row r="304" spans="1:28" x14ac:dyDescent="0.25">
      <c r="A304" t="s">
        <v>4265</v>
      </c>
      <c r="B304" t="s">
        <v>4266</v>
      </c>
      <c r="C304" t="s">
        <v>646</v>
      </c>
      <c r="D304" t="s">
        <v>3779</v>
      </c>
      <c r="E304" t="s">
        <v>647</v>
      </c>
      <c r="F304" t="s">
        <v>666</v>
      </c>
      <c r="G304" t="s">
        <v>666</v>
      </c>
      <c r="H304" t="s">
        <v>1159</v>
      </c>
      <c r="I304" t="s">
        <v>4267</v>
      </c>
      <c r="J304" t="s">
        <v>326</v>
      </c>
      <c r="K304" t="s">
        <v>166</v>
      </c>
      <c r="L304" t="s">
        <v>0</v>
      </c>
      <c r="M304" t="s">
        <v>178</v>
      </c>
      <c r="N304">
        <v>22</v>
      </c>
      <c r="O304">
        <v>2</v>
      </c>
      <c r="P304">
        <v>273.5</v>
      </c>
      <c r="Q304">
        <v>1475.01</v>
      </c>
      <c r="R304">
        <v>147.56</v>
      </c>
      <c r="S304">
        <v>66.83318586</v>
      </c>
      <c r="T304">
        <v>0</v>
      </c>
      <c r="U304">
        <v>0</v>
      </c>
      <c r="V304">
        <v>147.56</v>
      </c>
      <c r="W304" t="s">
        <v>450</v>
      </c>
      <c r="X304" t="s">
        <v>271</v>
      </c>
      <c r="Y304" t="s">
        <v>4268</v>
      </c>
      <c r="AA304" t="s">
        <v>4269</v>
      </c>
      <c r="AB304" t="s">
        <v>181</v>
      </c>
    </row>
    <row r="305" spans="1:28" x14ac:dyDescent="0.25">
      <c r="A305" t="s">
        <v>4006</v>
      </c>
      <c r="B305" t="s">
        <v>4007</v>
      </c>
      <c r="C305" t="s">
        <v>646</v>
      </c>
      <c r="D305" t="s">
        <v>3779</v>
      </c>
      <c r="E305" t="s">
        <v>647</v>
      </c>
      <c r="F305" t="s">
        <v>3780</v>
      </c>
      <c r="G305" t="s">
        <v>769</v>
      </c>
      <c r="H305" t="s">
        <v>1045</v>
      </c>
      <c r="I305" t="s">
        <v>4008</v>
      </c>
      <c r="J305" t="s">
        <v>688</v>
      </c>
      <c r="K305" t="s">
        <v>166</v>
      </c>
      <c r="L305" t="s">
        <v>0</v>
      </c>
      <c r="M305" t="s">
        <v>178</v>
      </c>
      <c r="N305">
        <v>1</v>
      </c>
      <c r="O305">
        <v>1</v>
      </c>
      <c r="P305">
        <v>10</v>
      </c>
      <c r="Q305">
        <v>72.64</v>
      </c>
      <c r="R305">
        <v>18.27</v>
      </c>
      <c r="S305">
        <v>2.46</v>
      </c>
      <c r="T305">
        <v>0</v>
      </c>
      <c r="U305">
        <v>0</v>
      </c>
      <c r="V305">
        <v>18.27</v>
      </c>
      <c r="W305" t="s">
        <v>0</v>
      </c>
      <c r="X305" t="s">
        <v>271</v>
      </c>
      <c r="Y305" t="s">
        <v>4009</v>
      </c>
      <c r="AA305" t="s">
        <v>4010</v>
      </c>
      <c r="AB305" t="s">
        <v>181</v>
      </c>
    </row>
    <row r="306" spans="1:28" x14ac:dyDescent="0.25">
      <c r="A306" t="s">
        <v>3861</v>
      </c>
      <c r="B306" t="s">
        <v>3862</v>
      </c>
      <c r="C306" t="s">
        <v>646</v>
      </c>
      <c r="D306" t="s">
        <v>3779</v>
      </c>
      <c r="E306" t="s">
        <v>647</v>
      </c>
      <c r="F306" t="s">
        <v>3780</v>
      </c>
      <c r="G306" t="s">
        <v>769</v>
      </c>
      <c r="H306" t="s">
        <v>1175</v>
      </c>
      <c r="I306" t="s">
        <v>2065</v>
      </c>
      <c r="J306" t="s">
        <v>2066</v>
      </c>
      <c r="K306" t="s">
        <v>166</v>
      </c>
      <c r="L306" t="s">
        <v>0</v>
      </c>
      <c r="M306" t="s">
        <v>178</v>
      </c>
      <c r="N306">
        <v>6</v>
      </c>
      <c r="O306">
        <v>6</v>
      </c>
      <c r="P306">
        <v>84</v>
      </c>
      <c r="Q306">
        <v>140.27000000000001</v>
      </c>
      <c r="R306">
        <v>26.45</v>
      </c>
      <c r="S306">
        <v>23.649775170000002</v>
      </c>
      <c r="T306">
        <v>0</v>
      </c>
      <c r="U306">
        <v>0</v>
      </c>
      <c r="V306">
        <v>26.45</v>
      </c>
      <c r="W306" t="s">
        <v>2067</v>
      </c>
      <c r="X306" t="s">
        <v>271</v>
      </c>
      <c r="Y306" t="s">
        <v>3863</v>
      </c>
      <c r="AA306" t="s">
        <v>3864</v>
      </c>
      <c r="AB306" t="s">
        <v>181</v>
      </c>
    </row>
    <row r="307" spans="1:28" x14ac:dyDescent="0.25">
      <c r="A307" t="s">
        <v>4236</v>
      </c>
      <c r="B307" t="s">
        <v>4237</v>
      </c>
      <c r="C307" t="s">
        <v>646</v>
      </c>
      <c r="D307" t="s">
        <v>3779</v>
      </c>
      <c r="E307" t="s">
        <v>647</v>
      </c>
      <c r="F307" t="s">
        <v>3780</v>
      </c>
      <c r="G307" t="s">
        <v>769</v>
      </c>
      <c r="H307" t="s">
        <v>1515</v>
      </c>
      <c r="I307" t="s">
        <v>1546</v>
      </c>
      <c r="J307" t="s">
        <v>1547</v>
      </c>
      <c r="K307" t="s">
        <v>166</v>
      </c>
      <c r="L307" t="s">
        <v>0</v>
      </c>
      <c r="M307" t="s">
        <v>178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 t="s">
        <v>1548</v>
      </c>
      <c r="X307" t="s">
        <v>271</v>
      </c>
      <c r="Y307" t="s">
        <v>4238</v>
      </c>
      <c r="AA307" t="s">
        <v>4239</v>
      </c>
      <c r="AB307" t="s">
        <v>181</v>
      </c>
    </row>
    <row r="308" spans="1:28" x14ac:dyDescent="0.25">
      <c r="A308" t="s">
        <v>4228</v>
      </c>
      <c r="B308" t="s">
        <v>4229</v>
      </c>
      <c r="C308" t="s">
        <v>646</v>
      </c>
      <c r="D308" t="s">
        <v>3779</v>
      </c>
      <c r="E308" t="s">
        <v>647</v>
      </c>
      <c r="F308" t="s">
        <v>3780</v>
      </c>
      <c r="G308" t="s">
        <v>769</v>
      </c>
      <c r="H308" t="s">
        <v>1515</v>
      </c>
      <c r="I308" t="s">
        <v>1971</v>
      </c>
      <c r="J308" t="s">
        <v>1972</v>
      </c>
      <c r="K308" t="s">
        <v>166</v>
      </c>
      <c r="L308" t="s">
        <v>0</v>
      </c>
      <c r="M308" t="s">
        <v>178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 t="s">
        <v>1973</v>
      </c>
      <c r="X308" t="s">
        <v>271</v>
      </c>
      <c r="Y308" t="s">
        <v>4230</v>
      </c>
      <c r="AA308" t="s">
        <v>4231</v>
      </c>
      <c r="AB308" t="s">
        <v>181</v>
      </c>
    </row>
    <row r="309" spans="1:28" x14ac:dyDescent="0.25">
      <c r="A309" t="s">
        <v>4006</v>
      </c>
      <c r="B309" t="s">
        <v>4007</v>
      </c>
      <c r="C309" t="s">
        <v>646</v>
      </c>
      <c r="D309" t="s">
        <v>3779</v>
      </c>
      <c r="E309" t="s">
        <v>647</v>
      </c>
      <c r="F309" t="s">
        <v>3780</v>
      </c>
      <c r="G309" t="s">
        <v>769</v>
      </c>
      <c r="H309" t="s">
        <v>1515</v>
      </c>
      <c r="I309" t="s">
        <v>4008</v>
      </c>
      <c r="J309" t="s">
        <v>688</v>
      </c>
      <c r="K309" t="s">
        <v>166</v>
      </c>
      <c r="L309" t="s">
        <v>0</v>
      </c>
      <c r="M309" t="s">
        <v>178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 t="s">
        <v>0</v>
      </c>
      <c r="X309" t="s">
        <v>271</v>
      </c>
      <c r="Y309" t="s">
        <v>4009</v>
      </c>
      <c r="AA309" t="s">
        <v>4010</v>
      </c>
      <c r="AB309" t="s">
        <v>181</v>
      </c>
    </row>
    <row r="310" spans="1:28" x14ac:dyDescent="0.25">
      <c r="A310" t="s">
        <v>4051</v>
      </c>
      <c r="B310" t="s">
        <v>4052</v>
      </c>
      <c r="C310" t="s">
        <v>646</v>
      </c>
      <c r="D310" t="s">
        <v>3779</v>
      </c>
      <c r="E310" t="s">
        <v>647</v>
      </c>
      <c r="F310" t="s">
        <v>3780</v>
      </c>
      <c r="G310" t="s">
        <v>769</v>
      </c>
      <c r="H310" t="s">
        <v>1515</v>
      </c>
      <c r="I310" t="s">
        <v>4053</v>
      </c>
      <c r="J310" t="s">
        <v>4054</v>
      </c>
      <c r="K310" t="s">
        <v>166</v>
      </c>
      <c r="L310" t="s">
        <v>0</v>
      </c>
      <c r="M310" t="s">
        <v>178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 t="s">
        <v>2488</v>
      </c>
      <c r="X310" t="s">
        <v>269</v>
      </c>
      <c r="Y310" t="s">
        <v>4055</v>
      </c>
      <c r="AA310" t="s">
        <v>4056</v>
      </c>
      <c r="AB310" t="s">
        <v>181</v>
      </c>
    </row>
    <row r="311" spans="1:28" x14ac:dyDescent="0.25">
      <c r="A311" t="s">
        <v>3892</v>
      </c>
      <c r="B311" t="s">
        <v>3893</v>
      </c>
      <c r="C311" t="s">
        <v>646</v>
      </c>
      <c r="D311" t="s">
        <v>3779</v>
      </c>
      <c r="E311" t="s">
        <v>647</v>
      </c>
      <c r="F311" t="s">
        <v>666</v>
      </c>
      <c r="G311" t="s">
        <v>666</v>
      </c>
      <c r="H311" t="s">
        <v>713</v>
      </c>
      <c r="I311" t="s">
        <v>2102</v>
      </c>
      <c r="J311" t="s">
        <v>355</v>
      </c>
      <c r="K311" t="s">
        <v>166</v>
      </c>
      <c r="L311" t="s">
        <v>0</v>
      </c>
      <c r="M311" t="s">
        <v>178</v>
      </c>
      <c r="N311">
        <v>508</v>
      </c>
      <c r="O311">
        <v>3</v>
      </c>
      <c r="P311">
        <v>14664.68</v>
      </c>
      <c r="Q311">
        <v>5765.46</v>
      </c>
      <c r="R311">
        <v>1923.65</v>
      </c>
      <c r="S311">
        <v>87.840056649999994</v>
      </c>
      <c r="T311">
        <v>0</v>
      </c>
      <c r="U311">
        <v>0</v>
      </c>
      <c r="V311">
        <v>1923.65</v>
      </c>
      <c r="W311" t="s">
        <v>0</v>
      </c>
      <c r="X311" t="s">
        <v>271</v>
      </c>
      <c r="Y311" t="s">
        <v>2103</v>
      </c>
      <c r="AA311" t="s">
        <v>3894</v>
      </c>
      <c r="AB311" t="s">
        <v>181</v>
      </c>
    </row>
    <row r="312" spans="1:28" x14ac:dyDescent="0.25">
      <c r="A312" t="s">
        <v>4011</v>
      </c>
      <c r="B312" t="s">
        <v>4012</v>
      </c>
      <c r="C312" t="s">
        <v>646</v>
      </c>
      <c r="D312" t="s">
        <v>3779</v>
      </c>
      <c r="E312" t="s">
        <v>647</v>
      </c>
      <c r="F312" t="s">
        <v>3780</v>
      </c>
      <c r="G312" t="s">
        <v>769</v>
      </c>
      <c r="H312" t="s">
        <v>730</v>
      </c>
      <c r="I312" t="s">
        <v>2142</v>
      </c>
      <c r="J312" t="s">
        <v>1924</v>
      </c>
      <c r="K312" t="s">
        <v>166</v>
      </c>
      <c r="L312" t="s">
        <v>0</v>
      </c>
      <c r="M312" t="s">
        <v>178</v>
      </c>
      <c r="N312">
        <v>3</v>
      </c>
      <c r="O312">
        <v>3</v>
      </c>
      <c r="P312">
        <v>174</v>
      </c>
      <c r="Q312">
        <v>38.19</v>
      </c>
      <c r="R312">
        <v>3.18</v>
      </c>
      <c r="S312">
        <v>12.01861779</v>
      </c>
      <c r="T312">
        <v>0</v>
      </c>
      <c r="U312">
        <v>0</v>
      </c>
      <c r="V312">
        <v>3.18</v>
      </c>
      <c r="W312" t="s">
        <v>1925</v>
      </c>
      <c r="X312" t="s">
        <v>271</v>
      </c>
      <c r="Y312" t="s">
        <v>4013</v>
      </c>
      <c r="AA312" t="s">
        <v>4014</v>
      </c>
      <c r="AB312" t="s">
        <v>181</v>
      </c>
    </row>
    <row r="313" spans="1:28" x14ac:dyDescent="0.25">
      <c r="A313" t="s">
        <v>4292</v>
      </c>
      <c r="B313" t="s">
        <v>4293</v>
      </c>
      <c r="C313" t="s">
        <v>646</v>
      </c>
      <c r="D313" t="s">
        <v>3779</v>
      </c>
      <c r="E313" t="s">
        <v>647</v>
      </c>
      <c r="F313" t="s">
        <v>3780</v>
      </c>
      <c r="G313" t="s">
        <v>769</v>
      </c>
      <c r="H313" t="s">
        <v>761</v>
      </c>
      <c r="I313" t="s">
        <v>4294</v>
      </c>
      <c r="J313" t="s">
        <v>4295</v>
      </c>
      <c r="K313" t="s">
        <v>166</v>
      </c>
      <c r="L313" t="s">
        <v>0</v>
      </c>
      <c r="M313" t="s">
        <v>178</v>
      </c>
      <c r="N313">
        <v>4</v>
      </c>
      <c r="O313">
        <v>4</v>
      </c>
      <c r="P313">
        <v>159</v>
      </c>
      <c r="Q313">
        <v>205.76</v>
      </c>
      <c r="R313">
        <v>47.46</v>
      </c>
      <c r="S313">
        <v>30.575448219999998</v>
      </c>
      <c r="T313">
        <v>0</v>
      </c>
      <c r="U313">
        <v>0</v>
      </c>
      <c r="V313">
        <v>47.46</v>
      </c>
      <c r="W313" t="s">
        <v>0</v>
      </c>
      <c r="X313" t="s">
        <v>271</v>
      </c>
      <c r="Y313" t="s">
        <v>4296</v>
      </c>
      <c r="AA313" t="s">
        <v>4297</v>
      </c>
      <c r="AB313" t="s">
        <v>181</v>
      </c>
    </row>
    <row r="314" spans="1:28" x14ac:dyDescent="0.25">
      <c r="A314" t="s">
        <v>4304</v>
      </c>
      <c r="B314" t="s">
        <v>4305</v>
      </c>
      <c r="C314" t="s">
        <v>646</v>
      </c>
      <c r="D314" t="s">
        <v>3779</v>
      </c>
      <c r="E314" t="s">
        <v>647</v>
      </c>
      <c r="F314" t="s">
        <v>648</v>
      </c>
      <c r="G314" t="s">
        <v>648</v>
      </c>
      <c r="H314" t="s">
        <v>708</v>
      </c>
      <c r="I314" t="s">
        <v>4306</v>
      </c>
      <c r="J314" t="s">
        <v>436</v>
      </c>
      <c r="K314" t="s">
        <v>166</v>
      </c>
      <c r="L314" t="s">
        <v>0</v>
      </c>
      <c r="M314" t="s">
        <v>178</v>
      </c>
      <c r="N314">
        <v>831</v>
      </c>
      <c r="O314">
        <v>741</v>
      </c>
      <c r="P314">
        <v>28562.07</v>
      </c>
      <c r="Q314">
        <v>27295.84</v>
      </c>
      <c r="R314">
        <v>-13064.14</v>
      </c>
      <c r="S314">
        <v>15669.02342238</v>
      </c>
      <c r="T314">
        <v>0</v>
      </c>
      <c r="U314">
        <v>13938.88</v>
      </c>
      <c r="V314">
        <v>874.74</v>
      </c>
      <c r="W314" t="s">
        <v>0</v>
      </c>
      <c r="X314" t="s">
        <v>271</v>
      </c>
      <c r="Y314" t="s">
        <v>4307</v>
      </c>
      <c r="AA314" t="s">
        <v>4101</v>
      </c>
      <c r="AB314" t="s">
        <v>181</v>
      </c>
    </row>
    <row r="315" spans="1:28" x14ac:dyDescent="0.25">
      <c r="A315" t="s">
        <v>4265</v>
      </c>
      <c r="B315" t="s">
        <v>4266</v>
      </c>
      <c r="C315" t="s">
        <v>646</v>
      </c>
      <c r="D315" t="s">
        <v>3779</v>
      </c>
      <c r="E315" t="s">
        <v>647</v>
      </c>
      <c r="F315" t="s">
        <v>666</v>
      </c>
      <c r="G315" t="s">
        <v>666</v>
      </c>
      <c r="H315" t="s">
        <v>909</v>
      </c>
      <c r="I315" t="s">
        <v>4267</v>
      </c>
      <c r="J315" t="s">
        <v>326</v>
      </c>
      <c r="K315" t="s">
        <v>166</v>
      </c>
      <c r="L315" t="s">
        <v>0</v>
      </c>
      <c r="M315" t="s">
        <v>178</v>
      </c>
      <c r="N315">
        <v>96.25</v>
      </c>
      <c r="O315">
        <v>94</v>
      </c>
      <c r="P315">
        <v>2727.37</v>
      </c>
      <c r="Q315">
        <v>2795.87</v>
      </c>
      <c r="R315">
        <v>262.03384323</v>
      </c>
      <c r="S315">
        <v>633.34542672999999</v>
      </c>
      <c r="T315">
        <v>2.1538432300000001</v>
      </c>
      <c r="U315">
        <v>0</v>
      </c>
      <c r="V315">
        <v>261.13</v>
      </c>
      <c r="W315" t="s">
        <v>450</v>
      </c>
      <c r="X315" t="s">
        <v>271</v>
      </c>
      <c r="Y315" t="s">
        <v>4268</v>
      </c>
      <c r="AA315" t="s">
        <v>4269</v>
      </c>
      <c r="AB315" t="s">
        <v>181</v>
      </c>
    </row>
    <row r="316" spans="1:28" x14ac:dyDescent="0.25">
      <c r="A316" t="s">
        <v>4060</v>
      </c>
      <c r="B316" t="s">
        <v>4061</v>
      </c>
      <c r="C316" t="s">
        <v>646</v>
      </c>
      <c r="D316" t="s">
        <v>3779</v>
      </c>
      <c r="E316" t="s">
        <v>647</v>
      </c>
      <c r="F316" t="s">
        <v>648</v>
      </c>
      <c r="G316" t="s">
        <v>648</v>
      </c>
      <c r="H316" t="s">
        <v>770</v>
      </c>
      <c r="I316" t="s">
        <v>1114</v>
      </c>
      <c r="J316" t="s">
        <v>1115</v>
      </c>
      <c r="K316" t="s">
        <v>166</v>
      </c>
      <c r="L316" t="s">
        <v>0</v>
      </c>
      <c r="M316" t="s">
        <v>178</v>
      </c>
      <c r="N316">
        <v>2543</v>
      </c>
      <c r="O316">
        <v>0</v>
      </c>
      <c r="P316">
        <v>50591.25</v>
      </c>
      <c r="Q316">
        <v>59830.13</v>
      </c>
      <c r="R316">
        <v>-1659.57</v>
      </c>
      <c r="S316">
        <v>6702.6330557199999</v>
      </c>
      <c r="T316">
        <v>0</v>
      </c>
      <c r="U316">
        <v>0</v>
      </c>
      <c r="V316">
        <v>-1659.57</v>
      </c>
      <c r="W316" t="s">
        <v>0</v>
      </c>
      <c r="X316" t="s">
        <v>271</v>
      </c>
      <c r="Y316" t="s">
        <v>4062</v>
      </c>
      <c r="AA316" t="s">
        <v>4063</v>
      </c>
      <c r="AB316" t="s">
        <v>181</v>
      </c>
    </row>
    <row r="317" spans="1:28" x14ac:dyDescent="0.25">
      <c r="A317" t="s">
        <v>3929</v>
      </c>
      <c r="B317" t="s">
        <v>3930</v>
      </c>
      <c r="C317" t="s">
        <v>646</v>
      </c>
      <c r="D317" t="s">
        <v>3779</v>
      </c>
      <c r="E317" t="s">
        <v>647</v>
      </c>
      <c r="F317" t="s">
        <v>3780</v>
      </c>
      <c r="G317" t="s">
        <v>769</v>
      </c>
      <c r="H317" t="s">
        <v>856</v>
      </c>
      <c r="I317" t="s">
        <v>3649</v>
      </c>
      <c r="J317" t="s">
        <v>1567</v>
      </c>
      <c r="K317" t="s">
        <v>166</v>
      </c>
      <c r="L317" t="s">
        <v>0</v>
      </c>
      <c r="M317" t="s">
        <v>178</v>
      </c>
      <c r="N317">
        <v>19</v>
      </c>
      <c r="O317">
        <v>0</v>
      </c>
      <c r="P317">
        <v>196</v>
      </c>
      <c r="Q317">
        <v>1804.11</v>
      </c>
      <c r="R317">
        <v>391.37</v>
      </c>
      <c r="S317">
        <v>18.916519999999998</v>
      </c>
      <c r="T317">
        <v>0</v>
      </c>
      <c r="U317">
        <v>0</v>
      </c>
      <c r="V317">
        <v>391.37</v>
      </c>
      <c r="W317" t="s">
        <v>556</v>
      </c>
      <c r="X317" t="s">
        <v>271</v>
      </c>
      <c r="Y317" t="s">
        <v>3931</v>
      </c>
      <c r="AA317" t="s">
        <v>3932</v>
      </c>
      <c r="AB317" t="s">
        <v>181</v>
      </c>
    </row>
    <row r="318" spans="1:28" x14ac:dyDescent="0.25">
      <c r="A318" t="s">
        <v>4155</v>
      </c>
      <c r="B318" t="s">
        <v>4156</v>
      </c>
      <c r="C318" t="s">
        <v>646</v>
      </c>
      <c r="D318" t="s">
        <v>3779</v>
      </c>
      <c r="E318" t="s">
        <v>647</v>
      </c>
      <c r="F318" t="s">
        <v>3780</v>
      </c>
      <c r="G318" t="s">
        <v>769</v>
      </c>
      <c r="H318" t="s">
        <v>770</v>
      </c>
      <c r="I318" t="s">
        <v>885</v>
      </c>
      <c r="J318" t="s">
        <v>324</v>
      </c>
      <c r="K318" t="s">
        <v>166</v>
      </c>
      <c r="L318" t="s">
        <v>0</v>
      </c>
      <c r="M318" t="s">
        <v>178</v>
      </c>
      <c r="N318">
        <v>1237.95</v>
      </c>
      <c r="O318">
        <v>920.95</v>
      </c>
      <c r="P318">
        <v>23016.23</v>
      </c>
      <c r="Q318">
        <v>27082.09</v>
      </c>
      <c r="R318">
        <v>2767.38</v>
      </c>
      <c r="S318">
        <v>3861.4379027599998</v>
      </c>
      <c r="T318">
        <v>0</v>
      </c>
      <c r="U318">
        <v>0</v>
      </c>
      <c r="V318">
        <v>2767.38</v>
      </c>
      <c r="W318" t="s">
        <v>519</v>
      </c>
      <c r="X318" t="s">
        <v>271</v>
      </c>
      <c r="Y318" t="s">
        <v>4157</v>
      </c>
      <c r="AA318" t="s">
        <v>4158</v>
      </c>
      <c r="AB318" t="s">
        <v>181</v>
      </c>
    </row>
    <row r="319" spans="1:28" x14ac:dyDescent="0.25">
      <c r="A319" t="s">
        <v>4047</v>
      </c>
      <c r="B319" t="s">
        <v>4048</v>
      </c>
      <c r="C319" t="s">
        <v>646</v>
      </c>
      <c r="D319" t="s">
        <v>3779</v>
      </c>
      <c r="E319" t="s">
        <v>647</v>
      </c>
      <c r="F319" t="s">
        <v>666</v>
      </c>
      <c r="G319" t="s">
        <v>666</v>
      </c>
      <c r="H319" t="s">
        <v>909</v>
      </c>
      <c r="I319" t="s">
        <v>2292</v>
      </c>
      <c r="J319" t="s">
        <v>1847</v>
      </c>
      <c r="K319" t="s">
        <v>166</v>
      </c>
      <c r="L319" t="s">
        <v>0</v>
      </c>
      <c r="M319" t="s">
        <v>178</v>
      </c>
      <c r="N319">
        <v>258</v>
      </c>
      <c r="O319">
        <v>258</v>
      </c>
      <c r="P319">
        <v>8565.49</v>
      </c>
      <c r="Q319">
        <v>5286.05</v>
      </c>
      <c r="R319">
        <v>322.06792313</v>
      </c>
      <c r="S319">
        <v>1088.0400074300001</v>
      </c>
      <c r="T319">
        <v>0.44792313</v>
      </c>
      <c r="U319">
        <v>0</v>
      </c>
      <c r="V319">
        <v>321.62</v>
      </c>
      <c r="W319" t="s">
        <v>1848</v>
      </c>
      <c r="X319" t="s">
        <v>269</v>
      </c>
      <c r="Y319" t="s">
        <v>4049</v>
      </c>
      <c r="AA319" t="s">
        <v>4050</v>
      </c>
      <c r="AB319" t="s">
        <v>181</v>
      </c>
    </row>
    <row r="320" spans="1:28" x14ac:dyDescent="0.25">
      <c r="A320" t="s">
        <v>4308</v>
      </c>
      <c r="B320" t="s">
        <v>4309</v>
      </c>
      <c r="C320" t="s">
        <v>646</v>
      </c>
      <c r="D320" t="s">
        <v>3779</v>
      </c>
      <c r="E320" t="s">
        <v>647</v>
      </c>
      <c r="F320" t="s">
        <v>3780</v>
      </c>
      <c r="G320" t="s">
        <v>769</v>
      </c>
      <c r="H320" t="s">
        <v>909</v>
      </c>
      <c r="I320" t="s">
        <v>1184</v>
      </c>
      <c r="J320" t="s">
        <v>1185</v>
      </c>
      <c r="K320" t="s">
        <v>166</v>
      </c>
      <c r="L320" t="s">
        <v>0</v>
      </c>
      <c r="M320" t="s">
        <v>178</v>
      </c>
      <c r="N320">
        <v>124.55</v>
      </c>
      <c r="O320">
        <v>122.75</v>
      </c>
      <c r="P320">
        <v>3703.67</v>
      </c>
      <c r="Q320">
        <v>3721</v>
      </c>
      <c r="R320">
        <v>800.79746207000005</v>
      </c>
      <c r="S320">
        <v>707.67600489999995</v>
      </c>
      <c r="T320">
        <v>0.85746206999999997</v>
      </c>
      <c r="U320">
        <v>0</v>
      </c>
      <c r="V320">
        <v>799.94</v>
      </c>
      <c r="W320" t="s">
        <v>1186</v>
      </c>
      <c r="X320" t="s">
        <v>271</v>
      </c>
      <c r="Y320" t="s">
        <v>4310</v>
      </c>
      <c r="AA320" t="s">
        <v>4311</v>
      </c>
      <c r="AB320" t="s">
        <v>181</v>
      </c>
    </row>
    <row r="321" spans="1:28" x14ac:dyDescent="0.25">
      <c r="A321" t="s">
        <v>3793</v>
      </c>
      <c r="B321" t="s">
        <v>3794</v>
      </c>
      <c r="C321" t="s">
        <v>646</v>
      </c>
      <c r="D321" t="s">
        <v>3779</v>
      </c>
      <c r="E321" t="s">
        <v>647</v>
      </c>
      <c r="F321" t="s">
        <v>666</v>
      </c>
      <c r="G321" t="s">
        <v>666</v>
      </c>
      <c r="H321" t="s">
        <v>802</v>
      </c>
      <c r="I321" t="s">
        <v>1712</v>
      </c>
      <c r="J321" t="s">
        <v>335</v>
      </c>
      <c r="K321" t="s">
        <v>166</v>
      </c>
      <c r="L321" t="s">
        <v>0</v>
      </c>
      <c r="M321" t="s">
        <v>178</v>
      </c>
      <c r="N321">
        <v>639.91650000000004</v>
      </c>
      <c r="O321">
        <v>622.91650000000004</v>
      </c>
      <c r="P321">
        <v>9548.7199999999993</v>
      </c>
      <c r="Q321">
        <v>31863.02</v>
      </c>
      <c r="R321">
        <v>8913.6</v>
      </c>
      <c r="S321">
        <v>3133.2717236799999</v>
      </c>
      <c r="T321">
        <v>0</v>
      </c>
      <c r="U321">
        <v>0</v>
      </c>
      <c r="V321">
        <v>8913.6</v>
      </c>
      <c r="W321" t="s">
        <v>572</v>
      </c>
      <c r="X321" t="s">
        <v>271</v>
      </c>
      <c r="Y321" t="s">
        <v>3795</v>
      </c>
      <c r="AA321" t="s">
        <v>3796</v>
      </c>
      <c r="AB321" t="s">
        <v>181</v>
      </c>
    </row>
    <row r="322" spans="1:28" x14ac:dyDescent="0.25">
      <c r="A322" t="s">
        <v>4119</v>
      </c>
      <c r="B322" t="s">
        <v>4120</v>
      </c>
      <c r="C322" t="s">
        <v>646</v>
      </c>
      <c r="D322" t="s">
        <v>3779</v>
      </c>
      <c r="E322" t="s">
        <v>647</v>
      </c>
      <c r="F322" t="s">
        <v>3780</v>
      </c>
      <c r="G322" t="s">
        <v>769</v>
      </c>
      <c r="H322" t="s">
        <v>757</v>
      </c>
      <c r="I322" t="s">
        <v>1374</v>
      </c>
      <c r="J322" t="s">
        <v>441</v>
      </c>
      <c r="K322" t="s">
        <v>166</v>
      </c>
      <c r="L322" t="s">
        <v>0</v>
      </c>
      <c r="M322" t="s">
        <v>178</v>
      </c>
      <c r="N322">
        <v>327.23329999999999</v>
      </c>
      <c r="O322">
        <v>295.23329999999999</v>
      </c>
      <c r="P322">
        <v>6346.65</v>
      </c>
      <c r="Q322">
        <v>10789.25</v>
      </c>
      <c r="R322">
        <v>1631.34070503</v>
      </c>
      <c r="S322">
        <v>2200.3851249099998</v>
      </c>
      <c r="T322">
        <v>0.18070502999999999</v>
      </c>
      <c r="U322">
        <v>0</v>
      </c>
      <c r="V322">
        <v>1631.16</v>
      </c>
      <c r="W322" t="s">
        <v>440</v>
      </c>
      <c r="X322" t="s">
        <v>271</v>
      </c>
      <c r="Y322" t="s">
        <v>4121</v>
      </c>
      <c r="AA322" t="s">
        <v>4122</v>
      </c>
      <c r="AB322" t="s">
        <v>181</v>
      </c>
    </row>
    <row r="323" spans="1:28" x14ac:dyDescent="0.25">
      <c r="A323" t="s">
        <v>4035</v>
      </c>
      <c r="B323" t="s">
        <v>4036</v>
      </c>
      <c r="C323" t="s">
        <v>646</v>
      </c>
      <c r="D323" t="s">
        <v>3779</v>
      </c>
      <c r="E323" t="s">
        <v>647</v>
      </c>
      <c r="F323" t="s">
        <v>3780</v>
      </c>
      <c r="G323" t="s">
        <v>769</v>
      </c>
      <c r="H323" t="s">
        <v>703</v>
      </c>
      <c r="I323" t="s">
        <v>3464</v>
      </c>
      <c r="J323" t="s">
        <v>688</v>
      </c>
      <c r="K323" t="s">
        <v>166</v>
      </c>
      <c r="L323" t="s">
        <v>0</v>
      </c>
      <c r="M323" t="s">
        <v>178</v>
      </c>
      <c r="N323">
        <v>245</v>
      </c>
      <c r="O323">
        <v>97</v>
      </c>
      <c r="P323">
        <v>4062.55</v>
      </c>
      <c r="Q323">
        <v>10733.68</v>
      </c>
      <c r="R323">
        <v>1889.0191224600001</v>
      </c>
      <c r="S323">
        <v>1239.7532606300001</v>
      </c>
      <c r="T323">
        <v>5.9122460000000002E-2</v>
      </c>
      <c r="U323">
        <v>0</v>
      </c>
      <c r="V323">
        <v>1888.96</v>
      </c>
      <c r="W323" t="s">
        <v>0</v>
      </c>
      <c r="X323" t="s">
        <v>271</v>
      </c>
      <c r="Y323" t="s">
        <v>4037</v>
      </c>
      <c r="AA323" t="s">
        <v>4038</v>
      </c>
      <c r="AB323" t="s">
        <v>181</v>
      </c>
    </row>
    <row r="324" spans="1:28" x14ac:dyDescent="0.25">
      <c r="A324" t="s">
        <v>4236</v>
      </c>
      <c r="B324" t="s">
        <v>4237</v>
      </c>
      <c r="C324" t="s">
        <v>646</v>
      </c>
      <c r="D324" t="s">
        <v>3779</v>
      </c>
      <c r="E324" t="s">
        <v>647</v>
      </c>
      <c r="F324" t="s">
        <v>3780</v>
      </c>
      <c r="G324" t="s">
        <v>769</v>
      </c>
      <c r="H324" t="s">
        <v>703</v>
      </c>
      <c r="I324" t="s">
        <v>1546</v>
      </c>
      <c r="J324" t="s">
        <v>1547</v>
      </c>
      <c r="K324" t="s">
        <v>166</v>
      </c>
      <c r="L324" t="s">
        <v>0</v>
      </c>
      <c r="M324" t="s">
        <v>178</v>
      </c>
      <c r="N324">
        <v>51</v>
      </c>
      <c r="O324">
        <v>20</v>
      </c>
      <c r="P324">
        <v>1815</v>
      </c>
      <c r="Q324">
        <v>3590.28</v>
      </c>
      <c r="R324">
        <v>293.43</v>
      </c>
      <c r="S324">
        <v>318.61167489000002</v>
      </c>
      <c r="T324">
        <v>0</v>
      </c>
      <c r="U324">
        <v>0</v>
      </c>
      <c r="V324">
        <v>293.43</v>
      </c>
      <c r="W324" t="s">
        <v>1548</v>
      </c>
      <c r="X324" t="s">
        <v>271</v>
      </c>
      <c r="Y324" t="s">
        <v>4238</v>
      </c>
      <c r="AA324" t="s">
        <v>4239</v>
      </c>
      <c r="AB324" t="s">
        <v>181</v>
      </c>
    </row>
    <row r="325" spans="1:28" x14ac:dyDescent="0.25">
      <c r="A325" t="s">
        <v>4270</v>
      </c>
      <c r="B325" t="s">
        <v>4271</v>
      </c>
      <c r="C325" t="s">
        <v>646</v>
      </c>
      <c r="D325" t="s">
        <v>3779</v>
      </c>
      <c r="E325" t="s">
        <v>647</v>
      </c>
      <c r="F325" t="s">
        <v>3780</v>
      </c>
      <c r="G325" t="s">
        <v>769</v>
      </c>
      <c r="H325" t="s">
        <v>730</v>
      </c>
      <c r="I325" t="s">
        <v>4272</v>
      </c>
      <c r="J325" t="s">
        <v>352</v>
      </c>
      <c r="K325" t="s">
        <v>166</v>
      </c>
      <c r="L325" t="s">
        <v>0</v>
      </c>
      <c r="M325" t="s">
        <v>178</v>
      </c>
      <c r="N325">
        <v>17</v>
      </c>
      <c r="O325">
        <v>15</v>
      </c>
      <c r="P325">
        <v>368.64</v>
      </c>
      <c r="Q325">
        <v>554.94000000000005</v>
      </c>
      <c r="R325">
        <v>88.71</v>
      </c>
      <c r="S325">
        <v>84.474804500000005</v>
      </c>
      <c r="T325">
        <v>0</v>
      </c>
      <c r="U325">
        <v>0</v>
      </c>
      <c r="V325">
        <v>88.71</v>
      </c>
      <c r="W325" t="s">
        <v>314</v>
      </c>
      <c r="X325" t="s">
        <v>271</v>
      </c>
      <c r="Y325" t="s">
        <v>4273</v>
      </c>
      <c r="AA325" t="s">
        <v>4274</v>
      </c>
      <c r="AB325" t="s">
        <v>181</v>
      </c>
    </row>
    <row r="326" spans="1:28" x14ac:dyDescent="0.25">
      <c r="A326" t="s">
        <v>4078</v>
      </c>
      <c r="B326" t="s">
        <v>4079</v>
      </c>
      <c r="C326" t="s">
        <v>646</v>
      </c>
      <c r="D326" t="s">
        <v>3779</v>
      </c>
      <c r="E326" t="s">
        <v>647</v>
      </c>
      <c r="F326" t="s">
        <v>3780</v>
      </c>
      <c r="G326" t="s">
        <v>769</v>
      </c>
      <c r="H326" t="s">
        <v>761</v>
      </c>
      <c r="I326" t="s">
        <v>885</v>
      </c>
      <c r="J326" t="s">
        <v>324</v>
      </c>
      <c r="K326" t="s">
        <v>166</v>
      </c>
      <c r="L326" t="s">
        <v>0</v>
      </c>
      <c r="M326" t="s">
        <v>178</v>
      </c>
      <c r="N326">
        <v>23</v>
      </c>
      <c r="O326">
        <v>18</v>
      </c>
      <c r="P326">
        <v>746.65</v>
      </c>
      <c r="Q326">
        <v>786.98</v>
      </c>
      <c r="R326">
        <v>64.995052279999996</v>
      </c>
      <c r="S326">
        <v>153.21122650000001</v>
      </c>
      <c r="T326">
        <v>2.505228E-2</v>
      </c>
      <c r="U326">
        <v>0</v>
      </c>
      <c r="V326">
        <v>64.97</v>
      </c>
      <c r="W326" t="s">
        <v>519</v>
      </c>
      <c r="X326" t="s">
        <v>271</v>
      </c>
      <c r="Y326" t="s">
        <v>4080</v>
      </c>
      <c r="AA326" t="s">
        <v>4081</v>
      </c>
      <c r="AB326" t="s">
        <v>181</v>
      </c>
    </row>
    <row r="327" spans="1:28" x14ac:dyDescent="0.25">
      <c r="A327" t="s">
        <v>3857</v>
      </c>
      <c r="B327" t="s">
        <v>3858</v>
      </c>
      <c r="C327" t="s">
        <v>646</v>
      </c>
      <c r="D327" t="s">
        <v>3779</v>
      </c>
      <c r="E327" t="s">
        <v>647</v>
      </c>
      <c r="F327" t="s">
        <v>3780</v>
      </c>
      <c r="G327" t="s">
        <v>769</v>
      </c>
      <c r="H327" t="s">
        <v>962</v>
      </c>
      <c r="I327" t="s">
        <v>952</v>
      </c>
      <c r="J327" t="s">
        <v>434</v>
      </c>
      <c r="K327" t="s">
        <v>166</v>
      </c>
      <c r="L327" t="s">
        <v>0</v>
      </c>
      <c r="M327" t="s">
        <v>178</v>
      </c>
      <c r="N327">
        <v>34</v>
      </c>
      <c r="O327">
        <v>10</v>
      </c>
      <c r="P327">
        <v>774.15</v>
      </c>
      <c r="Q327">
        <v>2438.29</v>
      </c>
      <c r="R327">
        <v>376.21</v>
      </c>
      <c r="S327">
        <v>104.93811220000001</v>
      </c>
      <c r="T327">
        <v>0</v>
      </c>
      <c r="U327">
        <v>0</v>
      </c>
      <c r="V327">
        <v>376.21</v>
      </c>
      <c r="W327" t="s">
        <v>466</v>
      </c>
      <c r="X327" t="s">
        <v>271</v>
      </c>
      <c r="Y327" t="s">
        <v>3859</v>
      </c>
      <c r="AA327" t="s">
        <v>3860</v>
      </c>
      <c r="AB327" t="s">
        <v>181</v>
      </c>
    </row>
    <row r="328" spans="1:28" x14ac:dyDescent="0.25">
      <c r="A328" t="s">
        <v>4312</v>
      </c>
      <c r="B328" t="s">
        <v>4313</v>
      </c>
      <c r="C328" t="s">
        <v>646</v>
      </c>
      <c r="D328" t="s">
        <v>3779</v>
      </c>
      <c r="E328" t="s">
        <v>647</v>
      </c>
      <c r="F328" t="s">
        <v>3780</v>
      </c>
      <c r="G328" t="s">
        <v>769</v>
      </c>
      <c r="H328" t="s">
        <v>679</v>
      </c>
      <c r="I328" t="s">
        <v>4314</v>
      </c>
      <c r="J328" t="s">
        <v>319</v>
      </c>
      <c r="K328" t="s">
        <v>166</v>
      </c>
      <c r="L328" t="s">
        <v>0</v>
      </c>
      <c r="M328" t="s">
        <v>178</v>
      </c>
      <c r="N328">
        <v>97.4</v>
      </c>
      <c r="O328">
        <v>75.400000000000006</v>
      </c>
      <c r="P328">
        <v>542.54</v>
      </c>
      <c r="Q328">
        <v>3557.57</v>
      </c>
      <c r="R328">
        <v>866.81567298000004</v>
      </c>
      <c r="S328">
        <v>839.40086225000005</v>
      </c>
      <c r="T328">
        <v>-0.16432701999999999</v>
      </c>
      <c r="U328">
        <v>0</v>
      </c>
      <c r="V328">
        <v>866.98</v>
      </c>
      <c r="W328" t="s">
        <v>0</v>
      </c>
      <c r="X328" t="s">
        <v>271</v>
      </c>
      <c r="Y328" t="s">
        <v>4315</v>
      </c>
      <c r="AA328" t="s">
        <v>3466</v>
      </c>
      <c r="AB328" t="s">
        <v>181</v>
      </c>
    </row>
    <row r="329" spans="1:28" x14ac:dyDescent="0.25">
      <c r="A329" t="s">
        <v>4139</v>
      </c>
      <c r="B329" t="s">
        <v>4140</v>
      </c>
      <c r="C329" t="s">
        <v>646</v>
      </c>
      <c r="D329" t="s">
        <v>3779</v>
      </c>
      <c r="E329" t="s">
        <v>647</v>
      </c>
      <c r="F329" t="s">
        <v>3780</v>
      </c>
      <c r="G329" t="s">
        <v>769</v>
      </c>
      <c r="H329" t="s">
        <v>713</v>
      </c>
      <c r="I329" t="s">
        <v>778</v>
      </c>
      <c r="J329" t="s">
        <v>428</v>
      </c>
      <c r="K329" t="s">
        <v>166</v>
      </c>
      <c r="L329" t="s">
        <v>0</v>
      </c>
      <c r="M329" t="s">
        <v>178</v>
      </c>
      <c r="N329">
        <v>285</v>
      </c>
      <c r="O329">
        <v>82</v>
      </c>
      <c r="P329">
        <v>5248.47</v>
      </c>
      <c r="Q329">
        <v>8850.92</v>
      </c>
      <c r="R329">
        <v>2558.2645534899998</v>
      </c>
      <c r="S329">
        <v>1069.2499409500001</v>
      </c>
      <c r="T329">
        <v>6.4553490000000005E-2</v>
      </c>
      <c r="U329">
        <v>0</v>
      </c>
      <c r="V329">
        <v>2558.1999999999998</v>
      </c>
      <c r="W329" t="s">
        <v>547</v>
      </c>
      <c r="X329" t="s">
        <v>271</v>
      </c>
      <c r="Y329" t="s">
        <v>4141</v>
      </c>
      <c r="AA329" t="s">
        <v>4142</v>
      </c>
      <c r="AB329" t="s">
        <v>181</v>
      </c>
    </row>
    <row r="330" spans="1:28" x14ac:dyDescent="0.25">
      <c r="A330" t="s">
        <v>4189</v>
      </c>
      <c r="B330" t="s">
        <v>4190</v>
      </c>
      <c r="C330" t="s">
        <v>646</v>
      </c>
      <c r="D330" t="s">
        <v>3779</v>
      </c>
      <c r="E330" t="s">
        <v>647</v>
      </c>
      <c r="F330" t="s">
        <v>666</v>
      </c>
      <c r="G330" t="s">
        <v>666</v>
      </c>
      <c r="H330" t="s">
        <v>797</v>
      </c>
      <c r="I330" t="s">
        <v>4191</v>
      </c>
      <c r="J330" t="s">
        <v>355</v>
      </c>
      <c r="K330" t="s">
        <v>166</v>
      </c>
      <c r="L330" t="s">
        <v>0</v>
      </c>
      <c r="M330" t="s">
        <v>178</v>
      </c>
      <c r="N330">
        <v>136</v>
      </c>
      <c r="O330">
        <v>0</v>
      </c>
      <c r="P330">
        <v>1360</v>
      </c>
      <c r="Q330">
        <v>5326.43</v>
      </c>
      <c r="R330">
        <v>1477.8292875100001</v>
      </c>
      <c r="S330">
        <v>140.19999999999999</v>
      </c>
      <c r="T330">
        <v>0.19928751</v>
      </c>
      <c r="U330">
        <v>0</v>
      </c>
      <c r="V330">
        <v>1477.63</v>
      </c>
      <c r="W330" t="s">
        <v>0</v>
      </c>
      <c r="X330" t="s">
        <v>271</v>
      </c>
      <c r="Y330" t="s">
        <v>4192</v>
      </c>
      <c r="AA330" t="s">
        <v>4193</v>
      </c>
      <c r="AB330" t="s">
        <v>181</v>
      </c>
    </row>
    <row r="331" spans="1:28" x14ac:dyDescent="0.25">
      <c r="A331" t="s">
        <v>4022</v>
      </c>
      <c r="B331" t="s">
        <v>4023</v>
      </c>
      <c r="C331" t="s">
        <v>646</v>
      </c>
      <c r="D331" t="s">
        <v>3779</v>
      </c>
      <c r="E331" t="s">
        <v>647</v>
      </c>
      <c r="F331" t="s">
        <v>3780</v>
      </c>
      <c r="G331" t="s">
        <v>769</v>
      </c>
      <c r="H331" t="s">
        <v>713</v>
      </c>
      <c r="I331" t="s">
        <v>4024</v>
      </c>
      <c r="J331" t="s">
        <v>447</v>
      </c>
      <c r="K331" t="s">
        <v>166</v>
      </c>
      <c r="L331" t="s">
        <v>0</v>
      </c>
      <c r="M331" t="s">
        <v>178</v>
      </c>
      <c r="N331">
        <v>1576.0834</v>
      </c>
      <c r="O331">
        <v>1109.0834</v>
      </c>
      <c r="P331">
        <v>41769.67</v>
      </c>
      <c r="Q331">
        <v>10155.4</v>
      </c>
      <c r="R331">
        <v>2155.4105568300001</v>
      </c>
      <c r="S331">
        <v>1468.71298419</v>
      </c>
      <c r="T331">
        <v>24.150556829999999</v>
      </c>
      <c r="U331">
        <v>0</v>
      </c>
      <c r="V331">
        <v>2131.2600000000002</v>
      </c>
      <c r="W331" t="s">
        <v>446</v>
      </c>
      <c r="X331" t="s">
        <v>271</v>
      </c>
      <c r="Y331" t="s">
        <v>4025</v>
      </c>
      <c r="AA331" t="s">
        <v>4026</v>
      </c>
      <c r="AB331" t="s">
        <v>181</v>
      </c>
    </row>
    <row r="332" spans="1:28" x14ac:dyDescent="0.25">
      <c r="A332" t="s">
        <v>3921</v>
      </c>
      <c r="B332" t="s">
        <v>3922</v>
      </c>
      <c r="C332" t="s">
        <v>646</v>
      </c>
      <c r="D332" t="s">
        <v>3779</v>
      </c>
      <c r="E332" t="s">
        <v>647</v>
      </c>
      <c r="F332" t="s">
        <v>666</v>
      </c>
      <c r="G332" t="s">
        <v>666</v>
      </c>
      <c r="H332" t="s">
        <v>713</v>
      </c>
      <c r="I332" t="s">
        <v>902</v>
      </c>
      <c r="J332" t="s">
        <v>562</v>
      </c>
      <c r="K332" t="s">
        <v>166</v>
      </c>
      <c r="L332" t="s">
        <v>0</v>
      </c>
      <c r="M332" t="s">
        <v>178</v>
      </c>
      <c r="N332">
        <v>35</v>
      </c>
      <c r="O332">
        <v>1</v>
      </c>
      <c r="P332">
        <v>543.15</v>
      </c>
      <c r="Q332">
        <v>1205.95</v>
      </c>
      <c r="R332">
        <v>311.63</v>
      </c>
      <c r="S332">
        <v>38.547200449999998</v>
      </c>
      <c r="T332">
        <v>0.35</v>
      </c>
      <c r="U332">
        <v>0</v>
      </c>
      <c r="V332">
        <v>311.27999999999997</v>
      </c>
      <c r="W332" t="s">
        <v>0</v>
      </c>
      <c r="X332" t="s">
        <v>271</v>
      </c>
      <c r="Y332" t="s">
        <v>3923</v>
      </c>
      <c r="AA332" t="s">
        <v>3924</v>
      </c>
      <c r="AB332" t="s">
        <v>181</v>
      </c>
    </row>
    <row r="333" spans="1:28" x14ac:dyDescent="0.25">
      <c r="A333" t="s">
        <v>3917</v>
      </c>
      <c r="B333" t="s">
        <v>3918</v>
      </c>
      <c r="C333" t="s">
        <v>646</v>
      </c>
      <c r="D333" t="s">
        <v>3779</v>
      </c>
      <c r="E333" t="s">
        <v>647</v>
      </c>
      <c r="F333" t="s">
        <v>3780</v>
      </c>
      <c r="G333" t="s">
        <v>769</v>
      </c>
      <c r="H333" t="s">
        <v>649</v>
      </c>
      <c r="I333" t="s">
        <v>1083</v>
      </c>
      <c r="J333" t="s">
        <v>731</v>
      </c>
      <c r="K333" t="s">
        <v>166</v>
      </c>
      <c r="L333" t="s">
        <v>0</v>
      </c>
      <c r="M333" t="s">
        <v>178</v>
      </c>
      <c r="N333">
        <v>4</v>
      </c>
      <c r="O333">
        <v>3</v>
      </c>
      <c r="P333">
        <v>80</v>
      </c>
      <c r="Q333">
        <v>209</v>
      </c>
      <c r="R333">
        <v>56.34</v>
      </c>
      <c r="S333">
        <v>12.52389677</v>
      </c>
      <c r="T333">
        <v>0</v>
      </c>
      <c r="U333">
        <v>0</v>
      </c>
      <c r="V333">
        <v>56.34</v>
      </c>
      <c r="W333" t="s">
        <v>0</v>
      </c>
      <c r="X333" t="s">
        <v>271</v>
      </c>
      <c r="Y333" t="s">
        <v>3919</v>
      </c>
      <c r="AA333" t="s">
        <v>3920</v>
      </c>
      <c r="AB333" t="s">
        <v>181</v>
      </c>
    </row>
    <row r="334" spans="1:28" x14ac:dyDescent="0.25">
      <c r="A334" t="s">
        <v>3801</v>
      </c>
      <c r="B334" t="s">
        <v>3802</v>
      </c>
      <c r="C334" t="s">
        <v>646</v>
      </c>
      <c r="D334" t="s">
        <v>3779</v>
      </c>
      <c r="E334" t="s">
        <v>647</v>
      </c>
      <c r="F334" t="s">
        <v>666</v>
      </c>
      <c r="G334" t="s">
        <v>666</v>
      </c>
      <c r="H334" t="s">
        <v>797</v>
      </c>
      <c r="I334" t="s">
        <v>3803</v>
      </c>
      <c r="J334" t="s">
        <v>2577</v>
      </c>
      <c r="K334" t="s">
        <v>166</v>
      </c>
      <c r="L334" t="s">
        <v>0</v>
      </c>
      <c r="M334" t="s">
        <v>178</v>
      </c>
      <c r="N334">
        <v>117</v>
      </c>
      <c r="O334">
        <v>110</v>
      </c>
      <c r="P334">
        <v>1200.6099999999999</v>
      </c>
      <c r="Q334">
        <v>4811.29</v>
      </c>
      <c r="R334">
        <v>1736.0948028800001</v>
      </c>
      <c r="S334">
        <v>727.23350163999999</v>
      </c>
      <c r="T334">
        <v>4.8028799999999998E-3</v>
      </c>
      <c r="U334">
        <v>0</v>
      </c>
      <c r="V334">
        <v>1736.09</v>
      </c>
      <c r="W334" t="s">
        <v>2578</v>
      </c>
      <c r="X334" t="s">
        <v>271</v>
      </c>
      <c r="Y334" t="s">
        <v>3804</v>
      </c>
      <c r="AA334" t="s">
        <v>3805</v>
      </c>
      <c r="AB334" t="s">
        <v>181</v>
      </c>
    </row>
    <row r="335" spans="1:28" x14ac:dyDescent="0.25">
      <c r="A335" t="s">
        <v>4102</v>
      </c>
      <c r="B335" t="s">
        <v>4103</v>
      </c>
      <c r="C335" t="s">
        <v>646</v>
      </c>
      <c r="D335" t="s">
        <v>3779</v>
      </c>
      <c r="E335" t="s">
        <v>647</v>
      </c>
      <c r="F335" t="s">
        <v>3780</v>
      </c>
      <c r="G335" t="s">
        <v>769</v>
      </c>
      <c r="H335" t="s">
        <v>717</v>
      </c>
      <c r="I335" t="s">
        <v>4104</v>
      </c>
      <c r="J335" t="s">
        <v>4105</v>
      </c>
      <c r="K335" t="s">
        <v>166</v>
      </c>
      <c r="L335" t="s">
        <v>0</v>
      </c>
      <c r="M335" t="s">
        <v>178</v>
      </c>
      <c r="N335">
        <v>374</v>
      </c>
      <c r="O335">
        <v>267</v>
      </c>
      <c r="P335">
        <v>6483.75</v>
      </c>
      <c r="Q335">
        <v>26134</v>
      </c>
      <c r="R335">
        <v>3230.0924554600001</v>
      </c>
      <c r="S335">
        <v>1108.9739294200001</v>
      </c>
      <c r="T335">
        <v>1.245546E-2</v>
      </c>
      <c r="U335">
        <v>0</v>
      </c>
      <c r="V335">
        <v>3230.08</v>
      </c>
      <c r="W335" t="s">
        <v>4106</v>
      </c>
      <c r="X335" t="s">
        <v>269</v>
      </c>
      <c r="Y335" t="s">
        <v>4107</v>
      </c>
      <c r="AA335" t="s">
        <v>4108</v>
      </c>
      <c r="AB335" t="s">
        <v>181</v>
      </c>
    </row>
    <row r="336" spans="1:28" x14ac:dyDescent="0.25">
      <c r="A336" t="s">
        <v>4216</v>
      </c>
      <c r="B336" t="s">
        <v>4217</v>
      </c>
      <c r="C336" t="s">
        <v>646</v>
      </c>
      <c r="D336" t="s">
        <v>3779</v>
      </c>
      <c r="E336" t="s">
        <v>647</v>
      </c>
      <c r="F336" t="s">
        <v>666</v>
      </c>
      <c r="G336" t="s">
        <v>666</v>
      </c>
      <c r="H336" t="s">
        <v>672</v>
      </c>
      <c r="I336" t="s">
        <v>1636</v>
      </c>
      <c r="J336" t="s">
        <v>1637</v>
      </c>
      <c r="K336" t="s">
        <v>166</v>
      </c>
      <c r="L336" t="s">
        <v>0</v>
      </c>
      <c r="M336" t="s">
        <v>178</v>
      </c>
      <c r="N336">
        <v>97</v>
      </c>
      <c r="O336">
        <v>90</v>
      </c>
      <c r="P336">
        <v>2669.6</v>
      </c>
      <c r="Q336">
        <v>3460.5</v>
      </c>
      <c r="R336">
        <v>288.97000000000003</v>
      </c>
      <c r="S336">
        <v>545.79466861000003</v>
      </c>
      <c r="T336">
        <v>0</v>
      </c>
      <c r="U336">
        <v>0</v>
      </c>
      <c r="V336">
        <v>288.97000000000003</v>
      </c>
      <c r="W336" t="s">
        <v>1638</v>
      </c>
      <c r="X336" t="s">
        <v>271</v>
      </c>
      <c r="Y336" t="s">
        <v>1639</v>
      </c>
      <c r="AA336" t="s">
        <v>4218</v>
      </c>
      <c r="AB336" t="s">
        <v>181</v>
      </c>
    </row>
    <row r="337" spans="1:28" x14ac:dyDescent="0.25">
      <c r="A337" t="s">
        <v>4206</v>
      </c>
      <c r="B337" t="s">
        <v>4207</v>
      </c>
      <c r="C337" t="s">
        <v>646</v>
      </c>
      <c r="D337" t="s">
        <v>3779</v>
      </c>
      <c r="E337" t="s">
        <v>647</v>
      </c>
      <c r="F337" t="s">
        <v>3780</v>
      </c>
      <c r="G337" t="s">
        <v>769</v>
      </c>
      <c r="H337" t="s">
        <v>802</v>
      </c>
      <c r="I337" t="s">
        <v>4208</v>
      </c>
      <c r="J337" t="s">
        <v>317</v>
      </c>
      <c r="K337" t="s">
        <v>166</v>
      </c>
      <c r="L337" t="s">
        <v>0</v>
      </c>
      <c r="M337" t="s">
        <v>178</v>
      </c>
      <c r="N337">
        <v>6</v>
      </c>
      <c r="O337">
        <v>6</v>
      </c>
      <c r="P337">
        <v>33.6</v>
      </c>
      <c r="Q337">
        <v>184.79</v>
      </c>
      <c r="R337">
        <v>46.8</v>
      </c>
      <c r="S337">
        <v>31.788450489999999</v>
      </c>
      <c r="T337">
        <v>0</v>
      </c>
      <c r="U337">
        <v>0</v>
      </c>
      <c r="V337">
        <v>46.8</v>
      </c>
      <c r="W337" t="s">
        <v>340</v>
      </c>
      <c r="X337" t="s">
        <v>271</v>
      </c>
      <c r="Y337" t="s">
        <v>4209</v>
      </c>
      <c r="AA337" t="s">
        <v>4210</v>
      </c>
      <c r="AB337" t="s">
        <v>181</v>
      </c>
    </row>
    <row r="338" spans="1:28" x14ac:dyDescent="0.25">
      <c r="A338" t="s">
        <v>3877</v>
      </c>
      <c r="B338" t="s">
        <v>3878</v>
      </c>
      <c r="C338" t="s">
        <v>646</v>
      </c>
      <c r="D338" t="s">
        <v>3779</v>
      </c>
      <c r="E338" t="s">
        <v>647</v>
      </c>
      <c r="F338" t="s">
        <v>648</v>
      </c>
      <c r="G338" t="s">
        <v>648</v>
      </c>
      <c r="H338" t="s">
        <v>770</v>
      </c>
      <c r="I338" t="s">
        <v>3879</v>
      </c>
      <c r="J338" t="s">
        <v>3880</v>
      </c>
      <c r="K338" t="s">
        <v>166</v>
      </c>
      <c r="L338" t="s">
        <v>0</v>
      </c>
      <c r="M338" t="s">
        <v>178</v>
      </c>
      <c r="N338">
        <v>108</v>
      </c>
      <c r="O338">
        <v>50</v>
      </c>
      <c r="P338">
        <v>1744.6</v>
      </c>
      <c r="Q338">
        <v>2650.01</v>
      </c>
      <c r="R338">
        <v>419.75</v>
      </c>
      <c r="S338">
        <v>253.97139566999999</v>
      </c>
      <c r="T338">
        <v>0</v>
      </c>
      <c r="U338">
        <v>0</v>
      </c>
      <c r="V338">
        <v>419.75</v>
      </c>
      <c r="W338" t="s">
        <v>1079</v>
      </c>
      <c r="X338" t="s">
        <v>271</v>
      </c>
      <c r="Y338" t="s">
        <v>3881</v>
      </c>
      <c r="AA338" t="s">
        <v>3882</v>
      </c>
      <c r="AB338" t="s">
        <v>181</v>
      </c>
    </row>
    <row r="339" spans="1:28" x14ac:dyDescent="0.25">
      <c r="A339" t="s">
        <v>4082</v>
      </c>
      <c r="B339" t="s">
        <v>257</v>
      </c>
      <c r="C339" t="s">
        <v>646</v>
      </c>
      <c r="D339" t="s">
        <v>3779</v>
      </c>
      <c r="E339" t="s">
        <v>647</v>
      </c>
      <c r="F339" t="s">
        <v>3780</v>
      </c>
      <c r="G339" t="s">
        <v>769</v>
      </c>
      <c r="H339" t="s">
        <v>757</v>
      </c>
      <c r="I339" t="s">
        <v>4083</v>
      </c>
      <c r="J339" t="s">
        <v>1972</v>
      </c>
      <c r="K339" t="s">
        <v>166</v>
      </c>
      <c r="L339" t="s">
        <v>0</v>
      </c>
      <c r="M339" t="s">
        <v>178</v>
      </c>
      <c r="N339">
        <v>1265</v>
      </c>
      <c r="O339">
        <v>563</v>
      </c>
      <c r="P339">
        <v>15966.17</v>
      </c>
      <c r="Q339">
        <v>23811.89</v>
      </c>
      <c r="R339">
        <v>4066.2</v>
      </c>
      <c r="S339">
        <v>4704.6310844400004</v>
      </c>
      <c r="T339">
        <v>0</v>
      </c>
      <c r="U339">
        <v>0</v>
      </c>
      <c r="V339">
        <v>4066.2</v>
      </c>
      <c r="W339" t="s">
        <v>1973</v>
      </c>
      <c r="X339" t="s">
        <v>271</v>
      </c>
      <c r="Y339" t="s">
        <v>4084</v>
      </c>
      <c r="AA339" t="s">
        <v>4085</v>
      </c>
      <c r="AB339" t="s">
        <v>181</v>
      </c>
    </row>
    <row r="340" spans="1:28" x14ac:dyDescent="0.25">
      <c r="A340" t="s">
        <v>4113</v>
      </c>
      <c r="B340" t="s">
        <v>4114</v>
      </c>
      <c r="C340" t="s">
        <v>646</v>
      </c>
      <c r="D340" t="s">
        <v>3779</v>
      </c>
      <c r="E340" t="s">
        <v>647</v>
      </c>
      <c r="F340" t="s">
        <v>3780</v>
      </c>
      <c r="G340" t="s">
        <v>769</v>
      </c>
      <c r="H340" t="s">
        <v>649</v>
      </c>
      <c r="I340" t="s">
        <v>1913</v>
      </c>
      <c r="J340" t="s">
        <v>1914</v>
      </c>
      <c r="K340" t="s">
        <v>166</v>
      </c>
      <c r="L340" t="s">
        <v>0</v>
      </c>
      <c r="M340" t="s">
        <v>178</v>
      </c>
      <c r="N340">
        <v>455</v>
      </c>
      <c r="O340">
        <v>186</v>
      </c>
      <c r="P340">
        <v>13334.6</v>
      </c>
      <c r="Q340">
        <v>22412.81</v>
      </c>
      <c r="R340">
        <v>3953.44</v>
      </c>
      <c r="S340">
        <v>1485.31540292</v>
      </c>
      <c r="T340">
        <v>0</v>
      </c>
      <c r="U340">
        <v>0</v>
      </c>
      <c r="V340">
        <v>3953.44</v>
      </c>
      <c r="W340" t="s">
        <v>1915</v>
      </c>
      <c r="X340" t="s">
        <v>269</v>
      </c>
      <c r="Y340" t="s">
        <v>4115</v>
      </c>
      <c r="AA340" t="s">
        <v>4116</v>
      </c>
      <c r="AB340" t="s">
        <v>181</v>
      </c>
    </row>
    <row r="341" spans="1:28" x14ac:dyDescent="0.25">
      <c r="A341" t="s">
        <v>3992</v>
      </c>
      <c r="B341" t="s">
        <v>3993</v>
      </c>
      <c r="C341" t="s">
        <v>646</v>
      </c>
      <c r="D341" t="s">
        <v>3779</v>
      </c>
      <c r="E341" t="s">
        <v>647</v>
      </c>
      <c r="F341" t="s">
        <v>3780</v>
      </c>
      <c r="G341" t="s">
        <v>769</v>
      </c>
      <c r="H341" t="s">
        <v>717</v>
      </c>
      <c r="I341" t="s">
        <v>3994</v>
      </c>
      <c r="J341" t="s">
        <v>3995</v>
      </c>
      <c r="K341" t="s">
        <v>166</v>
      </c>
      <c r="L341" t="s">
        <v>0</v>
      </c>
      <c r="M341" t="s">
        <v>178</v>
      </c>
      <c r="N341">
        <v>22</v>
      </c>
      <c r="O341">
        <v>5</v>
      </c>
      <c r="P341">
        <v>1475.8</v>
      </c>
      <c r="Q341">
        <v>3258.66</v>
      </c>
      <c r="R341">
        <v>114.92</v>
      </c>
      <c r="S341">
        <v>148.76636067000001</v>
      </c>
      <c r="T341">
        <v>0</v>
      </c>
      <c r="U341">
        <v>0</v>
      </c>
      <c r="V341">
        <v>114.92</v>
      </c>
      <c r="W341" t="s">
        <v>250</v>
      </c>
      <c r="X341" t="s">
        <v>269</v>
      </c>
      <c r="Y341" t="s">
        <v>3996</v>
      </c>
      <c r="AA341" t="s">
        <v>3997</v>
      </c>
      <c r="AB341" t="s">
        <v>181</v>
      </c>
    </row>
    <row r="342" spans="1:28" x14ac:dyDescent="0.25">
      <c r="A342" t="s">
        <v>4270</v>
      </c>
      <c r="B342" t="s">
        <v>4271</v>
      </c>
      <c r="C342" t="s">
        <v>646</v>
      </c>
      <c r="D342" t="s">
        <v>3779</v>
      </c>
      <c r="E342" t="s">
        <v>647</v>
      </c>
      <c r="F342" t="s">
        <v>3780</v>
      </c>
      <c r="G342" t="s">
        <v>769</v>
      </c>
      <c r="H342" t="s">
        <v>1045</v>
      </c>
      <c r="I342" t="s">
        <v>4272</v>
      </c>
      <c r="J342" t="s">
        <v>352</v>
      </c>
      <c r="K342" t="s">
        <v>166</v>
      </c>
      <c r="L342" t="s">
        <v>0</v>
      </c>
      <c r="M342" t="s">
        <v>178</v>
      </c>
      <c r="N342">
        <v>13</v>
      </c>
      <c r="O342">
        <v>12</v>
      </c>
      <c r="P342">
        <v>106.7</v>
      </c>
      <c r="Q342">
        <v>1459.82</v>
      </c>
      <c r="R342">
        <v>223.51</v>
      </c>
      <c r="S342">
        <v>147.84484721000001</v>
      </c>
      <c r="T342">
        <v>0</v>
      </c>
      <c r="U342">
        <v>0</v>
      </c>
      <c r="V342">
        <v>223.51</v>
      </c>
      <c r="W342" t="s">
        <v>314</v>
      </c>
      <c r="X342" t="s">
        <v>271</v>
      </c>
      <c r="Y342" t="s">
        <v>4273</v>
      </c>
      <c r="AA342" t="s">
        <v>4274</v>
      </c>
      <c r="AB342" t="s">
        <v>181</v>
      </c>
    </row>
    <row r="343" spans="1:28" x14ac:dyDescent="0.25">
      <c r="A343" t="s">
        <v>4292</v>
      </c>
      <c r="B343" t="s">
        <v>4293</v>
      </c>
      <c r="C343" t="s">
        <v>646</v>
      </c>
      <c r="D343" t="s">
        <v>3779</v>
      </c>
      <c r="E343" t="s">
        <v>647</v>
      </c>
      <c r="F343" t="s">
        <v>3780</v>
      </c>
      <c r="G343" t="s">
        <v>769</v>
      </c>
      <c r="H343" t="s">
        <v>770</v>
      </c>
      <c r="I343" t="s">
        <v>4294</v>
      </c>
      <c r="J343" t="s">
        <v>4295</v>
      </c>
      <c r="K343" t="s">
        <v>166</v>
      </c>
      <c r="L343" t="s">
        <v>0</v>
      </c>
      <c r="M343" t="s">
        <v>178</v>
      </c>
      <c r="N343">
        <v>97</v>
      </c>
      <c r="O343">
        <v>82</v>
      </c>
      <c r="P343">
        <v>910</v>
      </c>
      <c r="Q343">
        <v>2204.34</v>
      </c>
      <c r="R343">
        <v>560.69000000000005</v>
      </c>
      <c r="S343">
        <v>301.04878693000001</v>
      </c>
      <c r="T343">
        <v>0</v>
      </c>
      <c r="U343">
        <v>0</v>
      </c>
      <c r="V343">
        <v>560.69000000000005</v>
      </c>
      <c r="W343" t="s">
        <v>0</v>
      </c>
      <c r="X343" t="s">
        <v>271</v>
      </c>
      <c r="Y343" t="s">
        <v>4296</v>
      </c>
      <c r="AA343" t="s">
        <v>4297</v>
      </c>
      <c r="AB343" t="s">
        <v>181</v>
      </c>
    </row>
    <row r="344" spans="1:28" x14ac:dyDescent="0.25">
      <c r="A344" t="s">
        <v>4139</v>
      </c>
      <c r="B344" t="s">
        <v>4140</v>
      </c>
      <c r="C344" t="s">
        <v>646</v>
      </c>
      <c r="D344" t="s">
        <v>3779</v>
      </c>
      <c r="E344" t="s">
        <v>647</v>
      </c>
      <c r="F344" t="s">
        <v>3780</v>
      </c>
      <c r="G344" t="s">
        <v>769</v>
      </c>
      <c r="H344" t="s">
        <v>802</v>
      </c>
      <c r="I344" t="s">
        <v>778</v>
      </c>
      <c r="J344" t="s">
        <v>428</v>
      </c>
      <c r="K344" t="s">
        <v>166</v>
      </c>
      <c r="L344" t="s">
        <v>0</v>
      </c>
      <c r="M344" t="s">
        <v>178</v>
      </c>
      <c r="N344">
        <v>22</v>
      </c>
      <c r="O344">
        <v>20</v>
      </c>
      <c r="P344">
        <v>372.88</v>
      </c>
      <c r="Q344">
        <v>1067.3800000000001</v>
      </c>
      <c r="R344">
        <v>250.79</v>
      </c>
      <c r="S344">
        <v>92.600287800000004</v>
      </c>
      <c r="T344">
        <v>0</v>
      </c>
      <c r="U344">
        <v>0</v>
      </c>
      <c r="V344">
        <v>250.79</v>
      </c>
      <c r="W344" t="s">
        <v>547</v>
      </c>
      <c r="X344" t="s">
        <v>271</v>
      </c>
      <c r="Y344" t="s">
        <v>4141</v>
      </c>
      <c r="AA344" t="s">
        <v>4142</v>
      </c>
      <c r="AB344" t="s">
        <v>181</v>
      </c>
    </row>
    <row r="345" spans="1:28" x14ac:dyDescent="0.25">
      <c r="A345" t="s">
        <v>4060</v>
      </c>
      <c r="B345" t="s">
        <v>4061</v>
      </c>
      <c r="C345" t="s">
        <v>646</v>
      </c>
      <c r="D345" t="s">
        <v>3779</v>
      </c>
      <c r="E345" t="s">
        <v>647</v>
      </c>
      <c r="F345" t="s">
        <v>648</v>
      </c>
      <c r="G345" t="s">
        <v>648</v>
      </c>
      <c r="H345" t="s">
        <v>1515</v>
      </c>
      <c r="I345" t="s">
        <v>1114</v>
      </c>
      <c r="J345" t="s">
        <v>1115</v>
      </c>
      <c r="K345" t="s">
        <v>166</v>
      </c>
      <c r="L345" t="s">
        <v>0</v>
      </c>
      <c r="M345" t="s">
        <v>178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0</v>
      </c>
      <c r="X345" t="s">
        <v>271</v>
      </c>
      <c r="Y345" t="s">
        <v>4062</v>
      </c>
      <c r="AA345" t="s">
        <v>4063</v>
      </c>
      <c r="AB345" t="s">
        <v>181</v>
      </c>
    </row>
    <row r="346" spans="1:28" x14ac:dyDescent="0.25">
      <c r="A346" t="s">
        <v>3814</v>
      </c>
      <c r="B346" t="s">
        <v>3815</v>
      </c>
      <c r="C346" t="s">
        <v>646</v>
      </c>
      <c r="D346" t="s">
        <v>3779</v>
      </c>
      <c r="E346" t="s">
        <v>647</v>
      </c>
      <c r="F346" t="s">
        <v>3780</v>
      </c>
      <c r="G346" t="s">
        <v>769</v>
      </c>
      <c r="H346" t="s">
        <v>1515</v>
      </c>
      <c r="I346" t="s">
        <v>3816</v>
      </c>
      <c r="J346" t="s">
        <v>548</v>
      </c>
      <c r="K346" t="s">
        <v>166</v>
      </c>
      <c r="L346" t="s">
        <v>0</v>
      </c>
      <c r="M346" t="s">
        <v>178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241</v>
      </c>
      <c r="X346" t="s">
        <v>271</v>
      </c>
      <c r="Y346" t="s">
        <v>3817</v>
      </c>
      <c r="AA346" t="s">
        <v>3818</v>
      </c>
      <c r="AB346" t="s">
        <v>181</v>
      </c>
    </row>
    <row r="347" spans="1:28" x14ac:dyDescent="0.25">
      <c r="A347" t="s">
        <v>4316</v>
      </c>
      <c r="B347" t="s">
        <v>4317</v>
      </c>
      <c r="C347" t="s">
        <v>646</v>
      </c>
      <c r="D347" t="s">
        <v>3779</v>
      </c>
      <c r="E347" t="s">
        <v>647</v>
      </c>
      <c r="F347" t="s">
        <v>3780</v>
      </c>
      <c r="G347" t="s">
        <v>769</v>
      </c>
      <c r="H347" t="s">
        <v>856</v>
      </c>
      <c r="I347" t="s">
        <v>1290</v>
      </c>
      <c r="J347" t="s">
        <v>1291</v>
      </c>
      <c r="K347" t="s">
        <v>166</v>
      </c>
      <c r="L347" t="s">
        <v>0</v>
      </c>
      <c r="M347" t="s">
        <v>178</v>
      </c>
      <c r="N347">
        <v>1</v>
      </c>
      <c r="O347">
        <v>0</v>
      </c>
      <c r="P347">
        <v>15.12</v>
      </c>
      <c r="Q347">
        <v>192.78</v>
      </c>
      <c r="R347">
        <v>50.05</v>
      </c>
      <c r="S347">
        <v>1.4273279999999999</v>
      </c>
      <c r="T347">
        <v>0</v>
      </c>
      <c r="U347">
        <v>0</v>
      </c>
      <c r="V347">
        <v>50.05</v>
      </c>
      <c r="W347" t="s">
        <v>1292</v>
      </c>
      <c r="X347" t="s">
        <v>271</v>
      </c>
      <c r="Y347" t="s">
        <v>4318</v>
      </c>
      <c r="AA347" t="s">
        <v>4319</v>
      </c>
      <c r="AB347" t="s">
        <v>181</v>
      </c>
    </row>
    <row r="348" spans="1:28" x14ac:dyDescent="0.25">
      <c r="A348" t="s">
        <v>4086</v>
      </c>
      <c r="B348" t="s">
        <v>4087</v>
      </c>
      <c r="C348" t="s">
        <v>646</v>
      </c>
      <c r="D348" t="s">
        <v>3779</v>
      </c>
      <c r="E348" t="s">
        <v>647</v>
      </c>
      <c r="F348" t="s">
        <v>3780</v>
      </c>
      <c r="G348" t="s">
        <v>769</v>
      </c>
      <c r="H348" t="s">
        <v>649</v>
      </c>
      <c r="I348" t="s">
        <v>4088</v>
      </c>
      <c r="J348" t="s">
        <v>480</v>
      </c>
      <c r="K348" t="s">
        <v>166</v>
      </c>
      <c r="L348" t="s">
        <v>0</v>
      </c>
      <c r="M348" t="s">
        <v>178</v>
      </c>
      <c r="N348">
        <v>104</v>
      </c>
      <c r="O348">
        <v>6</v>
      </c>
      <c r="P348">
        <v>1078</v>
      </c>
      <c r="Q348">
        <v>4111.1099999999997</v>
      </c>
      <c r="R348">
        <v>920.84</v>
      </c>
      <c r="S348">
        <v>295.70258940000002</v>
      </c>
      <c r="T348">
        <v>0</v>
      </c>
      <c r="U348">
        <v>0</v>
      </c>
      <c r="V348">
        <v>920.84</v>
      </c>
      <c r="W348" t="s">
        <v>4089</v>
      </c>
      <c r="X348" t="s">
        <v>271</v>
      </c>
      <c r="Y348" t="s">
        <v>4090</v>
      </c>
      <c r="AA348" t="s">
        <v>4091</v>
      </c>
      <c r="AB348" t="s">
        <v>181</v>
      </c>
    </row>
    <row r="349" spans="1:28" x14ac:dyDescent="0.25">
      <c r="A349" t="s">
        <v>4047</v>
      </c>
      <c r="B349" t="s">
        <v>4048</v>
      </c>
      <c r="C349" t="s">
        <v>646</v>
      </c>
      <c r="D349" t="s">
        <v>3779</v>
      </c>
      <c r="E349" t="s">
        <v>647</v>
      </c>
      <c r="F349" t="s">
        <v>666</v>
      </c>
      <c r="G349" t="s">
        <v>666</v>
      </c>
      <c r="H349" t="s">
        <v>730</v>
      </c>
      <c r="I349" t="s">
        <v>2292</v>
      </c>
      <c r="J349" t="s">
        <v>1847</v>
      </c>
      <c r="K349" t="s">
        <v>166</v>
      </c>
      <c r="L349" t="s">
        <v>0</v>
      </c>
      <c r="M349" t="s">
        <v>178</v>
      </c>
      <c r="N349">
        <v>89</v>
      </c>
      <c r="O349">
        <v>0</v>
      </c>
      <c r="P349">
        <v>4450</v>
      </c>
      <c r="Q349">
        <v>777.5</v>
      </c>
      <c r="R349">
        <v>256.08999999999997</v>
      </c>
      <c r="S349">
        <v>23.161894409999999</v>
      </c>
      <c r="T349">
        <v>0</v>
      </c>
      <c r="U349">
        <v>0</v>
      </c>
      <c r="V349">
        <v>256.08999999999997</v>
      </c>
      <c r="W349" t="s">
        <v>1848</v>
      </c>
      <c r="X349" t="s">
        <v>269</v>
      </c>
      <c r="Y349" t="s">
        <v>4049</v>
      </c>
      <c r="AA349" t="s">
        <v>4050</v>
      </c>
      <c r="AB349" t="s">
        <v>181</v>
      </c>
    </row>
    <row r="350" spans="1:28" x14ac:dyDescent="0.25">
      <c r="A350" t="s">
        <v>4057</v>
      </c>
      <c r="B350" t="s">
        <v>4058</v>
      </c>
      <c r="C350" t="s">
        <v>646</v>
      </c>
      <c r="D350" t="s">
        <v>3779</v>
      </c>
      <c r="E350" t="s">
        <v>647</v>
      </c>
      <c r="F350" t="s">
        <v>3780</v>
      </c>
      <c r="G350" t="s">
        <v>769</v>
      </c>
      <c r="H350" t="s">
        <v>856</v>
      </c>
      <c r="I350" t="s">
        <v>1190</v>
      </c>
      <c r="J350" t="s">
        <v>1191</v>
      </c>
      <c r="K350" t="s">
        <v>166</v>
      </c>
      <c r="L350" t="s">
        <v>0</v>
      </c>
      <c r="M350" t="s">
        <v>178</v>
      </c>
      <c r="N350">
        <v>1</v>
      </c>
      <c r="O350">
        <v>1</v>
      </c>
      <c r="P350">
        <v>24.05</v>
      </c>
      <c r="Q350">
        <v>135.16</v>
      </c>
      <c r="R350">
        <v>8.9</v>
      </c>
      <c r="S350">
        <v>6.4935</v>
      </c>
      <c r="T350">
        <v>0</v>
      </c>
      <c r="U350">
        <v>0</v>
      </c>
      <c r="V350">
        <v>8.9</v>
      </c>
      <c r="W350" t="s">
        <v>282</v>
      </c>
      <c r="X350" t="s">
        <v>271</v>
      </c>
      <c r="Y350" t="s">
        <v>4059</v>
      </c>
      <c r="AA350" t="s">
        <v>2171</v>
      </c>
      <c r="AB350" t="s">
        <v>181</v>
      </c>
    </row>
    <row r="351" spans="1:28" x14ac:dyDescent="0.25">
      <c r="A351" t="s">
        <v>3905</v>
      </c>
      <c r="B351" t="s">
        <v>3906</v>
      </c>
      <c r="C351" t="s">
        <v>646</v>
      </c>
      <c r="D351" t="s">
        <v>3779</v>
      </c>
      <c r="E351" t="s">
        <v>647</v>
      </c>
      <c r="F351" t="s">
        <v>3780</v>
      </c>
      <c r="G351" t="s">
        <v>769</v>
      </c>
      <c r="H351" t="s">
        <v>672</v>
      </c>
      <c r="I351" t="s">
        <v>3753</v>
      </c>
      <c r="J351" t="s">
        <v>489</v>
      </c>
      <c r="K351" t="s">
        <v>166</v>
      </c>
      <c r="L351" t="s">
        <v>0</v>
      </c>
      <c r="M351" t="s">
        <v>178</v>
      </c>
      <c r="N351">
        <v>245</v>
      </c>
      <c r="O351">
        <v>162</v>
      </c>
      <c r="P351">
        <v>2594.59</v>
      </c>
      <c r="Q351">
        <v>11594.4</v>
      </c>
      <c r="R351">
        <v>2380.7747694700001</v>
      </c>
      <c r="S351">
        <v>2293.8826787200001</v>
      </c>
      <c r="T351">
        <v>0.20476947000000001</v>
      </c>
      <c r="U351">
        <v>0</v>
      </c>
      <c r="V351">
        <v>2380.5700000000002</v>
      </c>
      <c r="W351" t="s">
        <v>488</v>
      </c>
      <c r="X351" t="s">
        <v>271</v>
      </c>
      <c r="Y351" t="s">
        <v>3907</v>
      </c>
      <c r="AA351" t="s">
        <v>3908</v>
      </c>
      <c r="AB351" t="s">
        <v>181</v>
      </c>
    </row>
    <row r="352" spans="1:28" x14ac:dyDescent="0.25">
      <c r="A352" t="s">
        <v>4043</v>
      </c>
      <c r="B352" t="s">
        <v>4044</v>
      </c>
      <c r="C352" t="s">
        <v>646</v>
      </c>
      <c r="D352" t="s">
        <v>3779</v>
      </c>
      <c r="E352" t="s">
        <v>647</v>
      </c>
      <c r="F352" t="s">
        <v>666</v>
      </c>
      <c r="G352" t="s">
        <v>666</v>
      </c>
      <c r="H352" t="s">
        <v>730</v>
      </c>
      <c r="I352" t="s">
        <v>1431</v>
      </c>
      <c r="J352" t="s">
        <v>1432</v>
      </c>
      <c r="K352" t="s">
        <v>166</v>
      </c>
      <c r="L352" t="s">
        <v>0</v>
      </c>
      <c r="M352" t="s">
        <v>178</v>
      </c>
      <c r="N352">
        <v>40</v>
      </c>
      <c r="O352">
        <v>40</v>
      </c>
      <c r="P352">
        <v>973.49</v>
      </c>
      <c r="Q352">
        <v>4646.18</v>
      </c>
      <c r="R352">
        <v>1139.6500000000001</v>
      </c>
      <c r="S352">
        <v>558.61041393999994</v>
      </c>
      <c r="T352">
        <v>0</v>
      </c>
      <c r="U352">
        <v>0</v>
      </c>
      <c r="V352">
        <v>1139.6500000000001</v>
      </c>
      <c r="W352" t="s">
        <v>1433</v>
      </c>
      <c r="X352" t="s">
        <v>271</v>
      </c>
      <c r="Y352" t="s">
        <v>4045</v>
      </c>
      <c r="AA352" t="s">
        <v>4046</v>
      </c>
      <c r="AB352" t="s">
        <v>181</v>
      </c>
    </row>
    <row r="353" spans="1:28" x14ac:dyDescent="0.25">
      <c r="A353" t="s">
        <v>4167</v>
      </c>
      <c r="B353" t="s">
        <v>4168</v>
      </c>
      <c r="C353" t="s">
        <v>646</v>
      </c>
      <c r="D353" t="s">
        <v>3779</v>
      </c>
      <c r="E353" t="s">
        <v>647</v>
      </c>
      <c r="F353" t="s">
        <v>3780</v>
      </c>
      <c r="G353" t="s">
        <v>769</v>
      </c>
      <c r="H353" t="s">
        <v>909</v>
      </c>
      <c r="I353" t="s">
        <v>4169</v>
      </c>
      <c r="J353" t="s">
        <v>662</v>
      </c>
      <c r="K353" t="s">
        <v>166</v>
      </c>
      <c r="L353" t="s">
        <v>0</v>
      </c>
      <c r="M353" t="s">
        <v>178</v>
      </c>
      <c r="N353">
        <v>19</v>
      </c>
      <c r="O353">
        <v>19</v>
      </c>
      <c r="P353">
        <v>185.9</v>
      </c>
      <c r="Q353">
        <v>309.54000000000002</v>
      </c>
      <c r="R353">
        <v>-90.927307400000004</v>
      </c>
      <c r="S353">
        <v>214.97632039999999</v>
      </c>
      <c r="T353">
        <v>0.65269259999999996</v>
      </c>
      <c r="U353">
        <v>128.18</v>
      </c>
      <c r="V353">
        <v>36.6</v>
      </c>
      <c r="W353" t="s">
        <v>586</v>
      </c>
      <c r="X353" t="s">
        <v>271</v>
      </c>
      <c r="Y353" t="s">
        <v>4170</v>
      </c>
      <c r="AA353" t="s">
        <v>4171</v>
      </c>
      <c r="AB353" t="s">
        <v>181</v>
      </c>
    </row>
    <row r="354" spans="1:28" x14ac:dyDescent="0.25">
      <c r="A354" t="s">
        <v>3793</v>
      </c>
      <c r="B354" t="s">
        <v>3794</v>
      </c>
      <c r="C354" t="s">
        <v>646</v>
      </c>
      <c r="D354" t="s">
        <v>3779</v>
      </c>
      <c r="E354" t="s">
        <v>647</v>
      </c>
      <c r="F354" t="s">
        <v>666</v>
      </c>
      <c r="G354" t="s">
        <v>666</v>
      </c>
      <c r="H354" t="s">
        <v>770</v>
      </c>
      <c r="I354" t="s">
        <v>1712</v>
      </c>
      <c r="J354" t="s">
        <v>335</v>
      </c>
      <c r="K354" t="s">
        <v>166</v>
      </c>
      <c r="L354" t="s">
        <v>0</v>
      </c>
      <c r="M354" t="s">
        <v>178</v>
      </c>
      <c r="N354">
        <v>3034</v>
      </c>
      <c r="O354">
        <v>1656</v>
      </c>
      <c r="P354">
        <v>54564.22</v>
      </c>
      <c r="Q354">
        <v>90486.44</v>
      </c>
      <c r="R354">
        <v>21691.82</v>
      </c>
      <c r="S354">
        <v>8593.9411528799992</v>
      </c>
      <c r="T354">
        <v>0</v>
      </c>
      <c r="U354">
        <v>0</v>
      </c>
      <c r="V354">
        <v>21691.82</v>
      </c>
      <c r="W354" t="s">
        <v>572</v>
      </c>
      <c r="X354" t="s">
        <v>271</v>
      </c>
      <c r="Y354" t="s">
        <v>3795</v>
      </c>
      <c r="AA354" t="s">
        <v>3796</v>
      </c>
      <c r="AB354" t="s">
        <v>181</v>
      </c>
    </row>
    <row r="355" spans="1:28" x14ac:dyDescent="0.25">
      <c r="A355" t="s">
        <v>3819</v>
      </c>
      <c r="B355" t="s">
        <v>3820</v>
      </c>
      <c r="C355" t="s">
        <v>646</v>
      </c>
      <c r="D355" t="s">
        <v>3779</v>
      </c>
      <c r="E355" t="s">
        <v>647</v>
      </c>
      <c r="F355" t="s">
        <v>3780</v>
      </c>
      <c r="G355" t="s">
        <v>769</v>
      </c>
      <c r="H355" t="s">
        <v>761</v>
      </c>
      <c r="I355" t="s">
        <v>798</v>
      </c>
      <c r="J355" t="s">
        <v>524</v>
      </c>
      <c r="K355" t="s">
        <v>166</v>
      </c>
      <c r="L355" t="s">
        <v>0</v>
      </c>
      <c r="M355" t="s">
        <v>178</v>
      </c>
      <c r="N355">
        <v>160</v>
      </c>
      <c r="O355">
        <v>57</v>
      </c>
      <c r="P355">
        <v>4704.13</v>
      </c>
      <c r="Q355">
        <v>6833.91</v>
      </c>
      <c r="R355">
        <v>1239.8699999999999</v>
      </c>
      <c r="S355">
        <v>595.19703942000001</v>
      </c>
      <c r="T355">
        <v>0</v>
      </c>
      <c r="U355">
        <v>0</v>
      </c>
      <c r="V355">
        <v>1239.8699999999999</v>
      </c>
      <c r="W355" t="s">
        <v>258</v>
      </c>
      <c r="X355" t="s">
        <v>271</v>
      </c>
      <c r="Y355" t="s">
        <v>3821</v>
      </c>
      <c r="AA355" t="s">
        <v>3822</v>
      </c>
      <c r="AB355" t="s">
        <v>181</v>
      </c>
    </row>
    <row r="356" spans="1:28" x14ac:dyDescent="0.25">
      <c r="A356" t="s">
        <v>4316</v>
      </c>
      <c r="B356" t="s">
        <v>4317</v>
      </c>
      <c r="C356" t="s">
        <v>646</v>
      </c>
      <c r="D356" t="s">
        <v>3779</v>
      </c>
      <c r="E356" t="s">
        <v>647</v>
      </c>
      <c r="F356" t="s">
        <v>3780</v>
      </c>
      <c r="G356" t="s">
        <v>769</v>
      </c>
      <c r="H356" t="s">
        <v>1045</v>
      </c>
      <c r="I356" t="s">
        <v>1290</v>
      </c>
      <c r="J356" t="s">
        <v>1291</v>
      </c>
      <c r="K356" t="s">
        <v>166</v>
      </c>
      <c r="L356" t="s">
        <v>0</v>
      </c>
      <c r="M356" t="s">
        <v>178</v>
      </c>
      <c r="N356">
        <v>21</v>
      </c>
      <c r="O356">
        <v>6</v>
      </c>
      <c r="P356">
        <v>271.2</v>
      </c>
      <c r="Q356">
        <v>3021.22</v>
      </c>
      <c r="R356">
        <v>630.96</v>
      </c>
      <c r="S356">
        <v>62.311022559999998</v>
      </c>
      <c r="T356">
        <v>0</v>
      </c>
      <c r="U356">
        <v>0</v>
      </c>
      <c r="V356">
        <v>630.96</v>
      </c>
      <c r="W356" t="s">
        <v>1292</v>
      </c>
      <c r="X356" t="s">
        <v>271</v>
      </c>
      <c r="Y356" t="s">
        <v>4318</v>
      </c>
      <c r="AA356" t="s">
        <v>4319</v>
      </c>
      <c r="AB356" t="s">
        <v>181</v>
      </c>
    </row>
    <row r="357" spans="1:28" x14ac:dyDescent="0.25">
      <c r="A357" t="s">
        <v>3823</v>
      </c>
      <c r="B357" t="s">
        <v>3824</v>
      </c>
      <c r="C357" t="s">
        <v>646</v>
      </c>
      <c r="D357" t="s">
        <v>3779</v>
      </c>
      <c r="E357" t="s">
        <v>647</v>
      </c>
      <c r="F357" t="s">
        <v>3780</v>
      </c>
      <c r="G357" t="s">
        <v>769</v>
      </c>
      <c r="H357" t="s">
        <v>761</v>
      </c>
      <c r="I357" t="s">
        <v>1801</v>
      </c>
      <c r="J357" t="s">
        <v>437</v>
      </c>
      <c r="K357" t="s">
        <v>166</v>
      </c>
      <c r="L357" t="s">
        <v>0</v>
      </c>
      <c r="M357" t="s">
        <v>178</v>
      </c>
      <c r="N357">
        <v>29.333400000000001</v>
      </c>
      <c r="O357">
        <v>15.333399999999999</v>
      </c>
      <c r="P357">
        <v>1061.07</v>
      </c>
      <c r="Q357">
        <v>900.98</v>
      </c>
      <c r="R357">
        <v>215.76505227999999</v>
      </c>
      <c r="S357">
        <v>138.22840103999999</v>
      </c>
      <c r="T357">
        <v>2.505228E-2</v>
      </c>
      <c r="U357">
        <v>0</v>
      </c>
      <c r="V357">
        <v>215.74</v>
      </c>
      <c r="W357" t="s">
        <v>510</v>
      </c>
      <c r="X357" t="s">
        <v>271</v>
      </c>
      <c r="Y357" t="s">
        <v>3825</v>
      </c>
      <c r="AA357" t="s">
        <v>3826</v>
      </c>
      <c r="AB357" t="s">
        <v>181</v>
      </c>
    </row>
    <row r="358" spans="1:28" x14ac:dyDescent="0.25">
      <c r="A358" t="s">
        <v>4011</v>
      </c>
      <c r="B358" t="s">
        <v>4012</v>
      </c>
      <c r="C358" t="s">
        <v>646</v>
      </c>
      <c r="D358" t="s">
        <v>3779</v>
      </c>
      <c r="E358" t="s">
        <v>647</v>
      </c>
      <c r="F358" t="s">
        <v>3780</v>
      </c>
      <c r="G358" t="s">
        <v>769</v>
      </c>
      <c r="H358" t="s">
        <v>683</v>
      </c>
      <c r="I358" t="s">
        <v>2142</v>
      </c>
      <c r="J358" t="s">
        <v>1924</v>
      </c>
      <c r="K358" t="s">
        <v>166</v>
      </c>
      <c r="L358" t="s">
        <v>0</v>
      </c>
      <c r="M358" t="s">
        <v>178</v>
      </c>
      <c r="N358">
        <v>1051.5</v>
      </c>
      <c r="O358">
        <v>185.5</v>
      </c>
      <c r="P358">
        <v>20379.77</v>
      </c>
      <c r="Q358">
        <v>30644.79</v>
      </c>
      <c r="R358">
        <v>2704.4736306899999</v>
      </c>
      <c r="S358">
        <v>3008.58425098</v>
      </c>
      <c r="T358">
        <v>3.4936306899999998</v>
      </c>
      <c r="U358">
        <v>0</v>
      </c>
      <c r="V358">
        <v>2700.98</v>
      </c>
      <c r="W358" t="s">
        <v>1925</v>
      </c>
      <c r="X358" t="s">
        <v>271</v>
      </c>
      <c r="Y358" t="s">
        <v>4013</v>
      </c>
      <c r="AA358" t="s">
        <v>4014</v>
      </c>
      <c r="AB358" t="s">
        <v>181</v>
      </c>
    </row>
    <row r="359" spans="1:28" x14ac:dyDescent="0.25">
      <c r="A359" t="s">
        <v>3895</v>
      </c>
      <c r="B359" t="s">
        <v>3896</v>
      </c>
      <c r="C359" t="s">
        <v>646</v>
      </c>
      <c r="D359" t="s">
        <v>3779</v>
      </c>
      <c r="E359" t="s">
        <v>647</v>
      </c>
      <c r="F359" t="s">
        <v>3780</v>
      </c>
      <c r="G359" t="s">
        <v>769</v>
      </c>
      <c r="H359" t="s">
        <v>757</v>
      </c>
      <c r="I359" t="s">
        <v>3897</v>
      </c>
      <c r="J359" t="s">
        <v>437</v>
      </c>
      <c r="K359" t="s">
        <v>166</v>
      </c>
      <c r="L359" t="s">
        <v>0</v>
      </c>
      <c r="M359" t="s">
        <v>178</v>
      </c>
      <c r="N359">
        <v>819.30439999999999</v>
      </c>
      <c r="O359">
        <v>811.30439999999999</v>
      </c>
      <c r="P359">
        <v>23068.41</v>
      </c>
      <c r="Q359">
        <v>34774.68</v>
      </c>
      <c r="R359">
        <v>-217.3</v>
      </c>
      <c r="S359">
        <v>8586.8241565200005</v>
      </c>
      <c r="T359">
        <v>158.6</v>
      </c>
      <c r="U359">
        <v>2154.92</v>
      </c>
      <c r="V359">
        <v>2063.7399999999998</v>
      </c>
      <c r="W359" t="s">
        <v>510</v>
      </c>
      <c r="X359" t="s">
        <v>271</v>
      </c>
      <c r="Y359" t="s">
        <v>3898</v>
      </c>
      <c r="AA359" t="s">
        <v>3899</v>
      </c>
      <c r="AB359" t="s">
        <v>181</v>
      </c>
    </row>
    <row r="360" spans="1:28" x14ac:dyDescent="0.25">
      <c r="A360" t="s">
        <v>3913</v>
      </c>
      <c r="B360" t="s">
        <v>3914</v>
      </c>
      <c r="C360" t="s">
        <v>646</v>
      </c>
      <c r="D360" t="s">
        <v>3779</v>
      </c>
      <c r="E360" t="s">
        <v>647</v>
      </c>
      <c r="F360" t="s">
        <v>3780</v>
      </c>
      <c r="G360" t="s">
        <v>769</v>
      </c>
      <c r="H360" t="s">
        <v>962</v>
      </c>
      <c r="I360" t="s">
        <v>984</v>
      </c>
      <c r="J360" t="s">
        <v>985</v>
      </c>
      <c r="K360" t="s">
        <v>166</v>
      </c>
      <c r="L360" t="s">
        <v>0</v>
      </c>
      <c r="M360" t="s">
        <v>178</v>
      </c>
      <c r="N360">
        <v>51</v>
      </c>
      <c r="O360">
        <v>42</v>
      </c>
      <c r="P360">
        <v>1028.58</v>
      </c>
      <c r="Q360">
        <v>3111.09</v>
      </c>
      <c r="R360">
        <v>259.16888778999999</v>
      </c>
      <c r="S360">
        <v>411.57318376000001</v>
      </c>
      <c r="T360">
        <v>8.8877899999999996E-3</v>
      </c>
      <c r="U360">
        <v>0</v>
      </c>
      <c r="V360">
        <v>259.16000000000003</v>
      </c>
      <c r="W360" t="s">
        <v>986</v>
      </c>
      <c r="X360" t="s">
        <v>271</v>
      </c>
      <c r="Y360" t="s">
        <v>3915</v>
      </c>
      <c r="AA360" t="s">
        <v>3916</v>
      </c>
      <c r="AB360" t="s">
        <v>181</v>
      </c>
    </row>
    <row r="361" spans="1:28" x14ac:dyDescent="0.25">
      <c r="A361" t="s">
        <v>4320</v>
      </c>
      <c r="B361" t="s">
        <v>4321</v>
      </c>
      <c r="C361" t="s">
        <v>646</v>
      </c>
      <c r="D361" t="s">
        <v>3779</v>
      </c>
      <c r="E361" t="s">
        <v>647</v>
      </c>
      <c r="F361" t="s">
        <v>3780</v>
      </c>
      <c r="G361" t="s">
        <v>769</v>
      </c>
      <c r="H361" t="s">
        <v>761</v>
      </c>
      <c r="I361" t="s">
        <v>1010</v>
      </c>
      <c r="J361" t="s">
        <v>1011</v>
      </c>
      <c r="K361" t="s">
        <v>166</v>
      </c>
      <c r="L361" t="s">
        <v>0</v>
      </c>
      <c r="M361" t="s">
        <v>178</v>
      </c>
      <c r="N361">
        <v>124</v>
      </c>
      <c r="O361">
        <v>100</v>
      </c>
      <c r="P361">
        <v>4244.17</v>
      </c>
      <c r="Q361">
        <v>4766.78</v>
      </c>
      <c r="R361">
        <v>702.63505227999997</v>
      </c>
      <c r="S361">
        <v>1065.9101655100001</v>
      </c>
      <c r="T361">
        <v>2.505228E-2</v>
      </c>
      <c r="U361">
        <v>0</v>
      </c>
      <c r="V361">
        <v>702.61</v>
      </c>
      <c r="W361" t="s">
        <v>0</v>
      </c>
      <c r="X361" t="s">
        <v>271</v>
      </c>
      <c r="Y361" t="s">
        <v>4322</v>
      </c>
      <c r="AA361" t="s">
        <v>4323</v>
      </c>
      <c r="AB361" t="s">
        <v>181</v>
      </c>
    </row>
    <row r="362" spans="1:28" x14ac:dyDescent="0.25">
      <c r="A362" t="s">
        <v>4206</v>
      </c>
      <c r="B362" t="s">
        <v>4207</v>
      </c>
      <c r="C362" t="s">
        <v>646</v>
      </c>
      <c r="D362" t="s">
        <v>3779</v>
      </c>
      <c r="E362" t="s">
        <v>647</v>
      </c>
      <c r="F362" t="s">
        <v>3780</v>
      </c>
      <c r="G362" t="s">
        <v>769</v>
      </c>
      <c r="H362" t="s">
        <v>770</v>
      </c>
      <c r="I362" t="s">
        <v>4208</v>
      </c>
      <c r="J362" t="s">
        <v>317</v>
      </c>
      <c r="K362" t="s">
        <v>166</v>
      </c>
      <c r="L362" t="s">
        <v>0</v>
      </c>
      <c r="M362" t="s">
        <v>178</v>
      </c>
      <c r="N362">
        <v>984</v>
      </c>
      <c r="O362">
        <v>205</v>
      </c>
      <c r="P362">
        <v>29450</v>
      </c>
      <c r="Q362">
        <v>25284.21</v>
      </c>
      <c r="R362">
        <v>5282.91</v>
      </c>
      <c r="S362">
        <v>1804.0639435600001</v>
      </c>
      <c r="T362">
        <v>0</v>
      </c>
      <c r="U362">
        <v>0</v>
      </c>
      <c r="V362">
        <v>5282.91</v>
      </c>
      <c r="W362" t="s">
        <v>340</v>
      </c>
      <c r="X362" t="s">
        <v>271</v>
      </c>
      <c r="Y362" t="s">
        <v>4209</v>
      </c>
      <c r="AA362" t="s">
        <v>4210</v>
      </c>
      <c r="AB362" t="s">
        <v>181</v>
      </c>
    </row>
    <row r="363" spans="1:28" x14ac:dyDescent="0.25">
      <c r="A363" t="s">
        <v>4143</v>
      </c>
      <c r="B363" t="s">
        <v>4144</v>
      </c>
      <c r="C363" t="s">
        <v>646</v>
      </c>
      <c r="D363" t="s">
        <v>3779</v>
      </c>
      <c r="E363" t="s">
        <v>647</v>
      </c>
      <c r="F363" t="s">
        <v>3780</v>
      </c>
      <c r="G363" t="s">
        <v>769</v>
      </c>
      <c r="H363" t="s">
        <v>909</v>
      </c>
      <c r="I363" t="s">
        <v>1828</v>
      </c>
      <c r="J363" t="s">
        <v>1829</v>
      </c>
      <c r="K363" t="s">
        <v>166</v>
      </c>
      <c r="L363" t="s">
        <v>0</v>
      </c>
      <c r="M363" t="s">
        <v>178</v>
      </c>
      <c r="N363">
        <v>27.333400000000001</v>
      </c>
      <c r="O363">
        <v>27.333400000000001</v>
      </c>
      <c r="P363">
        <v>829.25</v>
      </c>
      <c r="Q363">
        <v>682.52</v>
      </c>
      <c r="R363">
        <v>87.954769470000002</v>
      </c>
      <c r="S363">
        <v>155.6876196</v>
      </c>
      <c r="T363">
        <v>0.20476947000000001</v>
      </c>
      <c r="U363">
        <v>0</v>
      </c>
      <c r="V363">
        <v>87.75</v>
      </c>
      <c r="W363" t="s">
        <v>1361</v>
      </c>
      <c r="X363" t="s">
        <v>271</v>
      </c>
      <c r="Y363" t="s">
        <v>4145</v>
      </c>
      <c r="AA363" t="s">
        <v>4146</v>
      </c>
      <c r="AB363" t="s">
        <v>181</v>
      </c>
    </row>
    <row r="364" spans="1:28" x14ac:dyDescent="0.25">
      <c r="A364" t="s">
        <v>4216</v>
      </c>
      <c r="B364" t="s">
        <v>4217</v>
      </c>
      <c r="C364" t="s">
        <v>646</v>
      </c>
      <c r="D364" t="s">
        <v>3779</v>
      </c>
      <c r="E364" t="s">
        <v>647</v>
      </c>
      <c r="F364" t="s">
        <v>666</v>
      </c>
      <c r="G364" t="s">
        <v>666</v>
      </c>
      <c r="H364" t="s">
        <v>797</v>
      </c>
      <c r="I364" t="s">
        <v>1636</v>
      </c>
      <c r="J364" t="s">
        <v>1637</v>
      </c>
      <c r="K364" t="s">
        <v>166</v>
      </c>
      <c r="L364" t="s">
        <v>0</v>
      </c>
      <c r="M364" t="s">
        <v>178</v>
      </c>
      <c r="N364">
        <v>138</v>
      </c>
      <c r="O364">
        <v>73</v>
      </c>
      <c r="P364">
        <v>1388.13</v>
      </c>
      <c r="Q364">
        <v>3530.74</v>
      </c>
      <c r="R364">
        <v>257.13855124000003</v>
      </c>
      <c r="S364">
        <v>563.94538226999998</v>
      </c>
      <c r="T364">
        <v>-1.4487599999999999E-3</v>
      </c>
      <c r="U364">
        <v>0</v>
      </c>
      <c r="V364">
        <v>257.14</v>
      </c>
      <c r="W364" t="s">
        <v>1638</v>
      </c>
      <c r="X364" t="s">
        <v>271</v>
      </c>
      <c r="Y364" t="s">
        <v>1639</v>
      </c>
      <c r="AA364" t="s">
        <v>4218</v>
      </c>
      <c r="AB364" t="s">
        <v>181</v>
      </c>
    </row>
    <row r="365" spans="1:28" x14ac:dyDescent="0.25">
      <c r="A365" t="s">
        <v>3952</v>
      </c>
      <c r="B365" t="s">
        <v>3953</v>
      </c>
      <c r="C365" t="s">
        <v>646</v>
      </c>
      <c r="D365" t="s">
        <v>3779</v>
      </c>
      <c r="E365" t="s">
        <v>647</v>
      </c>
      <c r="F365" t="s">
        <v>666</v>
      </c>
      <c r="G365" t="s">
        <v>666</v>
      </c>
      <c r="H365" t="s">
        <v>717</v>
      </c>
      <c r="I365" t="s">
        <v>2032</v>
      </c>
      <c r="J365" t="s">
        <v>311</v>
      </c>
      <c r="K365" t="s">
        <v>166</v>
      </c>
      <c r="L365" t="s">
        <v>0</v>
      </c>
      <c r="M365" t="s">
        <v>178</v>
      </c>
      <c r="N365">
        <v>627</v>
      </c>
      <c r="O365">
        <v>477</v>
      </c>
      <c r="P365">
        <v>7512.57</v>
      </c>
      <c r="Q365">
        <v>31445.47</v>
      </c>
      <c r="R365">
        <v>2030.33</v>
      </c>
      <c r="S365">
        <v>1175.67543387</v>
      </c>
      <c r="T365">
        <v>45</v>
      </c>
      <c r="U365">
        <v>6.42</v>
      </c>
      <c r="V365">
        <v>2036.75</v>
      </c>
      <c r="W365" t="s">
        <v>312</v>
      </c>
      <c r="X365" t="s">
        <v>271</v>
      </c>
      <c r="Y365" t="s">
        <v>3954</v>
      </c>
      <c r="AA365" t="s">
        <v>3955</v>
      </c>
      <c r="AB365" t="s">
        <v>181</v>
      </c>
    </row>
    <row r="366" spans="1:28" x14ac:dyDescent="0.25">
      <c r="A366" t="s">
        <v>3913</v>
      </c>
      <c r="B366" t="s">
        <v>3914</v>
      </c>
      <c r="C366" t="s">
        <v>646</v>
      </c>
      <c r="D366" t="s">
        <v>3779</v>
      </c>
      <c r="E366" t="s">
        <v>647</v>
      </c>
      <c r="F366" t="s">
        <v>3780</v>
      </c>
      <c r="G366" t="s">
        <v>769</v>
      </c>
      <c r="H366" t="s">
        <v>717</v>
      </c>
      <c r="I366" t="s">
        <v>984</v>
      </c>
      <c r="J366" t="s">
        <v>985</v>
      </c>
      <c r="K366" t="s">
        <v>166</v>
      </c>
      <c r="L366" t="s">
        <v>0</v>
      </c>
      <c r="M366" t="s">
        <v>178</v>
      </c>
      <c r="N366">
        <v>45</v>
      </c>
      <c r="O366">
        <v>44</v>
      </c>
      <c r="P366">
        <v>591.6</v>
      </c>
      <c r="Q366">
        <v>2937.75</v>
      </c>
      <c r="R366">
        <v>467.1448082</v>
      </c>
      <c r="S366">
        <v>76.298589460000002</v>
      </c>
      <c r="T366">
        <v>1.0748082000000001</v>
      </c>
      <c r="U366">
        <v>0</v>
      </c>
      <c r="V366">
        <v>466.07</v>
      </c>
      <c r="W366" t="s">
        <v>986</v>
      </c>
      <c r="X366" t="s">
        <v>271</v>
      </c>
      <c r="Y366" t="s">
        <v>3915</v>
      </c>
      <c r="AA366" t="s">
        <v>3916</v>
      </c>
      <c r="AB366" t="s">
        <v>181</v>
      </c>
    </row>
    <row r="367" spans="1:28" x14ac:dyDescent="0.25">
      <c r="A367" t="s">
        <v>3793</v>
      </c>
      <c r="B367" t="s">
        <v>3794</v>
      </c>
      <c r="C367" t="s">
        <v>646</v>
      </c>
      <c r="D367" t="s">
        <v>3779</v>
      </c>
      <c r="E367" t="s">
        <v>647</v>
      </c>
      <c r="F367" t="s">
        <v>666</v>
      </c>
      <c r="G367" t="s">
        <v>666</v>
      </c>
      <c r="H367" t="s">
        <v>856</v>
      </c>
      <c r="I367" t="s">
        <v>1712</v>
      </c>
      <c r="J367" t="s">
        <v>335</v>
      </c>
      <c r="K367" t="s">
        <v>166</v>
      </c>
      <c r="L367" t="s">
        <v>0</v>
      </c>
      <c r="M367" t="s">
        <v>178</v>
      </c>
      <c r="N367">
        <v>9</v>
      </c>
      <c r="O367">
        <v>1</v>
      </c>
      <c r="P367">
        <v>40.58</v>
      </c>
      <c r="Q367">
        <v>817.65</v>
      </c>
      <c r="R367">
        <v>204.56</v>
      </c>
      <c r="S367">
        <v>22.447537730000001</v>
      </c>
      <c r="T367">
        <v>0</v>
      </c>
      <c r="U367">
        <v>0</v>
      </c>
      <c r="V367">
        <v>204.56</v>
      </c>
      <c r="W367" t="s">
        <v>572</v>
      </c>
      <c r="X367" t="s">
        <v>271</v>
      </c>
      <c r="Y367" t="s">
        <v>3795</v>
      </c>
      <c r="AA367" t="s">
        <v>3796</v>
      </c>
      <c r="AB367" t="s">
        <v>181</v>
      </c>
    </row>
    <row r="368" spans="1:28" x14ac:dyDescent="0.25">
      <c r="A368" t="s">
        <v>4060</v>
      </c>
      <c r="B368" t="s">
        <v>4061</v>
      </c>
      <c r="C368" t="s">
        <v>646</v>
      </c>
      <c r="D368" t="s">
        <v>3779</v>
      </c>
      <c r="E368" t="s">
        <v>647</v>
      </c>
      <c r="F368" t="s">
        <v>648</v>
      </c>
      <c r="G368" t="s">
        <v>648</v>
      </c>
      <c r="H368" t="s">
        <v>761</v>
      </c>
      <c r="I368" t="s">
        <v>1114</v>
      </c>
      <c r="J368" t="s">
        <v>1115</v>
      </c>
      <c r="K368" t="s">
        <v>166</v>
      </c>
      <c r="L368" t="s">
        <v>0</v>
      </c>
      <c r="M368" t="s">
        <v>178</v>
      </c>
      <c r="N368">
        <v>74</v>
      </c>
      <c r="O368">
        <v>35</v>
      </c>
      <c r="P368">
        <v>1793.1</v>
      </c>
      <c r="Q368">
        <v>3271.61</v>
      </c>
      <c r="R368">
        <v>149.88</v>
      </c>
      <c r="S368">
        <v>287.52907126999997</v>
      </c>
      <c r="T368">
        <v>0</v>
      </c>
      <c r="U368">
        <v>0</v>
      </c>
      <c r="V368">
        <v>149.88</v>
      </c>
      <c r="W368" t="s">
        <v>0</v>
      </c>
      <c r="X368" t="s">
        <v>271</v>
      </c>
      <c r="Y368" t="s">
        <v>4062</v>
      </c>
      <c r="AA368" t="s">
        <v>4063</v>
      </c>
      <c r="AB368" t="s">
        <v>181</v>
      </c>
    </row>
    <row r="369" spans="1:28" x14ac:dyDescent="0.25">
      <c r="A369" t="s">
        <v>3925</v>
      </c>
      <c r="B369" t="s">
        <v>3926</v>
      </c>
      <c r="C369" t="s">
        <v>646</v>
      </c>
      <c r="D369" t="s">
        <v>3779</v>
      </c>
      <c r="E369" t="s">
        <v>647</v>
      </c>
      <c r="F369" t="s">
        <v>3780</v>
      </c>
      <c r="G369" t="s">
        <v>769</v>
      </c>
      <c r="H369" t="s">
        <v>679</v>
      </c>
      <c r="I369" t="s">
        <v>2284</v>
      </c>
      <c r="J369" t="s">
        <v>2285</v>
      </c>
      <c r="K369" t="s">
        <v>166</v>
      </c>
      <c r="L369" t="s">
        <v>0</v>
      </c>
      <c r="M369" t="s">
        <v>178</v>
      </c>
      <c r="N369">
        <v>3</v>
      </c>
      <c r="O369">
        <v>3</v>
      </c>
      <c r="P369">
        <v>17.78</v>
      </c>
      <c r="Q369">
        <v>111.09</v>
      </c>
      <c r="R369">
        <v>21.23</v>
      </c>
      <c r="S369">
        <v>96.87</v>
      </c>
      <c r="T369">
        <v>0</v>
      </c>
      <c r="U369">
        <v>0</v>
      </c>
      <c r="V369">
        <v>21.23</v>
      </c>
      <c r="W369" t="s">
        <v>453</v>
      </c>
      <c r="X369" t="s">
        <v>271</v>
      </c>
      <c r="Y369" t="s">
        <v>3927</v>
      </c>
      <c r="AA369" t="s">
        <v>3928</v>
      </c>
      <c r="AB369" t="s">
        <v>181</v>
      </c>
    </row>
    <row r="370" spans="1:28" x14ac:dyDescent="0.25">
      <c r="A370" t="s">
        <v>3905</v>
      </c>
      <c r="B370" t="s">
        <v>3906</v>
      </c>
      <c r="C370" t="s">
        <v>646</v>
      </c>
      <c r="D370" t="s">
        <v>3779</v>
      </c>
      <c r="E370" t="s">
        <v>647</v>
      </c>
      <c r="F370" t="s">
        <v>3780</v>
      </c>
      <c r="G370" t="s">
        <v>769</v>
      </c>
      <c r="H370" t="s">
        <v>1045</v>
      </c>
      <c r="I370" t="s">
        <v>3753</v>
      </c>
      <c r="J370" t="s">
        <v>489</v>
      </c>
      <c r="K370" t="s">
        <v>166</v>
      </c>
      <c r="L370" t="s">
        <v>0</v>
      </c>
      <c r="M370" t="s">
        <v>178</v>
      </c>
      <c r="N370">
        <v>4</v>
      </c>
      <c r="O370">
        <v>4</v>
      </c>
      <c r="P370">
        <v>44</v>
      </c>
      <c r="Q370">
        <v>317.27999999999997</v>
      </c>
      <c r="R370">
        <v>91.88</v>
      </c>
      <c r="S370">
        <v>44.789026960000001</v>
      </c>
      <c r="T370">
        <v>0</v>
      </c>
      <c r="U370">
        <v>0</v>
      </c>
      <c r="V370">
        <v>91.88</v>
      </c>
      <c r="W370" t="s">
        <v>488</v>
      </c>
      <c r="X370" t="s">
        <v>271</v>
      </c>
      <c r="Y370" t="s">
        <v>3907</v>
      </c>
      <c r="AA370" t="s">
        <v>3908</v>
      </c>
      <c r="AB370" t="s">
        <v>181</v>
      </c>
    </row>
    <row r="371" spans="1:28" x14ac:dyDescent="0.25">
      <c r="A371" t="s">
        <v>4109</v>
      </c>
      <c r="B371" t="s">
        <v>4110</v>
      </c>
      <c r="C371" t="s">
        <v>646</v>
      </c>
      <c r="D371" t="s">
        <v>3779</v>
      </c>
      <c r="E371" t="s">
        <v>647</v>
      </c>
      <c r="F371" t="s">
        <v>3780</v>
      </c>
      <c r="G371" t="s">
        <v>769</v>
      </c>
      <c r="H371" t="s">
        <v>717</v>
      </c>
      <c r="I371" t="s">
        <v>1046</v>
      </c>
      <c r="J371" t="s">
        <v>971</v>
      </c>
      <c r="K371" t="s">
        <v>166</v>
      </c>
      <c r="L371" t="s">
        <v>0</v>
      </c>
      <c r="M371" t="s">
        <v>178</v>
      </c>
      <c r="N371">
        <v>29</v>
      </c>
      <c r="O371">
        <v>14</v>
      </c>
      <c r="P371">
        <v>447</v>
      </c>
      <c r="Q371">
        <v>1407.47</v>
      </c>
      <c r="R371">
        <v>188.45</v>
      </c>
      <c r="S371">
        <v>63.937459969999999</v>
      </c>
      <c r="T371">
        <v>0</v>
      </c>
      <c r="U371">
        <v>0</v>
      </c>
      <c r="V371">
        <v>188.45</v>
      </c>
      <c r="W371" t="s">
        <v>972</v>
      </c>
      <c r="X371" t="s">
        <v>269</v>
      </c>
      <c r="Y371" t="s">
        <v>4111</v>
      </c>
      <c r="AA371" t="s">
        <v>4112</v>
      </c>
      <c r="AB371" t="s">
        <v>181</v>
      </c>
    </row>
    <row r="372" spans="1:28" x14ac:dyDescent="0.25">
      <c r="A372" t="s">
        <v>3842</v>
      </c>
      <c r="B372" t="s">
        <v>3843</v>
      </c>
      <c r="C372" t="s">
        <v>646</v>
      </c>
      <c r="D372" t="s">
        <v>3779</v>
      </c>
      <c r="E372" t="s">
        <v>647</v>
      </c>
      <c r="F372" t="s">
        <v>3780</v>
      </c>
      <c r="G372" t="s">
        <v>769</v>
      </c>
      <c r="H372" t="s">
        <v>1515</v>
      </c>
      <c r="I372" t="s">
        <v>3844</v>
      </c>
      <c r="J372" t="s">
        <v>3845</v>
      </c>
      <c r="K372" t="s">
        <v>166</v>
      </c>
      <c r="L372" t="s">
        <v>0</v>
      </c>
      <c r="M372" t="s">
        <v>178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 t="s">
        <v>3846</v>
      </c>
      <c r="X372" t="s">
        <v>271</v>
      </c>
      <c r="Y372" t="s">
        <v>3847</v>
      </c>
      <c r="AA372" t="s">
        <v>3848</v>
      </c>
      <c r="AB372" t="s">
        <v>181</v>
      </c>
    </row>
    <row r="373" spans="1:28" x14ac:dyDescent="0.25">
      <c r="A373" t="s">
        <v>3965</v>
      </c>
      <c r="B373" t="s">
        <v>3966</v>
      </c>
      <c r="C373" t="s">
        <v>646</v>
      </c>
      <c r="D373" t="s">
        <v>3779</v>
      </c>
      <c r="E373" t="s">
        <v>647</v>
      </c>
      <c r="F373" t="s">
        <v>3780</v>
      </c>
      <c r="G373" t="s">
        <v>769</v>
      </c>
      <c r="H373" t="s">
        <v>1515</v>
      </c>
      <c r="I373" t="s">
        <v>2339</v>
      </c>
      <c r="J373" t="s">
        <v>2165</v>
      </c>
      <c r="K373" t="s">
        <v>166</v>
      </c>
      <c r="L373" t="s">
        <v>0</v>
      </c>
      <c r="M373" t="s">
        <v>178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 t="s">
        <v>2166</v>
      </c>
      <c r="X373" t="s">
        <v>271</v>
      </c>
      <c r="Y373" t="s">
        <v>3967</v>
      </c>
      <c r="AA373" t="s">
        <v>3968</v>
      </c>
      <c r="AB373" t="s">
        <v>181</v>
      </c>
    </row>
    <row r="374" spans="1:28" x14ac:dyDescent="0.25">
      <c r="A374" t="s">
        <v>3823</v>
      </c>
      <c r="B374" t="s">
        <v>3824</v>
      </c>
      <c r="C374" t="s">
        <v>646</v>
      </c>
      <c r="D374" t="s">
        <v>3779</v>
      </c>
      <c r="E374" t="s">
        <v>647</v>
      </c>
      <c r="F374" t="s">
        <v>3780</v>
      </c>
      <c r="G374" t="s">
        <v>769</v>
      </c>
      <c r="H374" t="s">
        <v>1515</v>
      </c>
      <c r="I374" t="s">
        <v>1801</v>
      </c>
      <c r="J374" t="s">
        <v>437</v>
      </c>
      <c r="K374" t="s">
        <v>166</v>
      </c>
      <c r="L374" t="s">
        <v>0</v>
      </c>
      <c r="M374" t="s">
        <v>178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510</v>
      </c>
      <c r="X374" t="s">
        <v>271</v>
      </c>
      <c r="Y374" t="s">
        <v>3825</v>
      </c>
      <c r="AA374" t="s">
        <v>3826</v>
      </c>
      <c r="AB374" t="s">
        <v>181</v>
      </c>
    </row>
    <row r="375" spans="1:28" x14ac:dyDescent="0.25">
      <c r="A375" t="s">
        <v>3900</v>
      </c>
      <c r="B375" t="s">
        <v>3901</v>
      </c>
      <c r="C375" t="s">
        <v>646</v>
      </c>
      <c r="D375" t="s">
        <v>3779</v>
      </c>
      <c r="E375" t="s">
        <v>647</v>
      </c>
      <c r="F375" t="s">
        <v>3780</v>
      </c>
      <c r="G375" t="s">
        <v>769</v>
      </c>
      <c r="H375" t="s">
        <v>1515</v>
      </c>
      <c r="I375" t="s">
        <v>3902</v>
      </c>
      <c r="J375" t="s">
        <v>1225</v>
      </c>
      <c r="K375" t="s">
        <v>166</v>
      </c>
      <c r="L375" t="s">
        <v>0</v>
      </c>
      <c r="M375" t="s">
        <v>178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 t="s">
        <v>0</v>
      </c>
      <c r="X375" t="s">
        <v>271</v>
      </c>
      <c r="Y375" t="s">
        <v>3903</v>
      </c>
      <c r="AA375" t="s">
        <v>3904</v>
      </c>
      <c r="AB375" t="s">
        <v>181</v>
      </c>
    </row>
    <row r="376" spans="1:28" x14ac:dyDescent="0.25">
      <c r="A376" t="s">
        <v>4031</v>
      </c>
      <c r="B376" t="s">
        <v>4032</v>
      </c>
      <c r="C376" t="s">
        <v>646</v>
      </c>
      <c r="D376" t="s">
        <v>3779</v>
      </c>
      <c r="E376" t="s">
        <v>647</v>
      </c>
      <c r="F376" t="s">
        <v>3780</v>
      </c>
      <c r="G376" t="s">
        <v>769</v>
      </c>
      <c r="H376" t="s">
        <v>1515</v>
      </c>
      <c r="I376" t="s">
        <v>1513</v>
      </c>
      <c r="J376" t="s">
        <v>333</v>
      </c>
      <c r="K376" t="s">
        <v>166</v>
      </c>
      <c r="L376" t="s">
        <v>0</v>
      </c>
      <c r="M376" t="s">
        <v>178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 t="s">
        <v>718</v>
      </c>
      <c r="X376" t="s">
        <v>271</v>
      </c>
      <c r="Y376" t="s">
        <v>4033</v>
      </c>
      <c r="AA376" t="s">
        <v>4034</v>
      </c>
      <c r="AB376" t="s">
        <v>181</v>
      </c>
    </row>
    <row r="377" spans="1:28" x14ac:dyDescent="0.25">
      <c r="A377" t="s">
        <v>4162</v>
      </c>
      <c r="B377" t="s">
        <v>4163</v>
      </c>
      <c r="C377" t="s">
        <v>646</v>
      </c>
      <c r="D377" t="s">
        <v>3779</v>
      </c>
      <c r="E377" t="s">
        <v>647</v>
      </c>
      <c r="F377" t="s">
        <v>3780</v>
      </c>
      <c r="G377" t="s">
        <v>769</v>
      </c>
      <c r="H377" t="s">
        <v>1515</v>
      </c>
      <c r="I377" t="s">
        <v>4164</v>
      </c>
      <c r="J377" t="s">
        <v>985</v>
      </c>
      <c r="K377" t="s">
        <v>166</v>
      </c>
      <c r="L377" t="s">
        <v>0</v>
      </c>
      <c r="M377" t="s">
        <v>178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986</v>
      </c>
      <c r="X377" t="s">
        <v>271</v>
      </c>
      <c r="Y377" t="s">
        <v>4165</v>
      </c>
      <c r="AA377" t="s">
        <v>4166</v>
      </c>
      <c r="AB377" t="s">
        <v>181</v>
      </c>
    </row>
    <row r="378" spans="1:28" x14ac:dyDescent="0.25">
      <c r="A378" t="s">
        <v>4284</v>
      </c>
      <c r="B378" t="s">
        <v>4285</v>
      </c>
      <c r="C378" t="s">
        <v>646</v>
      </c>
      <c r="D378" t="s">
        <v>3779</v>
      </c>
      <c r="E378" t="s">
        <v>647</v>
      </c>
      <c r="F378" t="s">
        <v>3780</v>
      </c>
      <c r="G378" t="s">
        <v>769</v>
      </c>
      <c r="H378" t="s">
        <v>1515</v>
      </c>
      <c r="I378" t="s">
        <v>778</v>
      </c>
      <c r="J378" t="s">
        <v>428</v>
      </c>
      <c r="K378" t="s">
        <v>166</v>
      </c>
      <c r="L378" t="s">
        <v>0</v>
      </c>
      <c r="M378" t="s">
        <v>178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 t="s">
        <v>1977</v>
      </c>
      <c r="X378" t="s">
        <v>271</v>
      </c>
      <c r="Y378" t="s">
        <v>4286</v>
      </c>
      <c r="AA378" t="s">
        <v>4287</v>
      </c>
      <c r="AB378" t="s">
        <v>181</v>
      </c>
    </row>
    <row r="379" spans="1:28" x14ac:dyDescent="0.25">
      <c r="A379" t="s">
        <v>4324</v>
      </c>
      <c r="B379" t="s">
        <v>224</v>
      </c>
      <c r="C379" t="s">
        <v>646</v>
      </c>
      <c r="D379" t="s">
        <v>3779</v>
      </c>
      <c r="E379" t="s">
        <v>647</v>
      </c>
      <c r="F379" t="s">
        <v>3780</v>
      </c>
      <c r="G379" t="s">
        <v>769</v>
      </c>
      <c r="H379" t="s">
        <v>1515</v>
      </c>
      <c r="I379" t="s">
        <v>4164</v>
      </c>
      <c r="J379" t="s">
        <v>985</v>
      </c>
      <c r="K379" t="s">
        <v>166</v>
      </c>
      <c r="L379" t="s">
        <v>0</v>
      </c>
      <c r="M379" t="s">
        <v>178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 t="s">
        <v>986</v>
      </c>
      <c r="X379" t="s">
        <v>271</v>
      </c>
      <c r="Y379" t="s">
        <v>4165</v>
      </c>
      <c r="AA379" t="s">
        <v>4325</v>
      </c>
      <c r="AB379" t="s">
        <v>181</v>
      </c>
    </row>
    <row r="380" spans="1:28" x14ac:dyDescent="0.25">
      <c r="A380" t="s">
        <v>3857</v>
      </c>
      <c r="B380" t="s">
        <v>3858</v>
      </c>
      <c r="C380" t="s">
        <v>646</v>
      </c>
      <c r="D380" t="s">
        <v>3779</v>
      </c>
      <c r="E380" t="s">
        <v>647</v>
      </c>
      <c r="F380" t="s">
        <v>3780</v>
      </c>
      <c r="G380" t="s">
        <v>769</v>
      </c>
      <c r="H380" t="s">
        <v>1515</v>
      </c>
      <c r="I380" t="s">
        <v>952</v>
      </c>
      <c r="J380" t="s">
        <v>434</v>
      </c>
      <c r="K380" t="s">
        <v>166</v>
      </c>
      <c r="L380" t="s">
        <v>0</v>
      </c>
      <c r="M380" t="s">
        <v>178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 t="s">
        <v>466</v>
      </c>
      <c r="X380" t="s">
        <v>271</v>
      </c>
      <c r="Y380" t="s">
        <v>3859</v>
      </c>
      <c r="AA380" t="s">
        <v>3860</v>
      </c>
      <c r="AB380" t="s">
        <v>181</v>
      </c>
    </row>
    <row r="381" spans="1:28" x14ac:dyDescent="0.25">
      <c r="A381" t="s">
        <v>4252</v>
      </c>
      <c r="B381" t="s">
        <v>4253</v>
      </c>
      <c r="C381" t="s">
        <v>646</v>
      </c>
      <c r="D381" t="s">
        <v>3779</v>
      </c>
      <c r="E381" t="s">
        <v>647</v>
      </c>
      <c r="F381" t="s">
        <v>3780</v>
      </c>
      <c r="G381" t="s">
        <v>769</v>
      </c>
      <c r="H381" t="s">
        <v>761</v>
      </c>
      <c r="I381" t="s">
        <v>1046</v>
      </c>
      <c r="J381" t="s">
        <v>971</v>
      </c>
      <c r="K381" t="s">
        <v>166</v>
      </c>
      <c r="L381" t="s">
        <v>0</v>
      </c>
      <c r="M381" t="s">
        <v>178</v>
      </c>
      <c r="N381">
        <v>12</v>
      </c>
      <c r="O381">
        <v>12</v>
      </c>
      <c r="P381">
        <v>471</v>
      </c>
      <c r="Q381">
        <v>302.08</v>
      </c>
      <c r="R381">
        <v>39.130000000000003</v>
      </c>
      <c r="S381">
        <v>64.047787240000005</v>
      </c>
      <c r="T381">
        <v>0</v>
      </c>
      <c r="U381">
        <v>0</v>
      </c>
      <c r="V381">
        <v>39.130000000000003</v>
      </c>
      <c r="W381" t="s">
        <v>972</v>
      </c>
      <c r="X381" t="s">
        <v>269</v>
      </c>
      <c r="Y381" t="s">
        <v>4254</v>
      </c>
      <c r="AA381" t="s">
        <v>4255</v>
      </c>
      <c r="AB381" t="s">
        <v>181</v>
      </c>
    </row>
    <row r="382" spans="1:28" x14ac:dyDescent="0.25">
      <c r="A382" t="s">
        <v>4248</v>
      </c>
      <c r="B382" t="s">
        <v>4249</v>
      </c>
      <c r="C382" t="s">
        <v>646</v>
      </c>
      <c r="D382" t="s">
        <v>3779</v>
      </c>
      <c r="E382" t="s">
        <v>647</v>
      </c>
      <c r="F382" t="s">
        <v>3780</v>
      </c>
      <c r="G382" t="s">
        <v>769</v>
      </c>
      <c r="H382" t="s">
        <v>683</v>
      </c>
      <c r="I382" t="s">
        <v>1913</v>
      </c>
      <c r="J382" t="s">
        <v>1914</v>
      </c>
      <c r="K382" t="s">
        <v>166</v>
      </c>
      <c r="L382" t="s">
        <v>0</v>
      </c>
      <c r="M382" t="s">
        <v>178</v>
      </c>
      <c r="N382">
        <v>182.75</v>
      </c>
      <c r="O382">
        <v>70</v>
      </c>
      <c r="P382">
        <v>1735.98</v>
      </c>
      <c r="Q382">
        <v>10467.61</v>
      </c>
      <c r="R382">
        <v>1539.95</v>
      </c>
      <c r="S382">
        <v>1592.9037921900001</v>
      </c>
      <c r="T382">
        <v>0</v>
      </c>
      <c r="U382">
        <v>0</v>
      </c>
      <c r="V382">
        <v>1539.95</v>
      </c>
      <c r="W382" t="s">
        <v>1915</v>
      </c>
      <c r="X382" t="s">
        <v>269</v>
      </c>
      <c r="Y382" t="s">
        <v>4250</v>
      </c>
      <c r="AA382" t="s">
        <v>4251</v>
      </c>
      <c r="AB382" t="s">
        <v>181</v>
      </c>
    </row>
    <row r="383" spans="1:28" x14ac:dyDescent="0.25">
      <c r="A383" t="s">
        <v>4326</v>
      </c>
      <c r="B383" t="s">
        <v>4327</v>
      </c>
      <c r="C383" t="s">
        <v>646</v>
      </c>
      <c r="D383" t="s">
        <v>3779</v>
      </c>
      <c r="E383" t="s">
        <v>647</v>
      </c>
      <c r="F383" t="s">
        <v>3780</v>
      </c>
      <c r="G383" t="s">
        <v>769</v>
      </c>
      <c r="H383" t="s">
        <v>770</v>
      </c>
      <c r="I383" t="s">
        <v>936</v>
      </c>
      <c r="J383" t="s">
        <v>582</v>
      </c>
      <c r="K383" t="s">
        <v>166</v>
      </c>
      <c r="L383" t="s">
        <v>0</v>
      </c>
      <c r="M383" t="s">
        <v>178</v>
      </c>
      <c r="N383">
        <v>1783</v>
      </c>
      <c r="O383">
        <v>456</v>
      </c>
      <c r="P383">
        <v>62938.8</v>
      </c>
      <c r="Q383">
        <v>42783.47</v>
      </c>
      <c r="R383">
        <v>2444.5500000000002</v>
      </c>
      <c r="S383">
        <v>3908.2632122999999</v>
      </c>
      <c r="T383">
        <v>0</v>
      </c>
      <c r="U383">
        <v>0</v>
      </c>
      <c r="V383">
        <v>2444.5500000000002</v>
      </c>
      <c r="W383" t="s">
        <v>361</v>
      </c>
      <c r="X383" t="s">
        <v>271</v>
      </c>
      <c r="Y383" t="s">
        <v>4328</v>
      </c>
      <c r="AA383" t="s">
        <v>4329</v>
      </c>
      <c r="AB383" t="s">
        <v>181</v>
      </c>
    </row>
    <row r="384" spans="1:28" x14ac:dyDescent="0.25">
      <c r="A384" t="s">
        <v>3925</v>
      </c>
      <c r="B384" t="s">
        <v>3926</v>
      </c>
      <c r="C384" t="s">
        <v>646</v>
      </c>
      <c r="D384" t="s">
        <v>3779</v>
      </c>
      <c r="E384" t="s">
        <v>647</v>
      </c>
      <c r="F384" t="s">
        <v>3780</v>
      </c>
      <c r="G384" t="s">
        <v>769</v>
      </c>
      <c r="H384" t="s">
        <v>703</v>
      </c>
      <c r="I384" t="s">
        <v>2284</v>
      </c>
      <c r="J384" t="s">
        <v>2285</v>
      </c>
      <c r="K384" t="s">
        <v>166</v>
      </c>
      <c r="L384" t="s">
        <v>0</v>
      </c>
      <c r="M384" t="s">
        <v>178</v>
      </c>
      <c r="N384">
        <v>903.41690000000006</v>
      </c>
      <c r="O384">
        <v>337.33359999999999</v>
      </c>
      <c r="P384">
        <v>14663.01</v>
      </c>
      <c r="Q384">
        <v>40931.43</v>
      </c>
      <c r="R384">
        <v>10054.805936840001</v>
      </c>
      <c r="S384">
        <v>6438.6394380800002</v>
      </c>
      <c r="T384">
        <v>4.27593684</v>
      </c>
      <c r="U384">
        <v>0</v>
      </c>
      <c r="V384">
        <v>10050.530000000001</v>
      </c>
      <c r="W384" t="s">
        <v>453</v>
      </c>
      <c r="X384" t="s">
        <v>271</v>
      </c>
      <c r="Y384" t="s">
        <v>3927</v>
      </c>
      <c r="AA384" t="s">
        <v>3928</v>
      </c>
      <c r="AB384" t="s">
        <v>181</v>
      </c>
    </row>
    <row r="385" spans="1:28" x14ac:dyDescent="0.25">
      <c r="A385" t="s">
        <v>3905</v>
      </c>
      <c r="B385" t="s">
        <v>3906</v>
      </c>
      <c r="C385" t="s">
        <v>646</v>
      </c>
      <c r="D385" t="s">
        <v>3779</v>
      </c>
      <c r="E385" t="s">
        <v>647</v>
      </c>
      <c r="F385" t="s">
        <v>3780</v>
      </c>
      <c r="G385" t="s">
        <v>769</v>
      </c>
      <c r="H385" t="s">
        <v>703</v>
      </c>
      <c r="I385" t="s">
        <v>3753</v>
      </c>
      <c r="J385" t="s">
        <v>489</v>
      </c>
      <c r="K385" t="s">
        <v>166</v>
      </c>
      <c r="L385" t="s">
        <v>0</v>
      </c>
      <c r="M385" t="s">
        <v>178</v>
      </c>
      <c r="N385">
        <v>627.66660000000002</v>
      </c>
      <c r="O385">
        <v>218.33330000000001</v>
      </c>
      <c r="P385">
        <v>10726.28</v>
      </c>
      <c r="Q385">
        <v>30031.89</v>
      </c>
      <c r="R385">
        <v>6508.8938001799997</v>
      </c>
      <c r="S385">
        <v>3189.3537250499999</v>
      </c>
      <c r="T385">
        <v>0.81380017999999998</v>
      </c>
      <c r="U385">
        <v>0</v>
      </c>
      <c r="V385">
        <v>6508.08</v>
      </c>
      <c r="W385" t="s">
        <v>488</v>
      </c>
      <c r="X385" t="s">
        <v>271</v>
      </c>
      <c r="Y385" t="s">
        <v>3907</v>
      </c>
      <c r="AA385" t="s">
        <v>3908</v>
      </c>
      <c r="AB385" t="s">
        <v>181</v>
      </c>
    </row>
    <row r="386" spans="1:28" x14ac:dyDescent="0.25">
      <c r="A386" t="s">
        <v>4039</v>
      </c>
      <c r="B386" t="s">
        <v>4040</v>
      </c>
      <c r="C386" t="s">
        <v>646</v>
      </c>
      <c r="D386" t="s">
        <v>3779</v>
      </c>
      <c r="E386" t="s">
        <v>647</v>
      </c>
      <c r="F386" t="s">
        <v>3780</v>
      </c>
      <c r="G386" t="s">
        <v>769</v>
      </c>
      <c r="H386" t="s">
        <v>757</v>
      </c>
      <c r="I386" t="s">
        <v>1595</v>
      </c>
      <c r="J386" t="s">
        <v>544</v>
      </c>
      <c r="K386" t="s">
        <v>166</v>
      </c>
      <c r="L386" t="s">
        <v>0</v>
      </c>
      <c r="M386" t="s">
        <v>178</v>
      </c>
      <c r="N386">
        <v>96</v>
      </c>
      <c r="O386">
        <v>60</v>
      </c>
      <c r="P386">
        <v>1954.2</v>
      </c>
      <c r="Q386">
        <v>2828.15</v>
      </c>
      <c r="R386">
        <v>367.78</v>
      </c>
      <c r="S386">
        <v>362.48053227999998</v>
      </c>
      <c r="T386">
        <v>0</v>
      </c>
      <c r="U386">
        <v>0</v>
      </c>
      <c r="V386">
        <v>367.78</v>
      </c>
      <c r="W386" t="s">
        <v>239</v>
      </c>
      <c r="X386" t="s">
        <v>271</v>
      </c>
      <c r="Y386" t="s">
        <v>4041</v>
      </c>
      <c r="AA386" t="s">
        <v>4042</v>
      </c>
      <c r="AB386" t="s">
        <v>181</v>
      </c>
    </row>
    <row r="387" spans="1:28" x14ac:dyDescent="0.25">
      <c r="A387" t="s">
        <v>4047</v>
      </c>
      <c r="B387" t="s">
        <v>4048</v>
      </c>
      <c r="C387" t="s">
        <v>646</v>
      </c>
      <c r="D387" t="s">
        <v>3779</v>
      </c>
      <c r="E387" t="s">
        <v>647</v>
      </c>
      <c r="F387" t="s">
        <v>666</v>
      </c>
      <c r="G387" t="s">
        <v>666</v>
      </c>
      <c r="H387" t="s">
        <v>703</v>
      </c>
      <c r="I387" t="s">
        <v>2292</v>
      </c>
      <c r="J387" t="s">
        <v>1847</v>
      </c>
      <c r="K387" t="s">
        <v>166</v>
      </c>
      <c r="L387" t="s">
        <v>0</v>
      </c>
      <c r="M387" t="s">
        <v>178</v>
      </c>
      <c r="N387">
        <v>539.66690000000006</v>
      </c>
      <c r="O387">
        <v>368.1669</v>
      </c>
      <c r="P387">
        <v>12040.86</v>
      </c>
      <c r="Q387">
        <v>21515.48</v>
      </c>
      <c r="R387">
        <v>5801.2429216700002</v>
      </c>
      <c r="S387">
        <v>3989.2785330199999</v>
      </c>
      <c r="T387">
        <v>-0.32707832999999997</v>
      </c>
      <c r="U387">
        <v>0</v>
      </c>
      <c r="V387">
        <v>5801.57</v>
      </c>
      <c r="W387" t="s">
        <v>1848</v>
      </c>
      <c r="X387" t="s">
        <v>269</v>
      </c>
      <c r="Y387" t="s">
        <v>4049</v>
      </c>
      <c r="AA387" t="s">
        <v>4050</v>
      </c>
      <c r="AB387" t="s">
        <v>181</v>
      </c>
    </row>
    <row r="388" spans="1:28" x14ac:dyDescent="0.25">
      <c r="A388" t="s">
        <v>4211</v>
      </c>
      <c r="B388" t="s">
        <v>4212</v>
      </c>
      <c r="C388" t="s">
        <v>646</v>
      </c>
      <c r="D388" t="s">
        <v>3779</v>
      </c>
      <c r="E388" t="s">
        <v>647</v>
      </c>
      <c r="F388" t="s">
        <v>3780</v>
      </c>
      <c r="G388" t="s">
        <v>769</v>
      </c>
      <c r="H388" t="s">
        <v>770</v>
      </c>
      <c r="I388" t="s">
        <v>4213</v>
      </c>
      <c r="J388" t="s">
        <v>437</v>
      </c>
      <c r="K388" t="s">
        <v>166</v>
      </c>
      <c r="L388" t="s">
        <v>0</v>
      </c>
      <c r="M388" t="s">
        <v>178</v>
      </c>
      <c r="N388">
        <v>977</v>
      </c>
      <c r="O388">
        <v>586.5</v>
      </c>
      <c r="P388">
        <v>24828.7</v>
      </c>
      <c r="Q388">
        <v>23261.47</v>
      </c>
      <c r="R388">
        <v>3120.91</v>
      </c>
      <c r="S388">
        <v>2827.67587602</v>
      </c>
      <c r="T388">
        <v>0</v>
      </c>
      <c r="U388">
        <v>0</v>
      </c>
      <c r="V388">
        <v>3089.84</v>
      </c>
      <c r="W388" t="s">
        <v>510</v>
      </c>
      <c r="X388" t="s">
        <v>271</v>
      </c>
      <c r="Y388" t="s">
        <v>4214</v>
      </c>
      <c r="Z388" t="s">
        <v>4175</v>
      </c>
      <c r="AA388" t="s">
        <v>4215</v>
      </c>
      <c r="AB388" t="s">
        <v>181</v>
      </c>
    </row>
    <row r="389" spans="1:28" x14ac:dyDescent="0.25">
      <c r="A389" t="s">
        <v>4308</v>
      </c>
      <c r="B389" t="s">
        <v>4309</v>
      </c>
      <c r="C389" t="s">
        <v>646</v>
      </c>
      <c r="D389" t="s">
        <v>3779</v>
      </c>
      <c r="E389" t="s">
        <v>647</v>
      </c>
      <c r="F389" t="s">
        <v>3780</v>
      </c>
      <c r="G389" t="s">
        <v>769</v>
      </c>
      <c r="H389" t="s">
        <v>708</v>
      </c>
      <c r="I389" t="s">
        <v>1184</v>
      </c>
      <c r="J389" t="s">
        <v>1185</v>
      </c>
      <c r="K389" t="s">
        <v>166</v>
      </c>
      <c r="L389" t="s">
        <v>0</v>
      </c>
      <c r="M389" t="s">
        <v>178</v>
      </c>
      <c r="N389">
        <v>4</v>
      </c>
      <c r="O389">
        <v>0</v>
      </c>
      <c r="P389">
        <v>96</v>
      </c>
      <c r="Q389">
        <v>136.69</v>
      </c>
      <c r="R389">
        <v>50.69</v>
      </c>
      <c r="S389">
        <v>0.50331331000000001</v>
      </c>
      <c r="T389">
        <v>0</v>
      </c>
      <c r="U389">
        <v>0</v>
      </c>
      <c r="V389">
        <v>50.69</v>
      </c>
      <c r="W389" t="s">
        <v>1186</v>
      </c>
      <c r="X389" t="s">
        <v>271</v>
      </c>
      <c r="Y389" t="s">
        <v>4310</v>
      </c>
      <c r="AA389" t="s">
        <v>4311</v>
      </c>
      <c r="AB389" t="s">
        <v>181</v>
      </c>
    </row>
    <row r="390" spans="1:28" x14ac:dyDescent="0.25">
      <c r="A390" t="s">
        <v>3944</v>
      </c>
      <c r="B390" t="s">
        <v>3945</v>
      </c>
      <c r="C390" t="s">
        <v>646</v>
      </c>
      <c r="D390" t="s">
        <v>3779</v>
      </c>
      <c r="E390" t="s">
        <v>647</v>
      </c>
      <c r="F390" t="s">
        <v>3780</v>
      </c>
      <c r="G390" t="s">
        <v>769</v>
      </c>
      <c r="H390" t="s">
        <v>713</v>
      </c>
      <c r="I390" t="s">
        <v>798</v>
      </c>
      <c r="J390" t="s">
        <v>524</v>
      </c>
      <c r="K390" t="s">
        <v>166</v>
      </c>
      <c r="L390" t="s">
        <v>0</v>
      </c>
      <c r="M390" t="s">
        <v>178</v>
      </c>
      <c r="N390">
        <v>525</v>
      </c>
      <c r="O390">
        <v>107</v>
      </c>
      <c r="P390">
        <v>13926.46</v>
      </c>
      <c r="Q390">
        <v>15200.45</v>
      </c>
      <c r="R390">
        <v>2832.2831590199999</v>
      </c>
      <c r="S390">
        <v>1315.11840964</v>
      </c>
      <c r="T390">
        <v>26.203159020000001</v>
      </c>
      <c r="U390">
        <v>0</v>
      </c>
      <c r="V390">
        <v>2806.08</v>
      </c>
      <c r="W390" t="s">
        <v>258</v>
      </c>
      <c r="X390" t="s">
        <v>271</v>
      </c>
      <c r="Y390" t="s">
        <v>3946</v>
      </c>
      <c r="AA390" t="s">
        <v>3947</v>
      </c>
      <c r="AB390" t="s">
        <v>181</v>
      </c>
    </row>
    <row r="391" spans="1:28" x14ac:dyDescent="0.25">
      <c r="A391" t="s">
        <v>4043</v>
      </c>
      <c r="B391" t="s">
        <v>4044</v>
      </c>
      <c r="C391" t="s">
        <v>646</v>
      </c>
      <c r="D391" t="s">
        <v>3779</v>
      </c>
      <c r="E391" t="s">
        <v>647</v>
      </c>
      <c r="F391" t="s">
        <v>666</v>
      </c>
      <c r="G391" t="s">
        <v>666</v>
      </c>
      <c r="H391" t="s">
        <v>713</v>
      </c>
      <c r="I391" t="s">
        <v>1431</v>
      </c>
      <c r="J391" t="s">
        <v>1432</v>
      </c>
      <c r="K391" t="s">
        <v>166</v>
      </c>
      <c r="L391" t="s">
        <v>0</v>
      </c>
      <c r="M391" t="s">
        <v>178</v>
      </c>
      <c r="N391">
        <v>50.666699999999999</v>
      </c>
      <c r="O391">
        <v>41.666699999999999</v>
      </c>
      <c r="P391">
        <v>887.86</v>
      </c>
      <c r="Q391">
        <v>1543.44</v>
      </c>
      <c r="R391">
        <v>306.06</v>
      </c>
      <c r="S391">
        <v>254.90199622</v>
      </c>
      <c r="T391">
        <v>0</v>
      </c>
      <c r="U391">
        <v>0</v>
      </c>
      <c r="V391">
        <v>306.06</v>
      </c>
      <c r="W391" t="s">
        <v>1433</v>
      </c>
      <c r="X391" t="s">
        <v>271</v>
      </c>
      <c r="Y391" t="s">
        <v>4045</v>
      </c>
      <c r="AA391" t="s">
        <v>4046</v>
      </c>
      <c r="AB391" t="s">
        <v>181</v>
      </c>
    </row>
    <row r="392" spans="1:28" x14ac:dyDescent="0.25">
      <c r="A392" t="s">
        <v>4098</v>
      </c>
      <c r="B392" t="s">
        <v>4099</v>
      </c>
      <c r="C392" t="s">
        <v>646</v>
      </c>
      <c r="D392" t="s">
        <v>3779</v>
      </c>
      <c r="E392" t="s">
        <v>647</v>
      </c>
      <c r="F392" t="s">
        <v>666</v>
      </c>
      <c r="G392" t="s">
        <v>666</v>
      </c>
      <c r="H392" t="s">
        <v>713</v>
      </c>
      <c r="I392" t="s">
        <v>765</v>
      </c>
      <c r="J392" t="s">
        <v>436</v>
      </c>
      <c r="K392" t="s">
        <v>166</v>
      </c>
      <c r="L392" t="s">
        <v>0</v>
      </c>
      <c r="M392" t="s">
        <v>178</v>
      </c>
      <c r="N392">
        <v>335.08330000000001</v>
      </c>
      <c r="O392">
        <v>182.08330000000001</v>
      </c>
      <c r="P392">
        <v>6060.31</v>
      </c>
      <c r="Q392">
        <v>10040.879999999999</v>
      </c>
      <c r="R392">
        <v>1019.24346207</v>
      </c>
      <c r="S392">
        <v>1634.86332214</v>
      </c>
      <c r="T392">
        <v>4.6334620700000002</v>
      </c>
      <c r="U392">
        <v>0</v>
      </c>
      <c r="V392">
        <v>1018.61</v>
      </c>
      <c r="W392" t="s">
        <v>0</v>
      </c>
      <c r="X392" t="s">
        <v>271</v>
      </c>
      <c r="Y392" t="s">
        <v>4100</v>
      </c>
      <c r="AA392" t="s">
        <v>4101</v>
      </c>
      <c r="AB392" t="s">
        <v>181</v>
      </c>
    </row>
    <row r="393" spans="1:28" x14ac:dyDescent="0.25">
      <c r="A393" t="s">
        <v>4219</v>
      </c>
      <c r="B393" t="s">
        <v>4220</v>
      </c>
      <c r="C393" t="s">
        <v>646</v>
      </c>
      <c r="D393" t="s">
        <v>3779</v>
      </c>
      <c r="E393" t="s">
        <v>647</v>
      </c>
      <c r="F393" t="s">
        <v>3780</v>
      </c>
      <c r="G393" t="s">
        <v>769</v>
      </c>
      <c r="H393" t="s">
        <v>757</v>
      </c>
      <c r="I393" t="s">
        <v>1208</v>
      </c>
      <c r="J393" t="s">
        <v>1209</v>
      </c>
      <c r="K393" t="s">
        <v>166</v>
      </c>
      <c r="L393" t="s">
        <v>0</v>
      </c>
      <c r="M393" t="s">
        <v>178</v>
      </c>
      <c r="N393">
        <v>467</v>
      </c>
      <c r="O393">
        <v>182</v>
      </c>
      <c r="P393">
        <v>8683.92</v>
      </c>
      <c r="Q393">
        <v>25718.79</v>
      </c>
      <c r="R393">
        <v>5881.8879904799996</v>
      </c>
      <c r="S393">
        <v>3362.17515267</v>
      </c>
      <c r="T393">
        <v>2.0479904800000002</v>
      </c>
      <c r="U393">
        <v>0</v>
      </c>
      <c r="V393">
        <v>5879.84</v>
      </c>
      <c r="W393" t="s">
        <v>1210</v>
      </c>
      <c r="X393" t="s">
        <v>271</v>
      </c>
      <c r="Y393" t="s">
        <v>4221</v>
      </c>
      <c r="AA393" t="s">
        <v>4222</v>
      </c>
      <c r="AB393" t="s">
        <v>181</v>
      </c>
    </row>
    <row r="394" spans="1:28" x14ac:dyDescent="0.25">
      <c r="A394" t="s">
        <v>4119</v>
      </c>
      <c r="B394" t="s">
        <v>4120</v>
      </c>
      <c r="C394" t="s">
        <v>646</v>
      </c>
      <c r="D394" t="s">
        <v>3779</v>
      </c>
      <c r="E394" t="s">
        <v>647</v>
      </c>
      <c r="F394" t="s">
        <v>3780</v>
      </c>
      <c r="G394" t="s">
        <v>769</v>
      </c>
      <c r="H394" t="s">
        <v>730</v>
      </c>
      <c r="I394" t="s">
        <v>1374</v>
      </c>
      <c r="J394" t="s">
        <v>441</v>
      </c>
      <c r="K394" t="s">
        <v>166</v>
      </c>
      <c r="L394" t="s">
        <v>0</v>
      </c>
      <c r="M394" t="s">
        <v>178</v>
      </c>
      <c r="N394">
        <v>82</v>
      </c>
      <c r="O394">
        <v>54</v>
      </c>
      <c r="P394">
        <v>1807.6</v>
      </c>
      <c r="Q394">
        <v>5370.23</v>
      </c>
      <c r="R394">
        <v>460.10738780000003</v>
      </c>
      <c r="S394">
        <v>413.75439032000003</v>
      </c>
      <c r="T394">
        <v>1779.6773877999999</v>
      </c>
      <c r="U394">
        <v>0</v>
      </c>
      <c r="V394">
        <v>542.89</v>
      </c>
      <c r="W394" t="s">
        <v>440</v>
      </c>
      <c r="X394" t="s">
        <v>271</v>
      </c>
      <c r="Y394" t="s">
        <v>4121</v>
      </c>
      <c r="AA394" t="s">
        <v>4122</v>
      </c>
      <c r="AB394" t="s">
        <v>181</v>
      </c>
    </row>
    <row r="395" spans="1:28" x14ac:dyDescent="0.25">
      <c r="A395" t="s">
        <v>4330</v>
      </c>
      <c r="B395" t="s">
        <v>4331</v>
      </c>
      <c r="C395" t="s">
        <v>646</v>
      </c>
      <c r="D395" t="s">
        <v>3779</v>
      </c>
      <c r="E395" t="s">
        <v>647</v>
      </c>
      <c r="F395" t="s">
        <v>666</v>
      </c>
      <c r="G395" t="s">
        <v>666</v>
      </c>
      <c r="H395" t="s">
        <v>683</v>
      </c>
      <c r="I395" t="s">
        <v>1513</v>
      </c>
      <c r="J395" t="s">
        <v>333</v>
      </c>
      <c r="K395" t="s">
        <v>166</v>
      </c>
      <c r="L395" t="s">
        <v>0</v>
      </c>
      <c r="M395" t="s">
        <v>178</v>
      </c>
      <c r="N395">
        <v>991</v>
      </c>
      <c r="O395">
        <v>371</v>
      </c>
      <c r="P395">
        <v>16452.900000000001</v>
      </c>
      <c r="Q395">
        <v>33187.47</v>
      </c>
      <c r="R395">
        <v>3053.6895170799999</v>
      </c>
      <c r="S395">
        <v>5277.7723553699998</v>
      </c>
      <c r="T395">
        <v>-4.8292000000000002E-4</v>
      </c>
      <c r="U395">
        <v>117.96</v>
      </c>
      <c r="V395">
        <v>3171.65</v>
      </c>
      <c r="W395" t="s">
        <v>616</v>
      </c>
      <c r="X395" t="s">
        <v>271</v>
      </c>
      <c r="Y395" t="s">
        <v>4332</v>
      </c>
      <c r="AA395" t="s">
        <v>2421</v>
      </c>
      <c r="AB395" t="s">
        <v>181</v>
      </c>
    </row>
    <row r="396" spans="1:28" x14ac:dyDescent="0.25">
      <c r="A396" t="s">
        <v>3793</v>
      </c>
      <c r="B396" t="s">
        <v>3794</v>
      </c>
      <c r="C396" t="s">
        <v>646</v>
      </c>
      <c r="D396" t="s">
        <v>3779</v>
      </c>
      <c r="E396" t="s">
        <v>647</v>
      </c>
      <c r="F396" t="s">
        <v>666</v>
      </c>
      <c r="G396" t="s">
        <v>666</v>
      </c>
      <c r="H396" t="s">
        <v>730</v>
      </c>
      <c r="I396" t="s">
        <v>1712</v>
      </c>
      <c r="J396" t="s">
        <v>335</v>
      </c>
      <c r="K396" t="s">
        <v>166</v>
      </c>
      <c r="L396" t="s">
        <v>0</v>
      </c>
      <c r="M396" t="s">
        <v>178</v>
      </c>
      <c r="N396">
        <v>55</v>
      </c>
      <c r="O396">
        <v>54</v>
      </c>
      <c r="P396">
        <v>2408.83</v>
      </c>
      <c r="Q396">
        <v>1944.92</v>
      </c>
      <c r="R396">
        <v>569.97</v>
      </c>
      <c r="S396">
        <v>282.98161805000001</v>
      </c>
      <c r="T396">
        <v>0</v>
      </c>
      <c r="U396">
        <v>0</v>
      </c>
      <c r="V396">
        <v>569.97</v>
      </c>
      <c r="W396" t="s">
        <v>572</v>
      </c>
      <c r="X396" t="s">
        <v>271</v>
      </c>
      <c r="Y396" t="s">
        <v>3795</v>
      </c>
      <c r="AA396" t="s">
        <v>3796</v>
      </c>
      <c r="AB396" t="s">
        <v>181</v>
      </c>
    </row>
    <row r="397" spans="1:28" x14ac:dyDescent="0.25">
      <c r="A397" t="s">
        <v>3948</v>
      </c>
      <c r="B397" t="s">
        <v>3949</v>
      </c>
      <c r="C397" t="s">
        <v>646</v>
      </c>
      <c r="D397" t="s">
        <v>3779</v>
      </c>
      <c r="E397" t="s">
        <v>647</v>
      </c>
      <c r="F397" t="s">
        <v>3780</v>
      </c>
      <c r="G397" t="s">
        <v>769</v>
      </c>
      <c r="H397" t="s">
        <v>679</v>
      </c>
      <c r="I397" t="s">
        <v>2250</v>
      </c>
      <c r="J397" t="s">
        <v>358</v>
      </c>
      <c r="K397" t="s">
        <v>166</v>
      </c>
      <c r="L397" t="s">
        <v>0</v>
      </c>
      <c r="M397" t="s">
        <v>178</v>
      </c>
      <c r="N397">
        <v>103</v>
      </c>
      <c r="O397">
        <v>90</v>
      </c>
      <c r="P397">
        <v>1847.42</v>
      </c>
      <c r="Q397">
        <v>5309.04</v>
      </c>
      <c r="R397">
        <v>1286.8447283200001</v>
      </c>
      <c r="S397">
        <v>1086.9681945899999</v>
      </c>
      <c r="T397">
        <v>-0.25527168</v>
      </c>
      <c r="U397">
        <v>0</v>
      </c>
      <c r="V397">
        <v>1287.0999999999999</v>
      </c>
      <c r="W397" t="s">
        <v>357</v>
      </c>
      <c r="X397" t="s">
        <v>271</v>
      </c>
      <c r="Y397" t="s">
        <v>3950</v>
      </c>
      <c r="AA397" t="s">
        <v>3951</v>
      </c>
      <c r="AB397" t="s">
        <v>181</v>
      </c>
    </row>
    <row r="398" spans="1:28" x14ac:dyDescent="0.25">
      <c r="A398" t="s">
        <v>4151</v>
      </c>
      <c r="B398" t="s">
        <v>4152</v>
      </c>
      <c r="C398" t="s">
        <v>646</v>
      </c>
      <c r="D398" t="s">
        <v>3779</v>
      </c>
      <c r="E398" t="s">
        <v>647</v>
      </c>
      <c r="F398" t="s">
        <v>666</v>
      </c>
      <c r="G398" t="s">
        <v>666</v>
      </c>
      <c r="H398" t="s">
        <v>770</v>
      </c>
      <c r="I398" t="s">
        <v>765</v>
      </c>
      <c r="J398" t="s">
        <v>436</v>
      </c>
      <c r="K398" t="s">
        <v>166</v>
      </c>
      <c r="L398" t="s">
        <v>0</v>
      </c>
      <c r="M398" t="s">
        <v>178</v>
      </c>
      <c r="N398">
        <v>789</v>
      </c>
      <c r="O398">
        <v>717</v>
      </c>
      <c r="P398">
        <v>4707.57</v>
      </c>
      <c r="Q398">
        <v>12209.07</v>
      </c>
      <c r="R398">
        <v>1672.32</v>
      </c>
      <c r="S398">
        <v>2572.8291244000002</v>
      </c>
      <c r="T398">
        <v>0</v>
      </c>
      <c r="U398">
        <v>0</v>
      </c>
      <c r="V398">
        <v>1672.32</v>
      </c>
      <c r="W398" t="s">
        <v>0</v>
      </c>
      <c r="X398" t="s">
        <v>271</v>
      </c>
      <c r="Y398" t="s">
        <v>4153</v>
      </c>
      <c r="AA398" t="s">
        <v>4154</v>
      </c>
      <c r="AB398" t="s">
        <v>181</v>
      </c>
    </row>
    <row r="399" spans="1:28" x14ac:dyDescent="0.25">
      <c r="A399" t="s">
        <v>4201</v>
      </c>
      <c r="B399" t="s">
        <v>4202</v>
      </c>
      <c r="C399" t="s">
        <v>646</v>
      </c>
      <c r="D399" t="s">
        <v>3779</v>
      </c>
      <c r="E399" t="s">
        <v>647</v>
      </c>
      <c r="F399" t="s">
        <v>3780</v>
      </c>
      <c r="G399" t="s">
        <v>769</v>
      </c>
      <c r="H399" t="s">
        <v>761</v>
      </c>
      <c r="I399" t="s">
        <v>4203</v>
      </c>
      <c r="J399" t="s">
        <v>688</v>
      </c>
      <c r="K399" t="s">
        <v>166</v>
      </c>
      <c r="L399" t="s">
        <v>0</v>
      </c>
      <c r="M399" t="s">
        <v>178</v>
      </c>
      <c r="N399">
        <v>69</v>
      </c>
      <c r="O399">
        <v>48</v>
      </c>
      <c r="P399">
        <v>2328.41</v>
      </c>
      <c r="Q399">
        <v>2218.66</v>
      </c>
      <c r="R399">
        <v>442.3</v>
      </c>
      <c r="S399">
        <v>393.57825294999998</v>
      </c>
      <c r="T399">
        <v>0</v>
      </c>
      <c r="U399">
        <v>0</v>
      </c>
      <c r="V399">
        <v>442.3</v>
      </c>
      <c r="W399" t="s">
        <v>0</v>
      </c>
      <c r="X399" t="s">
        <v>271</v>
      </c>
      <c r="Y399" t="s">
        <v>4204</v>
      </c>
      <c r="AA399" t="s">
        <v>4205</v>
      </c>
      <c r="AB399" t="s">
        <v>181</v>
      </c>
    </row>
    <row r="400" spans="1:28" x14ac:dyDescent="0.25">
      <c r="A400" t="s">
        <v>4324</v>
      </c>
      <c r="B400" t="s">
        <v>224</v>
      </c>
      <c r="C400" t="s">
        <v>646</v>
      </c>
      <c r="D400" t="s">
        <v>3779</v>
      </c>
      <c r="E400" t="s">
        <v>647</v>
      </c>
      <c r="F400" t="s">
        <v>3780</v>
      </c>
      <c r="G400" t="s">
        <v>769</v>
      </c>
      <c r="H400" t="s">
        <v>713</v>
      </c>
      <c r="I400" t="s">
        <v>4164</v>
      </c>
      <c r="J400" t="s">
        <v>985</v>
      </c>
      <c r="K400" t="s">
        <v>166</v>
      </c>
      <c r="L400" t="s">
        <v>0</v>
      </c>
      <c r="M400" t="s">
        <v>178</v>
      </c>
      <c r="N400">
        <v>204</v>
      </c>
      <c r="O400">
        <v>0</v>
      </c>
      <c r="P400">
        <v>3840.25</v>
      </c>
      <c r="Q400">
        <v>23449.9</v>
      </c>
      <c r="R400">
        <v>2407.35</v>
      </c>
      <c r="S400">
        <v>1126.3657594900001</v>
      </c>
      <c r="T400">
        <v>0</v>
      </c>
      <c r="U400">
        <v>0</v>
      </c>
      <c r="V400">
        <v>2407.35</v>
      </c>
      <c r="W400" t="s">
        <v>986</v>
      </c>
      <c r="X400" t="s">
        <v>271</v>
      </c>
      <c r="Y400" t="s">
        <v>4165</v>
      </c>
      <c r="AA400" t="s">
        <v>4325</v>
      </c>
      <c r="AB400" t="s">
        <v>181</v>
      </c>
    </row>
    <row r="401" spans="1:28" x14ac:dyDescent="0.25">
      <c r="A401" t="s">
        <v>4132</v>
      </c>
      <c r="B401" t="s">
        <v>4133</v>
      </c>
      <c r="C401" t="s">
        <v>646</v>
      </c>
      <c r="D401" t="s">
        <v>3779</v>
      </c>
      <c r="E401" t="s">
        <v>647</v>
      </c>
      <c r="F401" t="s">
        <v>666</v>
      </c>
      <c r="G401" t="s">
        <v>666</v>
      </c>
      <c r="H401" t="s">
        <v>797</v>
      </c>
      <c r="I401" t="s">
        <v>3911</v>
      </c>
      <c r="J401" t="s">
        <v>355</v>
      </c>
      <c r="K401" t="s">
        <v>166</v>
      </c>
      <c r="L401" t="s">
        <v>0</v>
      </c>
      <c r="M401" t="s">
        <v>178</v>
      </c>
      <c r="N401">
        <v>137</v>
      </c>
      <c r="O401">
        <v>6</v>
      </c>
      <c r="P401">
        <v>1370</v>
      </c>
      <c r="Q401">
        <v>5322.06</v>
      </c>
      <c r="R401">
        <v>1451.1066159300001</v>
      </c>
      <c r="S401">
        <v>191.15</v>
      </c>
      <c r="T401">
        <v>0.14661593000000001</v>
      </c>
      <c r="U401">
        <v>0</v>
      </c>
      <c r="V401">
        <v>1450.96</v>
      </c>
      <c r="W401" t="s">
        <v>0</v>
      </c>
      <c r="X401" t="s">
        <v>271</v>
      </c>
      <c r="Y401" t="s">
        <v>4134</v>
      </c>
      <c r="AA401" t="s">
        <v>3894</v>
      </c>
      <c r="AB401" t="s">
        <v>181</v>
      </c>
    </row>
    <row r="402" spans="1:28" x14ac:dyDescent="0.25">
      <c r="A402" t="s">
        <v>4078</v>
      </c>
      <c r="B402" t="s">
        <v>4079</v>
      </c>
      <c r="C402" t="s">
        <v>646</v>
      </c>
      <c r="D402" t="s">
        <v>3779</v>
      </c>
      <c r="E402" t="s">
        <v>647</v>
      </c>
      <c r="F402" t="s">
        <v>3780</v>
      </c>
      <c r="G402" t="s">
        <v>769</v>
      </c>
      <c r="H402" t="s">
        <v>797</v>
      </c>
      <c r="I402" t="s">
        <v>885</v>
      </c>
      <c r="J402" t="s">
        <v>324</v>
      </c>
      <c r="K402" t="s">
        <v>166</v>
      </c>
      <c r="L402" t="s">
        <v>0</v>
      </c>
      <c r="M402" t="s">
        <v>178</v>
      </c>
      <c r="N402">
        <v>2</v>
      </c>
      <c r="O402">
        <v>2</v>
      </c>
      <c r="P402">
        <v>26.22</v>
      </c>
      <c r="Q402">
        <v>96.36</v>
      </c>
      <c r="R402">
        <v>5.47</v>
      </c>
      <c r="S402">
        <v>10.04899998</v>
      </c>
      <c r="T402">
        <v>0</v>
      </c>
      <c r="U402">
        <v>0</v>
      </c>
      <c r="V402">
        <v>5.47</v>
      </c>
      <c r="W402" t="s">
        <v>519</v>
      </c>
      <c r="X402" t="s">
        <v>271</v>
      </c>
      <c r="Y402" t="s">
        <v>4080</v>
      </c>
      <c r="AA402" t="s">
        <v>4081</v>
      </c>
      <c r="AB402" t="s">
        <v>181</v>
      </c>
    </row>
    <row r="403" spans="1:28" x14ac:dyDescent="0.25">
      <c r="A403" t="s">
        <v>4069</v>
      </c>
      <c r="B403" t="s">
        <v>4070</v>
      </c>
      <c r="C403" t="s">
        <v>646</v>
      </c>
      <c r="D403" t="s">
        <v>3779</v>
      </c>
      <c r="E403" t="s">
        <v>647</v>
      </c>
      <c r="F403" t="s">
        <v>3780</v>
      </c>
      <c r="G403" t="s">
        <v>769</v>
      </c>
      <c r="H403" t="s">
        <v>909</v>
      </c>
      <c r="I403" t="s">
        <v>4071</v>
      </c>
      <c r="J403" t="s">
        <v>785</v>
      </c>
      <c r="K403" t="s">
        <v>166</v>
      </c>
      <c r="L403" t="s">
        <v>0</v>
      </c>
      <c r="M403" t="s">
        <v>178</v>
      </c>
      <c r="N403">
        <v>123</v>
      </c>
      <c r="O403">
        <v>71</v>
      </c>
      <c r="P403">
        <v>4168.93</v>
      </c>
      <c r="Q403">
        <v>4728.01</v>
      </c>
      <c r="R403">
        <v>353.45</v>
      </c>
      <c r="S403">
        <v>997.38815365999994</v>
      </c>
      <c r="T403">
        <v>0</v>
      </c>
      <c r="U403">
        <v>0</v>
      </c>
      <c r="V403">
        <v>353.45</v>
      </c>
      <c r="W403" t="s">
        <v>0</v>
      </c>
      <c r="X403" t="s">
        <v>271</v>
      </c>
      <c r="Y403" t="s">
        <v>4072</v>
      </c>
      <c r="AA403" t="s">
        <v>4073</v>
      </c>
      <c r="AB403" t="s">
        <v>181</v>
      </c>
    </row>
    <row r="404" spans="1:28" x14ac:dyDescent="0.25">
      <c r="A404" t="s">
        <v>3981</v>
      </c>
      <c r="B404" t="s">
        <v>3982</v>
      </c>
      <c r="C404" t="s">
        <v>646</v>
      </c>
      <c r="D404" t="s">
        <v>3779</v>
      </c>
      <c r="E404" t="s">
        <v>647</v>
      </c>
      <c r="F404" t="s">
        <v>3780</v>
      </c>
      <c r="G404" t="s">
        <v>769</v>
      </c>
      <c r="H404" t="s">
        <v>761</v>
      </c>
      <c r="I404" t="s">
        <v>2384</v>
      </c>
      <c r="J404" t="s">
        <v>447</v>
      </c>
      <c r="K404" t="s">
        <v>166</v>
      </c>
      <c r="L404" t="s">
        <v>0</v>
      </c>
      <c r="M404" t="s">
        <v>178</v>
      </c>
      <c r="N404">
        <v>104</v>
      </c>
      <c r="O404">
        <v>63</v>
      </c>
      <c r="P404">
        <v>2730.93</v>
      </c>
      <c r="Q404">
        <v>2734.07</v>
      </c>
      <c r="R404">
        <v>113.95505228</v>
      </c>
      <c r="S404">
        <v>632.67921517000002</v>
      </c>
      <c r="T404">
        <v>2.505228E-2</v>
      </c>
      <c r="U404">
        <v>111.75</v>
      </c>
      <c r="V404">
        <v>225.68</v>
      </c>
      <c r="W404" t="s">
        <v>446</v>
      </c>
      <c r="X404" t="s">
        <v>271</v>
      </c>
      <c r="Y404" t="s">
        <v>3983</v>
      </c>
      <c r="AA404" t="s">
        <v>3984</v>
      </c>
      <c r="AB404" t="s">
        <v>181</v>
      </c>
    </row>
    <row r="405" spans="1:28" x14ac:dyDescent="0.25">
      <c r="A405" t="s">
        <v>3777</v>
      </c>
      <c r="B405" t="s">
        <v>3778</v>
      </c>
      <c r="C405" t="s">
        <v>646</v>
      </c>
      <c r="D405" t="s">
        <v>3779</v>
      </c>
      <c r="E405" t="s">
        <v>647</v>
      </c>
      <c r="F405" t="s">
        <v>3780</v>
      </c>
      <c r="G405" t="s">
        <v>769</v>
      </c>
      <c r="H405" t="s">
        <v>962</v>
      </c>
      <c r="I405" t="s">
        <v>798</v>
      </c>
      <c r="J405" t="s">
        <v>524</v>
      </c>
      <c r="K405" t="s">
        <v>166</v>
      </c>
      <c r="L405" t="s">
        <v>0</v>
      </c>
      <c r="M405" t="s">
        <v>178</v>
      </c>
      <c r="N405">
        <v>55</v>
      </c>
      <c r="O405">
        <v>23</v>
      </c>
      <c r="P405">
        <v>884.13</v>
      </c>
      <c r="Q405">
        <v>4208.55</v>
      </c>
      <c r="R405">
        <v>756.92</v>
      </c>
      <c r="S405">
        <v>139.04829678999999</v>
      </c>
      <c r="T405">
        <v>0</v>
      </c>
      <c r="U405">
        <v>0</v>
      </c>
      <c r="V405">
        <v>756.92</v>
      </c>
      <c r="W405" t="s">
        <v>258</v>
      </c>
      <c r="X405" t="s">
        <v>271</v>
      </c>
      <c r="Y405" t="s">
        <v>3781</v>
      </c>
      <c r="AA405" t="s">
        <v>3782</v>
      </c>
      <c r="AB405" t="s">
        <v>181</v>
      </c>
    </row>
    <row r="406" spans="1:28" x14ac:dyDescent="0.25">
      <c r="A406" t="s">
        <v>4288</v>
      </c>
      <c r="B406" t="s">
        <v>4289</v>
      </c>
      <c r="C406" t="s">
        <v>646</v>
      </c>
      <c r="D406" t="s">
        <v>3779</v>
      </c>
      <c r="E406" t="s">
        <v>647</v>
      </c>
      <c r="F406" t="s">
        <v>3780</v>
      </c>
      <c r="G406" t="s">
        <v>769</v>
      </c>
      <c r="H406" t="s">
        <v>713</v>
      </c>
      <c r="I406" t="s">
        <v>1453</v>
      </c>
      <c r="J406" t="s">
        <v>1454</v>
      </c>
      <c r="K406" t="s">
        <v>166</v>
      </c>
      <c r="L406" t="s">
        <v>0</v>
      </c>
      <c r="M406" t="s">
        <v>178</v>
      </c>
      <c r="N406">
        <v>40.333300000000001</v>
      </c>
      <c r="O406">
        <v>1</v>
      </c>
      <c r="P406">
        <v>1116.68</v>
      </c>
      <c r="Q406">
        <v>1135.55</v>
      </c>
      <c r="R406">
        <v>307</v>
      </c>
      <c r="S406">
        <v>40.822249560000003</v>
      </c>
      <c r="T406">
        <v>0</v>
      </c>
      <c r="U406">
        <v>0</v>
      </c>
      <c r="V406">
        <v>307</v>
      </c>
      <c r="W406" t="s">
        <v>1455</v>
      </c>
      <c r="X406" t="s">
        <v>271</v>
      </c>
      <c r="Y406" t="s">
        <v>4290</v>
      </c>
      <c r="AA406" t="s">
        <v>4291</v>
      </c>
      <c r="AB406" t="s">
        <v>181</v>
      </c>
    </row>
    <row r="407" spans="1:28" x14ac:dyDescent="0.25">
      <c r="A407" t="s">
        <v>4064</v>
      </c>
      <c r="B407" t="s">
        <v>4065</v>
      </c>
      <c r="C407" t="s">
        <v>646</v>
      </c>
      <c r="D407" t="s">
        <v>3779</v>
      </c>
      <c r="E407" t="s">
        <v>647</v>
      </c>
      <c r="F407" t="s">
        <v>3780</v>
      </c>
      <c r="G407" t="s">
        <v>769</v>
      </c>
      <c r="H407" t="s">
        <v>703</v>
      </c>
      <c r="I407" t="s">
        <v>2469</v>
      </c>
      <c r="J407" t="s">
        <v>2470</v>
      </c>
      <c r="K407" t="s">
        <v>166</v>
      </c>
      <c r="L407" t="s">
        <v>0</v>
      </c>
      <c r="M407" t="s">
        <v>178</v>
      </c>
      <c r="N407">
        <v>134</v>
      </c>
      <c r="O407">
        <v>41</v>
      </c>
      <c r="P407">
        <v>3523.5</v>
      </c>
      <c r="Q407">
        <v>3538.55</v>
      </c>
      <c r="R407">
        <v>608.53518969000004</v>
      </c>
      <c r="S407">
        <v>386.01343935</v>
      </c>
      <c r="T407">
        <v>7.5189690000000003E-2</v>
      </c>
      <c r="U407">
        <v>0</v>
      </c>
      <c r="V407">
        <v>608.46</v>
      </c>
      <c r="W407" t="s">
        <v>4066</v>
      </c>
      <c r="X407" t="s">
        <v>271</v>
      </c>
      <c r="Y407" t="s">
        <v>4067</v>
      </c>
      <c r="AA407" t="s">
        <v>4068</v>
      </c>
      <c r="AB407" t="s">
        <v>181</v>
      </c>
    </row>
    <row r="408" spans="1:28" x14ac:dyDescent="0.25">
      <c r="A408" t="s">
        <v>4206</v>
      </c>
      <c r="B408" t="s">
        <v>4207</v>
      </c>
      <c r="C408" t="s">
        <v>646</v>
      </c>
      <c r="D408" t="s">
        <v>3779</v>
      </c>
      <c r="E408" t="s">
        <v>647</v>
      </c>
      <c r="F408" t="s">
        <v>3780</v>
      </c>
      <c r="G408" t="s">
        <v>769</v>
      </c>
      <c r="H408" t="s">
        <v>649</v>
      </c>
      <c r="I408" t="s">
        <v>4208</v>
      </c>
      <c r="J408" t="s">
        <v>317</v>
      </c>
      <c r="K408" t="s">
        <v>166</v>
      </c>
      <c r="L408" t="s">
        <v>0</v>
      </c>
      <c r="M408" t="s">
        <v>178</v>
      </c>
      <c r="N408">
        <v>477</v>
      </c>
      <c r="O408">
        <v>437</v>
      </c>
      <c r="P408">
        <v>15890.42</v>
      </c>
      <c r="Q408">
        <v>31766.98</v>
      </c>
      <c r="R408">
        <v>1480.33</v>
      </c>
      <c r="S408">
        <v>1673.55589738</v>
      </c>
      <c r="T408">
        <v>0</v>
      </c>
      <c r="U408">
        <v>0</v>
      </c>
      <c r="V408">
        <v>1480.33</v>
      </c>
      <c r="W408" t="s">
        <v>340</v>
      </c>
      <c r="X408" t="s">
        <v>271</v>
      </c>
      <c r="Y408" t="s">
        <v>4209</v>
      </c>
      <c r="AA408" t="s">
        <v>4210</v>
      </c>
      <c r="AB408" t="s">
        <v>181</v>
      </c>
    </row>
    <row r="409" spans="1:28" x14ac:dyDescent="0.25">
      <c r="A409" t="s">
        <v>3857</v>
      </c>
      <c r="B409" t="s">
        <v>3858</v>
      </c>
      <c r="C409" t="s">
        <v>646</v>
      </c>
      <c r="D409" t="s">
        <v>3779</v>
      </c>
      <c r="E409" t="s">
        <v>647</v>
      </c>
      <c r="F409" t="s">
        <v>3780</v>
      </c>
      <c r="G409" t="s">
        <v>769</v>
      </c>
      <c r="H409" t="s">
        <v>717</v>
      </c>
      <c r="I409" t="s">
        <v>952</v>
      </c>
      <c r="J409" t="s">
        <v>434</v>
      </c>
      <c r="K409" t="s">
        <v>166</v>
      </c>
      <c r="L409" t="s">
        <v>0</v>
      </c>
      <c r="M409" t="s">
        <v>178</v>
      </c>
      <c r="N409">
        <v>11</v>
      </c>
      <c r="O409">
        <v>8</v>
      </c>
      <c r="P409">
        <v>198</v>
      </c>
      <c r="Q409">
        <v>1141</v>
      </c>
      <c r="R409">
        <v>143.03</v>
      </c>
      <c r="S409">
        <v>54.023374509999996</v>
      </c>
      <c r="T409">
        <v>0</v>
      </c>
      <c r="U409">
        <v>0</v>
      </c>
      <c r="V409">
        <v>143.03</v>
      </c>
      <c r="W409" t="s">
        <v>466</v>
      </c>
      <c r="X409" t="s">
        <v>271</v>
      </c>
      <c r="Y409" t="s">
        <v>3859</v>
      </c>
      <c r="AA409" t="s">
        <v>3860</v>
      </c>
      <c r="AB409" t="s">
        <v>181</v>
      </c>
    </row>
    <row r="410" spans="1:28" x14ac:dyDescent="0.25">
      <c r="A410" t="s">
        <v>4027</v>
      </c>
      <c r="B410" t="s">
        <v>4028</v>
      </c>
      <c r="C410" t="s">
        <v>646</v>
      </c>
      <c r="D410" t="s">
        <v>3779</v>
      </c>
      <c r="E410" t="s">
        <v>647</v>
      </c>
      <c r="F410" t="s">
        <v>3780</v>
      </c>
      <c r="G410" t="s">
        <v>769</v>
      </c>
      <c r="H410" t="s">
        <v>1515</v>
      </c>
      <c r="I410" t="s">
        <v>1251</v>
      </c>
      <c r="J410" t="s">
        <v>821</v>
      </c>
      <c r="K410" t="s">
        <v>166</v>
      </c>
      <c r="L410" t="s">
        <v>0</v>
      </c>
      <c r="M410" t="s">
        <v>178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 t="s">
        <v>822</v>
      </c>
      <c r="X410" t="s">
        <v>269</v>
      </c>
      <c r="Y410" t="s">
        <v>4029</v>
      </c>
      <c r="AA410" t="s">
        <v>4030</v>
      </c>
      <c r="AB410" t="s">
        <v>181</v>
      </c>
    </row>
    <row r="411" spans="1:28" x14ac:dyDescent="0.25">
      <c r="A411" t="s">
        <v>4143</v>
      </c>
      <c r="B411" t="s">
        <v>4144</v>
      </c>
      <c r="C411" t="s">
        <v>646</v>
      </c>
      <c r="D411" t="s">
        <v>3779</v>
      </c>
      <c r="E411" t="s">
        <v>647</v>
      </c>
      <c r="F411" t="s">
        <v>3780</v>
      </c>
      <c r="G411" t="s">
        <v>769</v>
      </c>
      <c r="H411" t="s">
        <v>1515</v>
      </c>
      <c r="I411" t="s">
        <v>1828</v>
      </c>
      <c r="J411" t="s">
        <v>1829</v>
      </c>
      <c r="K411" t="s">
        <v>166</v>
      </c>
      <c r="L411" t="s">
        <v>0</v>
      </c>
      <c r="M411" t="s">
        <v>178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 t="s">
        <v>1361</v>
      </c>
      <c r="X411" t="s">
        <v>271</v>
      </c>
      <c r="Y411" t="s">
        <v>4145</v>
      </c>
      <c r="AA411" t="s">
        <v>4146</v>
      </c>
      <c r="AB411" t="s">
        <v>181</v>
      </c>
    </row>
    <row r="412" spans="1:28" x14ac:dyDescent="0.25">
      <c r="A412" t="s">
        <v>3992</v>
      </c>
      <c r="B412" t="s">
        <v>3993</v>
      </c>
      <c r="C412" t="s">
        <v>646</v>
      </c>
      <c r="D412" t="s">
        <v>3779</v>
      </c>
      <c r="E412" t="s">
        <v>647</v>
      </c>
      <c r="F412" t="s">
        <v>3780</v>
      </c>
      <c r="G412" t="s">
        <v>769</v>
      </c>
      <c r="H412" t="s">
        <v>1515</v>
      </c>
      <c r="I412" t="s">
        <v>3994</v>
      </c>
      <c r="J412" t="s">
        <v>3995</v>
      </c>
      <c r="K412" t="s">
        <v>166</v>
      </c>
      <c r="L412" t="s">
        <v>0</v>
      </c>
      <c r="M412" t="s">
        <v>178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 t="s">
        <v>250</v>
      </c>
      <c r="X412" t="s">
        <v>269</v>
      </c>
      <c r="Y412" t="s">
        <v>3996</v>
      </c>
      <c r="AA412" t="s">
        <v>3997</v>
      </c>
      <c r="AB412" t="s">
        <v>181</v>
      </c>
    </row>
    <row r="413" spans="1:28" x14ac:dyDescent="0.25">
      <c r="A413" t="s">
        <v>4043</v>
      </c>
      <c r="B413" t="s">
        <v>4044</v>
      </c>
      <c r="C413" t="s">
        <v>646</v>
      </c>
      <c r="D413" t="s">
        <v>3779</v>
      </c>
      <c r="E413" t="s">
        <v>647</v>
      </c>
      <c r="F413" t="s">
        <v>666</v>
      </c>
      <c r="G413" t="s">
        <v>666</v>
      </c>
      <c r="H413" t="s">
        <v>1515</v>
      </c>
      <c r="I413" t="s">
        <v>1431</v>
      </c>
      <c r="J413" t="s">
        <v>1432</v>
      </c>
      <c r="K413" t="s">
        <v>166</v>
      </c>
      <c r="L413" t="s">
        <v>0</v>
      </c>
      <c r="M413" t="s">
        <v>178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 t="s">
        <v>1433</v>
      </c>
      <c r="X413" t="s">
        <v>271</v>
      </c>
      <c r="Y413" t="s">
        <v>4045</v>
      </c>
      <c r="AA413" t="s">
        <v>4046</v>
      </c>
      <c r="AB413" t="s">
        <v>181</v>
      </c>
    </row>
    <row r="414" spans="1:28" x14ac:dyDescent="0.25">
      <c r="A414" t="s">
        <v>3888</v>
      </c>
      <c r="B414" t="s">
        <v>3889</v>
      </c>
      <c r="C414" t="s">
        <v>646</v>
      </c>
      <c r="D414" t="s">
        <v>3779</v>
      </c>
      <c r="E414" t="s">
        <v>647</v>
      </c>
      <c r="F414" t="s">
        <v>3780</v>
      </c>
      <c r="G414" t="s">
        <v>769</v>
      </c>
      <c r="H414" t="s">
        <v>1515</v>
      </c>
      <c r="I414" t="s">
        <v>1368</v>
      </c>
      <c r="J414" t="s">
        <v>1369</v>
      </c>
      <c r="K414" t="s">
        <v>166</v>
      </c>
      <c r="L414" t="s">
        <v>0</v>
      </c>
      <c r="M414" t="s">
        <v>178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 t="s">
        <v>1370</v>
      </c>
      <c r="X414" t="s">
        <v>271</v>
      </c>
      <c r="Y414" t="s">
        <v>3890</v>
      </c>
      <c r="AA414" t="s">
        <v>3891</v>
      </c>
      <c r="AB414" t="s">
        <v>181</v>
      </c>
    </row>
    <row r="415" spans="1:28" x14ac:dyDescent="0.25">
      <c r="A415" t="s">
        <v>4098</v>
      </c>
      <c r="B415" t="s">
        <v>4099</v>
      </c>
      <c r="C415" t="s">
        <v>646</v>
      </c>
      <c r="D415" t="s">
        <v>3779</v>
      </c>
      <c r="E415" t="s">
        <v>647</v>
      </c>
      <c r="F415" t="s">
        <v>666</v>
      </c>
      <c r="G415" t="s">
        <v>666</v>
      </c>
      <c r="H415" t="s">
        <v>1159</v>
      </c>
      <c r="I415" t="s">
        <v>765</v>
      </c>
      <c r="J415" t="s">
        <v>436</v>
      </c>
      <c r="K415" t="s">
        <v>166</v>
      </c>
      <c r="L415" t="s">
        <v>0</v>
      </c>
      <c r="M415" t="s">
        <v>178</v>
      </c>
      <c r="N415">
        <v>33</v>
      </c>
      <c r="O415">
        <v>28</v>
      </c>
      <c r="P415">
        <v>244.96</v>
      </c>
      <c r="Q415">
        <v>1190.8800000000001</v>
      </c>
      <c r="R415">
        <v>109.48</v>
      </c>
      <c r="S415">
        <v>240.35499999999999</v>
      </c>
      <c r="T415">
        <v>10</v>
      </c>
      <c r="U415">
        <v>0</v>
      </c>
      <c r="V415">
        <v>117.48</v>
      </c>
      <c r="W415" t="s">
        <v>0</v>
      </c>
      <c r="X415" t="s">
        <v>271</v>
      </c>
      <c r="Y415" t="s">
        <v>4100</v>
      </c>
      <c r="AA415" t="s">
        <v>4101</v>
      </c>
      <c r="AB415" t="s">
        <v>181</v>
      </c>
    </row>
    <row r="416" spans="1:28" x14ac:dyDescent="0.25">
      <c r="A416" t="s">
        <v>4189</v>
      </c>
      <c r="B416" t="s">
        <v>4190</v>
      </c>
      <c r="C416" t="s">
        <v>646</v>
      </c>
      <c r="D416" t="s">
        <v>3779</v>
      </c>
      <c r="E416" t="s">
        <v>647</v>
      </c>
      <c r="F416" t="s">
        <v>666</v>
      </c>
      <c r="G416" t="s">
        <v>666</v>
      </c>
      <c r="H416" t="s">
        <v>649</v>
      </c>
      <c r="I416" t="s">
        <v>4191</v>
      </c>
      <c r="J416" t="s">
        <v>355</v>
      </c>
      <c r="K416" t="s">
        <v>166</v>
      </c>
      <c r="L416" t="s">
        <v>0</v>
      </c>
      <c r="M416" t="s">
        <v>178</v>
      </c>
      <c r="N416">
        <v>47</v>
      </c>
      <c r="O416">
        <v>47</v>
      </c>
      <c r="P416">
        <v>940</v>
      </c>
      <c r="Q416">
        <v>3179.49</v>
      </c>
      <c r="R416">
        <v>108.6</v>
      </c>
      <c r="S416">
        <v>147.55495676999999</v>
      </c>
      <c r="T416">
        <v>0</v>
      </c>
      <c r="U416">
        <v>0</v>
      </c>
      <c r="V416">
        <v>108.6</v>
      </c>
      <c r="W416" t="s">
        <v>0</v>
      </c>
      <c r="X416" t="s">
        <v>271</v>
      </c>
      <c r="Y416" t="s">
        <v>4192</v>
      </c>
      <c r="AA416" t="s">
        <v>4193</v>
      </c>
      <c r="AB416" t="s">
        <v>181</v>
      </c>
    </row>
    <row r="417" spans="1:28" x14ac:dyDescent="0.25">
      <c r="A417" t="s">
        <v>4324</v>
      </c>
      <c r="B417" t="s">
        <v>224</v>
      </c>
      <c r="C417" t="s">
        <v>646</v>
      </c>
      <c r="D417" t="s">
        <v>3779</v>
      </c>
      <c r="E417" t="s">
        <v>647</v>
      </c>
      <c r="F417" t="s">
        <v>3780</v>
      </c>
      <c r="G417" t="s">
        <v>769</v>
      </c>
      <c r="H417" t="s">
        <v>797</v>
      </c>
      <c r="I417" t="s">
        <v>4164</v>
      </c>
      <c r="J417" t="s">
        <v>985</v>
      </c>
      <c r="K417" t="s">
        <v>166</v>
      </c>
      <c r="L417" t="s">
        <v>0</v>
      </c>
      <c r="M417" t="s">
        <v>178</v>
      </c>
      <c r="N417">
        <v>217</v>
      </c>
      <c r="O417">
        <v>34</v>
      </c>
      <c r="P417">
        <v>2170</v>
      </c>
      <c r="Q417">
        <v>5847.25</v>
      </c>
      <c r="R417">
        <v>631.41999999999996</v>
      </c>
      <c r="S417">
        <v>600.21262549000005</v>
      </c>
      <c r="T417">
        <v>0</v>
      </c>
      <c r="U417">
        <v>0</v>
      </c>
      <c r="V417">
        <v>631.41999999999996</v>
      </c>
      <c r="W417" t="s">
        <v>986</v>
      </c>
      <c r="X417" t="s">
        <v>271</v>
      </c>
      <c r="Y417" t="s">
        <v>4165</v>
      </c>
      <c r="AA417" t="s">
        <v>4325</v>
      </c>
      <c r="AB417" t="s">
        <v>181</v>
      </c>
    </row>
    <row r="418" spans="1:28" x14ac:dyDescent="0.25">
      <c r="A418" t="s">
        <v>3888</v>
      </c>
      <c r="B418" t="s">
        <v>3889</v>
      </c>
      <c r="C418" t="s">
        <v>646</v>
      </c>
      <c r="D418" t="s">
        <v>3779</v>
      </c>
      <c r="E418" t="s">
        <v>647</v>
      </c>
      <c r="F418" t="s">
        <v>3780</v>
      </c>
      <c r="G418" t="s">
        <v>769</v>
      </c>
      <c r="H418" t="s">
        <v>730</v>
      </c>
      <c r="I418" t="s">
        <v>1368</v>
      </c>
      <c r="J418" t="s">
        <v>1369</v>
      </c>
      <c r="K418" t="s">
        <v>166</v>
      </c>
      <c r="L418" t="s">
        <v>0</v>
      </c>
      <c r="M418" t="s">
        <v>178</v>
      </c>
      <c r="N418">
        <v>2</v>
      </c>
      <c r="O418">
        <v>2</v>
      </c>
      <c r="P418">
        <v>69</v>
      </c>
      <c r="Q418">
        <v>33.049999999999997</v>
      </c>
      <c r="R418">
        <v>2.23</v>
      </c>
      <c r="S418">
        <v>1.89955535</v>
      </c>
      <c r="T418">
        <v>0</v>
      </c>
      <c r="U418">
        <v>0</v>
      </c>
      <c r="V418">
        <v>2.23</v>
      </c>
      <c r="W418" t="s">
        <v>1370</v>
      </c>
      <c r="X418" t="s">
        <v>271</v>
      </c>
      <c r="Y418" t="s">
        <v>3890</v>
      </c>
      <c r="AA418" t="s">
        <v>3891</v>
      </c>
      <c r="AB418" t="s">
        <v>181</v>
      </c>
    </row>
    <row r="419" spans="1:28" x14ac:dyDescent="0.25">
      <c r="A419" t="s">
        <v>4060</v>
      </c>
      <c r="B419" t="s">
        <v>4061</v>
      </c>
      <c r="C419" t="s">
        <v>646</v>
      </c>
      <c r="D419" t="s">
        <v>3779</v>
      </c>
      <c r="E419" t="s">
        <v>647</v>
      </c>
      <c r="F419" t="s">
        <v>648</v>
      </c>
      <c r="G419" t="s">
        <v>648</v>
      </c>
      <c r="H419" t="s">
        <v>797</v>
      </c>
      <c r="I419" t="s">
        <v>1114</v>
      </c>
      <c r="J419" t="s">
        <v>1115</v>
      </c>
      <c r="K419" t="s">
        <v>166</v>
      </c>
      <c r="L419" t="s">
        <v>0</v>
      </c>
      <c r="M419" t="s">
        <v>178</v>
      </c>
      <c r="N419">
        <v>87</v>
      </c>
      <c r="O419">
        <v>40</v>
      </c>
      <c r="P419">
        <v>882</v>
      </c>
      <c r="Q419">
        <v>2820</v>
      </c>
      <c r="R419">
        <v>80</v>
      </c>
      <c r="S419">
        <v>346.45575102999999</v>
      </c>
      <c r="T419">
        <v>0</v>
      </c>
      <c r="U419">
        <v>0</v>
      </c>
      <c r="V419">
        <v>80</v>
      </c>
      <c r="W419" t="s">
        <v>0</v>
      </c>
      <c r="X419" t="s">
        <v>271</v>
      </c>
      <c r="Y419" t="s">
        <v>4062</v>
      </c>
      <c r="AA419" t="s">
        <v>4063</v>
      </c>
      <c r="AB419" t="s">
        <v>181</v>
      </c>
    </row>
    <row r="420" spans="1:28" x14ac:dyDescent="0.25">
      <c r="A420" t="s">
        <v>4333</v>
      </c>
      <c r="B420" t="s">
        <v>4334</v>
      </c>
      <c r="C420" t="s">
        <v>646</v>
      </c>
      <c r="D420" t="s">
        <v>3779</v>
      </c>
      <c r="E420" t="s">
        <v>647</v>
      </c>
      <c r="F420" t="s">
        <v>666</v>
      </c>
      <c r="G420" t="s">
        <v>666</v>
      </c>
      <c r="H420" t="s">
        <v>713</v>
      </c>
      <c r="I420" t="s">
        <v>3649</v>
      </c>
      <c r="J420" t="s">
        <v>1567</v>
      </c>
      <c r="K420" t="s">
        <v>166</v>
      </c>
      <c r="L420" t="s">
        <v>0</v>
      </c>
      <c r="M420" t="s">
        <v>178</v>
      </c>
      <c r="N420">
        <v>536</v>
      </c>
      <c r="O420">
        <v>7</v>
      </c>
      <c r="P420">
        <v>8715.91</v>
      </c>
      <c r="Q420">
        <v>22972.48</v>
      </c>
      <c r="R420">
        <v>1346.5579379999999</v>
      </c>
      <c r="S420">
        <v>486.41884483000001</v>
      </c>
      <c r="T420">
        <v>638.00793799999997</v>
      </c>
      <c r="U420">
        <v>0</v>
      </c>
      <c r="V420">
        <v>1341.83</v>
      </c>
      <c r="W420" t="s">
        <v>556</v>
      </c>
      <c r="X420" t="s">
        <v>271</v>
      </c>
      <c r="Y420" t="s">
        <v>4335</v>
      </c>
      <c r="AA420" t="s">
        <v>4336</v>
      </c>
      <c r="AB420" t="s">
        <v>181</v>
      </c>
    </row>
    <row r="421" spans="1:28" x14ac:dyDescent="0.25">
      <c r="A421" t="s">
        <v>3973</v>
      </c>
      <c r="B421" t="s">
        <v>3974</v>
      </c>
      <c r="C421" t="s">
        <v>646</v>
      </c>
      <c r="D421" t="s">
        <v>3779</v>
      </c>
      <c r="E421" t="s">
        <v>647</v>
      </c>
      <c r="F421" t="s">
        <v>3780</v>
      </c>
      <c r="G421" t="s">
        <v>769</v>
      </c>
      <c r="H421" t="s">
        <v>708</v>
      </c>
      <c r="I421" t="s">
        <v>880</v>
      </c>
      <c r="J421" t="s">
        <v>881</v>
      </c>
      <c r="K421" t="s">
        <v>166</v>
      </c>
      <c r="L421" t="s">
        <v>0</v>
      </c>
      <c r="M421" t="s">
        <v>178</v>
      </c>
      <c r="N421">
        <v>14</v>
      </c>
      <c r="O421">
        <v>7</v>
      </c>
      <c r="P421">
        <v>67.489999999999995</v>
      </c>
      <c r="Q421">
        <v>248.92</v>
      </c>
      <c r="R421">
        <v>18.34</v>
      </c>
      <c r="S421">
        <v>78.35756585</v>
      </c>
      <c r="T421">
        <v>0</v>
      </c>
      <c r="U421">
        <v>0</v>
      </c>
      <c r="V421">
        <v>18.34</v>
      </c>
      <c r="W421" t="s">
        <v>0</v>
      </c>
      <c r="X421" t="s">
        <v>271</v>
      </c>
      <c r="Y421" t="s">
        <v>3975</v>
      </c>
      <c r="AA421" t="s">
        <v>3976</v>
      </c>
      <c r="AB421" t="s">
        <v>181</v>
      </c>
    </row>
    <row r="422" spans="1:28" x14ac:dyDescent="0.25">
      <c r="A422" t="s">
        <v>4337</v>
      </c>
      <c r="B422" t="s">
        <v>4338</v>
      </c>
      <c r="C422" t="s">
        <v>646</v>
      </c>
      <c r="D422" t="s">
        <v>3779</v>
      </c>
      <c r="E422" t="s">
        <v>647</v>
      </c>
      <c r="F422" t="s">
        <v>3780</v>
      </c>
      <c r="G422" t="s">
        <v>769</v>
      </c>
      <c r="H422" t="s">
        <v>909</v>
      </c>
      <c r="I422" t="s">
        <v>4339</v>
      </c>
      <c r="J422" t="s">
        <v>821</v>
      </c>
      <c r="K422" t="s">
        <v>166</v>
      </c>
      <c r="L422" t="s">
        <v>0</v>
      </c>
      <c r="M422" t="s">
        <v>178</v>
      </c>
      <c r="N422">
        <v>29.416699999999999</v>
      </c>
      <c r="O422">
        <v>23.416699999999999</v>
      </c>
      <c r="P422">
        <v>840.96</v>
      </c>
      <c r="Q422">
        <v>1005.45</v>
      </c>
      <c r="R422">
        <v>259.38437813000002</v>
      </c>
      <c r="S422">
        <v>141.47125256000001</v>
      </c>
      <c r="T422">
        <v>5.4378129999999997E-2</v>
      </c>
      <c r="U422">
        <v>0</v>
      </c>
      <c r="V422">
        <v>259.33</v>
      </c>
      <c r="W422" t="s">
        <v>822</v>
      </c>
      <c r="X422" t="s">
        <v>269</v>
      </c>
      <c r="Y422" t="s">
        <v>4340</v>
      </c>
      <c r="AA422" t="s">
        <v>4341</v>
      </c>
      <c r="AB422" t="s">
        <v>181</v>
      </c>
    </row>
    <row r="423" spans="1:28" x14ac:dyDescent="0.25">
      <c r="A423" t="s">
        <v>4333</v>
      </c>
      <c r="B423" t="s">
        <v>4334</v>
      </c>
      <c r="C423" t="s">
        <v>646</v>
      </c>
      <c r="D423" t="s">
        <v>3779</v>
      </c>
      <c r="E423" t="s">
        <v>647</v>
      </c>
      <c r="F423" t="s">
        <v>666</v>
      </c>
      <c r="G423" t="s">
        <v>666</v>
      </c>
      <c r="H423" t="s">
        <v>730</v>
      </c>
      <c r="I423" t="s">
        <v>3649</v>
      </c>
      <c r="J423" t="s">
        <v>1567</v>
      </c>
      <c r="K423" t="s">
        <v>166</v>
      </c>
      <c r="L423" t="s">
        <v>0</v>
      </c>
      <c r="M423" t="s">
        <v>178</v>
      </c>
      <c r="N423">
        <v>63</v>
      </c>
      <c r="O423">
        <v>60</v>
      </c>
      <c r="P423">
        <v>1721.51</v>
      </c>
      <c r="Q423">
        <v>3707</v>
      </c>
      <c r="R423">
        <v>375.29284136000001</v>
      </c>
      <c r="S423">
        <v>468.51302007999999</v>
      </c>
      <c r="T423">
        <v>-0.34715864000000002</v>
      </c>
      <c r="U423">
        <v>0</v>
      </c>
      <c r="V423">
        <v>375.64</v>
      </c>
      <c r="W423" t="s">
        <v>556</v>
      </c>
      <c r="X423" t="s">
        <v>271</v>
      </c>
      <c r="Y423" t="s">
        <v>4335</v>
      </c>
      <c r="AA423" t="s">
        <v>4336</v>
      </c>
      <c r="AB423" t="s">
        <v>181</v>
      </c>
    </row>
    <row r="424" spans="1:28" x14ac:dyDescent="0.25">
      <c r="A424" t="s">
        <v>4284</v>
      </c>
      <c r="B424" t="s">
        <v>4285</v>
      </c>
      <c r="C424" t="s">
        <v>646</v>
      </c>
      <c r="D424" t="s">
        <v>3779</v>
      </c>
      <c r="E424" t="s">
        <v>647</v>
      </c>
      <c r="F424" t="s">
        <v>3780</v>
      </c>
      <c r="G424" t="s">
        <v>769</v>
      </c>
      <c r="H424" t="s">
        <v>708</v>
      </c>
      <c r="I424" t="s">
        <v>778</v>
      </c>
      <c r="J424" t="s">
        <v>428</v>
      </c>
      <c r="K424" t="s">
        <v>166</v>
      </c>
      <c r="L424" t="s">
        <v>0</v>
      </c>
      <c r="M424" t="s">
        <v>178</v>
      </c>
      <c r="N424">
        <v>48</v>
      </c>
      <c r="O424">
        <v>23</v>
      </c>
      <c r="P424">
        <v>285.45</v>
      </c>
      <c r="Q424">
        <v>652.71</v>
      </c>
      <c r="R424">
        <v>200.82</v>
      </c>
      <c r="S424">
        <v>65.735953929999994</v>
      </c>
      <c r="T424">
        <v>0</v>
      </c>
      <c r="U424">
        <v>0</v>
      </c>
      <c r="V424">
        <v>200.82</v>
      </c>
      <c r="W424" t="s">
        <v>1977</v>
      </c>
      <c r="X424" t="s">
        <v>271</v>
      </c>
      <c r="Y424" t="s">
        <v>4286</v>
      </c>
      <c r="AA424" t="s">
        <v>4287</v>
      </c>
      <c r="AB424" t="s">
        <v>181</v>
      </c>
    </row>
    <row r="425" spans="1:28" x14ac:dyDescent="0.25">
      <c r="A425" t="s">
        <v>4223</v>
      </c>
      <c r="B425" t="s">
        <v>4224</v>
      </c>
      <c r="C425" t="s">
        <v>646</v>
      </c>
      <c r="D425" t="s">
        <v>3779</v>
      </c>
      <c r="E425" t="s">
        <v>647</v>
      </c>
      <c r="F425" t="s">
        <v>3780</v>
      </c>
      <c r="G425" t="s">
        <v>769</v>
      </c>
      <c r="H425" t="s">
        <v>708</v>
      </c>
      <c r="I425" t="s">
        <v>4225</v>
      </c>
      <c r="J425" t="s">
        <v>336</v>
      </c>
      <c r="K425" t="s">
        <v>166</v>
      </c>
      <c r="L425" t="s">
        <v>0</v>
      </c>
      <c r="M425" t="s">
        <v>178</v>
      </c>
      <c r="N425">
        <v>43</v>
      </c>
      <c r="O425">
        <v>0</v>
      </c>
      <c r="P425">
        <v>240</v>
      </c>
      <c r="Q425">
        <v>610.05999999999995</v>
      </c>
      <c r="R425">
        <v>49.16</v>
      </c>
      <c r="S425">
        <v>24.917900750000001</v>
      </c>
      <c r="T425">
        <v>0</v>
      </c>
      <c r="U425">
        <v>0</v>
      </c>
      <c r="V425">
        <v>49.16</v>
      </c>
      <c r="W425" t="s">
        <v>461</v>
      </c>
      <c r="X425" t="s">
        <v>271</v>
      </c>
      <c r="Y425" t="s">
        <v>4226</v>
      </c>
      <c r="AA425" t="s">
        <v>4227</v>
      </c>
      <c r="AB425" t="s">
        <v>181</v>
      </c>
    </row>
    <row r="426" spans="1:28" x14ac:dyDescent="0.25">
      <c r="A426" t="s">
        <v>4337</v>
      </c>
      <c r="B426" t="s">
        <v>4338</v>
      </c>
      <c r="C426" t="s">
        <v>646</v>
      </c>
      <c r="D426" t="s">
        <v>3779</v>
      </c>
      <c r="E426" t="s">
        <v>647</v>
      </c>
      <c r="F426" t="s">
        <v>3780</v>
      </c>
      <c r="G426" t="s">
        <v>769</v>
      </c>
      <c r="H426" t="s">
        <v>683</v>
      </c>
      <c r="I426" t="s">
        <v>4339</v>
      </c>
      <c r="J426" t="s">
        <v>821</v>
      </c>
      <c r="K426" t="s">
        <v>166</v>
      </c>
      <c r="L426" t="s">
        <v>0</v>
      </c>
      <c r="M426" t="s">
        <v>178</v>
      </c>
      <c r="N426">
        <v>191.91669999999999</v>
      </c>
      <c r="O426">
        <v>94.75</v>
      </c>
      <c r="P426">
        <v>2784.79</v>
      </c>
      <c r="Q426">
        <v>10130.33</v>
      </c>
      <c r="R426">
        <v>2032.8011136499999</v>
      </c>
      <c r="S426">
        <v>1340.4753017999999</v>
      </c>
      <c r="T426">
        <v>1.1136500000000001E-3</v>
      </c>
      <c r="U426">
        <v>0</v>
      </c>
      <c r="V426">
        <v>2032.8</v>
      </c>
      <c r="W426" t="s">
        <v>822</v>
      </c>
      <c r="X426" t="s">
        <v>269</v>
      </c>
      <c r="Y426" t="s">
        <v>4340</v>
      </c>
      <c r="AA426" t="s">
        <v>4341</v>
      </c>
      <c r="AB426" t="s">
        <v>181</v>
      </c>
    </row>
    <row r="427" spans="1:28" x14ac:dyDescent="0.25">
      <c r="A427" t="s">
        <v>4211</v>
      </c>
      <c r="B427" t="s">
        <v>4212</v>
      </c>
      <c r="C427" t="s">
        <v>646</v>
      </c>
      <c r="D427" t="s">
        <v>3779</v>
      </c>
      <c r="E427" t="s">
        <v>647</v>
      </c>
      <c r="F427" t="s">
        <v>3780</v>
      </c>
      <c r="G427" t="s">
        <v>769</v>
      </c>
      <c r="H427" t="s">
        <v>757</v>
      </c>
      <c r="I427" t="s">
        <v>4213</v>
      </c>
      <c r="J427" t="s">
        <v>437</v>
      </c>
      <c r="K427" t="s">
        <v>166</v>
      </c>
      <c r="L427" t="s">
        <v>0</v>
      </c>
      <c r="M427" t="s">
        <v>178</v>
      </c>
      <c r="N427">
        <v>301.62220000000002</v>
      </c>
      <c r="O427">
        <v>221.62219999999999</v>
      </c>
      <c r="P427">
        <v>8368.48</v>
      </c>
      <c r="Q427">
        <v>11317.98</v>
      </c>
      <c r="R427">
        <v>834.52</v>
      </c>
      <c r="S427">
        <v>1871.9561010699999</v>
      </c>
      <c r="T427">
        <v>0</v>
      </c>
      <c r="U427">
        <v>0</v>
      </c>
      <c r="V427">
        <v>834.52</v>
      </c>
      <c r="W427" t="s">
        <v>510</v>
      </c>
      <c r="X427" t="s">
        <v>271</v>
      </c>
      <c r="Y427" t="s">
        <v>4214</v>
      </c>
      <c r="Z427" t="s">
        <v>4175</v>
      </c>
      <c r="AA427" t="s">
        <v>4215</v>
      </c>
      <c r="AB427" t="s">
        <v>181</v>
      </c>
    </row>
    <row r="428" spans="1:28" x14ac:dyDescent="0.25">
      <c r="A428" t="s">
        <v>3842</v>
      </c>
      <c r="B428" t="s">
        <v>3843</v>
      </c>
      <c r="C428" t="s">
        <v>646</v>
      </c>
      <c r="D428" t="s">
        <v>3779</v>
      </c>
      <c r="E428" t="s">
        <v>647</v>
      </c>
      <c r="F428" t="s">
        <v>3780</v>
      </c>
      <c r="G428" t="s">
        <v>769</v>
      </c>
      <c r="H428" t="s">
        <v>713</v>
      </c>
      <c r="I428" t="s">
        <v>3844</v>
      </c>
      <c r="J428" t="s">
        <v>3845</v>
      </c>
      <c r="K428" t="s">
        <v>166</v>
      </c>
      <c r="L428" t="s">
        <v>0</v>
      </c>
      <c r="M428" t="s">
        <v>178</v>
      </c>
      <c r="N428">
        <v>313</v>
      </c>
      <c r="O428">
        <v>45</v>
      </c>
      <c r="P428">
        <v>6496.57</v>
      </c>
      <c r="Q428">
        <v>6875.58</v>
      </c>
      <c r="R428">
        <v>772.19909842000004</v>
      </c>
      <c r="S428">
        <v>477.48995606</v>
      </c>
      <c r="T428">
        <v>-0.14090158</v>
      </c>
      <c r="U428">
        <v>0</v>
      </c>
      <c r="V428">
        <v>772.34</v>
      </c>
      <c r="W428" t="s">
        <v>3846</v>
      </c>
      <c r="X428" t="s">
        <v>271</v>
      </c>
      <c r="Y428" t="s">
        <v>3847</v>
      </c>
      <c r="AA428" t="s">
        <v>3848</v>
      </c>
      <c r="AB428" t="s">
        <v>181</v>
      </c>
    </row>
    <row r="429" spans="1:28" x14ac:dyDescent="0.25">
      <c r="A429" t="s">
        <v>4194</v>
      </c>
      <c r="B429" t="s">
        <v>4195</v>
      </c>
      <c r="C429" t="s">
        <v>646</v>
      </c>
      <c r="D429" t="s">
        <v>3779</v>
      </c>
      <c r="E429" t="s">
        <v>647</v>
      </c>
      <c r="F429" t="s">
        <v>3780</v>
      </c>
      <c r="G429" t="s">
        <v>769</v>
      </c>
      <c r="H429" t="s">
        <v>713</v>
      </c>
      <c r="I429" t="s">
        <v>1190</v>
      </c>
      <c r="J429" t="s">
        <v>1191</v>
      </c>
      <c r="K429" t="s">
        <v>166</v>
      </c>
      <c r="L429" t="s">
        <v>0</v>
      </c>
      <c r="M429" t="s">
        <v>178</v>
      </c>
      <c r="N429">
        <v>71</v>
      </c>
      <c r="O429">
        <v>40</v>
      </c>
      <c r="P429">
        <v>936.35</v>
      </c>
      <c r="Q429">
        <v>2874.99</v>
      </c>
      <c r="R429">
        <v>162.69999999999999</v>
      </c>
      <c r="S429">
        <v>590.08540286000004</v>
      </c>
      <c r="T429">
        <v>42</v>
      </c>
      <c r="U429">
        <v>0</v>
      </c>
      <c r="V429">
        <v>162.69999999999999</v>
      </c>
      <c r="W429" t="s">
        <v>282</v>
      </c>
      <c r="X429" t="s">
        <v>271</v>
      </c>
      <c r="Y429" t="s">
        <v>4059</v>
      </c>
      <c r="AA429" t="s">
        <v>2171</v>
      </c>
      <c r="AB429" t="s">
        <v>181</v>
      </c>
    </row>
    <row r="430" spans="1:28" x14ac:dyDescent="0.25">
      <c r="A430" t="s">
        <v>4252</v>
      </c>
      <c r="B430" t="s">
        <v>4253</v>
      </c>
      <c r="C430" t="s">
        <v>646</v>
      </c>
      <c r="D430" t="s">
        <v>3779</v>
      </c>
      <c r="E430" t="s">
        <v>647</v>
      </c>
      <c r="F430" t="s">
        <v>3780</v>
      </c>
      <c r="G430" t="s">
        <v>769</v>
      </c>
      <c r="H430" t="s">
        <v>649</v>
      </c>
      <c r="I430" t="s">
        <v>1046</v>
      </c>
      <c r="J430" t="s">
        <v>971</v>
      </c>
      <c r="K430" t="s">
        <v>166</v>
      </c>
      <c r="L430" t="s">
        <v>0</v>
      </c>
      <c r="M430" t="s">
        <v>178</v>
      </c>
      <c r="N430">
        <v>453</v>
      </c>
      <c r="O430">
        <v>410</v>
      </c>
      <c r="P430">
        <v>4739.3999999999996</v>
      </c>
      <c r="Q430">
        <v>16256.26</v>
      </c>
      <c r="R430">
        <v>1710.49</v>
      </c>
      <c r="S430">
        <v>1408.7877271699999</v>
      </c>
      <c r="T430">
        <v>0</v>
      </c>
      <c r="U430">
        <v>0</v>
      </c>
      <c r="V430">
        <v>1710.49</v>
      </c>
      <c r="W430" t="s">
        <v>972</v>
      </c>
      <c r="X430" t="s">
        <v>269</v>
      </c>
      <c r="Y430" t="s">
        <v>4254</v>
      </c>
      <c r="AA430" t="s">
        <v>4255</v>
      </c>
      <c r="AB430" t="s">
        <v>181</v>
      </c>
    </row>
    <row r="431" spans="1:28" x14ac:dyDescent="0.25">
      <c r="A431" t="s">
        <v>4280</v>
      </c>
      <c r="B431" t="s">
        <v>4281</v>
      </c>
      <c r="C431" t="s">
        <v>646</v>
      </c>
      <c r="D431" t="s">
        <v>3779</v>
      </c>
      <c r="E431" t="s">
        <v>647</v>
      </c>
      <c r="F431" t="s">
        <v>3780</v>
      </c>
      <c r="G431" t="s">
        <v>769</v>
      </c>
      <c r="H431" t="s">
        <v>672</v>
      </c>
      <c r="I431" t="s">
        <v>1872</v>
      </c>
      <c r="J431" t="s">
        <v>1873</v>
      </c>
      <c r="K431" t="s">
        <v>166</v>
      </c>
      <c r="L431" t="s">
        <v>0</v>
      </c>
      <c r="M431" t="s">
        <v>178</v>
      </c>
      <c r="N431">
        <v>258</v>
      </c>
      <c r="O431">
        <v>180</v>
      </c>
      <c r="P431">
        <v>5210.88</v>
      </c>
      <c r="Q431">
        <v>10336.200000000001</v>
      </c>
      <c r="R431">
        <v>1546.59224313</v>
      </c>
      <c r="S431">
        <v>1855.7592037300001</v>
      </c>
      <c r="T431">
        <v>0.53224313000000001</v>
      </c>
      <c r="U431">
        <v>0</v>
      </c>
      <c r="V431">
        <v>1546.06</v>
      </c>
      <c r="W431" t="s">
        <v>1874</v>
      </c>
      <c r="X431" t="s">
        <v>271</v>
      </c>
      <c r="Y431" t="s">
        <v>4282</v>
      </c>
      <c r="AA431" t="s">
        <v>4283</v>
      </c>
      <c r="AB431" t="s">
        <v>181</v>
      </c>
    </row>
    <row r="432" spans="1:28" x14ac:dyDescent="0.25">
      <c r="A432" t="s">
        <v>3801</v>
      </c>
      <c r="B432" t="s">
        <v>3802</v>
      </c>
      <c r="C432" t="s">
        <v>646</v>
      </c>
      <c r="D432" t="s">
        <v>3779</v>
      </c>
      <c r="E432" t="s">
        <v>647</v>
      </c>
      <c r="F432" t="s">
        <v>666</v>
      </c>
      <c r="G432" t="s">
        <v>666</v>
      </c>
      <c r="H432" t="s">
        <v>802</v>
      </c>
      <c r="I432" t="s">
        <v>3803</v>
      </c>
      <c r="J432" t="s">
        <v>2577</v>
      </c>
      <c r="K432" t="s">
        <v>166</v>
      </c>
      <c r="L432" t="s">
        <v>0</v>
      </c>
      <c r="M432" t="s">
        <v>178</v>
      </c>
      <c r="N432">
        <v>110.2916</v>
      </c>
      <c r="O432">
        <v>57.166600000000003</v>
      </c>
      <c r="P432">
        <v>1752.06</v>
      </c>
      <c r="Q432">
        <v>7160.19</v>
      </c>
      <c r="R432">
        <v>2001.99</v>
      </c>
      <c r="S432">
        <v>375.98707292</v>
      </c>
      <c r="T432">
        <v>0</v>
      </c>
      <c r="U432">
        <v>0</v>
      </c>
      <c r="V432">
        <v>2001.99</v>
      </c>
      <c r="W432" t="s">
        <v>2578</v>
      </c>
      <c r="X432" t="s">
        <v>271</v>
      </c>
      <c r="Y432" t="s">
        <v>3804</v>
      </c>
      <c r="AA432" t="s">
        <v>3805</v>
      </c>
      <c r="AB432" t="s">
        <v>181</v>
      </c>
    </row>
    <row r="433" spans="1:28" x14ac:dyDescent="0.25">
      <c r="A433" t="s">
        <v>4196</v>
      </c>
      <c r="B433" t="s">
        <v>4197</v>
      </c>
      <c r="C433" t="s">
        <v>646</v>
      </c>
      <c r="D433" t="s">
        <v>3779</v>
      </c>
      <c r="E433" t="s">
        <v>647</v>
      </c>
      <c r="F433" t="s">
        <v>3780</v>
      </c>
      <c r="G433" t="s">
        <v>769</v>
      </c>
      <c r="H433" t="s">
        <v>757</v>
      </c>
      <c r="I433" t="s">
        <v>4198</v>
      </c>
      <c r="J433" t="s">
        <v>870</v>
      </c>
      <c r="K433" t="s">
        <v>166</v>
      </c>
      <c r="L433" t="s">
        <v>0</v>
      </c>
      <c r="M433" t="s">
        <v>178</v>
      </c>
      <c r="N433">
        <v>64</v>
      </c>
      <c r="O433">
        <v>64</v>
      </c>
      <c r="P433">
        <v>1943.58</v>
      </c>
      <c r="Q433">
        <v>1662.83</v>
      </c>
      <c r="R433">
        <v>283.97000000000003</v>
      </c>
      <c r="S433">
        <v>560.44887101999996</v>
      </c>
      <c r="T433">
        <v>0</v>
      </c>
      <c r="U433">
        <v>0</v>
      </c>
      <c r="V433">
        <v>283.97000000000003</v>
      </c>
      <c r="W433" t="s">
        <v>871</v>
      </c>
      <c r="X433" t="s">
        <v>271</v>
      </c>
      <c r="Y433" t="s">
        <v>4199</v>
      </c>
      <c r="AA433" t="s">
        <v>4200</v>
      </c>
      <c r="AB433" t="s">
        <v>181</v>
      </c>
    </row>
    <row r="434" spans="1:28" x14ac:dyDescent="0.25">
      <c r="A434" t="s">
        <v>3952</v>
      </c>
      <c r="B434" t="s">
        <v>3953</v>
      </c>
      <c r="C434" t="s">
        <v>646</v>
      </c>
      <c r="D434" t="s">
        <v>3779</v>
      </c>
      <c r="E434" t="s">
        <v>647</v>
      </c>
      <c r="F434" t="s">
        <v>666</v>
      </c>
      <c r="G434" t="s">
        <v>666</v>
      </c>
      <c r="H434" t="s">
        <v>757</v>
      </c>
      <c r="I434" t="s">
        <v>2032</v>
      </c>
      <c r="J434" t="s">
        <v>311</v>
      </c>
      <c r="K434" t="s">
        <v>166</v>
      </c>
      <c r="L434" t="s">
        <v>0</v>
      </c>
      <c r="M434" t="s">
        <v>178</v>
      </c>
      <c r="N434">
        <v>1130.0999999999999</v>
      </c>
      <c r="O434">
        <v>813.1</v>
      </c>
      <c r="P434">
        <v>20901.38</v>
      </c>
      <c r="Q434">
        <v>28890.58</v>
      </c>
      <c r="R434">
        <v>67.656580320000003</v>
      </c>
      <c r="S434">
        <v>6348.3086805299999</v>
      </c>
      <c r="T434">
        <v>546.02658031999999</v>
      </c>
      <c r="U434">
        <v>2636.92</v>
      </c>
      <c r="V434">
        <v>2699.05</v>
      </c>
      <c r="W434" t="s">
        <v>312</v>
      </c>
      <c r="X434" t="s">
        <v>271</v>
      </c>
      <c r="Y434" t="s">
        <v>3954</v>
      </c>
      <c r="AA434" t="s">
        <v>3955</v>
      </c>
      <c r="AB434" t="s">
        <v>181</v>
      </c>
    </row>
    <row r="435" spans="1:28" x14ac:dyDescent="0.25">
      <c r="A435" t="s">
        <v>4064</v>
      </c>
      <c r="B435" t="s">
        <v>4065</v>
      </c>
      <c r="C435" t="s">
        <v>646</v>
      </c>
      <c r="D435" t="s">
        <v>3779</v>
      </c>
      <c r="E435" t="s">
        <v>647</v>
      </c>
      <c r="F435" t="s">
        <v>3780</v>
      </c>
      <c r="G435" t="s">
        <v>769</v>
      </c>
      <c r="H435" t="s">
        <v>1171</v>
      </c>
      <c r="I435" t="s">
        <v>2469</v>
      </c>
      <c r="J435" t="s">
        <v>2470</v>
      </c>
      <c r="K435" t="s">
        <v>166</v>
      </c>
      <c r="L435" t="s">
        <v>0</v>
      </c>
      <c r="M435" t="s">
        <v>178</v>
      </c>
      <c r="N435">
        <v>86</v>
      </c>
      <c r="O435">
        <v>72</v>
      </c>
      <c r="P435">
        <v>5321.25</v>
      </c>
      <c r="Q435">
        <v>18875.39</v>
      </c>
      <c r="R435">
        <v>1304.07</v>
      </c>
      <c r="S435">
        <v>491.51459768000001</v>
      </c>
      <c r="T435">
        <v>0</v>
      </c>
      <c r="U435">
        <v>0</v>
      </c>
      <c r="V435">
        <v>1304.07</v>
      </c>
      <c r="W435" t="s">
        <v>4066</v>
      </c>
      <c r="X435" t="s">
        <v>271</v>
      </c>
      <c r="Y435" t="s">
        <v>4067</v>
      </c>
      <c r="AA435" t="s">
        <v>4068</v>
      </c>
      <c r="AB435" t="s">
        <v>181</v>
      </c>
    </row>
    <row r="436" spans="1:28" x14ac:dyDescent="0.25">
      <c r="A436" t="s">
        <v>4298</v>
      </c>
      <c r="B436" t="s">
        <v>4299</v>
      </c>
      <c r="C436" t="s">
        <v>646</v>
      </c>
      <c r="D436" t="s">
        <v>3779</v>
      </c>
      <c r="E436" t="s">
        <v>647</v>
      </c>
      <c r="F436" t="s">
        <v>666</v>
      </c>
      <c r="G436" t="s">
        <v>666</v>
      </c>
      <c r="H436" t="s">
        <v>717</v>
      </c>
      <c r="I436" t="s">
        <v>4300</v>
      </c>
      <c r="J436" t="s">
        <v>511</v>
      </c>
      <c r="K436" t="s">
        <v>166</v>
      </c>
      <c r="L436" t="s">
        <v>0</v>
      </c>
      <c r="M436" t="s">
        <v>178</v>
      </c>
      <c r="N436">
        <v>527</v>
      </c>
      <c r="O436">
        <v>19</v>
      </c>
      <c r="P436">
        <v>10132.370000000001</v>
      </c>
      <c r="Q436">
        <v>27831.91</v>
      </c>
      <c r="R436">
        <v>811.18</v>
      </c>
      <c r="S436">
        <v>380.83238724</v>
      </c>
      <c r="T436">
        <v>693</v>
      </c>
      <c r="U436">
        <v>0</v>
      </c>
      <c r="V436">
        <v>829.18</v>
      </c>
      <c r="W436" t="s">
        <v>510</v>
      </c>
      <c r="X436" t="s">
        <v>271</v>
      </c>
      <c r="Y436" t="s">
        <v>4301</v>
      </c>
      <c r="Z436" t="s">
        <v>4302</v>
      </c>
      <c r="AA436" t="s">
        <v>4303</v>
      </c>
      <c r="AB436" t="s">
        <v>181</v>
      </c>
    </row>
    <row r="437" spans="1:28" x14ac:dyDescent="0.25">
      <c r="A437" t="s">
        <v>3992</v>
      </c>
      <c r="B437" t="s">
        <v>3993</v>
      </c>
      <c r="C437" t="s">
        <v>646</v>
      </c>
      <c r="D437" t="s">
        <v>3779</v>
      </c>
      <c r="E437" t="s">
        <v>647</v>
      </c>
      <c r="F437" t="s">
        <v>3780</v>
      </c>
      <c r="G437" t="s">
        <v>769</v>
      </c>
      <c r="H437" t="s">
        <v>770</v>
      </c>
      <c r="I437" t="s">
        <v>3994</v>
      </c>
      <c r="J437" t="s">
        <v>3995</v>
      </c>
      <c r="K437" t="s">
        <v>166</v>
      </c>
      <c r="L437" t="s">
        <v>0</v>
      </c>
      <c r="M437" t="s">
        <v>178</v>
      </c>
      <c r="N437">
        <v>228</v>
      </c>
      <c r="O437">
        <v>138</v>
      </c>
      <c r="P437">
        <v>9392</v>
      </c>
      <c r="Q437">
        <v>3754.97</v>
      </c>
      <c r="R437">
        <v>-297.70100558000001</v>
      </c>
      <c r="S437">
        <v>687.00131128999999</v>
      </c>
      <c r="T437">
        <v>40.578994420000001</v>
      </c>
      <c r="U437">
        <v>166.05</v>
      </c>
      <c r="V437">
        <v>-131.72999999999999</v>
      </c>
      <c r="W437" t="s">
        <v>250</v>
      </c>
      <c r="X437" t="s">
        <v>269</v>
      </c>
      <c r="Y437" t="s">
        <v>3996</v>
      </c>
      <c r="AA437" t="s">
        <v>3997</v>
      </c>
      <c r="AB437" t="s">
        <v>181</v>
      </c>
    </row>
    <row r="438" spans="1:28" x14ac:dyDescent="0.25">
      <c r="A438" t="s">
        <v>4256</v>
      </c>
      <c r="B438" t="s">
        <v>4257</v>
      </c>
      <c r="C438" t="s">
        <v>646</v>
      </c>
      <c r="D438" t="s">
        <v>3779</v>
      </c>
      <c r="E438" t="s">
        <v>647</v>
      </c>
      <c r="F438" t="s">
        <v>3780</v>
      </c>
      <c r="G438" t="s">
        <v>769</v>
      </c>
      <c r="H438" t="s">
        <v>703</v>
      </c>
      <c r="I438" t="s">
        <v>2284</v>
      </c>
      <c r="J438" t="s">
        <v>2285</v>
      </c>
      <c r="K438" t="s">
        <v>166</v>
      </c>
      <c r="L438" t="s">
        <v>0</v>
      </c>
      <c r="M438" t="s">
        <v>178</v>
      </c>
      <c r="N438">
        <v>394.91699999999997</v>
      </c>
      <c r="O438">
        <v>346.25049999999999</v>
      </c>
      <c r="P438">
        <v>11464.93</v>
      </c>
      <c r="Q438">
        <v>15812.29</v>
      </c>
      <c r="R438">
        <v>5205.5851896800004</v>
      </c>
      <c r="S438">
        <v>3033.5318847200001</v>
      </c>
      <c r="T438">
        <v>7.5189679999999995E-2</v>
      </c>
      <c r="U438">
        <v>0</v>
      </c>
      <c r="V438">
        <v>5205.51</v>
      </c>
      <c r="W438" t="s">
        <v>453</v>
      </c>
      <c r="X438" t="s">
        <v>271</v>
      </c>
      <c r="Y438" t="s">
        <v>4258</v>
      </c>
      <c r="AA438" t="s">
        <v>4259</v>
      </c>
      <c r="AB438" t="s">
        <v>181</v>
      </c>
    </row>
    <row r="439" spans="1:28" x14ac:dyDescent="0.25">
      <c r="A439" t="s">
        <v>3952</v>
      </c>
      <c r="B439" t="s">
        <v>3953</v>
      </c>
      <c r="C439" t="s">
        <v>646</v>
      </c>
      <c r="D439" t="s">
        <v>3779</v>
      </c>
      <c r="E439" t="s">
        <v>647</v>
      </c>
      <c r="F439" t="s">
        <v>666</v>
      </c>
      <c r="G439" t="s">
        <v>666</v>
      </c>
      <c r="H439" t="s">
        <v>1171</v>
      </c>
      <c r="I439" t="s">
        <v>2032</v>
      </c>
      <c r="J439" t="s">
        <v>311</v>
      </c>
      <c r="K439" t="s">
        <v>166</v>
      </c>
      <c r="L439" t="s">
        <v>0</v>
      </c>
      <c r="M439" t="s">
        <v>178</v>
      </c>
      <c r="N439">
        <v>439</v>
      </c>
      <c r="O439">
        <v>211</v>
      </c>
      <c r="P439">
        <v>12901.98</v>
      </c>
      <c r="Q439">
        <v>86663.63</v>
      </c>
      <c r="R439">
        <v>5354.9901712399997</v>
      </c>
      <c r="S439">
        <v>1488.42488024</v>
      </c>
      <c r="T439">
        <v>18.310171239999999</v>
      </c>
      <c r="U439">
        <v>578.01</v>
      </c>
      <c r="V439">
        <v>5914.69</v>
      </c>
      <c r="W439" t="s">
        <v>312</v>
      </c>
      <c r="X439" t="s">
        <v>271</v>
      </c>
      <c r="Y439" t="s">
        <v>3954</v>
      </c>
      <c r="AA439" t="s">
        <v>3955</v>
      </c>
      <c r="AB439" t="s">
        <v>181</v>
      </c>
    </row>
    <row r="440" spans="1:28" x14ac:dyDescent="0.25">
      <c r="A440" t="s">
        <v>4179</v>
      </c>
      <c r="B440" t="s">
        <v>4180</v>
      </c>
      <c r="C440" t="s">
        <v>646</v>
      </c>
      <c r="D440" t="s">
        <v>3779</v>
      </c>
      <c r="E440" t="s">
        <v>647</v>
      </c>
      <c r="F440" t="s">
        <v>3780</v>
      </c>
      <c r="G440" t="s">
        <v>769</v>
      </c>
      <c r="H440" t="s">
        <v>770</v>
      </c>
      <c r="I440" t="s">
        <v>4181</v>
      </c>
      <c r="J440" t="s">
        <v>816</v>
      </c>
      <c r="K440" t="s">
        <v>166</v>
      </c>
      <c r="L440" t="s">
        <v>0</v>
      </c>
      <c r="M440" t="s">
        <v>178</v>
      </c>
      <c r="N440">
        <v>277</v>
      </c>
      <c r="O440">
        <v>236</v>
      </c>
      <c r="P440">
        <v>5739</v>
      </c>
      <c r="Q440">
        <v>6867.47</v>
      </c>
      <c r="R440">
        <v>1772.22</v>
      </c>
      <c r="S440">
        <v>827.01484146999996</v>
      </c>
      <c r="T440">
        <v>0</v>
      </c>
      <c r="U440">
        <v>0</v>
      </c>
      <c r="V440">
        <v>1772.22</v>
      </c>
      <c r="W440" t="s">
        <v>1490</v>
      </c>
      <c r="X440" t="s">
        <v>271</v>
      </c>
      <c r="Y440" t="s">
        <v>4182</v>
      </c>
      <c r="AA440" t="s">
        <v>4183</v>
      </c>
      <c r="AB440" t="s">
        <v>181</v>
      </c>
    </row>
    <row r="441" spans="1:28" x14ac:dyDescent="0.25">
      <c r="A441" t="s">
        <v>3797</v>
      </c>
      <c r="B441" t="s">
        <v>3798</v>
      </c>
      <c r="C441" t="s">
        <v>646</v>
      </c>
      <c r="D441" t="s">
        <v>3779</v>
      </c>
      <c r="E441" t="s">
        <v>647</v>
      </c>
      <c r="F441" t="s">
        <v>3780</v>
      </c>
      <c r="G441" t="s">
        <v>769</v>
      </c>
      <c r="H441" t="s">
        <v>679</v>
      </c>
      <c r="I441" t="s">
        <v>725</v>
      </c>
      <c r="J441" t="s">
        <v>726</v>
      </c>
      <c r="K441" t="s">
        <v>166</v>
      </c>
      <c r="L441" t="s">
        <v>0</v>
      </c>
      <c r="M441" t="s">
        <v>178</v>
      </c>
      <c r="N441">
        <v>987.79169999999999</v>
      </c>
      <c r="O441">
        <v>698.79169999999999</v>
      </c>
      <c r="P441">
        <v>12525.69</v>
      </c>
      <c r="Q441">
        <v>36138.99</v>
      </c>
      <c r="R441">
        <v>-34.875413029999997</v>
      </c>
      <c r="S441">
        <v>10763.649314419999</v>
      </c>
      <c r="T441">
        <v>1913.6845869700001</v>
      </c>
      <c r="U441">
        <v>3249.82</v>
      </c>
      <c r="V441">
        <v>3239.76</v>
      </c>
      <c r="W441" t="s">
        <v>0</v>
      </c>
      <c r="X441" t="s">
        <v>271</v>
      </c>
      <c r="Y441" t="s">
        <v>3799</v>
      </c>
      <c r="AA441" t="s">
        <v>3800</v>
      </c>
      <c r="AB441" t="s">
        <v>181</v>
      </c>
    </row>
    <row r="442" spans="1:28" x14ac:dyDescent="0.25">
      <c r="A442" t="s">
        <v>3977</v>
      </c>
      <c r="B442" t="s">
        <v>3978</v>
      </c>
      <c r="C442" t="s">
        <v>646</v>
      </c>
      <c r="D442" t="s">
        <v>3779</v>
      </c>
      <c r="E442" t="s">
        <v>647</v>
      </c>
      <c r="F442" t="s">
        <v>3780</v>
      </c>
      <c r="G442" t="s">
        <v>769</v>
      </c>
      <c r="H442" t="s">
        <v>717</v>
      </c>
      <c r="I442" t="s">
        <v>1489</v>
      </c>
      <c r="J442" t="s">
        <v>816</v>
      </c>
      <c r="K442" t="s">
        <v>166</v>
      </c>
      <c r="L442" t="s">
        <v>0</v>
      </c>
      <c r="M442" t="s">
        <v>178</v>
      </c>
      <c r="N442">
        <v>66</v>
      </c>
      <c r="O442">
        <v>34</v>
      </c>
      <c r="P442">
        <v>943.76</v>
      </c>
      <c r="Q442">
        <v>3473.7</v>
      </c>
      <c r="R442">
        <v>824.28</v>
      </c>
      <c r="S442">
        <v>223.33070841</v>
      </c>
      <c r="T442">
        <v>0</v>
      </c>
      <c r="U442">
        <v>0</v>
      </c>
      <c r="V442">
        <v>824.28</v>
      </c>
      <c r="W442" t="s">
        <v>817</v>
      </c>
      <c r="X442" t="s">
        <v>271</v>
      </c>
      <c r="Y442" t="s">
        <v>3979</v>
      </c>
      <c r="AA442" t="s">
        <v>3980</v>
      </c>
      <c r="AB442" t="s">
        <v>181</v>
      </c>
    </row>
    <row r="443" spans="1:28" x14ac:dyDescent="0.25">
      <c r="A443" t="s">
        <v>3877</v>
      </c>
      <c r="B443" t="s">
        <v>3878</v>
      </c>
      <c r="C443" t="s">
        <v>646</v>
      </c>
      <c r="D443" t="s">
        <v>3779</v>
      </c>
      <c r="E443" t="s">
        <v>647</v>
      </c>
      <c r="F443" t="s">
        <v>648</v>
      </c>
      <c r="G443" t="s">
        <v>648</v>
      </c>
      <c r="H443" t="s">
        <v>703</v>
      </c>
      <c r="I443" t="s">
        <v>3879</v>
      </c>
      <c r="J443" t="s">
        <v>3880</v>
      </c>
      <c r="K443" t="s">
        <v>166</v>
      </c>
      <c r="L443" t="s">
        <v>0</v>
      </c>
      <c r="M443" t="s">
        <v>178</v>
      </c>
      <c r="N443">
        <v>28</v>
      </c>
      <c r="O443">
        <v>6</v>
      </c>
      <c r="P443">
        <v>720.06</v>
      </c>
      <c r="Q443">
        <v>1199.3699999999999</v>
      </c>
      <c r="R443">
        <v>92.95</v>
      </c>
      <c r="S443">
        <v>91.511067819999994</v>
      </c>
      <c r="T443">
        <v>0</v>
      </c>
      <c r="U443">
        <v>0</v>
      </c>
      <c r="V443">
        <v>92.95</v>
      </c>
      <c r="W443" t="s">
        <v>1079</v>
      </c>
      <c r="X443" t="s">
        <v>271</v>
      </c>
      <c r="Y443" t="s">
        <v>3881</v>
      </c>
      <c r="AA443" t="s">
        <v>3882</v>
      </c>
      <c r="AB443" t="s">
        <v>181</v>
      </c>
    </row>
    <row r="444" spans="1:28" x14ac:dyDescent="0.25">
      <c r="A444" t="s">
        <v>3810</v>
      </c>
      <c r="B444" t="s">
        <v>3811</v>
      </c>
      <c r="C444" t="s">
        <v>646</v>
      </c>
      <c r="D444" t="s">
        <v>3779</v>
      </c>
      <c r="E444" t="s">
        <v>647</v>
      </c>
      <c r="F444" t="s">
        <v>3780</v>
      </c>
      <c r="G444" t="s">
        <v>769</v>
      </c>
      <c r="H444" t="s">
        <v>649</v>
      </c>
      <c r="I444" t="s">
        <v>771</v>
      </c>
      <c r="J444" t="s">
        <v>319</v>
      </c>
      <c r="K444" t="s">
        <v>166</v>
      </c>
      <c r="L444" t="s">
        <v>0</v>
      </c>
      <c r="M444" t="s">
        <v>178</v>
      </c>
      <c r="N444">
        <v>4835</v>
      </c>
      <c r="O444">
        <v>251</v>
      </c>
      <c r="P444">
        <v>109998.15</v>
      </c>
      <c r="Q444">
        <v>296541.2</v>
      </c>
      <c r="R444">
        <v>10364.950000000001</v>
      </c>
      <c r="S444">
        <v>5050.6475984299996</v>
      </c>
      <c r="T444">
        <v>1805.22</v>
      </c>
      <c r="U444">
        <v>0</v>
      </c>
      <c r="V444">
        <v>10372.790000000001</v>
      </c>
      <c r="W444" t="s">
        <v>0</v>
      </c>
      <c r="X444" t="s">
        <v>271</v>
      </c>
      <c r="Y444" t="s">
        <v>3812</v>
      </c>
      <c r="AA444" t="s">
        <v>3813</v>
      </c>
      <c r="AB444" t="s">
        <v>181</v>
      </c>
    </row>
    <row r="445" spans="1:28" x14ac:dyDescent="0.25">
      <c r="A445" t="s">
        <v>4292</v>
      </c>
      <c r="B445" t="s">
        <v>4293</v>
      </c>
      <c r="C445" t="s">
        <v>646</v>
      </c>
      <c r="D445" t="s">
        <v>3779</v>
      </c>
      <c r="E445" t="s">
        <v>647</v>
      </c>
      <c r="F445" t="s">
        <v>3780</v>
      </c>
      <c r="G445" t="s">
        <v>769</v>
      </c>
      <c r="H445" t="s">
        <v>730</v>
      </c>
      <c r="I445" t="s">
        <v>4294</v>
      </c>
      <c r="J445" t="s">
        <v>4295</v>
      </c>
      <c r="K445" t="s">
        <v>166</v>
      </c>
      <c r="L445" t="s">
        <v>0</v>
      </c>
      <c r="M445" t="s">
        <v>178</v>
      </c>
      <c r="N445">
        <v>11</v>
      </c>
      <c r="O445">
        <v>11</v>
      </c>
      <c r="P445">
        <v>306.72000000000003</v>
      </c>
      <c r="Q445">
        <v>248.7</v>
      </c>
      <c r="R445">
        <v>75.67</v>
      </c>
      <c r="S445">
        <v>23.76407476</v>
      </c>
      <c r="T445">
        <v>0</v>
      </c>
      <c r="U445">
        <v>0</v>
      </c>
      <c r="V445">
        <v>75.67</v>
      </c>
      <c r="W445" t="s">
        <v>0</v>
      </c>
      <c r="X445" t="s">
        <v>271</v>
      </c>
      <c r="Y445" t="s">
        <v>4296</v>
      </c>
      <c r="AA445" t="s">
        <v>4297</v>
      </c>
      <c r="AB445" t="s">
        <v>181</v>
      </c>
    </row>
    <row r="446" spans="1:28" x14ac:dyDescent="0.25">
      <c r="A446" t="s">
        <v>3823</v>
      </c>
      <c r="B446" t="s">
        <v>3824</v>
      </c>
      <c r="C446" t="s">
        <v>646</v>
      </c>
      <c r="D446" t="s">
        <v>3779</v>
      </c>
      <c r="E446" t="s">
        <v>647</v>
      </c>
      <c r="F446" t="s">
        <v>3780</v>
      </c>
      <c r="G446" t="s">
        <v>769</v>
      </c>
      <c r="H446" t="s">
        <v>679</v>
      </c>
      <c r="I446" t="s">
        <v>1801</v>
      </c>
      <c r="J446" t="s">
        <v>437</v>
      </c>
      <c r="K446" t="s">
        <v>166</v>
      </c>
      <c r="L446" t="s">
        <v>0</v>
      </c>
      <c r="M446" t="s">
        <v>178</v>
      </c>
      <c r="N446">
        <v>207.9667</v>
      </c>
      <c r="O446">
        <v>161.9667</v>
      </c>
      <c r="P446">
        <v>2290.09</v>
      </c>
      <c r="Q446">
        <v>7065.46</v>
      </c>
      <c r="R446">
        <v>614.13147717000004</v>
      </c>
      <c r="S446">
        <v>2441.7212991400002</v>
      </c>
      <c r="T446">
        <v>-5.1485228300000001</v>
      </c>
      <c r="U446">
        <v>0</v>
      </c>
      <c r="V446">
        <v>619.28</v>
      </c>
      <c r="W446" t="s">
        <v>510</v>
      </c>
      <c r="X446" t="s">
        <v>271</v>
      </c>
      <c r="Y446" t="s">
        <v>3825</v>
      </c>
      <c r="AA446" t="s">
        <v>3826</v>
      </c>
      <c r="AB446" t="s">
        <v>181</v>
      </c>
    </row>
    <row r="447" spans="1:28" x14ac:dyDescent="0.25">
      <c r="A447" t="s">
        <v>4022</v>
      </c>
      <c r="B447" t="s">
        <v>4023</v>
      </c>
      <c r="C447" t="s">
        <v>646</v>
      </c>
      <c r="D447" t="s">
        <v>3779</v>
      </c>
      <c r="E447" t="s">
        <v>647</v>
      </c>
      <c r="F447" t="s">
        <v>3780</v>
      </c>
      <c r="G447" t="s">
        <v>769</v>
      </c>
      <c r="H447" t="s">
        <v>679</v>
      </c>
      <c r="I447" t="s">
        <v>4024</v>
      </c>
      <c r="J447" t="s">
        <v>447</v>
      </c>
      <c r="K447" t="s">
        <v>166</v>
      </c>
      <c r="L447" t="s">
        <v>0</v>
      </c>
      <c r="M447" t="s">
        <v>178</v>
      </c>
      <c r="N447">
        <v>25</v>
      </c>
      <c r="O447">
        <v>17</v>
      </c>
      <c r="P447">
        <v>326.02</v>
      </c>
      <c r="Q447">
        <v>1245.55</v>
      </c>
      <c r="R447">
        <v>65.445305169999997</v>
      </c>
      <c r="S447">
        <v>319.08267709</v>
      </c>
      <c r="T447">
        <v>-0.78469482999999995</v>
      </c>
      <c r="U447">
        <v>0</v>
      </c>
      <c r="V447">
        <v>66.23</v>
      </c>
      <c r="W447" t="s">
        <v>446</v>
      </c>
      <c r="X447" t="s">
        <v>271</v>
      </c>
      <c r="Y447" t="s">
        <v>4025</v>
      </c>
      <c r="AA447" t="s">
        <v>4026</v>
      </c>
      <c r="AB447" t="s">
        <v>181</v>
      </c>
    </row>
    <row r="448" spans="1:28" x14ac:dyDescent="0.25">
      <c r="A448" t="s">
        <v>4082</v>
      </c>
      <c r="B448" t="s">
        <v>257</v>
      </c>
      <c r="C448" t="s">
        <v>646</v>
      </c>
      <c r="D448" t="s">
        <v>3779</v>
      </c>
      <c r="E448" t="s">
        <v>647</v>
      </c>
      <c r="F448" t="s">
        <v>3780</v>
      </c>
      <c r="G448" t="s">
        <v>769</v>
      </c>
      <c r="H448" t="s">
        <v>672</v>
      </c>
      <c r="I448" t="s">
        <v>4083</v>
      </c>
      <c r="J448" t="s">
        <v>1972</v>
      </c>
      <c r="K448" t="s">
        <v>166</v>
      </c>
      <c r="L448" t="s">
        <v>0</v>
      </c>
      <c r="M448" t="s">
        <v>178</v>
      </c>
      <c r="N448">
        <v>457</v>
      </c>
      <c r="O448">
        <v>155</v>
      </c>
      <c r="P448">
        <v>7792.17</v>
      </c>
      <c r="Q448">
        <v>25910.68</v>
      </c>
      <c r="R448">
        <v>4387.3100000000004</v>
      </c>
      <c r="S448">
        <v>432.27124121000003</v>
      </c>
      <c r="T448">
        <v>0</v>
      </c>
      <c r="U448">
        <v>0</v>
      </c>
      <c r="V448">
        <v>4387.3100000000004</v>
      </c>
      <c r="W448" t="s">
        <v>1973</v>
      </c>
      <c r="X448" t="s">
        <v>271</v>
      </c>
      <c r="Y448" t="s">
        <v>4084</v>
      </c>
      <c r="AA448" t="s">
        <v>4085</v>
      </c>
      <c r="AB448" t="s">
        <v>181</v>
      </c>
    </row>
    <row r="449" spans="1:28" x14ac:dyDescent="0.25">
      <c r="A449" t="s">
        <v>4155</v>
      </c>
      <c r="B449" t="s">
        <v>4156</v>
      </c>
      <c r="C449" t="s">
        <v>646</v>
      </c>
      <c r="D449" t="s">
        <v>3779</v>
      </c>
      <c r="E449" t="s">
        <v>647</v>
      </c>
      <c r="F449" t="s">
        <v>3780</v>
      </c>
      <c r="G449" t="s">
        <v>769</v>
      </c>
      <c r="H449" t="s">
        <v>1171</v>
      </c>
      <c r="I449" t="s">
        <v>885</v>
      </c>
      <c r="J449" t="s">
        <v>324</v>
      </c>
      <c r="K449" t="s">
        <v>166</v>
      </c>
      <c r="L449" t="s">
        <v>0</v>
      </c>
      <c r="M449" t="s">
        <v>178</v>
      </c>
      <c r="N449">
        <v>67</v>
      </c>
      <c r="O449">
        <v>6</v>
      </c>
      <c r="P449">
        <v>1691</v>
      </c>
      <c r="Q449">
        <v>5652.87</v>
      </c>
      <c r="R449">
        <v>345.55200187000003</v>
      </c>
      <c r="S449">
        <v>61.474124629999999</v>
      </c>
      <c r="T449">
        <v>0.28200186999999999</v>
      </c>
      <c r="U449">
        <v>0</v>
      </c>
      <c r="V449">
        <v>345.27</v>
      </c>
      <c r="W449" t="s">
        <v>519</v>
      </c>
      <c r="X449" t="s">
        <v>271</v>
      </c>
      <c r="Y449" t="s">
        <v>4157</v>
      </c>
      <c r="AA449" t="s">
        <v>4158</v>
      </c>
      <c r="AB449" t="s">
        <v>181</v>
      </c>
    </row>
    <row r="450" spans="1:28" x14ac:dyDescent="0.25">
      <c r="A450" t="s">
        <v>3977</v>
      </c>
      <c r="B450" t="s">
        <v>3978</v>
      </c>
      <c r="C450" t="s">
        <v>646</v>
      </c>
      <c r="D450" t="s">
        <v>3779</v>
      </c>
      <c r="E450" t="s">
        <v>647</v>
      </c>
      <c r="F450" t="s">
        <v>3780</v>
      </c>
      <c r="G450" t="s">
        <v>769</v>
      </c>
      <c r="H450" t="s">
        <v>1171</v>
      </c>
      <c r="I450" t="s">
        <v>1489</v>
      </c>
      <c r="J450" t="s">
        <v>816</v>
      </c>
      <c r="K450" t="s">
        <v>166</v>
      </c>
      <c r="L450" t="s">
        <v>0</v>
      </c>
      <c r="M450" t="s">
        <v>178</v>
      </c>
      <c r="N450">
        <v>44</v>
      </c>
      <c r="O450">
        <v>41</v>
      </c>
      <c r="P450">
        <v>668.11</v>
      </c>
      <c r="Q450">
        <v>6676.21</v>
      </c>
      <c r="R450">
        <v>1243.60538978</v>
      </c>
      <c r="S450">
        <v>14.63837</v>
      </c>
      <c r="T450">
        <v>6.7253897800000004</v>
      </c>
      <c r="U450">
        <v>0</v>
      </c>
      <c r="V450">
        <v>1236.8800000000001</v>
      </c>
      <c r="W450" t="s">
        <v>817</v>
      </c>
      <c r="X450" t="s">
        <v>271</v>
      </c>
      <c r="Y450" t="s">
        <v>3979</v>
      </c>
      <c r="AA450" t="s">
        <v>3980</v>
      </c>
      <c r="AB450" t="s">
        <v>181</v>
      </c>
    </row>
    <row r="451" spans="1:28" x14ac:dyDescent="0.25">
      <c r="A451" t="s">
        <v>4326</v>
      </c>
      <c r="B451" t="s">
        <v>4327</v>
      </c>
      <c r="C451" t="s">
        <v>646</v>
      </c>
      <c r="D451" t="s">
        <v>3779</v>
      </c>
      <c r="E451" t="s">
        <v>647</v>
      </c>
      <c r="F451" t="s">
        <v>3780</v>
      </c>
      <c r="G451" t="s">
        <v>769</v>
      </c>
      <c r="H451" t="s">
        <v>1045</v>
      </c>
      <c r="I451" t="s">
        <v>936</v>
      </c>
      <c r="J451" t="s">
        <v>582</v>
      </c>
      <c r="K451" t="s">
        <v>166</v>
      </c>
      <c r="L451" t="s">
        <v>0</v>
      </c>
      <c r="M451" t="s">
        <v>178</v>
      </c>
      <c r="N451">
        <v>197</v>
      </c>
      <c r="O451">
        <v>119</v>
      </c>
      <c r="P451">
        <v>2764</v>
      </c>
      <c r="Q451">
        <v>21026.17</v>
      </c>
      <c r="R451">
        <v>665.35</v>
      </c>
      <c r="S451">
        <v>461.13759171999999</v>
      </c>
      <c r="T451">
        <v>0</v>
      </c>
      <c r="U451">
        <v>0</v>
      </c>
      <c r="V451">
        <v>665.35</v>
      </c>
      <c r="W451" t="s">
        <v>361</v>
      </c>
      <c r="X451" t="s">
        <v>271</v>
      </c>
      <c r="Y451" t="s">
        <v>4328</v>
      </c>
      <c r="AA451" t="s">
        <v>4329</v>
      </c>
      <c r="AB451" t="s">
        <v>181</v>
      </c>
    </row>
    <row r="452" spans="1:28" x14ac:dyDescent="0.25">
      <c r="A452" t="s">
        <v>3917</v>
      </c>
      <c r="B452" t="s">
        <v>3918</v>
      </c>
      <c r="C452" t="s">
        <v>646</v>
      </c>
      <c r="D452" t="s">
        <v>3779</v>
      </c>
      <c r="E452" t="s">
        <v>647</v>
      </c>
      <c r="F452" t="s">
        <v>3780</v>
      </c>
      <c r="G452" t="s">
        <v>769</v>
      </c>
      <c r="H452" t="s">
        <v>1171</v>
      </c>
      <c r="I452" t="s">
        <v>1083</v>
      </c>
      <c r="J452" t="s">
        <v>731</v>
      </c>
      <c r="K452" t="s">
        <v>166</v>
      </c>
      <c r="L452" t="s">
        <v>0</v>
      </c>
      <c r="M452" t="s">
        <v>178</v>
      </c>
      <c r="N452">
        <v>63</v>
      </c>
      <c r="O452">
        <v>39</v>
      </c>
      <c r="P452">
        <v>2406.5</v>
      </c>
      <c r="Q452">
        <v>20973.09</v>
      </c>
      <c r="R452">
        <v>76.050690939999996</v>
      </c>
      <c r="S452">
        <v>178.68366759</v>
      </c>
      <c r="T452">
        <v>5.38069094</v>
      </c>
      <c r="U452">
        <v>0</v>
      </c>
      <c r="V452">
        <v>70.67</v>
      </c>
      <c r="W452" t="s">
        <v>0</v>
      </c>
      <c r="X452" t="s">
        <v>271</v>
      </c>
      <c r="Y452" t="s">
        <v>3919</v>
      </c>
      <c r="AA452" t="s">
        <v>3920</v>
      </c>
      <c r="AB452" t="s">
        <v>181</v>
      </c>
    </row>
    <row r="453" spans="1:28" x14ac:dyDescent="0.25">
      <c r="A453" t="s">
        <v>4043</v>
      </c>
      <c r="B453" t="s">
        <v>4044</v>
      </c>
      <c r="C453" t="s">
        <v>646</v>
      </c>
      <c r="D453" t="s">
        <v>3779</v>
      </c>
      <c r="E453" t="s">
        <v>647</v>
      </c>
      <c r="F453" t="s">
        <v>666</v>
      </c>
      <c r="G453" t="s">
        <v>666</v>
      </c>
      <c r="H453" t="s">
        <v>856</v>
      </c>
      <c r="I453" t="s">
        <v>1431</v>
      </c>
      <c r="J453" t="s">
        <v>1432</v>
      </c>
      <c r="K453" t="s">
        <v>166</v>
      </c>
      <c r="L453" t="s">
        <v>0</v>
      </c>
      <c r="M453" t="s">
        <v>178</v>
      </c>
      <c r="N453">
        <v>1</v>
      </c>
      <c r="O453">
        <v>0</v>
      </c>
      <c r="P453">
        <v>15.04</v>
      </c>
      <c r="Q453">
        <v>149.94999999999999</v>
      </c>
      <c r="R453">
        <v>7.97</v>
      </c>
      <c r="S453">
        <v>1.4197759999999999</v>
      </c>
      <c r="T453">
        <v>0</v>
      </c>
      <c r="U453">
        <v>0</v>
      </c>
      <c r="V453">
        <v>7.97</v>
      </c>
      <c r="W453" t="s">
        <v>1433</v>
      </c>
      <c r="X453" t="s">
        <v>271</v>
      </c>
      <c r="Y453" t="s">
        <v>4045</v>
      </c>
      <c r="AA453" t="s">
        <v>4046</v>
      </c>
      <c r="AB453" t="s">
        <v>181</v>
      </c>
    </row>
    <row r="454" spans="1:28" x14ac:dyDescent="0.25">
      <c r="A454" t="s">
        <v>4162</v>
      </c>
      <c r="B454" t="s">
        <v>4163</v>
      </c>
      <c r="C454" t="s">
        <v>646</v>
      </c>
      <c r="D454" t="s">
        <v>3779</v>
      </c>
      <c r="E454" t="s">
        <v>647</v>
      </c>
      <c r="F454" t="s">
        <v>3780</v>
      </c>
      <c r="G454" t="s">
        <v>769</v>
      </c>
      <c r="H454" t="s">
        <v>713</v>
      </c>
      <c r="I454" t="s">
        <v>4164</v>
      </c>
      <c r="J454" t="s">
        <v>985</v>
      </c>
      <c r="K454" t="s">
        <v>166</v>
      </c>
      <c r="L454" t="s">
        <v>0</v>
      </c>
      <c r="M454" t="s">
        <v>178</v>
      </c>
      <c r="N454">
        <v>27</v>
      </c>
      <c r="O454">
        <v>1</v>
      </c>
      <c r="P454">
        <v>632.24</v>
      </c>
      <c r="Q454">
        <v>830.51</v>
      </c>
      <c r="R454">
        <v>81.760000000000005</v>
      </c>
      <c r="S454">
        <v>25.46173469</v>
      </c>
      <c r="T454">
        <v>0</v>
      </c>
      <c r="U454">
        <v>0</v>
      </c>
      <c r="V454">
        <v>81.760000000000005</v>
      </c>
      <c r="W454" t="s">
        <v>986</v>
      </c>
      <c r="X454" t="s">
        <v>271</v>
      </c>
      <c r="Y454" t="s">
        <v>4165</v>
      </c>
      <c r="AA454" t="s">
        <v>4166</v>
      </c>
      <c r="AB454" t="s">
        <v>181</v>
      </c>
    </row>
    <row r="455" spans="1:28" x14ac:dyDescent="0.25">
      <c r="A455" t="s">
        <v>4232</v>
      </c>
      <c r="B455" t="s">
        <v>4233</v>
      </c>
      <c r="C455" t="s">
        <v>646</v>
      </c>
      <c r="D455" t="s">
        <v>3779</v>
      </c>
      <c r="E455" t="s">
        <v>647</v>
      </c>
      <c r="F455" t="s">
        <v>3780</v>
      </c>
      <c r="G455" t="s">
        <v>769</v>
      </c>
      <c r="H455" t="s">
        <v>909</v>
      </c>
      <c r="I455" t="s">
        <v>1296</v>
      </c>
      <c r="J455" t="s">
        <v>996</v>
      </c>
      <c r="K455" t="s">
        <v>166</v>
      </c>
      <c r="L455" t="s">
        <v>0</v>
      </c>
      <c r="M455" t="s">
        <v>178</v>
      </c>
      <c r="N455">
        <v>223</v>
      </c>
      <c r="O455">
        <v>223</v>
      </c>
      <c r="P455">
        <v>6745</v>
      </c>
      <c r="Q455">
        <v>5160.5</v>
      </c>
      <c r="R455">
        <v>888.61</v>
      </c>
      <c r="S455">
        <v>618.71884262000003</v>
      </c>
      <c r="T455">
        <v>0</v>
      </c>
      <c r="U455">
        <v>0</v>
      </c>
      <c r="V455">
        <v>888.61</v>
      </c>
      <c r="W455" t="s">
        <v>1683</v>
      </c>
      <c r="X455" t="s">
        <v>271</v>
      </c>
      <c r="Y455" t="s">
        <v>4234</v>
      </c>
      <c r="AA455" t="s">
        <v>4235</v>
      </c>
      <c r="AB455" t="s">
        <v>181</v>
      </c>
    </row>
    <row r="456" spans="1:28" x14ac:dyDescent="0.25">
      <c r="A456" t="s">
        <v>4342</v>
      </c>
      <c r="B456" t="s">
        <v>4343</v>
      </c>
      <c r="C456" t="s">
        <v>646</v>
      </c>
      <c r="D456" t="s">
        <v>3779</v>
      </c>
      <c r="E456" t="s">
        <v>647</v>
      </c>
      <c r="F456" t="s">
        <v>666</v>
      </c>
      <c r="G456" t="s">
        <v>666</v>
      </c>
      <c r="H456" t="s">
        <v>708</v>
      </c>
      <c r="I456" t="s">
        <v>4344</v>
      </c>
      <c r="J456" t="s">
        <v>355</v>
      </c>
      <c r="K456" t="s">
        <v>166</v>
      </c>
      <c r="L456" t="s">
        <v>0</v>
      </c>
      <c r="M456" t="s">
        <v>178</v>
      </c>
      <c r="N456">
        <v>1</v>
      </c>
      <c r="O456">
        <v>1</v>
      </c>
      <c r="P456">
        <v>1.2</v>
      </c>
      <c r="Q456">
        <v>24.1</v>
      </c>
      <c r="R456">
        <v>9.14</v>
      </c>
      <c r="S456">
        <v>11.7485035</v>
      </c>
      <c r="T456">
        <v>0</v>
      </c>
      <c r="U456">
        <v>0</v>
      </c>
      <c r="V456">
        <v>9.14</v>
      </c>
      <c r="W456" t="s">
        <v>0</v>
      </c>
      <c r="X456" t="s">
        <v>271</v>
      </c>
      <c r="Y456" t="s">
        <v>4345</v>
      </c>
      <c r="AA456" t="s">
        <v>3894</v>
      </c>
      <c r="AB456" t="s">
        <v>181</v>
      </c>
    </row>
    <row r="457" spans="1:28" x14ac:dyDescent="0.25">
      <c r="A457" t="s">
        <v>4211</v>
      </c>
      <c r="B457" t="s">
        <v>4212</v>
      </c>
      <c r="C457" t="s">
        <v>646</v>
      </c>
      <c r="D457" t="s">
        <v>3779</v>
      </c>
      <c r="E457" t="s">
        <v>647</v>
      </c>
      <c r="F457" t="s">
        <v>3780</v>
      </c>
      <c r="G457" t="s">
        <v>769</v>
      </c>
      <c r="H457" t="s">
        <v>1515</v>
      </c>
      <c r="I457" t="s">
        <v>4213</v>
      </c>
      <c r="J457" t="s">
        <v>437</v>
      </c>
      <c r="K457" t="s">
        <v>166</v>
      </c>
      <c r="L457" t="s">
        <v>0</v>
      </c>
      <c r="M457" t="s">
        <v>178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 t="s">
        <v>510</v>
      </c>
      <c r="X457" t="s">
        <v>271</v>
      </c>
      <c r="Y457" t="s">
        <v>4214</v>
      </c>
      <c r="Z457" t="s">
        <v>4175</v>
      </c>
      <c r="AA457" t="s">
        <v>4215</v>
      </c>
      <c r="AB457" t="s">
        <v>181</v>
      </c>
    </row>
    <row r="458" spans="1:28" x14ac:dyDescent="0.25">
      <c r="A458" t="s">
        <v>4102</v>
      </c>
      <c r="B458" t="s">
        <v>4103</v>
      </c>
      <c r="C458" t="s">
        <v>646</v>
      </c>
      <c r="D458" t="s">
        <v>3779</v>
      </c>
      <c r="E458" t="s">
        <v>647</v>
      </c>
      <c r="F458" t="s">
        <v>3780</v>
      </c>
      <c r="G458" t="s">
        <v>769</v>
      </c>
      <c r="H458" t="s">
        <v>1515</v>
      </c>
      <c r="I458" t="s">
        <v>4104</v>
      </c>
      <c r="J458" t="s">
        <v>4105</v>
      </c>
      <c r="K458" t="s">
        <v>166</v>
      </c>
      <c r="L458" t="s">
        <v>0</v>
      </c>
      <c r="M458" t="s">
        <v>178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 t="s">
        <v>4106</v>
      </c>
      <c r="X458" t="s">
        <v>269</v>
      </c>
      <c r="Y458" t="s">
        <v>4107</v>
      </c>
      <c r="AA458" t="s">
        <v>4108</v>
      </c>
      <c r="AB458" t="s">
        <v>181</v>
      </c>
    </row>
    <row r="459" spans="1:28" x14ac:dyDescent="0.25">
      <c r="A459" t="s">
        <v>3853</v>
      </c>
      <c r="B459" t="s">
        <v>3854</v>
      </c>
      <c r="C459" t="s">
        <v>646</v>
      </c>
      <c r="D459" t="s">
        <v>3779</v>
      </c>
      <c r="E459" t="s">
        <v>647</v>
      </c>
      <c r="F459" t="s">
        <v>3780</v>
      </c>
      <c r="G459" t="s">
        <v>769</v>
      </c>
      <c r="H459" t="s">
        <v>1515</v>
      </c>
      <c r="I459" t="s">
        <v>746</v>
      </c>
      <c r="J459" t="s">
        <v>504</v>
      </c>
      <c r="K459" t="s">
        <v>166</v>
      </c>
      <c r="L459" t="s">
        <v>0</v>
      </c>
      <c r="M459" t="s">
        <v>178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 t="s">
        <v>503</v>
      </c>
      <c r="X459" t="s">
        <v>271</v>
      </c>
      <c r="Y459" t="s">
        <v>3855</v>
      </c>
      <c r="AA459" t="s">
        <v>3856</v>
      </c>
      <c r="AB459" t="s">
        <v>181</v>
      </c>
    </row>
    <row r="460" spans="1:28" x14ac:dyDescent="0.25">
      <c r="A460" t="s">
        <v>4280</v>
      </c>
      <c r="B460" t="s">
        <v>4281</v>
      </c>
      <c r="C460" t="s">
        <v>646</v>
      </c>
      <c r="D460" t="s">
        <v>3779</v>
      </c>
      <c r="E460" t="s">
        <v>647</v>
      </c>
      <c r="F460" t="s">
        <v>3780</v>
      </c>
      <c r="G460" t="s">
        <v>769</v>
      </c>
      <c r="H460" t="s">
        <v>708</v>
      </c>
      <c r="I460" t="s">
        <v>1872</v>
      </c>
      <c r="J460" t="s">
        <v>1873</v>
      </c>
      <c r="K460" t="s">
        <v>166</v>
      </c>
      <c r="L460" t="s">
        <v>0</v>
      </c>
      <c r="M460" t="s">
        <v>178</v>
      </c>
      <c r="N460">
        <v>1</v>
      </c>
      <c r="O460">
        <v>1</v>
      </c>
      <c r="P460">
        <v>0.81</v>
      </c>
      <c r="Q460">
        <v>29.94</v>
      </c>
      <c r="R460">
        <v>5.69</v>
      </c>
      <c r="S460">
        <v>2.0099999999999998</v>
      </c>
      <c r="T460">
        <v>0</v>
      </c>
      <c r="U460">
        <v>0</v>
      </c>
      <c r="V460">
        <v>5.69</v>
      </c>
      <c r="W460" t="s">
        <v>1874</v>
      </c>
      <c r="X460" t="s">
        <v>271</v>
      </c>
      <c r="Y460" t="s">
        <v>4282</v>
      </c>
      <c r="AA460" t="s">
        <v>4283</v>
      </c>
      <c r="AB460" t="s">
        <v>181</v>
      </c>
    </row>
    <row r="461" spans="1:28" x14ac:dyDescent="0.25">
      <c r="A461" t="s">
        <v>3977</v>
      </c>
      <c r="B461" t="s">
        <v>3978</v>
      </c>
      <c r="C461" t="s">
        <v>646</v>
      </c>
      <c r="D461" t="s">
        <v>3779</v>
      </c>
      <c r="E461" t="s">
        <v>647</v>
      </c>
      <c r="F461" t="s">
        <v>3780</v>
      </c>
      <c r="G461" t="s">
        <v>769</v>
      </c>
      <c r="H461" t="s">
        <v>730</v>
      </c>
      <c r="I461" t="s">
        <v>1489</v>
      </c>
      <c r="J461" t="s">
        <v>816</v>
      </c>
      <c r="K461" t="s">
        <v>166</v>
      </c>
      <c r="L461" t="s">
        <v>0</v>
      </c>
      <c r="M461" t="s">
        <v>178</v>
      </c>
      <c r="N461">
        <v>1</v>
      </c>
      <c r="O461">
        <v>0</v>
      </c>
      <c r="P461">
        <v>50</v>
      </c>
      <c r="Q461">
        <v>7.98</v>
      </c>
      <c r="R461">
        <v>2.15</v>
      </c>
      <c r="S461">
        <v>0.25802470999999999</v>
      </c>
      <c r="T461">
        <v>0</v>
      </c>
      <c r="U461">
        <v>0</v>
      </c>
      <c r="V461">
        <v>2.15</v>
      </c>
      <c r="W461" t="s">
        <v>817</v>
      </c>
      <c r="X461" t="s">
        <v>271</v>
      </c>
      <c r="Y461" t="s">
        <v>3979</v>
      </c>
      <c r="AA461" t="s">
        <v>3980</v>
      </c>
      <c r="AB461" t="s">
        <v>181</v>
      </c>
    </row>
    <row r="462" spans="1:28" x14ac:dyDescent="0.25">
      <c r="A462" t="s">
        <v>4027</v>
      </c>
      <c r="B462" t="s">
        <v>4028</v>
      </c>
      <c r="C462" t="s">
        <v>646</v>
      </c>
      <c r="D462" t="s">
        <v>3779</v>
      </c>
      <c r="E462" t="s">
        <v>647</v>
      </c>
      <c r="F462" t="s">
        <v>3780</v>
      </c>
      <c r="G462" t="s">
        <v>769</v>
      </c>
      <c r="H462" t="s">
        <v>770</v>
      </c>
      <c r="I462" t="s">
        <v>1251</v>
      </c>
      <c r="J462" t="s">
        <v>821</v>
      </c>
      <c r="K462" t="s">
        <v>166</v>
      </c>
      <c r="L462" t="s">
        <v>0</v>
      </c>
      <c r="M462" t="s">
        <v>178</v>
      </c>
      <c r="N462">
        <v>3</v>
      </c>
      <c r="O462">
        <v>0</v>
      </c>
      <c r="P462">
        <v>76</v>
      </c>
      <c r="Q462">
        <v>157.54</v>
      </c>
      <c r="R462">
        <v>18.739999999999998</v>
      </c>
      <c r="S462">
        <v>6.61362629</v>
      </c>
      <c r="T462">
        <v>0</v>
      </c>
      <c r="U462">
        <v>0</v>
      </c>
      <c r="V462">
        <v>18.739999999999998</v>
      </c>
      <c r="W462" t="s">
        <v>822</v>
      </c>
      <c r="X462" t="s">
        <v>269</v>
      </c>
      <c r="Y462" t="s">
        <v>4029</v>
      </c>
      <c r="AA462" t="s">
        <v>4030</v>
      </c>
      <c r="AB462" t="s">
        <v>181</v>
      </c>
    </row>
    <row r="463" spans="1:28" x14ac:dyDescent="0.25">
      <c r="A463" t="s">
        <v>4060</v>
      </c>
      <c r="B463" t="s">
        <v>4061</v>
      </c>
      <c r="C463" t="s">
        <v>646</v>
      </c>
      <c r="D463" t="s">
        <v>3779</v>
      </c>
      <c r="E463" t="s">
        <v>647</v>
      </c>
      <c r="F463" t="s">
        <v>648</v>
      </c>
      <c r="G463" t="s">
        <v>648</v>
      </c>
      <c r="H463" t="s">
        <v>713</v>
      </c>
      <c r="I463" t="s">
        <v>1114</v>
      </c>
      <c r="J463" t="s">
        <v>1115</v>
      </c>
      <c r="K463" t="s">
        <v>166</v>
      </c>
      <c r="L463" t="s">
        <v>0</v>
      </c>
      <c r="M463" t="s">
        <v>178</v>
      </c>
      <c r="N463">
        <v>1</v>
      </c>
      <c r="O463">
        <v>1</v>
      </c>
      <c r="P463">
        <v>24</v>
      </c>
      <c r="Q463">
        <v>27.39</v>
      </c>
      <c r="R463">
        <v>1.95</v>
      </c>
      <c r="S463">
        <v>10.467626579999999</v>
      </c>
      <c r="T463">
        <v>0</v>
      </c>
      <c r="U463">
        <v>0</v>
      </c>
      <c r="V463">
        <v>1.95</v>
      </c>
      <c r="W463" t="s">
        <v>0</v>
      </c>
      <c r="X463" t="s">
        <v>271</v>
      </c>
      <c r="Y463" t="s">
        <v>4062</v>
      </c>
      <c r="AA463" t="s">
        <v>4063</v>
      </c>
      <c r="AB463" t="s">
        <v>181</v>
      </c>
    </row>
    <row r="464" spans="1:28" x14ac:dyDescent="0.25">
      <c r="A464" t="s">
        <v>4248</v>
      </c>
      <c r="B464" t="s">
        <v>4249</v>
      </c>
      <c r="C464" t="s">
        <v>646</v>
      </c>
      <c r="D464" t="s">
        <v>3779</v>
      </c>
      <c r="E464" t="s">
        <v>647</v>
      </c>
      <c r="F464" t="s">
        <v>3780</v>
      </c>
      <c r="G464" t="s">
        <v>769</v>
      </c>
      <c r="H464" t="s">
        <v>856</v>
      </c>
      <c r="I464" t="s">
        <v>1913</v>
      </c>
      <c r="J464" t="s">
        <v>1914</v>
      </c>
      <c r="K464" t="s">
        <v>166</v>
      </c>
      <c r="L464" t="s">
        <v>0</v>
      </c>
      <c r="M464" t="s">
        <v>178</v>
      </c>
      <c r="N464">
        <v>8</v>
      </c>
      <c r="O464">
        <v>8</v>
      </c>
      <c r="P464">
        <v>148.69999999999999</v>
      </c>
      <c r="Q464">
        <v>1826.04</v>
      </c>
      <c r="R464">
        <v>26.77</v>
      </c>
      <c r="S464">
        <v>47.584000000000003</v>
      </c>
      <c r="T464">
        <v>0</v>
      </c>
      <c r="U464">
        <v>0</v>
      </c>
      <c r="V464">
        <v>26.77</v>
      </c>
      <c r="W464" t="s">
        <v>1915</v>
      </c>
      <c r="X464" t="s">
        <v>269</v>
      </c>
      <c r="Y464" t="s">
        <v>4250</v>
      </c>
      <c r="AA464" t="s">
        <v>4251</v>
      </c>
      <c r="AB464" t="s">
        <v>181</v>
      </c>
    </row>
    <row r="465" spans="1:28" x14ac:dyDescent="0.25">
      <c r="A465" t="s">
        <v>3909</v>
      </c>
      <c r="B465" t="s">
        <v>3910</v>
      </c>
      <c r="C465" t="s">
        <v>646</v>
      </c>
      <c r="D465" t="s">
        <v>3779</v>
      </c>
      <c r="E465" t="s">
        <v>647</v>
      </c>
      <c r="F465" t="s">
        <v>666</v>
      </c>
      <c r="G465" t="s">
        <v>666</v>
      </c>
      <c r="H465" t="s">
        <v>649</v>
      </c>
      <c r="I465" t="s">
        <v>3911</v>
      </c>
      <c r="J465" t="s">
        <v>355</v>
      </c>
      <c r="K465" t="s">
        <v>166</v>
      </c>
      <c r="L465" t="s">
        <v>0</v>
      </c>
      <c r="M465" t="s">
        <v>178</v>
      </c>
      <c r="N465">
        <v>64</v>
      </c>
      <c r="O465">
        <v>64</v>
      </c>
      <c r="P465">
        <v>1280</v>
      </c>
      <c r="Q465">
        <v>4317.3999999999996</v>
      </c>
      <c r="R465">
        <v>156.80000000000001</v>
      </c>
      <c r="S465">
        <v>198.47443505999999</v>
      </c>
      <c r="T465">
        <v>0</v>
      </c>
      <c r="U465">
        <v>0</v>
      </c>
      <c r="V465">
        <v>156.80000000000001</v>
      </c>
      <c r="W465" t="s">
        <v>0</v>
      </c>
      <c r="X465" t="s">
        <v>271</v>
      </c>
      <c r="Y465" t="s">
        <v>3912</v>
      </c>
      <c r="AA465" t="s">
        <v>3894</v>
      </c>
      <c r="AB465" t="s">
        <v>181</v>
      </c>
    </row>
    <row r="466" spans="1:28" x14ac:dyDescent="0.25">
      <c r="A466" t="s">
        <v>4119</v>
      </c>
      <c r="B466" t="s">
        <v>4120</v>
      </c>
      <c r="C466" t="s">
        <v>646</v>
      </c>
      <c r="D466" t="s">
        <v>3779</v>
      </c>
      <c r="E466" t="s">
        <v>647</v>
      </c>
      <c r="F466" t="s">
        <v>3780</v>
      </c>
      <c r="G466" t="s">
        <v>769</v>
      </c>
      <c r="H466" t="s">
        <v>683</v>
      </c>
      <c r="I466" t="s">
        <v>1374</v>
      </c>
      <c r="J466" t="s">
        <v>441</v>
      </c>
      <c r="K466" t="s">
        <v>166</v>
      </c>
      <c r="L466" t="s">
        <v>0</v>
      </c>
      <c r="M466" t="s">
        <v>178</v>
      </c>
      <c r="N466">
        <v>204.5</v>
      </c>
      <c r="O466">
        <v>74.166700000000006</v>
      </c>
      <c r="P466">
        <v>3945.89</v>
      </c>
      <c r="Q466">
        <v>11449.82</v>
      </c>
      <c r="R466">
        <v>2222.1952872900001</v>
      </c>
      <c r="S466">
        <v>1338.0714589300001</v>
      </c>
      <c r="T466">
        <v>8.5287290000000002E-2</v>
      </c>
      <c r="U466">
        <v>0</v>
      </c>
      <c r="V466">
        <v>2222.11</v>
      </c>
      <c r="W466" t="s">
        <v>440</v>
      </c>
      <c r="X466" t="s">
        <v>271</v>
      </c>
      <c r="Y466" t="s">
        <v>4121</v>
      </c>
      <c r="AA466" t="s">
        <v>4122</v>
      </c>
      <c r="AB466" t="s">
        <v>181</v>
      </c>
    </row>
    <row r="467" spans="1:28" x14ac:dyDescent="0.25">
      <c r="A467" t="s">
        <v>3921</v>
      </c>
      <c r="B467" t="s">
        <v>3922</v>
      </c>
      <c r="C467" t="s">
        <v>646</v>
      </c>
      <c r="D467" t="s">
        <v>3779</v>
      </c>
      <c r="E467" t="s">
        <v>647</v>
      </c>
      <c r="F467" t="s">
        <v>666</v>
      </c>
      <c r="G467" t="s">
        <v>666</v>
      </c>
      <c r="H467" t="s">
        <v>856</v>
      </c>
      <c r="I467" t="s">
        <v>902</v>
      </c>
      <c r="J467" t="s">
        <v>562</v>
      </c>
      <c r="K467" t="s">
        <v>166</v>
      </c>
      <c r="L467" t="s">
        <v>0</v>
      </c>
      <c r="M467" t="s">
        <v>178</v>
      </c>
      <c r="N467">
        <v>32</v>
      </c>
      <c r="O467">
        <v>1</v>
      </c>
      <c r="P467">
        <v>267.45999999999998</v>
      </c>
      <c r="Q467">
        <v>2677</v>
      </c>
      <c r="R467">
        <v>211.87</v>
      </c>
      <c r="S467">
        <v>29.436673119999998</v>
      </c>
      <c r="T467">
        <v>0</v>
      </c>
      <c r="U467">
        <v>0</v>
      </c>
      <c r="V467">
        <v>211.87</v>
      </c>
      <c r="W467" t="s">
        <v>0</v>
      </c>
      <c r="X467" t="s">
        <v>271</v>
      </c>
      <c r="Y467" t="s">
        <v>3923</v>
      </c>
      <c r="AA467" t="s">
        <v>3924</v>
      </c>
      <c r="AB467" t="s">
        <v>181</v>
      </c>
    </row>
    <row r="468" spans="1:28" x14ac:dyDescent="0.25">
      <c r="A468" t="s">
        <v>4060</v>
      </c>
      <c r="B468" t="s">
        <v>4061</v>
      </c>
      <c r="C468" t="s">
        <v>646</v>
      </c>
      <c r="D468" t="s">
        <v>3779</v>
      </c>
      <c r="E468" t="s">
        <v>647</v>
      </c>
      <c r="F468" t="s">
        <v>648</v>
      </c>
      <c r="G468" t="s">
        <v>648</v>
      </c>
      <c r="H468" t="s">
        <v>703</v>
      </c>
      <c r="I468" t="s">
        <v>1114</v>
      </c>
      <c r="J468" t="s">
        <v>1115</v>
      </c>
      <c r="K468" t="s">
        <v>166</v>
      </c>
      <c r="L468" t="s">
        <v>0</v>
      </c>
      <c r="M468" t="s">
        <v>178</v>
      </c>
      <c r="N468">
        <v>2887</v>
      </c>
      <c r="O468">
        <v>337</v>
      </c>
      <c r="P468">
        <v>81850.19</v>
      </c>
      <c r="Q468">
        <v>98555.67</v>
      </c>
      <c r="R468">
        <v>-1332.49417571</v>
      </c>
      <c r="S468">
        <v>10965.74598328</v>
      </c>
      <c r="T468">
        <v>343.17582428999998</v>
      </c>
      <c r="U468">
        <v>824.6</v>
      </c>
      <c r="V468">
        <v>-471.07</v>
      </c>
      <c r="W468" t="s">
        <v>0</v>
      </c>
      <c r="X468" t="s">
        <v>271</v>
      </c>
      <c r="Y468" t="s">
        <v>4062</v>
      </c>
      <c r="AA468" t="s">
        <v>4063</v>
      </c>
      <c r="AB468" t="s">
        <v>181</v>
      </c>
    </row>
    <row r="469" spans="1:28" x14ac:dyDescent="0.25">
      <c r="A469" t="s">
        <v>4022</v>
      </c>
      <c r="B469" t="s">
        <v>4023</v>
      </c>
      <c r="C469" t="s">
        <v>646</v>
      </c>
      <c r="D469" t="s">
        <v>3779</v>
      </c>
      <c r="E469" t="s">
        <v>647</v>
      </c>
      <c r="F469" t="s">
        <v>3780</v>
      </c>
      <c r="G469" t="s">
        <v>769</v>
      </c>
      <c r="H469" t="s">
        <v>797</v>
      </c>
      <c r="I469" t="s">
        <v>4024</v>
      </c>
      <c r="J469" t="s">
        <v>447</v>
      </c>
      <c r="K469" t="s">
        <v>166</v>
      </c>
      <c r="L469" t="s">
        <v>0</v>
      </c>
      <c r="M469" t="s">
        <v>178</v>
      </c>
      <c r="N469">
        <v>152</v>
      </c>
      <c r="O469">
        <v>26</v>
      </c>
      <c r="P469">
        <v>1610.74</v>
      </c>
      <c r="Q469">
        <v>6371.96</v>
      </c>
      <c r="R469">
        <v>1148.8606043</v>
      </c>
      <c r="S469">
        <v>275.46492796000001</v>
      </c>
      <c r="T469">
        <v>0.1806043</v>
      </c>
      <c r="U469">
        <v>0</v>
      </c>
      <c r="V469">
        <v>1148.68</v>
      </c>
      <c r="W469" t="s">
        <v>446</v>
      </c>
      <c r="X469" t="s">
        <v>271</v>
      </c>
      <c r="Y469" t="s">
        <v>4025</v>
      </c>
      <c r="AA469" t="s">
        <v>4026</v>
      </c>
      <c r="AB469" t="s">
        <v>181</v>
      </c>
    </row>
    <row r="470" spans="1:28" x14ac:dyDescent="0.25">
      <c r="A470" t="s">
        <v>4333</v>
      </c>
      <c r="B470" t="s">
        <v>4334</v>
      </c>
      <c r="C470" t="s">
        <v>646</v>
      </c>
      <c r="D470" t="s">
        <v>3779</v>
      </c>
      <c r="E470" t="s">
        <v>647</v>
      </c>
      <c r="F470" t="s">
        <v>666</v>
      </c>
      <c r="G470" t="s">
        <v>666</v>
      </c>
      <c r="H470" t="s">
        <v>770</v>
      </c>
      <c r="I470" t="s">
        <v>3649</v>
      </c>
      <c r="J470" t="s">
        <v>1567</v>
      </c>
      <c r="K470" t="s">
        <v>166</v>
      </c>
      <c r="L470" t="s">
        <v>0</v>
      </c>
      <c r="M470" t="s">
        <v>178</v>
      </c>
      <c r="N470">
        <v>458.5</v>
      </c>
      <c r="O470">
        <v>296.5</v>
      </c>
      <c r="P470">
        <v>7532.45</v>
      </c>
      <c r="Q470">
        <v>11285.97</v>
      </c>
      <c r="R470">
        <v>1519.26</v>
      </c>
      <c r="S470">
        <v>1405.2539129899999</v>
      </c>
      <c r="T470">
        <v>12</v>
      </c>
      <c r="U470">
        <v>156.96</v>
      </c>
      <c r="V470">
        <v>1676.22</v>
      </c>
      <c r="W470" t="s">
        <v>556</v>
      </c>
      <c r="X470" t="s">
        <v>271</v>
      </c>
      <c r="Y470" t="s">
        <v>4335</v>
      </c>
      <c r="AA470" t="s">
        <v>4336</v>
      </c>
      <c r="AB470" t="s">
        <v>181</v>
      </c>
    </row>
    <row r="471" spans="1:28" x14ac:dyDescent="0.25">
      <c r="A471" t="s">
        <v>3917</v>
      </c>
      <c r="B471" t="s">
        <v>3918</v>
      </c>
      <c r="C471" t="s">
        <v>646</v>
      </c>
      <c r="D471" t="s">
        <v>3779</v>
      </c>
      <c r="E471" t="s">
        <v>647</v>
      </c>
      <c r="F471" t="s">
        <v>3780</v>
      </c>
      <c r="G471" t="s">
        <v>769</v>
      </c>
      <c r="H471" t="s">
        <v>672</v>
      </c>
      <c r="I471" t="s">
        <v>1083</v>
      </c>
      <c r="J471" t="s">
        <v>731</v>
      </c>
      <c r="K471" t="s">
        <v>166</v>
      </c>
      <c r="L471" t="s">
        <v>0</v>
      </c>
      <c r="M471" t="s">
        <v>178</v>
      </c>
      <c r="N471">
        <v>106</v>
      </c>
      <c r="O471">
        <v>102</v>
      </c>
      <c r="P471">
        <v>2419.65</v>
      </c>
      <c r="Q471">
        <v>3810.81</v>
      </c>
      <c r="R471">
        <v>816.06361516000004</v>
      </c>
      <c r="S471">
        <v>636.32527706999997</v>
      </c>
      <c r="T471">
        <v>0.25361516000000001</v>
      </c>
      <c r="U471">
        <v>0</v>
      </c>
      <c r="V471">
        <v>815.81</v>
      </c>
      <c r="W471" t="s">
        <v>0</v>
      </c>
      <c r="X471" t="s">
        <v>271</v>
      </c>
      <c r="Y471" t="s">
        <v>3919</v>
      </c>
      <c r="AA471" t="s">
        <v>3920</v>
      </c>
      <c r="AB471" t="s">
        <v>181</v>
      </c>
    </row>
    <row r="472" spans="1:28" x14ac:dyDescent="0.25">
      <c r="A472" t="s">
        <v>3819</v>
      </c>
      <c r="B472" t="s">
        <v>3820</v>
      </c>
      <c r="C472" t="s">
        <v>646</v>
      </c>
      <c r="D472" t="s">
        <v>3779</v>
      </c>
      <c r="E472" t="s">
        <v>647</v>
      </c>
      <c r="F472" t="s">
        <v>3780</v>
      </c>
      <c r="G472" t="s">
        <v>769</v>
      </c>
      <c r="H472" t="s">
        <v>703</v>
      </c>
      <c r="I472" t="s">
        <v>798</v>
      </c>
      <c r="J472" t="s">
        <v>524</v>
      </c>
      <c r="K472" t="s">
        <v>166</v>
      </c>
      <c r="L472" t="s">
        <v>0</v>
      </c>
      <c r="M472" t="s">
        <v>178</v>
      </c>
      <c r="N472">
        <v>1186</v>
      </c>
      <c r="O472">
        <v>571.50019999999995</v>
      </c>
      <c r="P472">
        <v>31039.87</v>
      </c>
      <c r="Q472">
        <v>50702.05</v>
      </c>
      <c r="R472">
        <v>9378.1714902299991</v>
      </c>
      <c r="S472">
        <v>7904.68302958</v>
      </c>
      <c r="T472">
        <v>1.4902299999999999E-3</v>
      </c>
      <c r="U472">
        <v>0</v>
      </c>
      <c r="V472">
        <v>9378.17</v>
      </c>
      <c r="W472" t="s">
        <v>258</v>
      </c>
      <c r="X472" t="s">
        <v>271</v>
      </c>
      <c r="Y472" t="s">
        <v>3821</v>
      </c>
      <c r="AA472" t="s">
        <v>3822</v>
      </c>
      <c r="AB472" t="s">
        <v>181</v>
      </c>
    </row>
    <row r="473" spans="1:28" x14ac:dyDescent="0.25">
      <c r="A473" t="s">
        <v>4119</v>
      </c>
      <c r="B473" t="s">
        <v>4120</v>
      </c>
      <c r="C473" t="s">
        <v>646</v>
      </c>
      <c r="D473" t="s">
        <v>3779</v>
      </c>
      <c r="E473" t="s">
        <v>647</v>
      </c>
      <c r="F473" t="s">
        <v>3780</v>
      </c>
      <c r="G473" t="s">
        <v>769</v>
      </c>
      <c r="H473" t="s">
        <v>713</v>
      </c>
      <c r="I473" t="s">
        <v>1374</v>
      </c>
      <c r="J473" t="s">
        <v>441</v>
      </c>
      <c r="K473" t="s">
        <v>166</v>
      </c>
      <c r="L473" t="s">
        <v>0</v>
      </c>
      <c r="M473" t="s">
        <v>178</v>
      </c>
      <c r="N473">
        <v>145.36109999999999</v>
      </c>
      <c r="O473">
        <v>131.25</v>
      </c>
      <c r="P473">
        <v>4925.8900000000003</v>
      </c>
      <c r="Q473">
        <v>4343.2299999999996</v>
      </c>
      <c r="R473">
        <v>467.4</v>
      </c>
      <c r="S473">
        <v>669.35160767000002</v>
      </c>
      <c r="T473">
        <v>0</v>
      </c>
      <c r="U473">
        <v>125.76</v>
      </c>
      <c r="V473">
        <v>593.16</v>
      </c>
      <c r="W473" t="s">
        <v>440</v>
      </c>
      <c r="X473" t="s">
        <v>271</v>
      </c>
      <c r="Y473" t="s">
        <v>4121</v>
      </c>
      <c r="AA473" t="s">
        <v>4122</v>
      </c>
      <c r="AB473" t="s">
        <v>181</v>
      </c>
    </row>
    <row r="474" spans="1:28" x14ac:dyDescent="0.25">
      <c r="A474" t="s">
        <v>4308</v>
      </c>
      <c r="B474" t="s">
        <v>4309</v>
      </c>
      <c r="C474" t="s">
        <v>646</v>
      </c>
      <c r="D474" t="s">
        <v>3779</v>
      </c>
      <c r="E474" t="s">
        <v>647</v>
      </c>
      <c r="F474" t="s">
        <v>3780</v>
      </c>
      <c r="G474" t="s">
        <v>769</v>
      </c>
      <c r="H474" t="s">
        <v>703</v>
      </c>
      <c r="I474" t="s">
        <v>1184</v>
      </c>
      <c r="J474" t="s">
        <v>1185</v>
      </c>
      <c r="K474" t="s">
        <v>166</v>
      </c>
      <c r="L474" t="s">
        <v>0</v>
      </c>
      <c r="M474" t="s">
        <v>178</v>
      </c>
      <c r="N474">
        <v>324.9171</v>
      </c>
      <c r="O474">
        <v>176.33369999999999</v>
      </c>
      <c r="P474">
        <v>7183.35</v>
      </c>
      <c r="Q474">
        <v>13234.71</v>
      </c>
      <c r="R474">
        <v>4573.7286396700001</v>
      </c>
      <c r="S474">
        <v>1787.4771186999999</v>
      </c>
      <c r="T474">
        <v>-1.3603300000000001E-3</v>
      </c>
      <c r="U474">
        <v>0</v>
      </c>
      <c r="V474">
        <v>4573.7299999999996</v>
      </c>
      <c r="W474" t="s">
        <v>1186</v>
      </c>
      <c r="X474" t="s">
        <v>271</v>
      </c>
      <c r="Y474" t="s">
        <v>4310</v>
      </c>
      <c r="AA474" t="s">
        <v>4311</v>
      </c>
      <c r="AB474" t="s">
        <v>181</v>
      </c>
    </row>
    <row r="475" spans="1:28" x14ac:dyDescent="0.25">
      <c r="A475" t="s">
        <v>4228</v>
      </c>
      <c r="B475" t="s">
        <v>4229</v>
      </c>
      <c r="C475" t="s">
        <v>646</v>
      </c>
      <c r="D475" t="s">
        <v>3779</v>
      </c>
      <c r="E475" t="s">
        <v>647</v>
      </c>
      <c r="F475" t="s">
        <v>3780</v>
      </c>
      <c r="G475" t="s">
        <v>769</v>
      </c>
      <c r="H475" t="s">
        <v>761</v>
      </c>
      <c r="I475" t="s">
        <v>1971</v>
      </c>
      <c r="J475" t="s">
        <v>1972</v>
      </c>
      <c r="K475" t="s">
        <v>166</v>
      </c>
      <c r="L475" t="s">
        <v>0</v>
      </c>
      <c r="M475" t="s">
        <v>178</v>
      </c>
      <c r="N475">
        <v>83</v>
      </c>
      <c r="O475">
        <v>44</v>
      </c>
      <c r="P475">
        <v>2888.33</v>
      </c>
      <c r="Q475">
        <v>3060.38</v>
      </c>
      <c r="R475">
        <v>771.44010456000001</v>
      </c>
      <c r="S475">
        <v>515.91443207999998</v>
      </c>
      <c r="T475">
        <v>5.0104559999999999E-2</v>
      </c>
      <c r="U475">
        <v>0</v>
      </c>
      <c r="V475">
        <v>771.39</v>
      </c>
      <c r="W475" t="s">
        <v>1973</v>
      </c>
      <c r="X475" t="s">
        <v>271</v>
      </c>
      <c r="Y475" t="s">
        <v>4230</v>
      </c>
      <c r="AA475" t="s">
        <v>4231</v>
      </c>
      <c r="AB475" t="s">
        <v>181</v>
      </c>
    </row>
    <row r="476" spans="1:28" x14ac:dyDescent="0.25">
      <c r="A476" t="s">
        <v>3998</v>
      </c>
      <c r="B476" t="s">
        <v>3999</v>
      </c>
      <c r="C476" t="s">
        <v>646</v>
      </c>
      <c r="D476" t="s">
        <v>3779</v>
      </c>
      <c r="E476" t="s">
        <v>647</v>
      </c>
      <c r="F476" t="s">
        <v>3780</v>
      </c>
      <c r="G476" t="s">
        <v>769</v>
      </c>
      <c r="H476" t="s">
        <v>679</v>
      </c>
      <c r="I476" t="s">
        <v>1636</v>
      </c>
      <c r="J476" t="s">
        <v>1637</v>
      </c>
      <c r="K476" t="s">
        <v>166</v>
      </c>
      <c r="L476" t="s">
        <v>0</v>
      </c>
      <c r="M476" t="s">
        <v>178</v>
      </c>
      <c r="N476">
        <v>167</v>
      </c>
      <c r="O476">
        <v>52</v>
      </c>
      <c r="P476">
        <v>2320.9499999999998</v>
      </c>
      <c r="Q476">
        <v>7460.54</v>
      </c>
      <c r="R476">
        <v>422.92040852999997</v>
      </c>
      <c r="S476">
        <v>1071.8024780799999</v>
      </c>
      <c r="T476">
        <v>-6.0195914699999999</v>
      </c>
      <c r="U476">
        <v>0</v>
      </c>
      <c r="V476">
        <v>428.94</v>
      </c>
      <c r="W476" t="s">
        <v>1638</v>
      </c>
      <c r="X476" t="s">
        <v>271</v>
      </c>
      <c r="Y476" t="s">
        <v>4000</v>
      </c>
      <c r="AA476" t="s">
        <v>4001</v>
      </c>
      <c r="AB476" t="s">
        <v>181</v>
      </c>
    </row>
    <row r="477" spans="1:28" x14ac:dyDescent="0.25">
      <c r="A477" t="s">
        <v>4123</v>
      </c>
      <c r="B477" t="s">
        <v>4124</v>
      </c>
      <c r="C477" t="s">
        <v>646</v>
      </c>
      <c r="D477" t="s">
        <v>3779</v>
      </c>
      <c r="E477" t="s">
        <v>647</v>
      </c>
      <c r="F477" t="s">
        <v>3780</v>
      </c>
      <c r="G477" t="s">
        <v>769</v>
      </c>
      <c r="H477" t="s">
        <v>770</v>
      </c>
      <c r="I477" t="s">
        <v>746</v>
      </c>
      <c r="J477" t="s">
        <v>504</v>
      </c>
      <c r="K477" t="s">
        <v>166</v>
      </c>
      <c r="L477" t="s">
        <v>0</v>
      </c>
      <c r="M477" t="s">
        <v>178</v>
      </c>
      <c r="N477">
        <v>822</v>
      </c>
      <c r="O477">
        <v>486.5</v>
      </c>
      <c r="P477">
        <v>21205.9</v>
      </c>
      <c r="Q477">
        <v>17679.57</v>
      </c>
      <c r="R477">
        <v>744.2</v>
      </c>
      <c r="S477">
        <v>2537.5799914499999</v>
      </c>
      <c r="T477">
        <v>0</v>
      </c>
      <c r="U477">
        <v>0</v>
      </c>
      <c r="V477">
        <v>744.2</v>
      </c>
      <c r="W477" t="s">
        <v>503</v>
      </c>
      <c r="X477" t="s">
        <v>271</v>
      </c>
      <c r="Y477" t="s">
        <v>4125</v>
      </c>
      <c r="AA477" t="s">
        <v>4126</v>
      </c>
      <c r="AB477" t="s">
        <v>181</v>
      </c>
    </row>
    <row r="478" spans="1:28" x14ac:dyDescent="0.25">
      <c r="A478" t="s">
        <v>4127</v>
      </c>
      <c r="B478" t="s">
        <v>4128</v>
      </c>
      <c r="C478" t="s">
        <v>646</v>
      </c>
      <c r="D478" t="s">
        <v>3779</v>
      </c>
      <c r="E478" t="s">
        <v>647</v>
      </c>
      <c r="F478" t="s">
        <v>3780</v>
      </c>
      <c r="G478" t="s">
        <v>769</v>
      </c>
      <c r="H478" t="s">
        <v>649</v>
      </c>
      <c r="I478" t="s">
        <v>4129</v>
      </c>
      <c r="J478" t="s">
        <v>2057</v>
      </c>
      <c r="K478" t="s">
        <v>166</v>
      </c>
      <c r="L478" t="s">
        <v>0</v>
      </c>
      <c r="M478" t="s">
        <v>178</v>
      </c>
      <c r="N478">
        <v>123</v>
      </c>
      <c r="O478">
        <v>62</v>
      </c>
      <c r="P478">
        <v>1666.46</v>
      </c>
      <c r="Q478">
        <v>5753.97</v>
      </c>
      <c r="R478">
        <v>563.04</v>
      </c>
      <c r="S478">
        <v>876.33095666999998</v>
      </c>
      <c r="T478">
        <v>0</v>
      </c>
      <c r="U478">
        <v>0</v>
      </c>
      <c r="V478">
        <v>563.04</v>
      </c>
      <c r="W478" t="s">
        <v>2058</v>
      </c>
      <c r="X478" t="s">
        <v>271</v>
      </c>
      <c r="Y478" t="s">
        <v>4130</v>
      </c>
      <c r="AA478" t="s">
        <v>4131</v>
      </c>
      <c r="AB478" t="s">
        <v>181</v>
      </c>
    </row>
    <row r="479" spans="1:28" x14ac:dyDescent="0.25">
      <c r="A479" t="s">
        <v>4002</v>
      </c>
      <c r="B479" t="s">
        <v>4003</v>
      </c>
      <c r="C479" t="s">
        <v>646</v>
      </c>
      <c r="D479" t="s">
        <v>3779</v>
      </c>
      <c r="E479" t="s">
        <v>647</v>
      </c>
      <c r="F479" t="s">
        <v>3780</v>
      </c>
      <c r="G479" t="s">
        <v>769</v>
      </c>
      <c r="H479" t="s">
        <v>797</v>
      </c>
      <c r="I479" t="s">
        <v>2635</v>
      </c>
      <c r="J479" t="s">
        <v>2636</v>
      </c>
      <c r="K479" t="s">
        <v>166</v>
      </c>
      <c r="L479" t="s">
        <v>0</v>
      </c>
      <c r="M479" t="s">
        <v>178</v>
      </c>
      <c r="N479">
        <v>241</v>
      </c>
      <c r="O479">
        <v>141</v>
      </c>
      <c r="P479">
        <v>2467.7800000000002</v>
      </c>
      <c r="Q479">
        <v>8675.4</v>
      </c>
      <c r="R479">
        <v>2207.6298483300002</v>
      </c>
      <c r="S479">
        <v>1229.5904690100001</v>
      </c>
      <c r="T479">
        <v>8.9848330000000004E-2</v>
      </c>
      <c r="U479">
        <v>0</v>
      </c>
      <c r="V479">
        <v>2207.54</v>
      </c>
      <c r="W479" t="s">
        <v>1609</v>
      </c>
      <c r="X479" t="s">
        <v>271</v>
      </c>
      <c r="Y479" t="s">
        <v>4004</v>
      </c>
      <c r="AA479" t="s">
        <v>4005</v>
      </c>
      <c r="AB479" t="s">
        <v>181</v>
      </c>
    </row>
    <row r="480" spans="1:28" x14ac:dyDescent="0.25">
      <c r="A480" t="s">
        <v>4240</v>
      </c>
      <c r="B480" t="s">
        <v>4241</v>
      </c>
      <c r="C480" t="s">
        <v>646</v>
      </c>
      <c r="D480" t="s">
        <v>3779</v>
      </c>
      <c r="E480" t="s">
        <v>647</v>
      </c>
      <c r="F480" t="s">
        <v>666</v>
      </c>
      <c r="G480" t="s">
        <v>666</v>
      </c>
      <c r="H480" t="s">
        <v>1045</v>
      </c>
      <c r="I480" t="s">
        <v>880</v>
      </c>
      <c r="J480" t="s">
        <v>881</v>
      </c>
      <c r="K480" t="s">
        <v>166</v>
      </c>
      <c r="L480" t="s">
        <v>0</v>
      </c>
      <c r="M480" t="s">
        <v>178</v>
      </c>
      <c r="N480">
        <v>12</v>
      </c>
      <c r="O480">
        <v>10</v>
      </c>
      <c r="P480">
        <v>122</v>
      </c>
      <c r="Q480">
        <v>589.22</v>
      </c>
      <c r="R480">
        <v>114.44</v>
      </c>
      <c r="S480">
        <v>51.874513479999997</v>
      </c>
      <c r="T480">
        <v>0</v>
      </c>
      <c r="U480">
        <v>0</v>
      </c>
      <c r="V480">
        <v>114.44</v>
      </c>
      <c r="W480" t="s">
        <v>0</v>
      </c>
      <c r="X480" t="s">
        <v>271</v>
      </c>
      <c r="Y480" t="s">
        <v>4242</v>
      </c>
      <c r="AA480" t="s">
        <v>4243</v>
      </c>
      <c r="AB480" t="s">
        <v>181</v>
      </c>
    </row>
    <row r="481" spans="1:28" x14ac:dyDescent="0.25">
      <c r="A481" t="s">
        <v>4006</v>
      </c>
      <c r="B481" t="s">
        <v>4007</v>
      </c>
      <c r="C481" t="s">
        <v>646</v>
      </c>
      <c r="D481" t="s">
        <v>3779</v>
      </c>
      <c r="E481" t="s">
        <v>647</v>
      </c>
      <c r="F481" t="s">
        <v>3780</v>
      </c>
      <c r="G481" t="s">
        <v>769</v>
      </c>
      <c r="H481" t="s">
        <v>649</v>
      </c>
      <c r="I481" t="s">
        <v>4008</v>
      </c>
      <c r="J481" t="s">
        <v>688</v>
      </c>
      <c r="K481" t="s">
        <v>166</v>
      </c>
      <c r="L481" t="s">
        <v>0</v>
      </c>
      <c r="M481" t="s">
        <v>178</v>
      </c>
      <c r="N481">
        <v>9</v>
      </c>
      <c r="O481">
        <v>4</v>
      </c>
      <c r="P481">
        <v>97.85</v>
      </c>
      <c r="Q481">
        <v>394.02</v>
      </c>
      <c r="R481">
        <v>30.63</v>
      </c>
      <c r="S481">
        <v>52.588439489999999</v>
      </c>
      <c r="T481">
        <v>0</v>
      </c>
      <c r="U481">
        <v>0</v>
      </c>
      <c r="V481">
        <v>30.63</v>
      </c>
      <c r="W481" t="s">
        <v>0</v>
      </c>
      <c r="X481" t="s">
        <v>271</v>
      </c>
      <c r="Y481" t="s">
        <v>4009</v>
      </c>
      <c r="AA481" t="s">
        <v>4010</v>
      </c>
      <c r="AB481" t="s">
        <v>181</v>
      </c>
    </row>
    <row r="482" spans="1:28" x14ac:dyDescent="0.25">
      <c r="A482" t="s">
        <v>4252</v>
      </c>
      <c r="B482" t="s">
        <v>4253</v>
      </c>
      <c r="C482" t="s">
        <v>646</v>
      </c>
      <c r="D482" t="s">
        <v>3779</v>
      </c>
      <c r="E482" t="s">
        <v>647</v>
      </c>
      <c r="F482" t="s">
        <v>3780</v>
      </c>
      <c r="G482" t="s">
        <v>769</v>
      </c>
      <c r="H482" t="s">
        <v>679</v>
      </c>
      <c r="I482" t="s">
        <v>1046</v>
      </c>
      <c r="J482" t="s">
        <v>971</v>
      </c>
      <c r="K482" t="s">
        <v>166</v>
      </c>
      <c r="L482" t="s">
        <v>0</v>
      </c>
      <c r="M482" t="s">
        <v>178</v>
      </c>
      <c r="N482">
        <v>186</v>
      </c>
      <c r="O482">
        <v>49</v>
      </c>
      <c r="P482">
        <v>1645.72</v>
      </c>
      <c r="Q482">
        <v>6609.7</v>
      </c>
      <c r="R482">
        <v>780.92</v>
      </c>
      <c r="S482">
        <v>591.75729694999995</v>
      </c>
      <c r="T482">
        <v>0</v>
      </c>
      <c r="U482">
        <v>0</v>
      </c>
      <c r="V482">
        <v>780.92</v>
      </c>
      <c r="W482" t="s">
        <v>972</v>
      </c>
      <c r="X482" t="s">
        <v>269</v>
      </c>
      <c r="Y482" t="s">
        <v>4254</v>
      </c>
      <c r="AA482" t="s">
        <v>4255</v>
      </c>
      <c r="AB482" t="s">
        <v>181</v>
      </c>
    </row>
    <row r="483" spans="1:28" x14ac:dyDescent="0.25">
      <c r="A483" t="s">
        <v>4035</v>
      </c>
      <c r="B483" t="s">
        <v>4036</v>
      </c>
      <c r="C483" t="s">
        <v>646</v>
      </c>
      <c r="D483" t="s">
        <v>3779</v>
      </c>
      <c r="E483" t="s">
        <v>647</v>
      </c>
      <c r="F483" t="s">
        <v>3780</v>
      </c>
      <c r="G483" t="s">
        <v>769</v>
      </c>
      <c r="H483" t="s">
        <v>649</v>
      </c>
      <c r="I483" t="s">
        <v>3464</v>
      </c>
      <c r="J483" t="s">
        <v>688</v>
      </c>
      <c r="K483" t="s">
        <v>166</v>
      </c>
      <c r="L483" t="s">
        <v>0</v>
      </c>
      <c r="M483" t="s">
        <v>178</v>
      </c>
      <c r="N483">
        <v>118</v>
      </c>
      <c r="O483">
        <v>117</v>
      </c>
      <c r="P483">
        <v>3282.45</v>
      </c>
      <c r="Q483">
        <v>7899.82</v>
      </c>
      <c r="R483">
        <v>1009.4944439</v>
      </c>
      <c r="S483">
        <v>376.42200501000002</v>
      </c>
      <c r="T483">
        <v>4.4438999999999998E-3</v>
      </c>
      <c r="U483">
        <v>0</v>
      </c>
      <c r="V483">
        <v>1009.49</v>
      </c>
      <c r="W483" t="s">
        <v>0</v>
      </c>
      <c r="X483" t="s">
        <v>271</v>
      </c>
      <c r="Y483" t="s">
        <v>4037</v>
      </c>
      <c r="AA483" t="s">
        <v>4038</v>
      </c>
      <c r="AB483" t="s">
        <v>181</v>
      </c>
    </row>
    <row r="484" spans="1:28" x14ac:dyDescent="0.25">
      <c r="A484" t="s">
        <v>4284</v>
      </c>
      <c r="B484" t="s">
        <v>4285</v>
      </c>
      <c r="C484" t="s">
        <v>646</v>
      </c>
      <c r="D484" t="s">
        <v>3779</v>
      </c>
      <c r="E484" t="s">
        <v>647</v>
      </c>
      <c r="F484" t="s">
        <v>3780</v>
      </c>
      <c r="G484" t="s">
        <v>769</v>
      </c>
      <c r="H484" t="s">
        <v>730</v>
      </c>
      <c r="I484" t="s">
        <v>778</v>
      </c>
      <c r="J484" t="s">
        <v>428</v>
      </c>
      <c r="K484" t="s">
        <v>166</v>
      </c>
      <c r="L484" t="s">
        <v>0</v>
      </c>
      <c r="M484" t="s">
        <v>178</v>
      </c>
      <c r="N484">
        <v>57</v>
      </c>
      <c r="O484">
        <v>7</v>
      </c>
      <c r="P484">
        <v>1484.4</v>
      </c>
      <c r="Q484">
        <v>4861.88</v>
      </c>
      <c r="R484">
        <v>557.74550201</v>
      </c>
      <c r="S484">
        <v>50.02059895</v>
      </c>
      <c r="T484">
        <v>4270.13550201</v>
      </c>
      <c r="U484">
        <v>0</v>
      </c>
      <c r="V484">
        <v>570.21</v>
      </c>
      <c r="W484" t="s">
        <v>1977</v>
      </c>
      <c r="X484" t="s">
        <v>271</v>
      </c>
      <c r="Y484" t="s">
        <v>4286</v>
      </c>
      <c r="AA484" t="s">
        <v>4287</v>
      </c>
      <c r="AB484" t="s">
        <v>181</v>
      </c>
    </row>
    <row r="485" spans="1:28" x14ac:dyDescent="0.25">
      <c r="A485" t="s">
        <v>4113</v>
      </c>
      <c r="B485" t="s">
        <v>4114</v>
      </c>
      <c r="C485" t="s">
        <v>646</v>
      </c>
      <c r="D485" t="s">
        <v>3779</v>
      </c>
      <c r="E485" t="s">
        <v>647</v>
      </c>
      <c r="F485" t="s">
        <v>3780</v>
      </c>
      <c r="G485" t="s">
        <v>769</v>
      </c>
      <c r="H485" t="s">
        <v>761</v>
      </c>
      <c r="I485" t="s">
        <v>1913</v>
      </c>
      <c r="J485" t="s">
        <v>1914</v>
      </c>
      <c r="K485" t="s">
        <v>166</v>
      </c>
      <c r="L485" t="s">
        <v>0</v>
      </c>
      <c r="M485" t="s">
        <v>178</v>
      </c>
      <c r="N485">
        <v>52</v>
      </c>
      <c r="O485">
        <v>43</v>
      </c>
      <c r="P485">
        <v>1839.69</v>
      </c>
      <c r="Q485">
        <v>2084.7600000000002</v>
      </c>
      <c r="R485">
        <v>658.22</v>
      </c>
      <c r="S485">
        <v>341.82760266000003</v>
      </c>
      <c r="T485">
        <v>0</v>
      </c>
      <c r="U485">
        <v>0</v>
      </c>
      <c r="V485">
        <v>658.22</v>
      </c>
      <c r="W485" t="s">
        <v>1915</v>
      </c>
      <c r="X485" t="s">
        <v>269</v>
      </c>
      <c r="Y485" t="s">
        <v>4115</v>
      </c>
      <c r="AA485" t="s">
        <v>4116</v>
      </c>
      <c r="AB485" t="s">
        <v>181</v>
      </c>
    </row>
    <row r="486" spans="1:28" x14ac:dyDescent="0.25">
      <c r="A486" t="s">
        <v>3777</v>
      </c>
      <c r="B486" t="s">
        <v>3778</v>
      </c>
      <c r="C486" t="s">
        <v>646</v>
      </c>
      <c r="D486" t="s">
        <v>3779</v>
      </c>
      <c r="E486" t="s">
        <v>647</v>
      </c>
      <c r="F486" t="s">
        <v>3780</v>
      </c>
      <c r="G486" t="s">
        <v>769</v>
      </c>
      <c r="H486" t="s">
        <v>770</v>
      </c>
      <c r="I486" t="s">
        <v>798</v>
      </c>
      <c r="J486" t="s">
        <v>524</v>
      </c>
      <c r="K486" t="s">
        <v>166</v>
      </c>
      <c r="L486" t="s">
        <v>0</v>
      </c>
      <c r="M486" t="s">
        <v>178</v>
      </c>
      <c r="N486">
        <v>27</v>
      </c>
      <c r="O486">
        <v>17</v>
      </c>
      <c r="P486">
        <v>375.1</v>
      </c>
      <c r="Q486">
        <v>798.03</v>
      </c>
      <c r="R486">
        <v>123.69</v>
      </c>
      <c r="S486">
        <v>70.634773199999998</v>
      </c>
      <c r="T486">
        <v>0</v>
      </c>
      <c r="U486">
        <v>0</v>
      </c>
      <c r="V486">
        <v>123.69</v>
      </c>
      <c r="W486" t="s">
        <v>258</v>
      </c>
      <c r="X486" t="s">
        <v>271</v>
      </c>
      <c r="Y486" t="s">
        <v>3781</v>
      </c>
      <c r="AA486" t="s">
        <v>3782</v>
      </c>
      <c r="AB486" t="s">
        <v>181</v>
      </c>
    </row>
    <row r="487" spans="1:28" x14ac:dyDescent="0.25">
      <c r="A487" t="s">
        <v>3788</v>
      </c>
      <c r="B487" t="s">
        <v>3789</v>
      </c>
      <c r="C487" t="s">
        <v>646</v>
      </c>
      <c r="D487" t="s">
        <v>3779</v>
      </c>
      <c r="E487" t="s">
        <v>647</v>
      </c>
      <c r="F487" t="s">
        <v>3780</v>
      </c>
      <c r="G487" t="s">
        <v>769</v>
      </c>
      <c r="H487" t="s">
        <v>962</v>
      </c>
      <c r="I487" t="s">
        <v>3790</v>
      </c>
      <c r="J487" t="s">
        <v>599</v>
      </c>
      <c r="K487" t="s">
        <v>166</v>
      </c>
      <c r="L487" t="s">
        <v>0</v>
      </c>
      <c r="M487" t="s">
        <v>178</v>
      </c>
      <c r="N487">
        <v>429</v>
      </c>
      <c r="O487">
        <v>328</v>
      </c>
      <c r="P487">
        <v>6501.97</v>
      </c>
      <c r="Q487">
        <v>25082.11</v>
      </c>
      <c r="R487">
        <v>1265.7176731100001</v>
      </c>
      <c r="S487">
        <v>2845.5167647799999</v>
      </c>
      <c r="T487">
        <v>1.1076731099999999</v>
      </c>
      <c r="U487">
        <v>928.19</v>
      </c>
      <c r="V487">
        <v>2192.8000000000002</v>
      </c>
      <c r="W487" t="s">
        <v>598</v>
      </c>
      <c r="X487" t="s">
        <v>271</v>
      </c>
      <c r="Y487" t="s">
        <v>3791</v>
      </c>
      <c r="AA487" t="s">
        <v>3792</v>
      </c>
      <c r="AB487" t="s">
        <v>181</v>
      </c>
    </row>
    <row r="488" spans="1:28" x14ac:dyDescent="0.25">
      <c r="A488" t="s">
        <v>4248</v>
      </c>
      <c r="B488" t="s">
        <v>4249</v>
      </c>
      <c r="C488" t="s">
        <v>646</v>
      </c>
      <c r="D488" t="s">
        <v>3779</v>
      </c>
      <c r="E488" t="s">
        <v>647</v>
      </c>
      <c r="F488" t="s">
        <v>3780</v>
      </c>
      <c r="G488" t="s">
        <v>769</v>
      </c>
      <c r="H488" t="s">
        <v>802</v>
      </c>
      <c r="I488" t="s">
        <v>1913</v>
      </c>
      <c r="J488" t="s">
        <v>1914</v>
      </c>
      <c r="K488" t="s">
        <v>166</v>
      </c>
      <c r="L488" t="s">
        <v>0</v>
      </c>
      <c r="M488" t="s">
        <v>178</v>
      </c>
      <c r="N488">
        <v>97.333299999999994</v>
      </c>
      <c r="O488">
        <v>90.333299999999994</v>
      </c>
      <c r="P488">
        <v>1178.75</v>
      </c>
      <c r="Q488">
        <v>4336.49</v>
      </c>
      <c r="R488">
        <v>861.87</v>
      </c>
      <c r="S488">
        <v>444.56840305999998</v>
      </c>
      <c r="T488">
        <v>0</v>
      </c>
      <c r="U488">
        <v>0</v>
      </c>
      <c r="V488">
        <v>861.87</v>
      </c>
      <c r="W488" t="s">
        <v>1915</v>
      </c>
      <c r="X488" t="s">
        <v>269</v>
      </c>
      <c r="Y488" t="s">
        <v>4250</v>
      </c>
      <c r="AA488" t="s">
        <v>4251</v>
      </c>
      <c r="AB488" t="s">
        <v>181</v>
      </c>
    </row>
    <row r="489" spans="1:28" x14ac:dyDescent="0.25">
      <c r="A489" t="s">
        <v>4194</v>
      </c>
      <c r="B489" t="s">
        <v>4195</v>
      </c>
      <c r="C489" t="s">
        <v>646</v>
      </c>
      <c r="D489" t="s">
        <v>3779</v>
      </c>
      <c r="E489" t="s">
        <v>647</v>
      </c>
      <c r="F489" t="s">
        <v>3780</v>
      </c>
      <c r="G489" t="s">
        <v>769</v>
      </c>
      <c r="H489" t="s">
        <v>649</v>
      </c>
      <c r="I489" t="s">
        <v>1190</v>
      </c>
      <c r="J489" t="s">
        <v>1191</v>
      </c>
      <c r="K489" t="s">
        <v>166</v>
      </c>
      <c r="L489" t="s">
        <v>0</v>
      </c>
      <c r="M489" t="s">
        <v>178</v>
      </c>
      <c r="N489">
        <v>3</v>
      </c>
      <c r="O489">
        <v>3</v>
      </c>
      <c r="P489">
        <v>54</v>
      </c>
      <c r="Q489">
        <v>134.82</v>
      </c>
      <c r="R489">
        <v>11.7</v>
      </c>
      <c r="S489">
        <v>15.005848930000001</v>
      </c>
      <c r="T489">
        <v>0</v>
      </c>
      <c r="U489">
        <v>0</v>
      </c>
      <c r="V489">
        <v>11.7</v>
      </c>
      <c r="W489" t="s">
        <v>282</v>
      </c>
      <c r="X489" t="s">
        <v>271</v>
      </c>
      <c r="Y489" t="s">
        <v>4059</v>
      </c>
      <c r="AA489" t="s">
        <v>2171</v>
      </c>
      <c r="AB489" t="s">
        <v>181</v>
      </c>
    </row>
    <row r="490" spans="1:28" x14ac:dyDescent="0.25">
      <c r="A490" t="s">
        <v>4172</v>
      </c>
      <c r="B490" t="s">
        <v>4173</v>
      </c>
      <c r="C490" t="s">
        <v>646</v>
      </c>
      <c r="D490" t="s">
        <v>3779</v>
      </c>
      <c r="E490" t="s">
        <v>647</v>
      </c>
      <c r="F490" t="s">
        <v>3780</v>
      </c>
      <c r="G490" t="s">
        <v>769</v>
      </c>
      <c r="H490" t="s">
        <v>1045</v>
      </c>
      <c r="I490" t="s">
        <v>1801</v>
      </c>
      <c r="J490" t="s">
        <v>437</v>
      </c>
      <c r="K490" t="s">
        <v>166</v>
      </c>
      <c r="L490" t="s">
        <v>0</v>
      </c>
      <c r="M490" t="s">
        <v>178</v>
      </c>
      <c r="N490">
        <v>37.333300000000001</v>
      </c>
      <c r="O490">
        <v>31.333300000000001</v>
      </c>
      <c r="P490">
        <v>279.5</v>
      </c>
      <c r="Q490">
        <v>2462.7399999999998</v>
      </c>
      <c r="R490">
        <v>434.1</v>
      </c>
      <c r="S490">
        <v>180.12701204999999</v>
      </c>
      <c r="T490">
        <v>0</v>
      </c>
      <c r="U490">
        <v>0</v>
      </c>
      <c r="V490">
        <v>434.1</v>
      </c>
      <c r="W490" t="s">
        <v>510</v>
      </c>
      <c r="X490" t="s">
        <v>271</v>
      </c>
      <c r="Y490" t="s">
        <v>4174</v>
      </c>
      <c r="Z490" t="s">
        <v>4175</v>
      </c>
      <c r="AA490" t="s">
        <v>4176</v>
      </c>
      <c r="AB490" t="s">
        <v>181</v>
      </c>
    </row>
    <row r="491" spans="1:28" x14ac:dyDescent="0.25">
      <c r="A491" t="s">
        <v>4139</v>
      </c>
      <c r="B491" t="s">
        <v>4140</v>
      </c>
      <c r="C491" t="s">
        <v>646</v>
      </c>
      <c r="D491" t="s">
        <v>3779</v>
      </c>
      <c r="E491" t="s">
        <v>647</v>
      </c>
      <c r="F491" t="s">
        <v>3780</v>
      </c>
      <c r="G491" t="s">
        <v>769</v>
      </c>
      <c r="H491" t="s">
        <v>717</v>
      </c>
      <c r="I491" t="s">
        <v>778</v>
      </c>
      <c r="J491" t="s">
        <v>428</v>
      </c>
      <c r="K491" t="s">
        <v>166</v>
      </c>
      <c r="L491" t="s">
        <v>0</v>
      </c>
      <c r="M491" t="s">
        <v>178</v>
      </c>
      <c r="N491">
        <v>2</v>
      </c>
      <c r="O491">
        <v>2</v>
      </c>
      <c r="P491">
        <v>21.46</v>
      </c>
      <c r="Q491">
        <v>236.49</v>
      </c>
      <c r="R491">
        <v>32.409999999999997</v>
      </c>
      <c r="S491">
        <v>10.73</v>
      </c>
      <c r="T491">
        <v>0</v>
      </c>
      <c r="U491">
        <v>0</v>
      </c>
      <c r="V491">
        <v>32.409999999999997</v>
      </c>
      <c r="W491" t="s">
        <v>547</v>
      </c>
      <c r="X491" t="s">
        <v>271</v>
      </c>
      <c r="Y491" t="s">
        <v>4141</v>
      </c>
      <c r="AA491" t="s">
        <v>4142</v>
      </c>
      <c r="AB491" t="s">
        <v>181</v>
      </c>
    </row>
    <row r="492" spans="1:28" x14ac:dyDescent="0.25">
      <c r="A492" t="s">
        <v>4326</v>
      </c>
      <c r="B492" t="s">
        <v>4327</v>
      </c>
      <c r="C492" t="s">
        <v>646</v>
      </c>
      <c r="D492" t="s">
        <v>3779</v>
      </c>
      <c r="E492" t="s">
        <v>647</v>
      </c>
      <c r="F492" t="s">
        <v>3780</v>
      </c>
      <c r="G492" t="s">
        <v>769</v>
      </c>
      <c r="H492" t="s">
        <v>649</v>
      </c>
      <c r="I492" t="s">
        <v>936</v>
      </c>
      <c r="J492" t="s">
        <v>582</v>
      </c>
      <c r="K492" t="s">
        <v>166</v>
      </c>
      <c r="L492" t="s">
        <v>0</v>
      </c>
      <c r="M492" t="s">
        <v>178</v>
      </c>
      <c r="N492">
        <v>159</v>
      </c>
      <c r="O492">
        <v>0</v>
      </c>
      <c r="P492">
        <v>1590</v>
      </c>
      <c r="Q492">
        <v>3367.97</v>
      </c>
      <c r="R492">
        <v>1024.93</v>
      </c>
      <c r="S492">
        <v>0</v>
      </c>
      <c r="T492">
        <v>0</v>
      </c>
      <c r="U492">
        <v>0</v>
      </c>
      <c r="V492">
        <v>1024.93</v>
      </c>
      <c r="W492" t="s">
        <v>361</v>
      </c>
      <c r="X492" t="s">
        <v>271</v>
      </c>
      <c r="Y492" t="s">
        <v>4328</v>
      </c>
      <c r="AA492" t="s">
        <v>4329</v>
      </c>
      <c r="AB492" t="s">
        <v>181</v>
      </c>
    </row>
    <row r="493" spans="1:28" x14ac:dyDescent="0.25">
      <c r="A493" t="s">
        <v>4189</v>
      </c>
      <c r="B493" t="s">
        <v>4190</v>
      </c>
      <c r="C493" t="s">
        <v>646</v>
      </c>
      <c r="D493" t="s">
        <v>3779</v>
      </c>
      <c r="E493" t="s">
        <v>647</v>
      </c>
      <c r="F493" t="s">
        <v>666</v>
      </c>
      <c r="G493" t="s">
        <v>666</v>
      </c>
      <c r="H493" t="s">
        <v>757</v>
      </c>
      <c r="I493" t="s">
        <v>4191</v>
      </c>
      <c r="J493" t="s">
        <v>355</v>
      </c>
      <c r="K493" t="s">
        <v>166</v>
      </c>
      <c r="L493" t="s">
        <v>0</v>
      </c>
      <c r="M493" t="s">
        <v>178</v>
      </c>
      <c r="N493">
        <v>153</v>
      </c>
      <c r="O493">
        <v>11</v>
      </c>
      <c r="P493">
        <v>891.24</v>
      </c>
      <c r="Q493">
        <v>3745.34</v>
      </c>
      <c r="R493">
        <v>981.54</v>
      </c>
      <c r="S493">
        <v>727.60745514999996</v>
      </c>
      <c r="T493">
        <v>0</v>
      </c>
      <c r="U493">
        <v>0</v>
      </c>
      <c r="V493">
        <v>981.54</v>
      </c>
      <c r="W493" t="s">
        <v>0</v>
      </c>
      <c r="X493" t="s">
        <v>271</v>
      </c>
      <c r="Y493" t="s">
        <v>4192</v>
      </c>
      <c r="AA493" t="s">
        <v>4193</v>
      </c>
      <c r="AB493" t="s">
        <v>181</v>
      </c>
    </row>
    <row r="494" spans="1:28" x14ac:dyDescent="0.25">
      <c r="A494" t="s">
        <v>4219</v>
      </c>
      <c r="B494" t="s">
        <v>4220</v>
      </c>
      <c r="C494" t="s">
        <v>646</v>
      </c>
      <c r="D494" t="s">
        <v>3779</v>
      </c>
      <c r="E494" t="s">
        <v>647</v>
      </c>
      <c r="F494" t="s">
        <v>3780</v>
      </c>
      <c r="G494" t="s">
        <v>769</v>
      </c>
      <c r="H494" t="s">
        <v>1515</v>
      </c>
      <c r="I494" t="s">
        <v>1208</v>
      </c>
      <c r="J494" t="s">
        <v>1209</v>
      </c>
      <c r="K494" t="s">
        <v>166</v>
      </c>
      <c r="L494" t="s">
        <v>0</v>
      </c>
      <c r="M494" t="s">
        <v>178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 t="s">
        <v>1210</v>
      </c>
      <c r="X494" t="s">
        <v>271</v>
      </c>
      <c r="Y494" t="s">
        <v>4221</v>
      </c>
      <c r="AA494" t="s">
        <v>4222</v>
      </c>
      <c r="AB494" t="s">
        <v>181</v>
      </c>
    </row>
    <row r="495" spans="1:28" x14ac:dyDescent="0.25">
      <c r="A495" t="s">
        <v>3823</v>
      </c>
      <c r="B495" t="s">
        <v>3824</v>
      </c>
      <c r="C495" t="s">
        <v>646</v>
      </c>
      <c r="D495" t="s">
        <v>3779</v>
      </c>
      <c r="E495" t="s">
        <v>647</v>
      </c>
      <c r="F495" t="s">
        <v>3780</v>
      </c>
      <c r="G495" t="s">
        <v>769</v>
      </c>
      <c r="H495" t="s">
        <v>717</v>
      </c>
      <c r="I495" t="s">
        <v>1801</v>
      </c>
      <c r="J495" t="s">
        <v>437</v>
      </c>
      <c r="K495" t="s">
        <v>166</v>
      </c>
      <c r="L495" t="s">
        <v>0</v>
      </c>
      <c r="M495" t="s">
        <v>178</v>
      </c>
      <c r="N495">
        <v>8</v>
      </c>
      <c r="O495">
        <v>0</v>
      </c>
      <c r="P495">
        <v>486.9</v>
      </c>
      <c r="Q495">
        <v>1269.54</v>
      </c>
      <c r="R495">
        <v>165.25</v>
      </c>
      <c r="S495">
        <v>108.54479872</v>
      </c>
      <c r="T495">
        <v>0</v>
      </c>
      <c r="U495">
        <v>0</v>
      </c>
      <c r="V495">
        <v>165.25</v>
      </c>
      <c r="W495" t="s">
        <v>510</v>
      </c>
      <c r="X495" t="s">
        <v>271</v>
      </c>
      <c r="Y495" t="s">
        <v>3825</v>
      </c>
      <c r="AA495" t="s">
        <v>3826</v>
      </c>
      <c r="AB495" t="s">
        <v>181</v>
      </c>
    </row>
    <row r="496" spans="1:28" x14ac:dyDescent="0.25">
      <c r="A496" t="s">
        <v>4060</v>
      </c>
      <c r="B496" t="s">
        <v>4061</v>
      </c>
      <c r="C496" t="s">
        <v>646</v>
      </c>
      <c r="D496" t="s">
        <v>3779</v>
      </c>
      <c r="E496" t="s">
        <v>647</v>
      </c>
      <c r="F496" t="s">
        <v>648</v>
      </c>
      <c r="G496" t="s">
        <v>648</v>
      </c>
      <c r="H496" t="s">
        <v>856</v>
      </c>
      <c r="I496" t="s">
        <v>1114</v>
      </c>
      <c r="J496" t="s">
        <v>1115</v>
      </c>
      <c r="K496" t="s">
        <v>166</v>
      </c>
      <c r="L496" t="s">
        <v>0</v>
      </c>
      <c r="M496" t="s">
        <v>178</v>
      </c>
      <c r="N496">
        <v>110</v>
      </c>
      <c r="O496">
        <v>0</v>
      </c>
      <c r="P496">
        <v>1155</v>
      </c>
      <c r="Q496">
        <v>3407.8</v>
      </c>
      <c r="R496">
        <v>0</v>
      </c>
      <c r="S496">
        <v>173.7175</v>
      </c>
      <c r="T496">
        <v>0</v>
      </c>
      <c r="U496">
        <v>0</v>
      </c>
      <c r="V496">
        <v>0</v>
      </c>
      <c r="W496" t="s">
        <v>0</v>
      </c>
      <c r="X496" t="s">
        <v>271</v>
      </c>
      <c r="Y496" t="s">
        <v>4062</v>
      </c>
      <c r="AA496" t="s">
        <v>4063</v>
      </c>
      <c r="AB496" t="s">
        <v>181</v>
      </c>
    </row>
    <row r="497" spans="1:28" x14ac:dyDescent="0.25">
      <c r="A497" t="s">
        <v>4194</v>
      </c>
      <c r="B497" t="s">
        <v>4195</v>
      </c>
      <c r="C497" t="s">
        <v>646</v>
      </c>
      <c r="D497" t="s">
        <v>3779</v>
      </c>
      <c r="E497" t="s">
        <v>647</v>
      </c>
      <c r="F497" t="s">
        <v>3780</v>
      </c>
      <c r="G497" t="s">
        <v>769</v>
      </c>
      <c r="H497" t="s">
        <v>717</v>
      </c>
      <c r="I497" t="s">
        <v>1190</v>
      </c>
      <c r="J497" t="s">
        <v>1191</v>
      </c>
      <c r="K497" t="s">
        <v>166</v>
      </c>
      <c r="L497" t="s">
        <v>0</v>
      </c>
      <c r="M497" t="s">
        <v>178</v>
      </c>
      <c r="N497">
        <v>198</v>
      </c>
      <c r="O497">
        <v>0</v>
      </c>
      <c r="P497">
        <v>8524.73</v>
      </c>
      <c r="Q497">
        <v>16559.5</v>
      </c>
      <c r="R497">
        <v>1340.72</v>
      </c>
      <c r="S497">
        <v>271.13203217</v>
      </c>
      <c r="T497">
        <v>0</v>
      </c>
      <c r="U497">
        <v>0</v>
      </c>
      <c r="V497">
        <v>1340.72</v>
      </c>
      <c r="W497" t="s">
        <v>282</v>
      </c>
      <c r="X497" t="s">
        <v>271</v>
      </c>
      <c r="Y497" t="s">
        <v>4059</v>
      </c>
      <c r="AA497" t="s">
        <v>2171</v>
      </c>
      <c r="AB497" t="s">
        <v>181</v>
      </c>
    </row>
    <row r="498" spans="1:28" x14ac:dyDescent="0.25">
      <c r="A498" t="s">
        <v>3973</v>
      </c>
      <c r="B498" t="s">
        <v>3974</v>
      </c>
      <c r="C498" t="s">
        <v>646</v>
      </c>
      <c r="D498" t="s">
        <v>3779</v>
      </c>
      <c r="E498" t="s">
        <v>647</v>
      </c>
      <c r="F498" t="s">
        <v>3780</v>
      </c>
      <c r="G498" t="s">
        <v>769</v>
      </c>
      <c r="H498" t="s">
        <v>730</v>
      </c>
      <c r="I498" t="s">
        <v>880</v>
      </c>
      <c r="J498" t="s">
        <v>881</v>
      </c>
      <c r="K498" t="s">
        <v>166</v>
      </c>
      <c r="L498" t="s">
        <v>0</v>
      </c>
      <c r="M498" t="s">
        <v>178</v>
      </c>
      <c r="N498">
        <v>115</v>
      </c>
      <c r="O498">
        <v>8</v>
      </c>
      <c r="P498">
        <v>3403.81</v>
      </c>
      <c r="Q498">
        <v>8864.52</v>
      </c>
      <c r="R498">
        <v>1190.53466278</v>
      </c>
      <c r="S498">
        <v>45.861159860000001</v>
      </c>
      <c r="T498">
        <v>9289.3846627799994</v>
      </c>
      <c r="U498">
        <v>0</v>
      </c>
      <c r="V498">
        <v>1265.96</v>
      </c>
      <c r="W498" t="s">
        <v>0</v>
      </c>
      <c r="X498" t="s">
        <v>271</v>
      </c>
      <c r="Y498" t="s">
        <v>3975</v>
      </c>
      <c r="AA498" t="s">
        <v>3976</v>
      </c>
      <c r="AB498" t="s">
        <v>181</v>
      </c>
    </row>
    <row r="499" spans="1:28" x14ac:dyDescent="0.25">
      <c r="A499" t="s">
        <v>4184</v>
      </c>
      <c r="B499" t="s">
        <v>4185</v>
      </c>
      <c r="C499" t="s">
        <v>646</v>
      </c>
      <c r="D499" t="s">
        <v>3779</v>
      </c>
      <c r="E499" t="s">
        <v>647</v>
      </c>
      <c r="F499" t="s">
        <v>3780</v>
      </c>
      <c r="G499" t="s">
        <v>769</v>
      </c>
      <c r="H499" t="s">
        <v>683</v>
      </c>
      <c r="I499" t="s">
        <v>4186</v>
      </c>
      <c r="J499" t="s">
        <v>1164</v>
      </c>
      <c r="K499" t="s">
        <v>166</v>
      </c>
      <c r="L499" t="s">
        <v>0</v>
      </c>
      <c r="M499" t="s">
        <v>178</v>
      </c>
      <c r="N499">
        <v>691.51379999999995</v>
      </c>
      <c r="O499">
        <v>320.75</v>
      </c>
      <c r="P499">
        <v>10428.4</v>
      </c>
      <c r="Q499">
        <v>29333.759999999998</v>
      </c>
      <c r="R499">
        <v>1992.7690501</v>
      </c>
      <c r="S499">
        <v>4946.2816917299997</v>
      </c>
      <c r="T499">
        <v>91.619050099999995</v>
      </c>
      <c r="U499">
        <v>224.46</v>
      </c>
      <c r="V499">
        <v>2217.23</v>
      </c>
      <c r="W499" t="s">
        <v>1165</v>
      </c>
      <c r="X499" t="s">
        <v>271</v>
      </c>
      <c r="Y499" t="s">
        <v>4187</v>
      </c>
      <c r="AA499" t="s">
        <v>4188</v>
      </c>
      <c r="AB499" t="s">
        <v>181</v>
      </c>
    </row>
    <row r="500" spans="1:28" x14ac:dyDescent="0.25">
      <c r="A500" t="s">
        <v>4304</v>
      </c>
      <c r="B500" t="s">
        <v>4305</v>
      </c>
      <c r="C500" t="s">
        <v>646</v>
      </c>
      <c r="D500" t="s">
        <v>3779</v>
      </c>
      <c r="E500" t="s">
        <v>647</v>
      </c>
      <c r="F500" t="s">
        <v>648</v>
      </c>
      <c r="G500" t="s">
        <v>648</v>
      </c>
      <c r="H500" t="s">
        <v>730</v>
      </c>
      <c r="I500" t="s">
        <v>4306</v>
      </c>
      <c r="J500" t="s">
        <v>436</v>
      </c>
      <c r="K500" t="s">
        <v>166</v>
      </c>
      <c r="L500" t="s">
        <v>0</v>
      </c>
      <c r="M500" t="s">
        <v>178</v>
      </c>
      <c r="N500">
        <v>136</v>
      </c>
      <c r="O500">
        <v>72</v>
      </c>
      <c r="P500">
        <v>5967.36</v>
      </c>
      <c r="Q500">
        <v>4686.99</v>
      </c>
      <c r="R500">
        <v>521.08885264000003</v>
      </c>
      <c r="S500">
        <v>728.42120166999996</v>
      </c>
      <c r="T500">
        <v>-0.58114736</v>
      </c>
      <c r="U500">
        <v>0</v>
      </c>
      <c r="V500">
        <v>521.66999999999996</v>
      </c>
      <c r="W500" t="s">
        <v>0</v>
      </c>
      <c r="X500" t="s">
        <v>271</v>
      </c>
      <c r="Y500" t="s">
        <v>4307</v>
      </c>
      <c r="AA500" t="s">
        <v>4101</v>
      </c>
      <c r="AB500" t="s">
        <v>181</v>
      </c>
    </row>
    <row r="501" spans="1:28" x14ac:dyDescent="0.25">
      <c r="A501" t="s">
        <v>4346</v>
      </c>
      <c r="B501" t="s">
        <v>257</v>
      </c>
      <c r="C501" t="s">
        <v>646</v>
      </c>
      <c r="D501" t="s">
        <v>3779</v>
      </c>
      <c r="E501" t="s">
        <v>647</v>
      </c>
      <c r="F501" t="s">
        <v>3780</v>
      </c>
      <c r="G501" t="s">
        <v>769</v>
      </c>
      <c r="H501" t="s">
        <v>703</v>
      </c>
      <c r="I501" t="s">
        <v>746</v>
      </c>
      <c r="J501" t="s">
        <v>504</v>
      </c>
      <c r="K501" t="s">
        <v>166</v>
      </c>
      <c r="L501" t="s">
        <v>0</v>
      </c>
      <c r="M501" t="s">
        <v>178</v>
      </c>
      <c r="N501">
        <v>476.13330000000002</v>
      </c>
      <c r="O501">
        <v>62.833300000000001</v>
      </c>
      <c r="P501">
        <v>4790.3</v>
      </c>
      <c r="Q501">
        <v>17818.54</v>
      </c>
      <c r="R501">
        <v>1347.7765887800001</v>
      </c>
      <c r="S501">
        <v>1601.1881995799999</v>
      </c>
      <c r="T501">
        <v>1.6588780000000001E-2</v>
      </c>
      <c r="U501">
        <v>0</v>
      </c>
      <c r="V501">
        <v>1347.76</v>
      </c>
      <c r="W501" t="s">
        <v>503</v>
      </c>
      <c r="X501" t="s">
        <v>271</v>
      </c>
      <c r="Y501" t="s">
        <v>4347</v>
      </c>
      <c r="AA501" t="s">
        <v>4348</v>
      </c>
      <c r="AB501" t="s">
        <v>181</v>
      </c>
    </row>
    <row r="502" spans="1:28" x14ac:dyDescent="0.25">
      <c r="A502" t="s">
        <v>3806</v>
      </c>
      <c r="B502" t="s">
        <v>3807</v>
      </c>
      <c r="C502" t="s">
        <v>646</v>
      </c>
      <c r="D502" t="s">
        <v>3779</v>
      </c>
      <c r="E502" t="s">
        <v>647</v>
      </c>
      <c r="F502" t="s">
        <v>3780</v>
      </c>
      <c r="G502" t="s">
        <v>769</v>
      </c>
      <c r="H502" t="s">
        <v>708</v>
      </c>
      <c r="I502" t="s">
        <v>2071</v>
      </c>
      <c r="J502" t="s">
        <v>1664</v>
      </c>
      <c r="K502" t="s">
        <v>166</v>
      </c>
      <c r="L502" t="s">
        <v>0</v>
      </c>
      <c r="M502" t="s">
        <v>178</v>
      </c>
      <c r="N502">
        <v>130.41669999999999</v>
      </c>
      <c r="O502">
        <v>109</v>
      </c>
      <c r="P502">
        <v>2719.46</v>
      </c>
      <c r="Q502">
        <v>4591.72</v>
      </c>
      <c r="R502">
        <v>25.244420770000001</v>
      </c>
      <c r="S502">
        <v>1811.07704405</v>
      </c>
      <c r="T502">
        <v>-0.10557923</v>
      </c>
      <c r="U502">
        <v>0</v>
      </c>
      <c r="V502">
        <v>25.35</v>
      </c>
      <c r="W502" t="s">
        <v>1665</v>
      </c>
      <c r="X502" t="s">
        <v>271</v>
      </c>
      <c r="Y502" t="s">
        <v>3808</v>
      </c>
      <c r="AA502" t="s">
        <v>3809</v>
      </c>
      <c r="AB502" t="s">
        <v>181</v>
      </c>
    </row>
    <row r="503" spans="1:28" x14ac:dyDescent="0.25">
      <c r="A503" t="s">
        <v>4027</v>
      </c>
      <c r="B503" t="s">
        <v>4028</v>
      </c>
      <c r="C503" t="s">
        <v>646</v>
      </c>
      <c r="D503" t="s">
        <v>3779</v>
      </c>
      <c r="E503" t="s">
        <v>647</v>
      </c>
      <c r="F503" t="s">
        <v>3780</v>
      </c>
      <c r="G503" t="s">
        <v>769</v>
      </c>
      <c r="H503" t="s">
        <v>757</v>
      </c>
      <c r="I503" t="s">
        <v>1251</v>
      </c>
      <c r="J503" t="s">
        <v>821</v>
      </c>
      <c r="K503" t="s">
        <v>166</v>
      </c>
      <c r="L503" t="s">
        <v>0</v>
      </c>
      <c r="M503" t="s">
        <v>178</v>
      </c>
      <c r="N503">
        <v>822</v>
      </c>
      <c r="O503">
        <v>465</v>
      </c>
      <c r="P503">
        <v>13536.75</v>
      </c>
      <c r="Q503">
        <v>30884.63</v>
      </c>
      <c r="R503">
        <v>2056.56</v>
      </c>
      <c r="S503">
        <v>2677.8266318599999</v>
      </c>
      <c r="T503">
        <v>23.04</v>
      </c>
      <c r="U503">
        <v>33.32</v>
      </c>
      <c r="V503">
        <v>2066.84</v>
      </c>
      <c r="W503" t="s">
        <v>822</v>
      </c>
      <c r="X503" t="s">
        <v>269</v>
      </c>
      <c r="Y503" t="s">
        <v>4029</v>
      </c>
      <c r="AA503" t="s">
        <v>4030</v>
      </c>
      <c r="AB503" t="s">
        <v>181</v>
      </c>
    </row>
    <row r="504" spans="1:28" x14ac:dyDescent="0.25">
      <c r="A504" t="s">
        <v>3977</v>
      </c>
      <c r="B504" t="s">
        <v>3978</v>
      </c>
      <c r="C504" t="s">
        <v>646</v>
      </c>
      <c r="D504" t="s">
        <v>3779</v>
      </c>
      <c r="E504" t="s">
        <v>647</v>
      </c>
      <c r="F504" t="s">
        <v>3780</v>
      </c>
      <c r="G504" t="s">
        <v>769</v>
      </c>
      <c r="H504" t="s">
        <v>703</v>
      </c>
      <c r="I504" t="s">
        <v>1489</v>
      </c>
      <c r="J504" t="s">
        <v>816</v>
      </c>
      <c r="K504" t="s">
        <v>166</v>
      </c>
      <c r="L504" t="s">
        <v>0</v>
      </c>
      <c r="M504" t="s">
        <v>178</v>
      </c>
      <c r="N504">
        <v>197.83330000000001</v>
      </c>
      <c r="O504">
        <v>66.833299999999994</v>
      </c>
      <c r="P504">
        <v>4387.67</v>
      </c>
      <c r="Q504">
        <v>8050.68</v>
      </c>
      <c r="R504">
        <v>1585.12054601</v>
      </c>
      <c r="S504">
        <v>1270.9920203500001</v>
      </c>
      <c r="T504">
        <v>-0.10945399</v>
      </c>
      <c r="U504">
        <v>0</v>
      </c>
      <c r="V504">
        <v>1585.23</v>
      </c>
      <c r="W504" t="s">
        <v>817</v>
      </c>
      <c r="X504" t="s">
        <v>271</v>
      </c>
      <c r="Y504" t="s">
        <v>3979</v>
      </c>
      <c r="AA504" t="s">
        <v>3980</v>
      </c>
      <c r="AB504" t="s">
        <v>181</v>
      </c>
    </row>
    <row r="505" spans="1:28" x14ac:dyDescent="0.25">
      <c r="A505" t="s">
        <v>3952</v>
      </c>
      <c r="B505" t="s">
        <v>3953</v>
      </c>
      <c r="C505" t="s">
        <v>646</v>
      </c>
      <c r="D505" t="s">
        <v>3779</v>
      </c>
      <c r="E505" t="s">
        <v>647</v>
      </c>
      <c r="F505" t="s">
        <v>666</v>
      </c>
      <c r="G505" t="s">
        <v>666</v>
      </c>
      <c r="H505" t="s">
        <v>770</v>
      </c>
      <c r="I505" t="s">
        <v>2032</v>
      </c>
      <c r="J505" t="s">
        <v>311</v>
      </c>
      <c r="K505" t="s">
        <v>166</v>
      </c>
      <c r="L505" t="s">
        <v>0</v>
      </c>
      <c r="M505" t="s">
        <v>178</v>
      </c>
      <c r="N505">
        <v>6639.25</v>
      </c>
      <c r="O505">
        <v>3580.25</v>
      </c>
      <c r="P505">
        <v>123965.12</v>
      </c>
      <c r="Q505">
        <v>146115.03</v>
      </c>
      <c r="R505">
        <v>3673.3019553600002</v>
      </c>
      <c r="S505">
        <v>19270.373234080002</v>
      </c>
      <c r="T505">
        <v>156.63195536000001</v>
      </c>
      <c r="U505">
        <v>211.72</v>
      </c>
      <c r="V505">
        <v>3827.47</v>
      </c>
      <c r="W505" t="s">
        <v>312</v>
      </c>
      <c r="X505" t="s">
        <v>271</v>
      </c>
      <c r="Y505" t="s">
        <v>3954</v>
      </c>
      <c r="AA505" t="s">
        <v>3955</v>
      </c>
      <c r="AB505" t="s">
        <v>181</v>
      </c>
    </row>
    <row r="506" spans="1:28" x14ac:dyDescent="0.25">
      <c r="A506" t="s">
        <v>3814</v>
      </c>
      <c r="B506" t="s">
        <v>3815</v>
      </c>
      <c r="C506" t="s">
        <v>646</v>
      </c>
      <c r="D506" t="s">
        <v>3779</v>
      </c>
      <c r="E506" t="s">
        <v>647</v>
      </c>
      <c r="F506" t="s">
        <v>3780</v>
      </c>
      <c r="G506" t="s">
        <v>769</v>
      </c>
      <c r="H506" t="s">
        <v>802</v>
      </c>
      <c r="I506" t="s">
        <v>3816</v>
      </c>
      <c r="J506" t="s">
        <v>548</v>
      </c>
      <c r="K506" t="s">
        <v>166</v>
      </c>
      <c r="L506" t="s">
        <v>0</v>
      </c>
      <c r="M506" t="s">
        <v>178</v>
      </c>
      <c r="N506">
        <v>89.916600000000003</v>
      </c>
      <c r="O506">
        <v>79.916600000000003</v>
      </c>
      <c r="P506">
        <v>1089.5999999999999</v>
      </c>
      <c r="Q506">
        <v>3580.92</v>
      </c>
      <c r="R506">
        <v>347.33</v>
      </c>
      <c r="S506">
        <v>430.99962010000002</v>
      </c>
      <c r="T506">
        <v>0</v>
      </c>
      <c r="U506">
        <v>36.36</v>
      </c>
      <c r="V506">
        <v>383.69</v>
      </c>
      <c r="W506" t="s">
        <v>241</v>
      </c>
      <c r="X506" t="s">
        <v>271</v>
      </c>
      <c r="Y506" t="s">
        <v>3817</v>
      </c>
      <c r="AA506" t="s">
        <v>3818</v>
      </c>
      <c r="AB506" t="s">
        <v>181</v>
      </c>
    </row>
    <row r="507" spans="1:28" x14ac:dyDescent="0.25">
      <c r="A507" t="s">
        <v>3952</v>
      </c>
      <c r="B507" t="s">
        <v>3953</v>
      </c>
      <c r="C507" t="s">
        <v>646</v>
      </c>
      <c r="D507" t="s">
        <v>3779</v>
      </c>
      <c r="E507" t="s">
        <v>647</v>
      </c>
      <c r="F507" t="s">
        <v>666</v>
      </c>
      <c r="G507" t="s">
        <v>666</v>
      </c>
      <c r="H507" t="s">
        <v>802</v>
      </c>
      <c r="I507" t="s">
        <v>2032</v>
      </c>
      <c r="J507" t="s">
        <v>311</v>
      </c>
      <c r="K507" t="s">
        <v>166</v>
      </c>
      <c r="L507" t="s">
        <v>0</v>
      </c>
      <c r="M507" t="s">
        <v>178</v>
      </c>
      <c r="N507">
        <v>774.12350000000004</v>
      </c>
      <c r="O507">
        <v>486.62349999999998</v>
      </c>
      <c r="P507">
        <v>9229.5400000000009</v>
      </c>
      <c r="Q507">
        <v>27585.63</v>
      </c>
      <c r="R507">
        <v>1987.81</v>
      </c>
      <c r="S507">
        <v>2858.6542824200001</v>
      </c>
      <c r="T507">
        <v>0</v>
      </c>
      <c r="U507">
        <v>187.17</v>
      </c>
      <c r="V507">
        <v>2174.98</v>
      </c>
      <c r="W507" t="s">
        <v>312</v>
      </c>
      <c r="X507" t="s">
        <v>271</v>
      </c>
      <c r="Y507" t="s">
        <v>3954</v>
      </c>
      <c r="AA507" t="s">
        <v>3955</v>
      </c>
      <c r="AB507" t="s">
        <v>181</v>
      </c>
    </row>
    <row r="508" spans="1:28" x14ac:dyDescent="0.25">
      <c r="A508" t="s">
        <v>3793</v>
      </c>
      <c r="B508" t="s">
        <v>3794</v>
      </c>
      <c r="C508" t="s">
        <v>646</v>
      </c>
      <c r="D508" t="s">
        <v>3779</v>
      </c>
      <c r="E508" t="s">
        <v>647</v>
      </c>
      <c r="F508" t="s">
        <v>666</v>
      </c>
      <c r="G508" t="s">
        <v>666</v>
      </c>
      <c r="H508" t="s">
        <v>683</v>
      </c>
      <c r="I508" t="s">
        <v>1712</v>
      </c>
      <c r="J508" t="s">
        <v>335</v>
      </c>
      <c r="K508" t="s">
        <v>166</v>
      </c>
      <c r="L508" t="s">
        <v>0</v>
      </c>
      <c r="M508" t="s">
        <v>178</v>
      </c>
      <c r="N508">
        <v>1617.5</v>
      </c>
      <c r="O508">
        <v>1200.5</v>
      </c>
      <c r="P508">
        <v>31009.34</v>
      </c>
      <c r="Q508">
        <v>62108.62</v>
      </c>
      <c r="R508">
        <v>17853.49952505</v>
      </c>
      <c r="S508">
        <v>14813.964880400001</v>
      </c>
      <c r="T508">
        <v>-4.7495000000000002E-4</v>
      </c>
      <c r="U508">
        <v>0</v>
      </c>
      <c r="V508">
        <v>17853.5</v>
      </c>
      <c r="W508" t="s">
        <v>572</v>
      </c>
      <c r="X508" t="s">
        <v>271</v>
      </c>
      <c r="Y508" t="s">
        <v>3795</v>
      </c>
      <c r="AA508" t="s">
        <v>3796</v>
      </c>
      <c r="AB508" t="s">
        <v>181</v>
      </c>
    </row>
    <row r="509" spans="1:28" x14ac:dyDescent="0.25">
      <c r="A509" t="s">
        <v>4098</v>
      </c>
      <c r="B509" t="s">
        <v>4099</v>
      </c>
      <c r="C509" t="s">
        <v>646</v>
      </c>
      <c r="D509" t="s">
        <v>3779</v>
      </c>
      <c r="E509" t="s">
        <v>647</v>
      </c>
      <c r="F509" t="s">
        <v>666</v>
      </c>
      <c r="G509" t="s">
        <v>666</v>
      </c>
      <c r="H509" t="s">
        <v>672</v>
      </c>
      <c r="I509" t="s">
        <v>765</v>
      </c>
      <c r="J509" t="s">
        <v>436</v>
      </c>
      <c r="K509" t="s">
        <v>166</v>
      </c>
      <c r="L509" t="s">
        <v>0</v>
      </c>
      <c r="M509" t="s">
        <v>178</v>
      </c>
      <c r="N509">
        <v>581</v>
      </c>
      <c r="O509">
        <v>293</v>
      </c>
      <c r="P509">
        <v>12255.87</v>
      </c>
      <c r="Q509">
        <v>25672.1</v>
      </c>
      <c r="R509">
        <v>2950.7352235899998</v>
      </c>
      <c r="S509">
        <v>4738.9270122999997</v>
      </c>
      <c r="T509">
        <v>0.81522359</v>
      </c>
      <c r="U509">
        <v>0</v>
      </c>
      <c r="V509">
        <v>2949.92</v>
      </c>
      <c r="W509" t="s">
        <v>0</v>
      </c>
      <c r="X509" t="s">
        <v>271</v>
      </c>
      <c r="Y509" t="s">
        <v>4100</v>
      </c>
      <c r="AA509" t="s">
        <v>4101</v>
      </c>
      <c r="AB509" t="s">
        <v>181</v>
      </c>
    </row>
    <row r="510" spans="1:28" x14ac:dyDescent="0.25">
      <c r="A510" t="s">
        <v>4102</v>
      </c>
      <c r="B510" t="s">
        <v>4103</v>
      </c>
      <c r="C510" t="s">
        <v>646</v>
      </c>
      <c r="D510" t="s">
        <v>3779</v>
      </c>
      <c r="E510" t="s">
        <v>647</v>
      </c>
      <c r="F510" t="s">
        <v>3780</v>
      </c>
      <c r="G510" t="s">
        <v>769</v>
      </c>
      <c r="H510" t="s">
        <v>770</v>
      </c>
      <c r="I510" t="s">
        <v>4104</v>
      </c>
      <c r="J510" t="s">
        <v>4105</v>
      </c>
      <c r="K510" t="s">
        <v>166</v>
      </c>
      <c r="L510" t="s">
        <v>0</v>
      </c>
      <c r="M510" t="s">
        <v>178</v>
      </c>
      <c r="N510">
        <v>1944.5</v>
      </c>
      <c r="O510">
        <v>1229.5</v>
      </c>
      <c r="P510">
        <v>33493.800000000003</v>
      </c>
      <c r="Q510">
        <v>52781.120000000003</v>
      </c>
      <c r="R510">
        <v>13899.02</v>
      </c>
      <c r="S510">
        <v>5447.7604420999996</v>
      </c>
      <c r="T510">
        <v>0</v>
      </c>
      <c r="U510">
        <v>0</v>
      </c>
      <c r="V510">
        <v>13899.02</v>
      </c>
      <c r="W510" t="s">
        <v>4106</v>
      </c>
      <c r="X510" t="s">
        <v>269</v>
      </c>
      <c r="Y510" t="s">
        <v>4107</v>
      </c>
      <c r="AA510" t="s">
        <v>4108</v>
      </c>
      <c r="AB510" t="s">
        <v>181</v>
      </c>
    </row>
    <row r="511" spans="1:28" x14ac:dyDescent="0.25">
      <c r="A511" t="s">
        <v>3895</v>
      </c>
      <c r="B511" t="s">
        <v>3896</v>
      </c>
      <c r="C511" t="s">
        <v>646</v>
      </c>
      <c r="D511" t="s">
        <v>3779</v>
      </c>
      <c r="E511" t="s">
        <v>647</v>
      </c>
      <c r="F511" t="s">
        <v>3780</v>
      </c>
      <c r="G511" t="s">
        <v>769</v>
      </c>
      <c r="H511" t="s">
        <v>962</v>
      </c>
      <c r="I511" t="s">
        <v>3897</v>
      </c>
      <c r="J511" t="s">
        <v>437</v>
      </c>
      <c r="K511" t="s">
        <v>166</v>
      </c>
      <c r="L511" t="s">
        <v>0</v>
      </c>
      <c r="M511" t="s">
        <v>178</v>
      </c>
      <c r="N511">
        <v>532</v>
      </c>
      <c r="O511">
        <v>83</v>
      </c>
      <c r="P511">
        <v>12581.8</v>
      </c>
      <c r="Q511">
        <v>34406.639999999999</v>
      </c>
      <c r="R511">
        <v>1220.2815677000001</v>
      </c>
      <c r="S511">
        <v>1980.96418586</v>
      </c>
      <c r="T511">
        <v>1.5677E-3</v>
      </c>
      <c r="U511">
        <v>622</v>
      </c>
      <c r="V511">
        <v>1842.28</v>
      </c>
      <c r="W511" t="s">
        <v>510</v>
      </c>
      <c r="X511" t="s">
        <v>271</v>
      </c>
      <c r="Y511" t="s">
        <v>3898</v>
      </c>
      <c r="AA511" t="s">
        <v>3899</v>
      </c>
      <c r="AB511" t="s">
        <v>181</v>
      </c>
    </row>
    <row r="512" spans="1:28" x14ac:dyDescent="0.25">
      <c r="A512" t="s">
        <v>4109</v>
      </c>
      <c r="B512" t="s">
        <v>4110</v>
      </c>
      <c r="C512" t="s">
        <v>646</v>
      </c>
      <c r="D512" t="s">
        <v>3779</v>
      </c>
      <c r="E512" t="s">
        <v>647</v>
      </c>
      <c r="F512" t="s">
        <v>3780</v>
      </c>
      <c r="G512" t="s">
        <v>769</v>
      </c>
      <c r="H512" t="s">
        <v>713</v>
      </c>
      <c r="I512" t="s">
        <v>1046</v>
      </c>
      <c r="J512" t="s">
        <v>971</v>
      </c>
      <c r="K512" t="s">
        <v>166</v>
      </c>
      <c r="L512" t="s">
        <v>0</v>
      </c>
      <c r="M512" t="s">
        <v>178</v>
      </c>
      <c r="N512">
        <v>146</v>
      </c>
      <c r="O512">
        <v>19</v>
      </c>
      <c r="P512">
        <v>4360.16</v>
      </c>
      <c r="Q512">
        <v>3384.16</v>
      </c>
      <c r="R512">
        <v>354.60002288999999</v>
      </c>
      <c r="S512">
        <v>237.76370347</v>
      </c>
      <c r="T512">
        <v>1.002289E-2</v>
      </c>
      <c r="U512">
        <v>0</v>
      </c>
      <c r="V512">
        <v>354.59</v>
      </c>
      <c r="W512" t="s">
        <v>972</v>
      </c>
      <c r="X512" t="s">
        <v>269</v>
      </c>
      <c r="Y512" t="s">
        <v>4111</v>
      </c>
      <c r="AA512" t="s">
        <v>4112</v>
      </c>
      <c r="AB512" t="s">
        <v>181</v>
      </c>
    </row>
    <row r="513" spans="1:28" x14ac:dyDescent="0.25">
      <c r="A513" t="s">
        <v>3888</v>
      </c>
      <c r="B513" t="s">
        <v>3889</v>
      </c>
      <c r="C513" t="s">
        <v>646</v>
      </c>
      <c r="D513" t="s">
        <v>3779</v>
      </c>
      <c r="E513" t="s">
        <v>647</v>
      </c>
      <c r="F513" t="s">
        <v>3780</v>
      </c>
      <c r="G513" t="s">
        <v>769</v>
      </c>
      <c r="H513" t="s">
        <v>683</v>
      </c>
      <c r="I513" t="s">
        <v>1368</v>
      </c>
      <c r="J513" t="s">
        <v>1369</v>
      </c>
      <c r="K513" t="s">
        <v>166</v>
      </c>
      <c r="L513" t="s">
        <v>0</v>
      </c>
      <c r="M513" t="s">
        <v>178</v>
      </c>
      <c r="N513">
        <v>17</v>
      </c>
      <c r="O513">
        <v>11</v>
      </c>
      <c r="P513">
        <v>323.10000000000002</v>
      </c>
      <c r="Q513">
        <v>431.42</v>
      </c>
      <c r="R513">
        <v>36.96</v>
      </c>
      <c r="S513">
        <v>127.88363754</v>
      </c>
      <c r="T513">
        <v>0</v>
      </c>
      <c r="U513">
        <v>0</v>
      </c>
      <c r="V513">
        <v>36.96</v>
      </c>
      <c r="W513" t="s">
        <v>1370</v>
      </c>
      <c r="X513" t="s">
        <v>271</v>
      </c>
      <c r="Y513" t="s">
        <v>3890</v>
      </c>
      <c r="AA513" t="s">
        <v>3891</v>
      </c>
      <c r="AB513" t="s">
        <v>181</v>
      </c>
    </row>
    <row r="514" spans="1:28" x14ac:dyDescent="0.25">
      <c r="A514" t="s">
        <v>4143</v>
      </c>
      <c r="B514" t="s">
        <v>4144</v>
      </c>
      <c r="C514" t="s">
        <v>646</v>
      </c>
      <c r="D514" t="s">
        <v>3779</v>
      </c>
      <c r="E514" t="s">
        <v>647</v>
      </c>
      <c r="F514" t="s">
        <v>3780</v>
      </c>
      <c r="G514" t="s">
        <v>769</v>
      </c>
      <c r="H514" t="s">
        <v>797</v>
      </c>
      <c r="I514" t="s">
        <v>1828</v>
      </c>
      <c r="J514" t="s">
        <v>1829</v>
      </c>
      <c r="K514" t="s">
        <v>166</v>
      </c>
      <c r="L514" t="s">
        <v>0</v>
      </c>
      <c r="M514" t="s">
        <v>178</v>
      </c>
      <c r="N514">
        <v>130</v>
      </c>
      <c r="O514">
        <v>76</v>
      </c>
      <c r="P514">
        <v>1334</v>
      </c>
      <c r="Q514">
        <v>4915.7</v>
      </c>
      <c r="R514">
        <v>1313.03491093</v>
      </c>
      <c r="S514">
        <v>608.05222837999997</v>
      </c>
      <c r="T514">
        <v>2.4910930000000001E-2</v>
      </c>
      <c r="U514">
        <v>0</v>
      </c>
      <c r="V514">
        <v>1313.01</v>
      </c>
      <c r="W514" t="s">
        <v>1361</v>
      </c>
      <c r="X514" t="s">
        <v>271</v>
      </c>
      <c r="Y514" t="s">
        <v>4145</v>
      </c>
      <c r="AA514" t="s">
        <v>4146</v>
      </c>
      <c r="AB514" t="s">
        <v>181</v>
      </c>
    </row>
    <row r="515" spans="1:28" x14ac:dyDescent="0.25">
      <c r="A515" t="s">
        <v>4206</v>
      </c>
      <c r="B515" t="s">
        <v>4207</v>
      </c>
      <c r="C515" t="s">
        <v>646</v>
      </c>
      <c r="D515" t="s">
        <v>3779</v>
      </c>
      <c r="E515" t="s">
        <v>647</v>
      </c>
      <c r="F515" t="s">
        <v>3780</v>
      </c>
      <c r="G515" t="s">
        <v>769</v>
      </c>
      <c r="H515" t="s">
        <v>962</v>
      </c>
      <c r="I515" t="s">
        <v>4208</v>
      </c>
      <c r="J515" t="s">
        <v>317</v>
      </c>
      <c r="K515" t="s">
        <v>166</v>
      </c>
      <c r="L515" t="s">
        <v>0</v>
      </c>
      <c r="M515" t="s">
        <v>178</v>
      </c>
      <c r="N515">
        <v>50</v>
      </c>
      <c r="O515">
        <v>1</v>
      </c>
      <c r="P515">
        <v>509.33</v>
      </c>
      <c r="Q515">
        <v>1960.3</v>
      </c>
      <c r="R515">
        <v>296.58</v>
      </c>
      <c r="S515">
        <v>74.198953239999994</v>
      </c>
      <c r="T515">
        <v>0</v>
      </c>
      <c r="U515">
        <v>0</v>
      </c>
      <c r="V515">
        <v>296.58</v>
      </c>
      <c r="W515" t="s">
        <v>340</v>
      </c>
      <c r="X515" t="s">
        <v>271</v>
      </c>
      <c r="Y515" t="s">
        <v>4209</v>
      </c>
      <c r="AA515" t="s">
        <v>4210</v>
      </c>
      <c r="AB515" t="s">
        <v>181</v>
      </c>
    </row>
    <row r="516" spans="1:28" x14ac:dyDescent="0.25">
      <c r="A516" t="s">
        <v>4211</v>
      </c>
      <c r="B516" t="s">
        <v>4212</v>
      </c>
      <c r="C516" t="s">
        <v>646</v>
      </c>
      <c r="D516" t="s">
        <v>3779</v>
      </c>
      <c r="E516" t="s">
        <v>647</v>
      </c>
      <c r="F516" t="s">
        <v>3780</v>
      </c>
      <c r="G516" t="s">
        <v>769</v>
      </c>
      <c r="H516" t="s">
        <v>1171</v>
      </c>
      <c r="I516" t="s">
        <v>4213</v>
      </c>
      <c r="J516" t="s">
        <v>437</v>
      </c>
      <c r="K516" t="s">
        <v>166</v>
      </c>
      <c r="L516" t="s">
        <v>0</v>
      </c>
      <c r="M516" t="s">
        <v>178</v>
      </c>
      <c r="N516">
        <v>44</v>
      </c>
      <c r="O516">
        <v>35</v>
      </c>
      <c r="P516">
        <v>477.96</v>
      </c>
      <c r="Q516">
        <v>4387.8599999999997</v>
      </c>
      <c r="R516">
        <v>360.15869810999999</v>
      </c>
      <c r="S516">
        <v>8.3601995700000007</v>
      </c>
      <c r="T516">
        <v>4.0586981099999999</v>
      </c>
      <c r="U516">
        <v>0</v>
      </c>
      <c r="V516">
        <v>356.1</v>
      </c>
      <c r="W516" t="s">
        <v>510</v>
      </c>
      <c r="X516" t="s">
        <v>271</v>
      </c>
      <c r="Y516" t="s">
        <v>4214</v>
      </c>
      <c r="Z516" t="s">
        <v>4175</v>
      </c>
      <c r="AA516" t="s">
        <v>4215</v>
      </c>
      <c r="AB516" t="s">
        <v>181</v>
      </c>
    </row>
    <row r="517" spans="1:28" x14ac:dyDescent="0.25">
      <c r="A517" t="s">
        <v>4127</v>
      </c>
      <c r="B517" t="s">
        <v>4128</v>
      </c>
      <c r="C517" t="s">
        <v>646</v>
      </c>
      <c r="D517" t="s">
        <v>3779</v>
      </c>
      <c r="E517" t="s">
        <v>647</v>
      </c>
      <c r="F517" t="s">
        <v>3780</v>
      </c>
      <c r="G517" t="s">
        <v>769</v>
      </c>
      <c r="H517" t="s">
        <v>703</v>
      </c>
      <c r="I517" t="s">
        <v>4129</v>
      </c>
      <c r="J517" t="s">
        <v>2057</v>
      </c>
      <c r="K517" t="s">
        <v>166</v>
      </c>
      <c r="L517" t="s">
        <v>0</v>
      </c>
      <c r="M517" t="s">
        <v>178</v>
      </c>
      <c r="N517">
        <v>323.26659999999998</v>
      </c>
      <c r="O517">
        <v>151.41659999999999</v>
      </c>
      <c r="P517">
        <v>6718.23</v>
      </c>
      <c r="Q517">
        <v>12433.83</v>
      </c>
      <c r="R517">
        <v>1669.8852978100001</v>
      </c>
      <c r="S517">
        <v>1869.6553087</v>
      </c>
      <c r="T517">
        <v>0.73529781000000005</v>
      </c>
      <c r="U517">
        <v>0</v>
      </c>
      <c r="V517">
        <v>1669.15</v>
      </c>
      <c r="W517" t="s">
        <v>2058</v>
      </c>
      <c r="X517" t="s">
        <v>271</v>
      </c>
      <c r="Y517" t="s">
        <v>4130</v>
      </c>
      <c r="AA517" t="s">
        <v>4131</v>
      </c>
      <c r="AB517" t="s">
        <v>181</v>
      </c>
    </row>
    <row r="518" spans="1:28" x14ac:dyDescent="0.25">
      <c r="A518" t="s">
        <v>4043</v>
      </c>
      <c r="B518" t="s">
        <v>4044</v>
      </c>
      <c r="C518" t="s">
        <v>646</v>
      </c>
      <c r="D518" t="s">
        <v>3779</v>
      </c>
      <c r="E518" t="s">
        <v>647</v>
      </c>
      <c r="F518" t="s">
        <v>666</v>
      </c>
      <c r="G518" t="s">
        <v>666</v>
      </c>
      <c r="H518" t="s">
        <v>962</v>
      </c>
      <c r="I518" t="s">
        <v>1431</v>
      </c>
      <c r="J518" t="s">
        <v>1432</v>
      </c>
      <c r="K518" t="s">
        <v>166</v>
      </c>
      <c r="L518" t="s">
        <v>0</v>
      </c>
      <c r="M518" t="s">
        <v>178</v>
      </c>
      <c r="N518">
        <v>23.333300000000001</v>
      </c>
      <c r="O518">
        <v>18</v>
      </c>
      <c r="P518">
        <v>329.9</v>
      </c>
      <c r="Q518">
        <v>1495.61</v>
      </c>
      <c r="R518">
        <v>210.5</v>
      </c>
      <c r="S518">
        <v>116.67281749</v>
      </c>
      <c r="T518">
        <v>0</v>
      </c>
      <c r="U518">
        <v>0</v>
      </c>
      <c r="V518">
        <v>210.5</v>
      </c>
      <c r="W518" t="s">
        <v>1433</v>
      </c>
      <c r="X518" t="s">
        <v>271</v>
      </c>
      <c r="Y518" t="s">
        <v>4045</v>
      </c>
      <c r="AA518" t="s">
        <v>4046</v>
      </c>
      <c r="AB518" t="s">
        <v>181</v>
      </c>
    </row>
    <row r="519" spans="1:28" x14ac:dyDescent="0.25">
      <c r="A519" t="s">
        <v>4043</v>
      </c>
      <c r="B519" t="s">
        <v>4044</v>
      </c>
      <c r="C519" t="s">
        <v>646</v>
      </c>
      <c r="D519" t="s">
        <v>3779</v>
      </c>
      <c r="E519" t="s">
        <v>647</v>
      </c>
      <c r="F519" t="s">
        <v>666</v>
      </c>
      <c r="G519" t="s">
        <v>666</v>
      </c>
      <c r="H519" t="s">
        <v>683</v>
      </c>
      <c r="I519" t="s">
        <v>1431</v>
      </c>
      <c r="J519" t="s">
        <v>1432</v>
      </c>
      <c r="K519" t="s">
        <v>166</v>
      </c>
      <c r="L519" t="s">
        <v>0</v>
      </c>
      <c r="M519" t="s">
        <v>178</v>
      </c>
      <c r="N519">
        <v>71.25</v>
      </c>
      <c r="O519">
        <v>55.25</v>
      </c>
      <c r="P519">
        <v>1538.45</v>
      </c>
      <c r="Q519">
        <v>3167.48</v>
      </c>
      <c r="R519">
        <v>589.57000000000005</v>
      </c>
      <c r="S519">
        <v>718.82826794000005</v>
      </c>
      <c r="T519">
        <v>0</v>
      </c>
      <c r="U519">
        <v>0</v>
      </c>
      <c r="V519">
        <v>589.57000000000005</v>
      </c>
      <c r="W519" t="s">
        <v>1433</v>
      </c>
      <c r="X519" t="s">
        <v>271</v>
      </c>
      <c r="Y519" t="s">
        <v>4045</v>
      </c>
      <c r="AA519" t="s">
        <v>4046</v>
      </c>
      <c r="AB519" t="s">
        <v>181</v>
      </c>
    </row>
    <row r="520" spans="1:28" x14ac:dyDescent="0.25">
      <c r="A520" t="s">
        <v>3895</v>
      </c>
      <c r="B520" t="s">
        <v>3896</v>
      </c>
      <c r="C520" t="s">
        <v>646</v>
      </c>
      <c r="D520" t="s">
        <v>3779</v>
      </c>
      <c r="E520" t="s">
        <v>647</v>
      </c>
      <c r="F520" t="s">
        <v>3780</v>
      </c>
      <c r="G520" t="s">
        <v>769</v>
      </c>
      <c r="H520" t="s">
        <v>1171</v>
      </c>
      <c r="I520" t="s">
        <v>3897</v>
      </c>
      <c r="J520" t="s">
        <v>437</v>
      </c>
      <c r="K520" t="s">
        <v>166</v>
      </c>
      <c r="L520" t="s">
        <v>0</v>
      </c>
      <c r="M520" t="s">
        <v>178</v>
      </c>
      <c r="N520">
        <v>323</v>
      </c>
      <c r="O520">
        <v>173</v>
      </c>
      <c r="P520">
        <v>9619.0300000000007</v>
      </c>
      <c r="Q520">
        <v>59460.71</v>
      </c>
      <c r="R520">
        <v>1847.72527868</v>
      </c>
      <c r="S520">
        <v>1035.2266593500001</v>
      </c>
      <c r="T520">
        <v>1.1052786800000001</v>
      </c>
      <c r="U520">
        <v>0</v>
      </c>
      <c r="V520">
        <v>1846.62</v>
      </c>
      <c r="W520" t="s">
        <v>510</v>
      </c>
      <c r="X520" t="s">
        <v>271</v>
      </c>
      <c r="Y520" t="s">
        <v>3898</v>
      </c>
      <c r="AA520" t="s">
        <v>3899</v>
      </c>
      <c r="AB520" t="s">
        <v>181</v>
      </c>
    </row>
    <row r="521" spans="1:28" x14ac:dyDescent="0.25">
      <c r="A521" t="s">
        <v>3797</v>
      </c>
      <c r="B521" t="s">
        <v>3798</v>
      </c>
      <c r="C521" t="s">
        <v>646</v>
      </c>
      <c r="D521" t="s">
        <v>3779</v>
      </c>
      <c r="E521" t="s">
        <v>647</v>
      </c>
      <c r="F521" t="s">
        <v>3780</v>
      </c>
      <c r="G521" t="s">
        <v>769</v>
      </c>
      <c r="H521" t="s">
        <v>1159</v>
      </c>
      <c r="I521" t="s">
        <v>725</v>
      </c>
      <c r="J521" t="s">
        <v>726</v>
      </c>
      <c r="K521" t="s">
        <v>166</v>
      </c>
      <c r="L521" t="s">
        <v>0</v>
      </c>
      <c r="M521" t="s">
        <v>178</v>
      </c>
      <c r="N521">
        <v>19</v>
      </c>
      <c r="O521">
        <v>2</v>
      </c>
      <c r="P521">
        <v>183.62</v>
      </c>
      <c r="Q521">
        <v>1030.1500000000001</v>
      </c>
      <c r="R521">
        <v>77.31</v>
      </c>
      <c r="S521">
        <v>56.628652459999998</v>
      </c>
      <c r="T521">
        <v>75</v>
      </c>
      <c r="U521">
        <v>0</v>
      </c>
      <c r="V521">
        <v>77.31</v>
      </c>
      <c r="W521" t="s">
        <v>0</v>
      </c>
      <c r="X521" t="s">
        <v>271</v>
      </c>
      <c r="Y521" t="s">
        <v>3799</v>
      </c>
      <c r="AA521" t="s">
        <v>3800</v>
      </c>
      <c r="AB521" t="s">
        <v>181</v>
      </c>
    </row>
    <row r="522" spans="1:28" x14ac:dyDescent="0.25">
      <c r="A522" t="s">
        <v>4147</v>
      </c>
      <c r="B522" t="s">
        <v>4148</v>
      </c>
      <c r="C522" t="s">
        <v>646</v>
      </c>
      <c r="D522" t="s">
        <v>3779</v>
      </c>
      <c r="E522" t="s">
        <v>647</v>
      </c>
      <c r="F522" t="s">
        <v>3780</v>
      </c>
      <c r="G522" t="s">
        <v>769</v>
      </c>
      <c r="H522" t="s">
        <v>708</v>
      </c>
      <c r="I522" t="s">
        <v>1301</v>
      </c>
      <c r="J522" t="s">
        <v>1302</v>
      </c>
      <c r="K522" t="s">
        <v>166</v>
      </c>
      <c r="L522" t="s">
        <v>0</v>
      </c>
      <c r="M522" t="s">
        <v>178</v>
      </c>
      <c r="N522">
        <v>1</v>
      </c>
      <c r="O522">
        <v>1</v>
      </c>
      <c r="P522">
        <v>0.81</v>
      </c>
      <c r="Q522">
        <v>24.54</v>
      </c>
      <c r="R522">
        <v>0.28999999999999998</v>
      </c>
      <c r="S522">
        <v>2.0099999999999998</v>
      </c>
      <c r="T522">
        <v>0</v>
      </c>
      <c r="U522">
        <v>0</v>
      </c>
      <c r="V522">
        <v>0.28999999999999998</v>
      </c>
      <c r="W522" t="s">
        <v>1303</v>
      </c>
      <c r="X522" t="s">
        <v>269</v>
      </c>
      <c r="Y522" t="s">
        <v>4149</v>
      </c>
      <c r="AA522" t="s">
        <v>4150</v>
      </c>
      <c r="AB522" t="s">
        <v>181</v>
      </c>
    </row>
    <row r="523" spans="1:28" x14ac:dyDescent="0.25">
      <c r="A523" t="s">
        <v>3861</v>
      </c>
      <c r="B523" t="s">
        <v>3862</v>
      </c>
      <c r="C523" t="s">
        <v>646</v>
      </c>
      <c r="D523" t="s">
        <v>3779</v>
      </c>
      <c r="E523" t="s">
        <v>647</v>
      </c>
      <c r="F523" t="s">
        <v>3780</v>
      </c>
      <c r="G523" t="s">
        <v>769</v>
      </c>
      <c r="H523" t="s">
        <v>757</v>
      </c>
      <c r="I523" t="s">
        <v>2065</v>
      </c>
      <c r="J523" t="s">
        <v>2066</v>
      </c>
      <c r="K523" t="s">
        <v>166</v>
      </c>
      <c r="L523" t="s">
        <v>0</v>
      </c>
      <c r="M523" t="s">
        <v>178</v>
      </c>
      <c r="N523">
        <v>625.75</v>
      </c>
      <c r="O523">
        <v>588.75</v>
      </c>
      <c r="P523">
        <v>12769.83</v>
      </c>
      <c r="Q523">
        <v>13704.07</v>
      </c>
      <c r="R523">
        <v>1390.86070503</v>
      </c>
      <c r="S523">
        <v>4040.49556321</v>
      </c>
      <c r="T523">
        <v>0.18070502999999999</v>
      </c>
      <c r="U523">
        <v>0</v>
      </c>
      <c r="V523">
        <v>1390.68</v>
      </c>
      <c r="W523" t="s">
        <v>2067</v>
      </c>
      <c r="X523" t="s">
        <v>271</v>
      </c>
      <c r="Y523" t="s">
        <v>3863</v>
      </c>
      <c r="AA523" t="s">
        <v>3864</v>
      </c>
      <c r="AB523" t="s">
        <v>181</v>
      </c>
    </row>
    <row r="524" spans="1:28" x14ac:dyDescent="0.25">
      <c r="A524" t="s">
        <v>4298</v>
      </c>
      <c r="B524" t="s">
        <v>4299</v>
      </c>
      <c r="C524" t="s">
        <v>646</v>
      </c>
      <c r="D524" t="s">
        <v>3779</v>
      </c>
      <c r="E524" t="s">
        <v>647</v>
      </c>
      <c r="F524" t="s">
        <v>666</v>
      </c>
      <c r="G524" t="s">
        <v>666</v>
      </c>
      <c r="H524" t="s">
        <v>770</v>
      </c>
      <c r="I524" t="s">
        <v>4300</v>
      </c>
      <c r="J524" t="s">
        <v>511</v>
      </c>
      <c r="K524" t="s">
        <v>166</v>
      </c>
      <c r="L524" t="s">
        <v>0</v>
      </c>
      <c r="M524" t="s">
        <v>178</v>
      </c>
      <c r="N524">
        <v>98.583399999999997</v>
      </c>
      <c r="O524">
        <v>32</v>
      </c>
      <c r="P524">
        <v>1078</v>
      </c>
      <c r="Q524">
        <v>3157.66</v>
      </c>
      <c r="R524">
        <v>174.39</v>
      </c>
      <c r="S524">
        <v>292.78679993999998</v>
      </c>
      <c r="T524">
        <v>0</v>
      </c>
      <c r="U524">
        <v>2.4</v>
      </c>
      <c r="V524">
        <v>176.79</v>
      </c>
      <c r="W524" t="s">
        <v>510</v>
      </c>
      <c r="X524" t="s">
        <v>271</v>
      </c>
      <c r="Y524" t="s">
        <v>4301</v>
      </c>
      <c r="Z524" t="s">
        <v>4302</v>
      </c>
      <c r="AA524" t="s">
        <v>4303</v>
      </c>
      <c r="AB524" t="s">
        <v>181</v>
      </c>
    </row>
    <row r="525" spans="1:28" x14ac:dyDescent="0.25">
      <c r="A525" t="s">
        <v>3913</v>
      </c>
      <c r="B525" t="s">
        <v>3914</v>
      </c>
      <c r="C525" t="s">
        <v>646</v>
      </c>
      <c r="D525" t="s">
        <v>3779</v>
      </c>
      <c r="E525" t="s">
        <v>647</v>
      </c>
      <c r="F525" t="s">
        <v>3780</v>
      </c>
      <c r="G525" t="s">
        <v>769</v>
      </c>
      <c r="H525" t="s">
        <v>802</v>
      </c>
      <c r="I525" t="s">
        <v>984</v>
      </c>
      <c r="J525" t="s">
        <v>985</v>
      </c>
      <c r="K525" t="s">
        <v>166</v>
      </c>
      <c r="L525" t="s">
        <v>0</v>
      </c>
      <c r="M525" t="s">
        <v>178</v>
      </c>
      <c r="N525">
        <v>63.916400000000003</v>
      </c>
      <c r="O525">
        <v>59.916400000000003</v>
      </c>
      <c r="P525">
        <v>979.23</v>
      </c>
      <c r="Q525">
        <v>3746.68</v>
      </c>
      <c r="R525">
        <v>786.57</v>
      </c>
      <c r="S525">
        <v>516.46864175999997</v>
      </c>
      <c r="T525">
        <v>0</v>
      </c>
      <c r="U525">
        <v>0</v>
      </c>
      <c r="V525">
        <v>786.57</v>
      </c>
      <c r="W525" t="s">
        <v>986</v>
      </c>
      <c r="X525" t="s">
        <v>271</v>
      </c>
      <c r="Y525" t="s">
        <v>3915</v>
      </c>
      <c r="AA525" t="s">
        <v>3916</v>
      </c>
      <c r="AB525" t="s">
        <v>181</v>
      </c>
    </row>
    <row r="526" spans="1:28" x14ac:dyDescent="0.25">
      <c r="A526" t="s">
        <v>3870</v>
      </c>
      <c r="B526" t="s">
        <v>3871</v>
      </c>
      <c r="C526" t="s">
        <v>646</v>
      </c>
      <c r="D526" t="s">
        <v>3779</v>
      </c>
      <c r="E526" t="s">
        <v>647</v>
      </c>
      <c r="F526" t="s">
        <v>666</v>
      </c>
      <c r="G526" t="s">
        <v>666</v>
      </c>
      <c r="H526" t="s">
        <v>730</v>
      </c>
      <c r="I526" t="s">
        <v>3872</v>
      </c>
      <c r="J526" t="s">
        <v>355</v>
      </c>
      <c r="K526" t="s">
        <v>166</v>
      </c>
      <c r="L526" t="s">
        <v>0</v>
      </c>
      <c r="M526" t="s">
        <v>178</v>
      </c>
      <c r="N526">
        <v>50</v>
      </c>
      <c r="O526">
        <v>44</v>
      </c>
      <c r="P526">
        <v>430.36</v>
      </c>
      <c r="Q526">
        <v>3107.24</v>
      </c>
      <c r="R526">
        <v>991.45970260000001</v>
      </c>
      <c r="S526">
        <v>314.05817717000002</v>
      </c>
      <c r="T526">
        <v>1.9702600000000001E-2</v>
      </c>
      <c r="U526">
        <v>0</v>
      </c>
      <c r="V526">
        <v>991.44</v>
      </c>
      <c r="W526" t="s">
        <v>0</v>
      </c>
      <c r="X526" t="s">
        <v>271</v>
      </c>
      <c r="Y526" t="s">
        <v>3873</v>
      </c>
      <c r="AA526" t="s">
        <v>3874</v>
      </c>
      <c r="AB526" t="s">
        <v>181</v>
      </c>
    </row>
    <row r="527" spans="1:28" x14ac:dyDescent="0.25">
      <c r="A527" t="s">
        <v>3938</v>
      </c>
      <c r="B527" t="s">
        <v>3939</v>
      </c>
      <c r="C527" t="s">
        <v>646</v>
      </c>
      <c r="D527" t="s">
        <v>3779</v>
      </c>
      <c r="E527" t="s">
        <v>647</v>
      </c>
      <c r="F527" t="s">
        <v>3780</v>
      </c>
      <c r="G527" t="s">
        <v>769</v>
      </c>
      <c r="H527" t="s">
        <v>761</v>
      </c>
      <c r="I527" t="s">
        <v>3940</v>
      </c>
      <c r="J527" t="s">
        <v>3941</v>
      </c>
      <c r="K527" t="s">
        <v>166</v>
      </c>
      <c r="L527" t="s">
        <v>0</v>
      </c>
      <c r="M527" t="s">
        <v>178</v>
      </c>
      <c r="N527">
        <v>87</v>
      </c>
      <c r="O527">
        <v>83</v>
      </c>
      <c r="P527">
        <v>3427.25</v>
      </c>
      <c r="Q527">
        <v>2654.06</v>
      </c>
      <c r="R527">
        <v>560.26010455999995</v>
      </c>
      <c r="S527">
        <v>550.62944878999997</v>
      </c>
      <c r="T527">
        <v>5.0104559999999999E-2</v>
      </c>
      <c r="U527">
        <v>0</v>
      </c>
      <c r="V527">
        <v>560.21</v>
      </c>
      <c r="W527" t="s">
        <v>0</v>
      </c>
      <c r="X527" t="s">
        <v>271</v>
      </c>
      <c r="Y527" t="s">
        <v>3942</v>
      </c>
      <c r="AA527" t="s">
        <v>3943</v>
      </c>
      <c r="AB527" t="s">
        <v>181</v>
      </c>
    </row>
    <row r="528" spans="1:28" x14ac:dyDescent="0.25">
      <c r="A528" t="s">
        <v>4043</v>
      </c>
      <c r="B528" t="s">
        <v>4044</v>
      </c>
      <c r="C528" t="s">
        <v>646</v>
      </c>
      <c r="D528" t="s">
        <v>3779</v>
      </c>
      <c r="E528" t="s">
        <v>647</v>
      </c>
      <c r="F528" t="s">
        <v>666</v>
      </c>
      <c r="G528" t="s">
        <v>666</v>
      </c>
      <c r="H528" t="s">
        <v>761</v>
      </c>
      <c r="I528" t="s">
        <v>1431</v>
      </c>
      <c r="J528" t="s">
        <v>1432</v>
      </c>
      <c r="K528" t="s">
        <v>166</v>
      </c>
      <c r="L528" t="s">
        <v>0</v>
      </c>
      <c r="M528" t="s">
        <v>178</v>
      </c>
      <c r="N528">
        <v>26</v>
      </c>
      <c r="O528">
        <v>26</v>
      </c>
      <c r="P528">
        <v>936.62</v>
      </c>
      <c r="Q528">
        <v>845.34</v>
      </c>
      <c r="R528">
        <v>170.1</v>
      </c>
      <c r="S528">
        <v>168.94696044</v>
      </c>
      <c r="T528">
        <v>0</v>
      </c>
      <c r="U528">
        <v>0</v>
      </c>
      <c r="V528">
        <v>170.1</v>
      </c>
      <c r="W528" t="s">
        <v>1433</v>
      </c>
      <c r="X528" t="s">
        <v>271</v>
      </c>
      <c r="Y528" t="s">
        <v>4045</v>
      </c>
      <c r="AA528" t="s">
        <v>4046</v>
      </c>
      <c r="AB528" t="s">
        <v>181</v>
      </c>
    </row>
    <row r="529" spans="1:28" x14ac:dyDescent="0.25">
      <c r="A529" t="s">
        <v>4270</v>
      </c>
      <c r="B529" t="s">
        <v>4271</v>
      </c>
      <c r="C529" t="s">
        <v>646</v>
      </c>
      <c r="D529" t="s">
        <v>3779</v>
      </c>
      <c r="E529" t="s">
        <v>647</v>
      </c>
      <c r="F529" t="s">
        <v>3780</v>
      </c>
      <c r="G529" t="s">
        <v>769</v>
      </c>
      <c r="H529" t="s">
        <v>672</v>
      </c>
      <c r="I529" t="s">
        <v>4272</v>
      </c>
      <c r="J529" t="s">
        <v>352</v>
      </c>
      <c r="K529" t="s">
        <v>166</v>
      </c>
      <c r="L529" t="s">
        <v>0</v>
      </c>
      <c r="M529" t="s">
        <v>178</v>
      </c>
      <c r="N529">
        <v>2</v>
      </c>
      <c r="O529">
        <v>1</v>
      </c>
      <c r="P529">
        <v>60</v>
      </c>
      <c r="Q529">
        <v>76.349999999999994</v>
      </c>
      <c r="R529">
        <v>15.34</v>
      </c>
      <c r="S529">
        <v>6.9562069600000003</v>
      </c>
      <c r="T529">
        <v>0</v>
      </c>
      <c r="U529">
        <v>0</v>
      </c>
      <c r="V529">
        <v>15.34</v>
      </c>
      <c r="W529" t="s">
        <v>314</v>
      </c>
      <c r="X529" t="s">
        <v>271</v>
      </c>
      <c r="Y529" t="s">
        <v>4273</v>
      </c>
      <c r="AA529" t="s">
        <v>4274</v>
      </c>
      <c r="AB529" t="s">
        <v>181</v>
      </c>
    </row>
    <row r="530" spans="1:28" x14ac:dyDescent="0.25">
      <c r="A530" t="s">
        <v>4172</v>
      </c>
      <c r="B530" t="s">
        <v>4173</v>
      </c>
      <c r="C530" t="s">
        <v>646</v>
      </c>
      <c r="D530" t="s">
        <v>3779</v>
      </c>
      <c r="E530" t="s">
        <v>647</v>
      </c>
      <c r="F530" t="s">
        <v>3780</v>
      </c>
      <c r="G530" t="s">
        <v>769</v>
      </c>
      <c r="H530" t="s">
        <v>730</v>
      </c>
      <c r="I530" t="s">
        <v>1801</v>
      </c>
      <c r="J530" t="s">
        <v>437</v>
      </c>
      <c r="K530" t="s">
        <v>166</v>
      </c>
      <c r="L530" t="s">
        <v>0</v>
      </c>
      <c r="M530" t="s">
        <v>178</v>
      </c>
      <c r="N530">
        <v>39</v>
      </c>
      <c r="O530">
        <v>5</v>
      </c>
      <c r="P530">
        <v>1107.73</v>
      </c>
      <c r="Q530">
        <v>3373.84</v>
      </c>
      <c r="R530">
        <v>351.09723330000003</v>
      </c>
      <c r="S530">
        <v>43.432565050000001</v>
      </c>
      <c r="T530">
        <v>1182.9572333000001</v>
      </c>
      <c r="U530">
        <v>0</v>
      </c>
      <c r="V530">
        <v>352.77</v>
      </c>
      <c r="W530" t="s">
        <v>510</v>
      </c>
      <c r="X530" t="s">
        <v>271</v>
      </c>
      <c r="Y530" t="s">
        <v>4174</v>
      </c>
      <c r="Z530" t="s">
        <v>4175</v>
      </c>
      <c r="AA530" t="s">
        <v>4176</v>
      </c>
      <c r="AB530" t="s">
        <v>181</v>
      </c>
    </row>
    <row r="531" spans="1:28" x14ac:dyDescent="0.25">
      <c r="A531" t="s">
        <v>3969</v>
      </c>
      <c r="B531" t="s">
        <v>3970</v>
      </c>
      <c r="C531" t="s">
        <v>646</v>
      </c>
      <c r="D531" t="s">
        <v>3779</v>
      </c>
      <c r="E531" t="s">
        <v>647</v>
      </c>
      <c r="F531" t="s">
        <v>3780</v>
      </c>
      <c r="G531" t="s">
        <v>769</v>
      </c>
      <c r="H531" t="s">
        <v>761</v>
      </c>
      <c r="I531" t="s">
        <v>1518</v>
      </c>
      <c r="J531" t="s">
        <v>1519</v>
      </c>
      <c r="K531" t="s">
        <v>166</v>
      </c>
      <c r="L531" t="s">
        <v>0</v>
      </c>
      <c r="M531" t="s">
        <v>178</v>
      </c>
      <c r="N531">
        <v>27</v>
      </c>
      <c r="O531">
        <v>1</v>
      </c>
      <c r="P531">
        <v>218.75</v>
      </c>
      <c r="Q531">
        <v>1335.37</v>
      </c>
      <c r="R531">
        <v>237.97</v>
      </c>
      <c r="S531">
        <v>49.436400880000001</v>
      </c>
      <c r="T531">
        <v>0</v>
      </c>
      <c r="U531">
        <v>0</v>
      </c>
      <c r="V531">
        <v>237.97</v>
      </c>
      <c r="W531" t="s">
        <v>1485</v>
      </c>
      <c r="X531" t="s">
        <v>271</v>
      </c>
      <c r="Y531" t="s">
        <v>3971</v>
      </c>
      <c r="AA531" t="s">
        <v>3972</v>
      </c>
      <c r="AB531" t="s">
        <v>181</v>
      </c>
    </row>
    <row r="532" spans="1:28" x14ac:dyDescent="0.25">
      <c r="A532" t="s">
        <v>4326</v>
      </c>
      <c r="B532" t="s">
        <v>4327</v>
      </c>
      <c r="C532" t="s">
        <v>646</v>
      </c>
      <c r="D532" t="s">
        <v>3779</v>
      </c>
      <c r="E532" t="s">
        <v>647</v>
      </c>
      <c r="F532" t="s">
        <v>3780</v>
      </c>
      <c r="G532" t="s">
        <v>769</v>
      </c>
      <c r="H532" t="s">
        <v>708</v>
      </c>
      <c r="I532" t="s">
        <v>936</v>
      </c>
      <c r="J532" t="s">
        <v>582</v>
      </c>
      <c r="K532" t="s">
        <v>166</v>
      </c>
      <c r="L532" t="s">
        <v>0</v>
      </c>
      <c r="M532" t="s">
        <v>178</v>
      </c>
      <c r="N532">
        <v>5</v>
      </c>
      <c r="O532">
        <v>5</v>
      </c>
      <c r="P532">
        <v>12.5</v>
      </c>
      <c r="Q532">
        <v>137.94999999999999</v>
      </c>
      <c r="R532">
        <v>48.4</v>
      </c>
      <c r="S532">
        <v>8.25</v>
      </c>
      <c r="T532">
        <v>0</v>
      </c>
      <c r="U532">
        <v>0</v>
      </c>
      <c r="V532">
        <v>48.4</v>
      </c>
      <c r="W532" t="s">
        <v>361</v>
      </c>
      <c r="X532" t="s">
        <v>271</v>
      </c>
      <c r="Y532" t="s">
        <v>4328</v>
      </c>
      <c r="AA532" t="s">
        <v>4329</v>
      </c>
      <c r="AB532" t="s">
        <v>181</v>
      </c>
    </row>
    <row r="533" spans="1:28" x14ac:dyDescent="0.25">
      <c r="A533" t="s">
        <v>4206</v>
      </c>
      <c r="B533" t="s">
        <v>4207</v>
      </c>
      <c r="C533" t="s">
        <v>646</v>
      </c>
      <c r="D533" t="s">
        <v>3779</v>
      </c>
      <c r="E533" t="s">
        <v>647</v>
      </c>
      <c r="F533" t="s">
        <v>3780</v>
      </c>
      <c r="G533" t="s">
        <v>769</v>
      </c>
      <c r="H533" t="s">
        <v>761</v>
      </c>
      <c r="I533" t="s">
        <v>4208</v>
      </c>
      <c r="J533" t="s">
        <v>317</v>
      </c>
      <c r="K533" t="s">
        <v>166</v>
      </c>
      <c r="L533" t="s">
        <v>0</v>
      </c>
      <c r="M533" t="s">
        <v>178</v>
      </c>
      <c r="N533">
        <v>35</v>
      </c>
      <c r="O533">
        <v>25</v>
      </c>
      <c r="P533">
        <v>727.88</v>
      </c>
      <c r="Q533">
        <v>2195.36</v>
      </c>
      <c r="R533">
        <v>815.82</v>
      </c>
      <c r="S533">
        <v>265.91499722999998</v>
      </c>
      <c r="T533">
        <v>0</v>
      </c>
      <c r="U533">
        <v>0</v>
      </c>
      <c r="V533">
        <v>815.82</v>
      </c>
      <c r="W533" t="s">
        <v>340</v>
      </c>
      <c r="X533" t="s">
        <v>271</v>
      </c>
      <c r="Y533" t="s">
        <v>4209</v>
      </c>
      <c r="AA533" t="s">
        <v>4210</v>
      </c>
      <c r="AB533" t="s">
        <v>181</v>
      </c>
    </row>
    <row r="534" spans="1:28" x14ac:dyDescent="0.25">
      <c r="A534" t="s">
        <v>4330</v>
      </c>
      <c r="B534" t="s">
        <v>4331</v>
      </c>
      <c r="C534" t="s">
        <v>646</v>
      </c>
      <c r="D534" t="s">
        <v>3779</v>
      </c>
      <c r="E534" t="s">
        <v>647</v>
      </c>
      <c r="F534" t="s">
        <v>666</v>
      </c>
      <c r="G534" t="s">
        <v>666</v>
      </c>
      <c r="H534" t="s">
        <v>1045</v>
      </c>
      <c r="I534" t="s">
        <v>1513</v>
      </c>
      <c r="J534" t="s">
        <v>333</v>
      </c>
      <c r="K534" t="s">
        <v>166</v>
      </c>
      <c r="L534" t="s">
        <v>0</v>
      </c>
      <c r="M534" t="s">
        <v>178</v>
      </c>
      <c r="N534">
        <v>55</v>
      </c>
      <c r="O534">
        <v>55</v>
      </c>
      <c r="P534">
        <v>656</v>
      </c>
      <c r="Q534">
        <v>12039.22</v>
      </c>
      <c r="R534">
        <v>489.08</v>
      </c>
      <c r="S534">
        <v>612.57000000000005</v>
      </c>
      <c r="T534">
        <v>0</v>
      </c>
      <c r="U534">
        <v>0</v>
      </c>
      <c r="V534">
        <v>489.08</v>
      </c>
      <c r="W534" t="s">
        <v>616</v>
      </c>
      <c r="X534" t="s">
        <v>271</v>
      </c>
      <c r="Y534" t="s">
        <v>4332</v>
      </c>
      <c r="AA534" t="s">
        <v>2421</v>
      </c>
      <c r="AB534" t="s">
        <v>181</v>
      </c>
    </row>
    <row r="535" spans="1:28" x14ac:dyDescent="0.25">
      <c r="A535" t="s">
        <v>4127</v>
      </c>
      <c r="B535" t="s">
        <v>4128</v>
      </c>
      <c r="C535" t="s">
        <v>646</v>
      </c>
      <c r="D535" t="s">
        <v>3779</v>
      </c>
      <c r="E535" t="s">
        <v>647</v>
      </c>
      <c r="F535" t="s">
        <v>3780</v>
      </c>
      <c r="G535" t="s">
        <v>769</v>
      </c>
      <c r="H535" t="s">
        <v>909</v>
      </c>
      <c r="I535" t="s">
        <v>4129</v>
      </c>
      <c r="J535" t="s">
        <v>2057</v>
      </c>
      <c r="K535" t="s">
        <v>166</v>
      </c>
      <c r="L535" t="s">
        <v>0</v>
      </c>
      <c r="M535" t="s">
        <v>178</v>
      </c>
      <c r="N535">
        <v>28.2</v>
      </c>
      <c r="O535">
        <v>17</v>
      </c>
      <c r="P535">
        <v>836.98</v>
      </c>
      <c r="Q535">
        <v>941.43</v>
      </c>
      <c r="R535">
        <v>94.52</v>
      </c>
      <c r="S535">
        <v>148.40517353999999</v>
      </c>
      <c r="T535">
        <v>0</v>
      </c>
      <c r="U535">
        <v>0</v>
      </c>
      <c r="V535">
        <v>94.52</v>
      </c>
      <c r="W535" t="s">
        <v>2058</v>
      </c>
      <c r="X535" t="s">
        <v>271</v>
      </c>
      <c r="Y535" t="s">
        <v>4130</v>
      </c>
      <c r="AA535" t="s">
        <v>4131</v>
      </c>
      <c r="AB535" t="s">
        <v>181</v>
      </c>
    </row>
    <row r="536" spans="1:28" x14ac:dyDescent="0.25">
      <c r="A536" t="s">
        <v>3965</v>
      </c>
      <c r="B536" t="s">
        <v>3966</v>
      </c>
      <c r="C536" t="s">
        <v>646</v>
      </c>
      <c r="D536" t="s">
        <v>3779</v>
      </c>
      <c r="E536" t="s">
        <v>647</v>
      </c>
      <c r="F536" t="s">
        <v>3780</v>
      </c>
      <c r="G536" t="s">
        <v>769</v>
      </c>
      <c r="H536" t="s">
        <v>802</v>
      </c>
      <c r="I536" t="s">
        <v>2339</v>
      </c>
      <c r="J536" t="s">
        <v>2165</v>
      </c>
      <c r="K536" t="s">
        <v>166</v>
      </c>
      <c r="L536" t="s">
        <v>0</v>
      </c>
      <c r="M536" t="s">
        <v>178</v>
      </c>
      <c r="N536">
        <v>2</v>
      </c>
      <c r="O536">
        <v>2</v>
      </c>
      <c r="P536">
        <v>25</v>
      </c>
      <c r="Q536">
        <v>80.16</v>
      </c>
      <c r="R536">
        <v>10.16</v>
      </c>
      <c r="S536">
        <v>10.439068020000001</v>
      </c>
      <c r="T536">
        <v>0</v>
      </c>
      <c r="U536">
        <v>0</v>
      </c>
      <c r="V536">
        <v>10.16</v>
      </c>
      <c r="W536" t="s">
        <v>2166</v>
      </c>
      <c r="X536" t="s">
        <v>271</v>
      </c>
      <c r="Y536" t="s">
        <v>3967</v>
      </c>
      <c r="AA536" t="s">
        <v>3968</v>
      </c>
      <c r="AB536" t="s">
        <v>181</v>
      </c>
    </row>
    <row r="537" spans="1:28" x14ac:dyDescent="0.25">
      <c r="A537" t="s">
        <v>3985</v>
      </c>
      <c r="B537" t="s">
        <v>3986</v>
      </c>
      <c r="C537" t="s">
        <v>646</v>
      </c>
      <c r="D537" t="s">
        <v>3779</v>
      </c>
      <c r="E537" t="s">
        <v>647</v>
      </c>
      <c r="F537" t="s">
        <v>3780</v>
      </c>
      <c r="G537" t="s">
        <v>769</v>
      </c>
      <c r="H537" t="s">
        <v>730</v>
      </c>
      <c r="I537" t="s">
        <v>3987</v>
      </c>
      <c r="J537" t="s">
        <v>3988</v>
      </c>
      <c r="K537" t="s">
        <v>166</v>
      </c>
      <c r="L537" t="s">
        <v>0</v>
      </c>
      <c r="M537" t="s">
        <v>178</v>
      </c>
      <c r="N537">
        <v>3</v>
      </c>
      <c r="O537">
        <v>2</v>
      </c>
      <c r="P537">
        <v>101.6</v>
      </c>
      <c r="Q537">
        <v>256.79000000000002</v>
      </c>
      <c r="R537">
        <v>32.852802070000003</v>
      </c>
      <c r="S537">
        <v>11.37208352</v>
      </c>
      <c r="T537">
        <v>-0.23719793</v>
      </c>
      <c r="U537">
        <v>0</v>
      </c>
      <c r="V537">
        <v>33.090000000000003</v>
      </c>
      <c r="W537" t="s">
        <v>3989</v>
      </c>
      <c r="X537" t="s">
        <v>271</v>
      </c>
      <c r="Y537" t="s">
        <v>3990</v>
      </c>
      <c r="AA537" t="s">
        <v>3991</v>
      </c>
      <c r="AB537" t="s">
        <v>181</v>
      </c>
    </row>
    <row r="538" spans="1:28" x14ac:dyDescent="0.25">
      <c r="A538" t="s">
        <v>3956</v>
      </c>
      <c r="B538" t="s">
        <v>3957</v>
      </c>
      <c r="C538" t="s">
        <v>646</v>
      </c>
      <c r="D538" t="s">
        <v>3779</v>
      </c>
      <c r="E538" t="s">
        <v>647</v>
      </c>
      <c r="F538" t="s">
        <v>666</v>
      </c>
      <c r="G538" t="s">
        <v>666</v>
      </c>
      <c r="H538" t="s">
        <v>962</v>
      </c>
      <c r="I538" t="s">
        <v>1068</v>
      </c>
      <c r="J538" t="s">
        <v>501</v>
      </c>
      <c r="K538" t="s">
        <v>166</v>
      </c>
      <c r="L538" t="s">
        <v>0</v>
      </c>
      <c r="M538" t="s">
        <v>178</v>
      </c>
      <c r="N538">
        <v>9</v>
      </c>
      <c r="O538">
        <v>0</v>
      </c>
      <c r="P538">
        <v>273.58</v>
      </c>
      <c r="Q538">
        <v>748.16</v>
      </c>
      <c r="R538">
        <v>103.85</v>
      </c>
      <c r="S538">
        <v>31.214600000000001</v>
      </c>
      <c r="T538">
        <v>0</v>
      </c>
      <c r="U538">
        <v>0</v>
      </c>
      <c r="V538">
        <v>103.85</v>
      </c>
      <c r="W538" t="s">
        <v>500</v>
      </c>
      <c r="X538" t="s">
        <v>271</v>
      </c>
      <c r="Y538" t="s">
        <v>3958</v>
      </c>
      <c r="AA538" t="s">
        <v>3959</v>
      </c>
      <c r="AB538" t="s">
        <v>181</v>
      </c>
    </row>
    <row r="539" spans="1:28" x14ac:dyDescent="0.25">
      <c r="A539" t="s">
        <v>3827</v>
      </c>
      <c r="B539" t="s">
        <v>3828</v>
      </c>
      <c r="C539" t="s">
        <v>646</v>
      </c>
      <c r="D539" t="s">
        <v>3779</v>
      </c>
      <c r="E539" t="s">
        <v>647</v>
      </c>
      <c r="F539" t="s">
        <v>3780</v>
      </c>
      <c r="G539" t="s">
        <v>769</v>
      </c>
      <c r="H539" t="s">
        <v>672</v>
      </c>
      <c r="I539" t="s">
        <v>3829</v>
      </c>
      <c r="J539" t="s">
        <v>3830</v>
      </c>
      <c r="K539" t="s">
        <v>166</v>
      </c>
      <c r="L539" t="s">
        <v>0</v>
      </c>
      <c r="M539" t="s">
        <v>178</v>
      </c>
      <c r="N539">
        <v>129</v>
      </c>
      <c r="O539">
        <v>0</v>
      </c>
      <c r="P539">
        <v>2863.8</v>
      </c>
      <c r="Q539">
        <v>6940.06</v>
      </c>
      <c r="R539">
        <v>1460.04</v>
      </c>
      <c r="S539">
        <v>498.60324821</v>
      </c>
      <c r="T539">
        <v>0</v>
      </c>
      <c r="U539">
        <v>0</v>
      </c>
      <c r="V539">
        <v>1460.04</v>
      </c>
      <c r="W539" t="s">
        <v>3831</v>
      </c>
      <c r="X539" t="s">
        <v>271</v>
      </c>
      <c r="Y539" t="s">
        <v>3832</v>
      </c>
      <c r="AA539" t="s">
        <v>3833</v>
      </c>
      <c r="AB539" t="s">
        <v>181</v>
      </c>
    </row>
    <row r="540" spans="1:28" x14ac:dyDescent="0.25">
      <c r="A540" t="s">
        <v>3933</v>
      </c>
      <c r="B540" t="s">
        <v>3934</v>
      </c>
      <c r="C540" t="s">
        <v>646</v>
      </c>
      <c r="D540" t="s">
        <v>3779</v>
      </c>
      <c r="E540" t="s">
        <v>647</v>
      </c>
      <c r="F540" t="s">
        <v>3780</v>
      </c>
      <c r="G540" t="s">
        <v>769</v>
      </c>
      <c r="H540" t="s">
        <v>1159</v>
      </c>
      <c r="I540" t="s">
        <v>3935</v>
      </c>
      <c r="J540" t="s">
        <v>1214</v>
      </c>
      <c r="K540" t="s">
        <v>166</v>
      </c>
      <c r="L540" t="s">
        <v>0</v>
      </c>
      <c r="M540" t="s">
        <v>178</v>
      </c>
      <c r="N540">
        <v>6</v>
      </c>
      <c r="O540">
        <v>5</v>
      </c>
      <c r="P540">
        <v>57.8</v>
      </c>
      <c r="Q540">
        <v>321.43</v>
      </c>
      <c r="R540">
        <v>24.88</v>
      </c>
      <c r="S540">
        <v>52.4465</v>
      </c>
      <c r="T540">
        <v>0</v>
      </c>
      <c r="U540">
        <v>0</v>
      </c>
      <c r="V540">
        <v>24.88</v>
      </c>
      <c r="W540" t="s">
        <v>0</v>
      </c>
      <c r="X540" t="s">
        <v>271</v>
      </c>
      <c r="Y540" t="s">
        <v>3936</v>
      </c>
      <c r="AA540" t="s">
        <v>3937</v>
      </c>
      <c r="AB540" t="s">
        <v>181</v>
      </c>
    </row>
    <row r="541" spans="1:28" x14ac:dyDescent="0.25">
      <c r="A541" t="s">
        <v>4337</v>
      </c>
      <c r="B541" t="s">
        <v>4338</v>
      </c>
      <c r="C541" t="s">
        <v>646</v>
      </c>
      <c r="D541" t="s">
        <v>3779</v>
      </c>
      <c r="E541" t="s">
        <v>647</v>
      </c>
      <c r="F541" t="s">
        <v>3780</v>
      </c>
      <c r="G541" t="s">
        <v>769</v>
      </c>
      <c r="H541" t="s">
        <v>717</v>
      </c>
      <c r="I541" t="s">
        <v>4339</v>
      </c>
      <c r="J541" t="s">
        <v>821</v>
      </c>
      <c r="K541" t="s">
        <v>166</v>
      </c>
      <c r="L541" t="s">
        <v>0</v>
      </c>
      <c r="M541" t="s">
        <v>178</v>
      </c>
      <c r="N541">
        <v>47</v>
      </c>
      <c r="O541">
        <v>8</v>
      </c>
      <c r="P541">
        <v>798.84</v>
      </c>
      <c r="Q541">
        <v>3202.09</v>
      </c>
      <c r="R541">
        <v>551.67999999999995</v>
      </c>
      <c r="S541">
        <v>48.145401120000002</v>
      </c>
      <c r="T541">
        <v>0</v>
      </c>
      <c r="U541">
        <v>0</v>
      </c>
      <c r="V541">
        <v>551.67999999999995</v>
      </c>
      <c r="W541" t="s">
        <v>822</v>
      </c>
      <c r="X541" t="s">
        <v>269</v>
      </c>
      <c r="Y541" t="s">
        <v>4340</v>
      </c>
      <c r="AA541" t="s">
        <v>4341</v>
      </c>
      <c r="AB541" t="s">
        <v>181</v>
      </c>
    </row>
    <row r="542" spans="1:28" x14ac:dyDescent="0.25">
      <c r="A542" t="s">
        <v>4159</v>
      </c>
      <c r="B542" t="s">
        <v>257</v>
      </c>
      <c r="C542" t="s">
        <v>646</v>
      </c>
      <c r="D542" t="s">
        <v>3779</v>
      </c>
      <c r="E542" t="s">
        <v>647</v>
      </c>
      <c r="F542" t="s">
        <v>3780</v>
      </c>
      <c r="G542" t="s">
        <v>769</v>
      </c>
      <c r="H542" t="s">
        <v>1515</v>
      </c>
      <c r="I542" t="s">
        <v>673</v>
      </c>
      <c r="J542" t="s">
        <v>674</v>
      </c>
      <c r="K542" t="s">
        <v>166</v>
      </c>
      <c r="L542" t="s">
        <v>0</v>
      </c>
      <c r="M542" t="s">
        <v>178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 t="s">
        <v>675</v>
      </c>
      <c r="X542" t="s">
        <v>271</v>
      </c>
      <c r="Y542" t="s">
        <v>4160</v>
      </c>
      <c r="AA542" t="s">
        <v>4161</v>
      </c>
      <c r="AB542" t="s">
        <v>181</v>
      </c>
    </row>
    <row r="543" spans="1:28" x14ac:dyDescent="0.25">
      <c r="A543" t="s">
        <v>3883</v>
      </c>
      <c r="B543" t="s">
        <v>3884</v>
      </c>
      <c r="C543" t="s">
        <v>646</v>
      </c>
      <c r="D543" t="s">
        <v>3779</v>
      </c>
      <c r="E543" t="s">
        <v>647</v>
      </c>
      <c r="F543" t="s">
        <v>3780</v>
      </c>
      <c r="G543" t="s">
        <v>769</v>
      </c>
      <c r="H543" t="s">
        <v>1515</v>
      </c>
      <c r="I543" t="s">
        <v>3885</v>
      </c>
      <c r="J543" t="s">
        <v>1861</v>
      </c>
      <c r="K543" t="s">
        <v>166</v>
      </c>
      <c r="L543" t="s">
        <v>0</v>
      </c>
      <c r="M543" t="s">
        <v>178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 t="s">
        <v>1862</v>
      </c>
      <c r="X543" t="s">
        <v>271</v>
      </c>
      <c r="Y543" t="s">
        <v>3886</v>
      </c>
      <c r="AA543" t="s">
        <v>3887</v>
      </c>
      <c r="AB543" t="s">
        <v>181</v>
      </c>
    </row>
    <row r="544" spans="1:28" x14ac:dyDescent="0.25">
      <c r="A544" t="s">
        <v>3783</v>
      </c>
      <c r="B544" t="s">
        <v>3784</v>
      </c>
      <c r="C544" t="s">
        <v>646</v>
      </c>
      <c r="D544" t="s">
        <v>3779</v>
      </c>
      <c r="E544" t="s">
        <v>647</v>
      </c>
      <c r="F544" t="s">
        <v>666</v>
      </c>
      <c r="G544" t="s">
        <v>666</v>
      </c>
      <c r="H544" t="s">
        <v>1515</v>
      </c>
      <c r="I544" t="s">
        <v>3785</v>
      </c>
      <c r="J544" t="s">
        <v>432</v>
      </c>
      <c r="K544" t="s">
        <v>166</v>
      </c>
      <c r="L544" t="s">
        <v>0</v>
      </c>
      <c r="M544" t="s">
        <v>178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 t="s">
        <v>0</v>
      </c>
      <c r="X544" t="s">
        <v>271</v>
      </c>
      <c r="Y544" t="s">
        <v>3786</v>
      </c>
      <c r="AA544" t="s">
        <v>3787</v>
      </c>
      <c r="AB544" t="s">
        <v>181</v>
      </c>
    </row>
    <row r="545" spans="1:28" x14ac:dyDescent="0.25">
      <c r="A545" t="s">
        <v>4006</v>
      </c>
      <c r="B545" t="s">
        <v>4007</v>
      </c>
      <c r="C545" t="s">
        <v>646</v>
      </c>
      <c r="D545" t="s">
        <v>3779</v>
      </c>
      <c r="E545" t="s">
        <v>647</v>
      </c>
      <c r="F545" t="s">
        <v>3780</v>
      </c>
      <c r="G545" t="s">
        <v>769</v>
      </c>
      <c r="H545" t="s">
        <v>962</v>
      </c>
      <c r="I545" t="s">
        <v>4008</v>
      </c>
      <c r="J545" t="s">
        <v>688</v>
      </c>
      <c r="K545" t="s">
        <v>166</v>
      </c>
      <c r="L545" t="s">
        <v>0</v>
      </c>
      <c r="M545" t="s">
        <v>178</v>
      </c>
      <c r="N545">
        <v>3</v>
      </c>
      <c r="O545">
        <v>3</v>
      </c>
      <c r="P545">
        <v>30.68</v>
      </c>
      <c r="Q545">
        <v>97.56</v>
      </c>
      <c r="R545">
        <v>8.86</v>
      </c>
      <c r="S545">
        <v>7.67</v>
      </c>
      <c r="T545">
        <v>0</v>
      </c>
      <c r="U545">
        <v>0</v>
      </c>
      <c r="V545">
        <v>8.86</v>
      </c>
      <c r="W545" t="s">
        <v>0</v>
      </c>
      <c r="X545" t="s">
        <v>271</v>
      </c>
      <c r="Y545" t="s">
        <v>4009</v>
      </c>
      <c r="AA545" t="s">
        <v>4010</v>
      </c>
      <c r="AB545" t="s">
        <v>181</v>
      </c>
    </row>
    <row r="546" spans="1:28" x14ac:dyDescent="0.25">
      <c r="A546" t="s">
        <v>4172</v>
      </c>
      <c r="B546" t="s">
        <v>4173</v>
      </c>
      <c r="C546" t="s">
        <v>646</v>
      </c>
      <c r="D546" t="s">
        <v>3779</v>
      </c>
      <c r="E546" t="s">
        <v>647</v>
      </c>
      <c r="F546" t="s">
        <v>3780</v>
      </c>
      <c r="G546" t="s">
        <v>769</v>
      </c>
      <c r="H546" t="s">
        <v>856</v>
      </c>
      <c r="I546" t="s">
        <v>1801</v>
      </c>
      <c r="J546" t="s">
        <v>437</v>
      </c>
      <c r="K546" t="s">
        <v>166</v>
      </c>
      <c r="L546" t="s">
        <v>0</v>
      </c>
      <c r="M546" t="s">
        <v>178</v>
      </c>
      <c r="N546">
        <v>1</v>
      </c>
      <c r="O546">
        <v>1</v>
      </c>
      <c r="P546">
        <v>23.4</v>
      </c>
      <c r="Q546">
        <v>132.68</v>
      </c>
      <c r="R546">
        <v>21.53</v>
      </c>
      <c r="S546">
        <v>8.6579999999999995</v>
      </c>
      <c r="T546">
        <v>0</v>
      </c>
      <c r="U546">
        <v>0</v>
      </c>
      <c r="V546">
        <v>21.53</v>
      </c>
      <c r="W546" t="s">
        <v>510</v>
      </c>
      <c r="X546" t="s">
        <v>271</v>
      </c>
      <c r="Y546" t="s">
        <v>4174</v>
      </c>
      <c r="Z546" t="s">
        <v>4175</v>
      </c>
      <c r="AA546" t="s">
        <v>4176</v>
      </c>
      <c r="AB546" t="s">
        <v>181</v>
      </c>
    </row>
    <row r="547" spans="1:28" x14ac:dyDescent="0.25">
      <c r="A547" t="s">
        <v>4346</v>
      </c>
      <c r="B547" t="s">
        <v>257</v>
      </c>
      <c r="C547" t="s">
        <v>646</v>
      </c>
      <c r="D547" t="s">
        <v>3779</v>
      </c>
      <c r="E547" t="s">
        <v>647</v>
      </c>
      <c r="F547" t="s">
        <v>3780</v>
      </c>
      <c r="G547" t="s">
        <v>769</v>
      </c>
      <c r="H547" t="s">
        <v>683</v>
      </c>
      <c r="I547" t="s">
        <v>746</v>
      </c>
      <c r="J547" t="s">
        <v>504</v>
      </c>
      <c r="K547" t="s">
        <v>166</v>
      </c>
      <c r="L547" t="s">
        <v>0</v>
      </c>
      <c r="M547" t="s">
        <v>178</v>
      </c>
      <c r="N547">
        <v>325.84440000000001</v>
      </c>
      <c r="O547">
        <v>120</v>
      </c>
      <c r="P547">
        <v>4635.5</v>
      </c>
      <c r="Q547">
        <v>12556.28</v>
      </c>
      <c r="R547">
        <v>1019.59952505</v>
      </c>
      <c r="S547">
        <v>1407.91067518</v>
      </c>
      <c r="T547">
        <v>-4.7495000000000002E-4</v>
      </c>
      <c r="U547">
        <v>0</v>
      </c>
      <c r="V547">
        <v>1019.6</v>
      </c>
      <c r="W547" t="s">
        <v>503</v>
      </c>
      <c r="X547" t="s">
        <v>271</v>
      </c>
      <c r="Y547" t="s">
        <v>4347</v>
      </c>
      <c r="AA547" t="s">
        <v>4348</v>
      </c>
      <c r="AB547" t="s">
        <v>181</v>
      </c>
    </row>
    <row r="548" spans="1:28" x14ac:dyDescent="0.25">
      <c r="A548" t="s">
        <v>4265</v>
      </c>
      <c r="B548" t="s">
        <v>4266</v>
      </c>
      <c r="C548" t="s">
        <v>646</v>
      </c>
      <c r="D548" t="s">
        <v>3779</v>
      </c>
      <c r="E548" t="s">
        <v>647</v>
      </c>
      <c r="F548" t="s">
        <v>666</v>
      </c>
      <c r="G548" t="s">
        <v>666</v>
      </c>
      <c r="H548" t="s">
        <v>713</v>
      </c>
      <c r="I548" t="s">
        <v>4267</v>
      </c>
      <c r="J548" t="s">
        <v>326</v>
      </c>
      <c r="K548" t="s">
        <v>166</v>
      </c>
      <c r="L548" t="s">
        <v>0</v>
      </c>
      <c r="M548" t="s">
        <v>178</v>
      </c>
      <c r="N548">
        <v>610</v>
      </c>
      <c r="O548">
        <v>15</v>
      </c>
      <c r="P548">
        <v>9355.9500000000007</v>
      </c>
      <c r="Q548">
        <v>29919.11</v>
      </c>
      <c r="R548">
        <v>1698.0101961800001</v>
      </c>
      <c r="S548">
        <v>1114.4786951599999</v>
      </c>
      <c r="T548">
        <v>863.08019618000003</v>
      </c>
      <c r="U548">
        <v>0</v>
      </c>
      <c r="V548">
        <v>1706.98</v>
      </c>
      <c r="W548" t="s">
        <v>450</v>
      </c>
      <c r="X548" t="s">
        <v>271</v>
      </c>
      <c r="Y548" t="s">
        <v>4268</v>
      </c>
      <c r="AA548" t="s">
        <v>4269</v>
      </c>
      <c r="AB548" t="s">
        <v>181</v>
      </c>
    </row>
    <row r="549" spans="1:28" x14ac:dyDescent="0.25">
      <c r="A549" t="s">
        <v>4119</v>
      </c>
      <c r="B549" t="s">
        <v>4120</v>
      </c>
      <c r="C549" t="s">
        <v>646</v>
      </c>
      <c r="D549" t="s">
        <v>3779</v>
      </c>
      <c r="E549" t="s">
        <v>647</v>
      </c>
      <c r="F549" t="s">
        <v>3780</v>
      </c>
      <c r="G549" t="s">
        <v>769</v>
      </c>
      <c r="H549" t="s">
        <v>703</v>
      </c>
      <c r="I549" t="s">
        <v>1374</v>
      </c>
      <c r="J549" t="s">
        <v>441</v>
      </c>
      <c r="K549" t="s">
        <v>166</v>
      </c>
      <c r="L549" t="s">
        <v>0</v>
      </c>
      <c r="M549" t="s">
        <v>178</v>
      </c>
      <c r="N549">
        <v>683.74990000000003</v>
      </c>
      <c r="O549">
        <v>208.5</v>
      </c>
      <c r="P549">
        <v>10153.84</v>
      </c>
      <c r="Q549">
        <v>24567.59</v>
      </c>
      <c r="R549">
        <v>5003.4888557000004</v>
      </c>
      <c r="S549">
        <v>2891.08611066</v>
      </c>
      <c r="T549">
        <v>0.15885569999999999</v>
      </c>
      <c r="U549">
        <v>0</v>
      </c>
      <c r="V549">
        <v>5003.33</v>
      </c>
      <c r="W549" t="s">
        <v>440</v>
      </c>
      <c r="X549" t="s">
        <v>271</v>
      </c>
      <c r="Y549" t="s">
        <v>4121</v>
      </c>
      <c r="AA549" t="s">
        <v>4122</v>
      </c>
      <c r="AB549" t="s">
        <v>181</v>
      </c>
    </row>
    <row r="550" spans="1:28" x14ac:dyDescent="0.25">
      <c r="A550" t="s">
        <v>4280</v>
      </c>
      <c r="B550" t="s">
        <v>4281</v>
      </c>
      <c r="C550" t="s">
        <v>646</v>
      </c>
      <c r="D550" t="s">
        <v>3779</v>
      </c>
      <c r="E550" t="s">
        <v>647</v>
      </c>
      <c r="F550" t="s">
        <v>3780</v>
      </c>
      <c r="G550" t="s">
        <v>769</v>
      </c>
      <c r="H550" t="s">
        <v>761</v>
      </c>
      <c r="I550" t="s">
        <v>1872</v>
      </c>
      <c r="J550" t="s">
        <v>1873</v>
      </c>
      <c r="K550" t="s">
        <v>166</v>
      </c>
      <c r="L550" t="s">
        <v>0</v>
      </c>
      <c r="M550" t="s">
        <v>178</v>
      </c>
      <c r="N550">
        <v>73</v>
      </c>
      <c r="O550">
        <v>47</v>
      </c>
      <c r="P550">
        <v>1882.85</v>
      </c>
      <c r="Q550">
        <v>3350.4</v>
      </c>
      <c r="R550">
        <v>666.03</v>
      </c>
      <c r="S550">
        <v>588.54305997999995</v>
      </c>
      <c r="T550">
        <v>0</v>
      </c>
      <c r="U550">
        <v>0</v>
      </c>
      <c r="V550">
        <v>666.03</v>
      </c>
      <c r="W550" t="s">
        <v>1874</v>
      </c>
      <c r="X550" t="s">
        <v>271</v>
      </c>
      <c r="Y550" t="s">
        <v>4282</v>
      </c>
      <c r="AA550" t="s">
        <v>4283</v>
      </c>
      <c r="AB550" t="s">
        <v>181</v>
      </c>
    </row>
    <row r="551" spans="1:28" x14ac:dyDescent="0.25">
      <c r="A551" t="s">
        <v>4349</v>
      </c>
      <c r="B551" t="s">
        <v>4350</v>
      </c>
      <c r="C551" t="s">
        <v>646</v>
      </c>
      <c r="D551" t="s">
        <v>3779</v>
      </c>
      <c r="E551" t="s">
        <v>647</v>
      </c>
      <c r="F551" t="s">
        <v>3780</v>
      </c>
      <c r="G551" t="s">
        <v>769</v>
      </c>
      <c r="H551" t="s">
        <v>672</v>
      </c>
      <c r="I551" t="s">
        <v>2242</v>
      </c>
      <c r="J551" t="s">
        <v>2243</v>
      </c>
      <c r="K551" t="s">
        <v>166</v>
      </c>
      <c r="L551" t="s">
        <v>0</v>
      </c>
      <c r="M551" t="s">
        <v>178</v>
      </c>
      <c r="N551">
        <v>141</v>
      </c>
      <c r="O551">
        <v>141</v>
      </c>
      <c r="P551">
        <v>2220.75</v>
      </c>
      <c r="Q551">
        <v>8466.52</v>
      </c>
      <c r="R551">
        <v>2367.52</v>
      </c>
      <c r="S551">
        <v>389.97492512000002</v>
      </c>
      <c r="T551">
        <v>0</v>
      </c>
      <c r="U551">
        <v>0</v>
      </c>
      <c r="V551">
        <v>2367.52</v>
      </c>
      <c r="W551" t="s">
        <v>1601</v>
      </c>
      <c r="X551" t="s">
        <v>269</v>
      </c>
      <c r="Y551" t="s">
        <v>4351</v>
      </c>
      <c r="AA551" t="s">
        <v>4352</v>
      </c>
      <c r="AB551" t="s">
        <v>181</v>
      </c>
    </row>
    <row r="552" spans="1:28" x14ac:dyDescent="0.25">
      <c r="A552" t="s">
        <v>3981</v>
      </c>
      <c r="B552" t="s">
        <v>3982</v>
      </c>
      <c r="C552" t="s">
        <v>646</v>
      </c>
      <c r="D552" t="s">
        <v>3779</v>
      </c>
      <c r="E552" t="s">
        <v>647</v>
      </c>
      <c r="F552" t="s">
        <v>3780</v>
      </c>
      <c r="G552" t="s">
        <v>769</v>
      </c>
      <c r="H552" t="s">
        <v>1171</v>
      </c>
      <c r="I552" t="s">
        <v>2384</v>
      </c>
      <c r="J552" t="s">
        <v>447</v>
      </c>
      <c r="K552" t="s">
        <v>166</v>
      </c>
      <c r="L552" t="s">
        <v>0</v>
      </c>
      <c r="M552" t="s">
        <v>178</v>
      </c>
      <c r="N552">
        <v>133</v>
      </c>
      <c r="O552">
        <v>107</v>
      </c>
      <c r="P552">
        <v>4205.8</v>
      </c>
      <c r="Q552">
        <v>27045.1</v>
      </c>
      <c r="R552">
        <v>752.57303753999997</v>
      </c>
      <c r="S552">
        <v>506.87362847000003</v>
      </c>
      <c r="T552">
        <v>2.4330375399999999</v>
      </c>
      <c r="U552">
        <v>0</v>
      </c>
      <c r="V552">
        <v>750.14</v>
      </c>
      <c r="W552" t="s">
        <v>446</v>
      </c>
      <c r="X552" t="s">
        <v>271</v>
      </c>
      <c r="Y552" t="s">
        <v>3983</v>
      </c>
      <c r="AA552" t="s">
        <v>3984</v>
      </c>
      <c r="AB552" t="s">
        <v>181</v>
      </c>
    </row>
    <row r="553" spans="1:28" x14ac:dyDescent="0.25">
      <c r="A553" t="s">
        <v>3801</v>
      </c>
      <c r="B553" t="s">
        <v>3802</v>
      </c>
      <c r="C553" t="s">
        <v>646</v>
      </c>
      <c r="D553" t="s">
        <v>3779</v>
      </c>
      <c r="E553" t="s">
        <v>647</v>
      </c>
      <c r="F553" t="s">
        <v>666</v>
      </c>
      <c r="G553" t="s">
        <v>666</v>
      </c>
      <c r="H553" t="s">
        <v>713</v>
      </c>
      <c r="I553" t="s">
        <v>3803</v>
      </c>
      <c r="J553" t="s">
        <v>2577</v>
      </c>
      <c r="K553" t="s">
        <v>166</v>
      </c>
      <c r="L553" t="s">
        <v>0</v>
      </c>
      <c r="M553" t="s">
        <v>178</v>
      </c>
      <c r="N553">
        <v>908.22220000000004</v>
      </c>
      <c r="O553">
        <v>760</v>
      </c>
      <c r="P553">
        <v>24095.11</v>
      </c>
      <c r="Q553">
        <v>14295.32</v>
      </c>
      <c r="R553">
        <v>3120.3989206000001</v>
      </c>
      <c r="S553">
        <v>2339.9472549699999</v>
      </c>
      <c r="T553">
        <v>0.40892060000000002</v>
      </c>
      <c r="U553">
        <v>0</v>
      </c>
      <c r="V553">
        <v>3119.99</v>
      </c>
      <c r="W553" t="s">
        <v>2578</v>
      </c>
      <c r="X553" t="s">
        <v>271</v>
      </c>
      <c r="Y553" t="s">
        <v>3804</v>
      </c>
      <c r="AA553" t="s">
        <v>3805</v>
      </c>
      <c r="AB553" t="s">
        <v>181</v>
      </c>
    </row>
    <row r="554" spans="1:28" x14ac:dyDescent="0.25">
      <c r="A554" t="s">
        <v>4196</v>
      </c>
      <c r="B554" t="s">
        <v>4197</v>
      </c>
      <c r="C554" t="s">
        <v>646</v>
      </c>
      <c r="D554" t="s">
        <v>3779</v>
      </c>
      <c r="E554" t="s">
        <v>647</v>
      </c>
      <c r="F554" t="s">
        <v>3780</v>
      </c>
      <c r="G554" t="s">
        <v>769</v>
      </c>
      <c r="H554" t="s">
        <v>649</v>
      </c>
      <c r="I554" t="s">
        <v>4198</v>
      </c>
      <c r="J554" t="s">
        <v>870</v>
      </c>
      <c r="K554" t="s">
        <v>166</v>
      </c>
      <c r="L554" t="s">
        <v>0</v>
      </c>
      <c r="M554" t="s">
        <v>178</v>
      </c>
      <c r="N554">
        <v>53</v>
      </c>
      <c r="O554">
        <v>20</v>
      </c>
      <c r="P554">
        <v>605</v>
      </c>
      <c r="Q554">
        <v>1877.51</v>
      </c>
      <c r="R554">
        <v>186.85</v>
      </c>
      <c r="S554">
        <v>206.05984330000001</v>
      </c>
      <c r="T554">
        <v>0</v>
      </c>
      <c r="U554">
        <v>0</v>
      </c>
      <c r="V554">
        <v>186.85</v>
      </c>
      <c r="W554" t="s">
        <v>871</v>
      </c>
      <c r="X554" t="s">
        <v>271</v>
      </c>
      <c r="Y554" t="s">
        <v>4199</v>
      </c>
      <c r="AA554" t="s">
        <v>4200</v>
      </c>
      <c r="AB554" t="s">
        <v>181</v>
      </c>
    </row>
    <row r="555" spans="1:28" x14ac:dyDescent="0.25">
      <c r="A555" t="s">
        <v>4316</v>
      </c>
      <c r="B555" t="s">
        <v>4317</v>
      </c>
      <c r="C555" t="s">
        <v>646</v>
      </c>
      <c r="D555" t="s">
        <v>3779</v>
      </c>
      <c r="E555" t="s">
        <v>647</v>
      </c>
      <c r="F555" t="s">
        <v>3780</v>
      </c>
      <c r="G555" t="s">
        <v>769</v>
      </c>
      <c r="H555" t="s">
        <v>770</v>
      </c>
      <c r="I555" t="s">
        <v>1290</v>
      </c>
      <c r="J555" t="s">
        <v>1291</v>
      </c>
      <c r="K555" t="s">
        <v>166</v>
      </c>
      <c r="L555" t="s">
        <v>0</v>
      </c>
      <c r="M555" t="s">
        <v>178</v>
      </c>
      <c r="N555">
        <v>439.75</v>
      </c>
      <c r="O555">
        <v>237.75</v>
      </c>
      <c r="P555">
        <v>6441.52</v>
      </c>
      <c r="Q555">
        <v>10935.75</v>
      </c>
      <c r="R555">
        <v>3036.91</v>
      </c>
      <c r="S555">
        <v>1279.5242349</v>
      </c>
      <c r="T555">
        <v>0</v>
      </c>
      <c r="U555">
        <v>0</v>
      </c>
      <c r="V555">
        <v>3036.91</v>
      </c>
      <c r="W555" t="s">
        <v>1292</v>
      </c>
      <c r="X555" t="s">
        <v>271</v>
      </c>
      <c r="Y555" t="s">
        <v>4318</v>
      </c>
      <c r="AA555" t="s">
        <v>4319</v>
      </c>
      <c r="AB555" t="s">
        <v>181</v>
      </c>
    </row>
    <row r="556" spans="1:28" x14ac:dyDescent="0.25">
      <c r="A556" t="s">
        <v>3938</v>
      </c>
      <c r="B556" t="s">
        <v>3939</v>
      </c>
      <c r="C556" t="s">
        <v>646</v>
      </c>
      <c r="D556" t="s">
        <v>3779</v>
      </c>
      <c r="E556" t="s">
        <v>647</v>
      </c>
      <c r="F556" t="s">
        <v>3780</v>
      </c>
      <c r="G556" t="s">
        <v>769</v>
      </c>
      <c r="H556" t="s">
        <v>797</v>
      </c>
      <c r="I556" t="s">
        <v>3940</v>
      </c>
      <c r="J556" t="s">
        <v>3941</v>
      </c>
      <c r="K556" t="s">
        <v>166</v>
      </c>
      <c r="L556" t="s">
        <v>0</v>
      </c>
      <c r="M556" t="s">
        <v>178</v>
      </c>
      <c r="N556">
        <v>172</v>
      </c>
      <c r="O556">
        <v>24</v>
      </c>
      <c r="P556">
        <v>2035</v>
      </c>
      <c r="Q556">
        <v>7986.29</v>
      </c>
      <c r="R556">
        <v>1153.3900000000001</v>
      </c>
      <c r="S556">
        <v>292.77293465999998</v>
      </c>
      <c r="T556">
        <v>0</v>
      </c>
      <c r="U556">
        <v>0</v>
      </c>
      <c r="V556">
        <v>1153.3900000000001</v>
      </c>
      <c r="W556" t="s">
        <v>0</v>
      </c>
      <c r="X556" t="s">
        <v>271</v>
      </c>
      <c r="Y556" t="s">
        <v>3942</v>
      </c>
      <c r="AA556" t="s">
        <v>3943</v>
      </c>
      <c r="AB556" t="s">
        <v>181</v>
      </c>
    </row>
    <row r="557" spans="1:28" x14ac:dyDescent="0.25">
      <c r="A557" t="s">
        <v>4117</v>
      </c>
      <c r="B557" t="s">
        <v>4118</v>
      </c>
      <c r="C557" t="s">
        <v>646</v>
      </c>
      <c r="D557" t="s">
        <v>3779</v>
      </c>
      <c r="E557" t="s">
        <v>647</v>
      </c>
      <c r="F557" t="s">
        <v>3780</v>
      </c>
      <c r="G557" t="s">
        <v>769</v>
      </c>
      <c r="H557" t="s">
        <v>672</v>
      </c>
      <c r="I557" t="s">
        <v>1190</v>
      </c>
      <c r="J557" t="s">
        <v>1191</v>
      </c>
      <c r="K557" t="s">
        <v>166</v>
      </c>
      <c r="L557" t="s">
        <v>0</v>
      </c>
      <c r="M557" t="s">
        <v>178</v>
      </c>
      <c r="N557">
        <v>106</v>
      </c>
      <c r="O557">
        <v>19</v>
      </c>
      <c r="P557">
        <v>2586.3000000000002</v>
      </c>
      <c r="Q557">
        <v>3846.93</v>
      </c>
      <c r="R557">
        <v>138.08355130999999</v>
      </c>
      <c r="S557">
        <v>382.78052159999999</v>
      </c>
      <c r="T557">
        <v>461.44355130999998</v>
      </c>
      <c r="U557">
        <v>79.510000000000005</v>
      </c>
      <c r="V557">
        <v>217.15</v>
      </c>
      <c r="W557" t="s">
        <v>282</v>
      </c>
      <c r="X557" t="s">
        <v>271</v>
      </c>
      <c r="Y557" t="s">
        <v>2170</v>
      </c>
      <c r="AA557" t="s">
        <v>2171</v>
      </c>
      <c r="AB557" t="s">
        <v>181</v>
      </c>
    </row>
    <row r="558" spans="1:28" x14ac:dyDescent="0.25">
      <c r="A558" t="s">
        <v>4179</v>
      </c>
      <c r="B558" t="s">
        <v>4180</v>
      </c>
      <c r="C558" t="s">
        <v>646</v>
      </c>
      <c r="D558" t="s">
        <v>3779</v>
      </c>
      <c r="E558" t="s">
        <v>647</v>
      </c>
      <c r="F558" t="s">
        <v>3780</v>
      </c>
      <c r="G558" t="s">
        <v>769</v>
      </c>
      <c r="H558" t="s">
        <v>713</v>
      </c>
      <c r="I558" t="s">
        <v>4181</v>
      </c>
      <c r="J558" t="s">
        <v>816</v>
      </c>
      <c r="K558" t="s">
        <v>166</v>
      </c>
      <c r="L558" t="s">
        <v>0</v>
      </c>
      <c r="M558" t="s">
        <v>178</v>
      </c>
      <c r="N558">
        <v>78</v>
      </c>
      <c r="O558">
        <v>57</v>
      </c>
      <c r="P558">
        <v>1958.47</v>
      </c>
      <c r="Q558">
        <v>2710.04</v>
      </c>
      <c r="R558">
        <v>647.24093340000002</v>
      </c>
      <c r="S558">
        <v>246.67153112</v>
      </c>
      <c r="T558">
        <v>9.3340000000000003E-4</v>
      </c>
      <c r="U558">
        <v>0</v>
      </c>
      <c r="V558">
        <v>647.24</v>
      </c>
      <c r="W558" t="s">
        <v>1490</v>
      </c>
      <c r="X558" t="s">
        <v>271</v>
      </c>
      <c r="Y558" t="s">
        <v>4182</v>
      </c>
      <c r="AA558" t="s">
        <v>4183</v>
      </c>
      <c r="AB558" t="s">
        <v>181</v>
      </c>
    </row>
    <row r="559" spans="1:28" x14ac:dyDescent="0.25">
      <c r="A559" t="s">
        <v>3870</v>
      </c>
      <c r="B559" t="s">
        <v>3871</v>
      </c>
      <c r="C559" t="s">
        <v>646</v>
      </c>
      <c r="D559" t="s">
        <v>3779</v>
      </c>
      <c r="E559" t="s">
        <v>647</v>
      </c>
      <c r="F559" t="s">
        <v>666</v>
      </c>
      <c r="G559" t="s">
        <v>666</v>
      </c>
      <c r="H559" t="s">
        <v>672</v>
      </c>
      <c r="I559" t="s">
        <v>3872</v>
      </c>
      <c r="J559" t="s">
        <v>355</v>
      </c>
      <c r="K559" t="s">
        <v>166</v>
      </c>
      <c r="L559" t="s">
        <v>0</v>
      </c>
      <c r="M559" t="s">
        <v>178</v>
      </c>
      <c r="N559">
        <v>6</v>
      </c>
      <c r="O559">
        <v>0</v>
      </c>
      <c r="P559">
        <v>92</v>
      </c>
      <c r="Q559">
        <v>230.34</v>
      </c>
      <c r="R559">
        <v>70.5</v>
      </c>
      <c r="S559">
        <v>5.0791380999999998</v>
      </c>
      <c r="T559">
        <v>0</v>
      </c>
      <c r="U559">
        <v>0</v>
      </c>
      <c r="V559">
        <v>70.5</v>
      </c>
      <c r="W559" t="s">
        <v>0</v>
      </c>
      <c r="X559" t="s">
        <v>271</v>
      </c>
      <c r="Y559" t="s">
        <v>3873</v>
      </c>
      <c r="AA559" t="s">
        <v>3874</v>
      </c>
      <c r="AB559" t="s">
        <v>181</v>
      </c>
    </row>
    <row r="560" spans="1:28" x14ac:dyDescent="0.25">
      <c r="A560" t="s">
        <v>4260</v>
      </c>
      <c r="B560" t="s">
        <v>4261</v>
      </c>
      <c r="C560" t="s">
        <v>646</v>
      </c>
      <c r="D560" t="s">
        <v>3779</v>
      </c>
      <c r="E560" t="s">
        <v>647</v>
      </c>
      <c r="F560" t="s">
        <v>666</v>
      </c>
      <c r="G560" t="s">
        <v>666</v>
      </c>
      <c r="H560" t="s">
        <v>909</v>
      </c>
      <c r="I560" t="s">
        <v>4262</v>
      </c>
      <c r="J560" t="s">
        <v>1180</v>
      </c>
      <c r="K560" t="s">
        <v>166</v>
      </c>
      <c r="L560" t="s">
        <v>0</v>
      </c>
      <c r="M560" t="s">
        <v>178</v>
      </c>
      <c r="N560">
        <v>188</v>
      </c>
      <c r="O560">
        <v>158</v>
      </c>
      <c r="P560">
        <v>6403.76</v>
      </c>
      <c r="Q560">
        <v>7859.83</v>
      </c>
      <c r="R560">
        <v>1923.98115063</v>
      </c>
      <c r="S560">
        <v>845.37951799999996</v>
      </c>
      <c r="T560">
        <v>0.25115062999999999</v>
      </c>
      <c r="U560">
        <v>0</v>
      </c>
      <c r="V560">
        <v>1923.73</v>
      </c>
      <c r="W560" t="s">
        <v>0</v>
      </c>
      <c r="X560" t="s">
        <v>271</v>
      </c>
      <c r="Y560" t="s">
        <v>4263</v>
      </c>
      <c r="AA560" t="s">
        <v>4264</v>
      </c>
      <c r="AB560" t="s">
        <v>181</v>
      </c>
    </row>
    <row r="561" spans="1:28" x14ac:dyDescent="0.25">
      <c r="A561" t="s">
        <v>4353</v>
      </c>
      <c r="B561" t="s">
        <v>4354</v>
      </c>
      <c r="C561" t="s">
        <v>646</v>
      </c>
      <c r="D561" t="s">
        <v>3779</v>
      </c>
      <c r="E561" t="s">
        <v>647</v>
      </c>
      <c r="F561" t="s">
        <v>3780</v>
      </c>
      <c r="G561" t="s">
        <v>769</v>
      </c>
      <c r="H561" t="s">
        <v>761</v>
      </c>
      <c r="I561" t="s">
        <v>1160</v>
      </c>
      <c r="J561" t="s">
        <v>336</v>
      </c>
      <c r="K561" t="s">
        <v>166</v>
      </c>
      <c r="L561" t="s">
        <v>0</v>
      </c>
      <c r="M561" t="s">
        <v>178</v>
      </c>
      <c r="N561">
        <v>276</v>
      </c>
      <c r="O561">
        <v>246</v>
      </c>
      <c r="P561">
        <v>10561.58</v>
      </c>
      <c r="Q561">
        <v>8113.65</v>
      </c>
      <c r="R561">
        <v>1439.28</v>
      </c>
      <c r="S561">
        <v>2144.00005048</v>
      </c>
      <c r="T561">
        <v>0</v>
      </c>
      <c r="U561">
        <v>0</v>
      </c>
      <c r="V561">
        <v>1439.28</v>
      </c>
      <c r="W561" t="s">
        <v>461</v>
      </c>
      <c r="X561" t="s">
        <v>271</v>
      </c>
      <c r="Y561" t="s">
        <v>4355</v>
      </c>
      <c r="AA561" t="s">
        <v>4356</v>
      </c>
      <c r="AB561" t="s">
        <v>181</v>
      </c>
    </row>
    <row r="562" spans="1:28" x14ac:dyDescent="0.25">
      <c r="A562" t="s">
        <v>4092</v>
      </c>
      <c r="B562" t="s">
        <v>4093</v>
      </c>
      <c r="C562" t="s">
        <v>646</v>
      </c>
      <c r="D562" t="s">
        <v>3779</v>
      </c>
      <c r="E562" t="s">
        <v>647</v>
      </c>
      <c r="F562" t="s">
        <v>3780</v>
      </c>
      <c r="G562" t="s">
        <v>769</v>
      </c>
      <c r="H562" t="s">
        <v>797</v>
      </c>
      <c r="I562" t="s">
        <v>4094</v>
      </c>
      <c r="J562" t="s">
        <v>370</v>
      </c>
      <c r="K562" t="s">
        <v>166</v>
      </c>
      <c r="L562" t="s">
        <v>0</v>
      </c>
      <c r="M562" t="s">
        <v>178</v>
      </c>
      <c r="N562">
        <v>34</v>
      </c>
      <c r="O562">
        <v>11</v>
      </c>
      <c r="P562">
        <v>353.92</v>
      </c>
      <c r="Q562">
        <v>1285.4000000000001</v>
      </c>
      <c r="R562">
        <v>220.21</v>
      </c>
      <c r="S562">
        <v>107.45926719000001</v>
      </c>
      <c r="T562">
        <v>0</v>
      </c>
      <c r="U562">
        <v>0</v>
      </c>
      <c r="V562">
        <v>220.21</v>
      </c>
      <c r="W562" t="s">
        <v>314</v>
      </c>
      <c r="X562" t="s">
        <v>271</v>
      </c>
      <c r="Y562" t="s">
        <v>4095</v>
      </c>
      <c r="Z562" t="s">
        <v>4096</v>
      </c>
      <c r="AA562" t="s">
        <v>4097</v>
      </c>
      <c r="AB562" t="s">
        <v>181</v>
      </c>
    </row>
    <row r="563" spans="1:28" x14ac:dyDescent="0.25">
      <c r="A563" t="s">
        <v>4127</v>
      </c>
      <c r="B563" t="s">
        <v>4128</v>
      </c>
      <c r="C563" t="s">
        <v>646</v>
      </c>
      <c r="D563" t="s">
        <v>3779</v>
      </c>
      <c r="E563" t="s">
        <v>647</v>
      </c>
      <c r="F563" t="s">
        <v>3780</v>
      </c>
      <c r="G563" t="s">
        <v>769</v>
      </c>
      <c r="H563" t="s">
        <v>757</v>
      </c>
      <c r="I563" t="s">
        <v>4129</v>
      </c>
      <c r="J563" t="s">
        <v>2057</v>
      </c>
      <c r="K563" t="s">
        <v>166</v>
      </c>
      <c r="L563" t="s">
        <v>0</v>
      </c>
      <c r="M563" t="s">
        <v>178</v>
      </c>
      <c r="N563">
        <v>111.125</v>
      </c>
      <c r="O563">
        <v>94.125</v>
      </c>
      <c r="P563">
        <v>2521.15</v>
      </c>
      <c r="Q563">
        <v>4132.45</v>
      </c>
      <c r="R563">
        <v>233.03023501000001</v>
      </c>
      <c r="S563">
        <v>891.64699765</v>
      </c>
      <c r="T563">
        <v>6.0235009999999999E-2</v>
      </c>
      <c r="U563">
        <v>0</v>
      </c>
      <c r="V563">
        <v>232.97</v>
      </c>
      <c r="W563" t="s">
        <v>2058</v>
      </c>
      <c r="X563" t="s">
        <v>271</v>
      </c>
      <c r="Y563" t="s">
        <v>4130</v>
      </c>
      <c r="AA563" t="s">
        <v>4131</v>
      </c>
      <c r="AB563" t="s">
        <v>181</v>
      </c>
    </row>
    <row r="564" spans="1:28" x14ac:dyDescent="0.25">
      <c r="A564" t="s">
        <v>3985</v>
      </c>
      <c r="B564" t="s">
        <v>3986</v>
      </c>
      <c r="C564" t="s">
        <v>646</v>
      </c>
      <c r="D564" t="s">
        <v>3779</v>
      </c>
      <c r="E564" t="s">
        <v>647</v>
      </c>
      <c r="F564" t="s">
        <v>3780</v>
      </c>
      <c r="G564" t="s">
        <v>769</v>
      </c>
      <c r="H564" t="s">
        <v>761</v>
      </c>
      <c r="I564" t="s">
        <v>3987</v>
      </c>
      <c r="J564" t="s">
        <v>3988</v>
      </c>
      <c r="K564" t="s">
        <v>166</v>
      </c>
      <c r="L564" t="s">
        <v>0</v>
      </c>
      <c r="M564" t="s">
        <v>178</v>
      </c>
      <c r="N564">
        <v>47.166699999999999</v>
      </c>
      <c r="O564">
        <v>21.166699999999999</v>
      </c>
      <c r="P564">
        <v>1049.47</v>
      </c>
      <c r="Q564">
        <v>2243.5100000000002</v>
      </c>
      <c r="R564">
        <v>424.22</v>
      </c>
      <c r="S564">
        <v>230.22932750999999</v>
      </c>
      <c r="T564">
        <v>0</v>
      </c>
      <c r="U564">
        <v>0</v>
      </c>
      <c r="V564">
        <v>424.22</v>
      </c>
      <c r="W564" t="s">
        <v>3989</v>
      </c>
      <c r="X564" t="s">
        <v>271</v>
      </c>
      <c r="Y564" t="s">
        <v>3990</v>
      </c>
      <c r="AA564" t="s">
        <v>3991</v>
      </c>
      <c r="AB564" t="s">
        <v>181</v>
      </c>
    </row>
    <row r="565" spans="1:28" x14ac:dyDescent="0.25">
      <c r="A565" t="s">
        <v>4189</v>
      </c>
      <c r="B565" t="s">
        <v>4190</v>
      </c>
      <c r="C565" t="s">
        <v>646</v>
      </c>
      <c r="D565" t="s">
        <v>3779</v>
      </c>
      <c r="E565" t="s">
        <v>647</v>
      </c>
      <c r="F565" t="s">
        <v>666</v>
      </c>
      <c r="G565" t="s">
        <v>666</v>
      </c>
      <c r="H565" t="s">
        <v>730</v>
      </c>
      <c r="I565" t="s">
        <v>4191</v>
      </c>
      <c r="J565" t="s">
        <v>355</v>
      </c>
      <c r="K565" t="s">
        <v>166</v>
      </c>
      <c r="L565" t="s">
        <v>0</v>
      </c>
      <c r="M565" t="s">
        <v>178</v>
      </c>
      <c r="N565">
        <v>26</v>
      </c>
      <c r="O565">
        <v>26</v>
      </c>
      <c r="P565">
        <v>440.85</v>
      </c>
      <c r="Q565">
        <v>1311.72</v>
      </c>
      <c r="R565">
        <v>395.78</v>
      </c>
      <c r="S565">
        <v>146.90094683999999</v>
      </c>
      <c r="T565">
        <v>0</v>
      </c>
      <c r="U565">
        <v>0</v>
      </c>
      <c r="V565">
        <v>395.78</v>
      </c>
      <c r="W565" t="s">
        <v>0</v>
      </c>
      <c r="X565" t="s">
        <v>271</v>
      </c>
      <c r="Y565" t="s">
        <v>4192</v>
      </c>
      <c r="AA565" t="s">
        <v>4193</v>
      </c>
      <c r="AB565" t="s">
        <v>181</v>
      </c>
    </row>
    <row r="566" spans="1:28" x14ac:dyDescent="0.25">
      <c r="A566" t="s">
        <v>4074</v>
      </c>
      <c r="B566" t="s">
        <v>4075</v>
      </c>
      <c r="C566" t="s">
        <v>646</v>
      </c>
      <c r="D566" t="s">
        <v>3779</v>
      </c>
      <c r="E566" t="s">
        <v>647</v>
      </c>
      <c r="F566" t="s">
        <v>3780</v>
      </c>
      <c r="G566" t="s">
        <v>769</v>
      </c>
      <c r="H566" t="s">
        <v>909</v>
      </c>
      <c r="I566" t="s">
        <v>1284</v>
      </c>
      <c r="J566" t="s">
        <v>1285</v>
      </c>
      <c r="K566" t="s">
        <v>166</v>
      </c>
      <c r="L566" t="s">
        <v>0</v>
      </c>
      <c r="M566" t="s">
        <v>178</v>
      </c>
      <c r="N566">
        <v>112</v>
      </c>
      <c r="O566">
        <v>112</v>
      </c>
      <c r="P566">
        <v>3900</v>
      </c>
      <c r="Q566">
        <v>2780.46</v>
      </c>
      <c r="R566">
        <v>616.96</v>
      </c>
      <c r="S566">
        <v>465.14317582000001</v>
      </c>
      <c r="T566">
        <v>0</v>
      </c>
      <c r="U566">
        <v>0</v>
      </c>
      <c r="V566">
        <v>616.96</v>
      </c>
      <c r="W566" t="s">
        <v>1286</v>
      </c>
      <c r="X566" t="s">
        <v>269</v>
      </c>
      <c r="Y566" t="s">
        <v>4076</v>
      </c>
      <c r="AA566" t="s">
        <v>4077</v>
      </c>
      <c r="AB566" t="s">
        <v>181</v>
      </c>
    </row>
    <row r="567" spans="1:28" x14ac:dyDescent="0.25">
      <c r="A567" t="s">
        <v>4078</v>
      </c>
      <c r="B567" t="s">
        <v>4079</v>
      </c>
      <c r="C567" t="s">
        <v>646</v>
      </c>
      <c r="D567" t="s">
        <v>3779</v>
      </c>
      <c r="E567" t="s">
        <v>647</v>
      </c>
      <c r="F567" t="s">
        <v>3780</v>
      </c>
      <c r="G567" t="s">
        <v>769</v>
      </c>
      <c r="H567" t="s">
        <v>730</v>
      </c>
      <c r="I567" t="s">
        <v>885</v>
      </c>
      <c r="J567" t="s">
        <v>324</v>
      </c>
      <c r="K567" t="s">
        <v>166</v>
      </c>
      <c r="L567" t="s">
        <v>0</v>
      </c>
      <c r="M567" t="s">
        <v>178</v>
      </c>
      <c r="N567">
        <v>3</v>
      </c>
      <c r="O567">
        <v>0</v>
      </c>
      <c r="P567">
        <v>26.66</v>
      </c>
      <c r="Q567">
        <v>247.95</v>
      </c>
      <c r="R567">
        <v>66.73</v>
      </c>
      <c r="S567">
        <v>1.5289999999999999</v>
      </c>
      <c r="T567">
        <v>0</v>
      </c>
      <c r="U567">
        <v>0</v>
      </c>
      <c r="V567">
        <v>66.73</v>
      </c>
      <c r="W567" t="s">
        <v>519</v>
      </c>
      <c r="X567" t="s">
        <v>271</v>
      </c>
      <c r="Y567" t="s">
        <v>4080</v>
      </c>
      <c r="AA567" t="s">
        <v>4081</v>
      </c>
      <c r="AB567" t="s">
        <v>181</v>
      </c>
    </row>
    <row r="568" spans="1:28" x14ac:dyDescent="0.25">
      <c r="A568" t="s">
        <v>4051</v>
      </c>
      <c r="B568" t="s">
        <v>4052</v>
      </c>
      <c r="C568" t="s">
        <v>646</v>
      </c>
      <c r="D568" t="s">
        <v>3779</v>
      </c>
      <c r="E568" t="s">
        <v>647</v>
      </c>
      <c r="F568" t="s">
        <v>3780</v>
      </c>
      <c r="G568" t="s">
        <v>769</v>
      </c>
      <c r="H568" t="s">
        <v>797</v>
      </c>
      <c r="I568" t="s">
        <v>4053</v>
      </c>
      <c r="J568" t="s">
        <v>4054</v>
      </c>
      <c r="K568" t="s">
        <v>166</v>
      </c>
      <c r="L568" t="s">
        <v>0</v>
      </c>
      <c r="M568" t="s">
        <v>178</v>
      </c>
      <c r="N568">
        <v>2</v>
      </c>
      <c r="O568">
        <v>0</v>
      </c>
      <c r="P568">
        <v>21</v>
      </c>
      <c r="Q568">
        <v>57.04</v>
      </c>
      <c r="R568">
        <v>0.88</v>
      </c>
      <c r="S568">
        <v>1.61566494</v>
      </c>
      <c r="T568">
        <v>0</v>
      </c>
      <c r="U568">
        <v>0</v>
      </c>
      <c r="V568">
        <v>0.88</v>
      </c>
      <c r="W568" t="s">
        <v>2488</v>
      </c>
      <c r="X568" t="s">
        <v>269</v>
      </c>
      <c r="Y568" t="s">
        <v>4055</v>
      </c>
      <c r="AA568" t="s">
        <v>4056</v>
      </c>
      <c r="AB568" t="s">
        <v>181</v>
      </c>
    </row>
    <row r="569" spans="1:28" x14ac:dyDescent="0.25">
      <c r="A569" t="s">
        <v>4189</v>
      </c>
      <c r="B569" t="s">
        <v>4190</v>
      </c>
      <c r="C569" t="s">
        <v>646</v>
      </c>
      <c r="D569" t="s">
        <v>3779</v>
      </c>
      <c r="E569" t="s">
        <v>647</v>
      </c>
      <c r="F569" t="s">
        <v>666</v>
      </c>
      <c r="G569" t="s">
        <v>666</v>
      </c>
      <c r="H569" t="s">
        <v>770</v>
      </c>
      <c r="I569" t="s">
        <v>4191</v>
      </c>
      <c r="J569" t="s">
        <v>355</v>
      </c>
      <c r="K569" t="s">
        <v>166</v>
      </c>
      <c r="L569" t="s">
        <v>0</v>
      </c>
      <c r="M569" t="s">
        <v>178</v>
      </c>
      <c r="N569">
        <v>1</v>
      </c>
      <c r="O569">
        <v>1</v>
      </c>
      <c r="P569">
        <v>12</v>
      </c>
      <c r="Q569">
        <v>18.57</v>
      </c>
      <c r="R569">
        <v>0.84</v>
      </c>
      <c r="S569">
        <v>3.3924323200000002</v>
      </c>
      <c r="T569">
        <v>0</v>
      </c>
      <c r="U569">
        <v>0</v>
      </c>
      <c r="V569">
        <v>0.84</v>
      </c>
      <c r="W569" t="s">
        <v>0</v>
      </c>
      <c r="X569" t="s">
        <v>271</v>
      </c>
      <c r="Y569" t="s">
        <v>4192</v>
      </c>
      <c r="AA569" t="s">
        <v>4193</v>
      </c>
      <c r="AB569" t="s">
        <v>181</v>
      </c>
    </row>
    <row r="570" spans="1:28" x14ac:dyDescent="0.25">
      <c r="A570" t="s">
        <v>4330</v>
      </c>
      <c r="B570" t="s">
        <v>4331</v>
      </c>
      <c r="C570" t="s">
        <v>646</v>
      </c>
      <c r="D570" t="s">
        <v>3779</v>
      </c>
      <c r="E570" t="s">
        <v>647</v>
      </c>
      <c r="F570" t="s">
        <v>666</v>
      </c>
      <c r="G570" t="s">
        <v>666</v>
      </c>
      <c r="H570" t="s">
        <v>757</v>
      </c>
      <c r="I570" t="s">
        <v>1513</v>
      </c>
      <c r="J570" t="s">
        <v>333</v>
      </c>
      <c r="K570" t="s">
        <v>166</v>
      </c>
      <c r="L570" t="s">
        <v>0</v>
      </c>
      <c r="M570" t="s">
        <v>178</v>
      </c>
      <c r="N570">
        <v>2171</v>
      </c>
      <c r="O570">
        <v>1136</v>
      </c>
      <c r="P570">
        <v>23658.27</v>
      </c>
      <c r="Q570">
        <v>58270.89</v>
      </c>
      <c r="R570">
        <v>3285.61</v>
      </c>
      <c r="S570">
        <v>6063.0120530599997</v>
      </c>
      <c r="T570">
        <v>51.84</v>
      </c>
      <c r="U570">
        <v>1.55</v>
      </c>
      <c r="V570">
        <v>3288.12</v>
      </c>
      <c r="W570" t="s">
        <v>616</v>
      </c>
      <c r="X570" t="s">
        <v>271</v>
      </c>
      <c r="Y570" t="s">
        <v>4332</v>
      </c>
      <c r="AA570" t="s">
        <v>2421</v>
      </c>
      <c r="AB570" t="s">
        <v>181</v>
      </c>
    </row>
    <row r="571" spans="1:28" x14ac:dyDescent="0.25">
      <c r="A571" t="s">
        <v>3944</v>
      </c>
      <c r="B571" t="s">
        <v>3945</v>
      </c>
      <c r="C571" t="s">
        <v>646</v>
      </c>
      <c r="D571" t="s">
        <v>3779</v>
      </c>
      <c r="E571" t="s">
        <v>647</v>
      </c>
      <c r="F571" t="s">
        <v>3780</v>
      </c>
      <c r="G571" t="s">
        <v>769</v>
      </c>
      <c r="H571" t="s">
        <v>672</v>
      </c>
      <c r="I571" t="s">
        <v>798</v>
      </c>
      <c r="J571" t="s">
        <v>524</v>
      </c>
      <c r="K571" t="s">
        <v>166</v>
      </c>
      <c r="L571" t="s">
        <v>0</v>
      </c>
      <c r="M571" t="s">
        <v>178</v>
      </c>
      <c r="N571">
        <v>222</v>
      </c>
      <c r="O571">
        <v>127</v>
      </c>
      <c r="P571">
        <v>5007.63</v>
      </c>
      <c r="Q571">
        <v>9529.92</v>
      </c>
      <c r="R571">
        <v>1847.09</v>
      </c>
      <c r="S571">
        <v>1652.8338669899999</v>
      </c>
      <c r="T571">
        <v>0</v>
      </c>
      <c r="U571">
        <v>0</v>
      </c>
      <c r="V571">
        <v>1847.09</v>
      </c>
      <c r="W571" t="s">
        <v>258</v>
      </c>
      <c r="X571" t="s">
        <v>271</v>
      </c>
      <c r="Y571" t="s">
        <v>3946</v>
      </c>
      <c r="AA571" t="s">
        <v>3947</v>
      </c>
      <c r="AB571" t="s">
        <v>181</v>
      </c>
    </row>
    <row r="572" spans="1:28" x14ac:dyDescent="0.25">
      <c r="A572" t="s">
        <v>4031</v>
      </c>
      <c r="B572" t="s">
        <v>4032</v>
      </c>
      <c r="C572" t="s">
        <v>646</v>
      </c>
      <c r="D572" t="s">
        <v>3779</v>
      </c>
      <c r="E572" t="s">
        <v>647</v>
      </c>
      <c r="F572" t="s">
        <v>3780</v>
      </c>
      <c r="G572" t="s">
        <v>769</v>
      </c>
      <c r="H572" t="s">
        <v>730</v>
      </c>
      <c r="I572" t="s">
        <v>1513</v>
      </c>
      <c r="J572" t="s">
        <v>333</v>
      </c>
      <c r="K572" t="s">
        <v>166</v>
      </c>
      <c r="L572" t="s">
        <v>0</v>
      </c>
      <c r="M572" t="s">
        <v>178</v>
      </c>
      <c r="N572">
        <v>36</v>
      </c>
      <c r="O572">
        <v>-2</v>
      </c>
      <c r="P572">
        <v>1441.9</v>
      </c>
      <c r="Q572">
        <v>1441.06</v>
      </c>
      <c r="R572">
        <v>149.59991195999999</v>
      </c>
      <c r="S572">
        <v>-4.652688E-2</v>
      </c>
      <c r="T572">
        <v>209.65991195999999</v>
      </c>
      <c r="U572">
        <v>0</v>
      </c>
      <c r="V572">
        <v>152.41</v>
      </c>
      <c r="W572" t="s">
        <v>718</v>
      </c>
      <c r="X572" t="s">
        <v>271</v>
      </c>
      <c r="Y572" t="s">
        <v>4033</v>
      </c>
      <c r="AA572" t="s">
        <v>4034</v>
      </c>
      <c r="AB572" t="s">
        <v>181</v>
      </c>
    </row>
    <row r="573" spans="1:28" x14ac:dyDescent="0.25">
      <c r="A573" t="s">
        <v>4308</v>
      </c>
      <c r="B573" t="s">
        <v>4309</v>
      </c>
      <c r="C573" t="s">
        <v>646</v>
      </c>
      <c r="D573" t="s">
        <v>3779</v>
      </c>
      <c r="E573" t="s">
        <v>647</v>
      </c>
      <c r="F573" t="s">
        <v>3780</v>
      </c>
      <c r="G573" t="s">
        <v>769</v>
      </c>
      <c r="H573" t="s">
        <v>1171</v>
      </c>
      <c r="I573" t="s">
        <v>1184</v>
      </c>
      <c r="J573" t="s">
        <v>1185</v>
      </c>
      <c r="K573" t="s">
        <v>166</v>
      </c>
      <c r="L573" t="s">
        <v>0</v>
      </c>
      <c r="M573" t="s">
        <v>178</v>
      </c>
      <c r="N573">
        <v>111</v>
      </c>
      <c r="O573">
        <v>21</v>
      </c>
      <c r="P573">
        <v>4386.82</v>
      </c>
      <c r="Q573">
        <v>29097.81</v>
      </c>
      <c r="R573">
        <v>3935.3717829100001</v>
      </c>
      <c r="S573">
        <v>340.42740655</v>
      </c>
      <c r="T573">
        <v>1.6317829100000001</v>
      </c>
      <c r="U573">
        <v>0</v>
      </c>
      <c r="V573">
        <v>3933.74</v>
      </c>
      <c r="W573" t="s">
        <v>1186</v>
      </c>
      <c r="X573" t="s">
        <v>271</v>
      </c>
      <c r="Y573" t="s">
        <v>4310</v>
      </c>
      <c r="AA573" t="s">
        <v>4311</v>
      </c>
      <c r="AB573" t="s">
        <v>181</v>
      </c>
    </row>
    <row r="574" spans="1:28" x14ac:dyDescent="0.25">
      <c r="A574" t="s">
        <v>4135</v>
      </c>
      <c r="B574" t="s">
        <v>4136</v>
      </c>
      <c r="C574" t="s">
        <v>646</v>
      </c>
      <c r="D574" t="s">
        <v>3779</v>
      </c>
      <c r="E574" t="s">
        <v>647</v>
      </c>
      <c r="F574" t="s">
        <v>3780</v>
      </c>
      <c r="G574" t="s">
        <v>769</v>
      </c>
      <c r="H574" t="s">
        <v>757</v>
      </c>
      <c r="I574" t="s">
        <v>1083</v>
      </c>
      <c r="J574" t="s">
        <v>731</v>
      </c>
      <c r="K574" t="s">
        <v>166</v>
      </c>
      <c r="L574" t="s">
        <v>0</v>
      </c>
      <c r="M574" t="s">
        <v>178</v>
      </c>
      <c r="N574">
        <v>80</v>
      </c>
      <c r="O574">
        <v>14</v>
      </c>
      <c r="P574">
        <v>920.88</v>
      </c>
      <c r="Q574">
        <v>4079.25</v>
      </c>
      <c r="R574">
        <v>950.69</v>
      </c>
      <c r="S574">
        <v>106.7263178</v>
      </c>
      <c r="T574">
        <v>0</v>
      </c>
      <c r="U574">
        <v>0</v>
      </c>
      <c r="V574">
        <v>950.69</v>
      </c>
      <c r="W574" t="s">
        <v>0</v>
      </c>
      <c r="X574" t="s">
        <v>271</v>
      </c>
      <c r="Y574" t="s">
        <v>4137</v>
      </c>
      <c r="AA574" t="s">
        <v>4138</v>
      </c>
      <c r="AB574" t="s">
        <v>181</v>
      </c>
    </row>
    <row r="575" spans="1:28" x14ac:dyDescent="0.25">
      <c r="A575" t="s">
        <v>3814</v>
      </c>
      <c r="B575" t="s">
        <v>3815</v>
      </c>
      <c r="C575" t="s">
        <v>646</v>
      </c>
      <c r="D575" t="s">
        <v>3779</v>
      </c>
      <c r="E575" t="s">
        <v>647</v>
      </c>
      <c r="F575" t="s">
        <v>3780</v>
      </c>
      <c r="G575" t="s">
        <v>769</v>
      </c>
      <c r="H575" t="s">
        <v>909</v>
      </c>
      <c r="I575" t="s">
        <v>3816</v>
      </c>
      <c r="J575" t="s">
        <v>548</v>
      </c>
      <c r="K575" t="s">
        <v>166</v>
      </c>
      <c r="L575" t="s">
        <v>0</v>
      </c>
      <c r="M575" t="s">
        <v>178</v>
      </c>
      <c r="N575">
        <v>55</v>
      </c>
      <c r="O575">
        <v>52</v>
      </c>
      <c r="P575">
        <v>1609.48</v>
      </c>
      <c r="Q575">
        <v>1790.62</v>
      </c>
      <c r="R575">
        <v>223.87</v>
      </c>
      <c r="S575">
        <v>457.95431917000002</v>
      </c>
      <c r="T575">
        <v>0</v>
      </c>
      <c r="U575">
        <v>0</v>
      </c>
      <c r="V575">
        <v>223.87</v>
      </c>
      <c r="W575" t="s">
        <v>241</v>
      </c>
      <c r="X575" t="s">
        <v>271</v>
      </c>
      <c r="Y575" t="s">
        <v>3817</v>
      </c>
      <c r="AA575" t="s">
        <v>3818</v>
      </c>
      <c r="AB575" t="s">
        <v>181</v>
      </c>
    </row>
    <row r="576" spans="1:28" x14ac:dyDescent="0.25">
      <c r="A576" t="s">
        <v>4223</v>
      </c>
      <c r="B576" t="s">
        <v>4224</v>
      </c>
      <c r="C576" t="s">
        <v>646</v>
      </c>
      <c r="D576" t="s">
        <v>3779</v>
      </c>
      <c r="E576" t="s">
        <v>647</v>
      </c>
      <c r="F576" t="s">
        <v>3780</v>
      </c>
      <c r="G576" t="s">
        <v>769</v>
      </c>
      <c r="H576" t="s">
        <v>1045</v>
      </c>
      <c r="I576" t="s">
        <v>4225</v>
      </c>
      <c r="J576" t="s">
        <v>336</v>
      </c>
      <c r="K576" t="s">
        <v>166</v>
      </c>
      <c r="L576" t="s">
        <v>0</v>
      </c>
      <c r="M576" t="s">
        <v>178</v>
      </c>
      <c r="N576">
        <v>118</v>
      </c>
      <c r="O576">
        <v>2</v>
      </c>
      <c r="P576">
        <v>1429.16</v>
      </c>
      <c r="Q576">
        <v>4558.54</v>
      </c>
      <c r="R576">
        <v>849.12</v>
      </c>
      <c r="S576">
        <v>219.06549656999999</v>
      </c>
      <c r="T576">
        <v>0</v>
      </c>
      <c r="U576">
        <v>0</v>
      </c>
      <c r="V576">
        <v>849.12</v>
      </c>
      <c r="W576" t="s">
        <v>461</v>
      </c>
      <c r="X576" t="s">
        <v>271</v>
      </c>
      <c r="Y576" t="s">
        <v>4226</v>
      </c>
      <c r="AA576" t="s">
        <v>4227</v>
      </c>
      <c r="AB576" t="s">
        <v>181</v>
      </c>
    </row>
    <row r="577" spans="1:28" x14ac:dyDescent="0.25">
      <c r="A577" t="s">
        <v>4316</v>
      </c>
      <c r="B577" t="s">
        <v>4317</v>
      </c>
      <c r="C577" t="s">
        <v>646</v>
      </c>
      <c r="D577" t="s">
        <v>3779</v>
      </c>
      <c r="E577" t="s">
        <v>647</v>
      </c>
      <c r="F577" t="s">
        <v>3780</v>
      </c>
      <c r="G577" t="s">
        <v>769</v>
      </c>
      <c r="H577" t="s">
        <v>909</v>
      </c>
      <c r="I577" t="s">
        <v>1290</v>
      </c>
      <c r="J577" t="s">
        <v>1291</v>
      </c>
      <c r="K577" t="s">
        <v>166</v>
      </c>
      <c r="L577" t="s">
        <v>0</v>
      </c>
      <c r="M577" t="s">
        <v>178</v>
      </c>
      <c r="N577">
        <v>145.25</v>
      </c>
      <c r="O577">
        <v>112.25</v>
      </c>
      <c r="P577">
        <v>4283.75</v>
      </c>
      <c r="Q577">
        <v>4884.08</v>
      </c>
      <c r="R577">
        <v>1475.39437813</v>
      </c>
      <c r="S577">
        <v>721.05304959</v>
      </c>
      <c r="T577">
        <v>5.4378129999999997E-2</v>
      </c>
      <c r="U577">
        <v>0</v>
      </c>
      <c r="V577">
        <v>1475.34</v>
      </c>
      <c r="W577" t="s">
        <v>1292</v>
      </c>
      <c r="X577" t="s">
        <v>271</v>
      </c>
      <c r="Y577" t="s">
        <v>4318</v>
      </c>
      <c r="AA577" t="s">
        <v>4319</v>
      </c>
      <c r="AB577" t="s">
        <v>181</v>
      </c>
    </row>
    <row r="578" spans="1:28" x14ac:dyDescent="0.25">
      <c r="A578" t="s">
        <v>3948</v>
      </c>
      <c r="B578" t="s">
        <v>3949</v>
      </c>
      <c r="C578" t="s">
        <v>646</v>
      </c>
      <c r="D578" t="s">
        <v>3779</v>
      </c>
      <c r="E578" t="s">
        <v>647</v>
      </c>
      <c r="F578" t="s">
        <v>3780</v>
      </c>
      <c r="G578" t="s">
        <v>769</v>
      </c>
      <c r="H578" t="s">
        <v>757</v>
      </c>
      <c r="I578" t="s">
        <v>2250</v>
      </c>
      <c r="J578" t="s">
        <v>358</v>
      </c>
      <c r="K578" t="s">
        <v>166</v>
      </c>
      <c r="L578" t="s">
        <v>0</v>
      </c>
      <c r="M578" t="s">
        <v>178</v>
      </c>
      <c r="N578">
        <v>728</v>
      </c>
      <c r="O578">
        <v>260</v>
      </c>
      <c r="P578">
        <v>10068.200000000001</v>
      </c>
      <c r="Q578">
        <v>22254.51</v>
      </c>
      <c r="R578">
        <v>6907.1</v>
      </c>
      <c r="S578">
        <v>1805.9841631899999</v>
      </c>
      <c r="T578">
        <v>4.32</v>
      </c>
      <c r="U578">
        <v>0</v>
      </c>
      <c r="V578">
        <v>6902.78</v>
      </c>
      <c r="W578" t="s">
        <v>357</v>
      </c>
      <c r="X578" t="s">
        <v>271</v>
      </c>
      <c r="Y578" t="s">
        <v>3950</v>
      </c>
      <c r="AA578" t="s">
        <v>3951</v>
      </c>
      <c r="AB578" t="s">
        <v>181</v>
      </c>
    </row>
    <row r="579" spans="1:28" x14ac:dyDescent="0.25">
      <c r="A579" t="s">
        <v>4155</v>
      </c>
      <c r="B579" t="s">
        <v>4156</v>
      </c>
      <c r="C579" t="s">
        <v>646</v>
      </c>
      <c r="D579" t="s">
        <v>3779</v>
      </c>
      <c r="E579" t="s">
        <v>647</v>
      </c>
      <c r="F579" t="s">
        <v>3780</v>
      </c>
      <c r="G579" t="s">
        <v>769</v>
      </c>
      <c r="H579" t="s">
        <v>1159</v>
      </c>
      <c r="I579" t="s">
        <v>885</v>
      </c>
      <c r="J579" t="s">
        <v>324</v>
      </c>
      <c r="K579" t="s">
        <v>166</v>
      </c>
      <c r="L579" t="s">
        <v>0</v>
      </c>
      <c r="M579" t="s">
        <v>178</v>
      </c>
      <c r="N579">
        <v>5</v>
      </c>
      <c r="O579">
        <v>3</v>
      </c>
      <c r="P579">
        <v>48.68</v>
      </c>
      <c r="Q579">
        <v>338.99</v>
      </c>
      <c r="R579">
        <v>21.06</v>
      </c>
      <c r="S579">
        <v>52.115620829999997</v>
      </c>
      <c r="T579">
        <v>0</v>
      </c>
      <c r="U579">
        <v>0</v>
      </c>
      <c r="V579">
        <v>21.06</v>
      </c>
      <c r="W579" t="s">
        <v>519</v>
      </c>
      <c r="X579" t="s">
        <v>271</v>
      </c>
      <c r="Y579" t="s">
        <v>4157</v>
      </c>
      <c r="AA579" t="s">
        <v>4158</v>
      </c>
      <c r="AB579" t="s">
        <v>181</v>
      </c>
    </row>
    <row r="580" spans="1:28" x14ac:dyDescent="0.25">
      <c r="A580" t="s">
        <v>4219</v>
      </c>
      <c r="B580" t="s">
        <v>4220</v>
      </c>
      <c r="C580" t="s">
        <v>646</v>
      </c>
      <c r="D580" t="s">
        <v>3779</v>
      </c>
      <c r="E580" t="s">
        <v>647</v>
      </c>
      <c r="F580" t="s">
        <v>3780</v>
      </c>
      <c r="G580" t="s">
        <v>769</v>
      </c>
      <c r="H580" t="s">
        <v>649</v>
      </c>
      <c r="I580" t="s">
        <v>1208</v>
      </c>
      <c r="J580" t="s">
        <v>1209</v>
      </c>
      <c r="K580" t="s">
        <v>166</v>
      </c>
      <c r="L580" t="s">
        <v>0</v>
      </c>
      <c r="M580" t="s">
        <v>178</v>
      </c>
      <c r="N580">
        <v>13</v>
      </c>
      <c r="O580">
        <v>13</v>
      </c>
      <c r="P580">
        <v>191.81</v>
      </c>
      <c r="Q580">
        <v>815.04</v>
      </c>
      <c r="R580">
        <v>165.57</v>
      </c>
      <c r="S580">
        <v>146.87068493999999</v>
      </c>
      <c r="T580">
        <v>0</v>
      </c>
      <c r="U580">
        <v>0</v>
      </c>
      <c r="V580">
        <v>165.57</v>
      </c>
      <c r="W580" t="s">
        <v>1210</v>
      </c>
      <c r="X580" t="s">
        <v>271</v>
      </c>
      <c r="Y580" t="s">
        <v>4221</v>
      </c>
      <c r="AA580" t="s">
        <v>4222</v>
      </c>
      <c r="AB580" t="s">
        <v>181</v>
      </c>
    </row>
    <row r="581" spans="1:28" x14ac:dyDescent="0.25">
      <c r="A581" t="s">
        <v>3905</v>
      </c>
      <c r="B581" t="s">
        <v>3906</v>
      </c>
      <c r="C581" t="s">
        <v>646</v>
      </c>
      <c r="D581" t="s">
        <v>3779</v>
      </c>
      <c r="E581" t="s">
        <v>647</v>
      </c>
      <c r="F581" t="s">
        <v>3780</v>
      </c>
      <c r="G581" t="s">
        <v>769</v>
      </c>
      <c r="H581" t="s">
        <v>770</v>
      </c>
      <c r="I581" t="s">
        <v>3753</v>
      </c>
      <c r="J581" t="s">
        <v>489</v>
      </c>
      <c r="K581" t="s">
        <v>166</v>
      </c>
      <c r="L581" t="s">
        <v>0</v>
      </c>
      <c r="M581" t="s">
        <v>178</v>
      </c>
      <c r="N581">
        <v>4</v>
      </c>
      <c r="O581">
        <v>2</v>
      </c>
      <c r="P581">
        <v>18</v>
      </c>
      <c r="Q581">
        <v>98.06</v>
      </c>
      <c r="R581">
        <v>28.36</v>
      </c>
      <c r="S581">
        <v>10.12790832</v>
      </c>
      <c r="T581">
        <v>0</v>
      </c>
      <c r="U581">
        <v>0</v>
      </c>
      <c r="V581">
        <v>28.36</v>
      </c>
      <c r="W581" t="s">
        <v>488</v>
      </c>
      <c r="X581" t="s">
        <v>271</v>
      </c>
      <c r="Y581" t="s">
        <v>3907</v>
      </c>
      <c r="AA581" t="s">
        <v>3908</v>
      </c>
      <c r="AB581" t="s">
        <v>181</v>
      </c>
    </row>
    <row r="582" spans="1:28" x14ac:dyDescent="0.25">
      <c r="A582" t="s">
        <v>3870</v>
      </c>
      <c r="B582" t="s">
        <v>3871</v>
      </c>
      <c r="C582" t="s">
        <v>646</v>
      </c>
      <c r="D582" t="s">
        <v>3779</v>
      </c>
      <c r="E582" t="s">
        <v>647</v>
      </c>
      <c r="F582" t="s">
        <v>666</v>
      </c>
      <c r="G582" t="s">
        <v>666</v>
      </c>
      <c r="H582" t="s">
        <v>909</v>
      </c>
      <c r="I582" t="s">
        <v>3872</v>
      </c>
      <c r="J582" t="s">
        <v>355</v>
      </c>
      <c r="K582" t="s">
        <v>166</v>
      </c>
      <c r="L582" t="s">
        <v>0</v>
      </c>
      <c r="M582" t="s">
        <v>178</v>
      </c>
      <c r="N582">
        <v>3</v>
      </c>
      <c r="O582">
        <v>3</v>
      </c>
      <c r="P582">
        <v>19.14</v>
      </c>
      <c r="Q582">
        <v>90.46</v>
      </c>
      <c r="R582">
        <v>31.924378130000001</v>
      </c>
      <c r="S582">
        <v>31.332822740000001</v>
      </c>
      <c r="T582">
        <v>5.4378129999999997E-2</v>
      </c>
      <c r="U582">
        <v>0</v>
      </c>
      <c r="V582">
        <v>31.87</v>
      </c>
      <c r="W582" t="s">
        <v>0</v>
      </c>
      <c r="X582" t="s">
        <v>271</v>
      </c>
      <c r="Y582" t="s">
        <v>3873</v>
      </c>
      <c r="AA582" t="s">
        <v>3874</v>
      </c>
      <c r="AB582" t="s">
        <v>181</v>
      </c>
    </row>
    <row r="583" spans="1:28" x14ac:dyDescent="0.25">
      <c r="A583" t="s">
        <v>4211</v>
      </c>
      <c r="B583" t="s">
        <v>4212</v>
      </c>
      <c r="C583" t="s">
        <v>646</v>
      </c>
      <c r="D583" t="s">
        <v>3779</v>
      </c>
      <c r="E583" t="s">
        <v>647</v>
      </c>
      <c r="F583" t="s">
        <v>3780</v>
      </c>
      <c r="G583" t="s">
        <v>769</v>
      </c>
      <c r="H583" t="s">
        <v>683</v>
      </c>
      <c r="I583" t="s">
        <v>4213</v>
      </c>
      <c r="J583" t="s">
        <v>437</v>
      </c>
      <c r="K583" t="s">
        <v>166</v>
      </c>
      <c r="L583" t="s">
        <v>0</v>
      </c>
      <c r="M583" t="s">
        <v>178</v>
      </c>
      <c r="N583">
        <v>383.86110000000002</v>
      </c>
      <c r="O583">
        <v>226.25</v>
      </c>
      <c r="P583">
        <v>5182.2299999999996</v>
      </c>
      <c r="Q583">
        <v>15597.54</v>
      </c>
      <c r="R583">
        <v>2611.0229532799999</v>
      </c>
      <c r="S583">
        <v>2758.1202545800002</v>
      </c>
      <c r="T583">
        <v>5.2953279999999998E-2</v>
      </c>
      <c r="U583">
        <v>0</v>
      </c>
      <c r="V583">
        <v>2610.9699999999998</v>
      </c>
      <c r="W583" t="s">
        <v>510</v>
      </c>
      <c r="X583" t="s">
        <v>271</v>
      </c>
      <c r="Y583" t="s">
        <v>4214</v>
      </c>
      <c r="Z583" t="s">
        <v>4175</v>
      </c>
      <c r="AA583" t="s">
        <v>4215</v>
      </c>
      <c r="AB583" t="s">
        <v>181</v>
      </c>
    </row>
    <row r="584" spans="1:28" x14ac:dyDescent="0.25">
      <c r="A584" t="s">
        <v>4113</v>
      </c>
      <c r="B584" t="s">
        <v>4114</v>
      </c>
      <c r="C584" t="s">
        <v>646</v>
      </c>
      <c r="D584" t="s">
        <v>3779</v>
      </c>
      <c r="E584" t="s">
        <v>647</v>
      </c>
      <c r="F584" t="s">
        <v>3780</v>
      </c>
      <c r="G584" t="s">
        <v>769</v>
      </c>
      <c r="H584" t="s">
        <v>683</v>
      </c>
      <c r="I584" t="s">
        <v>1913</v>
      </c>
      <c r="J584" t="s">
        <v>1914</v>
      </c>
      <c r="K584" t="s">
        <v>166</v>
      </c>
      <c r="L584" t="s">
        <v>0</v>
      </c>
      <c r="M584" t="s">
        <v>178</v>
      </c>
      <c r="N584">
        <v>527.61109999999996</v>
      </c>
      <c r="O584">
        <v>444.16669999999999</v>
      </c>
      <c r="P584">
        <v>10977.9</v>
      </c>
      <c r="Q584">
        <v>20534.66</v>
      </c>
      <c r="R584">
        <v>5281.36</v>
      </c>
      <c r="S584">
        <v>4355.4913404600002</v>
      </c>
      <c r="T584">
        <v>0</v>
      </c>
      <c r="U584">
        <v>0</v>
      </c>
      <c r="V584">
        <v>5281.36</v>
      </c>
      <c r="W584" t="s">
        <v>1915</v>
      </c>
      <c r="X584" t="s">
        <v>269</v>
      </c>
      <c r="Y584" t="s">
        <v>4115</v>
      </c>
      <c r="AA584" t="s">
        <v>4116</v>
      </c>
      <c r="AB584" t="s">
        <v>181</v>
      </c>
    </row>
    <row r="585" spans="1:28" x14ac:dyDescent="0.25">
      <c r="A585" t="s">
        <v>3806</v>
      </c>
      <c r="B585" t="s">
        <v>3807</v>
      </c>
      <c r="C585" t="s">
        <v>646</v>
      </c>
      <c r="D585" t="s">
        <v>3779</v>
      </c>
      <c r="E585" t="s">
        <v>647</v>
      </c>
      <c r="F585" t="s">
        <v>3780</v>
      </c>
      <c r="G585" t="s">
        <v>769</v>
      </c>
      <c r="H585" t="s">
        <v>703</v>
      </c>
      <c r="I585" t="s">
        <v>2071</v>
      </c>
      <c r="J585" t="s">
        <v>1664</v>
      </c>
      <c r="K585" t="s">
        <v>166</v>
      </c>
      <c r="L585" t="s">
        <v>0</v>
      </c>
      <c r="M585" t="s">
        <v>178</v>
      </c>
      <c r="N585">
        <v>889.03340000000003</v>
      </c>
      <c r="O585">
        <v>423.16669999999999</v>
      </c>
      <c r="P585">
        <v>15029.47</v>
      </c>
      <c r="Q585">
        <v>34076.870000000003</v>
      </c>
      <c r="R585">
        <v>7037.7805730399996</v>
      </c>
      <c r="S585">
        <v>4983.1767160099998</v>
      </c>
      <c r="T585">
        <v>9.0605730399999995</v>
      </c>
      <c r="U585">
        <v>0</v>
      </c>
      <c r="V585">
        <v>7037.8</v>
      </c>
      <c r="W585" t="s">
        <v>1665</v>
      </c>
      <c r="X585" t="s">
        <v>271</v>
      </c>
      <c r="Y585" t="s">
        <v>3808</v>
      </c>
      <c r="AA585" t="s">
        <v>3809</v>
      </c>
      <c r="AB585" t="s">
        <v>181</v>
      </c>
    </row>
    <row r="586" spans="1:28" x14ac:dyDescent="0.25">
      <c r="A586" t="s">
        <v>4039</v>
      </c>
      <c r="B586" t="s">
        <v>4040</v>
      </c>
      <c r="C586" t="s">
        <v>646</v>
      </c>
      <c r="D586" t="s">
        <v>3779</v>
      </c>
      <c r="E586" t="s">
        <v>647</v>
      </c>
      <c r="F586" t="s">
        <v>3780</v>
      </c>
      <c r="G586" t="s">
        <v>769</v>
      </c>
      <c r="H586" t="s">
        <v>672</v>
      </c>
      <c r="I586" t="s">
        <v>1595</v>
      </c>
      <c r="J586" t="s">
        <v>544</v>
      </c>
      <c r="K586" t="s">
        <v>166</v>
      </c>
      <c r="L586" t="s">
        <v>0</v>
      </c>
      <c r="M586" t="s">
        <v>178</v>
      </c>
      <c r="N586">
        <v>159</v>
      </c>
      <c r="O586">
        <v>109</v>
      </c>
      <c r="P586">
        <v>2880.03</v>
      </c>
      <c r="Q586">
        <v>5795.46</v>
      </c>
      <c r="R586">
        <v>1393.90305592</v>
      </c>
      <c r="S586">
        <v>738.38688112</v>
      </c>
      <c r="T586">
        <v>2.3055920000000001E-2</v>
      </c>
      <c r="U586">
        <v>0</v>
      </c>
      <c r="V586">
        <v>1393.88</v>
      </c>
      <c r="W586" t="s">
        <v>239</v>
      </c>
      <c r="X586" t="s">
        <v>271</v>
      </c>
      <c r="Y586" t="s">
        <v>4041</v>
      </c>
      <c r="AA586" t="s">
        <v>4042</v>
      </c>
      <c r="AB586" t="s">
        <v>181</v>
      </c>
    </row>
    <row r="587" spans="1:28" x14ac:dyDescent="0.25">
      <c r="A587" t="s">
        <v>4109</v>
      </c>
      <c r="B587" t="s">
        <v>4110</v>
      </c>
      <c r="C587" t="s">
        <v>646</v>
      </c>
      <c r="D587" t="s">
        <v>3779</v>
      </c>
      <c r="E587" t="s">
        <v>647</v>
      </c>
      <c r="F587" t="s">
        <v>3780</v>
      </c>
      <c r="G587" t="s">
        <v>769</v>
      </c>
      <c r="H587" t="s">
        <v>703</v>
      </c>
      <c r="I587" t="s">
        <v>1046</v>
      </c>
      <c r="J587" t="s">
        <v>971</v>
      </c>
      <c r="K587" t="s">
        <v>166</v>
      </c>
      <c r="L587" t="s">
        <v>0</v>
      </c>
      <c r="M587" t="s">
        <v>178</v>
      </c>
      <c r="N587">
        <v>253.83340000000001</v>
      </c>
      <c r="O587">
        <v>118.8334</v>
      </c>
      <c r="P587">
        <v>4616.07</v>
      </c>
      <c r="Q587">
        <v>8479.25</v>
      </c>
      <c r="R587">
        <v>1559.5682064099999</v>
      </c>
      <c r="S587">
        <v>1434.25229653</v>
      </c>
      <c r="T587">
        <v>0.39820641000000001</v>
      </c>
      <c r="U587">
        <v>0</v>
      </c>
      <c r="V587">
        <v>1559.17</v>
      </c>
      <c r="W587" t="s">
        <v>972</v>
      </c>
      <c r="X587" t="s">
        <v>269</v>
      </c>
      <c r="Y587" t="s">
        <v>4111</v>
      </c>
      <c r="AA587" t="s">
        <v>4112</v>
      </c>
      <c r="AB587" t="s">
        <v>181</v>
      </c>
    </row>
    <row r="588" spans="1:28" x14ac:dyDescent="0.25">
      <c r="A588" t="s">
        <v>3965</v>
      </c>
      <c r="B588" t="s">
        <v>3966</v>
      </c>
      <c r="C588" t="s">
        <v>646</v>
      </c>
      <c r="D588" t="s">
        <v>3779</v>
      </c>
      <c r="E588" t="s">
        <v>647</v>
      </c>
      <c r="F588" t="s">
        <v>3780</v>
      </c>
      <c r="G588" t="s">
        <v>769</v>
      </c>
      <c r="H588" t="s">
        <v>770</v>
      </c>
      <c r="I588" t="s">
        <v>2339</v>
      </c>
      <c r="J588" t="s">
        <v>2165</v>
      </c>
      <c r="K588" t="s">
        <v>166</v>
      </c>
      <c r="L588" t="s">
        <v>0</v>
      </c>
      <c r="M588" t="s">
        <v>178</v>
      </c>
      <c r="N588">
        <v>507.45</v>
      </c>
      <c r="O588">
        <v>458.45</v>
      </c>
      <c r="P588">
        <v>7212.38</v>
      </c>
      <c r="Q588">
        <v>10016.83</v>
      </c>
      <c r="R588">
        <v>638.5</v>
      </c>
      <c r="S588">
        <v>1452.93578407</v>
      </c>
      <c r="T588">
        <v>0</v>
      </c>
      <c r="U588">
        <v>0</v>
      </c>
      <c r="V588">
        <v>638.5</v>
      </c>
      <c r="W588" t="s">
        <v>2166</v>
      </c>
      <c r="X588" t="s">
        <v>271</v>
      </c>
      <c r="Y588" t="s">
        <v>3967</v>
      </c>
      <c r="AA588" t="s">
        <v>3968</v>
      </c>
      <c r="AB588" t="s">
        <v>181</v>
      </c>
    </row>
    <row r="589" spans="1:28" x14ac:dyDescent="0.25">
      <c r="A589" t="s">
        <v>4357</v>
      </c>
      <c r="B589" t="s">
        <v>4358</v>
      </c>
      <c r="C589" t="s">
        <v>646</v>
      </c>
      <c r="D589" t="s">
        <v>3779</v>
      </c>
      <c r="E589" t="s">
        <v>647</v>
      </c>
      <c r="F589" t="s">
        <v>3780</v>
      </c>
      <c r="G589" t="s">
        <v>769</v>
      </c>
      <c r="H589" t="s">
        <v>717</v>
      </c>
      <c r="I589" t="s">
        <v>1599</v>
      </c>
      <c r="J589" t="s">
        <v>1600</v>
      </c>
      <c r="K589" t="s">
        <v>166</v>
      </c>
      <c r="L589" t="s">
        <v>0</v>
      </c>
      <c r="M589" t="s">
        <v>178</v>
      </c>
      <c r="N589">
        <v>138</v>
      </c>
      <c r="O589">
        <v>54</v>
      </c>
      <c r="P589">
        <v>1911.3</v>
      </c>
      <c r="Q589">
        <v>5590.78</v>
      </c>
      <c r="R589">
        <v>697.60622773</v>
      </c>
      <c r="S589">
        <v>82.833492590000006</v>
      </c>
      <c r="T589">
        <v>6.2277299999999999E-3</v>
      </c>
      <c r="U589">
        <v>0</v>
      </c>
      <c r="V589">
        <v>697.6</v>
      </c>
      <c r="W589" t="s">
        <v>1601</v>
      </c>
      <c r="X589" t="s">
        <v>269</v>
      </c>
      <c r="Y589" t="s">
        <v>4359</v>
      </c>
      <c r="AA589" t="s">
        <v>4360</v>
      </c>
      <c r="AB589" t="s">
        <v>181</v>
      </c>
    </row>
    <row r="590" spans="1:28" x14ac:dyDescent="0.25">
      <c r="A590" t="s">
        <v>3875</v>
      </c>
      <c r="B590" t="s">
        <v>3876</v>
      </c>
      <c r="C590" t="s">
        <v>646</v>
      </c>
      <c r="D590" t="s">
        <v>3779</v>
      </c>
      <c r="E590" t="s">
        <v>647</v>
      </c>
      <c r="F590" t="s">
        <v>3780</v>
      </c>
      <c r="G590" t="s">
        <v>769</v>
      </c>
      <c r="H590" t="s">
        <v>730</v>
      </c>
      <c r="I590" t="s">
        <v>1190</v>
      </c>
      <c r="J590" t="s">
        <v>1191</v>
      </c>
      <c r="K590" t="s">
        <v>166</v>
      </c>
      <c r="L590" t="s">
        <v>0</v>
      </c>
      <c r="M590" t="s">
        <v>178</v>
      </c>
      <c r="N590">
        <v>23</v>
      </c>
      <c r="O590">
        <v>15</v>
      </c>
      <c r="P590">
        <v>832.24</v>
      </c>
      <c r="Q590">
        <v>796.77</v>
      </c>
      <c r="R590">
        <v>57.89</v>
      </c>
      <c r="S590">
        <v>92.227693400000007</v>
      </c>
      <c r="T590">
        <v>0</v>
      </c>
      <c r="U590">
        <v>5.62</v>
      </c>
      <c r="V590">
        <v>63.51</v>
      </c>
      <c r="W590" t="s">
        <v>282</v>
      </c>
      <c r="X590" t="s">
        <v>271</v>
      </c>
      <c r="Y590" t="s">
        <v>2170</v>
      </c>
      <c r="AA590" t="s">
        <v>2171</v>
      </c>
      <c r="AB590" t="s">
        <v>181</v>
      </c>
    </row>
    <row r="591" spans="1:28" x14ac:dyDescent="0.25">
      <c r="A591" t="s">
        <v>4196</v>
      </c>
      <c r="B591" t="s">
        <v>4197</v>
      </c>
      <c r="C591" t="s">
        <v>646</v>
      </c>
      <c r="D591" t="s">
        <v>3779</v>
      </c>
      <c r="E591" t="s">
        <v>647</v>
      </c>
      <c r="F591" t="s">
        <v>3780</v>
      </c>
      <c r="G591" t="s">
        <v>769</v>
      </c>
      <c r="H591" t="s">
        <v>761</v>
      </c>
      <c r="I591" t="s">
        <v>4198</v>
      </c>
      <c r="J591" t="s">
        <v>870</v>
      </c>
      <c r="K591" t="s">
        <v>166</v>
      </c>
      <c r="L591" t="s">
        <v>0</v>
      </c>
      <c r="M591" t="s">
        <v>178</v>
      </c>
      <c r="N591">
        <v>8</v>
      </c>
      <c r="O591">
        <v>8</v>
      </c>
      <c r="P591">
        <v>240.5</v>
      </c>
      <c r="Q591">
        <v>516.77</v>
      </c>
      <c r="R591">
        <v>67.75</v>
      </c>
      <c r="S591">
        <v>162.59071907000001</v>
      </c>
      <c r="T591">
        <v>0</v>
      </c>
      <c r="U591">
        <v>0</v>
      </c>
      <c r="V591">
        <v>67.75</v>
      </c>
      <c r="W591" t="s">
        <v>871</v>
      </c>
      <c r="X591" t="s">
        <v>271</v>
      </c>
      <c r="Y591" t="s">
        <v>4199</v>
      </c>
      <c r="AA591" t="s">
        <v>4200</v>
      </c>
      <c r="AB591" t="s">
        <v>181</v>
      </c>
    </row>
    <row r="592" spans="1:28" x14ac:dyDescent="0.25">
      <c r="A592" t="s">
        <v>4113</v>
      </c>
      <c r="B592" t="s">
        <v>4114</v>
      </c>
      <c r="C592" t="s">
        <v>646</v>
      </c>
      <c r="D592" t="s">
        <v>3779</v>
      </c>
      <c r="E592" t="s">
        <v>647</v>
      </c>
      <c r="F592" t="s">
        <v>3780</v>
      </c>
      <c r="G592" t="s">
        <v>769</v>
      </c>
      <c r="H592" t="s">
        <v>713</v>
      </c>
      <c r="I592" t="s">
        <v>1913</v>
      </c>
      <c r="J592" t="s">
        <v>1914</v>
      </c>
      <c r="K592" t="s">
        <v>166</v>
      </c>
      <c r="L592" t="s">
        <v>0</v>
      </c>
      <c r="M592" t="s">
        <v>178</v>
      </c>
      <c r="N592">
        <v>314</v>
      </c>
      <c r="O592">
        <v>109</v>
      </c>
      <c r="P592">
        <v>9317.66</v>
      </c>
      <c r="Q592">
        <v>7064.64</v>
      </c>
      <c r="R592">
        <v>1513.5377955599999</v>
      </c>
      <c r="S592">
        <v>813.55531398999995</v>
      </c>
      <c r="T592">
        <v>7.79556E-3</v>
      </c>
      <c r="U592">
        <v>23.18</v>
      </c>
      <c r="V592">
        <v>1536.71</v>
      </c>
      <c r="W592" t="s">
        <v>1915</v>
      </c>
      <c r="X592" t="s">
        <v>269</v>
      </c>
      <c r="Y592" t="s">
        <v>4115</v>
      </c>
      <c r="AA592" t="s">
        <v>4116</v>
      </c>
      <c r="AB592" t="s">
        <v>181</v>
      </c>
    </row>
    <row r="593" spans="1:28" x14ac:dyDescent="0.25">
      <c r="A593" t="s">
        <v>4057</v>
      </c>
      <c r="B593" t="s">
        <v>4058</v>
      </c>
      <c r="C593" t="s">
        <v>646</v>
      </c>
      <c r="D593" t="s">
        <v>3779</v>
      </c>
      <c r="E593" t="s">
        <v>647</v>
      </c>
      <c r="F593" t="s">
        <v>3780</v>
      </c>
      <c r="G593" t="s">
        <v>769</v>
      </c>
      <c r="H593" t="s">
        <v>713</v>
      </c>
      <c r="I593" t="s">
        <v>1190</v>
      </c>
      <c r="J593" t="s">
        <v>1191</v>
      </c>
      <c r="K593" t="s">
        <v>166</v>
      </c>
      <c r="L593" t="s">
        <v>0</v>
      </c>
      <c r="M593" t="s">
        <v>178</v>
      </c>
      <c r="N593">
        <v>5609</v>
      </c>
      <c r="O593">
        <v>110</v>
      </c>
      <c r="P593">
        <v>131497.26999999999</v>
      </c>
      <c r="Q593">
        <v>64592.13</v>
      </c>
      <c r="R593">
        <v>5902.6914698600003</v>
      </c>
      <c r="S593">
        <v>7119.4440340900001</v>
      </c>
      <c r="T593">
        <v>33.811469860000003</v>
      </c>
      <c r="U593">
        <v>1128.1199999999999</v>
      </c>
      <c r="V593">
        <v>7030.13</v>
      </c>
      <c r="W593" t="s">
        <v>282</v>
      </c>
      <c r="X593" t="s">
        <v>271</v>
      </c>
      <c r="Y593" t="s">
        <v>4059</v>
      </c>
      <c r="AA593" t="s">
        <v>2171</v>
      </c>
      <c r="AB593" t="s">
        <v>181</v>
      </c>
    </row>
    <row r="594" spans="1:28" x14ac:dyDescent="0.25">
      <c r="A594" t="s">
        <v>3853</v>
      </c>
      <c r="B594" t="s">
        <v>3854</v>
      </c>
      <c r="C594" t="s">
        <v>646</v>
      </c>
      <c r="D594" t="s">
        <v>3779</v>
      </c>
      <c r="E594" t="s">
        <v>647</v>
      </c>
      <c r="F594" t="s">
        <v>3780</v>
      </c>
      <c r="G594" t="s">
        <v>769</v>
      </c>
      <c r="H594" t="s">
        <v>683</v>
      </c>
      <c r="I594" t="s">
        <v>746</v>
      </c>
      <c r="J594" t="s">
        <v>504</v>
      </c>
      <c r="K594" t="s">
        <v>166</v>
      </c>
      <c r="L594" t="s">
        <v>0</v>
      </c>
      <c r="M594" t="s">
        <v>178</v>
      </c>
      <c r="N594">
        <v>47</v>
      </c>
      <c r="O594">
        <v>41</v>
      </c>
      <c r="P594">
        <v>621.22</v>
      </c>
      <c r="Q594">
        <v>1823.06</v>
      </c>
      <c r="R594">
        <v>311.05</v>
      </c>
      <c r="S594">
        <v>552.61663180000005</v>
      </c>
      <c r="T594">
        <v>0</v>
      </c>
      <c r="U594">
        <v>0</v>
      </c>
      <c r="V594">
        <v>311.05</v>
      </c>
      <c r="W594" t="s">
        <v>503</v>
      </c>
      <c r="X594" t="s">
        <v>271</v>
      </c>
      <c r="Y594" t="s">
        <v>3855</v>
      </c>
      <c r="AA594" t="s">
        <v>3856</v>
      </c>
      <c r="AB594" t="s">
        <v>181</v>
      </c>
    </row>
    <row r="595" spans="1:28" x14ac:dyDescent="0.25">
      <c r="A595" t="s">
        <v>4219</v>
      </c>
      <c r="B595" t="s">
        <v>4220</v>
      </c>
      <c r="C595" t="s">
        <v>646</v>
      </c>
      <c r="D595" t="s">
        <v>3779</v>
      </c>
      <c r="E595" t="s">
        <v>647</v>
      </c>
      <c r="F595" t="s">
        <v>3780</v>
      </c>
      <c r="G595" t="s">
        <v>769</v>
      </c>
      <c r="H595" t="s">
        <v>1045</v>
      </c>
      <c r="I595" t="s">
        <v>1208</v>
      </c>
      <c r="J595" t="s">
        <v>1209</v>
      </c>
      <c r="K595" t="s">
        <v>166</v>
      </c>
      <c r="L595" t="s">
        <v>0</v>
      </c>
      <c r="M595" t="s">
        <v>178</v>
      </c>
      <c r="N595">
        <v>46</v>
      </c>
      <c r="O595">
        <v>14</v>
      </c>
      <c r="P595">
        <v>822.5</v>
      </c>
      <c r="Q595">
        <v>4286.67</v>
      </c>
      <c r="R595">
        <v>765.84</v>
      </c>
      <c r="S595">
        <v>171.65555832000001</v>
      </c>
      <c r="T595">
        <v>0</v>
      </c>
      <c r="U595">
        <v>0</v>
      </c>
      <c r="V595">
        <v>765.84</v>
      </c>
      <c r="W595" t="s">
        <v>1210</v>
      </c>
      <c r="X595" t="s">
        <v>271</v>
      </c>
      <c r="Y595" t="s">
        <v>4221</v>
      </c>
      <c r="AA595" t="s">
        <v>4222</v>
      </c>
      <c r="AB595" t="s">
        <v>181</v>
      </c>
    </row>
    <row r="596" spans="1:28" x14ac:dyDescent="0.25">
      <c r="A596" t="s">
        <v>4275</v>
      </c>
      <c r="B596" t="s">
        <v>4276</v>
      </c>
      <c r="C596" t="s">
        <v>646</v>
      </c>
      <c r="D596" t="s">
        <v>3779</v>
      </c>
      <c r="E596" t="s">
        <v>647</v>
      </c>
      <c r="F596" t="s">
        <v>3780</v>
      </c>
      <c r="G596" t="s">
        <v>769</v>
      </c>
      <c r="H596" t="s">
        <v>802</v>
      </c>
      <c r="I596" t="s">
        <v>4277</v>
      </c>
      <c r="J596" t="s">
        <v>562</v>
      </c>
      <c r="K596" t="s">
        <v>166</v>
      </c>
      <c r="L596" t="s">
        <v>0</v>
      </c>
      <c r="M596" t="s">
        <v>178</v>
      </c>
      <c r="N596">
        <v>48.75</v>
      </c>
      <c r="O596">
        <v>15.75</v>
      </c>
      <c r="P596">
        <v>672.63</v>
      </c>
      <c r="Q596">
        <v>4071.49</v>
      </c>
      <c r="R596">
        <v>668.64</v>
      </c>
      <c r="S596">
        <v>247.35675179</v>
      </c>
      <c r="T596">
        <v>0</v>
      </c>
      <c r="U596">
        <v>0</v>
      </c>
      <c r="V596">
        <v>668.64</v>
      </c>
      <c r="W596" t="s">
        <v>0</v>
      </c>
      <c r="X596" t="s">
        <v>271</v>
      </c>
      <c r="Y596" t="s">
        <v>4278</v>
      </c>
      <c r="AA596" t="s">
        <v>4279</v>
      </c>
      <c r="AB596" t="s">
        <v>181</v>
      </c>
    </row>
    <row r="597" spans="1:28" x14ac:dyDescent="0.25">
      <c r="A597" t="s">
        <v>4064</v>
      </c>
      <c r="B597" t="s">
        <v>4065</v>
      </c>
      <c r="C597" t="s">
        <v>646</v>
      </c>
      <c r="D597" t="s">
        <v>3779</v>
      </c>
      <c r="E597" t="s">
        <v>647</v>
      </c>
      <c r="F597" t="s">
        <v>3780</v>
      </c>
      <c r="G597" t="s">
        <v>769</v>
      </c>
      <c r="H597" t="s">
        <v>770</v>
      </c>
      <c r="I597" t="s">
        <v>2469</v>
      </c>
      <c r="J597" t="s">
        <v>2470</v>
      </c>
      <c r="K597" t="s">
        <v>166</v>
      </c>
      <c r="L597" t="s">
        <v>0</v>
      </c>
      <c r="M597" t="s">
        <v>178</v>
      </c>
      <c r="N597">
        <v>250</v>
      </c>
      <c r="O597">
        <v>249</v>
      </c>
      <c r="P597">
        <v>11179</v>
      </c>
      <c r="Q597">
        <v>5398.19</v>
      </c>
      <c r="R597">
        <v>192.22</v>
      </c>
      <c r="S597">
        <v>789.54213024000001</v>
      </c>
      <c r="T597">
        <v>0</v>
      </c>
      <c r="U597">
        <v>0</v>
      </c>
      <c r="V597">
        <v>192.22</v>
      </c>
      <c r="W597" t="s">
        <v>4066</v>
      </c>
      <c r="X597" t="s">
        <v>271</v>
      </c>
      <c r="Y597" t="s">
        <v>4067</v>
      </c>
      <c r="AA597" t="s">
        <v>4068</v>
      </c>
      <c r="AB597" t="s">
        <v>181</v>
      </c>
    </row>
    <row r="598" spans="1:28" x14ac:dyDescent="0.25">
      <c r="A598" t="s">
        <v>4260</v>
      </c>
      <c r="B598" t="s">
        <v>4261</v>
      </c>
      <c r="C598" t="s">
        <v>646</v>
      </c>
      <c r="D598" t="s">
        <v>3779</v>
      </c>
      <c r="E598" t="s">
        <v>647</v>
      </c>
      <c r="F598" t="s">
        <v>666</v>
      </c>
      <c r="G598" t="s">
        <v>666</v>
      </c>
      <c r="H598" t="s">
        <v>708</v>
      </c>
      <c r="I598" t="s">
        <v>4262</v>
      </c>
      <c r="J598" t="s">
        <v>1180</v>
      </c>
      <c r="K598" t="s">
        <v>166</v>
      </c>
      <c r="L598" t="s">
        <v>0</v>
      </c>
      <c r="M598" t="s">
        <v>178</v>
      </c>
      <c r="N598">
        <v>297.25020000000001</v>
      </c>
      <c r="O598">
        <v>220.25020000000001</v>
      </c>
      <c r="P598">
        <v>2759.55</v>
      </c>
      <c r="Q598">
        <v>8104.23</v>
      </c>
      <c r="R598">
        <v>1223.2361931999999</v>
      </c>
      <c r="S598">
        <v>1729.5978321699999</v>
      </c>
      <c r="T598">
        <v>6.1932000000000003E-3</v>
      </c>
      <c r="U598">
        <v>0</v>
      </c>
      <c r="V598">
        <v>1223.23</v>
      </c>
      <c r="W598" t="s">
        <v>0</v>
      </c>
      <c r="X598" t="s">
        <v>271</v>
      </c>
      <c r="Y598" t="s">
        <v>4263</v>
      </c>
      <c r="AA598" t="s">
        <v>4264</v>
      </c>
      <c r="AB598" t="s">
        <v>181</v>
      </c>
    </row>
    <row r="599" spans="1:28" x14ac:dyDescent="0.25">
      <c r="A599" t="s">
        <v>4011</v>
      </c>
      <c r="B599" t="s">
        <v>4012</v>
      </c>
      <c r="C599" t="s">
        <v>646</v>
      </c>
      <c r="D599" t="s">
        <v>3779</v>
      </c>
      <c r="E599" t="s">
        <v>647</v>
      </c>
      <c r="F599" t="s">
        <v>3780</v>
      </c>
      <c r="G599" t="s">
        <v>769</v>
      </c>
      <c r="H599" t="s">
        <v>962</v>
      </c>
      <c r="I599" t="s">
        <v>2142</v>
      </c>
      <c r="J599" t="s">
        <v>1924</v>
      </c>
      <c r="K599" t="s">
        <v>166</v>
      </c>
      <c r="L599" t="s">
        <v>0</v>
      </c>
      <c r="M599" t="s">
        <v>178</v>
      </c>
      <c r="N599">
        <v>16</v>
      </c>
      <c r="O599">
        <v>16</v>
      </c>
      <c r="P599">
        <v>180</v>
      </c>
      <c r="Q599">
        <v>1009.3</v>
      </c>
      <c r="R599">
        <v>180.38</v>
      </c>
      <c r="S599">
        <v>137.21101447000001</v>
      </c>
      <c r="T599">
        <v>0</v>
      </c>
      <c r="U599">
        <v>0</v>
      </c>
      <c r="V599">
        <v>180.38</v>
      </c>
      <c r="W599" t="s">
        <v>1925</v>
      </c>
      <c r="X599" t="s">
        <v>271</v>
      </c>
      <c r="Y599" t="s">
        <v>4013</v>
      </c>
      <c r="AA599" t="s">
        <v>4014</v>
      </c>
      <c r="AB599" t="s">
        <v>181</v>
      </c>
    </row>
    <row r="600" spans="1:28" x14ac:dyDescent="0.25">
      <c r="A600" t="s">
        <v>3838</v>
      </c>
      <c r="B600" t="s">
        <v>3839</v>
      </c>
      <c r="C600" t="s">
        <v>646</v>
      </c>
      <c r="D600" t="s">
        <v>3779</v>
      </c>
      <c r="E600" t="s">
        <v>647</v>
      </c>
      <c r="F600" t="s">
        <v>3780</v>
      </c>
      <c r="G600" t="s">
        <v>769</v>
      </c>
      <c r="H600" t="s">
        <v>703</v>
      </c>
      <c r="I600" t="s">
        <v>906</v>
      </c>
      <c r="J600" t="s">
        <v>907</v>
      </c>
      <c r="K600" t="s">
        <v>166</v>
      </c>
      <c r="L600" t="s">
        <v>0</v>
      </c>
      <c r="M600" t="s">
        <v>178</v>
      </c>
      <c r="N600">
        <v>207.58340000000001</v>
      </c>
      <c r="O600">
        <v>144.33340000000001</v>
      </c>
      <c r="P600">
        <v>4584.21</v>
      </c>
      <c r="Q600">
        <v>7374.23</v>
      </c>
      <c r="R600">
        <v>1746.3874213399999</v>
      </c>
      <c r="S600">
        <v>1474.50661302</v>
      </c>
      <c r="T600">
        <v>1.0574213400000001</v>
      </c>
      <c r="U600">
        <v>0</v>
      </c>
      <c r="V600">
        <v>1745.33</v>
      </c>
      <c r="W600" t="s">
        <v>272</v>
      </c>
      <c r="X600" t="s">
        <v>269</v>
      </c>
      <c r="Y600" t="s">
        <v>3840</v>
      </c>
      <c r="AA600" t="s">
        <v>3841</v>
      </c>
      <c r="AB600" t="s">
        <v>181</v>
      </c>
    </row>
    <row r="601" spans="1:28" x14ac:dyDescent="0.25">
      <c r="A601" t="s">
        <v>4031</v>
      </c>
      <c r="B601" t="s">
        <v>4032</v>
      </c>
      <c r="C601" t="s">
        <v>646</v>
      </c>
      <c r="D601" t="s">
        <v>3779</v>
      </c>
      <c r="E601" t="s">
        <v>647</v>
      </c>
      <c r="F601" t="s">
        <v>3780</v>
      </c>
      <c r="G601" t="s">
        <v>769</v>
      </c>
      <c r="H601" t="s">
        <v>672</v>
      </c>
      <c r="I601" t="s">
        <v>1513</v>
      </c>
      <c r="J601" t="s">
        <v>333</v>
      </c>
      <c r="K601" t="s">
        <v>166</v>
      </c>
      <c r="L601" t="s">
        <v>0</v>
      </c>
      <c r="M601" t="s">
        <v>178</v>
      </c>
      <c r="N601">
        <v>1985</v>
      </c>
      <c r="O601">
        <v>1849</v>
      </c>
      <c r="P601">
        <v>41078</v>
      </c>
      <c r="Q601">
        <v>58642.63</v>
      </c>
      <c r="R601">
        <v>3798.8486491799999</v>
      </c>
      <c r="S601">
        <v>9953.8128681899998</v>
      </c>
      <c r="T601">
        <v>628.30864917999997</v>
      </c>
      <c r="U601">
        <v>682.98</v>
      </c>
      <c r="V601">
        <v>4475.8500000000004</v>
      </c>
      <c r="W601" t="s">
        <v>718</v>
      </c>
      <c r="X601" t="s">
        <v>271</v>
      </c>
      <c r="Y601" t="s">
        <v>4033</v>
      </c>
      <c r="AA601" t="s">
        <v>4034</v>
      </c>
      <c r="AB601" t="s">
        <v>181</v>
      </c>
    </row>
    <row r="602" spans="1:28" x14ac:dyDescent="0.25">
      <c r="A602" t="s">
        <v>3875</v>
      </c>
      <c r="B602" t="s">
        <v>3876</v>
      </c>
      <c r="C602" t="s">
        <v>646</v>
      </c>
      <c r="D602" t="s">
        <v>3779</v>
      </c>
      <c r="E602" t="s">
        <v>647</v>
      </c>
      <c r="F602" t="s">
        <v>3780</v>
      </c>
      <c r="G602" t="s">
        <v>769</v>
      </c>
      <c r="H602" t="s">
        <v>757</v>
      </c>
      <c r="I602" t="s">
        <v>1190</v>
      </c>
      <c r="J602" t="s">
        <v>1191</v>
      </c>
      <c r="K602" t="s">
        <v>166</v>
      </c>
      <c r="L602" t="s">
        <v>0</v>
      </c>
      <c r="M602" t="s">
        <v>178</v>
      </c>
      <c r="N602">
        <v>131</v>
      </c>
      <c r="O602">
        <v>131</v>
      </c>
      <c r="P602">
        <v>2861.43</v>
      </c>
      <c r="Q602">
        <v>1767.14</v>
      </c>
      <c r="R602">
        <v>-503.16976498999998</v>
      </c>
      <c r="S602">
        <v>981.69082928</v>
      </c>
      <c r="T602">
        <v>6.0235009999999999E-2</v>
      </c>
      <c r="U602">
        <v>697.52</v>
      </c>
      <c r="V602">
        <v>200.74</v>
      </c>
      <c r="W602" t="s">
        <v>282</v>
      </c>
      <c r="X602" t="s">
        <v>271</v>
      </c>
      <c r="Y602" t="s">
        <v>2170</v>
      </c>
      <c r="AA602" t="s">
        <v>2171</v>
      </c>
      <c r="AB602" t="s">
        <v>181</v>
      </c>
    </row>
    <row r="603" spans="1:28" x14ac:dyDescent="0.25">
      <c r="A603" t="s">
        <v>4342</v>
      </c>
      <c r="B603" t="s">
        <v>4343</v>
      </c>
      <c r="C603" t="s">
        <v>646</v>
      </c>
      <c r="D603" t="s">
        <v>3779</v>
      </c>
      <c r="E603" t="s">
        <v>647</v>
      </c>
      <c r="F603" t="s">
        <v>666</v>
      </c>
      <c r="G603" t="s">
        <v>666</v>
      </c>
      <c r="H603" t="s">
        <v>757</v>
      </c>
      <c r="I603" t="s">
        <v>4344</v>
      </c>
      <c r="J603" t="s">
        <v>355</v>
      </c>
      <c r="K603" t="s">
        <v>166</v>
      </c>
      <c r="L603" t="s">
        <v>0</v>
      </c>
      <c r="M603" t="s">
        <v>178</v>
      </c>
      <c r="N603">
        <v>454</v>
      </c>
      <c r="O603">
        <v>72</v>
      </c>
      <c r="P603">
        <v>2603.67</v>
      </c>
      <c r="Q603">
        <v>10911.79</v>
      </c>
      <c r="R603">
        <v>2784.92</v>
      </c>
      <c r="S603">
        <v>2152.3106288600002</v>
      </c>
      <c r="T603">
        <v>0</v>
      </c>
      <c r="U603">
        <v>0</v>
      </c>
      <c r="V603">
        <v>2784.92</v>
      </c>
      <c r="W603" t="s">
        <v>0</v>
      </c>
      <c r="X603" t="s">
        <v>271</v>
      </c>
      <c r="Y603" t="s">
        <v>4345</v>
      </c>
      <c r="AA603" t="s">
        <v>3894</v>
      </c>
      <c r="AB603" t="s">
        <v>181</v>
      </c>
    </row>
    <row r="604" spans="1:28" x14ac:dyDescent="0.25">
      <c r="A604" t="s">
        <v>4155</v>
      </c>
      <c r="B604" t="s">
        <v>4156</v>
      </c>
      <c r="C604" t="s">
        <v>646</v>
      </c>
      <c r="D604" t="s">
        <v>3779</v>
      </c>
      <c r="E604" t="s">
        <v>647</v>
      </c>
      <c r="F604" t="s">
        <v>3780</v>
      </c>
      <c r="G604" t="s">
        <v>769</v>
      </c>
      <c r="H604" t="s">
        <v>672</v>
      </c>
      <c r="I604" t="s">
        <v>885</v>
      </c>
      <c r="J604" t="s">
        <v>324</v>
      </c>
      <c r="K604" t="s">
        <v>166</v>
      </c>
      <c r="L604" t="s">
        <v>0</v>
      </c>
      <c r="M604" t="s">
        <v>178</v>
      </c>
      <c r="N604">
        <v>53</v>
      </c>
      <c r="O604">
        <v>31</v>
      </c>
      <c r="P604">
        <v>1080</v>
      </c>
      <c r="Q604">
        <v>1349.21</v>
      </c>
      <c r="R604">
        <v>32.328335529999997</v>
      </c>
      <c r="S604">
        <v>253.98348386999999</v>
      </c>
      <c r="T604">
        <v>0.13833553000000001</v>
      </c>
      <c r="U604">
        <v>0</v>
      </c>
      <c r="V604">
        <v>32.19</v>
      </c>
      <c r="W604" t="s">
        <v>519</v>
      </c>
      <c r="X604" t="s">
        <v>271</v>
      </c>
      <c r="Y604" t="s">
        <v>4157</v>
      </c>
      <c r="AA604" t="s">
        <v>4158</v>
      </c>
      <c r="AB604" t="s">
        <v>181</v>
      </c>
    </row>
    <row r="605" spans="1:28" x14ac:dyDescent="0.25">
      <c r="A605" t="s">
        <v>3956</v>
      </c>
      <c r="B605" t="s">
        <v>3957</v>
      </c>
      <c r="C605" t="s">
        <v>646</v>
      </c>
      <c r="D605" t="s">
        <v>3779</v>
      </c>
      <c r="E605" t="s">
        <v>647</v>
      </c>
      <c r="F605" t="s">
        <v>666</v>
      </c>
      <c r="G605" t="s">
        <v>666</v>
      </c>
      <c r="H605" t="s">
        <v>802</v>
      </c>
      <c r="I605" t="s">
        <v>1068</v>
      </c>
      <c r="J605" t="s">
        <v>501</v>
      </c>
      <c r="K605" t="s">
        <v>166</v>
      </c>
      <c r="L605" t="s">
        <v>0</v>
      </c>
      <c r="M605" t="s">
        <v>178</v>
      </c>
      <c r="N605">
        <v>14.75</v>
      </c>
      <c r="O605">
        <v>14.75</v>
      </c>
      <c r="P605">
        <v>267</v>
      </c>
      <c r="Q605">
        <v>661.28</v>
      </c>
      <c r="R605">
        <v>123.44</v>
      </c>
      <c r="S605">
        <v>81.164487339999994</v>
      </c>
      <c r="T605">
        <v>0</v>
      </c>
      <c r="U605">
        <v>0</v>
      </c>
      <c r="V605">
        <v>123.44</v>
      </c>
      <c r="W605" t="s">
        <v>500</v>
      </c>
      <c r="X605" t="s">
        <v>271</v>
      </c>
      <c r="Y605" t="s">
        <v>3958</v>
      </c>
      <c r="AA605" t="s">
        <v>3959</v>
      </c>
      <c r="AB605" t="s">
        <v>181</v>
      </c>
    </row>
    <row r="606" spans="1:28" x14ac:dyDescent="0.25">
      <c r="A606" t="s">
        <v>3870</v>
      </c>
      <c r="B606" t="s">
        <v>3871</v>
      </c>
      <c r="C606" t="s">
        <v>646</v>
      </c>
      <c r="D606" t="s">
        <v>3779</v>
      </c>
      <c r="E606" t="s">
        <v>647</v>
      </c>
      <c r="F606" t="s">
        <v>666</v>
      </c>
      <c r="G606" t="s">
        <v>666</v>
      </c>
      <c r="H606" t="s">
        <v>797</v>
      </c>
      <c r="I606" t="s">
        <v>3872</v>
      </c>
      <c r="J606" t="s">
        <v>355</v>
      </c>
      <c r="K606" t="s">
        <v>166</v>
      </c>
      <c r="L606" t="s">
        <v>0</v>
      </c>
      <c r="M606" t="s">
        <v>178</v>
      </c>
      <c r="N606">
        <v>236</v>
      </c>
      <c r="O606">
        <v>4</v>
      </c>
      <c r="P606">
        <v>2380</v>
      </c>
      <c r="Q606">
        <v>9901.3700000000008</v>
      </c>
      <c r="R606">
        <v>1982.4968320400001</v>
      </c>
      <c r="S606">
        <v>199.58250319999999</v>
      </c>
      <c r="T606">
        <v>0.18683204</v>
      </c>
      <c r="U606">
        <v>0</v>
      </c>
      <c r="V606">
        <v>1982.31</v>
      </c>
      <c r="W606" t="s">
        <v>0</v>
      </c>
      <c r="X606" t="s">
        <v>271</v>
      </c>
      <c r="Y606" t="s">
        <v>3873</v>
      </c>
      <c r="AA606" t="s">
        <v>3874</v>
      </c>
      <c r="AB606" t="s">
        <v>181</v>
      </c>
    </row>
    <row r="607" spans="1:28" x14ac:dyDescent="0.25">
      <c r="A607" t="s">
        <v>4123</v>
      </c>
      <c r="B607" t="s">
        <v>4124</v>
      </c>
      <c r="C607" t="s">
        <v>646</v>
      </c>
      <c r="D607" t="s">
        <v>3779</v>
      </c>
      <c r="E607" t="s">
        <v>647</v>
      </c>
      <c r="F607" t="s">
        <v>3780</v>
      </c>
      <c r="G607" t="s">
        <v>769</v>
      </c>
      <c r="H607" t="s">
        <v>761</v>
      </c>
      <c r="I607" t="s">
        <v>746</v>
      </c>
      <c r="J607" t="s">
        <v>504</v>
      </c>
      <c r="K607" t="s">
        <v>166</v>
      </c>
      <c r="L607" t="s">
        <v>0</v>
      </c>
      <c r="M607" t="s">
        <v>178</v>
      </c>
      <c r="N607">
        <v>27.166699999999999</v>
      </c>
      <c r="O607">
        <v>13.166700000000001</v>
      </c>
      <c r="P607">
        <v>684.16</v>
      </c>
      <c r="Q607">
        <v>911.72</v>
      </c>
      <c r="R607">
        <v>59.33</v>
      </c>
      <c r="S607">
        <v>166.96639569999999</v>
      </c>
      <c r="T607">
        <v>0</v>
      </c>
      <c r="U607">
        <v>0</v>
      </c>
      <c r="V607">
        <v>59.33</v>
      </c>
      <c r="W607" t="s">
        <v>503</v>
      </c>
      <c r="X607" t="s">
        <v>271</v>
      </c>
      <c r="Y607" t="s">
        <v>4125</v>
      </c>
      <c r="AA607" t="s">
        <v>4126</v>
      </c>
      <c r="AB607" t="s">
        <v>181</v>
      </c>
    </row>
    <row r="608" spans="1:28" x14ac:dyDescent="0.25">
      <c r="A608" t="s">
        <v>4312</v>
      </c>
      <c r="B608" t="s">
        <v>4313</v>
      </c>
      <c r="C608" t="s">
        <v>646</v>
      </c>
      <c r="D608" t="s">
        <v>3779</v>
      </c>
      <c r="E608" t="s">
        <v>647</v>
      </c>
      <c r="F608" t="s">
        <v>3780</v>
      </c>
      <c r="G608" t="s">
        <v>769</v>
      </c>
      <c r="H608" t="s">
        <v>757</v>
      </c>
      <c r="I608" t="s">
        <v>4314</v>
      </c>
      <c r="J608" t="s">
        <v>319</v>
      </c>
      <c r="K608" t="s">
        <v>166</v>
      </c>
      <c r="L608" t="s">
        <v>0</v>
      </c>
      <c r="M608" t="s">
        <v>178</v>
      </c>
      <c r="N608">
        <v>27</v>
      </c>
      <c r="O608">
        <v>23</v>
      </c>
      <c r="P608">
        <v>332.37</v>
      </c>
      <c r="Q608">
        <v>590.45000000000005</v>
      </c>
      <c r="R608">
        <v>130.34</v>
      </c>
      <c r="S608">
        <v>116.86218312</v>
      </c>
      <c r="T608">
        <v>0</v>
      </c>
      <c r="U608">
        <v>0</v>
      </c>
      <c r="V608">
        <v>130.34</v>
      </c>
      <c r="W608" t="s">
        <v>0</v>
      </c>
      <c r="X608" t="s">
        <v>271</v>
      </c>
      <c r="Y608" t="s">
        <v>4315</v>
      </c>
      <c r="AA608" t="s">
        <v>3466</v>
      </c>
      <c r="AB608" t="s">
        <v>181</v>
      </c>
    </row>
    <row r="609" spans="1:28" x14ac:dyDescent="0.25">
      <c r="A609" t="s">
        <v>4206</v>
      </c>
      <c r="B609" t="s">
        <v>4207</v>
      </c>
      <c r="C609" t="s">
        <v>646</v>
      </c>
      <c r="D609" t="s">
        <v>3779</v>
      </c>
      <c r="E609" t="s">
        <v>647</v>
      </c>
      <c r="F609" t="s">
        <v>3780</v>
      </c>
      <c r="G609" t="s">
        <v>769</v>
      </c>
      <c r="H609" t="s">
        <v>708</v>
      </c>
      <c r="I609" t="s">
        <v>4208</v>
      </c>
      <c r="J609" t="s">
        <v>317</v>
      </c>
      <c r="K609" t="s">
        <v>166</v>
      </c>
      <c r="L609" t="s">
        <v>0</v>
      </c>
      <c r="M609" t="s">
        <v>178</v>
      </c>
      <c r="N609">
        <v>112</v>
      </c>
      <c r="O609">
        <v>42</v>
      </c>
      <c r="P609">
        <v>871.05</v>
      </c>
      <c r="Q609">
        <v>3582.88</v>
      </c>
      <c r="R609">
        <v>253.74</v>
      </c>
      <c r="S609">
        <v>357.23175031</v>
      </c>
      <c r="T609">
        <v>0</v>
      </c>
      <c r="U609">
        <v>0</v>
      </c>
      <c r="V609">
        <v>253.74</v>
      </c>
      <c r="W609" t="s">
        <v>340</v>
      </c>
      <c r="X609" t="s">
        <v>271</v>
      </c>
      <c r="Y609" t="s">
        <v>4209</v>
      </c>
      <c r="AA609" t="s">
        <v>4210</v>
      </c>
      <c r="AB609" t="s">
        <v>181</v>
      </c>
    </row>
    <row r="610" spans="1:28" x14ac:dyDescent="0.25">
      <c r="A610" t="s">
        <v>4275</v>
      </c>
      <c r="B610" t="s">
        <v>4276</v>
      </c>
      <c r="C610" t="s">
        <v>646</v>
      </c>
      <c r="D610" t="s">
        <v>3779</v>
      </c>
      <c r="E610" t="s">
        <v>647</v>
      </c>
      <c r="F610" t="s">
        <v>3780</v>
      </c>
      <c r="G610" t="s">
        <v>769</v>
      </c>
      <c r="H610" t="s">
        <v>683</v>
      </c>
      <c r="I610" t="s">
        <v>4277</v>
      </c>
      <c r="J610" t="s">
        <v>562</v>
      </c>
      <c r="K610" t="s">
        <v>166</v>
      </c>
      <c r="L610" t="s">
        <v>0</v>
      </c>
      <c r="M610" t="s">
        <v>178</v>
      </c>
      <c r="N610">
        <v>97</v>
      </c>
      <c r="O610">
        <v>90</v>
      </c>
      <c r="P610">
        <v>1421.05</v>
      </c>
      <c r="Q610">
        <v>3832.35</v>
      </c>
      <c r="R610">
        <v>436.57</v>
      </c>
      <c r="S610">
        <v>1102.46654276</v>
      </c>
      <c r="T610">
        <v>0</v>
      </c>
      <c r="U610">
        <v>0</v>
      </c>
      <c r="V610">
        <v>436.57</v>
      </c>
      <c r="W610" t="s">
        <v>0</v>
      </c>
      <c r="X610" t="s">
        <v>271</v>
      </c>
      <c r="Y610" t="s">
        <v>4278</v>
      </c>
      <c r="AA610" t="s">
        <v>4279</v>
      </c>
      <c r="AB610" t="s">
        <v>181</v>
      </c>
    </row>
    <row r="611" spans="1:28" x14ac:dyDescent="0.25">
      <c r="A611" t="s">
        <v>4074</v>
      </c>
      <c r="B611" t="s">
        <v>4075</v>
      </c>
      <c r="C611" t="s">
        <v>646</v>
      </c>
      <c r="D611" t="s">
        <v>3779</v>
      </c>
      <c r="E611" t="s">
        <v>647</v>
      </c>
      <c r="F611" t="s">
        <v>3780</v>
      </c>
      <c r="G611" t="s">
        <v>769</v>
      </c>
      <c r="H611" t="s">
        <v>683</v>
      </c>
      <c r="I611" t="s">
        <v>1284</v>
      </c>
      <c r="J611" t="s">
        <v>1285</v>
      </c>
      <c r="K611" t="s">
        <v>166</v>
      </c>
      <c r="L611" t="s">
        <v>0</v>
      </c>
      <c r="M611" t="s">
        <v>178</v>
      </c>
      <c r="N611">
        <v>90</v>
      </c>
      <c r="O611">
        <v>44</v>
      </c>
      <c r="P611">
        <v>1405.76</v>
      </c>
      <c r="Q611">
        <v>3658.22</v>
      </c>
      <c r="R611">
        <v>990.23047001999998</v>
      </c>
      <c r="S611">
        <v>364.81976673000003</v>
      </c>
      <c r="T611">
        <v>0.12047002</v>
      </c>
      <c r="U611">
        <v>0</v>
      </c>
      <c r="V611">
        <v>990.11</v>
      </c>
      <c r="W611" t="s">
        <v>1286</v>
      </c>
      <c r="X611" t="s">
        <v>269</v>
      </c>
      <c r="Y611" t="s">
        <v>4076</v>
      </c>
      <c r="AA611" t="s">
        <v>4077</v>
      </c>
      <c r="AB611" t="s">
        <v>181</v>
      </c>
    </row>
    <row r="612" spans="1:28" x14ac:dyDescent="0.25">
      <c r="A612" t="s">
        <v>4316</v>
      </c>
      <c r="B612" t="s">
        <v>4317</v>
      </c>
      <c r="C612" t="s">
        <v>646</v>
      </c>
      <c r="D612" t="s">
        <v>3779</v>
      </c>
      <c r="E612" t="s">
        <v>647</v>
      </c>
      <c r="F612" t="s">
        <v>3780</v>
      </c>
      <c r="G612" t="s">
        <v>769</v>
      </c>
      <c r="H612" t="s">
        <v>730</v>
      </c>
      <c r="I612" t="s">
        <v>1290</v>
      </c>
      <c r="J612" t="s">
        <v>1291</v>
      </c>
      <c r="K612" t="s">
        <v>166</v>
      </c>
      <c r="L612" t="s">
        <v>0</v>
      </c>
      <c r="M612" t="s">
        <v>178</v>
      </c>
      <c r="N612">
        <v>5</v>
      </c>
      <c r="O612">
        <v>5</v>
      </c>
      <c r="P612">
        <v>12.51</v>
      </c>
      <c r="Q612">
        <v>192.8</v>
      </c>
      <c r="R612">
        <v>48.96</v>
      </c>
      <c r="S612">
        <v>27.451655800000001</v>
      </c>
      <c r="T612">
        <v>0</v>
      </c>
      <c r="U612">
        <v>0</v>
      </c>
      <c r="V612">
        <v>48.96</v>
      </c>
      <c r="W612" t="s">
        <v>1292</v>
      </c>
      <c r="X612" t="s">
        <v>271</v>
      </c>
      <c r="Y612" t="s">
        <v>4318</v>
      </c>
      <c r="AA612" t="s">
        <v>4319</v>
      </c>
      <c r="AB612" t="s">
        <v>181</v>
      </c>
    </row>
    <row r="613" spans="1:28" x14ac:dyDescent="0.25">
      <c r="A613" t="s">
        <v>3900</v>
      </c>
      <c r="B613" t="s">
        <v>3901</v>
      </c>
      <c r="C613" t="s">
        <v>646</v>
      </c>
      <c r="D613" t="s">
        <v>3779</v>
      </c>
      <c r="E613" t="s">
        <v>647</v>
      </c>
      <c r="F613" t="s">
        <v>3780</v>
      </c>
      <c r="G613" t="s">
        <v>769</v>
      </c>
      <c r="H613" t="s">
        <v>770</v>
      </c>
      <c r="I613" t="s">
        <v>3902</v>
      </c>
      <c r="J613" t="s">
        <v>1225</v>
      </c>
      <c r="K613" t="s">
        <v>166</v>
      </c>
      <c r="L613" t="s">
        <v>0</v>
      </c>
      <c r="M613" t="s">
        <v>178</v>
      </c>
      <c r="N613">
        <v>2</v>
      </c>
      <c r="O613">
        <v>2</v>
      </c>
      <c r="P613">
        <v>30</v>
      </c>
      <c r="Q613">
        <v>41.34</v>
      </c>
      <c r="R613">
        <v>5.64</v>
      </c>
      <c r="S613">
        <v>6.1</v>
      </c>
      <c r="T613">
        <v>0</v>
      </c>
      <c r="U613">
        <v>0</v>
      </c>
      <c r="V613">
        <v>5.64</v>
      </c>
      <c r="W613" t="s">
        <v>0</v>
      </c>
      <c r="X613" t="s">
        <v>271</v>
      </c>
      <c r="Y613" t="s">
        <v>3903</v>
      </c>
      <c r="AA613" t="s">
        <v>3904</v>
      </c>
      <c r="AB613" t="s">
        <v>181</v>
      </c>
    </row>
    <row r="614" spans="1:28" x14ac:dyDescent="0.25">
      <c r="A614" t="s">
        <v>4288</v>
      </c>
      <c r="B614" t="s">
        <v>4289</v>
      </c>
      <c r="C614" t="s">
        <v>646</v>
      </c>
      <c r="D614" t="s">
        <v>3779</v>
      </c>
      <c r="E614" t="s">
        <v>647</v>
      </c>
      <c r="F614" t="s">
        <v>3780</v>
      </c>
      <c r="G614" t="s">
        <v>769</v>
      </c>
      <c r="H614" t="s">
        <v>797</v>
      </c>
      <c r="I614" t="s">
        <v>1453</v>
      </c>
      <c r="J614" t="s">
        <v>1454</v>
      </c>
      <c r="K614" t="s">
        <v>166</v>
      </c>
      <c r="L614" t="s">
        <v>0</v>
      </c>
      <c r="M614" t="s">
        <v>178</v>
      </c>
      <c r="N614">
        <v>16</v>
      </c>
      <c r="O614">
        <v>13</v>
      </c>
      <c r="P614">
        <v>174.48</v>
      </c>
      <c r="Q614">
        <v>566.87</v>
      </c>
      <c r="R614">
        <v>98.19</v>
      </c>
      <c r="S614">
        <v>80.820294070000003</v>
      </c>
      <c r="T614">
        <v>0</v>
      </c>
      <c r="U614">
        <v>0</v>
      </c>
      <c r="V614">
        <v>98.19</v>
      </c>
      <c r="W614" t="s">
        <v>1455</v>
      </c>
      <c r="X614" t="s">
        <v>271</v>
      </c>
      <c r="Y614" t="s">
        <v>4290</v>
      </c>
      <c r="AA614" t="s">
        <v>4291</v>
      </c>
      <c r="AB614" t="s">
        <v>181</v>
      </c>
    </row>
    <row r="615" spans="1:28" x14ac:dyDescent="0.25">
      <c r="A615" t="s">
        <v>4086</v>
      </c>
      <c r="B615" t="s">
        <v>4087</v>
      </c>
      <c r="C615" t="s">
        <v>646</v>
      </c>
      <c r="D615" t="s">
        <v>3779</v>
      </c>
      <c r="E615" t="s">
        <v>647</v>
      </c>
      <c r="F615" t="s">
        <v>3780</v>
      </c>
      <c r="G615" t="s">
        <v>769</v>
      </c>
      <c r="H615" t="s">
        <v>757</v>
      </c>
      <c r="I615" t="s">
        <v>4088</v>
      </c>
      <c r="J615" t="s">
        <v>480</v>
      </c>
      <c r="K615" t="s">
        <v>166</v>
      </c>
      <c r="L615" t="s">
        <v>0</v>
      </c>
      <c r="M615" t="s">
        <v>178</v>
      </c>
      <c r="N615">
        <v>42</v>
      </c>
      <c r="O615">
        <v>42</v>
      </c>
      <c r="P615">
        <v>293.25</v>
      </c>
      <c r="Q615">
        <v>830.81</v>
      </c>
      <c r="R615">
        <v>224.36</v>
      </c>
      <c r="S615">
        <v>188.85751474</v>
      </c>
      <c r="T615">
        <v>0</v>
      </c>
      <c r="U615">
        <v>0</v>
      </c>
      <c r="V615">
        <v>224.36</v>
      </c>
      <c r="W615" t="s">
        <v>4089</v>
      </c>
      <c r="X615" t="s">
        <v>271</v>
      </c>
      <c r="Y615" t="s">
        <v>4090</v>
      </c>
      <c r="AA615" t="s">
        <v>4091</v>
      </c>
      <c r="AB615" t="s">
        <v>181</v>
      </c>
    </row>
    <row r="616" spans="1:28" x14ac:dyDescent="0.25">
      <c r="A616" t="s">
        <v>4288</v>
      </c>
      <c r="B616" t="s">
        <v>4289</v>
      </c>
      <c r="C616" t="s">
        <v>646</v>
      </c>
      <c r="D616" t="s">
        <v>3779</v>
      </c>
      <c r="E616" t="s">
        <v>647</v>
      </c>
      <c r="F616" t="s">
        <v>3780</v>
      </c>
      <c r="G616" t="s">
        <v>769</v>
      </c>
      <c r="H616" t="s">
        <v>962</v>
      </c>
      <c r="I616" t="s">
        <v>1453</v>
      </c>
      <c r="J616" t="s">
        <v>1454</v>
      </c>
      <c r="K616" t="s">
        <v>166</v>
      </c>
      <c r="L616" t="s">
        <v>0</v>
      </c>
      <c r="M616" t="s">
        <v>178</v>
      </c>
      <c r="N616">
        <v>8</v>
      </c>
      <c r="O616">
        <v>1</v>
      </c>
      <c r="P616">
        <v>126.32</v>
      </c>
      <c r="Q616">
        <v>757.71</v>
      </c>
      <c r="R616">
        <v>77.03</v>
      </c>
      <c r="S616">
        <v>19.012282729999999</v>
      </c>
      <c r="T616">
        <v>0</v>
      </c>
      <c r="U616">
        <v>0</v>
      </c>
      <c r="V616">
        <v>77.03</v>
      </c>
      <c r="W616" t="s">
        <v>1455</v>
      </c>
      <c r="X616" t="s">
        <v>271</v>
      </c>
      <c r="Y616" t="s">
        <v>4290</v>
      </c>
      <c r="AA616" t="s">
        <v>4291</v>
      </c>
      <c r="AB616" t="s">
        <v>181</v>
      </c>
    </row>
    <row r="617" spans="1:28" x14ac:dyDescent="0.25">
      <c r="A617" t="s">
        <v>3998</v>
      </c>
      <c r="B617" t="s">
        <v>3999</v>
      </c>
      <c r="C617" t="s">
        <v>646</v>
      </c>
      <c r="D617" t="s">
        <v>3779</v>
      </c>
      <c r="E617" t="s">
        <v>647</v>
      </c>
      <c r="F617" t="s">
        <v>3780</v>
      </c>
      <c r="G617" t="s">
        <v>769</v>
      </c>
      <c r="H617" t="s">
        <v>1171</v>
      </c>
      <c r="I617" t="s">
        <v>1636</v>
      </c>
      <c r="J617" t="s">
        <v>1637</v>
      </c>
      <c r="K617" t="s">
        <v>166</v>
      </c>
      <c r="L617" t="s">
        <v>0</v>
      </c>
      <c r="M617" t="s">
        <v>178</v>
      </c>
      <c r="N617">
        <v>5</v>
      </c>
      <c r="O617">
        <v>0</v>
      </c>
      <c r="P617">
        <v>60</v>
      </c>
      <c r="Q617">
        <v>363.19</v>
      </c>
      <c r="R617">
        <v>25.56</v>
      </c>
      <c r="S617">
        <v>9.1478405200000008</v>
      </c>
      <c r="T617">
        <v>0</v>
      </c>
      <c r="U617">
        <v>0</v>
      </c>
      <c r="V617">
        <v>25.56</v>
      </c>
      <c r="W617" t="s">
        <v>1638</v>
      </c>
      <c r="X617" t="s">
        <v>271</v>
      </c>
      <c r="Y617" t="s">
        <v>4000</v>
      </c>
      <c r="AA617" t="s">
        <v>4001</v>
      </c>
      <c r="AB617" t="s">
        <v>181</v>
      </c>
    </row>
    <row r="618" spans="1:28" x14ac:dyDescent="0.25">
      <c r="A618" t="s">
        <v>4043</v>
      </c>
      <c r="B618" t="s">
        <v>4044</v>
      </c>
      <c r="C618" t="s">
        <v>646</v>
      </c>
      <c r="D618" t="s">
        <v>3779</v>
      </c>
      <c r="E618" t="s">
        <v>647</v>
      </c>
      <c r="F618" t="s">
        <v>666</v>
      </c>
      <c r="G618" t="s">
        <v>666</v>
      </c>
      <c r="H618" t="s">
        <v>717</v>
      </c>
      <c r="I618" t="s">
        <v>1431</v>
      </c>
      <c r="J618" t="s">
        <v>1432</v>
      </c>
      <c r="K618" t="s">
        <v>166</v>
      </c>
      <c r="L618" t="s">
        <v>0</v>
      </c>
      <c r="M618" t="s">
        <v>178</v>
      </c>
      <c r="N618">
        <v>16</v>
      </c>
      <c r="O618">
        <v>16</v>
      </c>
      <c r="P618">
        <v>208.05</v>
      </c>
      <c r="Q618">
        <v>1110.6600000000001</v>
      </c>
      <c r="R618">
        <v>160.25</v>
      </c>
      <c r="S618">
        <v>8</v>
      </c>
      <c r="T618">
        <v>0</v>
      </c>
      <c r="U618">
        <v>0</v>
      </c>
      <c r="V618">
        <v>160.25</v>
      </c>
      <c r="W618" t="s">
        <v>1433</v>
      </c>
      <c r="X618" t="s">
        <v>271</v>
      </c>
      <c r="Y618" t="s">
        <v>4045</v>
      </c>
      <c r="AA618" t="s">
        <v>4046</v>
      </c>
      <c r="AB618" t="s">
        <v>181</v>
      </c>
    </row>
    <row r="619" spans="1:28" x14ac:dyDescent="0.25">
      <c r="A619" t="s">
        <v>3814</v>
      </c>
      <c r="B619" t="s">
        <v>3815</v>
      </c>
      <c r="C619" t="s">
        <v>646</v>
      </c>
      <c r="D619" t="s">
        <v>3779</v>
      </c>
      <c r="E619" t="s">
        <v>647</v>
      </c>
      <c r="F619" t="s">
        <v>3780</v>
      </c>
      <c r="G619" t="s">
        <v>769</v>
      </c>
      <c r="H619" t="s">
        <v>1175</v>
      </c>
      <c r="I619" t="s">
        <v>3816</v>
      </c>
      <c r="J619" t="s">
        <v>548</v>
      </c>
      <c r="K619" t="s">
        <v>166</v>
      </c>
      <c r="L619" t="s">
        <v>0</v>
      </c>
      <c r="M619" t="s">
        <v>178</v>
      </c>
      <c r="N619">
        <v>2</v>
      </c>
      <c r="O619">
        <v>0</v>
      </c>
      <c r="P619">
        <v>32</v>
      </c>
      <c r="Q619">
        <v>57.34</v>
      </c>
      <c r="R619">
        <v>4.8600000000000003</v>
      </c>
      <c r="S619">
        <v>8.99623375</v>
      </c>
      <c r="T619">
        <v>0</v>
      </c>
      <c r="U619">
        <v>0</v>
      </c>
      <c r="V619">
        <v>4.8600000000000003</v>
      </c>
      <c r="W619" t="s">
        <v>241</v>
      </c>
      <c r="X619" t="s">
        <v>271</v>
      </c>
      <c r="Y619" t="s">
        <v>3817</v>
      </c>
      <c r="AA619" t="s">
        <v>3818</v>
      </c>
      <c r="AB619" t="s">
        <v>181</v>
      </c>
    </row>
    <row r="620" spans="1:28" x14ac:dyDescent="0.25">
      <c r="A620" t="s">
        <v>3948</v>
      </c>
      <c r="B620" t="s">
        <v>3949</v>
      </c>
      <c r="C620" t="s">
        <v>646</v>
      </c>
      <c r="D620" t="s">
        <v>3779</v>
      </c>
      <c r="E620" t="s">
        <v>647</v>
      </c>
      <c r="F620" t="s">
        <v>3780</v>
      </c>
      <c r="G620" t="s">
        <v>769</v>
      </c>
      <c r="H620" t="s">
        <v>1515</v>
      </c>
      <c r="I620" t="s">
        <v>2250</v>
      </c>
      <c r="J620" t="s">
        <v>358</v>
      </c>
      <c r="K620" t="s">
        <v>166</v>
      </c>
      <c r="L620" t="s">
        <v>0</v>
      </c>
      <c r="M620" t="s">
        <v>178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 t="s">
        <v>357</v>
      </c>
      <c r="X620" t="s">
        <v>271</v>
      </c>
      <c r="Y620" t="s">
        <v>3950</v>
      </c>
      <c r="AA620" t="s">
        <v>3951</v>
      </c>
      <c r="AB620" t="s">
        <v>181</v>
      </c>
    </row>
    <row r="621" spans="1:28" x14ac:dyDescent="0.25">
      <c r="A621" t="s">
        <v>3921</v>
      </c>
      <c r="B621" t="s">
        <v>3922</v>
      </c>
      <c r="C621" t="s">
        <v>646</v>
      </c>
      <c r="D621" t="s">
        <v>3779</v>
      </c>
      <c r="E621" t="s">
        <v>647</v>
      </c>
      <c r="F621" t="s">
        <v>666</v>
      </c>
      <c r="G621" t="s">
        <v>666</v>
      </c>
      <c r="H621" t="s">
        <v>1515</v>
      </c>
      <c r="I621" t="s">
        <v>902</v>
      </c>
      <c r="J621" t="s">
        <v>562</v>
      </c>
      <c r="K621" t="s">
        <v>166</v>
      </c>
      <c r="L621" t="s">
        <v>0</v>
      </c>
      <c r="M621" t="s">
        <v>178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 t="s">
        <v>0</v>
      </c>
      <c r="X621" t="s">
        <v>271</v>
      </c>
      <c r="Y621" t="s">
        <v>3923</v>
      </c>
      <c r="AA621" t="s">
        <v>3924</v>
      </c>
      <c r="AB621" t="s">
        <v>181</v>
      </c>
    </row>
    <row r="622" spans="1:28" x14ac:dyDescent="0.25">
      <c r="A622" t="s">
        <v>4060</v>
      </c>
      <c r="B622" t="s">
        <v>4061</v>
      </c>
      <c r="C622" t="s">
        <v>646</v>
      </c>
      <c r="D622" t="s">
        <v>3779</v>
      </c>
      <c r="E622" t="s">
        <v>647</v>
      </c>
      <c r="F622" t="s">
        <v>648</v>
      </c>
      <c r="G622" t="s">
        <v>648</v>
      </c>
      <c r="H622" t="s">
        <v>679</v>
      </c>
      <c r="I622" t="s">
        <v>1114</v>
      </c>
      <c r="J622" t="s">
        <v>1115</v>
      </c>
      <c r="K622" t="s">
        <v>166</v>
      </c>
      <c r="L622" t="s">
        <v>0</v>
      </c>
      <c r="M622" t="s">
        <v>178</v>
      </c>
      <c r="N622">
        <v>2</v>
      </c>
      <c r="O622">
        <v>2</v>
      </c>
      <c r="P622">
        <v>6</v>
      </c>
      <c r="Q622">
        <v>37.64</v>
      </c>
      <c r="R622">
        <v>0.64</v>
      </c>
      <c r="S622">
        <v>9.32</v>
      </c>
      <c r="T622">
        <v>0</v>
      </c>
      <c r="U622">
        <v>0</v>
      </c>
      <c r="V622">
        <v>0.64</v>
      </c>
      <c r="W622" t="s">
        <v>0</v>
      </c>
      <c r="X622" t="s">
        <v>271</v>
      </c>
      <c r="Y622" t="s">
        <v>4062</v>
      </c>
      <c r="AA622" t="s">
        <v>4063</v>
      </c>
      <c r="AB622" t="s">
        <v>181</v>
      </c>
    </row>
    <row r="623" spans="1:28" x14ac:dyDescent="0.25">
      <c r="A623" t="s">
        <v>3819</v>
      </c>
      <c r="B623" t="s">
        <v>3820</v>
      </c>
      <c r="C623" t="s">
        <v>646</v>
      </c>
      <c r="D623" t="s">
        <v>3779</v>
      </c>
      <c r="E623" t="s">
        <v>647</v>
      </c>
      <c r="F623" t="s">
        <v>3780</v>
      </c>
      <c r="G623" t="s">
        <v>769</v>
      </c>
      <c r="H623" t="s">
        <v>708</v>
      </c>
      <c r="I623" t="s">
        <v>798</v>
      </c>
      <c r="J623" t="s">
        <v>524</v>
      </c>
      <c r="K623" t="s">
        <v>166</v>
      </c>
      <c r="L623" t="s">
        <v>0</v>
      </c>
      <c r="M623" t="s">
        <v>178</v>
      </c>
      <c r="N623">
        <v>52.000100000000003</v>
      </c>
      <c r="O623">
        <v>47.000100000000003</v>
      </c>
      <c r="P623">
        <v>176.55</v>
      </c>
      <c r="Q623">
        <v>1578.45</v>
      </c>
      <c r="R623">
        <v>302.57</v>
      </c>
      <c r="S623">
        <v>636.11758110999995</v>
      </c>
      <c r="T623">
        <v>0</v>
      </c>
      <c r="U623">
        <v>0</v>
      </c>
      <c r="V623">
        <v>302.57</v>
      </c>
      <c r="W623" t="s">
        <v>258</v>
      </c>
      <c r="X623" t="s">
        <v>271</v>
      </c>
      <c r="Y623" t="s">
        <v>3821</v>
      </c>
      <c r="AA623" t="s">
        <v>3822</v>
      </c>
      <c r="AB623" t="s">
        <v>181</v>
      </c>
    </row>
    <row r="624" spans="1:28" x14ac:dyDescent="0.25">
      <c r="A624" t="s">
        <v>3819</v>
      </c>
      <c r="B624" t="s">
        <v>3820</v>
      </c>
      <c r="C624" t="s">
        <v>646</v>
      </c>
      <c r="D624" t="s">
        <v>3779</v>
      </c>
      <c r="E624" t="s">
        <v>647</v>
      </c>
      <c r="F624" t="s">
        <v>3780</v>
      </c>
      <c r="G624" t="s">
        <v>769</v>
      </c>
      <c r="H624" t="s">
        <v>683</v>
      </c>
      <c r="I624" t="s">
        <v>798</v>
      </c>
      <c r="J624" t="s">
        <v>524</v>
      </c>
      <c r="K624" t="s">
        <v>166</v>
      </c>
      <c r="L624" t="s">
        <v>0</v>
      </c>
      <c r="M624" t="s">
        <v>178</v>
      </c>
      <c r="N624">
        <v>1330.5833</v>
      </c>
      <c r="O624">
        <v>903.58330000000001</v>
      </c>
      <c r="P624">
        <v>23355.39</v>
      </c>
      <c r="Q624">
        <v>69228.2</v>
      </c>
      <c r="R624">
        <v>14081.429003470001</v>
      </c>
      <c r="S624">
        <v>10383.162544889999</v>
      </c>
      <c r="T624">
        <v>4.900347E-2</v>
      </c>
      <c r="U624">
        <v>0</v>
      </c>
      <c r="V624">
        <v>14081.38</v>
      </c>
      <c r="W624" t="s">
        <v>258</v>
      </c>
      <c r="X624" t="s">
        <v>271</v>
      </c>
      <c r="Y624" t="s">
        <v>3821</v>
      </c>
      <c r="AA624" t="s">
        <v>3822</v>
      </c>
      <c r="AB624" t="s">
        <v>181</v>
      </c>
    </row>
    <row r="625" spans="1:28" x14ac:dyDescent="0.25">
      <c r="A625" t="s">
        <v>4151</v>
      </c>
      <c r="B625" t="s">
        <v>4152</v>
      </c>
      <c r="C625" t="s">
        <v>646</v>
      </c>
      <c r="D625" t="s">
        <v>3779</v>
      </c>
      <c r="E625" t="s">
        <v>647</v>
      </c>
      <c r="F625" t="s">
        <v>666</v>
      </c>
      <c r="G625" t="s">
        <v>666</v>
      </c>
      <c r="H625" t="s">
        <v>683</v>
      </c>
      <c r="I625" t="s">
        <v>765</v>
      </c>
      <c r="J625" t="s">
        <v>436</v>
      </c>
      <c r="K625" t="s">
        <v>166</v>
      </c>
      <c r="L625" t="s">
        <v>0</v>
      </c>
      <c r="M625" t="s">
        <v>178</v>
      </c>
      <c r="N625">
        <v>462.5</v>
      </c>
      <c r="O625">
        <v>265.5</v>
      </c>
      <c r="P625">
        <v>7772.35</v>
      </c>
      <c r="Q625">
        <v>16163.35</v>
      </c>
      <c r="R625">
        <v>3552.0507050299998</v>
      </c>
      <c r="S625">
        <v>3235.83619387</v>
      </c>
      <c r="T625">
        <v>0.18070502999999999</v>
      </c>
      <c r="U625">
        <v>0</v>
      </c>
      <c r="V625">
        <v>3551.87</v>
      </c>
      <c r="W625" t="s">
        <v>0</v>
      </c>
      <c r="X625" t="s">
        <v>271</v>
      </c>
      <c r="Y625" t="s">
        <v>4153</v>
      </c>
      <c r="AA625" t="s">
        <v>4154</v>
      </c>
      <c r="AB625" t="s">
        <v>181</v>
      </c>
    </row>
    <row r="626" spans="1:28" x14ac:dyDescent="0.25">
      <c r="A626" t="s">
        <v>3823</v>
      </c>
      <c r="B626" t="s">
        <v>3824</v>
      </c>
      <c r="C626" t="s">
        <v>646</v>
      </c>
      <c r="D626" t="s">
        <v>3779</v>
      </c>
      <c r="E626" t="s">
        <v>647</v>
      </c>
      <c r="F626" t="s">
        <v>3780</v>
      </c>
      <c r="G626" t="s">
        <v>769</v>
      </c>
      <c r="H626" t="s">
        <v>708</v>
      </c>
      <c r="I626" t="s">
        <v>1801</v>
      </c>
      <c r="J626" t="s">
        <v>437</v>
      </c>
      <c r="K626" t="s">
        <v>166</v>
      </c>
      <c r="L626" t="s">
        <v>0</v>
      </c>
      <c r="M626" t="s">
        <v>178</v>
      </c>
      <c r="N626">
        <v>52.666699999999999</v>
      </c>
      <c r="O626">
        <v>49.666699999999999</v>
      </c>
      <c r="P626">
        <v>608.11</v>
      </c>
      <c r="Q626">
        <v>2098.0700000000002</v>
      </c>
      <c r="R626">
        <v>82.58</v>
      </c>
      <c r="S626">
        <v>792.94812606999994</v>
      </c>
      <c r="T626">
        <v>0</v>
      </c>
      <c r="U626">
        <v>0</v>
      </c>
      <c r="V626">
        <v>82.58</v>
      </c>
      <c r="W626" t="s">
        <v>510</v>
      </c>
      <c r="X626" t="s">
        <v>271</v>
      </c>
      <c r="Y626" t="s">
        <v>3825</v>
      </c>
      <c r="AA626" t="s">
        <v>3826</v>
      </c>
      <c r="AB626" t="s">
        <v>181</v>
      </c>
    </row>
    <row r="627" spans="1:28" x14ac:dyDescent="0.25">
      <c r="A627" t="s">
        <v>3793</v>
      </c>
      <c r="B627" t="s">
        <v>3794</v>
      </c>
      <c r="C627" t="s">
        <v>646</v>
      </c>
      <c r="D627" t="s">
        <v>3779</v>
      </c>
      <c r="E627" t="s">
        <v>647</v>
      </c>
      <c r="F627" t="s">
        <v>666</v>
      </c>
      <c r="G627" t="s">
        <v>666</v>
      </c>
      <c r="H627" t="s">
        <v>649</v>
      </c>
      <c r="I627" t="s">
        <v>1712</v>
      </c>
      <c r="J627" t="s">
        <v>335</v>
      </c>
      <c r="K627" t="s">
        <v>166</v>
      </c>
      <c r="L627" t="s">
        <v>0</v>
      </c>
      <c r="M627" t="s">
        <v>178</v>
      </c>
      <c r="N627">
        <v>861</v>
      </c>
      <c r="O627">
        <v>480</v>
      </c>
      <c r="P627">
        <v>16090.09</v>
      </c>
      <c r="Q627">
        <v>52097.71</v>
      </c>
      <c r="R627">
        <v>9336.5273663999997</v>
      </c>
      <c r="S627">
        <v>6405.0380080300001</v>
      </c>
      <c r="T627">
        <v>3.7366400000000001E-2</v>
      </c>
      <c r="U627">
        <v>0</v>
      </c>
      <c r="V627">
        <v>9336.49</v>
      </c>
      <c r="W627" t="s">
        <v>572</v>
      </c>
      <c r="X627" t="s">
        <v>271</v>
      </c>
      <c r="Y627" t="s">
        <v>3795</v>
      </c>
      <c r="AA627" t="s">
        <v>3796</v>
      </c>
      <c r="AB627" t="s">
        <v>181</v>
      </c>
    </row>
    <row r="628" spans="1:28" x14ac:dyDescent="0.25">
      <c r="A628" t="s">
        <v>4308</v>
      </c>
      <c r="B628" t="s">
        <v>4309</v>
      </c>
      <c r="C628" t="s">
        <v>646</v>
      </c>
      <c r="D628" t="s">
        <v>3779</v>
      </c>
      <c r="E628" t="s">
        <v>647</v>
      </c>
      <c r="F628" t="s">
        <v>3780</v>
      </c>
      <c r="G628" t="s">
        <v>769</v>
      </c>
      <c r="H628" t="s">
        <v>757</v>
      </c>
      <c r="I628" t="s">
        <v>1184</v>
      </c>
      <c r="J628" t="s">
        <v>1185</v>
      </c>
      <c r="K628" t="s">
        <v>166</v>
      </c>
      <c r="L628" t="s">
        <v>0</v>
      </c>
      <c r="M628" t="s">
        <v>178</v>
      </c>
      <c r="N628">
        <v>231.25540000000001</v>
      </c>
      <c r="O628">
        <v>227.25540000000001</v>
      </c>
      <c r="P628">
        <v>5456.17</v>
      </c>
      <c r="Q628">
        <v>10191.780000000001</v>
      </c>
      <c r="R628">
        <v>996.88</v>
      </c>
      <c r="S628">
        <v>2016.06045741</v>
      </c>
      <c r="T628">
        <v>0</v>
      </c>
      <c r="U628">
        <v>0</v>
      </c>
      <c r="V628">
        <v>996.88</v>
      </c>
      <c r="W628" t="s">
        <v>1186</v>
      </c>
      <c r="X628" t="s">
        <v>271</v>
      </c>
      <c r="Y628" t="s">
        <v>4310</v>
      </c>
      <c r="AA628" t="s">
        <v>4311</v>
      </c>
      <c r="AB628" t="s">
        <v>181</v>
      </c>
    </row>
    <row r="629" spans="1:28" x14ac:dyDescent="0.25">
      <c r="A629" t="s">
        <v>4113</v>
      </c>
      <c r="B629" t="s">
        <v>4114</v>
      </c>
      <c r="C629" t="s">
        <v>646</v>
      </c>
      <c r="D629" t="s">
        <v>3779</v>
      </c>
      <c r="E629" t="s">
        <v>647</v>
      </c>
      <c r="F629" t="s">
        <v>3780</v>
      </c>
      <c r="G629" t="s">
        <v>769</v>
      </c>
      <c r="H629" t="s">
        <v>730</v>
      </c>
      <c r="I629" t="s">
        <v>1913</v>
      </c>
      <c r="J629" t="s">
        <v>1914</v>
      </c>
      <c r="K629" t="s">
        <v>166</v>
      </c>
      <c r="L629" t="s">
        <v>0</v>
      </c>
      <c r="M629" t="s">
        <v>178</v>
      </c>
      <c r="N629">
        <v>134</v>
      </c>
      <c r="O629">
        <v>91</v>
      </c>
      <c r="P629">
        <v>4793.95</v>
      </c>
      <c r="Q629">
        <v>10678.56</v>
      </c>
      <c r="R629">
        <v>1902.98</v>
      </c>
      <c r="S629">
        <v>1469.0724169099999</v>
      </c>
      <c r="T629">
        <v>0</v>
      </c>
      <c r="U629">
        <v>0</v>
      </c>
      <c r="V629">
        <v>1902.98</v>
      </c>
      <c r="W629" t="s">
        <v>1915</v>
      </c>
      <c r="X629" t="s">
        <v>269</v>
      </c>
      <c r="Y629" t="s">
        <v>4115</v>
      </c>
      <c r="AA629" t="s">
        <v>4116</v>
      </c>
      <c r="AB629" t="s">
        <v>181</v>
      </c>
    </row>
    <row r="630" spans="1:28" x14ac:dyDescent="0.25">
      <c r="A630" t="s">
        <v>4086</v>
      </c>
      <c r="B630" t="s">
        <v>4087</v>
      </c>
      <c r="C630" t="s">
        <v>646</v>
      </c>
      <c r="D630" t="s">
        <v>3779</v>
      </c>
      <c r="E630" t="s">
        <v>647</v>
      </c>
      <c r="F630" t="s">
        <v>3780</v>
      </c>
      <c r="G630" t="s">
        <v>769</v>
      </c>
      <c r="H630" t="s">
        <v>770</v>
      </c>
      <c r="I630" t="s">
        <v>4088</v>
      </c>
      <c r="J630" t="s">
        <v>480</v>
      </c>
      <c r="K630" t="s">
        <v>166</v>
      </c>
      <c r="L630" t="s">
        <v>0</v>
      </c>
      <c r="M630" t="s">
        <v>178</v>
      </c>
      <c r="N630">
        <v>312</v>
      </c>
      <c r="O630">
        <v>75</v>
      </c>
      <c r="P630">
        <v>2389</v>
      </c>
      <c r="Q630">
        <v>5275.3</v>
      </c>
      <c r="R630">
        <v>1134.6600000000001</v>
      </c>
      <c r="S630">
        <v>1091.38043466</v>
      </c>
      <c r="T630">
        <v>0</v>
      </c>
      <c r="U630">
        <v>0</v>
      </c>
      <c r="V630">
        <v>1134.6600000000001</v>
      </c>
      <c r="W630" t="s">
        <v>4089</v>
      </c>
      <c r="X630" t="s">
        <v>271</v>
      </c>
      <c r="Y630" t="s">
        <v>4090</v>
      </c>
      <c r="AA630" t="s">
        <v>4091</v>
      </c>
      <c r="AB630" t="s">
        <v>181</v>
      </c>
    </row>
    <row r="631" spans="1:28" x14ac:dyDescent="0.25">
      <c r="A631" t="s">
        <v>4035</v>
      </c>
      <c r="B631" t="s">
        <v>4036</v>
      </c>
      <c r="C631" t="s">
        <v>646</v>
      </c>
      <c r="D631" t="s">
        <v>3779</v>
      </c>
      <c r="E631" t="s">
        <v>647</v>
      </c>
      <c r="F631" t="s">
        <v>3780</v>
      </c>
      <c r="G631" t="s">
        <v>769</v>
      </c>
      <c r="H631" t="s">
        <v>679</v>
      </c>
      <c r="I631" t="s">
        <v>3464</v>
      </c>
      <c r="J631" t="s">
        <v>688</v>
      </c>
      <c r="K631" t="s">
        <v>166</v>
      </c>
      <c r="L631" t="s">
        <v>0</v>
      </c>
      <c r="M631" t="s">
        <v>178</v>
      </c>
      <c r="N631">
        <v>424</v>
      </c>
      <c r="O631">
        <v>324</v>
      </c>
      <c r="P631">
        <v>6083.02</v>
      </c>
      <c r="Q631">
        <v>15795.04</v>
      </c>
      <c r="R631">
        <v>-854.89837848000002</v>
      </c>
      <c r="S631">
        <v>5639.1523777800003</v>
      </c>
      <c r="T631">
        <v>-1.8583784800000001</v>
      </c>
      <c r="U631">
        <v>131.6</v>
      </c>
      <c r="V631">
        <v>-711.54</v>
      </c>
      <c r="W631" t="s">
        <v>0</v>
      </c>
      <c r="X631" t="s">
        <v>271</v>
      </c>
      <c r="Y631" t="s">
        <v>4037</v>
      </c>
      <c r="AA631" t="s">
        <v>4038</v>
      </c>
      <c r="AB631" t="s">
        <v>181</v>
      </c>
    </row>
    <row r="632" spans="1:28" x14ac:dyDescent="0.25">
      <c r="A632" t="s">
        <v>4211</v>
      </c>
      <c r="B632" t="s">
        <v>4212</v>
      </c>
      <c r="C632" t="s">
        <v>646</v>
      </c>
      <c r="D632" t="s">
        <v>3779</v>
      </c>
      <c r="E632" t="s">
        <v>647</v>
      </c>
      <c r="F632" t="s">
        <v>3780</v>
      </c>
      <c r="G632" t="s">
        <v>769</v>
      </c>
      <c r="H632" t="s">
        <v>761</v>
      </c>
      <c r="I632" t="s">
        <v>4213</v>
      </c>
      <c r="J632" t="s">
        <v>437</v>
      </c>
      <c r="K632" t="s">
        <v>166</v>
      </c>
      <c r="L632" t="s">
        <v>0</v>
      </c>
      <c r="M632" t="s">
        <v>178</v>
      </c>
      <c r="N632">
        <v>31</v>
      </c>
      <c r="O632">
        <v>28</v>
      </c>
      <c r="P632">
        <v>1037.1600000000001</v>
      </c>
      <c r="Q632">
        <v>955.94</v>
      </c>
      <c r="R632">
        <v>135.44</v>
      </c>
      <c r="S632">
        <v>212.69518643999999</v>
      </c>
      <c r="T632">
        <v>0</v>
      </c>
      <c r="U632">
        <v>0</v>
      </c>
      <c r="V632">
        <v>135.44</v>
      </c>
      <c r="W632" t="s">
        <v>510</v>
      </c>
      <c r="X632" t="s">
        <v>271</v>
      </c>
      <c r="Y632" t="s">
        <v>4214</v>
      </c>
      <c r="Z632" t="s">
        <v>4175</v>
      </c>
      <c r="AA632" t="s">
        <v>4215</v>
      </c>
      <c r="AB632" t="s">
        <v>181</v>
      </c>
    </row>
    <row r="633" spans="1:28" x14ac:dyDescent="0.25">
      <c r="A633" t="s">
        <v>4117</v>
      </c>
      <c r="B633" t="s">
        <v>4118</v>
      </c>
      <c r="C633" t="s">
        <v>646</v>
      </c>
      <c r="D633" t="s">
        <v>3779</v>
      </c>
      <c r="E633" t="s">
        <v>647</v>
      </c>
      <c r="F633" t="s">
        <v>3780</v>
      </c>
      <c r="G633" t="s">
        <v>769</v>
      </c>
      <c r="H633" t="s">
        <v>757</v>
      </c>
      <c r="I633" t="s">
        <v>1190</v>
      </c>
      <c r="J633" t="s">
        <v>1191</v>
      </c>
      <c r="K633" t="s">
        <v>166</v>
      </c>
      <c r="L633" t="s">
        <v>0</v>
      </c>
      <c r="M633" t="s">
        <v>178</v>
      </c>
      <c r="N633">
        <v>394</v>
      </c>
      <c r="O633">
        <v>373</v>
      </c>
      <c r="P633">
        <v>9234.35</v>
      </c>
      <c r="Q633">
        <v>15731.06</v>
      </c>
      <c r="R633">
        <v>785.11</v>
      </c>
      <c r="S633">
        <v>3287.73032655</v>
      </c>
      <c r="T633">
        <v>102.26</v>
      </c>
      <c r="U633">
        <v>387.29</v>
      </c>
      <c r="V633">
        <v>1191.27</v>
      </c>
      <c r="W633" t="s">
        <v>282</v>
      </c>
      <c r="X633" t="s">
        <v>271</v>
      </c>
      <c r="Y633" t="s">
        <v>2170</v>
      </c>
      <c r="AA633" t="s">
        <v>2171</v>
      </c>
      <c r="AB633" t="s">
        <v>181</v>
      </c>
    </row>
    <row r="634" spans="1:28" x14ac:dyDescent="0.25">
      <c r="A634" t="s">
        <v>4284</v>
      </c>
      <c r="B634" t="s">
        <v>4285</v>
      </c>
      <c r="C634" t="s">
        <v>646</v>
      </c>
      <c r="D634" t="s">
        <v>3779</v>
      </c>
      <c r="E634" t="s">
        <v>647</v>
      </c>
      <c r="F634" t="s">
        <v>3780</v>
      </c>
      <c r="G634" t="s">
        <v>769</v>
      </c>
      <c r="H634" t="s">
        <v>757</v>
      </c>
      <c r="I634" t="s">
        <v>778</v>
      </c>
      <c r="J634" t="s">
        <v>428</v>
      </c>
      <c r="K634" t="s">
        <v>166</v>
      </c>
      <c r="L634" t="s">
        <v>0</v>
      </c>
      <c r="M634" t="s">
        <v>178</v>
      </c>
      <c r="N634">
        <v>284.72210000000001</v>
      </c>
      <c r="O634">
        <v>205.72210000000001</v>
      </c>
      <c r="P634">
        <v>5964.23</v>
      </c>
      <c r="Q634">
        <v>13232.42</v>
      </c>
      <c r="R634">
        <v>3405.61</v>
      </c>
      <c r="S634">
        <v>1927.2561473400001</v>
      </c>
      <c r="T634">
        <v>0</v>
      </c>
      <c r="U634">
        <v>0</v>
      </c>
      <c r="V634">
        <v>3405.61</v>
      </c>
      <c r="W634" t="s">
        <v>1977</v>
      </c>
      <c r="X634" t="s">
        <v>271</v>
      </c>
      <c r="Y634" t="s">
        <v>4286</v>
      </c>
      <c r="AA634" t="s">
        <v>4287</v>
      </c>
      <c r="AB634" t="s">
        <v>181</v>
      </c>
    </row>
    <row r="635" spans="1:28" x14ac:dyDescent="0.25">
      <c r="A635" t="s">
        <v>3952</v>
      </c>
      <c r="B635" t="s">
        <v>3953</v>
      </c>
      <c r="C635" t="s">
        <v>646</v>
      </c>
      <c r="D635" t="s">
        <v>3779</v>
      </c>
      <c r="E635" t="s">
        <v>647</v>
      </c>
      <c r="F635" t="s">
        <v>666</v>
      </c>
      <c r="G635" t="s">
        <v>666</v>
      </c>
      <c r="H635" t="s">
        <v>649</v>
      </c>
      <c r="I635" t="s">
        <v>2032</v>
      </c>
      <c r="J635" t="s">
        <v>311</v>
      </c>
      <c r="K635" t="s">
        <v>166</v>
      </c>
      <c r="L635" t="s">
        <v>0</v>
      </c>
      <c r="M635" t="s">
        <v>178</v>
      </c>
      <c r="N635">
        <v>1409</v>
      </c>
      <c r="O635">
        <v>1286</v>
      </c>
      <c r="P635">
        <v>28528.86</v>
      </c>
      <c r="Q635">
        <v>75870.149999999994</v>
      </c>
      <c r="R635">
        <v>-316.18</v>
      </c>
      <c r="S635">
        <v>6417.9458692999997</v>
      </c>
      <c r="T635">
        <v>111.18</v>
      </c>
      <c r="U635">
        <v>5242.55</v>
      </c>
      <c r="V635">
        <v>4926.3500000000004</v>
      </c>
      <c r="W635" t="s">
        <v>312</v>
      </c>
      <c r="X635" t="s">
        <v>271</v>
      </c>
      <c r="Y635" t="s">
        <v>3954</v>
      </c>
      <c r="AA635" t="s">
        <v>3955</v>
      </c>
      <c r="AB635" t="s">
        <v>181</v>
      </c>
    </row>
    <row r="636" spans="1:28" x14ac:dyDescent="0.25">
      <c r="A636" t="s">
        <v>3909</v>
      </c>
      <c r="B636" t="s">
        <v>3910</v>
      </c>
      <c r="C636" t="s">
        <v>646</v>
      </c>
      <c r="D636" t="s">
        <v>3779</v>
      </c>
      <c r="E636" t="s">
        <v>647</v>
      </c>
      <c r="F636" t="s">
        <v>666</v>
      </c>
      <c r="G636" t="s">
        <v>666</v>
      </c>
      <c r="H636" t="s">
        <v>683</v>
      </c>
      <c r="I636" t="s">
        <v>3911</v>
      </c>
      <c r="J636" t="s">
        <v>355</v>
      </c>
      <c r="K636" t="s">
        <v>166</v>
      </c>
      <c r="L636" t="s">
        <v>0</v>
      </c>
      <c r="M636" t="s">
        <v>178</v>
      </c>
      <c r="N636">
        <v>150</v>
      </c>
      <c r="O636">
        <v>24</v>
      </c>
      <c r="P636">
        <v>1473.5</v>
      </c>
      <c r="Q636">
        <v>6958.03</v>
      </c>
      <c r="R636">
        <v>1848.24</v>
      </c>
      <c r="S636">
        <v>714.89767166000001</v>
      </c>
      <c r="T636">
        <v>0</v>
      </c>
      <c r="U636">
        <v>0</v>
      </c>
      <c r="V636">
        <v>1848.24</v>
      </c>
      <c r="W636" t="s">
        <v>0</v>
      </c>
      <c r="X636" t="s">
        <v>271</v>
      </c>
      <c r="Y636" t="s">
        <v>3912</v>
      </c>
      <c r="AA636" t="s">
        <v>3894</v>
      </c>
      <c r="AB636" t="s">
        <v>181</v>
      </c>
    </row>
    <row r="637" spans="1:28" x14ac:dyDescent="0.25">
      <c r="A637" t="s">
        <v>4043</v>
      </c>
      <c r="B637" t="s">
        <v>4044</v>
      </c>
      <c r="C637" t="s">
        <v>646</v>
      </c>
      <c r="D637" t="s">
        <v>3779</v>
      </c>
      <c r="E637" t="s">
        <v>647</v>
      </c>
      <c r="F637" t="s">
        <v>666</v>
      </c>
      <c r="G637" t="s">
        <v>666</v>
      </c>
      <c r="H637" t="s">
        <v>909</v>
      </c>
      <c r="I637" t="s">
        <v>1431</v>
      </c>
      <c r="J637" t="s">
        <v>1432</v>
      </c>
      <c r="K637" t="s">
        <v>166</v>
      </c>
      <c r="L637" t="s">
        <v>0</v>
      </c>
      <c r="M637" t="s">
        <v>178</v>
      </c>
      <c r="N637">
        <v>48</v>
      </c>
      <c r="O637">
        <v>48</v>
      </c>
      <c r="P637">
        <v>1428.36</v>
      </c>
      <c r="Q637">
        <v>1591.66</v>
      </c>
      <c r="R637">
        <v>325.87</v>
      </c>
      <c r="S637">
        <v>393.02498512</v>
      </c>
      <c r="T637">
        <v>0</v>
      </c>
      <c r="U637">
        <v>0</v>
      </c>
      <c r="V637">
        <v>325.87</v>
      </c>
      <c r="W637" t="s">
        <v>1433</v>
      </c>
      <c r="X637" t="s">
        <v>271</v>
      </c>
      <c r="Y637" t="s">
        <v>4045</v>
      </c>
      <c r="AA637" t="s">
        <v>4046</v>
      </c>
      <c r="AB637" t="s">
        <v>181</v>
      </c>
    </row>
    <row r="638" spans="1:28" x14ac:dyDescent="0.25">
      <c r="A638" t="s">
        <v>4211</v>
      </c>
      <c r="B638" t="s">
        <v>4212</v>
      </c>
      <c r="C638" t="s">
        <v>646</v>
      </c>
      <c r="D638" t="s">
        <v>3779</v>
      </c>
      <c r="E638" t="s">
        <v>647</v>
      </c>
      <c r="F638" t="s">
        <v>3780</v>
      </c>
      <c r="G638" t="s">
        <v>769</v>
      </c>
      <c r="H638" t="s">
        <v>797</v>
      </c>
      <c r="I638" t="s">
        <v>4213</v>
      </c>
      <c r="J638" t="s">
        <v>437</v>
      </c>
      <c r="K638" t="s">
        <v>166</v>
      </c>
      <c r="L638" t="s">
        <v>0</v>
      </c>
      <c r="M638" t="s">
        <v>178</v>
      </c>
      <c r="N638">
        <v>120</v>
      </c>
      <c r="O638">
        <v>87</v>
      </c>
      <c r="P638">
        <v>1271.8399999999999</v>
      </c>
      <c r="Q638">
        <v>3180.1</v>
      </c>
      <c r="R638">
        <v>361.36188599000002</v>
      </c>
      <c r="S638">
        <v>810.14380623</v>
      </c>
      <c r="T638">
        <v>-8.1140099999999996E-3</v>
      </c>
      <c r="U638">
        <v>0</v>
      </c>
      <c r="V638">
        <v>361.37</v>
      </c>
      <c r="W638" t="s">
        <v>510</v>
      </c>
      <c r="X638" t="s">
        <v>271</v>
      </c>
      <c r="Y638" t="s">
        <v>4214</v>
      </c>
      <c r="Z638" t="s">
        <v>4175</v>
      </c>
      <c r="AA638" t="s">
        <v>4215</v>
      </c>
      <c r="AB638" t="s">
        <v>181</v>
      </c>
    </row>
    <row r="639" spans="1:28" x14ac:dyDescent="0.25">
      <c r="A639" t="s">
        <v>4172</v>
      </c>
      <c r="B639" t="s">
        <v>4173</v>
      </c>
      <c r="C639" t="s">
        <v>646</v>
      </c>
      <c r="D639" t="s">
        <v>3779</v>
      </c>
      <c r="E639" t="s">
        <v>647</v>
      </c>
      <c r="F639" t="s">
        <v>3780</v>
      </c>
      <c r="G639" t="s">
        <v>769</v>
      </c>
      <c r="H639" t="s">
        <v>672</v>
      </c>
      <c r="I639" t="s">
        <v>1801</v>
      </c>
      <c r="J639" t="s">
        <v>437</v>
      </c>
      <c r="K639" t="s">
        <v>166</v>
      </c>
      <c r="L639" t="s">
        <v>0</v>
      </c>
      <c r="M639" t="s">
        <v>178</v>
      </c>
      <c r="N639">
        <v>140</v>
      </c>
      <c r="O639">
        <v>79</v>
      </c>
      <c r="P639">
        <v>3787.45</v>
      </c>
      <c r="Q639">
        <v>5081.1000000000004</v>
      </c>
      <c r="R639">
        <v>399.8</v>
      </c>
      <c r="S639">
        <v>742.89006735999999</v>
      </c>
      <c r="T639">
        <v>0</v>
      </c>
      <c r="U639">
        <v>0</v>
      </c>
      <c r="V639">
        <v>399.8</v>
      </c>
      <c r="W639" t="s">
        <v>510</v>
      </c>
      <c r="X639" t="s">
        <v>271</v>
      </c>
      <c r="Y639" t="s">
        <v>4174</v>
      </c>
      <c r="Z639" t="s">
        <v>4175</v>
      </c>
      <c r="AA639" t="s">
        <v>4176</v>
      </c>
      <c r="AB639" t="s">
        <v>181</v>
      </c>
    </row>
    <row r="640" spans="1:28" x14ac:dyDescent="0.25">
      <c r="A640" t="s">
        <v>4092</v>
      </c>
      <c r="B640" t="s">
        <v>4093</v>
      </c>
      <c r="C640" t="s">
        <v>646</v>
      </c>
      <c r="D640" t="s">
        <v>3779</v>
      </c>
      <c r="E640" t="s">
        <v>647</v>
      </c>
      <c r="F640" t="s">
        <v>3780</v>
      </c>
      <c r="G640" t="s">
        <v>769</v>
      </c>
      <c r="H640" t="s">
        <v>672</v>
      </c>
      <c r="I640" t="s">
        <v>4094</v>
      </c>
      <c r="J640" t="s">
        <v>370</v>
      </c>
      <c r="K640" t="s">
        <v>166</v>
      </c>
      <c r="L640" t="s">
        <v>0</v>
      </c>
      <c r="M640" t="s">
        <v>178</v>
      </c>
      <c r="N640">
        <v>139</v>
      </c>
      <c r="O640">
        <v>102</v>
      </c>
      <c r="P640">
        <v>3719</v>
      </c>
      <c r="Q640">
        <v>4398.0200000000004</v>
      </c>
      <c r="R640">
        <v>276.19500662000002</v>
      </c>
      <c r="S640">
        <v>572.28788742999996</v>
      </c>
      <c r="T640">
        <v>0.41500661999999999</v>
      </c>
      <c r="U640">
        <v>0</v>
      </c>
      <c r="V640">
        <v>275.77999999999997</v>
      </c>
      <c r="W640" t="s">
        <v>314</v>
      </c>
      <c r="X640" t="s">
        <v>271</v>
      </c>
      <c r="Y640" t="s">
        <v>4095</v>
      </c>
      <c r="Z640" t="s">
        <v>4096</v>
      </c>
      <c r="AA640" t="s">
        <v>4097</v>
      </c>
      <c r="AB640" t="s">
        <v>181</v>
      </c>
    </row>
    <row r="641" spans="1:28" x14ac:dyDescent="0.25">
      <c r="A641" t="s">
        <v>3814</v>
      </c>
      <c r="B641" t="s">
        <v>3815</v>
      </c>
      <c r="C641" t="s">
        <v>646</v>
      </c>
      <c r="D641" t="s">
        <v>3779</v>
      </c>
      <c r="E641" t="s">
        <v>647</v>
      </c>
      <c r="F641" t="s">
        <v>3780</v>
      </c>
      <c r="G641" t="s">
        <v>769</v>
      </c>
      <c r="H641" t="s">
        <v>1045</v>
      </c>
      <c r="I641" t="s">
        <v>3816</v>
      </c>
      <c r="J641" t="s">
        <v>548</v>
      </c>
      <c r="K641" t="s">
        <v>166</v>
      </c>
      <c r="L641" t="s">
        <v>0</v>
      </c>
      <c r="M641" t="s">
        <v>178</v>
      </c>
      <c r="N641">
        <v>138</v>
      </c>
      <c r="O641">
        <v>50</v>
      </c>
      <c r="P641">
        <v>1411.9</v>
      </c>
      <c r="Q641">
        <v>10968.12</v>
      </c>
      <c r="R641">
        <v>211.18</v>
      </c>
      <c r="S641">
        <v>493.37638502999999</v>
      </c>
      <c r="T641">
        <v>25</v>
      </c>
      <c r="U641">
        <v>0</v>
      </c>
      <c r="V641">
        <v>211.18</v>
      </c>
      <c r="W641" t="s">
        <v>241</v>
      </c>
      <c r="X641" t="s">
        <v>271</v>
      </c>
      <c r="Y641" t="s">
        <v>3817</v>
      </c>
      <c r="AA641" t="s">
        <v>3818</v>
      </c>
      <c r="AB641" t="s">
        <v>181</v>
      </c>
    </row>
    <row r="642" spans="1:28" x14ac:dyDescent="0.25">
      <c r="A642" t="s">
        <v>4256</v>
      </c>
      <c r="B642" t="s">
        <v>4257</v>
      </c>
      <c r="C642" t="s">
        <v>646</v>
      </c>
      <c r="D642" t="s">
        <v>3779</v>
      </c>
      <c r="E642" t="s">
        <v>647</v>
      </c>
      <c r="F642" t="s">
        <v>3780</v>
      </c>
      <c r="G642" t="s">
        <v>769</v>
      </c>
      <c r="H642" t="s">
        <v>1171</v>
      </c>
      <c r="I642" t="s">
        <v>2284</v>
      </c>
      <c r="J642" t="s">
        <v>2285</v>
      </c>
      <c r="K642" t="s">
        <v>166</v>
      </c>
      <c r="L642" t="s">
        <v>0</v>
      </c>
      <c r="M642" t="s">
        <v>178</v>
      </c>
      <c r="N642">
        <v>52</v>
      </c>
      <c r="O642">
        <v>21</v>
      </c>
      <c r="P642">
        <v>2214.88</v>
      </c>
      <c r="Q642">
        <v>16938.72</v>
      </c>
      <c r="R642">
        <v>3687.1214581200002</v>
      </c>
      <c r="S642">
        <v>154.73851252</v>
      </c>
      <c r="T642">
        <v>1.08145812</v>
      </c>
      <c r="U642">
        <v>0</v>
      </c>
      <c r="V642">
        <v>3686.04</v>
      </c>
      <c r="W642" t="s">
        <v>453</v>
      </c>
      <c r="X642" t="s">
        <v>271</v>
      </c>
      <c r="Y642" t="s">
        <v>4258</v>
      </c>
      <c r="AA642" t="s">
        <v>4259</v>
      </c>
      <c r="AB642" t="s">
        <v>181</v>
      </c>
    </row>
    <row r="643" spans="1:28" x14ac:dyDescent="0.25">
      <c r="A643" t="s">
        <v>3819</v>
      </c>
      <c r="B643" t="s">
        <v>3820</v>
      </c>
      <c r="C643" t="s">
        <v>646</v>
      </c>
      <c r="D643" t="s">
        <v>3779</v>
      </c>
      <c r="E643" t="s">
        <v>647</v>
      </c>
      <c r="F643" t="s">
        <v>3780</v>
      </c>
      <c r="G643" t="s">
        <v>769</v>
      </c>
      <c r="H643" t="s">
        <v>802</v>
      </c>
      <c r="I643" t="s">
        <v>798</v>
      </c>
      <c r="J643" t="s">
        <v>524</v>
      </c>
      <c r="K643" t="s">
        <v>166</v>
      </c>
      <c r="L643" t="s">
        <v>0</v>
      </c>
      <c r="M643" t="s">
        <v>178</v>
      </c>
      <c r="N643">
        <v>477.04160000000002</v>
      </c>
      <c r="O643">
        <v>418.33330000000001</v>
      </c>
      <c r="P643">
        <v>4116.83</v>
      </c>
      <c r="Q643">
        <v>21195.42</v>
      </c>
      <c r="R643">
        <v>4520.68</v>
      </c>
      <c r="S643">
        <v>2363.6285238300002</v>
      </c>
      <c r="T643">
        <v>0</v>
      </c>
      <c r="U643">
        <v>0</v>
      </c>
      <c r="V643">
        <v>4520.68</v>
      </c>
      <c r="W643" t="s">
        <v>258</v>
      </c>
      <c r="X643" t="s">
        <v>271</v>
      </c>
      <c r="Y643" t="s">
        <v>3821</v>
      </c>
      <c r="AA643" t="s">
        <v>3822</v>
      </c>
      <c r="AB643" t="s">
        <v>181</v>
      </c>
    </row>
    <row r="644" spans="1:28" x14ac:dyDescent="0.25">
      <c r="A644" t="s">
        <v>3777</v>
      </c>
      <c r="B644" t="s">
        <v>3778</v>
      </c>
      <c r="C644" t="s">
        <v>646</v>
      </c>
      <c r="D644" t="s">
        <v>3779</v>
      </c>
      <c r="E644" t="s">
        <v>647</v>
      </c>
      <c r="F644" t="s">
        <v>3780</v>
      </c>
      <c r="G644" t="s">
        <v>769</v>
      </c>
      <c r="H644" t="s">
        <v>708</v>
      </c>
      <c r="I644" t="s">
        <v>798</v>
      </c>
      <c r="J644" t="s">
        <v>524</v>
      </c>
      <c r="K644" t="s">
        <v>166</v>
      </c>
      <c r="L644" t="s">
        <v>0</v>
      </c>
      <c r="M644" t="s">
        <v>178</v>
      </c>
      <c r="N644">
        <v>5</v>
      </c>
      <c r="O644">
        <v>4</v>
      </c>
      <c r="P644">
        <v>76.75</v>
      </c>
      <c r="Q644">
        <v>213.04</v>
      </c>
      <c r="R644">
        <v>41.5</v>
      </c>
      <c r="S644">
        <v>57.155571049999999</v>
      </c>
      <c r="T644">
        <v>0</v>
      </c>
      <c r="U644">
        <v>0</v>
      </c>
      <c r="V644">
        <v>41.5</v>
      </c>
      <c r="W644" t="s">
        <v>258</v>
      </c>
      <c r="X644" t="s">
        <v>271</v>
      </c>
      <c r="Y644" t="s">
        <v>3781</v>
      </c>
      <c r="AA644" t="s">
        <v>3782</v>
      </c>
      <c r="AB644" t="s">
        <v>181</v>
      </c>
    </row>
    <row r="645" spans="1:28" x14ac:dyDescent="0.25">
      <c r="A645" t="s">
        <v>4308</v>
      </c>
      <c r="B645" t="s">
        <v>4309</v>
      </c>
      <c r="C645" t="s">
        <v>646</v>
      </c>
      <c r="D645" t="s">
        <v>3779</v>
      </c>
      <c r="E645" t="s">
        <v>647</v>
      </c>
      <c r="F645" t="s">
        <v>3780</v>
      </c>
      <c r="G645" t="s">
        <v>769</v>
      </c>
      <c r="H645" t="s">
        <v>717</v>
      </c>
      <c r="I645" t="s">
        <v>1184</v>
      </c>
      <c r="J645" t="s">
        <v>1185</v>
      </c>
      <c r="K645" t="s">
        <v>166</v>
      </c>
      <c r="L645" t="s">
        <v>0</v>
      </c>
      <c r="M645" t="s">
        <v>178</v>
      </c>
      <c r="N645">
        <v>51</v>
      </c>
      <c r="O645">
        <v>10</v>
      </c>
      <c r="P645">
        <v>1198.8900000000001</v>
      </c>
      <c r="Q645">
        <v>6257.75</v>
      </c>
      <c r="R645">
        <v>1020.85</v>
      </c>
      <c r="S645">
        <v>204.72934663999999</v>
      </c>
      <c r="T645">
        <v>0</v>
      </c>
      <c r="U645">
        <v>0</v>
      </c>
      <c r="V645">
        <v>1020.85</v>
      </c>
      <c r="W645" t="s">
        <v>1186</v>
      </c>
      <c r="X645" t="s">
        <v>271</v>
      </c>
      <c r="Y645" t="s">
        <v>4310</v>
      </c>
      <c r="AA645" t="s">
        <v>4311</v>
      </c>
      <c r="AB645" t="s">
        <v>181</v>
      </c>
    </row>
    <row r="646" spans="1:28" x14ac:dyDescent="0.25">
      <c r="A646" t="s">
        <v>4333</v>
      </c>
      <c r="B646" t="s">
        <v>4334</v>
      </c>
      <c r="C646" t="s">
        <v>646</v>
      </c>
      <c r="D646" t="s">
        <v>3779</v>
      </c>
      <c r="E646" t="s">
        <v>647</v>
      </c>
      <c r="F646" t="s">
        <v>666</v>
      </c>
      <c r="G646" t="s">
        <v>666</v>
      </c>
      <c r="H646" t="s">
        <v>1045</v>
      </c>
      <c r="I646" t="s">
        <v>3649</v>
      </c>
      <c r="J646" t="s">
        <v>1567</v>
      </c>
      <c r="K646" t="s">
        <v>166</v>
      </c>
      <c r="L646" t="s">
        <v>0</v>
      </c>
      <c r="M646" t="s">
        <v>178</v>
      </c>
      <c r="N646">
        <v>131</v>
      </c>
      <c r="O646">
        <v>128</v>
      </c>
      <c r="P646">
        <v>1332</v>
      </c>
      <c r="Q646">
        <v>7395.17</v>
      </c>
      <c r="R646">
        <v>1219.26</v>
      </c>
      <c r="S646">
        <v>673.06505390999996</v>
      </c>
      <c r="T646">
        <v>0</v>
      </c>
      <c r="U646">
        <v>0</v>
      </c>
      <c r="V646">
        <v>1219.26</v>
      </c>
      <c r="W646" t="s">
        <v>556</v>
      </c>
      <c r="X646" t="s">
        <v>271</v>
      </c>
      <c r="Y646" t="s">
        <v>4335</v>
      </c>
      <c r="AA646" t="s">
        <v>4336</v>
      </c>
      <c r="AB646" t="s">
        <v>181</v>
      </c>
    </row>
    <row r="647" spans="1:28" x14ac:dyDescent="0.25">
      <c r="A647" t="s">
        <v>4031</v>
      </c>
      <c r="B647" t="s">
        <v>4032</v>
      </c>
      <c r="C647" t="s">
        <v>646</v>
      </c>
      <c r="D647" t="s">
        <v>3779</v>
      </c>
      <c r="E647" t="s">
        <v>647</v>
      </c>
      <c r="F647" t="s">
        <v>3780</v>
      </c>
      <c r="G647" t="s">
        <v>769</v>
      </c>
      <c r="H647" t="s">
        <v>649</v>
      </c>
      <c r="I647" t="s">
        <v>1513</v>
      </c>
      <c r="J647" t="s">
        <v>333</v>
      </c>
      <c r="K647" t="s">
        <v>166</v>
      </c>
      <c r="L647" t="s">
        <v>0</v>
      </c>
      <c r="M647" t="s">
        <v>178</v>
      </c>
      <c r="N647">
        <v>1541</v>
      </c>
      <c r="O647">
        <v>1306</v>
      </c>
      <c r="P647">
        <v>34802.160000000003</v>
      </c>
      <c r="Q647">
        <v>95780.83</v>
      </c>
      <c r="R647">
        <v>5135.1753781500001</v>
      </c>
      <c r="S647">
        <v>7797.2456564800004</v>
      </c>
      <c r="T647">
        <v>1.39537815</v>
      </c>
      <c r="U647">
        <v>303.39999999999998</v>
      </c>
      <c r="V647">
        <v>5437.18</v>
      </c>
      <c r="W647" t="s">
        <v>718</v>
      </c>
      <c r="X647" t="s">
        <v>271</v>
      </c>
      <c r="Y647" t="s">
        <v>4033</v>
      </c>
      <c r="AA647" t="s">
        <v>4034</v>
      </c>
      <c r="AB647" t="s">
        <v>181</v>
      </c>
    </row>
    <row r="648" spans="1:28" x14ac:dyDescent="0.25">
      <c r="A648" t="s">
        <v>3777</v>
      </c>
      <c r="B648" t="s">
        <v>3778</v>
      </c>
      <c r="C648" t="s">
        <v>646</v>
      </c>
      <c r="D648" t="s">
        <v>3779</v>
      </c>
      <c r="E648" t="s">
        <v>647</v>
      </c>
      <c r="F648" t="s">
        <v>3780</v>
      </c>
      <c r="G648" t="s">
        <v>769</v>
      </c>
      <c r="H648" t="s">
        <v>717</v>
      </c>
      <c r="I648" t="s">
        <v>798</v>
      </c>
      <c r="J648" t="s">
        <v>524</v>
      </c>
      <c r="K648" t="s">
        <v>166</v>
      </c>
      <c r="L648" t="s">
        <v>0</v>
      </c>
      <c r="M648" t="s">
        <v>178</v>
      </c>
      <c r="N648">
        <v>44</v>
      </c>
      <c r="O648">
        <v>12</v>
      </c>
      <c r="P648">
        <v>775.02</v>
      </c>
      <c r="Q648">
        <v>2411.35</v>
      </c>
      <c r="R648">
        <v>491.41</v>
      </c>
      <c r="S648">
        <v>101.14984570999999</v>
      </c>
      <c r="T648">
        <v>0</v>
      </c>
      <c r="U648">
        <v>0</v>
      </c>
      <c r="V648">
        <v>491.41</v>
      </c>
      <c r="W648" t="s">
        <v>258</v>
      </c>
      <c r="X648" t="s">
        <v>271</v>
      </c>
      <c r="Y648" t="s">
        <v>3781</v>
      </c>
      <c r="AA648" t="s">
        <v>3782</v>
      </c>
      <c r="AB648" t="s">
        <v>181</v>
      </c>
    </row>
    <row r="649" spans="1:28" x14ac:dyDescent="0.25">
      <c r="A649" t="s">
        <v>3875</v>
      </c>
      <c r="B649" t="s">
        <v>3876</v>
      </c>
      <c r="C649" t="s">
        <v>646</v>
      </c>
      <c r="D649" t="s">
        <v>3779</v>
      </c>
      <c r="E649" t="s">
        <v>647</v>
      </c>
      <c r="F649" t="s">
        <v>3780</v>
      </c>
      <c r="G649" t="s">
        <v>769</v>
      </c>
      <c r="H649" t="s">
        <v>761</v>
      </c>
      <c r="I649" t="s">
        <v>1190</v>
      </c>
      <c r="J649" t="s">
        <v>1191</v>
      </c>
      <c r="K649" t="s">
        <v>166</v>
      </c>
      <c r="L649" t="s">
        <v>0</v>
      </c>
      <c r="M649" t="s">
        <v>178</v>
      </c>
      <c r="N649">
        <v>20</v>
      </c>
      <c r="O649">
        <v>10</v>
      </c>
      <c r="P649">
        <v>215.9</v>
      </c>
      <c r="Q649">
        <v>522.51</v>
      </c>
      <c r="R649">
        <v>32.36</v>
      </c>
      <c r="S649">
        <v>123.47052574999999</v>
      </c>
      <c r="T649">
        <v>0</v>
      </c>
      <c r="U649">
        <v>0</v>
      </c>
      <c r="V649">
        <v>32.36</v>
      </c>
      <c r="W649" t="s">
        <v>282</v>
      </c>
      <c r="X649" t="s">
        <v>271</v>
      </c>
      <c r="Y649" t="s">
        <v>2170</v>
      </c>
      <c r="AA649" t="s">
        <v>2171</v>
      </c>
      <c r="AB649" t="s">
        <v>181</v>
      </c>
    </row>
    <row r="650" spans="1:28" x14ac:dyDescent="0.25">
      <c r="A650" t="s">
        <v>4172</v>
      </c>
      <c r="B650" t="s">
        <v>4173</v>
      </c>
      <c r="C650" t="s">
        <v>646</v>
      </c>
      <c r="D650" t="s">
        <v>3779</v>
      </c>
      <c r="E650" t="s">
        <v>647</v>
      </c>
      <c r="F650" t="s">
        <v>3780</v>
      </c>
      <c r="G650" t="s">
        <v>769</v>
      </c>
      <c r="H650" t="s">
        <v>802</v>
      </c>
      <c r="I650" t="s">
        <v>1801</v>
      </c>
      <c r="J650" t="s">
        <v>437</v>
      </c>
      <c r="K650" t="s">
        <v>166</v>
      </c>
      <c r="L650" t="s">
        <v>0</v>
      </c>
      <c r="M650" t="s">
        <v>178</v>
      </c>
      <c r="N650">
        <v>56.166600000000003</v>
      </c>
      <c r="O650">
        <v>45.916600000000003</v>
      </c>
      <c r="P650">
        <v>953.25</v>
      </c>
      <c r="Q650">
        <v>2986.28</v>
      </c>
      <c r="R650">
        <v>640.16999999999996</v>
      </c>
      <c r="S650">
        <v>299.65098918000001</v>
      </c>
      <c r="T650">
        <v>0</v>
      </c>
      <c r="U650">
        <v>0</v>
      </c>
      <c r="V650">
        <v>640.16999999999996</v>
      </c>
      <c r="W650" t="s">
        <v>510</v>
      </c>
      <c r="X650" t="s">
        <v>271</v>
      </c>
      <c r="Y650" t="s">
        <v>4174</v>
      </c>
      <c r="Z650" t="s">
        <v>4175</v>
      </c>
      <c r="AA650" t="s">
        <v>4176</v>
      </c>
      <c r="AB650" t="s">
        <v>181</v>
      </c>
    </row>
    <row r="651" spans="1:28" x14ac:dyDescent="0.25">
      <c r="A651" t="s">
        <v>4039</v>
      </c>
      <c r="B651" t="s">
        <v>4040</v>
      </c>
      <c r="C651" t="s">
        <v>646</v>
      </c>
      <c r="D651" t="s">
        <v>3779</v>
      </c>
      <c r="E651" t="s">
        <v>647</v>
      </c>
      <c r="F651" t="s">
        <v>3780</v>
      </c>
      <c r="G651" t="s">
        <v>769</v>
      </c>
      <c r="H651" t="s">
        <v>802</v>
      </c>
      <c r="I651" t="s">
        <v>1595</v>
      </c>
      <c r="J651" t="s">
        <v>544</v>
      </c>
      <c r="K651" t="s">
        <v>166</v>
      </c>
      <c r="L651" t="s">
        <v>0</v>
      </c>
      <c r="M651" t="s">
        <v>178</v>
      </c>
      <c r="N651">
        <v>37</v>
      </c>
      <c r="O651">
        <v>37</v>
      </c>
      <c r="P651">
        <v>545.02</v>
      </c>
      <c r="Q651">
        <v>1694.81</v>
      </c>
      <c r="R651">
        <v>349.28</v>
      </c>
      <c r="S651">
        <v>192.06720211999999</v>
      </c>
      <c r="T651">
        <v>0</v>
      </c>
      <c r="U651">
        <v>0</v>
      </c>
      <c r="V651">
        <v>349.28</v>
      </c>
      <c r="W651" t="s">
        <v>239</v>
      </c>
      <c r="X651" t="s">
        <v>271</v>
      </c>
      <c r="Y651" t="s">
        <v>4041</v>
      </c>
      <c r="AA651" t="s">
        <v>4042</v>
      </c>
      <c r="AB651" t="s">
        <v>181</v>
      </c>
    </row>
    <row r="652" spans="1:28" x14ac:dyDescent="0.25">
      <c r="A652" t="s">
        <v>3853</v>
      </c>
      <c r="B652" t="s">
        <v>3854</v>
      </c>
      <c r="C652" t="s">
        <v>646</v>
      </c>
      <c r="D652" t="s">
        <v>3779</v>
      </c>
      <c r="E652" t="s">
        <v>647</v>
      </c>
      <c r="F652" t="s">
        <v>3780</v>
      </c>
      <c r="G652" t="s">
        <v>769</v>
      </c>
      <c r="H652" t="s">
        <v>909</v>
      </c>
      <c r="I652" t="s">
        <v>746</v>
      </c>
      <c r="J652" t="s">
        <v>504</v>
      </c>
      <c r="K652" t="s">
        <v>166</v>
      </c>
      <c r="L652" t="s">
        <v>0</v>
      </c>
      <c r="M652" t="s">
        <v>178</v>
      </c>
      <c r="N652">
        <v>119</v>
      </c>
      <c r="O652">
        <v>119</v>
      </c>
      <c r="P652">
        <v>4027.76</v>
      </c>
      <c r="Q652">
        <v>2147.29</v>
      </c>
      <c r="R652">
        <v>-27.00884937</v>
      </c>
      <c r="S652">
        <v>432.07457676000001</v>
      </c>
      <c r="T652">
        <v>0.25115062999999999</v>
      </c>
      <c r="U652">
        <v>0</v>
      </c>
      <c r="V652">
        <v>-27.26</v>
      </c>
      <c r="W652" t="s">
        <v>503</v>
      </c>
      <c r="X652" t="s">
        <v>271</v>
      </c>
      <c r="Y652" t="s">
        <v>3855</v>
      </c>
      <c r="AA652" t="s">
        <v>3856</v>
      </c>
      <c r="AB652" t="s">
        <v>181</v>
      </c>
    </row>
    <row r="653" spans="1:28" x14ac:dyDescent="0.25">
      <c r="A653" t="s">
        <v>4102</v>
      </c>
      <c r="B653" t="s">
        <v>4103</v>
      </c>
      <c r="C653" t="s">
        <v>646</v>
      </c>
      <c r="D653" t="s">
        <v>3779</v>
      </c>
      <c r="E653" t="s">
        <v>647</v>
      </c>
      <c r="F653" t="s">
        <v>3780</v>
      </c>
      <c r="G653" t="s">
        <v>769</v>
      </c>
      <c r="H653" t="s">
        <v>761</v>
      </c>
      <c r="I653" t="s">
        <v>4104</v>
      </c>
      <c r="J653" t="s">
        <v>4105</v>
      </c>
      <c r="K653" t="s">
        <v>166</v>
      </c>
      <c r="L653" t="s">
        <v>0</v>
      </c>
      <c r="M653" t="s">
        <v>178</v>
      </c>
      <c r="N653">
        <v>51</v>
      </c>
      <c r="O653">
        <v>47</v>
      </c>
      <c r="P653">
        <v>1814.27</v>
      </c>
      <c r="Q653">
        <v>2222.13</v>
      </c>
      <c r="R653">
        <v>585.49</v>
      </c>
      <c r="S653">
        <v>468.12109858000002</v>
      </c>
      <c r="T653">
        <v>0</v>
      </c>
      <c r="U653">
        <v>0</v>
      </c>
      <c r="V653">
        <v>585.49</v>
      </c>
      <c r="W653" t="s">
        <v>4106</v>
      </c>
      <c r="X653" t="s">
        <v>269</v>
      </c>
      <c r="Y653" t="s">
        <v>4107</v>
      </c>
      <c r="AA653" t="s">
        <v>4108</v>
      </c>
      <c r="AB653" t="s">
        <v>181</v>
      </c>
    </row>
    <row r="654" spans="1:28" x14ac:dyDescent="0.25">
      <c r="A654" t="s">
        <v>4155</v>
      </c>
      <c r="B654" t="s">
        <v>4156</v>
      </c>
      <c r="C654" t="s">
        <v>646</v>
      </c>
      <c r="D654" t="s">
        <v>3779</v>
      </c>
      <c r="E654" t="s">
        <v>647</v>
      </c>
      <c r="F654" t="s">
        <v>3780</v>
      </c>
      <c r="G654" t="s">
        <v>769</v>
      </c>
      <c r="H654" t="s">
        <v>962</v>
      </c>
      <c r="I654" t="s">
        <v>885</v>
      </c>
      <c r="J654" t="s">
        <v>324</v>
      </c>
      <c r="K654" t="s">
        <v>166</v>
      </c>
      <c r="L654" t="s">
        <v>0</v>
      </c>
      <c r="M654" t="s">
        <v>178</v>
      </c>
      <c r="N654">
        <v>275</v>
      </c>
      <c r="O654">
        <v>196</v>
      </c>
      <c r="P654">
        <v>5407.08</v>
      </c>
      <c r="Q654">
        <v>14515.01</v>
      </c>
      <c r="R654">
        <v>1513.6944438999999</v>
      </c>
      <c r="S654">
        <v>1546.19827476</v>
      </c>
      <c r="T654">
        <v>4.4438999999999998E-3</v>
      </c>
      <c r="U654">
        <v>0</v>
      </c>
      <c r="V654">
        <v>1513.69</v>
      </c>
      <c r="W654" t="s">
        <v>519</v>
      </c>
      <c r="X654" t="s">
        <v>271</v>
      </c>
      <c r="Y654" t="s">
        <v>4157</v>
      </c>
      <c r="AA654" t="s">
        <v>4158</v>
      </c>
      <c r="AB654" t="s">
        <v>181</v>
      </c>
    </row>
    <row r="655" spans="1:28" x14ac:dyDescent="0.25">
      <c r="A655" t="s">
        <v>4147</v>
      </c>
      <c r="B655" t="s">
        <v>4148</v>
      </c>
      <c r="C655" t="s">
        <v>646</v>
      </c>
      <c r="D655" t="s">
        <v>3779</v>
      </c>
      <c r="E655" t="s">
        <v>647</v>
      </c>
      <c r="F655" t="s">
        <v>3780</v>
      </c>
      <c r="G655" t="s">
        <v>769</v>
      </c>
      <c r="H655" t="s">
        <v>679</v>
      </c>
      <c r="I655" t="s">
        <v>1301</v>
      </c>
      <c r="J655" t="s">
        <v>1302</v>
      </c>
      <c r="K655" t="s">
        <v>166</v>
      </c>
      <c r="L655" t="s">
        <v>0</v>
      </c>
      <c r="M655" t="s">
        <v>178</v>
      </c>
      <c r="N655">
        <v>8.1</v>
      </c>
      <c r="O655">
        <v>7</v>
      </c>
      <c r="P655">
        <v>49.75</v>
      </c>
      <c r="Q655">
        <v>350.58</v>
      </c>
      <c r="R655">
        <v>53.11</v>
      </c>
      <c r="S655">
        <v>161.11911610000001</v>
      </c>
      <c r="T655">
        <v>0</v>
      </c>
      <c r="U655">
        <v>0</v>
      </c>
      <c r="V655">
        <v>53.11</v>
      </c>
      <c r="W655" t="s">
        <v>1303</v>
      </c>
      <c r="X655" t="s">
        <v>269</v>
      </c>
      <c r="Y655" t="s">
        <v>4149</v>
      </c>
      <c r="AA655" t="s">
        <v>4150</v>
      </c>
      <c r="AB655" t="s">
        <v>181</v>
      </c>
    </row>
    <row r="656" spans="1:28" x14ac:dyDescent="0.25">
      <c r="A656" t="s">
        <v>4119</v>
      </c>
      <c r="B656" t="s">
        <v>4120</v>
      </c>
      <c r="C656" t="s">
        <v>646</v>
      </c>
      <c r="D656" t="s">
        <v>3779</v>
      </c>
      <c r="E656" t="s">
        <v>647</v>
      </c>
      <c r="F656" t="s">
        <v>3780</v>
      </c>
      <c r="G656" t="s">
        <v>769</v>
      </c>
      <c r="H656" t="s">
        <v>1171</v>
      </c>
      <c r="I656" t="s">
        <v>1374</v>
      </c>
      <c r="J656" t="s">
        <v>441</v>
      </c>
      <c r="K656" t="s">
        <v>166</v>
      </c>
      <c r="L656" t="s">
        <v>0</v>
      </c>
      <c r="M656" t="s">
        <v>178</v>
      </c>
      <c r="N656">
        <v>106</v>
      </c>
      <c r="O656">
        <v>62</v>
      </c>
      <c r="P656">
        <v>3397.83</v>
      </c>
      <c r="Q656">
        <v>16147.06</v>
      </c>
      <c r="R656">
        <v>1680.5337800100001</v>
      </c>
      <c r="S656">
        <v>260.34775112</v>
      </c>
      <c r="T656">
        <v>1.6137800099999999</v>
      </c>
      <c r="U656">
        <v>0</v>
      </c>
      <c r="V656">
        <v>1678.92</v>
      </c>
      <c r="W656" t="s">
        <v>440</v>
      </c>
      <c r="X656" t="s">
        <v>271</v>
      </c>
      <c r="Y656" t="s">
        <v>4121</v>
      </c>
      <c r="AA656" t="s">
        <v>4122</v>
      </c>
      <c r="AB656" t="s">
        <v>181</v>
      </c>
    </row>
    <row r="657" spans="1:28" x14ac:dyDescent="0.25">
      <c r="A657" t="s">
        <v>3998</v>
      </c>
      <c r="B657" t="s">
        <v>3999</v>
      </c>
      <c r="C657" t="s">
        <v>646</v>
      </c>
      <c r="D657" t="s">
        <v>3779</v>
      </c>
      <c r="E657" t="s">
        <v>647</v>
      </c>
      <c r="F657" t="s">
        <v>3780</v>
      </c>
      <c r="G657" t="s">
        <v>769</v>
      </c>
      <c r="H657" t="s">
        <v>797</v>
      </c>
      <c r="I657" t="s">
        <v>1636</v>
      </c>
      <c r="J657" t="s">
        <v>1637</v>
      </c>
      <c r="K657" t="s">
        <v>166</v>
      </c>
      <c r="L657" t="s">
        <v>0</v>
      </c>
      <c r="M657" t="s">
        <v>178</v>
      </c>
      <c r="N657">
        <v>54</v>
      </c>
      <c r="O657">
        <v>0</v>
      </c>
      <c r="P657">
        <v>586.35</v>
      </c>
      <c r="Q657">
        <v>1784.38</v>
      </c>
      <c r="R657">
        <v>235.72</v>
      </c>
      <c r="S657">
        <v>64.782896840000006</v>
      </c>
      <c r="T657">
        <v>0</v>
      </c>
      <c r="U657">
        <v>0</v>
      </c>
      <c r="V657">
        <v>235.72</v>
      </c>
      <c r="W657" t="s">
        <v>1638</v>
      </c>
      <c r="X657" t="s">
        <v>271</v>
      </c>
      <c r="Y657" t="s">
        <v>4000</v>
      </c>
      <c r="AA657" t="s">
        <v>4001</v>
      </c>
      <c r="AB657" t="s">
        <v>181</v>
      </c>
    </row>
    <row r="658" spans="1:28" x14ac:dyDescent="0.25">
      <c r="A658" t="s">
        <v>3977</v>
      </c>
      <c r="B658" t="s">
        <v>3978</v>
      </c>
      <c r="C658" t="s">
        <v>646</v>
      </c>
      <c r="D658" t="s">
        <v>3779</v>
      </c>
      <c r="E658" t="s">
        <v>647</v>
      </c>
      <c r="F658" t="s">
        <v>3780</v>
      </c>
      <c r="G658" t="s">
        <v>769</v>
      </c>
      <c r="H658" t="s">
        <v>909</v>
      </c>
      <c r="I658" t="s">
        <v>1489</v>
      </c>
      <c r="J658" t="s">
        <v>816</v>
      </c>
      <c r="K658" t="s">
        <v>166</v>
      </c>
      <c r="L658" t="s">
        <v>0</v>
      </c>
      <c r="M658" t="s">
        <v>178</v>
      </c>
      <c r="N658">
        <v>80</v>
      </c>
      <c r="O658">
        <v>71</v>
      </c>
      <c r="P658">
        <v>2695.61</v>
      </c>
      <c r="Q658">
        <v>4078.64</v>
      </c>
      <c r="R658">
        <v>79.87</v>
      </c>
      <c r="S658">
        <v>938.45538984999996</v>
      </c>
      <c r="T658">
        <v>0</v>
      </c>
      <c r="U658">
        <v>0</v>
      </c>
      <c r="V658">
        <v>79.87</v>
      </c>
      <c r="W658" t="s">
        <v>817</v>
      </c>
      <c r="X658" t="s">
        <v>271</v>
      </c>
      <c r="Y658" t="s">
        <v>3979</v>
      </c>
      <c r="AA658" t="s">
        <v>3980</v>
      </c>
      <c r="AB658" t="s">
        <v>181</v>
      </c>
    </row>
    <row r="659" spans="1:28" x14ac:dyDescent="0.25">
      <c r="A659" t="s">
        <v>3921</v>
      </c>
      <c r="B659" t="s">
        <v>3922</v>
      </c>
      <c r="C659" t="s">
        <v>646</v>
      </c>
      <c r="D659" t="s">
        <v>3779</v>
      </c>
      <c r="E659" t="s">
        <v>647</v>
      </c>
      <c r="F659" t="s">
        <v>666</v>
      </c>
      <c r="G659" t="s">
        <v>666</v>
      </c>
      <c r="H659" t="s">
        <v>717</v>
      </c>
      <c r="I659" t="s">
        <v>902</v>
      </c>
      <c r="J659" t="s">
        <v>562</v>
      </c>
      <c r="K659" t="s">
        <v>166</v>
      </c>
      <c r="L659" t="s">
        <v>0</v>
      </c>
      <c r="M659" t="s">
        <v>178</v>
      </c>
      <c r="N659">
        <v>363</v>
      </c>
      <c r="O659">
        <v>296</v>
      </c>
      <c r="P659">
        <v>4025.1</v>
      </c>
      <c r="Q659">
        <v>12232.99</v>
      </c>
      <c r="R659">
        <v>1724.78</v>
      </c>
      <c r="S659">
        <v>1025.5788234199999</v>
      </c>
      <c r="T659">
        <v>0</v>
      </c>
      <c r="U659">
        <v>0</v>
      </c>
      <c r="V659">
        <v>1724.78</v>
      </c>
      <c r="W659" t="s">
        <v>0</v>
      </c>
      <c r="X659" t="s">
        <v>271</v>
      </c>
      <c r="Y659" t="s">
        <v>3923</v>
      </c>
      <c r="AA659" t="s">
        <v>3924</v>
      </c>
      <c r="AB659" t="s">
        <v>181</v>
      </c>
    </row>
    <row r="660" spans="1:28" x14ac:dyDescent="0.25">
      <c r="A660" t="s">
        <v>4074</v>
      </c>
      <c r="B660" t="s">
        <v>4075</v>
      </c>
      <c r="C660" t="s">
        <v>646</v>
      </c>
      <c r="D660" t="s">
        <v>3779</v>
      </c>
      <c r="E660" t="s">
        <v>647</v>
      </c>
      <c r="F660" t="s">
        <v>3780</v>
      </c>
      <c r="G660" t="s">
        <v>769</v>
      </c>
      <c r="H660" t="s">
        <v>770</v>
      </c>
      <c r="I660" t="s">
        <v>1284</v>
      </c>
      <c r="J660" t="s">
        <v>1285</v>
      </c>
      <c r="K660" t="s">
        <v>166</v>
      </c>
      <c r="L660" t="s">
        <v>0</v>
      </c>
      <c r="M660" t="s">
        <v>178</v>
      </c>
      <c r="N660">
        <v>58</v>
      </c>
      <c r="O660">
        <v>37</v>
      </c>
      <c r="P660">
        <v>968</v>
      </c>
      <c r="Q660">
        <v>1191.1099999999999</v>
      </c>
      <c r="R660">
        <v>218.61</v>
      </c>
      <c r="S660">
        <v>160.53511033999999</v>
      </c>
      <c r="T660">
        <v>0</v>
      </c>
      <c r="U660">
        <v>0</v>
      </c>
      <c r="V660">
        <v>218.61</v>
      </c>
      <c r="W660" t="s">
        <v>1286</v>
      </c>
      <c r="X660" t="s">
        <v>269</v>
      </c>
      <c r="Y660" t="s">
        <v>4076</v>
      </c>
      <c r="AA660" t="s">
        <v>4077</v>
      </c>
      <c r="AB660" t="s">
        <v>181</v>
      </c>
    </row>
    <row r="661" spans="1:28" x14ac:dyDescent="0.25">
      <c r="A661" t="s">
        <v>4349</v>
      </c>
      <c r="B661" t="s">
        <v>4350</v>
      </c>
      <c r="C661" t="s">
        <v>646</v>
      </c>
      <c r="D661" t="s">
        <v>3779</v>
      </c>
      <c r="E661" t="s">
        <v>647</v>
      </c>
      <c r="F661" t="s">
        <v>3780</v>
      </c>
      <c r="G661" t="s">
        <v>769</v>
      </c>
      <c r="H661" t="s">
        <v>962</v>
      </c>
      <c r="I661" t="s">
        <v>2242</v>
      </c>
      <c r="J661" t="s">
        <v>2243</v>
      </c>
      <c r="K661" t="s">
        <v>166</v>
      </c>
      <c r="L661" t="s">
        <v>0</v>
      </c>
      <c r="M661" t="s">
        <v>178</v>
      </c>
      <c r="N661">
        <v>178</v>
      </c>
      <c r="O661">
        <v>178</v>
      </c>
      <c r="P661">
        <v>507.37</v>
      </c>
      <c r="Q661">
        <v>9104.6299999999992</v>
      </c>
      <c r="R661">
        <v>2783.8055511600001</v>
      </c>
      <c r="S661">
        <v>758.63702811999997</v>
      </c>
      <c r="T661">
        <v>3.5551159999999998E-2</v>
      </c>
      <c r="U661">
        <v>0</v>
      </c>
      <c r="V661">
        <v>2783.77</v>
      </c>
      <c r="W661" t="s">
        <v>1601</v>
      </c>
      <c r="X661" t="s">
        <v>269</v>
      </c>
      <c r="Y661" t="s">
        <v>4351</v>
      </c>
      <c r="AA661" t="s">
        <v>4352</v>
      </c>
      <c r="AB661" t="s">
        <v>181</v>
      </c>
    </row>
    <row r="662" spans="1:28" x14ac:dyDescent="0.25">
      <c r="A662" t="s">
        <v>4320</v>
      </c>
      <c r="B662" t="s">
        <v>4321</v>
      </c>
      <c r="C662" t="s">
        <v>646</v>
      </c>
      <c r="D662" t="s">
        <v>3779</v>
      </c>
      <c r="E662" t="s">
        <v>647</v>
      </c>
      <c r="F662" t="s">
        <v>3780</v>
      </c>
      <c r="G662" t="s">
        <v>769</v>
      </c>
      <c r="H662" t="s">
        <v>909</v>
      </c>
      <c r="I662" t="s">
        <v>1010</v>
      </c>
      <c r="J662" t="s">
        <v>1011</v>
      </c>
      <c r="K662" t="s">
        <v>166</v>
      </c>
      <c r="L662" t="s">
        <v>0</v>
      </c>
      <c r="M662" t="s">
        <v>178</v>
      </c>
      <c r="N662">
        <v>45.333300000000001</v>
      </c>
      <c r="O662">
        <v>45.333300000000001</v>
      </c>
      <c r="P662">
        <v>1219.28</v>
      </c>
      <c r="Q662">
        <v>1181.57</v>
      </c>
      <c r="R662">
        <v>108.0167725</v>
      </c>
      <c r="S662">
        <v>316.37569730000001</v>
      </c>
      <c r="T662">
        <v>0.19677249999999999</v>
      </c>
      <c r="U662">
        <v>0</v>
      </c>
      <c r="V662">
        <v>107.82</v>
      </c>
      <c r="W662" t="s">
        <v>0</v>
      </c>
      <c r="X662" t="s">
        <v>271</v>
      </c>
      <c r="Y662" t="s">
        <v>4322</v>
      </c>
      <c r="AA662" t="s">
        <v>4323</v>
      </c>
      <c r="AB662" t="s">
        <v>181</v>
      </c>
    </row>
    <row r="663" spans="1:28" x14ac:dyDescent="0.25">
      <c r="A663" t="s">
        <v>4361</v>
      </c>
      <c r="B663" t="s">
        <v>4362</v>
      </c>
      <c r="C663" t="s">
        <v>646</v>
      </c>
      <c r="D663" t="s">
        <v>3779</v>
      </c>
      <c r="E663" t="s">
        <v>647</v>
      </c>
      <c r="F663" t="s">
        <v>3780</v>
      </c>
      <c r="G663" t="s">
        <v>769</v>
      </c>
      <c r="H663" t="s">
        <v>909</v>
      </c>
      <c r="I663" t="s">
        <v>1712</v>
      </c>
      <c r="J663" t="s">
        <v>335</v>
      </c>
      <c r="K663" t="s">
        <v>166</v>
      </c>
      <c r="L663" t="s">
        <v>0</v>
      </c>
      <c r="M663" t="s">
        <v>178</v>
      </c>
      <c r="N663">
        <v>8</v>
      </c>
      <c r="O663">
        <v>8</v>
      </c>
      <c r="P663">
        <v>280</v>
      </c>
      <c r="Q663">
        <v>164.48</v>
      </c>
      <c r="R663">
        <v>25.75</v>
      </c>
      <c r="S663">
        <v>28.272412379999999</v>
      </c>
      <c r="T663">
        <v>0</v>
      </c>
      <c r="U663">
        <v>0</v>
      </c>
      <c r="V663">
        <v>25.75</v>
      </c>
      <c r="W663" t="s">
        <v>572</v>
      </c>
      <c r="X663" t="s">
        <v>271</v>
      </c>
      <c r="Y663" t="s">
        <v>4363</v>
      </c>
      <c r="AA663" t="s">
        <v>4364</v>
      </c>
      <c r="AB663" t="s">
        <v>181</v>
      </c>
    </row>
    <row r="664" spans="1:28" x14ac:dyDescent="0.25">
      <c r="A664" t="s">
        <v>4320</v>
      </c>
      <c r="B664" t="s">
        <v>4321</v>
      </c>
      <c r="C664" t="s">
        <v>646</v>
      </c>
      <c r="D664" t="s">
        <v>3779</v>
      </c>
      <c r="E664" t="s">
        <v>647</v>
      </c>
      <c r="F664" t="s">
        <v>3780</v>
      </c>
      <c r="G664" t="s">
        <v>769</v>
      </c>
      <c r="H664" t="s">
        <v>1175</v>
      </c>
      <c r="I664" t="s">
        <v>1010</v>
      </c>
      <c r="J664" t="s">
        <v>1011</v>
      </c>
      <c r="K664" t="s">
        <v>166</v>
      </c>
      <c r="L664" t="s">
        <v>0</v>
      </c>
      <c r="M664" t="s">
        <v>178</v>
      </c>
      <c r="N664">
        <v>189</v>
      </c>
      <c r="O664">
        <v>101</v>
      </c>
      <c r="P664">
        <v>3580</v>
      </c>
      <c r="Q664">
        <v>5908.36</v>
      </c>
      <c r="R664">
        <v>826.1</v>
      </c>
      <c r="S664">
        <v>1004.49546742</v>
      </c>
      <c r="T664">
        <v>0</v>
      </c>
      <c r="U664">
        <v>0</v>
      </c>
      <c r="V664">
        <v>826.1</v>
      </c>
      <c r="W664" t="s">
        <v>0</v>
      </c>
      <c r="X664" t="s">
        <v>271</v>
      </c>
      <c r="Y664" t="s">
        <v>4322</v>
      </c>
      <c r="AA664" t="s">
        <v>4323</v>
      </c>
      <c r="AB664" t="s">
        <v>181</v>
      </c>
    </row>
    <row r="665" spans="1:28" x14ac:dyDescent="0.25">
      <c r="A665" t="s">
        <v>4357</v>
      </c>
      <c r="B665" t="s">
        <v>4358</v>
      </c>
      <c r="C665" t="s">
        <v>646</v>
      </c>
      <c r="D665" t="s">
        <v>3779</v>
      </c>
      <c r="E665" t="s">
        <v>647</v>
      </c>
      <c r="F665" t="s">
        <v>3780</v>
      </c>
      <c r="G665" t="s">
        <v>769</v>
      </c>
      <c r="H665" t="s">
        <v>909</v>
      </c>
      <c r="I665" t="s">
        <v>1599</v>
      </c>
      <c r="J665" t="s">
        <v>1600</v>
      </c>
      <c r="K665" t="s">
        <v>166</v>
      </c>
      <c r="L665" t="s">
        <v>0</v>
      </c>
      <c r="M665" t="s">
        <v>178</v>
      </c>
      <c r="N665">
        <v>80</v>
      </c>
      <c r="O665">
        <v>75</v>
      </c>
      <c r="P665">
        <v>2809.65</v>
      </c>
      <c r="Q665">
        <v>2441.4699999999998</v>
      </c>
      <c r="R665">
        <v>418.69</v>
      </c>
      <c r="S665">
        <v>487.87230176000003</v>
      </c>
      <c r="T665">
        <v>0</v>
      </c>
      <c r="U665">
        <v>0</v>
      </c>
      <c r="V665">
        <v>418.69</v>
      </c>
      <c r="W665" t="s">
        <v>1601</v>
      </c>
      <c r="X665" t="s">
        <v>269</v>
      </c>
      <c r="Y665" t="s">
        <v>4359</v>
      </c>
      <c r="AA665" t="s">
        <v>4360</v>
      </c>
      <c r="AB665" t="s">
        <v>181</v>
      </c>
    </row>
    <row r="666" spans="1:28" x14ac:dyDescent="0.25">
      <c r="A666" t="s">
        <v>4342</v>
      </c>
      <c r="B666" t="s">
        <v>4343</v>
      </c>
      <c r="C666" t="s">
        <v>646</v>
      </c>
      <c r="D666" t="s">
        <v>3779</v>
      </c>
      <c r="E666" t="s">
        <v>647</v>
      </c>
      <c r="F666" t="s">
        <v>666</v>
      </c>
      <c r="G666" t="s">
        <v>666</v>
      </c>
      <c r="H666" t="s">
        <v>717</v>
      </c>
      <c r="I666" t="s">
        <v>4344</v>
      </c>
      <c r="J666" t="s">
        <v>355</v>
      </c>
      <c r="K666" t="s">
        <v>166</v>
      </c>
      <c r="L666" t="s">
        <v>0</v>
      </c>
      <c r="M666" t="s">
        <v>178</v>
      </c>
      <c r="N666">
        <v>219</v>
      </c>
      <c r="O666">
        <v>70</v>
      </c>
      <c r="P666">
        <v>2848.7</v>
      </c>
      <c r="Q666">
        <v>14229.75</v>
      </c>
      <c r="R666">
        <v>3399.72</v>
      </c>
      <c r="S666">
        <v>59.460716789999999</v>
      </c>
      <c r="T666">
        <v>0</v>
      </c>
      <c r="U666">
        <v>0</v>
      </c>
      <c r="V666">
        <v>3399.72</v>
      </c>
      <c r="W666" t="s">
        <v>0</v>
      </c>
      <c r="X666" t="s">
        <v>271</v>
      </c>
      <c r="Y666" t="s">
        <v>4345</v>
      </c>
      <c r="AA666" t="s">
        <v>3894</v>
      </c>
      <c r="AB666" t="s">
        <v>181</v>
      </c>
    </row>
    <row r="667" spans="1:28" x14ac:dyDescent="0.25">
      <c r="A667" t="s">
        <v>4147</v>
      </c>
      <c r="B667" t="s">
        <v>4148</v>
      </c>
      <c r="C667" t="s">
        <v>646</v>
      </c>
      <c r="D667" t="s">
        <v>3779</v>
      </c>
      <c r="E667" t="s">
        <v>647</v>
      </c>
      <c r="F667" t="s">
        <v>3780</v>
      </c>
      <c r="G667" t="s">
        <v>769</v>
      </c>
      <c r="H667" t="s">
        <v>761</v>
      </c>
      <c r="I667" t="s">
        <v>1301</v>
      </c>
      <c r="J667" t="s">
        <v>1302</v>
      </c>
      <c r="K667" t="s">
        <v>166</v>
      </c>
      <c r="L667" t="s">
        <v>0</v>
      </c>
      <c r="M667" t="s">
        <v>178</v>
      </c>
      <c r="N667">
        <v>40.999899999999997</v>
      </c>
      <c r="O667">
        <v>40.999899999999997</v>
      </c>
      <c r="P667">
        <v>1675.9</v>
      </c>
      <c r="Q667">
        <v>1386.8</v>
      </c>
      <c r="R667">
        <v>377.04</v>
      </c>
      <c r="S667">
        <v>267.77508770999998</v>
      </c>
      <c r="T667">
        <v>0</v>
      </c>
      <c r="U667">
        <v>0</v>
      </c>
      <c r="V667">
        <v>377.04</v>
      </c>
      <c r="W667" t="s">
        <v>1303</v>
      </c>
      <c r="X667" t="s">
        <v>269</v>
      </c>
      <c r="Y667" t="s">
        <v>4149</v>
      </c>
      <c r="AA667" t="s">
        <v>4150</v>
      </c>
      <c r="AB667" t="s">
        <v>181</v>
      </c>
    </row>
    <row r="668" spans="1:28" x14ac:dyDescent="0.25">
      <c r="A668" t="s">
        <v>4179</v>
      </c>
      <c r="B668" t="s">
        <v>4180</v>
      </c>
      <c r="C668" t="s">
        <v>646</v>
      </c>
      <c r="D668" t="s">
        <v>3779</v>
      </c>
      <c r="E668" t="s">
        <v>647</v>
      </c>
      <c r="F668" t="s">
        <v>3780</v>
      </c>
      <c r="G668" t="s">
        <v>769</v>
      </c>
      <c r="H668" t="s">
        <v>708</v>
      </c>
      <c r="I668" t="s">
        <v>4181</v>
      </c>
      <c r="J668" t="s">
        <v>816</v>
      </c>
      <c r="K668" t="s">
        <v>166</v>
      </c>
      <c r="L668" t="s">
        <v>0</v>
      </c>
      <c r="M668" t="s">
        <v>178</v>
      </c>
      <c r="N668">
        <v>1</v>
      </c>
      <c r="O668">
        <v>1</v>
      </c>
      <c r="P668">
        <v>0.81</v>
      </c>
      <c r="Q668">
        <v>29.94</v>
      </c>
      <c r="R668">
        <v>5.69</v>
      </c>
      <c r="S668">
        <v>2.0099999999999998</v>
      </c>
      <c r="T668">
        <v>0</v>
      </c>
      <c r="U668">
        <v>0</v>
      </c>
      <c r="V668">
        <v>5.69</v>
      </c>
      <c r="W668" t="s">
        <v>1490</v>
      </c>
      <c r="X668" t="s">
        <v>271</v>
      </c>
      <c r="Y668" t="s">
        <v>4182</v>
      </c>
      <c r="AA668" t="s">
        <v>4183</v>
      </c>
      <c r="AB668" t="s">
        <v>181</v>
      </c>
    </row>
    <row r="669" spans="1:28" x14ac:dyDescent="0.25">
      <c r="A669" t="s">
        <v>3938</v>
      </c>
      <c r="B669" t="s">
        <v>3939</v>
      </c>
      <c r="C669" t="s">
        <v>646</v>
      </c>
      <c r="D669" t="s">
        <v>3779</v>
      </c>
      <c r="E669" t="s">
        <v>647</v>
      </c>
      <c r="F669" t="s">
        <v>3780</v>
      </c>
      <c r="G669" t="s">
        <v>769</v>
      </c>
      <c r="H669" t="s">
        <v>649</v>
      </c>
      <c r="I669" t="s">
        <v>3940</v>
      </c>
      <c r="J669" t="s">
        <v>3941</v>
      </c>
      <c r="K669" t="s">
        <v>166</v>
      </c>
      <c r="L669" t="s">
        <v>0</v>
      </c>
      <c r="M669" t="s">
        <v>178</v>
      </c>
      <c r="N669">
        <v>2</v>
      </c>
      <c r="O669">
        <v>2</v>
      </c>
      <c r="P669">
        <v>20</v>
      </c>
      <c r="Q669">
        <v>75.22</v>
      </c>
      <c r="R669">
        <v>11.42</v>
      </c>
      <c r="S669">
        <v>11.3</v>
      </c>
      <c r="T669">
        <v>0</v>
      </c>
      <c r="U669">
        <v>0</v>
      </c>
      <c r="V669">
        <v>11.42</v>
      </c>
      <c r="W669" t="s">
        <v>0</v>
      </c>
      <c r="X669" t="s">
        <v>271</v>
      </c>
      <c r="Y669" t="s">
        <v>3942</v>
      </c>
      <c r="AA669" t="s">
        <v>3943</v>
      </c>
      <c r="AB669" t="s">
        <v>181</v>
      </c>
    </row>
    <row r="670" spans="1:28" x14ac:dyDescent="0.25">
      <c r="A670" t="s">
        <v>4092</v>
      </c>
      <c r="B670" t="s">
        <v>4093</v>
      </c>
      <c r="C670" t="s">
        <v>646</v>
      </c>
      <c r="D670" t="s">
        <v>3779</v>
      </c>
      <c r="E670" t="s">
        <v>647</v>
      </c>
      <c r="F670" t="s">
        <v>3780</v>
      </c>
      <c r="G670" t="s">
        <v>769</v>
      </c>
      <c r="H670" t="s">
        <v>708</v>
      </c>
      <c r="I670" t="s">
        <v>4094</v>
      </c>
      <c r="J670" t="s">
        <v>370</v>
      </c>
      <c r="K670" t="s">
        <v>166</v>
      </c>
      <c r="L670" t="s">
        <v>0</v>
      </c>
      <c r="M670" t="s">
        <v>178</v>
      </c>
      <c r="N670">
        <v>26</v>
      </c>
      <c r="O670">
        <v>14</v>
      </c>
      <c r="P670">
        <v>360.54</v>
      </c>
      <c r="Q670">
        <v>1158.68</v>
      </c>
      <c r="R670">
        <v>180.93</v>
      </c>
      <c r="S670">
        <v>250.53829013000001</v>
      </c>
      <c r="T670">
        <v>0</v>
      </c>
      <c r="U670">
        <v>0</v>
      </c>
      <c r="V670">
        <v>180.93</v>
      </c>
      <c r="W670" t="s">
        <v>314</v>
      </c>
      <c r="X670" t="s">
        <v>271</v>
      </c>
      <c r="Y670" t="s">
        <v>4095</v>
      </c>
      <c r="Z670" t="s">
        <v>4096</v>
      </c>
      <c r="AA670" t="s">
        <v>4097</v>
      </c>
      <c r="AB670" t="s">
        <v>181</v>
      </c>
    </row>
    <row r="671" spans="1:28" x14ac:dyDescent="0.25">
      <c r="A671" t="s">
        <v>4069</v>
      </c>
      <c r="B671" t="s">
        <v>4070</v>
      </c>
      <c r="C671" t="s">
        <v>646</v>
      </c>
      <c r="D671" t="s">
        <v>3779</v>
      </c>
      <c r="E671" t="s">
        <v>647</v>
      </c>
      <c r="F671" t="s">
        <v>3780</v>
      </c>
      <c r="G671" t="s">
        <v>769</v>
      </c>
      <c r="H671" t="s">
        <v>1515</v>
      </c>
      <c r="I671" t="s">
        <v>4071</v>
      </c>
      <c r="J671" t="s">
        <v>785</v>
      </c>
      <c r="K671" t="s">
        <v>166</v>
      </c>
      <c r="L671" t="s">
        <v>0</v>
      </c>
      <c r="M671" t="s">
        <v>178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 t="s">
        <v>0</v>
      </c>
      <c r="X671" t="s">
        <v>271</v>
      </c>
      <c r="Y671" t="s">
        <v>4072</v>
      </c>
      <c r="AA671" t="s">
        <v>4073</v>
      </c>
      <c r="AB671" t="s">
        <v>181</v>
      </c>
    </row>
    <row r="672" spans="1:28" x14ac:dyDescent="0.25">
      <c r="A672" t="s">
        <v>4280</v>
      </c>
      <c r="B672" t="s">
        <v>4281</v>
      </c>
      <c r="C672" t="s">
        <v>646</v>
      </c>
      <c r="D672" t="s">
        <v>3779</v>
      </c>
      <c r="E672" t="s">
        <v>647</v>
      </c>
      <c r="F672" t="s">
        <v>3780</v>
      </c>
      <c r="G672" t="s">
        <v>769</v>
      </c>
      <c r="H672" t="s">
        <v>1515</v>
      </c>
      <c r="I672" t="s">
        <v>1872</v>
      </c>
      <c r="J672" t="s">
        <v>1873</v>
      </c>
      <c r="K672" t="s">
        <v>166</v>
      </c>
      <c r="L672" t="s">
        <v>0</v>
      </c>
      <c r="M672" t="s">
        <v>178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 t="s">
        <v>1874</v>
      </c>
      <c r="X672" t="s">
        <v>271</v>
      </c>
      <c r="Y672" t="s">
        <v>4282</v>
      </c>
      <c r="AA672" t="s">
        <v>4283</v>
      </c>
      <c r="AB672" t="s">
        <v>181</v>
      </c>
    </row>
    <row r="673" spans="1:28" x14ac:dyDescent="0.25">
      <c r="A673" t="s">
        <v>4147</v>
      </c>
      <c r="B673" t="s">
        <v>4148</v>
      </c>
      <c r="C673" t="s">
        <v>646</v>
      </c>
      <c r="D673" t="s">
        <v>3779</v>
      </c>
      <c r="E673" t="s">
        <v>647</v>
      </c>
      <c r="F673" t="s">
        <v>3780</v>
      </c>
      <c r="G673" t="s">
        <v>769</v>
      </c>
      <c r="H673" t="s">
        <v>1515</v>
      </c>
      <c r="I673" t="s">
        <v>1301</v>
      </c>
      <c r="J673" t="s">
        <v>1302</v>
      </c>
      <c r="K673" t="s">
        <v>166</v>
      </c>
      <c r="L673" t="s">
        <v>0</v>
      </c>
      <c r="M673" t="s">
        <v>178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 t="s">
        <v>1303</v>
      </c>
      <c r="X673" t="s">
        <v>269</v>
      </c>
      <c r="Y673" t="s">
        <v>4149</v>
      </c>
      <c r="AA673" t="s">
        <v>4150</v>
      </c>
      <c r="AB673" t="s">
        <v>181</v>
      </c>
    </row>
    <row r="674" spans="1:28" x14ac:dyDescent="0.25">
      <c r="A674" t="s">
        <v>4074</v>
      </c>
      <c r="B674" t="s">
        <v>4075</v>
      </c>
      <c r="C674" t="s">
        <v>646</v>
      </c>
      <c r="D674" t="s">
        <v>3779</v>
      </c>
      <c r="E674" t="s">
        <v>647</v>
      </c>
      <c r="F674" t="s">
        <v>3780</v>
      </c>
      <c r="G674" t="s">
        <v>769</v>
      </c>
      <c r="H674" t="s">
        <v>730</v>
      </c>
      <c r="I674" t="s">
        <v>1284</v>
      </c>
      <c r="J674" t="s">
        <v>1285</v>
      </c>
      <c r="K674" t="s">
        <v>166</v>
      </c>
      <c r="L674" t="s">
        <v>0</v>
      </c>
      <c r="M674" t="s">
        <v>178</v>
      </c>
      <c r="N674">
        <v>4</v>
      </c>
      <c r="O674">
        <v>4</v>
      </c>
      <c r="P674">
        <v>232</v>
      </c>
      <c r="Q674">
        <v>63.52</v>
      </c>
      <c r="R674">
        <v>19.88</v>
      </c>
      <c r="S674">
        <v>15.33840294</v>
      </c>
      <c r="T674">
        <v>0</v>
      </c>
      <c r="U674">
        <v>0</v>
      </c>
      <c r="V674">
        <v>19.88</v>
      </c>
      <c r="W674" t="s">
        <v>1286</v>
      </c>
      <c r="X674" t="s">
        <v>269</v>
      </c>
      <c r="Y674" t="s">
        <v>4076</v>
      </c>
      <c r="AA674" t="s">
        <v>4077</v>
      </c>
      <c r="AB674" t="s">
        <v>181</v>
      </c>
    </row>
    <row r="675" spans="1:28" x14ac:dyDescent="0.25">
      <c r="A675" t="s">
        <v>4248</v>
      </c>
      <c r="B675" t="s">
        <v>4249</v>
      </c>
      <c r="C675" t="s">
        <v>646</v>
      </c>
      <c r="D675" t="s">
        <v>3779</v>
      </c>
      <c r="E675" t="s">
        <v>647</v>
      </c>
      <c r="F675" t="s">
        <v>3780</v>
      </c>
      <c r="G675" t="s">
        <v>769</v>
      </c>
      <c r="H675" t="s">
        <v>770</v>
      </c>
      <c r="I675" t="s">
        <v>1913</v>
      </c>
      <c r="J675" t="s">
        <v>1914</v>
      </c>
      <c r="K675" t="s">
        <v>166</v>
      </c>
      <c r="L675" t="s">
        <v>0</v>
      </c>
      <c r="M675" t="s">
        <v>178</v>
      </c>
      <c r="N675">
        <v>1030.75</v>
      </c>
      <c r="O675">
        <v>654.75</v>
      </c>
      <c r="P675">
        <v>31680.9</v>
      </c>
      <c r="Q675">
        <v>22464.03</v>
      </c>
      <c r="R675">
        <v>2576.31</v>
      </c>
      <c r="S675">
        <v>3054.7431235899999</v>
      </c>
      <c r="T675">
        <v>0</v>
      </c>
      <c r="U675">
        <v>0</v>
      </c>
      <c r="V675">
        <v>2576.31</v>
      </c>
      <c r="W675" t="s">
        <v>1915</v>
      </c>
      <c r="X675" t="s">
        <v>269</v>
      </c>
      <c r="Y675" t="s">
        <v>4250</v>
      </c>
      <c r="AA675" t="s">
        <v>4251</v>
      </c>
      <c r="AB675" t="s">
        <v>181</v>
      </c>
    </row>
    <row r="676" spans="1:28" x14ac:dyDescent="0.25">
      <c r="A676" t="s">
        <v>4219</v>
      </c>
      <c r="B676" t="s">
        <v>4220</v>
      </c>
      <c r="C676" t="s">
        <v>646</v>
      </c>
      <c r="D676" t="s">
        <v>3779</v>
      </c>
      <c r="E676" t="s">
        <v>647</v>
      </c>
      <c r="F676" t="s">
        <v>3780</v>
      </c>
      <c r="G676" t="s">
        <v>769</v>
      </c>
      <c r="H676" t="s">
        <v>909</v>
      </c>
      <c r="I676" t="s">
        <v>1208</v>
      </c>
      <c r="J676" t="s">
        <v>1209</v>
      </c>
      <c r="K676" t="s">
        <v>166</v>
      </c>
      <c r="L676" t="s">
        <v>0</v>
      </c>
      <c r="M676" t="s">
        <v>178</v>
      </c>
      <c r="N676">
        <v>63</v>
      </c>
      <c r="O676">
        <v>33</v>
      </c>
      <c r="P676">
        <v>2493</v>
      </c>
      <c r="Q676">
        <v>2294.5300000000002</v>
      </c>
      <c r="R676">
        <v>413.07</v>
      </c>
      <c r="S676">
        <v>189.16551009</v>
      </c>
      <c r="T676">
        <v>0</v>
      </c>
      <c r="U676">
        <v>0</v>
      </c>
      <c r="V676">
        <v>413.07</v>
      </c>
      <c r="W676" t="s">
        <v>1210</v>
      </c>
      <c r="X676" t="s">
        <v>271</v>
      </c>
      <c r="Y676" t="s">
        <v>4221</v>
      </c>
      <c r="AA676" t="s">
        <v>4222</v>
      </c>
      <c r="AB676" t="s">
        <v>181</v>
      </c>
    </row>
    <row r="677" spans="1:28" x14ac:dyDescent="0.25">
      <c r="A677" t="s">
        <v>4228</v>
      </c>
      <c r="B677" t="s">
        <v>4229</v>
      </c>
      <c r="C677" t="s">
        <v>646</v>
      </c>
      <c r="D677" t="s">
        <v>3779</v>
      </c>
      <c r="E677" t="s">
        <v>647</v>
      </c>
      <c r="F677" t="s">
        <v>3780</v>
      </c>
      <c r="G677" t="s">
        <v>769</v>
      </c>
      <c r="H677" t="s">
        <v>703</v>
      </c>
      <c r="I677" t="s">
        <v>1971</v>
      </c>
      <c r="J677" t="s">
        <v>1972</v>
      </c>
      <c r="K677" t="s">
        <v>166</v>
      </c>
      <c r="L677" t="s">
        <v>0</v>
      </c>
      <c r="M677" t="s">
        <v>178</v>
      </c>
      <c r="N677">
        <v>1185</v>
      </c>
      <c r="O677">
        <v>662</v>
      </c>
      <c r="P677">
        <v>26118.58</v>
      </c>
      <c r="Q677">
        <v>41539.89</v>
      </c>
      <c r="R677">
        <v>8952.5863998299992</v>
      </c>
      <c r="S677">
        <v>6911.0392927599996</v>
      </c>
      <c r="T677">
        <v>1.0263998299999999</v>
      </c>
      <c r="U677">
        <v>0</v>
      </c>
      <c r="V677">
        <v>8951.56</v>
      </c>
      <c r="W677" t="s">
        <v>1973</v>
      </c>
      <c r="X677" t="s">
        <v>271</v>
      </c>
      <c r="Y677" t="s">
        <v>4230</v>
      </c>
      <c r="AA677" t="s">
        <v>4231</v>
      </c>
      <c r="AB677" t="s">
        <v>181</v>
      </c>
    </row>
    <row r="678" spans="1:28" x14ac:dyDescent="0.25">
      <c r="A678" t="s">
        <v>4219</v>
      </c>
      <c r="B678" t="s">
        <v>4220</v>
      </c>
      <c r="C678" t="s">
        <v>646</v>
      </c>
      <c r="D678" t="s">
        <v>3779</v>
      </c>
      <c r="E678" t="s">
        <v>647</v>
      </c>
      <c r="F678" t="s">
        <v>3780</v>
      </c>
      <c r="G678" t="s">
        <v>769</v>
      </c>
      <c r="H678" t="s">
        <v>672</v>
      </c>
      <c r="I678" t="s">
        <v>1208</v>
      </c>
      <c r="J678" t="s">
        <v>1209</v>
      </c>
      <c r="K678" t="s">
        <v>166</v>
      </c>
      <c r="L678" t="s">
        <v>0</v>
      </c>
      <c r="M678" t="s">
        <v>178</v>
      </c>
      <c r="N678">
        <v>321</v>
      </c>
      <c r="O678">
        <v>315</v>
      </c>
      <c r="P678">
        <v>2360.06</v>
      </c>
      <c r="Q678">
        <v>17497.169999999998</v>
      </c>
      <c r="R678">
        <v>3146.5691677599998</v>
      </c>
      <c r="S678">
        <v>4980.48709624</v>
      </c>
      <c r="T678">
        <v>6.9167759999999995E-2</v>
      </c>
      <c r="U678">
        <v>0</v>
      </c>
      <c r="V678">
        <v>3146.5</v>
      </c>
      <c r="W678" t="s">
        <v>1210</v>
      </c>
      <c r="X678" t="s">
        <v>271</v>
      </c>
      <c r="Y678" t="s">
        <v>4221</v>
      </c>
      <c r="AA678" t="s">
        <v>4222</v>
      </c>
      <c r="AB678" t="s">
        <v>181</v>
      </c>
    </row>
    <row r="679" spans="1:28" x14ac:dyDescent="0.25">
      <c r="A679" t="s">
        <v>3985</v>
      </c>
      <c r="B679" t="s">
        <v>3986</v>
      </c>
      <c r="C679" t="s">
        <v>646</v>
      </c>
      <c r="D679" t="s">
        <v>3779</v>
      </c>
      <c r="E679" t="s">
        <v>647</v>
      </c>
      <c r="F679" t="s">
        <v>3780</v>
      </c>
      <c r="G679" t="s">
        <v>769</v>
      </c>
      <c r="H679" t="s">
        <v>770</v>
      </c>
      <c r="I679" t="s">
        <v>3987</v>
      </c>
      <c r="J679" t="s">
        <v>3988</v>
      </c>
      <c r="K679" t="s">
        <v>166</v>
      </c>
      <c r="L679" t="s">
        <v>0</v>
      </c>
      <c r="M679" t="s">
        <v>178</v>
      </c>
      <c r="N679">
        <v>253.5</v>
      </c>
      <c r="O679">
        <v>127.5</v>
      </c>
      <c r="P679">
        <v>3579.25</v>
      </c>
      <c r="Q679">
        <v>6169.59</v>
      </c>
      <c r="R679">
        <v>1061.74</v>
      </c>
      <c r="S679">
        <v>691.19992645000002</v>
      </c>
      <c r="T679">
        <v>0</v>
      </c>
      <c r="U679">
        <v>0</v>
      </c>
      <c r="V679">
        <v>1061.74</v>
      </c>
      <c r="W679" t="s">
        <v>3989</v>
      </c>
      <c r="X679" t="s">
        <v>271</v>
      </c>
      <c r="Y679" t="s">
        <v>3990</v>
      </c>
      <c r="AA679" t="s">
        <v>3991</v>
      </c>
      <c r="AB679" t="s">
        <v>181</v>
      </c>
    </row>
    <row r="680" spans="1:28" x14ac:dyDescent="0.25">
      <c r="A680" t="s">
        <v>3806</v>
      </c>
      <c r="B680" t="s">
        <v>3807</v>
      </c>
      <c r="C680" t="s">
        <v>646</v>
      </c>
      <c r="D680" t="s">
        <v>3779</v>
      </c>
      <c r="E680" t="s">
        <v>647</v>
      </c>
      <c r="F680" t="s">
        <v>3780</v>
      </c>
      <c r="G680" t="s">
        <v>769</v>
      </c>
      <c r="H680" t="s">
        <v>683</v>
      </c>
      <c r="I680" t="s">
        <v>2071</v>
      </c>
      <c r="J680" t="s">
        <v>1664</v>
      </c>
      <c r="K680" t="s">
        <v>166</v>
      </c>
      <c r="L680" t="s">
        <v>0</v>
      </c>
      <c r="M680" t="s">
        <v>178</v>
      </c>
      <c r="N680">
        <v>580</v>
      </c>
      <c r="O680">
        <v>388</v>
      </c>
      <c r="P680">
        <v>7882.79</v>
      </c>
      <c r="Q680">
        <v>29665.37</v>
      </c>
      <c r="R680">
        <v>5698.73</v>
      </c>
      <c r="S680">
        <v>5547.64421339</v>
      </c>
      <c r="T680">
        <v>0</v>
      </c>
      <c r="U680">
        <v>0</v>
      </c>
      <c r="V680">
        <v>5698.73</v>
      </c>
      <c r="W680" t="s">
        <v>1665</v>
      </c>
      <c r="X680" t="s">
        <v>271</v>
      </c>
      <c r="Y680" t="s">
        <v>3808</v>
      </c>
      <c r="AA680" t="s">
        <v>3809</v>
      </c>
      <c r="AB680" t="s">
        <v>181</v>
      </c>
    </row>
    <row r="681" spans="1:28" x14ac:dyDescent="0.25">
      <c r="A681" t="s">
        <v>4196</v>
      </c>
      <c r="B681" t="s">
        <v>4197</v>
      </c>
      <c r="C681" t="s">
        <v>646</v>
      </c>
      <c r="D681" t="s">
        <v>3779</v>
      </c>
      <c r="E681" t="s">
        <v>647</v>
      </c>
      <c r="F681" t="s">
        <v>3780</v>
      </c>
      <c r="G681" t="s">
        <v>769</v>
      </c>
      <c r="H681" t="s">
        <v>703</v>
      </c>
      <c r="I681" t="s">
        <v>4198</v>
      </c>
      <c r="J681" t="s">
        <v>870</v>
      </c>
      <c r="K681" t="s">
        <v>166</v>
      </c>
      <c r="L681" t="s">
        <v>0</v>
      </c>
      <c r="M681" t="s">
        <v>178</v>
      </c>
      <c r="N681">
        <v>470.75</v>
      </c>
      <c r="O681">
        <v>445</v>
      </c>
      <c r="P681">
        <v>5895.87</v>
      </c>
      <c r="Q681">
        <v>14913.21</v>
      </c>
      <c r="R681">
        <v>2425.8523376100002</v>
      </c>
      <c r="S681">
        <v>4103.1247693400001</v>
      </c>
      <c r="T681">
        <v>5.233761E-2</v>
      </c>
      <c r="U681">
        <v>0</v>
      </c>
      <c r="V681">
        <v>2425.8000000000002</v>
      </c>
      <c r="W681" t="s">
        <v>871</v>
      </c>
      <c r="X681" t="s">
        <v>271</v>
      </c>
      <c r="Y681" t="s">
        <v>4199</v>
      </c>
      <c r="AA681" t="s">
        <v>4200</v>
      </c>
      <c r="AB681" t="s">
        <v>181</v>
      </c>
    </row>
    <row r="682" spans="1:28" x14ac:dyDescent="0.25">
      <c r="A682" t="s">
        <v>3865</v>
      </c>
      <c r="B682" t="s">
        <v>3866</v>
      </c>
      <c r="C682" t="s">
        <v>646</v>
      </c>
      <c r="D682" t="s">
        <v>3779</v>
      </c>
      <c r="E682" t="s">
        <v>647</v>
      </c>
      <c r="F682" t="s">
        <v>3780</v>
      </c>
      <c r="G682" t="s">
        <v>769</v>
      </c>
      <c r="H682" t="s">
        <v>708</v>
      </c>
      <c r="I682" t="s">
        <v>3867</v>
      </c>
      <c r="J682" t="s">
        <v>881</v>
      </c>
      <c r="K682" t="s">
        <v>166</v>
      </c>
      <c r="L682" t="s">
        <v>0</v>
      </c>
      <c r="M682" t="s">
        <v>178</v>
      </c>
      <c r="N682">
        <v>14</v>
      </c>
      <c r="O682">
        <v>13</v>
      </c>
      <c r="P682">
        <v>133.9</v>
      </c>
      <c r="Q682">
        <v>340.23</v>
      </c>
      <c r="R682">
        <v>75.33</v>
      </c>
      <c r="S682">
        <v>81.40106625</v>
      </c>
      <c r="T682">
        <v>0</v>
      </c>
      <c r="U682">
        <v>0</v>
      </c>
      <c r="V682">
        <v>75.33</v>
      </c>
      <c r="W682" t="s">
        <v>0</v>
      </c>
      <c r="X682" t="s">
        <v>271</v>
      </c>
      <c r="Y682" t="s">
        <v>3868</v>
      </c>
      <c r="AA682" t="s">
        <v>3869</v>
      </c>
      <c r="AB682" t="s">
        <v>181</v>
      </c>
    </row>
    <row r="683" spans="1:28" x14ac:dyDescent="0.25">
      <c r="A683" t="s">
        <v>4244</v>
      </c>
      <c r="B683" t="s">
        <v>4245</v>
      </c>
      <c r="C683" t="s">
        <v>646</v>
      </c>
      <c r="D683" t="s">
        <v>3779</v>
      </c>
      <c r="E683" t="s">
        <v>647</v>
      </c>
      <c r="F683" t="s">
        <v>3780</v>
      </c>
      <c r="G683" t="s">
        <v>769</v>
      </c>
      <c r="H683" t="s">
        <v>713</v>
      </c>
      <c r="I683" t="s">
        <v>1251</v>
      </c>
      <c r="J683" t="s">
        <v>821</v>
      </c>
      <c r="K683" t="s">
        <v>166</v>
      </c>
      <c r="L683" t="s">
        <v>0</v>
      </c>
      <c r="M683" t="s">
        <v>178</v>
      </c>
      <c r="N683">
        <v>107.16670000000001</v>
      </c>
      <c r="O683">
        <v>15.166700000000001</v>
      </c>
      <c r="P683">
        <v>2659.23</v>
      </c>
      <c r="Q683">
        <v>3771.83</v>
      </c>
      <c r="R683">
        <v>730.11</v>
      </c>
      <c r="S683">
        <v>264.75603030000002</v>
      </c>
      <c r="T683">
        <v>3.5</v>
      </c>
      <c r="U683">
        <v>0</v>
      </c>
      <c r="V683">
        <v>726.61</v>
      </c>
      <c r="W683" t="s">
        <v>822</v>
      </c>
      <c r="X683" t="s">
        <v>269</v>
      </c>
      <c r="Y683" t="s">
        <v>4246</v>
      </c>
      <c r="AA683" t="s">
        <v>4247</v>
      </c>
      <c r="AB683" t="s">
        <v>181</v>
      </c>
    </row>
    <row r="684" spans="1:28" x14ac:dyDescent="0.25">
      <c r="A684" t="s">
        <v>4139</v>
      </c>
      <c r="B684" t="s">
        <v>4140</v>
      </c>
      <c r="C684" t="s">
        <v>646</v>
      </c>
      <c r="D684" t="s">
        <v>3779</v>
      </c>
      <c r="E684" t="s">
        <v>647</v>
      </c>
      <c r="F684" t="s">
        <v>3780</v>
      </c>
      <c r="G684" t="s">
        <v>769</v>
      </c>
      <c r="H684" t="s">
        <v>761</v>
      </c>
      <c r="I684" t="s">
        <v>778</v>
      </c>
      <c r="J684" t="s">
        <v>428</v>
      </c>
      <c r="K684" t="s">
        <v>166</v>
      </c>
      <c r="L684" t="s">
        <v>0</v>
      </c>
      <c r="M684" t="s">
        <v>178</v>
      </c>
      <c r="N684">
        <v>66</v>
      </c>
      <c r="O684">
        <v>51</v>
      </c>
      <c r="P684">
        <v>2126.98</v>
      </c>
      <c r="Q684">
        <v>2938.88</v>
      </c>
      <c r="R684">
        <v>766.22</v>
      </c>
      <c r="S684">
        <v>544.48328437999999</v>
      </c>
      <c r="T684">
        <v>0</v>
      </c>
      <c r="U684">
        <v>0</v>
      </c>
      <c r="V684">
        <v>766.22</v>
      </c>
      <c r="W684" t="s">
        <v>547</v>
      </c>
      <c r="X684" t="s">
        <v>271</v>
      </c>
      <c r="Y684" t="s">
        <v>4141</v>
      </c>
      <c r="AA684" t="s">
        <v>4142</v>
      </c>
      <c r="AB684" t="s">
        <v>181</v>
      </c>
    </row>
    <row r="685" spans="1:28" x14ac:dyDescent="0.25">
      <c r="A685" t="s">
        <v>3973</v>
      </c>
      <c r="B685" t="s">
        <v>3974</v>
      </c>
      <c r="C685" t="s">
        <v>646</v>
      </c>
      <c r="D685" t="s">
        <v>3779</v>
      </c>
      <c r="E685" t="s">
        <v>647</v>
      </c>
      <c r="F685" t="s">
        <v>3780</v>
      </c>
      <c r="G685" t="s">
        <v>769</v>
      </c>
      <c r="H685" t="s">
        <v>679</v>
      </c>
      <c r="I685" t="s">
        <v>880</v>
      </c>
      <c r="J685" t="s">
        <v>881</v>
      </c>
      <c r="K685" t="s">
        <v>166</v>
      </c>
      <c r="L685" t="s">
        <v>0</v>
      </c>
      <c r="M685" t="s">
        <v>178</v>
      </c>
      <c r="N685">
        <v>27</v>
      </c>
      <c r="O685">
        <v>27</v>
      </c>
      <c r="P685">
        <v>473.86</v>
      </c>
      <c r="Q685">
        <v>1040</v>
      </c>
      <c r="R685">
        <v>61.648675849999997</v>
      </c>
      <c r="S685">
        <v>297.26045212999998</v>
      </c>
      <c r="T685">
        <v>-0.20132415000000001</v>
      </c>
      <c r="U685">
        <v>0</v>
      </c>
      <c r="V685">
        <v>61.85</v>
      </c>
      <c r="W685" t="s">
        <v>0</v>
      </c>
      <c r="X685" t="s">
        <v>271</v>
      </c>
      <c r="Y685" t="s">
        <v>3975</v>
      </c>
      <c r="AA685" t="s">
        <v>3976</v>
      </c>
      <c r="AB685" t="s">
        <v>181</v>
      </c>
    </row>
    <row r="686" spans="1:28" x14ac:dyDescent="0.25">
      <c r="A686" t="s">
        <v>4284</v>
      </c>
      <c r="B686" t="s">
        <v>4285</v>
      </c>
      <c r="C686" t="s">
        <v>646</v>
      </c>
      <c r="D686" t="s">
        <v>3779</v>
      </c>
      <c r="E686" t="s">
        <v>647</v>
      </c>
      <c r="F686" t="s">
        <v>3780</v>
      </c>
      <c r="G686" t="s">
        <v>769</v>
      </c>
      <c r="H686" t="s">
        <v>1171</v>
      </c>
      <c r="I686" t="s">
        <v>778</v>
      </c>
      <c r="J686" t="s">
        <v>428</v>
      </c>
      <c r="K686" t="s">
        <v>166</v>
      </c>
      <c r="L686" t="s">
        <v>0</v>
      </c>
      <c r="M686" t="s">
        <v>178</v>
      </c>
      <c r="N686">
        <v>207</v>
      </c>
      <c r="O686">
        <v>189</v>
      </c>
      <c r="P686">
        <v>3425.19</v>
      </c>
      <c r="Q686">
        <v>44292.21</v>
      </c>
      <c r="R686">
        <v>6213.9239720100004</v>
      </c>
      <c r="S686">
        <v>133.39421425</v>
      </c>
      <c r="T686">
        <v>17.033972009999999</v>
      </c>
      <c r="U686">
        <v>0</v>
      </c>
      <c r="V686">
        <v>6196.89</v>
      </c>
      <c r="W686" t="s">
        <v>1977</v>
      </c>
      <c r="X686" t="s">
        <v>271</v>
      </c>
      <c r="Y686" t="s">
        <v>4286</v>
      </c>
      <c r="AA686" t="s">
        <v>4287</v>
      </c>
      <c r="AB686" t="s">
        <v>181</v>
      </c>
    </row>
    <row r="687" spans="1:28" x14ac:dyDescent="0.25">
      <c r="A687" t="s">
        <v>3801</v>
      </c>
      <c r="B687" t="s">
        <v>3802</v>
      </c>
      <c r="C687" t="s">
        <v>646</v>
      </c>
      <c r="D687" t="s">
        <v>3779</v>
      </c>
      <c r="E687" t="s">
        <v>647</v>
      </c>
      <c r="F687" t="s">
        <v>666</v>
      </c>
      <c r="G687" t="s">
        <v>666</v>
      </c>
      <c r="H687" t="s">
        <v>1171</v>
      </c>
      <c r="I687" t="s">
        <v>3803</v>
      </c>
      <c r="J687" t="s">
        <v>2577</v>
      </c>
      <c r="K687" t="s">
        <v>166</v>
      </c>
      <c r="L687" t="s">
        <v>0</v>
      </c>
      <c r="M687" t="s">
        <v>178</v>
      </c>
      <c r="N687">
        <v>178</v>
      </c>
      <c r="O687">
        <v>78</v>
      </c>
      <c r="P687">
        <v>4758.1099999999997</v>
      </c>
      <c r="Q687">
        <v>24757.54</v>
      </c>
      <c r="R687">
        <v>2719.1308005199999</v>
      </c>
      <c r="S687">
        <v>247.90597148000001</v>
      </c>
      <c r="T687">
        <v>4.3008005200000001</v>
      </c>
      <c r="U687">
        <v>0</v>
      </c>
      <c r="V687">
        <v>2714.83</v>
      </c>
      <c r="W687" t="s">
        <v>2578</v>
      </c>
      <c r="X687" t="s">
        <v>271</v>
      </c>
      <c r="Y687" t="s">
        <v>3804</v>
      </c>
      <c r="AA687" t="s">
        <v>3805</v>
      </c>
      <c r="AB687" t="s">
        <v>181</v>
      </c>
    </row>
    <row r="688" spans="1:28" x14ac:dyDescent="0.25">
      <c r="A688" t="s">
        <v>4015</v>
      </c>
      <c r="B688" t="s">
        <v>4016</v>
      </c>
      <c r="C688" t="s">
        <v>646</v>
      </c>
      <c r="D688" t="s">
        <v>3779</v>
      </c>
      <c r="E688" t="s">
        <v>647</v>
      </c>
      <c r="F688" t="s">
        <v>3780</v>
      </c>
      <c r="G688" t="s">
        <v>769</v>
      </c>
      <c r="H688" t="s">
        <v>761</v>
      </c>
      <c r="I688" t="s">
        <v>4017</v>
      </c>
      <c r="J688" t="s">
        <v>4018</v>
      </c>
      <c r="K688" t="s">
        <v>166</v>
      </c>
      <c r="L688" t="s">
        <v>0</v>
      </c>
      <c r="M688" t="s">
        <v>178</v>
      </c>
      <c r="N688">
        <v>47.833399999999997</v>
      </c>
      <c r="O688">
        <v>37.833399999999997</v>
      </c>
      <c r="P688">
        <v>1548.91</v>
      </c>
      <c r="Q688">
        <v>1873.84</v>
      </c>
      <c r="R688">
        <v>279.39</v>
      </c>
      <c r="S688">
        <v>320.40177944999999</v>
      </c>
      <c r="T688">
        <v>0</v>
      </c>
      <c r="U688">
        <v>0</v>
      </c>
      <c r="V688">
        <v>279.39</v>
      </c>
      <c r="W688" t="s">
        <v>4019</v>
      </c>
      <c r="X688" t="s">
        <v>271</v>
      </c>
      <c r="Y688" t="s">
        <v>4020</v>
      </c>
      <c r="AA688" t="s">
        <v>4021</v>
      </c>
      <c r="AB688" t="s">
        <v>181</v>
      </c>
    </row>
    <row r="689" spans="1:28" x14ac:dyDescent="0.25">
      <c r="A689" t="s">
        <v>4015</v>
      </c>
      <c r="B689" t="s">
        <v>4016</v>
      </c>
      <c r="C689" t="s">
        <v>646</v>
      </c>
      <c r="D689" t="s">
        <v>3779</v>
      </c>
      <c r="E689" t="s">
        <v>647</v>
      </c>
      <c r="F689" t="s">
        <v>3780</v>
      </c>
      <c r="G689" t="s">
        <v>769</v>
      </c>
      <c r="H689" t="s">
        <v>1045</v>
      </c>
      <c r="I689" t="s">
        <v>4017</v>
      </c>
      <c r="J689" t="s">
        <v>4018</v>
      </c>
      <c r="K689" t="s">
        <v>166</v>
      </c>
      <c r="L689" t="s">
        <v>0</v>
      </c>
      <c r="M689" t="s">
        <v>178</v>
      </c>
      <c r="N689">
        <v>31</v>
      </c>
      <c r="O689">
        <v>16</v>
      </c>
      <c r="P689">
        <v>336.4</v>
      </c>
      <c r="Q689">
        <v>4205.46</v>
      </c>
      <c r="R689">
        <v>609.1</v>
      </c>
      <c r="S689">
        <v>166.99991255</v>
      </c>
      <c r="T689">
        <v>0</v>
      </c>
      <c r="U689">
        <v>0</v>
      </c>
      <c r="V689">
        <v>609.1</v>
      </c>
      <c r="W689" t="s">
        <v>4019</v>
      </c>
      <c r="X689" t="s">
        <v>271</v>
      </c>
      <c r="Y689" t="s">
        <v>4020</v>
      </c>
      <c r="AA689" t="s">
        <v>4021</v>
      </c>
      <c r="AB689" t="s">
        <v>181</v>
      </c>
    </row>
    <row r="690" spans="1:28" x14ac:dyDescent="0.25">
      <c r="A690" t="s">
        <v>4284</v>
      </c>
      <c r="B690" t="s">
        <v>4285</v>
      </c>
      <c r="C690" t="s">
        <v>646</v>
      </c>
      <c r="D690" t="s">
        <v>3779</v>
      </c>
      <c r="E690" t="s">
        <v>647</v>
      </c>
      <c r="F690" t="s">
        <v>3780</v>
      </c>
      <c r="G690" t="s">
        <v>769</v>
      </c>
      <c r="H690" t="s">
        <v>1045</v>
      </c>
      <c r="I690" t="s">
        <v>778</v>
      </c>
      <c r="J690" t="s">
        <v>428</v>
      </c>
      <c r="K690" t="s">
        <v>166</v>
      </c>
      <c r="L690" t="s">
        <v>0</v>
      </c>
      <c r="M690" t="s">
        <v>178</v>
      </c>
      <c r="N690">
        <v>194</v>
      </c>
      <c r="O690">
        <v>136</v>
      </c>
      <c r="P690">
        <v>2065.7199999999998</v>
      </c>
      <c r="Q690">
        <v>23045.91</v>
      </c>
      <c r="R690">
        <v>5484.26</v>
      </c>
      <c r="S690">
        <v>1110.25147806</v>
      </c>
      <c r="T690">
        <v>0</v>
      </c>
      <c r="U690">
        <v>0</v>
      </c>
      <c r="V690">
        <v>5484.26</v>
      </c>
      <c r="W690" t="s">
        <v>1977</v>
      </c>
      <c r="X690" t="s">
        <v>271</v>
      </c>
      <c r="Y690" t="s">
        <v>4286</v>
      </c>
      <c r="AA690" t="s">
        <v>4287</v>
      </c>
      <c r="AB690" t="s">
        <v>181</v>
      </c>
    </row>
    <row r="691" spans="1:28" x14ac:dyDescent="0.25">
      <c r="A691" t="s">
        <v>3913</v>
      </c>
      <c r="B691" t="s">
        <v>3914</v>
      </c>
      <c r="C691" t="s">
        <v>646</v>
      </c>
      <c r="D691" t="s">
        <v>3779</v>
      </c>
      <c r="E691" t="s">
        <v>647</v>
      </c>
      <c r="F691" t="s">
        <v>3780</v>
      </c>
      <c r="G691" t="s">
        <v>769</v>
      </c>
      <c r="H691" t="s">
        <v>713</v>
      </c>
      <c r="I691" t="s">
        <v>984</v>
      </c>
      <c r="J691" t="s">
        <v>985</v>
      </c>
      <c r="K691" t="s">
        <v>166</v>
      </c>
      <c r="L691" t="s">
        <v>0</v>
      </c>
      <c r="M691" t="s">
        <v>178</v>
      </c>
      <c r="N691">
        <v>355.41669999999999</v>
      </c>
      <c r="O691">
        <v>200.41669999999999</v>
      </c>
      <c r="P691">
        <v>8688.8700000000008</v>
      </c>
      <c r="Q691">
        <v>8679.5400000000009</v>
      </c>
      <c r="R691">
        <v>1350.37</v>
      </c>
      <c r="S691">
        <v>607.45895876999998</v>
      </c>
      <c r="T691">
        <v>0</v>
      </c>
      <c r="U691">
        <v>0</v>
      </c>
      <c r="V691">
        <v>1350.37</v>
      </c>
      <c r="W691" t="s">
        <v>986</v>
      </c>
      <c r="X691" t="s">
        <v>271</v>
      </c>
      <c r="Y691" t="s">
        <v>3915</v>
      </c>
      <c r="AA691" t="s">
        <v>3916</v>
      </c>
      <c r="AB691" t="s">
        <v>181</v>
      </c>
    </row>
    <row r="692" spans="1:28" x14ac:dyDescent="0.25">
      <c r="A692" t="s">
        <v>4308</v>
      </c>
      <c r="B692" t="s">
        <v>4309</v>
      </c>
      <c r="C692" t="s">
        <v>646</v>
      </c>
      <c r="D692" t="s">
        <v>3779</v>
      </c>
      <c r="E692" t="s">
        <v>647</v>
      </c>
      <c r="F692" t="s">
        <v>3780</v>
      </c>
      <c r="G692" t="s">
        <v>769</v>
      </c>
      <c r="H692" t="s">
        <v>679</v>
      </c>
      <c r="I692" t="s">
        <v>1184</v>
      </c>
      <c r="J692" t="s">
        <v>1185</v>
      </c>
      <c r="K692" t="s">
        <v>166</v>
      </c>
      <c r="L692" t="s">
        <v>0</v>
      </c>
      <c r="M692" t="s">
        <v>178</v>
      </c>
      <c r="N692">
        <v>10.1</v>
      </c>
      <c r="O692">
        <v>4</v>
      </c>
      <c r="P692">
        <v>39.700000000000003</v>
      </c>
      <c r="Q692">
        <v>188.42</v>
      </c>
      <c r="R692">
        <v>62.845273730000002</v>
      </c>
      <c r="S692">
        <v>30.82357356</v>
      </c>
      <c r="T692">
        <v>-0.46472627</v>
      </c>
      <c r="U692">
        <v>0</v>
      </c>
      <c r="V692">
        <v>63.31</v>
      </c>
      <c r="W692" t="s">
        <v>1186</v>
      </c>
      <c r="X692" t="s">
        <v>271</v>
      </c>
      <c r="Y692" t="s">
        <v>4310</v>
      </c>
      <c r="AA692" t="s">
        <v>4311</v>
      </c>
      <c r="AB692" t="s">
        <v>181</v>
      </c>
    </row>
    <row r="693" spans="1:28" x14ac:dyDescent="0.25">
      <c r="A693" t="s">
        <v>4316</v>
      </c>
      <c r="B693" t="s">
        <v>4317</v>
      </c>
      <c r="C693" t="s">
        <v>646</v>
      </c>
      <c r="D693" t="s">
        <v>3779</v>
      </c>
      <c r="E693" t="s">
        <v>647</v>
      </c>
      <c r="F693" t="s">
        <v>3780</v>
      </c>
      <c r="G693" t="s">
        <v>769</v>
      </c>
      <c r="H693" t="s">
        <v>1171</v>
      </c>
      <c r="I693" t="s">
        <v>1290</v>
      </c>
      <c r="J693" t="s">
        <v>1291</v>
      </c>
      <c r="K693" t="s">
        <v>166</v>
      </c>
      <c r="L693" t="s">
        <v>0</v>
      </c>
      <c r="M693" t="s">
        <v>178</v>
      </c>
      <c r="N693">
        <v>10</v>
      </c>
      <c r="O693">
        <v>9</v>
      </c>
      <c r="P693">
        <v>251.7</v>
      </c>
      <c r="Q693">
        <v>2621.3200000000002</v>
      </c>
      <c r="R693">
        <v>317.46978530000001</v>
      </c>
      <c r="S693">
        <v>21.688739139999999</v>
      </c>
      <c r="T693">
        <v>9.7853000000000002E-3</v>
      </c>
      <c r="U693">
        <v>0</v>
      </c>
      <c r="V693">
        <v>317.45999999999998</v>
      </c>
      <c r="W693" t="s">
        <v>1292</v>
      </c>
      <c r="X693" t="s">
        <v>271</v>
      </c>
      <c r="Y693" t="s">
        <v>4318</v>
      </c>
      <c r="AA693" t="s">
        <v>4319</v>
      </c>
      <c r="AB693" t="s">
        <v>181</v>
      </c>
    </row>
    <row r="694" spans="1:28" x14ac:dyDescent="0.25">
      <c r="A694" t="s">
        <v>4265</v>
      </c>
      <c r="B694" t="s">
        <v>4266</v>
      </c>
      <c r="C694" t="s">
        <v>646</v>
      </c>
      <c r="D694" t="s">
        <v>3779</v>
      </c>
      <c r="E694" t="s">
        <v>647</v>
      </c>
      <c r="F694" t="s">
        <v>666</v>
      </c>
      <c r="G694" t="s">
        <v>666</v>
      </c>
      <c r="H694" t="s">
        <v>1175</v>
      </c>
      <c r="I694" t="s">
        <v>4267</v>
      </c>
      <c r="J694" t="s">
        <v>326</v>
      </c>
      <c r="K694" t="s">
        <v>166</v>
      </c>
      <c r="L694" t="s">
        <v>0</v>
      </c>
      <c r="M694" t="s">
        <v>178</v>
      </c>
      <c r="N694">
        <v>20</v>
      </c>
      <c r="O694">
        <v>12</v>
      </c>
      <c r="P694">
        <v>384</v>
      </c>
      <c r="Q694">
        <v>594.52</v>
      </c>
      <c r="R694">
        <v>71.319999999999993</v>
      </c>
      <c r="S694">
        <v>107.21868277</v>
      </c>
      <c r="T694">
        <v>0</v>
      </c>
      <c r="U694">
        <v>0</v>
      </c>
      <c r="V694">
        <v>71.319999999999993</v>
      </c>
      <c r="W694" t="s">
        <v>450</v>
      </c>
      <c r="X694" t="s">
        <v>271</v>
      </c>
      <c r="Y694" t="s">
        <v>4268</v>
      </c>
      <c r="AA694" t="s">
        <v>4269</v>
      </c>
      <c r="AB694" t="s">
        <v>181</v>
      </c>
    </row>
    <row r="695" spans="1:28" x14ac:dyDescent="0.25">
      <c r="A695" t="s">
        <v>4196</v>
      </c>
      <c r="B695" t="s">
        <v>4197</v>
      </c>
      <c r="C695" t="s">
        <v>646</v>
      </c>
      <c r="D695" t="s">
        <v>3779</v>
      </c>
      <c r="E695" t="s">
        <v>647</v>
      </c>
      <c r="F695" t="s">
        <v>3780</v>
      </c>
      <c r="G695" t="s">
        <v>769</v>
      </c>
      <c r="H695" t="s">
        <v>730</v>
      </c>
      <c r="I695" t="s">
        <v>4198</v>
      </c>
      <c r="J695" t="s">
        <v>870</v>
      </c>
      <c r="K695" t="s">
        <v>166</v>
      </c>
      <c r="L695" t="s">
        <v>0</v>
      </c>
      <c r="M695" t="s">
        <v>178</v>
      </c>
      <c r="N695">
        <v>59</v>
      </c>
      <c r="O695">
        <v>30</v>
      </c>
      <c r="P695">
        <v>2053.48</v>
      </c>
      <c r="Q695">
        <v>5966.61</v>
      </c>
      <c r="R695">
        <v>580.36431424</v>
      </c>
      <c r="S695">
        <v>265.6040208</v>
      </c>
      <c r="T695">
        <v>593.19431424000004</v>
      </c>
      <c r="U695">
        <v>0</v>
      </c>
      <c r="V695">
        <v>625.82000000000005</v>
      </c>
      <c r="W695" t="s">
        <v>871</v>
      </c>
      <c r="X695" t="s">
        <v>271</v>
      </c>
      <c r="Y695" t="s">
        <v>4199</v>
      </c>
      <c r="AA695" t="s">
        <v>4200</v>
      </c>
      <c r="AB695" t="s">
        <v>181</v>
      </c>
    </row>
    <row r="696" spans="1:28" x14ac:dyDescent="0.25">
      <c r="A696" t="s">
        <v>4275</v>
      </c>
      <c r="B696" t="s">
        <v>4276</v>
      </c>
      <c r="C696" t="s">
        <v>646</v>
      </c>
      <c r="D696" t="s">
        <v>3779</v>
      </c>
      <c r="E696" t="s">
        <v>647</v>
      </c>
      <c r="F696" t="s">
        <v>3780</v>
      </c>
      <c r="G696" t="s">
        <v>769</v>
      </c>
      <c r="H696" t="s">
        <v>757</v>
      </c>
      <c r="I696" t="s">
        <v>4277</v>
      </c>
      <c r="J696" t="s">
        <v>562</v>
      </c>
      <c r="K696" t="s">
        <v>166</v>
      </c>
      <c r="L696" t="s">
        <v>0</v>
      </c>
      <c r="M696" t="s">
        <v>178</v>
      </c>
      <c r="N696">
        <v>26</v>
      </c>
      <c r="O696">
        <v>15</v>
      </c>
      <c r="P696">
        <v>489</v>
      </c>
      <c r="Q696">
        <v>1141.5899999999999</v>
      </c>
      <c r="R696">
        <v>168.99</v>
      </c>
      <c r="S696">
        <v>139.31046265000001</v>
      </c>
      <c r="T696">
        <v>0</v>
      </c>
      <c r="U696">
        <v>0</v>
      </c>
      <c r="V696">
        <v>168.99</v>
      </c>
      <c r="W696" t="s">
        <v>0</v>
      </c>
      <c r="X696" t="s">
        <v>271</v>
      </c>
      <c r="Y696" t="s">
        <v>4278</v>
      </c>
      <c r="AA696" t="s">
        <v>4279</v>
      </c>
      <c r="AB696" t="s">
        <v>181</v>
      </c>
    </row>
    <row r="697" spans="1:28" x14ac:dyDescent="0.25">
      <c r="A697" t="s">
        <v>3806</v>
      </c>
      <c r="B697" t="s">
        <v>3807</v>
      </c>
      <c r="C697" t="s">
        <v>646</v>
      </c>
      <c r="D697" t="s">
        <v>3779</v>
      </c>
      <c r="E697" t="s">
        <v>647</v>
      </c>
      <c r="F697" t="s">
        <v>3780</v>
      </c>
      <c r="G697" t="s">
        <v>769</v>
      </c>
      <c r="H697" t="s">
        <v>1515</v>
      </c>
      <c r="I697" t="s">
        <v>2071</v>
      </c>
      <c r="J697" t="s">
        <v>1664</v>
      </c>
      <c r="K697" t="s">
        <v>166</v>
      </c>
      <c r="L697" t="s">
        <v>0</v>
      </c>
      <c r="M697" t="s">
        <v>178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 t="s">
        <v>1665</v>
      </c>
      <c r="X697" t="s">
        <v>271</v>
      </c>
      <c r="Y697" t="s">
        <v>3808</v>
      </c>
      <c r="AA697" t="s">
        <v>3809</v>
      </c>
      <c r="AB697" t="s">
        <v>181</v>
      </c>
    </row>
    <row r="698" spans="1:28" x14ac:dyDescent="0.25">
      <c r="A698" t="s">
        <v>4244</v>
      </c>
      <c r="B698" t="s">
        <v>4245</v>
      </c>
      <c r="C698" t="s">
        <v>646</v>
      </c>
      <c r="D698" t="s">
        <v>3779</v>
      </c>
      <c r="E698" t="s">
        <v>647</v>
      </c>
      <c r="F698" t="s">
        <v>3780</v>
      </c>
      <c r="G698" t="s">
        <v>769</v>
      </c>
      <c r="H698" t="s">
        <v>1515</v>
      </c>
      <c r="I698" t="s">
        <v>1251</v>
      </c>
      <c r="J698" t="s">
        <v>821</v>
      </c>
      <c r="K698" t="s">
        <v>166</v>
      </c>
      <c r="L698" t="s">
        <v>0</v>
      </c>
      <c r="M698" t="s">
        <v>178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 t="s">
        <v>822</v>
      </c>
      <c r="X698" t="s">
        <v>269</v>
      </c>
      <c r="Y698" t="s">
        <v>4246</v>
      </c>
      <c r="AA698" t="s">
        <v>4247</v>
      </c>
      <c r="AB698" t="s">
        <v>181</v>
      </c>
    </row>
    <row r="699" spans="1:28" x14ac:dyDescent="0.25">
      <c r="A699" t="s">
        <v>3933</v>
      </c>
      <c r="B699" t="s">
        <v>3934</v>
      </c>
      <c r="C699" t="s">
        <v>646</v>
      </c>
      <c r="D699" t="s">
        <v>3779</v>
      </c>
      <c r="E699" t="s">
        <v>647</v>
      </c>
      <c r="F699" t="s">
        <v>3780</v>
      </c>
      <c r="G699" t="s">
        <v>769</v>
      </c>
      <c r="H699" t="s">
        <v>1175</v>
      </c>
      <c r="I699" t="s">
        <v>3935</v>
      </c>
      <c r="J699" t="s">
        <v>1214</v>
      </c>
      <c r="K699" t="s">
        <v>166</v>
      </c>
      <c r="L699" t="s">
        <v>0</v>
      </c>
      <c r="M699" t="s">
        <v>178</v>
      </c>
      <c r="N699">
        <v>12</v>
      </c>
      <c r="O699">
        <v>12</v>
      </c>
      <c r="P699">
        <v>192</v>
      </c>
      <c r="Q699">
        <v>314.39999999999998</v>
      </c>
      <c r="R699">
        <v>57.12</v>
      </c>
      <c r="S699">
        <v>53.76</v>
      </c>
      <c r="T699">
        <v>0</v>
      </c>
      <c r="U699">
        <v>0</v>
      </c>
      <c r="V699">
        <v>57.12</v>
      </c>
      <c r="W699" t="s">
        <v>0</v>
      </c>
      <c r="X699" t="s">
        <v>271</v>
      </c>
      <c r="Y699" t="s">
        <v>3936</v>
      </c>
      <c r="AA699" t="s">
        <v>3937</v>
      </c>
      <c r="AB699" t="s">
        <v>181</v>
      </c>
    </row>
    <row r="700" spans="1:28" x14ac:dyDescent="0.25">
      <c r="A700" t="s">
        <v>4143</v>
      </c>
      <c r="B700" t="s">
        <v>4144</v>
      </c>
      <c r="C700" t="s">
        <v>646</v>
      </c>
      <c r="D700" t="s">
        <v>3779</v>
      </c>
      <c r="E700" t="s">
        <v>647</v>
      </c>
      <c r="F700" t="s">
        <v>3780</v>
      </c>
      <c r="G700" t="s">
        <v>769</v>
      </c>
      <c r="H700" t="s">
        <v>1171</v>
      </c>
      <c r="I700" t="s">
        <v>1828</v>
      </c>
      <c r="J700" t="s">
        <v>1829</v>
      </c>
      <c r="K700" t="s">
        <v>166</v>
      </c>
      <c r="L700" t="s">
        <v>0</v>
      </c>
      <c r="M700" t="s">
        <v>178</v>
      </c>
      <c r="N700">
        <v>114</v>
      </c>
      <c r="O700">
        <v>0</v>
      </c>
      <c r="P700">
        <v>3479.84</v>
      </c>
      <c r="Q700">
        <v>41140.99</v>
      </c>
      <c r="R700">
        <v>8483.32</v>
      </c>
      <c r="S700">
        <v>318.20444107999998</v>
      </c>
      <c r="T700">
        <v>0</v>
      </c>
      <c r="U700">
        <v>0</v>
      </c>
      <c r="V700">
        <v>8483.32</v>
      </c>
      <c r="W700" t="s">
        <v>1361</v>
      </c>
      <c r="X700" t="s">
        <v>271</v>
      </c>
      <c r="Y700" t="s">
        <v>4145</v>
      </c>
      <c r="AA700" t="s">
        <v>4146</v>
      </c>
      <c r="AB700" t="s">
        <v>181</v>
      </c>
    </row>
    <row r="701" spans="1:28" x14ac:dyDescent="0.25">
      <c r="A701" t="s">
        <v>3823</v>
      </c>
      <c r="B701" t="s">
        <v>3824</v>
      </c>
      <c r="C701" t="s">
        <v>646</v>
      </c>
      <c r="D701" t="s">
        <v>3779</v>
      </c>
      <c r="E701" t="s">
        <v>647</v>
      </c>
      <c r="F701" t="s">
        <v>3780</v>
      </c>
      <c r="G701" t="s">
        <v>769</v>
      </c>
      <c r="H701" t="s">
        <v>797</v>
      </c>
      <c r="I701" t="s">
        <v>1801</v>
      </c>
      <c r="J701" t="s">
        <v>437</v>
      </c>
      <c r="K701" t="s">
        <v>166</v>
      </c>
      <c r="L701" t="s">
        <v>0</v>
      </c>
      <c r="M701" t="s">
        <v>178</v>
      </c>
      <c r="N701">
        <v>207</v>
      </c>
      <c r="O701">
        <v>103</v>
      </c>
      <c r="P701">
        <v>2080</v>
      </c>
      <c r="Q701">
        <v>5938.23</v>
      </c>
      <c r="R701">
        <v>970.69856718000005</v>
      </c>
      <c r="S701">
        <v>983.74518154999998</v>
      </c>
      <c r="T701">
        <v>-1.43282E-3</v>
      </c>
      <c r="U701">
        <v>0</v>
      </c>
      <c r="V701">
        <v>970.7</v>
      </c>
      <c r="W701" t="s">
        <v>510</v>
      </c>
      <c r="X701" t="s">
        <v>271</v>
      </c>
      <c r="Y701" t="s">
        <v>3825</v>
      </c>
      <c r="AA701" t="s">
        <v>3826</v>
      </c>
      <c r="AB701" t="s">
        <v>181</v>
      </c>
    </row>
    <row r="702" spans="1:28" x14ac:dyDescent="0.25">
      <c r="A702" t="s">
        <v>4244</v>
      </c>
      <c r="B702" t="s">
        <v>4245</v>
      </c>
      <c r="C702" t="s">
        <v>646</v>
      </c>
      <c r="D702" t="s">
        <v>3779</v>
      </c>
      <c r="E702" t="s">
        <v>647</v>
      </c>
      <c r="F702" t="s">
        <v>3780</v>
      </c>
      <c r="G702" t="s">
        <v>769</v>
      </c>
      <c r="H702" t="s">
        <v>703</v>
      </c>
      <c r="I702" t="s">
        <v>1251</v>
      </c>
      <c r="J702" t="s">
        <v>821</v>
      </c>
      <c r="K702" t="s">
        <v>166</v>
      </c>
      <c r="L702" t="s">
        <v>0</v>
      </c>
      <c r="M702" t="s">
        <v>178</v>
      </c>
      <c r="N702">
        <v>266.23329999999999</v>
      </c>
      <c r="O702">
        <v>159.33349999999999</v>
      </c>
      <c r="P702">
        <v>4378.53</v>
      </c>
      <c r="Q702">
        <v>11486.25</v>
      </c>
      <c r="R702">
        <v>3024.4528518900001</v>
      </c>
      <c r="S702">
        <v>1740.17263215</v>
      </c>
      <c r="T702">
        <v>0.49285189000000001</v>
      </c>
      <c r="U702">
        <v>0</v>
      </c>
      <c r="V702">
        <v>3023.96</v>
      </c>
      <c r="W702" t="s">
        <v>822</v>
      </c>
      <c r="X702" t="s">
        <v>269</v>
      </c>
      <c r="Y702" t="s">
        <v>4246</v>
      </c>
      <c r="AA702" t="s">
        <v>4247</v>
      </c>
      <c r="AB702" t="s">
        <v>181</v>
      </c>
    </row>
    <row r="703" spans="1:28" x14ac:dyDescent="0.25">
      <c r="A703" t="s">
        <v>4312</v>
      </c>
      <c r="B703" t="s">
        <v>4313</v>
      </c>
      <c r="C703" t="s">
        <v>646</v>
      </c>
      <c r="D703" t="s">
        <v>3779</v>
      </c>
      <c r="E703" t="s">
        <v>647</v>
      </c>
      <c r="F703" t="s">
        <v>3780</v>
      </c>
      <c r="G703" t="s">
        <v>769</v>
      </c>
      <c r="H703" t="s">
        <v>708</v>
      </c>
      <c r="I703" t="s">
        <v>4314</v>
      </c>
      <c r="J703" t="s">
        <v>319</v>
      </c>
      <c r="K703" t="s">
        <v>166</v>
      </c>
      <c r="L703" t="s">
        <v>0</v>
      </c>
      <c r="M703" t="s">
        <v>178</v>
      </c>
      <c r="N703">
        <v>322</v>
      </c>
      <c r="O703">
        <v>51</v>
      </c>
      <c r="P703">
        <v>2401.9</v>
      </c>
      <c r="Q703">
        <v>11616.12</v>
      </c>
      <c r="R703">
        <v>1629</v>
      </c>
      <c r="S703">
        <v>662.58720000000005</v>
      </c>
      <c r="T703">
        <v>0</v>
      </c>
      <c r="U703">
        <v>0</v>
      </c>
      <c r="V703">
        <v>1629</v>
      </c>
      <c r="W703" t="s">
        <v>0</v>
      </c>
      <c r="X703" t="s">
        <v>271</v>
      </c>
      <c r="Y703" t="s">
        <v>4315</v>
      </c>
      <c r="AA703" t="s">
        <v>3466</v>
      </c>
      <c r="AB703" t="s">
        <v>181</v>
      </c>
    </row>
    <row r="704" spans="1:28" x14ac:dyDescent="0.25">
      <c r="A704" t="s">
        <v>4102</v>
      </c>
      <c r="B704" t="s">
        <v>4103</v>
      </c>
      <c r="C704" t="s">
        <v>646</v>
      </c>
      <c r="D704" t="s">
        <v>3779</v>
      </c>
      <c r="E704" t="s">
        <v>647</v>
      </c>
      <c r="F704" t="s">
        <v>3780</v>
      </c>
      <c r="G704" t="s">
        <v>769</v>
      </c>
      <c r="H704" t="s">
        <v>708</v>
      </c>
      <c r="I704" t="s">
        <v>4104</v>
      </c>
      <c r="J704" t="s">
        <v>4105</v>
      </c>
      <c r="K704" t="s">
        <v>166</v>
      </c>
      <c r="L704" t="s">
        <v>0</v>
      </c>
      <c r="M704" t="s">
        <v>178</v>
      </c>
      <c r="N704">
        <v>182</v>
      </c>
      <c r="O704">
        <v>108</v>
      </c>
      <c r="P704">
        <v>1209.76</v>
      </c>
      <c r="Q704">
        <v>5023.29</v>
      </c>
      <c r="R704">
        <v>869.85</v>
      </c>
      <c r="S704">
        <v>1029.71588939</v>
      </c>
      <c r="T704">
        <v>0</v>
      </c>
      <c r="U704">
        <v>0</v>
      </c>
      <c r="V704">
        <v>869.85</v>
      </c>
      <c r="W704" t="s">
        <v>4106</v>
      </c>
      <c r="X704" t="s">
        <v>269</v>
      </c>
      <c r="Y704" t="s">
        <v>4107</v>
      </c>
      <c r="AA704" t="s">
        <v>4108</v>
      </c>
      <c r="AB704" t="s">
        <v>181</v>
      </c>
    </row>
    <row r="705" spans="1:28" x14ac:dyDescent="0.25">
      <c r="A705" t="s">
        <v>4337</v>
      </c>
      <c r="B705" t="s">
        <v>4338</v>
      </c>
      <c r="C705" t="s">
        <v>646</v>
      </c>
      <c r="D705" t="s">
        <v>3779</v>
      </c>
      <c r="E705" t="s">
        <v>647</v>
      </c>
      <c r="F705" t="s">
        <v>3780</v>
      </c>
      <c r="G705" t="s">
        <v>769</v>
      </c>
      <c r="H705" t="s">
        <v>703</v>
      </c>
      <c r="I705" t="s">
        <v>4339</v>
      </c>
      <c r="J705" t="s">
        <v>821</v>
      </c>
      <c r="K705" t="s">
        <v>166</v>
      </c>
      <c r="L705" t="s">
        <v>0</v>
      </c>
      <c r="M705" t="s">
        <v>178</v>
      </c>
      <c r="N705">
        <v>177.58349999999999</v>
      </c>
      <c r="O705">
        <v>106.25020000000001</v>
      </c>
      <c r="P705">
        <v>2617.56</v>
      </c>
      <c r="Q705">
        <v>6610.58</v>
      </c>
      <c r="R705">
        <v>1570.81584763</v>
      </c>
      <c r="S705">
        <v>1277.6971250399999</v>
      </c>
      <c r="T705">
        <v>2.584763E-2</v>
      </c>
      <c r="U705">
        <v>0</v>
      </c>
      <c r="V705">
        <v>1570.79</v>
      </c>
      <c r="W705" t="s">
        <v>822</v>
      </c>
      <c r="X705" t="s">
        <v>269</v>
      </c>
      <c r="Y705" t="s">
        <v>4340</v>
      </c>
      <c r="AA705" t="s">
        <v>4341</v>
      </c>
      <c r="AB705" t="s">
        <v>181</v>
      </c>
    </row>
    <row r="706" spans="1:28" x14ac:dyDescent="0.25">
      <c r="A706" t="s">
        <v>3814</v>
      </c>
      <c r="B706" t="s">
        <v>3815</v>
      </c>
      <c r="C706" t="s">
        <v>646</v>
      </c>
      <c r="D706" t="s">
        <v>3779</v>
      </c>
      <c r="E706" t="s">
        <v>647</v>
      </c>
      <c r="F706" t="s">
        <v>3780</v>
      </c>
      <c r="G706" t="s">
        <v>769</v>
      </c>
      <c r="H706" t="s">
        <v>672</v>
      </c>
      <c r="I706" t="s">
        <v>3816</v>
      </c>
      <c r="J706" t="s">
        <v>548</v>
      </c>
      <c r="K706" t="s">
        <v>166</v>
      </c>
      <c r="L706" t="s">
        <v>0</v>
      </c>
      <c r="M706" t="s">
        <v>178</v>
      </c>
      <c r="N706">
        <v>182</v>
      </c>
      <c r="O706">
        <v>162</v>
      </c>
      <c r="P706">
        <v>2336.5</v>
      </c>
      <c r="Q706">
        <v>7281.5</v>
      </c>
      <c r="R706">
        <v>543.76222369000004</v>
      </c>
      <c r="S706">
        <v>2331.6393835200001</v>
      </c>
      <c r="T706">
        <v>130.14222369000001</v>
      </c>
      <c r="U706">
        <v>0</v>
      </c>
      <c r="V706">
        <v>543.66999999999996</v>
      </c>
      <c r="W706" t="s">
        <v>241</v>
      </c>
      <c r="X706" t="s">
        <v>271</v>
      </c>
      <c r="Y706" t="s">
        <v>3817</v>
      </c>
      <c r="AA706" t="s">
        <v>3818</v>
      </c>
      <c r="AB706" t="s">
        <v>181</v>
      </c>
    </row>
    <row r="707" spans="1:28" x14ac:dyDescent="0.25">
      <c r="A707" t="s">
        <v>4216</v>
      </c>
      <c r="B707" t="s">
        <v>4217</v>
      </c>
      <c r="C707" t="s">
        <v>646</v>
      </c>
      <c r="D707" t="s">
        <v>3779</v>
      </c>
      <c r="E707" t="s">
        <v>647</v>
      </c>
      <c r="F707" t="s">
        <v>666</v>
      </c>
      <c r="G707" t="s">
        <v>666</v>
      </c>
      <c r="H707" t="s">
        <v>962</v>
      </c>
      <c r="I707" t="s">
        <v>1636</v>
      </c>
      <c r="J707" t="s">
        <v>1637</v>
      </c>
      <c r="K707" t="s">
        <v>166</v>
      </c>
      <c r="L707" t="s">
        <v>0</v>
      </c>
      <c r="M707" t="s">
        <v>178</v>
      </c>
      <c r="N707">
        <v>272</v>
      </c>
      <c r="O707">
        <v>17</v>
      </c>
      <c r="P707">
        <v>14253.96</v>
      </c>
      <c r="Q707">
        <v>24732.1</v>
      </c>
      <c r="R707">
        <v>2745.09</v>
      </c>
      <c r="S707">
        <v>1114.7186868199999</v>
      </c>
      <c r="T707">
        <v>0</v>
      </c>
      <c r="U707">
        <v>0</v>
      </c>
      <c r="V707">
        <v>2745.09</v>
      </c>
      <c r="W707" t="s">
        <v>1638</v>
      </c>
      <c r="X707" t="s">
        <v>271</v>
      </c>
      <c r="Y707" t="s">
        <v>1639</v>
      </c>
      <c r="AA707" t="s">
        <v>4218</v>
      </c>
      <c r="AB707" t="s">
        <v>181</v>
      </c>
    </row>
    <row r="708" spans="1:28" x14ac:dyDescent="0.25">
      <c r="A708" t="s">
        <v>4284</v>
      </c>
      <c r="B708" t="s">
        <v>4285</v>
      </c>
      <c r="C708" t="s">
        <v>646</v>
      </c>
      <c r="D708" t="s">
        <v>3779</v>
      </c>
      <c r="E708" t="s">
        <v>647</v>
      </c>
      <c r="F708" t="s">
        <v>3780</v>
      </c>
      <c r="G708" t="s">
        <v>769</v>
      </c>
      <c r="H708" t="s">
        <v>672</v>
      </c>
      <c r="I708" t="s">
        <v>778</v>
      </c>
      <c r="J708" t="s">
        <v>428</v>
      </c>
      <c r="K708" t="s">
        <v>166</v>
      </c>
      <c r="L708" t="s">
        <v>0</v>
      </c>
      <c r="M708" t="s">
        <v>178</v>
      </c>
      <c r="N708">
        <v>176</v>
      </c>
      <c r="O708">
        <v>131</v>
      </c>
      <c r="P708">
        <v>2895.77</v>
      </c>
      <c r="Q708">
        <v>9484.07</v>
      </c>
      <c r="R708">
        <v>3020.7005592</v>
      </c>
      <c r="S708">
        <v>1642.86062666</v>
      </c>
      <c r="T708">
        <v>0.23055919999999999</v>
      </c>
      <c r="U708">
        <v>0</v>
      </c>
      <c r="V708">
        <v>3020.47</v>
      </c>
      <c r="W708" t="s">
        <v>1977</v>
      </c>
      <c r="X708" t="s">
        <v>271</v>
      </c>
      <c r="Y708" t="s">
        <v>4286</v>
      </c>
      <c r="AA708" t="s">
        <v>4287</v>
      </c>
      <c r="AB708" t="s">
        <v>181</v>
      </c>
    </row>
    <row r="709" spans="1:28" x14ac:dyDescent="0.25">
      <c r="A709" t="s">
        <v>4298</v>
      </c>
      <c r="B709" t="s">
        <v>4299</v>
      </c>
      <c r="C709" t="s">
        <v>646</v>
      </c>
      <c r="D709" t="s">
        <v>3779</v>
      </c>
      <c r="E709" t="s">
        <v>647</v>
      </c>
      <c r="F709" t="s">
        <v>666</v>
      </c>
      <c r="G709" t="s">
        <v>666</v>
      </c>
      <c r="H709" t="s">
        <v>703</v>
      </c>
      <c r="I709" t="s">
        <v>4300</v>
      </c>
      <c r="J709" t="s">
        <v>511</v>
      </c>
      <c r="K709" t="s">
        <v>166</v>
      </c>
      <c r="L709" t="s">
        <v>0</v>
      </c>
      <c r="M709" t="s">
        <v>178</v>
      </c>
      <c r="N709">
        <v>908.91650000000004</v>
      </c>
      <c r="O709">
        <v>329.91649999999998</v>
      </c>
      <c r="P709">
        <v>18351.75</v>
      </c>
      <c r="Q709">
        <v>32010.52</v>
      </c>
      <c r="R709">
        <v>3015.1835340799998</v>
      </c>
      <c r="S709">
        <v>4478.8469812000003</v>
      </c>
      <c r="T709">
        <v>9.5035340799999997</v>
      </c>
      <c r="U709">
        <v>62.07</v>
      </c>
      <c r="V709">
        <v>3075.75</v>
      </c>
      <c r="W709" t="s">
        <v>510</v>
      </c>
      <c r="X709" t="s">
        <v>271</v>
      </c>
      <c r="Y709" t="s">
        <v>4301</v>
      </c>
      <c r="Z709" t="s">
        <v>4302</v>
      </c>
      <c r="AA709" t="s">
        <v>4303</v>
      </c>
      <c r="AB709" t="s">
        <v>181</v>
      </c>
    </row>
    <row r="710" spans="1:28" x14ac:dyDescent="0.25">
      <c r="A710" t="s">
        <v>4244</v>
      </c>
      <c r="B710" t="s">
        <v>4245</v>
      </c>
      <c r="C710" t="s">
        <v>646</v>
      </c>
      <c r="D710" t="s">
        <v>3779</v>
      </c>
      <c r="E710" t="s">
        <v>647</v>
      </c>
      <c r="F710" t="s">
        <v>3780</v>
      </c>
      <c r="G710" t="s">
        <v>769</v>
      </c>
      <c r="H710" t="s">
        <v>856</v>
      </c>
      <c r="I710" t="s">
        <v>1251</v>
      </c>
      <c r="J710" t="s">
        <v>821</v>
      </c>
      <c r="K710" t="s">
        <v>166</v>
      </c>
      <c r="L710" t="s">
        <v>0</v>
      </c>
      <c r="M710" t="s">
        <v>178</v>
      </c>
      <c r="N710">
        <v>17</v>
      </c>
      <c r="O710">
        <v>9</v>
      </c>
      <c r="P710">
        <v>257.14999999999998</v>
      </c>
      <c r="Q710">
        <v>3699.1</v>
      </c>
      <c r="R710">
        <v>525.09</v>
      </c>
      <c r="S710">
        <v>88.626008479999996</v>
      </c>
      <c r="T710">
        <v>0</v>
      </c>
      <c r="U710">
        <v>0</v>
      </c>
      <c r="V710">
        <v>525.09</v>
      </c>
      <c r="W710" t="s">
        <v>822</v>
      </c>
      <c r="X710" t="s">
        <v>269</v>
      </c>
      <c r="Y710" t="s">
        <v>4246</v>
      </c>
      <c r="AA710" t="s">
        <v>4247</v>
      </c>
      <c r="AB710" t="s">
        <v>181</v>
      </c>
    </row>
    <row r="711" spans="1:28" x14ac:dyDescent="0.25">
      <c r="A711" t="s">
        <v>3834</v>
      </c>
      <c r="B711" t="s">
        <v>3835</v>
      </c>
      <c r="C711" t="s">
        <v>646</v>
      </c>
      <c r="D711" t="s">
        <v>3779</v>
      </c>
      <c r="E711" t="s">
        <v>647</v>
      </c>
      <c r="F711" t="s">
        <v>3780</v>
      </c>
      <c r="G711" t="s">
        <v>769</v>
      </c>
      <c r="H711" t="s">
        <v>770</v>
      </c>
      <c r="I711" t="s">
        <v>1251</v>
      </c>
      <c r="J711" t="s">
        <v>821</v>
      </c>
      <c r="K711" t="s">
        <v>166</v>
      </c>
      <c r="L711" t="s">
        <v>0</v>
      </c>
      <c r="M711" t="s">
        <v>178</v>
      </c>
      <c r="N711">
        <v>81.75</v>
      </c>
      <c r="O711">
        <v>62.75</v>
      </c>
      <c r="P711">
        <v>2317.1</v>
      </c>
      <c r="Q711">
        <v>2500.5500000000002</v>
      </c>
      <c r="R711">
        <v>1132.69</v>
      </c>
      <c r="S711">
        <v>256.82277577000002</v>
      </c>
      <c r="T711">
        <v>0</v>
      </c>
      <c r="U711">
        <v>0</v>
      </c>
      <c r="V711">
        <v>1132.69</v>
      </c>
      <c r="W711" t="s">
        <v>822</v>
      </c>
      <c r="X711" t="s">
        <v>269</v>
      </c>
      <c r="Y711" t="s">
        <v>3836</v>
      </c>
      <c r="AA711" t="s">
        <v>3837</v>
      </c>
      <c r="AB711" t="s">
        <v>181</v>
      </c>
    </row>
    <row r="712" spans="1:28" x14ac:dyDescent="0.25">
      <c r="A712" t="s">
        <v>4151</v>
      </c>
      <c r="B712" t="s">
        <v>4152</v>
      </c>
      <c r="C712" t="s">
        <v>646</v>
      </c>
      <c r="D712" t="s">
        <v>3779</v>
      </c>
      <c r="E712" t="s">
        <v>647</v>
      </c>
      <c r="F712" t="s">
        <v>666</v>
      </c>
      <c r="G712" t="s">
        <v>666</v>
      </c>
      <c r="H712" t="s">
        <v>672</v>
      </c>
      <c r="I712" t="s">
        <v>765</v>
      </c>
      <c r="J712" t="s">
        <v>436</v>
      </c>
      <c r="K712" t="s">
        <v>166</v>
      </c>
      <c r="L712" t="s">
        <v>0</v>
      </c>
      <c r="M712" t="s">
        <v>178</v>
      </c>
      <c r="N712">
        <v>222</v>
      </c>
      <c r="O712">
        <v>52</v>
      </c>
      <c r="P712">
        <v>4707.13</v>
      </c>
      <c r="Q712">
        <v>10426.99</v>
      </c>
      <c r="R712">
        <v>1861.42139144</v>
      </c>
      <c r="S712">
        <v>1142.50985943</v>
      </c>
      <c r="T712">
        <v>0.16139144</v>
      </c>
      <c r="U712">
        <v>0</v>
      </c>
      <c r="V712">
        <v>1861.26</v>
      </c>
      <c r="W712" t="s">
        <v>0</v>
      </c>
      <c r="X712" t="s">
        <v>271</v>
      </c>
      <c r="Y712" t="s">
        <v>4153</v>
      </c>
      <c r="AA712" t="s">
        <v>4154</v>
      </c>
      <c r="AB712" t="s">
        <v>181</v>
      </c>
    </row>
    <row r="713" spans="1:28" x14ac:dyDescent="0.25">
      <c r="A713" t="s">
        <v>3788</v>
      </c>
      <c r="B713" t="s">
        <v>3789</v>
      </c>
      <c r="C713" t="s">
        <v>646</v>
      </c>
      <c r="D713" t="s">
        <v>3779</v>
      </c>
      <c r="E713" t="s">
        <v>647</v>
      </c>
      <c r="F713" t="s">
        <v>3780</v>
      </c>
      <c r="G713" t="s">
        <v>769</v>
      </c>
      <c r="H713" t="s">
        <v>713</v>
      </c>
      <c r="I713" t="s">
        <v>3790</v>
      </c>
      <c r="J713" t="s">
        <v>599</v>
      </c>
      <c r="K713" t="s">
        <v>166</v>
      </c>
      <c r="L713" t="s">
        <v>0</v>
      </c>
      <c r="M713" t="s">
        <v>178</v>
      </c>
      <c r="N713">
        <v>709.75009999999997</v>
      </c>
      <c r="O713">
        <v>246.7501</v>
      </c>
      <c r="P713">
        <v>16359.54</v>
      </c>
      <c r="Q713">
        <v>18878.060000000001</v>
      </c>
      <c r="R713">
        <v>1880.3754917900001</v>
      </c>
      <c r="S713">
        <v>1190.8793978900001</v>
      </c>
      <c r="T713">
        <v>72.405491789999999</v>
      </c>
      <c r="U713">
        <v>2.27</v>
      </c>
      <c r="V713">
        <v>1880.63</v>
      </c>
      <c r="W713" t="s">
        <v>598</v>
      </c>
      <c r="X713" t="s">
        <v>271</v>
      </c>
      <c r="Y713" t="s">
        <v>3791</v>
      </c>
      <c r="AA713" t="s">
        <v>3792</v>
      </c>
      <c r="AB713" t="s">
        <v>181</v>
      </c>
    </row>
    <row r="714" spans="1:28" x14ac:dyDescent="0.25">
      <c r="A714" t="s">
        <v>4353</v>
      </c>
      <c r="B714" t="s">
        <v>4354</v>
      </c>
      <c r="C714" t="s">
        <v>646</v>
      </c>
      <c r="D714" t="s">
        <v>3779</v>
      </c>
      <c r="E714" t="s">
        <v>647</v>
      </c>
      <c r="F714" t="s">
        <v>3780</v>
      </c>
      <c r="G714" t="s">
        <v>769</v>
      </c>
      <c r="H714" t="s">
        <v>1045</v>
      </c>
      <c r="I714" t="s">
        <v>1160</v>
      </c>
      <c r="J714" t="s">
        <v>336</v>
      </c>
      <c r="K714" t="s">
        <v>166</v>
      </c>
      <c r="L714" t="s">
        <v>0</v>
      </c>
      <c r="M714" t="s">
        <v>178</v>
      </c>
      <c r="N714">
        <v>625.16660000000002</v>
      </c>
      <c r="O714">
        <v>200.16659999999999</v>
      </c>
      <c r="P714">
        <v>8422.1</v>
      </c>
      <c r="Q714">
        <v>43688.71</v>
      </c>
      <c r="R714">
        <v>4156.42</v>
      </c>
      <c r="S714">
        <v>1751.9122271599999</v>
      </c>
      <c r="T714">
        <v>0</v>
      </c>
      <c r="U714">
        <v>0</v>
      </c>
      <c r="V714">
        <v>4156.42</v>
      </c>
      <c r="W714" t="s">
        <v>461</v>
      </c>
      <c r="X714" t="s">
        <v>271</v>
      </c>
      <c r="Y714" t="s">
        <v>4355</v>
      </c>
      <c r="AA714" t="s">
        <v>4356</v>
      </c>
      <c r="AB714" t="s">
        <v>181</v>
      </c>
    </row>
    <row r="715" spans="1:28" x14ac:dyDescent="0.25">
      <c r="A715" t="s">
        <v>4139</v>
      </c>
      <c r="B715" t="s">
        <v>4140</v>
      </c>
      <c r="C715" t="s">
        <v>646</v>
      </c>
      <c r="D715" t="s">
        <v>3779</v>
      </c>
      <c r="E715" t="s">
        <v>647</v>
      </c>
      <c r="F715" t="s">
        <v>3780</v>
      </c>
      <c r="G715" t="s">
        <v>769</v>
      </c>
      <c r="H715" t="s">
        <v>909</v>
      </c>
      <c r="I715" t="s">
        <v>778</v>
      </c>
      <c r="J715" t="s">
        <v>428</v>
      </c>
      <c r="K715" t="s">
        <v>166</v>
      </c>
      <c r="L715" t="s">
        <v>0</v>
      </c>
      <c r="M715" t="s">
        <v>178</v>
      </c>
      <c r="N715">
        <v>155.25</v>
      </c>
      <c r="O715">
        <v>134</v>
      </c>
      <c r="P715">
        <v>5371.6</v>
      </c>
      <c r="Q715">
        <v>7452.75</v>
      </c>
      <c r="R715">
        <v>1529.99</v>
      </c>
      <c r="S715">
        <v>1695.8649389300001</v>
      </c>
      <c r="T715">
        <v>0</v>
      </c>
      <c r="U715">
        <v>0</v>
      </c>
      <c r="V715">
        <v>1529.99</v>
      </c>
      <c r="W715" t="s">
        <v>547</v>
      </c>
      <c r="X715" t="s">
        <v>271</v>
      </c>
      <c r="Y715" t="s">
        <v>4141</v>
      </c>
      <c r="AA715" t="s">
        <v>4142</v>
      </c>
      <c r="AB715" t="s">
        <v>181</v>
      </c>
    </row>
    <row r="716" spans="1:28" x14ac:dyDescent="0.25">
      <c r="A716" t="s">
        <v>3806</v>
      </c>
      <c r="B716" t="s">
        <v>3807</v>
      </c>
      <c r="C716" t="s">
        <v>646</v>
      </c>
      <c r="D716" t="s">
        <v>3779</v>
      </c>
      <c r="E716" t="s">
        <v>647</v>
      </c>
      <c r="F716" t="s">
        <v>3780</v>
      </c>
      <c r="G716" t="s">
        <v>769</v>
      </c>
      <c r="H716" t="s">
        <v>757</v>
      </c>
      <c r="I716" t="s">
        <v>2071</v>
      </c>
      <c r="J716" t="s">
        <v>1664</v>
      </c>
      <c r="K716" t="s">
        <v>166</v>
      </c>
      <c r="L716" t="s">
        <v>0</v>
      </c>
      <c r="M716" t="s">
        <v>178</v>
      </c>
      <c r="N716">
        <v>875</v>
      </c>
      <c r="O716">
        <v>372</v>
      </c>
      <c r="P716">
        <v>16457.86</v>
      </c>
      <c r="Q716">
        <v>28308.959999999999</v>
      </c>
      <c r="R716">
        <v>3614.3411750499999</v>
      </c>
      <c r="S716">
        <v>3186.6987443399998</v>
      </c>
      <c r="T716">
        <v>1.3011750500000001</v>
      </c>
      <c r="U716">
        <v>0</v>
      </c>
      <c r="V716">
        <v>3613.04</v>
      </c>
      <c r="W716" t="s">
        <v>1665</v>
      </c>
      <c r="X716" t="s">
        <v>271</v>
      </c>
      <c r="Y716" t="s">
        <v>3808</v>
      </c>
      <c r="AA716" t="s">
        <v>3809</v>
      </c>
      <c r="AB716" t="s">
        <v>181</v>
      </c>
    </row>
    <row r="717" spans="1:28" x14ac:dyDescent="0.25">
      <c r="A717" t="s">
        <v>4248</v>
      </c>
      <c r="B717" t="s">
        <v>4249</v>
      </c>
      <c r="C717" t="s">
        <v>646</v>
      </c>
      <c r="D717" t="s">
        <v>3779</v>
      </c>
      <c r="E717" t="s">
        <v>647</v>
      </c>
      <c r="F717" t="s">
        <v>3780</v>
      </c>
      <c r="G717" t="s">
        <v>769</v>
      </c>
      <c r="H717" t="s">
        <v>708</v>
      </c>
      <c r="I717" t="s">
        <v>1913</v>
      </c>
      <c r="J717" t="s">
        <v>1914</v>
      </c>
      <c r="K717" t="s">
        <v>166</v>
      </c>
      <c r="L717" t="s">
        <v>0</v>
      </c>
      <c r="M717" t="s">
        <v>178</v>
      </c>
      <c r="N717">
        <v>31</v>
      </c>
      <c r="O717">
        <v>24</v>
      </c>
      <c r="P717">
        <v>268.17</v>
      </c>
      <c r="Q717">
        <v>917.39</v>
      </c>
      <c r="R717">
        <v>-38.97</v>
      </c>
      <c r="S717">
        <v>320.61737815999999</v>
      </c>
      <c r="T717">
        <v>0</v>
      </c>
      <c r="U717">
        <v>0</v>
      </c>
      <c r="V717">
        <v>-38.97</v>
      </c>
      <c r="W717" t="s">
        <v>1915</v>
      </c>
      <c r="X717" t="s">
        <v>269</v>
      </c>
      <c r="Y717" t="s">
        <v>4250</v>
      </c>
      <c r="AA717" t="s">
        <v>4251</v>
      </c>
      <c r="AB717" t="s">
        <v>181</v>
      </c>
    </row>
    <row r="718" spans="1:28" x14ac:dyDescent="0.25">
      <c r="A718" t="s">
        <v>4357</v>
      </c>
      <c r="B718" t="s">
        <v>4358</v>
      </c>
      <c r="C718" t="s">
        <v>646</v>
      </c>
      <c r="D718" t="s">
        <v>3779</v>
      </c>
      <c r="E718" t="s">
        <v>647</v>
      </c>
      <c r="F718" t="s">
        <v>3780</v>
      </c>
      <c r="G718" t="s">
        <v>769</v>
      </c>
      <c r="H718" t="s">
        <v>757</v>
      </c>
      <c r="I718" t="s">
        <v>1599</v>
      </c>
      <c r="J718" t="s">
        <v>1600</v>
      </c>
      <c r="K718" t="s">
        <v>166</v>
      </c>
      <c r="L718" t="s">
        <v>0</v>
      </c>
      <c r="M718" t="s">
        <v>178</v>
      </c>
      <c r="N718">
        <v>515.25</v>
      </c>
      <c r="O718">
        <v>336.25</v>
      </c>
      <c r="P718">
        <v>11362.83</v>
      </c>
      <c r="Q718">
        <v>22016.880000000001</v>
      </c>
      <c r="R718">
        <v>5585.38</v>
      </c>
      <c r="S718">
        <v>2381.2682306800002</v>
      </c>
      <c r="T718">
        <v>0</v>
      </c>
      <c r="U718">
        <v>0</v>
      </c>
      <c r="V718">
        <v>5585.38</v>
      </c>
      <c r="W718" t="s">
        <v>1601</v>
      </c>
      <c r="X718" t="s">
        <v>269</v>
      </c>
      <c r="Y718" t="s">
        <v>4359</v>
      </c>
      <c r="AA718" t="s">
        <v>4360</v>
      </c>
      <c r="AB718" t="s">
        <v>181</v>
      </c>
    </row>
    <row r="719" spans="1:28" x14ac:dyDescent="0.25">
      <c r="A719" t="s">
        <v>3823</v>
      </c>
      <c r="B719" t="s">
        <v>3824</v>
      </c>
      <c r="C719" t="s">
        <v>646</v>
      </c>
      <c r="D719" t="s">
        <v>3779</v>
      </c>
      <c r="E719" t="s">
        <v>647</v>
      </c>
      <c r="F719" t="s">
        <v>3780</v>
      </c>
      <c r="G719" t="s">
        <v>769</v>
      </c>
      <c r="H719" t="s">
        <v>757</v>
      </c>
      <c r="I719" t="s">
        <v>1801</v>
      </c>
      <c r="J719" t="s">
        <v>437</v>
      </c>
      <c r="K719" t="s">
        <v>166</v>
      </c>
      <c r="L719" t="s">
        <v>0</v>
      </c>
      <c r="M719" t="s">
        <v>178</v>
      </c>
      <c r="N719">
        <v>377.36070000000001</v>
      </c>
      <c r="O719">
        <v>304.36070000000001</v>
      </c>
      <c r="P719">
        <v>8944.61</v>
      </c>
      <c r="Q719">
        <v>13056.33</v>
      </c>
      <c r="R719">
        <v>1759.63</v>
      </c>
      <c r="S719">
        <v>2148.31335743</v>
      </c>
      <c r="T719">
        <v>1.92</v>
      </c>
      <c r="U719">
        <v>0</v>
      </c>
      <c r="V719">
        <v>1757.71</v>
      </c>
      <c r="W719" t="s">
        <v>510</v>
      </c>
      <c r="X719" t="s">
        <v>271</v>
      </c>
      <c r="Y719" t="s">
        <v>3825</v>
      </c>
      <c r="AA719" t="s">
        <v>3826</v>
      </c>
      <c r="AB719" t="s">
        <v>181</v>
      </c>
    </row>
    <row r="720" spans="1:28" x14ac:dyDescent="0.25">
      <c r="A720" t="s">
        <v>3870</v>
      </c>
      <c r="B720" t="s">
        <v>3871</v>
      </c>
      <c r="C720" t="s">
        <v>646</v>
      </c>
      <c r="D720" t="s">
        <v>3779</v>
      </c>
      <c r="E720" t="s">
        <v>647</v>
      </c>
      <c r="F720" t="s">
        <v>666</v>
      </c>
      <c r="G720" t="s">
        <v>666</v>
      </c>
      <c r="H720" t="s">
        <v>770</v>
      </c>
      <c r="I720" t="s">
        <v>3872</v>
      </c>
      <c r="J720" t="s">
        <v>355</v>
      </c>
      <c r="K720" t="s">
        <v>166</v>
      </c>
      <c r="L720" t="s">
        <v>0</v>
      </c>
      <c r="M720" t="s">
        <v>178</v>
      </c>
      <c r="N720">
        <v>259</v>
      </c>
      <c r="O720">
        <v>32</v>
      </c>
      <c r="P720">
        <v>4030</v>
      </c>
      <c r="Q720">
        <v>8327.67</v>
      </c>
      <c r="R720">
        <v>710.57</v>
      </c>
      <c r="S720">
        <v>799.67915626000001</v>
      </c>
      <c r="T720">
        <v>0</v>
      </c>
      <c r="U720">
        <v>0</v>
      </c>
      <c r="V720">
        <v>710.57</v>
      </c>
      <c r="W720" t="s">
        <v>0</v>
      </c>
      <c r="X720" t="s">
        <v>271</v>
      </c>
      <c r="Y720" t="s">
        <v>3873</v>
      </c>
      <c r="AA720" t="s">
        <v>3874</v>
      </c>
      <c r="AB720" t="s">
        <v>181</v>
      </c>
    </row>
    <row r="721" spans="1:28" x14ac:dyDescent="0.25">
      <c r="A721" t="s">
        <v>3777</v>
      </c>
      <c r="B721" t="s">
        <v>3778</v>
      </c>
      <c r="C721" t="s">
        <v>646</v>
      </c>
      <c r="D721" t="s">
        <v>3779</v>
      </c>
      <c r="E721" t="s">
        <v>647</v>
      </c>
      <c r="F721" t="s">
        <v>3780</v>
      </c>
      <c r="G721" t="s">
        <v>769</v>
      </c>
      <c r="H721" t="s">
        <v>713</v>
      </c>
      <c r="I721" t="s">
        <v>798</v>
      </c>
      <c r="J721" t="s">
        <v>524</v>
      </c>
      <c r="K721" t="s">
        <v>166</v>
      </c>
      <c r="L721" t="s">
        <v>0</v>
      </c>
      <c r="M721" t="s">
        <v>178</v>
      </c>
      <c r="N721">
        <v>62.333300000000001</v>
      </c>
      <c r="O721">
        <v>13</v>
      </c>
      <c r="P721">
        <v>1496.18</v>
      </c>
      <c r="Q721">
        <v>1361.87</v>
      </c>
      <c r="R721">
        <v>210.1</v>
      </c>
      <c r="S721">
        <v>71.801422290000005</v>
      </c>
      <c r="T721">
        <v>7.7</v>
      </c>
      <c r="U721">
        <v>0</v>
      </c>
      <c r="V721">
        <v>202.4</v>
      </c>
      <c r="W721" t="s">
        <v>258</v>
      </c>
      <c r="X721" t="s">
        <v>271</v>
      </c>
      <c r="Y721" t="s">
        <v>3781</v>
      </c>
      <c r="AA721" t="s">
        <v>3782</v>
      </c>
      <c r="AB721" t="s">
        <v>181</v>
      </c>
    </row>
    <row r="722" spans="1:28" x14ac:dyDescent="0.25">
      <c r="A722" t="s">
        <v>4057</v>
      </c>
      <c r="B722" t="s">
        <v>4058</v>
      </c>
      <c r="C722" t="s">
        <v>646</v>
      </c>
      <c r="D722" t="s">
        <v>3779</v>
      </c>
      <c r="E722" t="s">
        <v>647</v>
      </c>
      <c r="F722" t="s">
        <v>3780</v>
      </c>
      <c r="G722" t="s">
        <v>769</v>
      </c>
      <c r="H722" t="s">
        <v>909</v>
      </c>
      <c r="I722" t="s">
        <v>1190</v>
      </c>
      <c r="J722" t="s">
        <v>1191</v>
      </c>
      <c r="K722" t="s">
        <v>166</v>
      </c>
      <c r="L722" t="s">
        <v>0</v>
      </c>
      <c r="M722" t="s">
        <v>178</v>
      </c>
      <c r="N722">
        <v>489</v>
      </c>
      <c r="O722">
        <v>433</v>
      </c>
      <c r="P722">
        <v>16403</v>
      </c>
      <c r="Q722">
        <v>19064.12</v>
      </c>
      <c r="R722">
        <v>1285.92</v>
      </c>
      <c r="S722">
        <v>5625.9429469799998</v>
      </c>
      <c r="T722">
        <v>0</v>
      </c>
      <c r="U722">
        <v>0</v>
      </c>
      <c r="V722">
        <v>1285.92</v>
      </c>
      <c r="W722" t="s">
        <v>282</v>
      </c>
      <c r="X722" t="s">
        <v>271</v>
      </c>
      <c r="Y722" t="s">
        <v>4059</v>
      </c>
      <c r="AA722" t="s">
        <v>2171</v>
      </c>
      <c r="AB722" t="s">
        <v>181</v>
      </c>
    </row>
    <row r="723" spans="1:28" x14ac:dyDescent="0.25">
      <c r="A723" t="s">
        <v>3925</v>
      </c>
      <c r="B723" t="s">
        <v>3926</v>
      </c>
      <c r="C723" t="s">
        <v>646</v>
      </c>
      <c r="D723" t="s">
        <v>3779</v>
      </c>
      <c r="E723" t="s">
        <v>647</v>
      </c>
      <c r="F723" t="s">
        <v>3780</v>
      </c>
      <c r="G723" t="s">
        <v>769</v>
      </c>
      <c r="H723" t="s">
        <v>1171</v>
      </c>
      <c r="I723" t="s">
        <v>2284</v>
      </c>
      <c r="J723" t="s">
        <v>2285</v>
      </c>
      <c r="K723" t="s">
        <v>166</v>
      </c>
      <c r="L723" t="s">
        <v>0</v>
      </c>
      <c r="M723" t="s">
        <v>178</v>
      </c>
      <c r="N723">
        <v>211</v>
      </c>
      <c r="O723">
        <v>191</v>
      </c>
      <c r="P723">
        <v>3707.69</v>
      </c>
      <c r="Q723">
        <v>42644.82</v>
      </c>
      <c r="R723">
        <v>3027.3812071900002</v>
      </c>
      <c r="S723">
        <v>110.26849745</v>
      </c>
      <c r="T723">
        <v>15.661207190000001</v>
      </c>
      <c r="U723">
        <v>0</v>
      </c>
      <c r="V723">
        <v>3011.72</v>
      </c>
      <c r="W723" t="s">
        <v>453</v>
      </c>
      <c r="X723" t="s">
        <v>271</v>
      </c>
      <c r="Y723" t="s">
        <v>3927</v>
      </c>
      <c r="AA723" t="s">
        <v>3928</v>
      </c>
      <c r="AB723" t="s">
        <v>181</v>
      </c>
    </row>
    <row r="724" spans="1:28" x14ac:dyDescent="0.25">
      <c r="A724" t="s">
        <v>4244</v>
      </c>
      <c r="B724" t="s">
        <v>4245</v>
      </c>
      <c r="C724" t="s">
        <v>646</v>
      </c>
      <c r="D724" t="s">
        <v>3779</v>
      </c>
      <c r="E724" t="s">
        <v>647</v>
      </c>
      <c r="F724" t="s">
        <v>3780</v>
      </c>
      <c r="G724" t="s">
        <v>769</v>
      </c>
      <c r="H724" t="s">
        <v>962</v>
      </c>
      <c r="I724" t="s">
        <v>1251</v>
      </c>
      <c r="J724" t="s">
        <v>821</v>
      </c>
      <c r="K724" t="s">
        <v>166</v>
      </c>
      <c r="L724" t="s">
        <v>0</v>
      </c>
      <c r="M724" t="s">
        <v>178</v>
      </c>
      <c r="N724">
        <v>36</v>
      </c>
      <c r="O724">
        <v>20</v>
      </c>
      <c r="P724">
        <v>718.2</v>
      </c>
      <c r="Q724">
        <v>2609.75</v>
      </c>
      <c r="R724">
        <v>523.79</v>
      </c>
      <c r="S724">
        <v>200.00702544000001</v>
      </c>
      <c r="T724">
        <v>0</v>
      </c>
      <c r="U724">
        <v>0</v>
      </c>
      <c r="V724">
        <v>523.79</v>
      </c>
      <c r="W724" t="s">
        <v>822</v>
      </c>
      <c r="X724" t="s">
        <v>269</v>
      </c>
      <c r="Y724" t="s">
        <v>4246</v>
      </c>
      <c r="AA724" t="s">
        <v>4247</v>
      </c>
      <c r="AB724" t="s">
        <v>181</v>
      </c>
    </row>
    <row r="725" spans="1:28" x14ac:dyDescent="0.25">
      <c r="A725" t="s">
        <v>4031</v>
      </c>
      <c r="B725" t="s">
        <v>4032</v>
      </c>
      <c r="C725" t="s">
        <v>646</v>
      </c>
      <c r="D725" t="s">
        <v>3779</v>
      </c>
      <c r="E725" t="s">
        <v>647</v>
      </c>
      <c r="F725" t="s">
        <v>3780</v>
      </c>
      <c r="G725" t="s">
        <v>769</v>
      </c>
      <c r="H725" t="s">
        <v>683</v>
      </c>
      <c r="I725" t="s">
        <v>1513</v>
      </c>
      <c r="J725" t="s">
        <v>333</v>
      </c>
      <c r="K725" t="s">
        <v>166</v>
      </c>
      <c r="L725" t="s">
        <v>0</v>
      </c>
      <c r="M725" t="s">
        <v>178</v>
      </c>
      <c r="N725">
        <v>1503.6277</v>
      </c>
      <c r="O725">
        <v>660.25</v>
      </c>
      <c r="P725">
        <v>26411.52</v>
      </c>
      <c r="Q725">
        <v>61252.09</v>
      </c>
      <c r="R725">
        <v>4489.6890421300004</v>
      </c>
      <c r="S725">
        <v>9150.9436966100002</v>
      </c>
      <c r="T725">
        <v>665.94904212999995</v>
      </c>
      <c r="U725">
        <v>2.58</v>
      </c>
      <c r="V725">
        <v>4492.2700000000004</v>
      </c>
      <c r="W725" t="s">
        <v>718</v>
      </c>
      <c r="X725" t="s">
        <v>271</v>
      </c>
      <c r="Y725" t="s">
        <v>4033</v>
      </c>
      <c r="AA725" t="s">
        <v>4034</v>
      </c>
      <c r="AB725" t="s">
        <v>181</v>
      </c>
    </row>
    <row r="726" spans="1:28" x14ac:dyDescent="0.25">
      <c r="A726" t="s">
        <v>4184</v>
      </c>
      <c r="B726" t="s">
        <v>4185</v>
      </c>
      <c r="C726" t="s">
        <v>646</v>
      </c>
      <c r="D726" t="s">
        <v>3779</v>
      </c>
      <c r="E726" t="s">
        <v>647</v>
      </c>
      <c r="F726" t="s">
        <v>3780</v>
      </c>
      <c r="G726" t="s">
        <v>769</v>
      </c>
      <c r="H726" t="s">
        <v>1045</v>
      </c>
      <c r="I726" t="s">
        <v>4186</v>
      </c>
      <c r="J726" t="s">
        <v>1164</v>
      </c>
      <c r="K726" t="s">
        <v>166</v>
      </c>
      <c r="L726" t="s">
        <v>0</v>
      </c>
      <c r="M726" t="s">
        <v>178</v>
      </c>
      <c r="N726">
        <v>240.58330000000001</v>
      </c>
      <c r="O726">
        <v>102.58329999999999</v>
      </c>
      <c r="P726">
        <v>2600.5</v>
      </c>
      <c r="Q726">
        <v>19265.29</v>
      </c>
      <c r="R726">
        <v>1393.82</v>
      </c>
      <c r="S726">
        <v>944.83929937000005</v>
      </c>
      <c r="T726">
        <v>0</v>
      </c>
      <c r="U726">
        <v>0</v>
      </c>
      <c r="V726">
        <v>1393.82</v>
      </c>
      <c r="W726" t="s">
        <v>1165</v>
      </c>
      <c r="X726" t="s">
        <v>271</v>
      </c>
      <c r="Y726" t="s">
        <v>4187</v>
      </c>
      <c r="AA726" t="s">
        <v>4188</v>
      </c>
      <c r="AB726" t="s">
        <v>181</v>
      </c>
    </row>
    <row r="727" spans="1:28" x14ac:dyDescent="0.25">
      <c r="A727" t="s">
        <v>4123</v>
      </c>
      <c r="B727" t="s">
        <v>4124</v>
      </c>
      <c r="C727" t="s">
        <v>646</v>
      </c>
      <c r="D727" t="s">
        <v>3779</v>
      </c>
      <c r="E727" t="s">
        <v>647</v>
      </c>
      <c r="F727" t="s">
        <v>3780</v>
      </c>
      <c r="G727" t="s">
        <v>769</v>
      </c>
      <c r="H727" t="s">
        <v>672</v>
      </c>
      <c r="I727" t="s">
        <v>746</v>
      </c>
      <c r="J727" t="s">
        <v>504</v>
      </c>
      <c r="K727" t="s">
        <v>166</v>
      </c>
      <c r="L727" t="s">
        <v>0</v>
      </c>
      <c r="M727" t="s">
        <v>178</v>
      </c>
      <c r="N727">
        <v>295</v>
      </c>
      <c r="O727">
        <v>191</v>
      </c>
      <c r="P727">
        <v>7368.88</v>
      </c>
      <c r="Q727">
        <v>11699.52</v>
      </c>
      <c r="R727">
        <v>922.07632882999997</v>
      </c>
      <c r="S727">
        <v>2307.1885230600001</v>
      </c>
      <c r="T727">
        <v>262.52632883000001</v>
      </c>
      <c r="U727">
        <v>0</v>
      </c>
      <c r="V727">
        <v>921.63</v>
      </c>
      <c r="W727" t="s">
        <v>503</v>
      </c>
      <c r="X727" t="s">
        <v>271</v>
      </c>
      <c r="Y727" t="s">
        <v>4125</v>
      </c>
      <c r="AA727" t="s">
        <v>4126</v>
      </c>
      <c r="AB727" t="s">
        <v>181</v>
      </c>
    </row>
    <row r="728" spans="1:28" x14ac:dyDescent="0.25">
      <c r="A728" t="s">
        <v>3952</v>
      </c>
      <c r="B728" t="s">
        <v>3953</v>
      </c>
      <c r="C728" t="s">
        <v>646</v>
      </c>
      <c r="D728" t="s">
        <v>3779</v>
      </c>
      <c r="E728" t="s">
        <v>647</v>
      </c>
      <c r="F728" t="s">
        <v>666</v>
      </c>
      <c r="G728" t="s">
        <v>666</v>
      </c>
      <c r="H728" t="s">
        <v>761</v>
      </c>
      <c r="I728" t="s">
        <v>2032</v>
      </c>
      <c r="J728" t="s">
        <v>311</v>
      </c>
      <c r="K728" t="s">
        <v>166</v>
      </c>
      <c r="L728" t="s">
        <v>0</v>
      </c>
      <c r="M728" t="s">
        <v>178</v>
      </c>
      <c r="N728">
        <v>316</v>
      </c>
      <c r="O728">
        <v>231</v>
      </c>
      <c r="P728">
        <v>9042.32</v>
      </c>
      <c r="Q728">
        <v>9945.3799999999992</v>
      </c>
      <c r="R728">
        <v>671.38</v>
      </c>
      <c r="S728">
        <v>1777.95097661</v>
      </c>
      <c r="T728">
        <v>0</v>
      </c>
      <c r="U728">
        <v>71.72</v>
      </c>
      <c r="V728">
        <v>743.1</v>
      </c>
      <c r="W728" t="s">
        <v>312</v>
      </c>
      <c r="X728" t="s">
        <v>271</v>
      </c>
      <c r="Y728" t="s">
        <v>3954</v>
      </c>
      <c r="AA728" t="s">
        <v>3955</v>
      </c>
      <c r="AB728" t="s">
        <v>181</v>
      </c>
    </row>
    <row r="729" spans="1:28" x14ac:dyDescent="0.25">
      <c r="A729" t="s">
        <v>4219</v>
      </c>
      <c r="B729" t="s">
        <v>4220</v>
      </c>
      <c r="C729" t="s">
        <v>646</v>
      </c>
      <c r="D729" t="s">
        <v>3779</v>
      </c>
      <c r="E729" t="s">
        <v>647</v>
      </c>
      <c r="F729" t="s">
        <v>3780</v>
      </c>
      <c r="G729" t="s">
        <v>769</v>
      </c>
      <c r="H729" t="s">
        <v>761</v>
      </c>
      <c r="I729" t="s">
        <v>1208</v>
      </c>
      <c r="J729" t="s">
        <v>1209</v>
      </c>
      <c r="K729" t="s">
        <v>166</v>
      </c>
      <c r="L729" t="s">
        <v>0</v>
      </c>
      <c r="M729" t="s">
        <v>178</v>
      </c>
      <c r="N729">
        <v>20</v>
      </c>
      <c r="O729">
        <v>19</v>
      </c>
      <c r="P729">
        <v>782.92</v>
      </c>
      <c r="Q729">
        <v>782.59</v>
      </c>
      <c r="R729">
        <v>193.39</v>
      </c>
      <c r="S729">
        <v>131.65761677</v>
      </c>
      <c r="T729">
        <v>0</v>
      </c>
      <c r="U729">
        <v>0</v>
      </c>
      <c r="V729">
        <v>193.39</v>
      </c>
      <c r="W729" t="s">
        <v>1210</v>
      </c>
      <c r="X729" t="s">
        <v>271</v>
      </c>
      <c r="Y729" t="s">
        <v>4221</v>
      </c>
      <c r="AA729" t="s">
        <v>4222</v>
      </c>
      <c r="AB729" t="s">
        <v>181</v>
      </c>
    </row>
    <row r="730" spans="1:28" x14ac:dyDescent="0.25">
      <c r="A730" t="s">
        <v>4308</v>
      </c>
      <c r="B730" t="s">
        <v>4309</v>
      </c>
      <c r="C730" t="s">
        <v>646</v>
      </c>
      <c r="D730" t="s">
        <v>3779</v>
      </c>
      <c r="E730" t="s">
        <v>647</v>
      </c>
      <c r="F730" t="s">
        <v>3780</v>
      </c>
      <c r="G730" t="s">
        <v>769</v>
      </c>
      <c r="H730" t="s">
        <v>761</v>
      </c>
      <c r="I730" t="s">
        <v>1184</v>
      </c>
      <c r="J730" t="s">
        <v>1185</v>
      </c>
      <c r="K730" t="s">
        <v>166</v>
      </c>
      <c r="L730" t="s">
        <v>0</v>
      </c>
      <c r="M730" t="s">
        <v>178</v>
      </c>
      <c r="N730">
        <v>57</v>
      </c>
      <c r="O730">
        <v>26</v>
      </c>
      <c r="P730">
        <v>1218.5999999999999</v>
      </c>
      <c r="Q730">
        <v>2348.35</v>
      </c>
      <c r="R730">
        <v>708.74</v>
      </c>
      <c r="S730">
        <v>313.88564272999997</v>
      </c>
      <c r="T730">
        <v>0</v>
      </c>
      <c r="U730">
        <v>0</v>
      </c>
      <c r="V730">
        <v>708.74</v>
      </c>
      <c r="W730" t="s">
        <v>1186</v>
      </c>
      <c r="X730" t="s">
        <v>271</v>
      </c>
      <c r="Y730" t="s">
        <v>4310</v>
      </c>
      <c r="AA730" t="s">
        <v>4311</v>
      </c>
      <c r="AB730" t="s">
        <v>181</v>
      </c>
    </row>
    <row r="731" spans="1:28" x14ac:dyDescent="0.25">
      <c r="A731" t="s">
        <v>4162</v>
      </c>
      <c r="B731" t="s">
        <v>4163</v>
      </c>
      <c r="C731" t="s">
        <v>646</v>
      </c>
      <c r="D731" t="s">
        <v>3779</v>
      </c>
      <c r="E731" t="s">
        <v>647</v>
      </c>
      <c r="F731" t="s">
        <v>3780</v>
      </c>
      <c r="G731" t="s">
        <v>769</v>
      </c>
      <c r="H731" t="s">
        <v>679</v>
      </c>
      <c r="I731" t="s">
        <v>4164</v>
      </c>
      <c r="J731" t="s">
        <v>985</v>
      </c>
      <c r="K731" t="s">
        <v>166</v>
      </c>
      <c r="L731" t="s">
        <v>0</v>
      </c>
      <c r="M731" t="s">
        <v>178</v>
      </c>
      <c r="N731">
        <v>8</v>
      </c>
      <c r="O731">
        <v>6</v>
      </c>
      <c r="P731">
        <v>62.17</v>
      </c>
      <c r="Q731">
        <v>201.9</v>
      </c>
      <c r="R731">
        <v>-19.393182320000001</v>
      </c>
      <c r="S731">
        <v>203.70536908</v>
      </c>
      <c r="T731">
        <v>-0.36318232</v>
      </c>
      <c r="U731">
        <v>0</v>
      </c>
      <c r="V731">
        <v>-19.03</v>
      </c>
      <c r="W731" t="s">
        <v>986</v>
      </c>
      <c r="X731" t="s">
        <v>271</v>
      </c>
      <c r="Y731" t="s">
        <v>4165</v>
      </c>
      <c r="AA731" t="s">
        <v>4166</v>
      </c>
      <c r="AB731" t="s">
        <v>181</v>
      </c>
    </row>
    <row r="732" spans="1:28" x14ac:dyDescent="0.25">
      <c r="A732" t="s">
        <v>3948</v>
      </c>
      <c r="B732" t="s">
        <v>3949</v>
      </c>
      <c r="C732" t="s">
        <v>646</v>
      </c>
      <c r="D732" t="s">
        <v>3779</v>
      </c>
      <c r="E732" t="s">
        <v>647</v>
      </c>
      <c r="F732" t="s">
        <v>3780</v>
      </c>
      <c r="G732" t="s">
        <v>769</v>
      </c>
      <c r="H732" t="s">
        <v>730</v>
      </c>
      <c r="I732" t="s">
        <v>2250</v>
      </c>
      <c r="J732" t="s">
        <v>358</v>
      </c>
      <c r="K732" t="s">
        <v>166</v>
      </c>
      <c r="L732" t="s">
        <v>0</v>
      </c>
      <c r="M732" t="s">
        <v>178</v>
      </c>
      <c r="N732">
        <v>3</v>
      </c>
      <c r="O732">
        <v>0</v>
      </c>
      <c r="P732">
        <v>95.2</v>
      </c>
      <c r="Q732">
        <v>217.43</v>
      </c>
      <c r="R732">
        <v>21.12088726</v>
      </c>
      <c r="S732">
        <v>0</v>
      </c>
      <c r="T732">
        <v>224.32088726000001</v>
      </c>
      <c r="U732">
        <v>0</v>
      </c>
      <c r="V732">
        <v>21.75</v>
      </c>
      <c r="W732" t="s">
        <v>357</v>
      </c>
      <c r="X732" t="s">
        <v>271</v>
      </c>
      <c r="Y732" t="s">
        <v>3950</v>
      </c>
      <c r="AA732" t="s">
        <v>3951</v>
      </c>
      <c r="AB732" t="s">
        <v>181</v>
      </c>
    </row>
    <row r="733" spans="1:28" x14ac:dyDescent="0.25">
      <c r="A733" t="s">
        <v>4082</v>
      </c>
      <c r="B733" t="s">
        <v>257</v>
      </c>
      <c r="C733" t="s">
        <v>646</v>
      </c>
      <c r="D733" t="s">
        <v>3779</v>
      </c>
      <c r="E733" t="s">
        <v>647</v>
      </c>
      <c r="F733" t="s">
        <v>3780</v>
      </c>
      <c r="G733" t="s">
        <v>769</v>
      </c>
      <c r="H733" t="s">
        <v>683</v>
      </c>
      <c r="I733" t="s">
        <v>4083</v>
      </c>
      <c r="J733" t="s">
        <v>1972</v>
      </c>
      <c r="K733" t="s">
        <v>166</v>
      </c>
      <c r="L733" t="s">
        <v>0</v>
      </c>
      <c r="M733" t="s">
        <v>178</v>
      </c>
      <c r="N733">
        <v>579.82219999999995</v>
      </c>
      <c r="O733">
        <v>293</v>
      </c>
      <c r="P733">
        <v>7350.65</v>
      </c>
      <c r="Q733">
        <v>25315.83</v>
      </c>
      <c r="R733">
        <v>5372.2985671799997</v>
      </c>
      <c r="S733">
        <v>2418.6415011700001</v>
      </c>
      <c r="T733">
        <v>-1.43282E-3</v>
      </c>
      <c r="U733">
        <v>0</v>
      </c>
      <c r="V733">
        <v>5372.3</v>
      </c>
      <c r="W733" t="s">
        <v>1973</v>
      </c>
      <c r="X733" t="s">
        <v>271</v>
      </c>
      <c r="Y733" t="s">
        <v>4084</v>
      </c>
      <c r="AA733" t="s">
        <v>4085</v>
      </c>
      <c r="AB733" t="s">
        <v>181</v>
      </c>
    </row>
    <row r="734" spans="1:28" x14ac:dyDescent="0.25">
      <c r="A734" t="s">
        <v>4275</v>
      </c>
      <c r="B734" t="s">
        <v>4276</v>
      </c>
      <c r="C734" t="s">
        <v>646</v>
      </c>
      <c r="D734" t="s">
        <v>3779</v>
      </c>
      <c r="E734" t="s">
        <v>647</v>
      </c>
      <c r="F734" t="s">
        <v>3780</v>
      </c>
      <c r="G734" t="s">
        <v>769</v>
      </c>
      <c r="H734" t="s">
        <v>797</v>
      </c>
      <c r="I734" t="s">
        <v>4277</v>
      </c>
      <c r="J734" t="s">
        <v>562</v>
      </c>
      <c r="K734" t="s">
        <v>166</v>
      </c>
      <c r="L734" t="s">
        <v>0</v>
      </c>
      <c r="M734" t="s">
        <v>178</v>
      </c>
      <c r="N734">
        <v>27</v>
      </c>
      <c r="O734">
        <v>8</v>
      </c>
      <c r="P734">
        <v>275</v>
      </c>
      <c r="Q734">
        <v>952.09</v>
      </c>
      <c r="R734">
        <v>97.6</v>
      </c>
      <c r="S734">
        <v>70.55304185</v>
      </c>
      <c r="T734">
        <v>0</v>
      </c>
      <c r="U734">
        <v>0</v>
      </c>
      <c r="V734">
        <v>97.6</v>
      </c>
      <c r="W734" t="s">
        <v>0</v>
      </c>
      <c r="X734" t="s">
        <v>271</v>
      </c>
      <c r="Y734" t="s">
        <v>4278</v>
      </c>
      <c r="AA734" t="s">
        <v>4279</v>
      </c>
      <c r="AB734" t="s">
        <v>181</v>
      </c>
    </row>
    <row r="735" spans="1:28" x14ac:dyDescent="0.25">
      <c r="A735" t="s">
        <v>3913</v>
      </c>
      <c r="B735" t="s">
        <v>3914</v>
      </c>
      <c r="C735" t="s">
        <v>646</v>
      </c>
      <c r="D735" t="s">
        <v>3779</v>
      </c>
      <c r="E735" t="s">
        <v>647</v>
      </c>
      <c r="F735" t="s">
        <v>3780</v>
      </c>
      <c r="G735" t="s">
        <v>769</v>
      </c>
      <c r="H735" t="s">
        <v>757</v>
      </c>
      <c r="I735" t="s">
        <v>984</v>
      </c>
      <c r="J735" t="s">
        <v>985</v>
      </c>
      <c r="K735" t="s">
        <v>166</v>
      </c>
      <c r="L735" t="s">
        <v>0</v>
      </c>
      <c r="M735" t="s">
        <v>178</v>
      </c>
      <c r="N735">
        <v>500.2</v>
      </c>
      <c r="O735">
        <v>269.2</v>
      </c>
      <c r="P735">
        <v>9625.89</v>
      </c>
      <c r="Q735">
        <v>17987.63</v>
      </c>
      <c r="R735">
        <v>2846.51</v>
      </c>
      <c r="S735">
        <v>2381.3632319799999</v>
      </c>
      <c r="T735">
        <v>0</v>
      </c>
      <c r="U735">
        <v>0</v>
      </c>
      <c r="V735">
        <v>2846.51</v>
      </c>
      <c r="W735" t="s">
        <v>986</v>
      </c>
      <c r="X735" t="s">
        <v>271</v>
      </c>
      <c r="Y735" t="s">
        <v>3915</v>
      </c>
      <c r="AA735" t="s">
        <v>3916</v>
      </c>
      <c r="AB735" t="s">
        <v>181</v>
      </c>
    </row>
    <row r="736" spans="1:28" x14ac:dyDescent="0.25">
      <c r="A736" t="s">
        <v>4216</v>
      </c>
      <c r="B736" t="s">
        <v>4217</v>
      </c>
      <c r="C736" t="s">
        <v>646</v>
      </c>
      <c r="D736" t="s">
        <v>3779</v>
      </c>
      <c r="E736" t="s">
        <v>647</v>
      </c>
      <c r="F736" t="s">
        <v>666</v>
      </c>
      <c r="G736" t="s">
        <v>666</v>
      </c>
      <c r="H736" t="s">
        <v>761</v>
      </c>
      <c r="I736" t="s">
        <v>1636</v>
      </c>
      <c r="J736" t="s">
        <v>1637</v>
      </c>
      <c r="K736" t="s">
        <v>166</v>
      </c>
      <c r="L736" t="s">
        <v>0</v>
      </c>
      <c r="M736" t="s">
        <v>178</v>
      </c>
      <c r="N736">
        <v>172</v>
      </c>
      <c r="O736">
        <v>89</v>
      </c>
      <c r="P736">
        <v>6934.72</v>
      </c>
      <c r="Q736">
        <v>5123.55</v>
      </c>
      <c r="R736">
        <v>278.99505227999998</v>
      </c>
      <c r="S736">
        <v>725.84315551999998</v>
      </c>
      <c r="T736">
        <v>2.505228E-2</v>
      </c>
      <c r="U736">
        <v>89.11</v>
      </c>
      <c r="V736">
        <v>368.08</v>
      </c>
      <c r="W736" t="s">
        <v>1638</v>
      </c>
      <c r="X736" t="s">
        <v>271</v>
      </c>
      <c r="Y736" t="s">
        <v>1639</v>
      </c>
      <c r="AA736" t="s">
        <v>4218</v>
      </c>
      <c r="AB736" t="s">
        <v>181</v>
      </c>
    </row>
    <row r="737" spans="1:28" x14ac:dyDescent="0.25">
      <c r="A737" t="s">
        <v>4167</v>
      </c>
      <c r="B737" t="s">
        <v>4168</v>
      </c>
      <c r="C737" t="s">
        <v>646</v>
      </c>
      <c r="D737" t="s">
        <v>3779</v>
      </c>
      <c r="E737" t="s">
        <v>647</v>
      </c>
      <c r="F737" t="s">
        <v>3780</v>
      </c>
      <c r="G737" t="s">
        <v>769</v>
      </c>
      <c r="H737" t="s">
        <v>797</v>
      </c>
      <c r="I737" t="s">
        <v>4169</v>
      </c>
      <c r="J737" t="s">
        <v>662</v>
      </c>
      <c r="K737" t="s">
        <v>166</v>
      </c>
      <c r="L737" t="s">
        <v>0</v>
      </c>
      <c r="M737" t="s">
        <v>178</v>
      </c>
      <c r="N737">
        <v>216</v>
      </c>
      <c r="O737">
        <v>0</v>
      </c>
      <c r="P737">
        <v>2160</v>
      </c>
      <c r="Q737">
        <v>5175.53</v>
      </c>
      <c r="R737">
        <v>407.04</v>
      </c>
      <c r="S737">
        <v>155.30591207000001</v>
      </c>
      <c r="T737">
        <v>0</v>
      </c>
      <c r="U737">
        <v>0</v>
      </c>
      <c r="V737">
        <v>407.04</v>
      </c>
      <c r="W737" t="s">
        <v>586</v>
      </c>
      <c r="X737" t="s">
        <v>271</v>
      </c>
      <c r="Y737" t="s">
        <v>4170</v>
      </c>
      <c r="AA737" t="s">
        <v>4171</v>
      </c>
      <c r="AB737" t="s">
        <v>181</v>
      </c>
    </row>
    <row r="738" spans="1:28" x14ac:dyDescent="0.25">
      <c r="A738" t="s">
        <v>3801</v>
      </c>
      <c r="B738" t="s">
        <v>3802</v>
      </c>
      <c r="C738" t="s">
        <v>646</v>
      </c>
      <c r="D738" t="s">
        <v>3779</v>
      </c>
      <c r="E738" t="s">
        <v>647</v>
      </c>
      <c r="F738" t="s">
        <v>666</v>
      </c>
      <c r="G738" t="s">
        <v>666</v>
      </c>
      <c r="H738" t="s">
        <v>962</v>
      </c>
      <c r="I738" t="s">
        <v>3803</v>
      </c>
      <c r="J738" t="s">
        <v>2577</v>
      </c>
      <c r="K738" t="s">
        <v>166</v>
      </c>
      <c r="L738" t="s">
        <v>0</v>
      </c>
      <c r="M738" t="s">
        <v>178</v>
      </c>
      <c r="N738">
        <v>145</v>
      </c>
      <c r="O738">
        <v>141</v>
      </c>
      <c r="P738">
        <v>926.39</v>
      </c>
      <c r="Q738">
        <v>10708.15</v>
      </c>
      <c r="R738">
        <v>5355.8244439</v>
      </c>
      <c r="S738">
        <v>688.71357554999997</v>
      </c>
      <c r="T738">
        <v>4.4438999999999998E-3</v>
      </c>
      <c r="U738">
        <v>0</v>
      </c>
      <c r="V738">
        <v>5355.82</v>
      </c>
      <c r="W738" t="s">
        <v>2578</v>
      </c>
      <c r="X738" t="s">
        <v>271</v>
      </c>
      <c r="Y738" t="s">
        <v>3804</v>
      </c>
      <c r="AA738" t="s">
        <v>3805</v>
      </c>
      <c r="AB738" t="s">
        <v>181</v>
      </c>
    </row>
    <row r="739" spans="1:28" x14ac:dyDescent="0.25">
      <c r="A739" t="s">
        <v>4312</v>
      </c>
      <c r="B739" t="s">
        <v>4313</v>
      </c>
      <c r="C739" t="s">
        <v>646</v>
      </c>
      <c r="D739" t="s">
        <v>3779</v>
      </c>
      <c r="E739" t="s">
        <v>647</v>
      </c>
      <c r="F739" t="s">
        <v>3780</v>
      </c>
      <c r="G739" t="s">
        <v>769</v>
      </c>
      <c r="H739" t="s">
        <v>1045</v>
      </c>
      <c r="I739" t="s">
        <v>4314</v>
      </c>
      <c r="J739" t="s">
        <v>319</v>
      </c>
      <c r="K739" t="s">
        <v>166</v>
      </c>
      <c r="L739" t="s">
        <v>0</v>
      </c>
      <c r="M739" t="s">
        <v>178</v>
      </c>
      <c r="N739">
        <v>17</v>
      </c>
      <c r="O739">
        <v>17</v>
      </c>
      <c r="P739">
        <v>170</v>
      </c>
      <c r="Q739">
        <v>2174.44</v>
      </c>
      <c r="R739">
        <v>464.57</v>
      </c>
      <c r="S739">
        <v>234.68423232999999</v>
      </c>
      <c r="T739">
        <v>0</v>
      </c>
      <c r="U739">
        <v>0</v>
      </c>
      <c r="V739">
        <v>464.57</v>
      </c>
      <c r="W739" t="s">
        <v>0</v>
      </c>
      <c r="X739" t="s">
        <v>271</v>
      </c>
      <c r="Y739" t="s">
        <v>4315</v>
      </c>
      <c r="AA739" t="s">
        <v>3466</v>
      </c>
      <c r="AB739" t="s">
        <v>181</v>
      </c>
    </row>
    <row r="740" spans="1:28" x14ac:dyDescent="0.25">
      <c r="A740" t="s">
        <v>3960</v>
      </c>
      <c r="B740" t="s">
        <v>3961</v>
      </c>
      <c r="C740" t="s">
        <v>646</v>
      </c>
      <c r="D740" t="s">
        <v>3779</v>
      </c>
      <c r="E740" t="s">
        <v>647</v>
      </c>
      <c r="F740" t="s">
        <v>666</v>
      </c>
      <c r="G740" t="s">
        <v>666</v>
      </c>
      <c r="H740" t="s">
        <v>770</v>
      </c>
      <c r="I740" t="s">
        <v>3962</v>
      </c>
      <c r="J740" t="s">
        <v>575</v>
      </c>
      <c r="K740" t="s">
        <v>166</v>
      </c>
      <c r="L740" t="s">
        <v>0</v>
      </c>
      <c r="M740" t="s">
        <v>178</v>
      </c>
      <c r="N740">
        <v>34</v>
      </c>
      <c r="O740">
        <v>1</v>
      </c>
      <c r="P740">
        <v>1293</v>
      </c>
      <c r="Q740">
        <v>605.9</v>
      </c>
      <c r="R740">
        <v>-68.92</v>
      </c>
      <c r="S740">
        <v>117.83879093</v>
      </c>
      <c r="T740">
        <v>0</v>
      </c>
      <c r="U740">
        <v>0</v>
      </c>
      <c r="V740">
        <v>-68.92</v>
      </c>
      <c r="W740" t="s">
        <v>0</v>
      </c>
      <c r="X740" t="s">
        <v>271</v>
      </c>
      <c r="Y740" t="s">
        <v>3963</v>
      </c>
      <c r="AA740" t="s">
        <v>3964</v>
      </c>
      <c r="AB740" t="s">
        <v>181</v>
      </c>
    </row>
    <row r="741" spans="1:28" x14ac:dyDescent="0.25">
      <c r="A741" t="s">
        <v>4194</v>
      </c>
      <c r="B741" t="s">
        <v>4195</v>
      </c>
      <c r="C741" t="s">
        <v>646</v>
      </c>
      <c r="D741" t="s">
        <v>3779</v>
      </c>
      <c r="E741" t="s">
        <v>647</v>
      </c>
      <c r="F741" t="s">
        <v>3780</v>
      </c>
      <c r="G741" t="s">
        <v>769</v>
      </c>
      <c r="H741" t="s">
        <v>761</v>
      </c>
      <c r="I741" t="s">
        <v>1190</v>
      </c>
      <c r="J741" t="s">
        <v>1191</v>
      </c>
      <c r="K741" t="s">
        <v>166</v>
      </c>
      <c r="L741" t="s">
        <v>0</v>
      </c>
      <c r="M741" t="s">
        <v>178</v>
      </c>
      <c r="N741">
        <v>125</v>
      </c>
      <c r="O741">
        <v>47</v>
      </c>
      <c r="P741">
        <v>3052.4</v>
      </c>
      <c r="Q741">
        <v>3215.4</v>
      </c>
      <c r="R741">
        <v>201.56020912</v>
      </c>
      <c r="S741">
        <v>687.34870253999998</v>
      </c>
      <c r="T741">
        <v>0.10020912</v>
      </c>
      <c r="U741">
        <v>17.09</v>
      </c>
      <c r="V741">
        <v>218.55</v>
      </c>
      <c r="W741" t="s">
        <v>282</v>
      </c>
      <c r="X741" t="s">
        <v>271</v>
      </c>
      <c r="Y741" t="s">
        <v>4059</v>
      </c>
      <c r="AA741" t="s">
        <v>2171</v>
      </c>
      <c r="AB741" t="s">
        <v>181</v>
      </c>
    </row>
    <row r="742" spans="1:28" x14ac:dyDescent="0.25">
      <c r="A742" t="s">
        <v>4298</v>
      </c>
      <c r="B742" t="s">
        <v>4299</v>
      </c>
      <c r="C742" t="s">
        <v>646</v>
      </c>
      <c r="D742" t="s">
        <v>3779</v>
      </c>
      <c r="E742" t="s">
        <v>647</v>
      </c>
      <c r="F742" t="s">
        <v>666</v>
      </c>
      <c r="G742" t="s">
        <v>666</v>
      </c>
      <c r="H742" t="s">
        <v>1171</v>
      </c>
      <c r="I742" t="s">
        <v>4300</v>
      </c>
      <c r="J742" t="s">
        <v>511</v>
      </c>
      <c r="K742" t="s">
        <v>166</v>
      </c>
      <c r="L742" t="s">
        <v>0</v>
      </c>
      <c r="M742" t="s">
        <v>178</v>
      </c>
      <c r="N742">
        <v>230</v>
      </c>
      <c r="O742">
        <v>217</v>
      </c>
      <c r="P742">
        <v>9500.52</v>
      </c>
      <c r="Q742">
        <v>77023.48</v>
      </c>
      <c r="R742">
        <v>3111.9971882599998</v>
      </c>
      <c r="S742">
        <v>2783.5350773</v>
      </c>
      <c r="T742">
        <v>8.7188260000000004E-2</v>
      </c>
      <c r="U742">
        <v>0</v>
      </c>
      <c r="V742">
        <v>3111.91</v>
      </c>
      <c r="W742" t="s">
        <v>510</v>
      </c>
      <c r="X742" t="s">
        <v>271</v>
      </c>
      <c r="Y742" t="s">
        <v>4301</v>
      </c>
      <c r="Z742" t="s">
        <v>4302</v>
      </c>
      <c r="AA742" t="s">
        <v>4303</v>
      </c>
      <c r="AB742" t="s">
        <v>181</v>
      </c>
    </row>
    <row r="743" spans="1:28" x14ac:dyDescent="0.25">
      <c r="A743" t="s">
        <v>4082</v>
      </c>
      <c r="B743" t="s">
        <v>257</v>
      </c>
      <c r="C743" t="s">
        <v>646</v>
      </c>
      <c r="D743" t="s">
        <v>3779</v>
      </c>
      <c r="E743" t="s">
        <v>647</v>
      </c>
      <c r="F743" t="s">
        <v>3780</v>
      </c>
      <c r="G743" t="s">
        <v>769</v>
      </c>
      <c r="H743" t="s">
        <v>962</v>
      </c>
      <c r="I743" t="s">
        <v>4083</v>
      </c>
      <c r="J743" t="s">
        <v>1972</v>
      </c>
      <c r="K743" t="s">
        <v>166</v>
      </c>
      <c r="L743" t="s">
        <v>0</v>
      </c>
      <c r="M743" t="s">
        <v>178</v>
      </c>
      <c r="N743">
        <v>122</v>
      </c>
      <c r="O743">
        <v>7</v>
      </c>
      <c r="P743">
        <v>491.3</v>
      </c>
      <c r="Q743">
        <v>5970.65</v>
      </c>
      <c r="R743">
        <v>1948.95</v>
      </c>
      <c r="S743">
        <v>169.04964129000001</v>
      </c>
      <c r="T743">
        <v>0</v>
      </c>
      <c r="U743">
        <v>0</v>
      </c>
      <c r="V743">
        <v>1948.95</v>
      </c>
      <c r="W743" t="s">
        <v>1973</v>
      </c>
      <c r="X743" t="s">
        <v>271</v>
      </c>
      <c r="Y743" t="s">
        <v>4084</v>
      </c>
      <c r="AA743" t="s">
        <v>4085</v>
      </c>
      <c r="AB743" t="s">
        <v>181</v>
      </c>
    </row>
    <row r="744" spans="1:28" x14ac:dyDescent="0.25">
      <c r="A744" t="s">
        <v>3917</v>
      </c>
      <c r="B744" t="s">
        <v>3918</v>
      </c>
      <c r="C744" t="s">
        <v>646</v>
      </c>
      <c r="D744" t="s">
        <v>3779</v>
      </c>
      <c r="E744" t="s">
        <v>647</v>
      </c>
      <c r="F744" t="s">
        <v>3780</v>
      </c>
      <c r="G744" t="s">
        <v>769</v>
      </c>
      <c r="H744" t="s">
        <v>770</v>
      </c>
      <c r="I744" t="s">
        <v>1083</v>
      </c>
      <c r="J744" t="s">
        <v>731</v>
      </c>
      <c r="K744" t="s">
        <v>166</v>
      </c>
      <c r="L744" t="s">
        <v>0</v>
      </c>
      <c r="M744" t="s">
        <v>178</v>
      </c>
      <c r="N744">
        <v>4</v>
      </c>
      <c r="O744">
        <v>4</v>
      </c>
      <c r="P744">
        <v>12</v>
      </c>
      <c r="Q744">
        <v>61.32</v>
      </c>
      <c r="R744">
        <v>13.74</v>
      </c>
      <c r="S744">
        <v>10.629215690000001</v>
      </c>
      <c r="T744">
        <v>0</v>
      </c>
      <c r="U744">
        <v>0</v>
      </c>
      <c r="V744">
        <v>13.74</v>
      </c>
      <c r="W744" t="s">
        <v>0</v>
      </c>
      <c r="X744" t="s">
        <v>271</v>
      </c>
      <c r="Y744" t="s">
        <v>3919</v>
      </c>
      <c r="AA744" t="s">
        <v>3920</v>
      </c>
      <c r="AB744" t="s">
        <v>181</v>
      </c>
    </row>
    <row r="745" spans="1:28" x14ac:dyDescent="0.25">
      <c r="A745" t="s">
        <v>3960</v>
      </c>
      <c r="B745" t="s">
        <v>3961</v>
      </c>
      <c r="C745" t="s">
        <v>646</v>
      </c>
      <c r="D745" t="s">
        <v>3779</v>
      </c>
      <c r="E745" t="s">
        <v>647</v>
      </c>
      <c r="F745" t="s">
        <v>666</v>
      </c>
      <c r="G745" t="s">
        <v>666</v>
      </c>
      <c r="H745" t="s">
        <v>757</v>
      </c>
      <c r="I745" t="s">
        <v>3962</v>
      </c>
      <c r="J745" t="s">
        <v>575</v>
      </c>
      <c r="K745" t="s">
        <v>166</v>
      </c>
      <c r="L745" t="s">
        <v>0</v>
      </c>
      <c r="M745" t="s">
        <v>178</v>
      </c>
      <c r="N745">
        <v>288</v>
      </c>
      <c r="O745">
        <v>0</v>
      </c>
      <c r="P745">
        <v>5760</v>
      </c>
      <c r="Q745">
        <v>5082.87</v>
      </c>
      <c r="R745">
        <v>203.62</v>
      </c>
      <c r="S745">
        <v>86.379211479999995</v>
      </c>
      <c r="T745">
        <v>0</v>
      </c>
      <c r="U745">
        <v>0</v>
      </c>
      <c r="V745">
        <v>203.62</v>
      </c>
      <c r="W745" t="s">
        <v>0</v>
      </c>
      <c r="X745" t="s">
        <v>271</v>
      </c>
      <c r="Y745" t="s">
        <v>3963</v>
      </c>
      <c r="AA745" t="s">
        <v>3964</v>
      </c>
      <c r="AB745" t="s">
        <v>181</v>
      </c>
    </row>
    <row r="746" spans="1:28" x14ac:dyDescent="0.25">
      <c r="A746" t="s">
        <v>4236</v>
      </c>
      <c r="B746" t="s">
        <v>4237</v>
      </c>
      <c r="C746" t="s">
        <v>646</v>
      </c>
      <c r="D746" t="s">
        <v>3779</v>
      </c>
      <c r="E746" t="s">
        <v>647</v>
      </c>
      <c r="F746" t="s">
        <v>3780</v>
      </c>
      <c r="G746" t="s">
        <v>769</v>
      </c>
      <c r="H746" t="s">
        <v>730</v>
      </c>
      <c r="I746" t="s">
        <v>1546</v>
      </c>
      <c r="J746" t="s">
        <v>1547</v>
      </c>
      <c r="K746" t="s">
        <v>166</v>
      </c>
      <c r="L746" t="s">
        <v>0</v>
      </c>
      <c r="M746" t="s">
        <v>178</v>
      </c>
      <c r="N746">
        <v>1</v>
      </c>
      <c r="O746">
        <v>1</v>
      </c>
      <c r="P746">
        <v>9.6</v>
      </c>
      <c r="Q746">
        <v>50.02</v>
      </c>
      <c r="R746">
        <v>3.12</v>
      </c>
      <c r="S746">
        <v>7.4383275700000002</v>
      </c>
      <c r="T746">
        <v>0</v>
      </c>
      <c r="U746">
        <v>0</v>
      </c>
      <c r="V746">
        <v>3.12</v>
      </c>
      <c r="W746" t="s">
        <v>1548</v>
      </c>
      <c r="X746" t="s">
        <v>271</v>
      </c>
      <c r="Y746" t="s">
        <v>4238</v>
      </c>
      <c r="AA746" t="s">
        <v>4239</v>
      </c>
      <c r="AB746" t="s">
        <v>181</v>
      </c>
    </row>
    <row r="747" spans="1:28" x14ac:dyDescent="0.25">
      <c r="A747" t="s">
        <v>4135</v>
      </c>
      <c r="B747" t="s">
        <v>4136</v>
      </c>
      <c r="C747" t="s">
        <v>646</v>
      </c>
      <c r="D747" t="s">
        <v>3779</v>
      </c>
      <c r="E747" t="s">
        <v>647</v>
      </c>
      <c r="F747" t="s">
        <v>3780</v>
      </c>
      <c r="G747" t="s">
        <v>769</v>
      </c>
      <c r="H747" t="s">
        <v>962</v>
      </c>
      <c r="I747" t="s">
        <v>1083</v>
      </c>
      <c r="J747" t="s">
        <v>731</v>
      </c>
      <c r="K747" t="s">
        <v>166</v>
      </c>
      <c r="L747" t="s">
        <v>0</v>
      </c>
      <c r="M747" t="s">
        <v>178</v>
      </c>
      <c r="N747">
        <v>249</v>
      </c>
      <c r="O747">
        <v>249</v>
      </c>
      <c r="P747">
        <v>4935</v>
      </c>
      <c r="Q747">
        <v>22156.07</v>
      </c>
      <c r="R747">
        <v>4500.6777755800003</v>
      </c>
      <c r="S747">
        <v>3131.2004557499999</v>
      </c>
      <c r="T747">
        <v>1.7775579999999999E-2</v>
      </c>
      <c r="U747">
        <v>0</v>
      </c>
      <c r="V747">
        <v>4500.66</v>
      </c>
      <c r="W747" t="s">
        <v>0</v>
      </c>
      <c r="X747" t="s">
        <v>271</v>
      </c>
      <c r="Y747" t="s">
        <v>4137</v>
      </c>
      <c r="AA747" t="s">
        <v>4138</v>
      </c>
      <c r="AB747" t="s">
        <v>181</v>
      </c>
    </row>
    <row r="748" spans="1:28" x14ac:dyDescent="0.25">
      <c r="A748" t="s">
        <v>4312</v>
      </c>
      <c r="B748" t="s">
        <v>4313</v>
      </c>
      <c r="C748" t="s">
        <v>646</v>
      </c>
      <c r="D748" t="s">
        <v>3779</v>
      </c>
      <c r="E748" t="s">
        <v>647</v>
      </c>
      <c r="F748" t="s">
        <v>3780</v>
      </c>
      <c r="G748" t="s">
        <v>769</v>
      </c>
      <c r="H748" t="s">
        <v>909</v>
      </c>
      <c r="I748" t="s">
        <v>4314</v>
      </c>
      <c r="J748" t="s">
        <v>319</v>
      </c>
      <c r="K748" t="s">
        <v>166</v>
      </c>
      <c r="L748" t="s">
        <v>0</v>
      </c>
      <c r="M748" t="s">
        <v>178</v>
      </c>
      <c r="N748">
        <v>59.65</v>
      </c>
      <c r="O748">
        <v>59.25</v>
      </c>
      <c r="P748">
        <v>2086.25</v>
      </c>
      <c r="Q748">
        <v>3014.34</v>
      </c>
      <c r="R748">
        <v>728.95</v>
      </c>
      <c r="S748">
        <v>751.17601608999996</v>
      </c>
      <c r="T748">
        <v>0</v>
      </c>
      <c r="U748">
        <v>0</v>
      </c>
      <c r="V748">
        <v>728.95</v>
      </c>
      <c r="W748" t="s">
        <v>0</v>
      </c>
      <c r="X748" t="s">
        <v>271</v>
      </c>
      <c r="Y748" t="s">
        <v>4315</v>
      </c>
      <c r="AA748" t="s">
        <v>3466</v>
      </c>
      <c r="AB748" t="s">
        <v>181</v>
      </c>
    </row>
    <row r="749" spans="1:28" x14ac:dyDescent="0.25">
      <c r="A749" t="s">
        <v>4143</v>
      </c>
      <c r="B749" t="s">
        <v>4144</v>
      </c>
      <c r="C749" t="s">
        <v>646</v>
      </c>
      <c r="D749" t="s">
        <v>3779</v>
      </c>
      <c r="E749" t="s">
        <v>647</v>
      </c>
      <c r="F749" t="s">
        <v>3780</v>
      </c>
      <c r="G749" t="s">
        <v>769</v>
      </c>
      <c r="H749" t="s">
        <v>679</v>
      </c>
      <c r="I749" t="s">
        <v>1828</v>
      </c>
      <c r="J749" t="s">
        <v>1829</v>
      </c>
      <c r="K749" t="s">
        <v>166</v>
      </c>
      <c r="L749" t="s">
        <v>0</v>
      </c>
      <c r="M749" t="s">
        <v>178</v>
      </c>
      <c r="N749">
        <v>14</v>
      </c>
      <c r="O749">
        <v>11</v>
      </c>
      <c r="P749">
        <v>116.07</v>
      </c>
      <c r="Q749">
        <v>395.54</v>
      </c>
      <c r="R749">
        <v>-93.156578600000003</v>
      </c>
      <c r="S749">
        <v>232.54191341000001</v>
      </c>
      <c r="T749">
        <v>-2.0265786000000001</v>
      </c>
      <c r="U749">
        <v>0</v>
      </c>
      <c r="V749">
        <v>-91.13</v>
      </c>
      <c r="W749" t="s">
        <v>1361</v>
      </c>
      <c r="X749" t="s">
        <v>271</v>
      </c>
      <c r="Y749" t="s">
        <v>4145</v>
      </c>
      <c r="AA749" t="s">
        <v>4146</v>
      </c>
      <c r="AB749" t="s">
        <v>181</v>
      </c>
    </row>
    <row r="750" spans="1:28" x14ac:dyDescent="0.25">
      <c r="A750" t="s">
        <v>3933</v>
      </c>
      <c r="B750" t="s">
        <v>3934</v>
      </c>
      <c r="C750" t="s">
        <v>646</v>
      </c>
      <c r="D750" t="s">
        <v>3779</v>
      </c>
      <c r="E750" t="s">
        <v>647</v>
      </c>
      <c r="F750" t="s">
        <v>3780</v>
      </c>
      <c r="G750" t="s">
        <v>769</v>
      </c>
      <c r="H750" t="s">
        <v>730</v>
      </c>
      <c r="I750" t="s">
        <v>3935</v>
      </c>
      <c r="J750" t="s">
        <v>1214</v>
      </c>
      <c r="K750" t="s">
        <v>166</v>
      </c>
      <c r="L750" t="s">
        <v>0</v>
      </c>
      <c r="M750" t="s">
        <v>178</v>
      </c>
      <c r="N750">
        <v>4</v>
      </c>
      <c r="O750">
        <v>4</v>
      </c>
      <c r="P750">
        <v>219.24</v>
      </c>
      <c r="Q750">
        <v>45.09</v>
      </c>
      <c r="R750">
        <v>6.11</v>
      </c>
      <c r="S750">
        <v>17.12</v>
      </c>
      <c r="T750">
        <v>0</v>
      </c>
      <c r="U750">
        <v>0</v>
      </c>
      <c r="V750">
        <v>6.11</v>
      </c>
      <c r="W750" t="s">
        <v>0</v>
      </c>
      <c r="X750" t="s">
        <v>271</v>
      </c>
      <c r="Y750" t="s">
        <v>3936</v>
      </c>
      <c r="AA750" t="s">
        <v>3937</v>
      </c>
      <c r="AB750" t="s">
        <v>181</v>
      </c>
    </row>
    <row r="751" spans="1:28" x14ac:dyDescent="0.25">
      <c r="A751" t="s">
        <v>4132</v>
      </c>
      <c r="B751" t="s">
        <v>4133</v>
      </c>
      <c r="C751" t="s">
        <v>646</v>
      </c>
      <c r="D751" t="s">
        <v>3779</v>
      </c>
      <c r="E751" t="s">
        <v>647</v>
      </c>
      <c r="F751" t="s">
        <v>666</v>
      </c>
      <c r="G751" t="s">
        <v>666</v>
      </c>
      <c r="H751" t="s">
        <v>802</v>
      </c>
      <c r="I751" t="s">
        <v>3911</v>
      </c>
      <c r="J751" t="s">
        <v>355</v>
      </c>
      <c r="K751" t="s">
        <v>166</v>
      </c>
      <c r="L751" t="s">
        <v>0</v>
      </c>
      <c r="M751" t="s">
        <v>178</v>
      </c>
      <c r="N751">
        <v>16.25</v>
      </c>
      <c r="O751">
        <v>16.25</v>
      </c>
      <c r="P751">
        <v>325</v>
      </c>
      <c r="Q751">
        <v>777.87</v>
      </c>
      <c r="R751">
        <v>169.46</v>
      </c>
      <c r="S751">
        <v>85.789101259999995</v>
      </c>
      <c r="T751">
        <v>0</v>
      </c>
      <c r="U751">
        <v>0</v>
      </c>
      <c r="V751">
        <v>169.46</v>
      </c>
      <c r="W751" t="s">
        <v>0</v>
      </c>
      <c r="X751" t="s">
        <v>271</v>
      </c>
      <c r="Y751" t="s">
        <v>4134</v>
      </c>
      <c r="AA751" t="s">
        <v>3894</v>
      </c>
      <c r="AB751" t="s">
        <v>181</v>
      </c>
    </row>
    <row r="752" spans="1:28" x14ac:dyDescent="0.25">
      <c r="A752" t="s">
        <v>3810</v>
      </c>
      <c r="B752" t="s">
        <v>3811</v>
      </c>
      <c r="C752" t="s">
        <v>646</v>
      </c>
      <c r="D752" t="s">
        <v>3779</v>
      </c>
      <c r="E752" t="s">
        <v>647</v>
      </c>
      <c r="F752" t="s">
        <v>3780</v>
      </c>
      <c r="G752" t="s">
        <v>769</v>
      </c>
      <c r="H752" t="s">
        <v>703</v>
      </c>
      <c r="I752" t="s">
        <v>771</v>
      </c>
      <c r="J752" t="s">
        <v>319</v>
      </c>
      <c r="K752" t="s">
        <v>166</v>
      </c>
      <c r="L752" t="s">
        <v>0</v>
      </c>
      <c r="M752" t="s">
        <v>178</v>
      </c>
      <c r="N752">
        <v>7926.75</v>
      </c>
      <c r="O752">
        <v>3173.25</v>
      </c>
      <c r="P752">
        <v>124436.34</v>
      </c>
      <c r="Q752">
        <v>285648.43</v>
      </c>
      <c r="R752">
        <v>25200.668650380001</v>
      </c>
      <c r="S752">
        <v>58699.558151049998</v>
      </c>
      <c r="T752">
        <v>9.8650379999999996E-2</v>
      </c>
      <c r="U752">
        <v>0</v>
      </c>
      <c r="V752">
        <v>25200.57</v>
      </c>
      <c r="W752" t="s">
        <v>0</v>
      </c>
      <c r="X752" t="s">
        <v>271</v>
      </c>
      <c r="Y752" t="s">
        <v>3812</v>
      </c>
      <c r="AA752" t="s">
        <v>3813</v>
      </c>
      <c r="AB752" t="s">
        <v>181</v>
      </c>
    </row>
    <row r="753" spans="1:28" x14ac:dyDescent="0.25">
      <c r="A753" t="s">
        <v>4051</v>
      </c>
      <c r="B753" t="s">
        <v>4052</v>
      </c>
      <c r="C753" t="s">
        <v>646</v>
      </c>
      <c r="D753" t="s">
        <v>3779</v>
      </c>
      <c r="E753" t="s">
        <v>647</v>
      </c>
      <c r="F753" t="s">
        <v>3780</v>
      </c>
      <c r="G753" t="s">
        <v>769</v>
      </c>
      <c r="H753" t="s">
        <v>770</v>
      </c>
      <c r="I753" t="s">
        <v>4053</v>
      </c>
      <c r="J753" t="s">
        <v>4054</v>
      </c>
      <c r="K753" t="s">
        <v>166</v>
      </c>
      <c r="L753" t="s">
        <v>0</v>
      </c>
      <c r="M753" t="s">
        <v>178</v>
      </c>
      <c r="N753">
        <v>138.25</v>
      </c>
      <c r="O753">
        <v>131.25</v>
      </c>
      <c r="P753">
        <v>1301</v>
      </c>
      <c r="Q753">
        <v>2415.15</v>
      </c>
      <c r="R753">
        <v>255.48</v>
      </c>
      <c r="S753">
        <v>338.69335378</v>
      </c>
      <c r="T753">
        <v>0</v>
      </c>
      <c r="U753">
        <v>0</v>
      </c>
      <c r="V753">
        <v>255.48</v>
      </c>
      <c r="W753" t="s">
        <v>2488</v>
      </c>
      <c r="X753" t="s">
        <v>269</v>
      </c>
      <c r="Y753" t="s">
        <v>4055</v>
      </c>
      <c r="AA753" t="s">
        <v>4056</v>
      </c>
      <c r="AB753" t="s">
        <v>181</v>
      </c>
    </row>
    <row r="754" spans="1:28" x14ac:dyDescent="0.25">
      <c r="A754" t="s">
        <v>4280</v>
      </c>
      <c r="B754" t="s">
        <v>4281</v>
      </c>
      <c r="C754" t="s">
        <v>646</v>
      </c>
      <c r="D754" t="s">
        <v>3779</v>
      </c>
      <c r="E754" t="s">
        <v>647</v>
      </c>
      <c r="F754" t="s">
        <v>3780</v>
      </c>
      <c r="G754" t="s">
        <v>769</v>
      </c>
      <c r="H754" t="s">
        <v>802</v>
      </c>
      <c r="I754" t="s">
        <v>1872</v>
      </c>
      <c r="J754" t="s">
        <v>1873</v>
      </c>
      <c r="K754" t="s">
        <v>166</v>
      </c>
      <c r="L754" t="s">
        <v>0</v>
      </c>
      <c r="M754" t="s">
        <v>178</v>
      </c>
      <c r="N754">
        <v>165.0916</v>
      </c>
      <c r="O754">
        <v>139.8749</v>
      </c>
      <c r="P754">
        <v>1882.68</v>
      </c>
      <c r="Q754">
        <v>7483.36</v>
      </c>
      <c r="R754">
        <v>1786.13</v>
      </c>
      <c r="S754">
        <v>756.93861748999996</v>
      </c>
      <c r="T754">
        <v>0</v>
      </c>
      <c r="U754">
        <v>0</v>
      </c>
      <c r="V754">
        <v>1786.13</v>
      </c>
      <c r="W754" t="s">
        <v>1874</v>
      </c>
      <c r="X754" t="s">
        <v>271</v>
      </c>
      <c r="Y754" t="s">
        <v>4282</v>
      </c>
      <c r="AA754" t="s">
        <v>4283</v>
      </c>
      <c r="AB754" t="s">
        <v>181</v>
      </c>
    </row>
    <row r="755" spans="1:28" x14ac:dyDescent="0.25">
      <c r="A755" t="s">
        <v>4288</v>
      </c>
      <c r="B755" t="s">
        <v>4289</v>
      </c>
      <c r="C755" t="s">
        <v>646</v>
      </c>
      <c r="D755" t="s">
        <v>3779</v>
      </c>
      <c r="E755" t="s">
        <v>647</v>
      </c>
      <c r="F755" t="s">
        <v>3780</v>
      </c>
      <c r="G755" t="s">
        <v>769</v>
      </c>
      <c r="H755" t="s">
        <v>770</v>
      </c>
      <c r="I755" t="s">
        <v>1453</v>
      </c>
      <c r="J755" t="s">
        <v>1454</v>
      </c>
      <c r="K755" t="s">
        <v>166</v>
      </c>
      <c r="L755" t="s">
        <v>0</v>
      </c>
      <c r="M755" t="s">
        <v>178</v>
      </c>
      <c r="N755">
        <v>1215.2</v>
      </c>
      <c r="O755">
        <v>670.2</v>
      </c>
      <c r="P755">
        <v>25583.94</v>
      </c>
      <c r="Q755">
        <v>27150.83</v>
      </c>
      <c r="R755">
        <v>4133.01</v>
      </c>
      <c r="S755">
        <v>3571.9308821099999</v>
      </c>
      <c r="T755">
        <v>0</v>
      </c>
      <c r="U755">
        <v>0</v>
      </c>
      <c r="V755">
        <v>4133.01</v>
      </c>
      <c r="W755" t="s">
        <v>1455</v>
      </c>
      <c r="X755" t="s">
        <v>271</v>
      </c>
      <c r="Y755" t="s">
        <v>4290</v>
      </c>
      <c r="AA755" t="s">
        <v>4291</v>
      </c>
      <c r="AB755" t="s">
        <v>181</v>
      </c>
    </row>
    <row r="756" spans="1:28" x14ac:dyDescent="0.25">
      <c r="A756" t="s">
        <v>4102</v>
      </c>
      <c r="B756" t="s">
        <v>4103</v>
      </c>
      <c r="C756" t="s">
        <v>646</v>
      </c>
      <c r="D756" t="s">
        <v>3779</v>
      </c>
      <c r="E756" t="s">
        <v>647</v>
      </c>
      <c r="F756" t="s">
        <v>3780</v>
      </c>
      <c r="G756" t="s">
        <v>769</v>
      </c>
      <c r="H756" t="s">
        <v>713</v>
      </c>
      <c r="I756" t="s">
        <v>4104</v>
      </c>
      <c r="J756" t="s">
        <v>4105</v>
      </c>
      <c r="K756" t="s">
        <v>166</v>
      </c>
      <c r="L756" t="s">
        <v>0</v>
      </c>
      <c r="M756" t="s">
        <v>178</v>
      </c>
      <c r="N756">
        <v>125.2222</v>
      </c>
      <c r="O756">
        <v>20</v>
      </c>
      <c r="P756">
        <v>4252.47</v>
      </c>
      <c r="Q756">
        <v>8864.98</v>
      </c>
      <c r="R756">
        <v>1730.06111366</v>
      </c>
      <c r="S756">
        <v>319.27142373999999</v>
      </c>
      <c r="T756">
        <v>25.551113659999999</v>
      </c>
      <c r="U756">
        <v>0</v>
      </c>
      <c r="V756">
        <v>1704.51</v>
      </c>
      <c r="W756" t="s">
        <v>4106</v>
      </c>
      <c r="X756" t="s">
        <v>269</v>
      </c>
      <c r="Y756" t="s">
        <v>4107</v>
      </c>
      <c r="AA756" t="s">
        <v>4108</v>
      </c>
      <c r="AB756" t="s">
        <v>181</v>
      </c>
    </row>
    <row r="757" spans="1:28" x14ac:dyDescent="0.25">
      <c r="A757" t="s">
        <v>3925</v>
      </c>
      <c r="B757" t="s">
        <v>3926</v>
      </c>
      <c r="C757" t="s">
        <v>646</v>
      </c>
      <c r="D757" t="s">
        <v>3779</v>
      </c>
      <c r="E757" t="s">
        <v>647</v>
      </c>
      <c r="F757" t="s">
        <v>3780</v>
      </c>
      <c r="G757" t="s">
        <v>769</v>
      </c>
      <c r="H757" t="s">
        <v>757</v>
      </c>
      <c r="I757" t="s">
        <v>2284</v>
      </c>
      <c r="J757" t="s">
        <v>2285</v>
      </c>
      <c r="K757" t="s">
        <v>166</v>
      </c>
      <c r="L757" t="s">
        <v>0</v>
      </c>
      <c r="M757" t="s">
        <v>178</v>
      </c>
      <c r="N757">
        <v>720.27760000000001</v>
      </c>
      <c r="O757">
        <v>667.27760000000001</v>
      </c>
      <c r="P757">
        <v>19283.3</v>
      </c>
      <c r="Q757">
        <v>42222.99</v>
      </c>
      <c r="R757">
        <v>8054.77</v>
      </c>
      <c r="S757">
        <v>6038.0091881899998</v>
      </c>
      <c r="T757">
        <v>0</v>
      </c>
      <c r="U757">
        <v>0</v>
      </c>
      <c r="V757">
        <v>8054.77</v>
      </c>
      <c r="W757" t="s">
        <v>453</v>
      </c>
      <c r="X757" t="s">
        <v>271</v>
      </c>
      <c r="Y757" t="s">
        <v>3927</v>
      </c>
      <c r="AA757" t="s">
        <v>3928</v>
      </c>
      <c r="AB757" t="s">
        <v>181</v>
      </c>
    </row>
    <row r="758" spans="1:28" x14ac:dyDescent="0.25">
      <c r="A758" t="s">
        <v>4184</v>
      </c>
      <c r="B758" t="s">
        <v>4185</v>
      </c>
      <c r="C758" t="s">
        <v>646</v>
      </c>
      <c r="D758" t="s">
        <v>3779</v>
      </c>
      <c r="E758" t="s">
        <v>647</v>
      </c>
      <c r="F758" t="s">
        <v>3780</v>
      </c>
      <c r="G758" t="s">
        <v>769</v>
      </c>
      <c r="H758" t="s">
        <v>757</v>
      </c>
      <c r="I758" t="s">
        <v>4186</v>
      </c>
      <c r="J758" t="s">
        <v>1164</v>
      </c>
      <c r="K758" t="s">
        <v>166</v>
      </c>
      <c r="L758" t="s">
        <v>0</v>
      </c>
      <c r="M758" t="s">
        <v>178</v>
      </c>
      <c r="N758">
        <v>2052.6927999999998</v>
      </c>
      <c r="O758">
        <v>1003.6928</v>
      </c>
      <c r="P758">
        <v>33021.79</v>
      </c>
      <c r="Q758">
        <v>42817.71</v>
      </c>
      <c r="R758">
        <v>912.81609184000001</v>
      </c>
      <c r="S758">
        <v>7841.2324753299999</v>
      </c>
      <c r="T758">
        <v>6097.3260918400001</v>
      </c>
      <c r="U758">
        <v>3389.01</v>
      </c>
      <c r="V758">
        <v>5028.55</v>
      </c>
      <c r="W758" t="s">
        <v>1165</v>
      </c>
      <c r="X758" t="s">
        <v>271</v>
      </c>
      <c r="Y758" t="s">
        <v>4187</v>
      </c>
      <c r="AA758" t="s">
        <v>4188</v>
      </c>
      <c r="AB758" t="s">
        <v>181</v>
      </c>
    </row>
    <row r="759" spans="1:28" x14ac:dyDescent="0.25">
      <c r="A759" t="s">
        <v>3985</v>
      </c>
      <c r="B759" t="s">
        <v>3986</v>
      </c>
      <c r="C759" t="s">
        <v>646</v>
      </c>
      <c r="D759" t="s">
        <v>3779</v>
      </c>
      <c r="E759" t="s">
        <v>647</v>
      </c>
      <c r="F759" t="s">
        <v>3780</v>
      </c>
      <c r="G759" t="s">
        <v>769</v>
      </c>
      <c r="H759" t="s">
        <v>757</v>
      </c>
      <c r="I759" t="s">
        <v>3987</v>
      </c>
      <c r="J759" t="s">
        <v>3988</v>
      </c>
      <c r="K759" t="s">
        <v>166</v>
      </c>
      <c r="L759" t="s">
        <v>0</v>
      </c>
      <c r="M759" t="s">
        <v>178</v>
      </c>
      <c r="N759">
        <v>133.5333</v>
      </c>
      <c r="O759">
        <v>83.533299999999997</v>
      </c>
      <c r="P759">
        <v>3662.27</v>
      </c>
      <c r="Q759">
        <v>8202.44</v>
      </c>
      <c r="R759">
        <v>948.67</v>
      </c>
      <c r="S759">
        <v>736.08310530999995</v>
      </c>
      <c r="T759">
        <v>0</v>
      </c>
      <c r="U759">
        <v>0</v>
      </c>
      <c r="V759">
        <v>948.67</v>
      </c>
      <c r="W759" t="s">
        <v>3989</v>
      </c>
      <c r="X759" t="s">
        <v>271</v>
      </c>
      <c r="Y759" t="s">
        <v>3990</v>
      </c>
      <c r="AA759" t="s">
        <v>3991</v>
      </c>
      <c r="AB759" t="s">
        <v>181</v>
      </c>
    </row>
    <row r="760" spans="1:28" x14ac:dyDescent="0.25">
      <c r="A760" t="s">
        <v>3861</v>
      </c>
      <c r="B760" t="s">
        <v>3862</v>
      </c>
      <c r="C760" t="s">
        <v>646</v>
      </c>
      <c r="D760" t="s">
        <v>3779</v>
      </c>
      <c r="E760" t="s">
        <v>647</v>
      </c>
      <c r="F760" t="s">
        <v>3780</v>
      </c>
      <c r="G760" t="s">
        <v>769</v>
      </c>
      <c r="H760" t="s">
        <v>802</v>
      </c>
      <c r="I760" t="s">
        <v>2065</v>
      </c>
      <c r="J760" t="s">
        <v>2066</v>
      </c>
      <c r="K760" t="s">
        <v>166</v>
      </c>
      <c r="L760" t="s">
        <v>0</v>
      </c>
      <c r="M760" t="s">
        <v>178</v>
      </c>
      <c r="N760">
        <v>16.625</v>
      </c>
      <c r="O760">
        <v>16.625</v>
      </c>
      <c r="P760">
        <v>289.06</v>
      </c>
      <c r="Q760">
        <v>914.82</v>
      </c>
      <c r="R760">
        <v>190.24</v>
      </c>
      <c r="S760">
        <v>119.64539775</v>
      </c>
      <c r="T760">
        <v>0</v>
      </c>
      <c r="U760">
        <v>0</v>
      </c>
      <c r="V760">
        <v>190.24</v>
      </c>
      <c r="W760" t="s">
        <v>2067</v>
      </c>
      <c r="X760" t="s">
        <v>271</v>
      </c>
      <c r="Y760" t="s">
        <v>3863</v>
      </c>
      <c r="AA760" t="s">
        <v>3864</v>
      </c>
      <c r="AB760" t="s">
        <v>181</v>
      </c>
    </row>
    <row r="761" spans="1:28" x14ac:dyDescent="0.25">
      <c r="A761" t="s">
        <v>4260</v>
      </c>
      <c r="B761" t="s">
        <v>4261</v>
      </c>
      <c r="C761" t="s">
        <v>646</v>
      </c>
      <c r="D761" t="s">
        <v>3779</v>
      </c>
      <c r="E761" t="s">
        <v>647</v>
      </c>
      <c r="F761" t="s">
        <v>666</v>
      </c>
      <c r="G761" t="s">
        <v>666</v>
      </c>
      <c r="H761" t="s">
        <v>713</v>
      </c>
      <c r="I761" t="s">
        <v>4262</v>
      </c>
      <c r="J761" t="s">
        <v>1180</v>
      </c>
      <c r="K761" t="s">
        <v>166</v>
      </c>
      <c r="L761" t="s">
        <v>0</v>
      </c>
      <c r="M761" t="s">
        <v>178</v>
      </c>
      <c r="N761">
        <v>967</v>
      </c>
      <c r="O761">
        <v>414</v>
      </c>
      <c r="P761">
        <v>22189.22</v>
      </c>
      <c r="Q761">
        <v>11284.49</v>
      </c>
      <c r="R761">
        <v>1380.35725484</v>
      </c>
      <c r="S761">
        <v>985.56455023000001</v>
      </c>
      <c r="T761">
        <v>87.857254839999996</v>
      </c>
      <c r="U761">
        <v>0</v>
      </c>
      <c r="V761">
        <v>1292.5</v>
      </c>
      <c r="W761" t="s">
        <v>0</v>
      </c>
      <c r="X761" t="s">
        <v>271</v>
      </c>
      <c r="Y761" t="s">
        <v>4263</v>
      </c>
      <c r="AA761" t="s">
        <v>4264</v>
      </c>
      <c r="AB761" t="s">
        <v>181</v>
      </c>
    </row>
    <row r="762" spans="1:28" x14ac:dyDescent="0.25">
      <c r="A762" t="s">
        <v>4135</v>
      </c>
      <c r="B762" t="s">
        <v>4136</v>
      </c>
      <c r="C762" t="s">
        <v>646</v>
      </c>
      <c r="D762" t="s">
        <v>3779</v>
      </c>
      <c r="E762" t="s">
        <v>647</v>
      </c>
      <c r="F762" t="s">
        <v>3780</v>
      </c>
      <c r="G762" t="s">
        <v>769</v>
      </c>
      <c r="H762" t="s">
        <v>683</v>
      </c>
      <c r="I762" t="s">
        <v>1083</v>
      </c>
      <c r="J762" t="s">
        <v>731</v>
      </c>
      <c r="K762" t="s">
        <v>166</v>
      </c>
      <c r="L762" t="s">
        <v>0</v>
      </c>
      <c r="M762" t="s">
        <v>178</v>
      </c>
      <c r="N762">
        <v>638.25</v>
      </c>
      <c r="O762">
        <v>372.25</v>
      </c>
      <c r="P762">
        <v>13789.19</v>
      </c>
      <c r="Q762">
        <v>25492.31</v>
      </c>
      <c r="R762">
        <v>8047.4259789799999</v>
      </c>
      <c r="S762">
        <v>4114.7398014800001</v>
      </c>
      <c r="T762">
        <v>2.2959789800000001</v>
      </c>
      <c r="U762">
        <v>0</v>
      </c>
      <c r="V762">
        <v>8045.13</v>
      </c>
      <c r="W762" t="s">
        <v>0</v>
      </c>
      <c r="X762" t="s">
        <v>271</v>
      </c>
      <c r="Y762" t="s">
        <v>4137</v>
      </c>
      <c r="AA762" t="s">
        <v>4138</v>
      </c>
      <c r="AB762" t="s">
        <v>181</v>
      </c>
    </row>
    <row r="763" spans="1:28" x14ac:dyDescent="0.25">
      <c r="A763" t="s">
        <v>4151</v>
      </c>
      <c r="B763" t="s">
        <v>4152</v>
      </c>
      <c r="C763" t="s">
        <v>646</v>
      </c>
      <c r="D763" t="s">
        <v>3779</v>
      </c>
      <c r="E763" t="s">
        <v>647</v>
      </c>
      <c r="F763" t="s">
        <v>666</v>
      </c>
      <c r="G763" t="s">
        <v>666</v>
      </c>
      <c r="H763" t="s">
        <v>761</v>
      </c>
      <c r="I763" t="s">
        <v>765</v>
      </c>
      <c r="J763" t="s">
        <v>436</v>
      </c>
      <c r="K763" t="s">
        <v>166</v>
      </c>
      <c r="L763" t="s">
        <v>0</v>
      </c>
      <c r="M763" t="s">
        <v>178</v>
      </c>
      <c r="N763">
        <v>369</v>
      </c>
      <c r="O763">
        <v>323</v>
      </c>
      <c r="P763">
        <v>12093.82</v>
      </c>
      <c r="Q763">
        <v>12577.41</v>
      </c>
      <c r="R763">
        <v>3245.13</v>
      </c>
      <c r="S763">
        <v>2143.8684252600001</v>
      </c>
      <c r="T763">
        <v>0</v>
      </c>
      <c r="U763">
        <v>0</v>
      </c>
      <c r="V763">
        <v>3245.13</v>
      </c>
      <c r="W763" t="s">
        <v>0</v>
      </c>
      <c r="X763" t="s">
        <v>271</v>
      </c>
      <c r="Y763" t="s">
        <v>4153</v>
      </c>
      <c r="AA763" t="s">
        <v>4154</v>
      </c>
      <c r="AB763" t="s">
        <v>181</v>
      </c>
    </row>
    <row r="764" spans="1:28" x14ac:dyDescent="0.25">
      <c r="A764" t="s">
        <v>4346</v>
      </c>
      <c r="B764" t="s">
        <v>257</v>
      </c>
      <c r="C764" t="s">
        <v>646</v>
      </c>
      <c r="D764" t="s">
        <v>3779</v>
      </c>
      <c r="E764" t="s">
        <v>647</v>
      </c>
      <c r="F764" t="s">
        <v>3780</v>
      </c>
      <c r="G764" t="s">
        <v>769</v>
      </c>
      <c r="H764" t="s">
        <v>761</v>
      </c>
      <c r="I764" t="s">
        <v>746</v>
      </c>
      <c r="J764" t="s">
        <v>504</v>
      </c>
      <c r="K764" t="s">
        <v>166</v>
      </c>
      <c r="L764" t="s">
        <v>0</v>
      </c>
      <c r="M764" t="s">
        <v>178</v>
      </c>
      <c r="N764">
        <v>4</v>
      </c>
      <c r="O764">
        <v>1</v>
      </c>
      <c r="P764">
        <v>77.25</v>
      </c>
      <c r="Q764">
        <v>228.87</v>
      </c>
      <c r="R764">
        <v>16.96</v>
      </c>
      <c r="S764">
        <v>16.657214289999999</v>
      </c>
      <c r="T764">
        <v>0</v>
      </c>
      <c r="U764">
        <v>0</v>
      </c>
      <c r="V764">
        <v>16.96</v>
      </c>
      <c r="W764" t="s">
        <v>503</v>
      </c>
      <c r="X764" t="s">
        <v>271</v>
      </c>
      <c r="Y764" t="s">
        <v>4347</v>
      </c>
      <c r="AA764" t="s">
        <v>4348</v>
      </c>
      <c r="AB764" t="s">
        <v>181</v>
      </c>
    </row>
    <row r="765" spans="1:28" x14ac:dyDescent="0.25">
      <c r="A765" t="s">
        <v>4069</v>
      </c>
      <c r="B765" t="s">
        <v>4070</v>
      </c>
      <c r="C765" t="s">
        <v>646</v>
      </c>
      <c r="D765" t="s">
        <v>3779</v>
      </c>
      <c r="E765" t="s">
        <v>647</v>
      </c>
      <c r="F765" t="s">
        <v>3780</v>
      </c>
      <c r="G765" t="s">
        <v>769</v>
      </c>
      <c r="H765" t="s">
        <v>797</v>
      </c>
      <c r="I765" t="s">
        <v>4071</v>
      </c>
      <c r="J765" t="s">
        <v>785</v>
      </c>
      <c r="K765" t="s">
        <v>166</v>
      </c>
      <c r="L765" t="s">
        <v>0</v>
      </c>
      <c r="M765" t="s">
        <v>178</v>
      </c>
      <c r="N765">
        <v>71</v>
      </c>
      <c r="O765">
        <v>2</v>
      </c>
      <c r="P765">
        <v>712</v>
      </c>
      <c r="Q765">
        <v>2563.09</v>
      </c>
      <c r="R765">
        <v>180.52701016</v>
      </c>
      <c r="S765">
        <v>85.315329899999995</v>
      </c>
      <c r="T765">
        <v>0.13701015999999999</v>
      </c>
      <c r="U765">
        <v>0</v>
      </c>
      <c r="V765">
        <v>180.39</v>
      </c>
      <c r="W765" t="s">
        <v>0</v>
      </c>
      <c r="X765" t="s">
        <v>271</v>
      </c>
      <c r="Y765" t="s">
        <v>4072</v>
      </c>
      <c r="AA765" t="s">
        <v>4073</v>
      </c>
      <c r="AB765" t="s">
        <v>181</v>
      </c>
    </row>
    <row r="766" spans="1:28" x14ac:dyDescent="0.25">
      <c r="A766" t="s">
        <v>3985</v>
      </c>
      <c r="B766" t="s">
        <v>3986</v>
      </c>
      <c r="C766" t="s">
        <v>646</v>
      </c>
      <c r="D766" t="s">
        <v>3779</v>
      </c>
      <c r="E766" t="s">
        <v>647</v>
      </c>
      <c r="F766" t="s">
        <v>3780</v>
      </c>
      <c r="G766" t="s">
        <v>769</v>
      </c>
      <c r="H766" t="s">
        <v>649</v>
      </c>
      <c r="I766" t="s">
        <v>3987</v>
      </c>
      <c r="J766" t="s">
        <v>3988</v>
      </c>
      <c r="K766" t="s">
        <v>166</v>
      </c>
      <c r="L766" t="s">
        <v>0</v>
      </c>
      <c r="M766" t="s">
        <v>178</v>
      </c>
      <c r="N766">
        <v>310</v>
      </c>
      <c r="O766">
        <v>224</v>
      </c>
      <c r="P766">
        <v>6493.27</v>
      </c>
      <c r="Q766">
        <v>20011.8</v>
      </c>
      <c r="R766">
        <v>3090.07</v>
      </c>
      <c r="S766">
        <v>1830.82062946</v>
      </c>
      <c r="T766">
        <v>0</v>
      </c>
      <c r="U766">
        <v>0</v>
      </c>
      <c r="V766">
        <v>3090.07</v>
      </c>
      <c r="W766" t="s">
        <v>3989</v>
      </c>
      <c r="X766" t="s">
        <v>271</v>
      </c>
      <c r="Y766" t="s">
        <v>3990</v>
      </c>
      <c r="AA766" t="s">
        <v>3991</v>
      </c>
      <c r="AB766" t="s">
        <v>181</v>
      </c>
    </row>
    <row r="767" spans="1:28" x14ac:dyDescent="0.25">
      <c r="A767" t="s">
        <v>4092</v>
      </c>
      <c r="B767" t="s">
        <v>4093</v>
      </c>
      <c r="C767" t="s">
        <v>646</v>
      </c>
      <c r="D767" t="s">
        <v>3779</v>
      </c>
      <c r="E767" t="s">
        <v>647</v>
      </c>
      <c r="F767" t="s">
        <v>3780</v>
      </c>
      <c r="G767" t="s">
        <v>769</v>
      </c>
      <c r="H767" t="s">
        <v>730</v>
      </c>
      <c r="I767" t="s">
        <v>4094</v>
      </c>
      <c r="J767" t="s">
        <v>370</v>
      </c>
      <c r="K767" t="s">
        <v>166</v>
      </c>
      <c r="L767" t="s">
        <v>0</v>
      </c>
      <c r="M767" t="s">
        <v>178</v>
      </c>
      <c r="N767">
        <v>26</v>
      </c>
      <c r="O767">
        <v>6</v>
      </c>
      <c r="P767">
        <v>844.2</v>
      </c>
      <c r="Q767">
        <v>3227.96</v>
      </c>
      <c r="R767">
        <v>144.6619752</v>
      </c>
      <c r="S767">
        <v>33.377781679999998</v>
      </c>
      <c r="T767">
        <v>133.08197519999999</v>
      </c>
      <c r="U767">
        <v>0</v>
      </c>
      <c r="V767">
        <v>149.05000000000001</v>
      </c>
      <c r="W767" t="s">
        <v>314</v>
      </c>
      <c r="X767" t="s">
        <v>271</v>
      </c>
      <c r="Y767" t="s">
        <v>4095</v>
      </c>
      <c r="Z767" t="s">
        <v>4096</v>
      </c>
      <c r="AA767" t="s">
        <v>4097</v>
      </c>
      <c r="AB767" t="s">
        <v>181</v>
      </c>
    </row>
    <row r="768" spans="1:28" x14ac:dyDescent="0.25">
      <c r="A768" t="s">
        <v>4248</v>
      </c>
      <c r="B768" t="s">
        <v>4249</v>
      </c>
      <c r="C768" t="s">
        <v>646</v>
      </c>
      <c r="D768" t="s">
        <v>3779</v>
      </c>
      <c r="E768" t="s">
        <v>647</v>
      </c>
      <c r="F768" t="s">
        <v>3780</v>
      </c>
      <c r="G768" t="s">
        <v>769</v>
      </c>
      <c r="H768" t="s">
        <v>1171</v>
      </c>
      <c r="I768" t="s">
        <v>1913</v>
      </c>
      <c r="J768" t="s">
        <v>1914</v>
      </c>
      <c r="K768" t="s">
        <v>166</v>
      </c>
      <c r="L768" t="s">
        <v>0</v>
      </c>
      <c r="M768" t="s">
        <v>178</v>
      </c>
      <c r="N768">
        <v>367</v>
      </c>
      <c r="O768">
        <v>200</v>
      </c>
      <c r="P768">
        <v>14848.12</v>
      </c>
      <c r="Q768">
        <v>68973.59</v>
      </c>
      <c r="R768">
        <v>8113.9926756200002</v>
      </c>
      <c r="S768">
        <v>1115.71580464</v>
      </c>
      <c r="T768">
        <v>9.1426756200000003</v>
      </c>
      <c r="U768">
        <v>0</v>
      </c>
      <c r="V768">
        <v>8104.85</v>
      </c>
      <c r="W768" t="s">
        <v>1915</v>
      </c>
      <c r="X768" t="s">
        <v>269</v>
      </c>
      <c r="Y768" t="s">
        <v>4250</v>
      </c>
      <c r="AA768" t="s">
        <v>4251</v>
      </c>
      <c r="AB768" t="s">
        <v>181</v>
      </c>
    </row>
    <row r="769" spans="1:28" x14ac:dyDescent="0.25">
      <c r="A769" t="s">
        <v>4162</v>
      </c>
      <c r="B769" t="s">
        <v>4163</v>
      </c>
      <c r="C769" t="s">
        <v>646</v>
      </c>
      <c r="D769" t="s">
        <v>3779</v>
      </c>
      <c r="E769" t="s">
        <v>647</v>
      </c>
      <c r="F769" t="s">
        <v>3780</v>
      </c>
      <c r="G769" t="s">
        <v>769</v>
      </c>
      <c r="H769" t="s">
        <v>962</v>
      </c>
      <c r="I769" t="s">
        <v>4164</v>
      </c>
      <c r="J769" t="s">
        <v>985</v>
      </c>
      <c r="K769" t="s">
        <v>166</v>
      </c>
      <c r="L769" t="s">
        <v>0</v>
      </c>
      <c r="M769" t="s">
        <v>178</v>
      </c>
      <c r="N769">
        <v>40</v>
      </c>
      <c r="O769">
        <v>24</v>
      </c>
      <c r="P769">
        <v>739.49</v>
      </c>
      <c r="Q769">
        <v>1980.95</v>
      </c>
      <c r="R769">
        <v>264.08870204999999</v>
      </c>
      <c r="S769">
        <v>171.67959815</v>
      </c>
      <c r="T769">
        <v>0.26870205000000003</v>
      </c>
      <c r="U769">
        <v>0</v>
      </c>
      <c r="V769">
        <v>263.82</v>
      </c>
      <c r="W769" t="s">
        <v>986</v>
      </c>
      <c r="X769" t="s">
        <v>271</v>
      </c>
      <c r="Y769" t="s">
        <v>4165</v>
      </c>
      <c r="AA769" t="s">
        <v>4166</v>
      </c>
      <c r="AB769" t="s">
        <v>181</v>
      </c>
    </row>
    <row r="770" spans="1:28" x14ac:dyDescent="0.25">
      <c r="A770" t="s">
        <v>3806</v>
      </c>
      <c r="B770" t="s">
        <v>3807</v>
      </c>
      <c r="C770" t="s">
        <v>646</v>
      </c>
      <c r="D770" t="s">
        <v>3779</v>
      </c>
      <c r="E770" t="s">
        <v>647</v>
      </c>
      <c r="F770" t="s">
        <v>3780</v>
      </c>
      <c r="G770" t="s">
        <v>769</v>
      </c>
      <c r="H770" t="s">
        <v>770</v>
      </c>
      <c r="I770" t="s">
        <v>2071</v>
      </c>
      <c r="J770" t="s">
        <v>1664</v>
      </c>
      <c r="K770" t="s">
        <v>166</v>
      </c>
      <c r="L770" t="s">
        <v>0</v>
      </c>
      <c r="M770" t="s">
        <v>178</v>
      </c>
      <c r="N770">
        <v>9</v>
      </c>
      <c r="O770">
        <v>7</v>
      </c>
      <c r="P770">
        <v>86</v>
      </c>
      <c r="Q770">
        <v>209.57</v>
      </c>
      <c r="R770">
        <v>25.83</v>
      </c>
      <c r="S770">
        <v>25.27980586</v>
      </c>
      <c r="T770">
        <v>0</v>
      </c>
      <c r="U770">
        <v>0</v>
      </c>
      <c r="V770">
        <v>25.83</v>
      </c>
      <c r="W770" t="s">
        <v>1665</v>
      </c>
      <c r="X770" t="s">
        <v>271</v>
      </c>
      <c r="Y770" t="s">
        <v>3808</v>
      </c>
      <c r="AA770" t="s">
        <v>3809</v>
      </c>
      <c r="AB770" t="s">
        <v>181</v>
      </c>
    </row>
    <row r="771" spans="1:28" x14ac:dyDescent="0.25">
      <c r="A771" t="s">
        <v>3883</v>
      </c>
      <c r="B771" t="s">
        <v>3884</v>
      </c>
      <c r="C771" t="s">
        <v>646</v>
      </c>
      <c r="D771" t="s">
        <v>3779</v>
      </c>
      <c r="E771" t="s">
        <v>647</v>
      </c>
      <c r="F771" t="s">
        <v>3780</v>
      </c>
      <c r="G771" t="s">
        <v>769</v>
      </c>
      <c r="H771" t="s">
        <v>703</v>
      </c>
      <c r="I771" t="s">
        <v>3885</v>
      </c>
      <c r="J771" t="s">
        <v>1861</v>
      </c>
      <c r="K771" t="s">
        <v>166</v>
      </c>
      <c r="L771" t="s">
        <v>0</v>
      </c>
      <c r="M771" t="s">
        <v>178</v>
      </c>
      <c r="N771">
        <v>120.25</v>
      </c>
      <c r="O771">
        <v>92.5</v>
      </c>
      <c r="P771">
        <v>1920.35</v>
      </c>
      <c r="Q771">
        <v>2438.56</v>
      </c>
      <c r="R771">
        <v>28.870556830000002</v>
      </c>
      <c r="S771">
        <v>534.67899895999994</v>
      </c>
      <c r="T771">
        <v>5.5683000000000002E-4</v>
      </c>
      <c r="U771">
        <v>0</v>
      </c>
      <c r="V771">
        <v>28.87</v>
      </c>
      <c r="W771" t="s">
        <v>1862</v>
      </c>
      <c r="X771" t="s">
        <v>271</v>
      </c>
      <c r="Y771" t="s">
        <v>3886</v>
      </c>
      <c r="AA771" t="s">
        <v>3887</v>
      </c>
      <c r="AB771" t="s">
        <v>181</v>
      </c>
    </row>
    <row r="772" spans="1:28" x14ac:dyDescent="0.25">
      <c r="A772" t="s">
        <v>3956</v>
      </c>
      <c r="B772" t="s">
        <v>3957</v>
      </c>
      <c r="C772" t="s">
        <v>646</v>
      </c>
      <c r="D772" t="s">
        <v>3779</v>
      </c>
      <c r="E772" t="s">
        <v>647</v>
      </c>
      <c r="F772" t="s">
        <v>666</v>
      </c>
      <c r="G772" t="s">
        <v>666</v>
      </c>
      <c r="H772" t="s">
        <v>909</v>
      </c>
      <c r="I772" t="s">
        <v>1068</v>
      </c>
      <c r="J772" t="s">
        <v>501</v>
      </c>
      <c r="K772" t="s">
        <v>166</v>
      </c>
      <c r="L772" t="s">
        <v>0</v>
      </c>
      <c r="M772" t="s">
        <v>178</v>
      </c>
      <c r="N772">
        <v>2</v>
      </c>
      <c r="O772">
        <v>2</v>
      </c>
      <c r="P772">
        <v>70</v>
      </c>
      <c r="Q772">
        <v>35.799999999999997</v>
      </c>
      <c r="R772">
        <v>1.67</v>
      </c>
      <c r="S772">
        <v>8.6840194200000003</v>
      </c>
      <c r="T772">
        <v>0</v>
      </c>
      <c r="U772">
        <v>0</v>
      </c>
      <c r="V772">
        <v>1.67</v>
      </c>
      <c r="W772" t="s">
        <v>500</v>
      </c>
      <c r="X772" t="s">
        <v>271</v>
      </c>
      <c r="Y772" t="s">
        <v>3958</v>
      </c>
      <c r="AA772" t="s">
        <v>3959</v>
      </c>
      <c r="AB772" t="s">
        <v>181</v>
      </c>
    </row>
    <row r="773" spans="1:28" x14ac:dyDescent="0.25">
      <c r="A773" t="s">
        <v>3838</v>
      </c>
      <c r="B773" t="s">
        <v>3839</v>
      </c>
      <c r="C773" t="s">
        <v>646</v>
      </c>
      <c r="D773" t="s">
        <v>3779</v>
      </c>
      <c r="E773" t="s">
        <v>647</v>
      </c>
      <c r="F773" t="s">
        <v>3780</v>
      </c>
      <c r="G773" t="s">
        <v>769</v>
      </c>
      <c r="H773" t="s">
        <v>962</v>
      </c>
      <c r="I773" t="s">
        <v>906</v>
      </c>
      <c r="J773" t="s">
        <v>907</v>
      </c>
      <c r="K773" t="s">
        <v>166</v>
      </c>
      <c r="L773" t="s">
        <v>0</v>
      </c>
      <c r="M773" t="s">
        <v>178</v>
      </c>
      <c r="N773">
        <v>76</v>
      </c>
      <c r="O773">
        <v>29</v>
      </c>
      <c r="P773">
        <v>1503.5</v>
      </c>
      <c r="Q773">
        <v>4197.1499999999996</v>
      </c>
      <c r="R773">
        <v>804.42622773000005</v>
      </c>
      <c r="S773">
        <v>322.89046910000002</v>
      </c>
      <c r="T773">
        <v>6.2277299999999999E-3</v>
      </c>
      <c r="U773">
        <v>0</v>
      </c>
      <c r="V773">
        <v>804.42</v>
      </c>
      <c r="W773" t="s">
        <v>272</v>
      </c>
      <c r="X773" t="s">
        <v>269</v>
      </c>
      <c r="Y773" t="s">
        <v>3840</v>
      </c>
      <c r="AA773" t="s">
        <v>3841</v>
      </c>
      <c r="AB773" t="s">
        <v>181</v>
      </c>
    </row>
    <row r="774" spans="1:28" x14ac:dyDescent="0.25">
      <c r="A774" t="s">
        <v>4109</v>
      </c>
      <c r="B774" t="s">
        <v>4110</v>
      </c>
      <c r="C774" t="s">
        <v>646</v>
      </c>
      <c r="D774" t="s">
        <v>3779</v>
      </c>
      <c r="E774" t="s">
        <v>647</v>
      </c>
      <c r="F774" t="s">
        <v>3780</v>
      </c>
      <c r="G774" t="s">
        <v>769</v>
      </c>
      <c r="H774" t="s">
        <v>1171</v>
      </c>
      <c r="I774" t="s">
        <v>1046</v>
      </c>
      <c r="J774" t="s">
        <v>971</v>
      </c>
      <c r="K774" t="s">
        <v>166</v>
      </c>
      <c r="L774" t="s">
        <v>0</v>
      </c>
      <c r="M774" t="s">
        <v>178</v>
      </c>
      <c r="N774">
        <v>111</v>
      </c>
      <c r="O774">
        <v>87</v>
      </c>
      <c r="P774">
        <v>3311.76</v>
      </c>
      <c r="Q774">
        <v>27117.73</v>
      </c>
      <c r="R774">
        <v>2184.88325652</v>
      </c>
      <c r="S774">
        <v>304.83061676</v>
      </c>
      <c r="T774">
        <v>5.9532565200000001</v>
      </c>
      <c r="U774">
        <v>0</v>
      </c>
      <c r="V774">
        <v>2178.9299999999998</v>
      </c>
      <c r="W774" t="s">
        <v>972</v>
      </c>
      <c r="X774" t="s">
        <v>269</v>
      </c>
      <c r="Y774" t="s">
        <v>4111</v>
      </c>
      <c r="AA774" t="s">
        <v>4112</v>
      </c>
      <c r="AB774" t="s">
        <v>181</v>
      </c>
    </row>
    <row r="775" spans="1:28" x14ac:dyDescent="0.25">
      <c r="A775" t="s">
        <v>3793</v>
      </c>
      <c r="B775" t="s">
        <v>3794</v>
      </c>
      <c r="C775" t="s">
        <v>646</v>
      </c>
      <c r="D775" t="s">
        <v>3779</v>
      </c>
      <c r="E775" t="s">
        <v>647</v>
      </c>
      <c r="F775" t="s">
        <v>666</v>
      </c>
      <c r="G775" t="s">
        <v>666</v>
      </c>
      <c r="H775" t="s">
        <v>1171</v>
      </c>
      <c r="I775" t="s">
        <v>1712</v>
      </c>
      <c r="J775" t="s">
        <v>335</v>
      </c>
      <c r="K775" t="s">
        <v>166</v>
      </c>
      <c r="L775" t="s">
        <v>0</v>
      </c>
      <c r="M775" t="s">
        <v>178</v>
      </c>
      <c r="N775">
        <v>237</v>
      </c>
      <c r="O775">
        <v>161</v>
      </c>
      <c r="P775">
        <v>4604.1899999999996</v>
      </c>
      <c r="Q775">
        <v>34735.18</v>
      </c>
      <c r="R775">
        <v>8244.6676614200005</v>
      </c>
      <c r="S775">
        <v>1265.91929106</v>
      </c>
      <c r="T775">
        <v>7.2776614200000003</v>
      </c>
      <c r="U775">
        <v>0</v>
      </c>
      <c r="V775">
        <v>8237.39</v>
      </c>
      <c r="W775" t="s">
        <v>572</v>
      </c>
      <c r="X775" t="s">
        <v>271</v>
      </c>
      <c r="Y775" t="s">
        <v>3795</v>
      </c>
      <c r="AA775" t="s">
        <v>3796</v>
      </c>
      <c r="AB775" t="s">
        <v>181</v>
      </c>
    </row>
    <row r="776" spans="1:28" x14ac:dyDescent="0.25">
      <c r="A776" t="s">
        <v>4011</v>
      </c>
      <c r="B776" t="s">
        <v>4012</v>
      </c>
      <c r="C776" t="s">
        <v>646</v>
      </c>
      <c r="D776" t="s">
        <v>3779</v>
      </c>
      <c r="E776" t="s">
        <v>647</v>
      </c>
      <c r="F776" t="s">
        <v>3780</v>
      </c>
      <c r="G776" t="s">
        <v>769</v>
      </c>
      <c r="H776" t="s">
        <v>713</v>
      </c>
      <c r="I776" t="s">
        <v>2142</v>
      </c>
      <c r="J776" t="s">
        <v>1924</v>
      </c>
      <c r="K776" t="s">
        <v>166</v>
      </c>
      <c r="L776" t="s">
        <v>0</v>
      </c>
      <c r="M776" t="s">
        <v>178</v>
      </c>
      <c r="N776">
        <v>19</v>
      </c>
      <c r="O776">
        <v>7</v>
      </c>
      <c r="P776">
        <v>509.5</v>
      </c>
      <c r="Q776">
        <v>875.91</v>
      </c>
      <c r="R776">
        <v>160.37111365000001</v>
      </c>
      <c r="S776">
        <v>124.95420151</v>
      </c>
      <c r="T776">
        <v>1.1136500000000001E-3</v>
      </c>
      <c r="U776">
        <v>0</v>
      </c>
      <c r="V776">
        <v>160.37</v>
      </c>
      <c r="W776" t="s">
        <v>1925</v>
      </c>
      <c r="X776" t="s">
        <v>271</v>
      </c>
      <c r="Y776" t="s">
        <v>4013</v>
      </c>
      <c r="AA776" t="s">
        <v>4014</v>
      </c>
      <c r="AB776" t="s">
        <v>181</v>
      </c>
    </row>
    <row r="777" spans="1:28" x14ac:dyDescent="0.25">
      <c r="A777" t="s">
        <v>4002</v>
      </c>
      <c r="B777" t="s">
        <v>4003</v>
      </c>
      <c r="C777" t="s">
        <v>646</v>
      </c>
      <c r="D777" t="s">
        <v>3779</v>
      </c>
      <c r="E777" t="s">
        <v>647</v>
      </c>
      <c r="F777" t="s">
        <v>3780</v>
      </c>
      <c r="G777" t="s">
        <v>769</v>
      </c>
      <c r="H777" t="s">
        <v>757</v>
      </c>
      <c r="I777" t="s">
        <v>2635</v>
      </c>
      <c r="J777" t="s">
        <v>2636</v>
      </c>
      <c r="K777" t="s">
        <v>166</v>
      </c>
      <c r="L777" t="s">
        <v>0</v>
      </c>
      <c r="M777" t="s">
        <v>178</v>
      </c>
      <c r="N777">
        <v>168</v>
      </c>
      <c r="O777">
        <v>141</v>
      </c>
      <c r="P777">
        <v>3366.84</v>
      </c>
      <c r="Q777">
        <v>6256.35</v>
      </c>
      <c r="R777">
        <v>1100.9702350099999</v>
      </c>
      <c r="S777">
        <v>962.62988820999999</v>
      </c>
      <c r="T777">
        <v>6.0235009999999999E-2</v>
      </c>
      <c r="U777">
        <v>0</v>
      </c>
      <c r="V777">
        <v>1100.9100000000001</v>
      </c>
      <c r="W777" t="s">
        <v>1609</v>
      </c>
      <c r="X777" t="s">
        <v>271</v>
      </c>
      <c r="Y777" t="s">
        <v>4004</v>
      </c>
      <c r="AA777" t="s">
        <v>4005</v>
      </c>
      <c r="AB777" t="s">
        <v>181</v>
      </c>
    </row>
    <row r="778" spans="1:28" x14ac:dyDescent="0.25">
      <c r="A778" t="s">
        <v>4064</v>
      </c>
      <c r="B778" t="s">
        <v>4065</v>
      </c>
      <c r="C778" t="s">
        <v>646</v>
      </c>
      <c r="D778" t="s">
        <v>3779</v>
      </c>
      <c r="E778" t="s">
        <v>647</v>
      </c>
      <c r="F778" t="s">
        <v>3780</v>
      </c>
      <c r="G778" t="s">
        <v>769</v>
      </c>
      <c r="H778" t="s">
        <v>717</v>
      </c>
      <c r="I778" t="s">
        <v>2469</v>
      </c>
      <c r="J778" t="s">
        <v>2470</v>
      </c>
      <c r="K778" t="s">
        <v>166</v>
      </c>
      <c r="L778" t="s">
        <v>0</v>
      </c>
      <c r="M778" t="s">
        <v>178</v>
      </c>
      <c r="N778">
        <v>8</v>
      </c>
      <c r="O778">
        <v>8</v>
      </c>
      <c r="P778">
        <v>619.70000000000005</v>
      </c>
      <c r="Q778">
        <v>1501.69</v>
      </c>
      <c r="R778">
        <v>307.51</v>
      </c>
      <c r="S778">
        <v>170.57086554</v>
      </c>
      <c r="T778">
        <v>0</v>
      </c>
      <c r="U778">
        <v>0</v>
      </c>
      <c r="V778">
        <v>307.51</v>
      </c>
      <c r="W778" t="s">
        <v>4066</v>
      </c>
      <c r="X778" t="s">
        <v>271</v>
      </c>
      <c r="Y778" t="s">
        <v>4067</v>
      </c>
      <c r="AA778" t="s">
        <v>4068</v>
      </c>
      <c r="AB778" t="s">
        <v>181</v>
      </c>
    </row>
    <row r="779" spans="1:28" x14ac:dyDescent="0.25">
      <c r="A779" t="s">
        <v>4006</v>
      </c>
      <c r="B779" t="s">
        <v>4007</v>
      </c>
      <c r="C779" t="s">
        <v>646</v>
      </c>
      <c r="D779" t="s">
        <v>3779</v>
      </c>
      <c r="E779" t="s">
        <v>647</v>
      </c>
      <c r="F779" t="s">
        <v>3780</v>
      </c>
      <c r="G779" t="s">
        <v>769</v>
      </c>
      <c r="H779" t="s">
        <v>672</v>
      </c>
      <c r="I779" t="s">
        <v>4008</v>
      </c>
      <c r="J779" t="s">
        <v>688</v>
      </c>
      <c r="K779" t="s">
        <v>166</v>
      </c>
      <c r="L779" t="s">
        <v>0</v>
      </c>
      <c r="M779" t="s">
        <v>178</v>
      </c>
      <c r="N779">
        <v>21</v>
      </c>
      <c r="O779">
        <v>8</v>
      </c>
      <c r="P779">
        <v>503.5</v>
      </c>
      <c r="Q779">
        <v>927.28</v>
      </c>
      <c r="R779">
        <v>84.271504120000003</v>
      </c>
      <c r="S779">
        <v>89.730863420000006</v>
      </c>
      <c r="T779">
        <v>-3.8495880000000003E-2</v>
      </c>
      <c r="U779">
        <v>0</v>
      </c>
      <c r="V779">
        <v>84.31</v>
      </c>
      <c r="W779" t="s">
        <v>0</v>
      </c>
      <c r="X779" t="s">
        <v>271</v>
      </c>
      <c r="Y779" t="s">
        <v>4009</v>
      </c>
      <c r="AA779" t="s">
        <v>4010</v>
      </c>
      <c r="AB779" t="s">
        <v>181</v>
      </c>
    </row>
    <row r="780" spans="1:28" x14ac:dyDescent="0.25">
      <c r="A780" t="s">
        <v>3827</v>
      </c>
      <c r="B780" t="s">
        <v>3828</v>
      </c>
      <c r="C780" t="s">
        <v>646</v>
      </c>
      <c r="D780" t="s">
        <v>3779</v>
      </c>
      <c r="E780" t="s">
        <v>647</v>
      </c>
      <c r="F780" t="s">
        <v>3780</v>
      </c>
      <c r="G780" t="s">
        <v>769</v>
      </c>
      <c r="H780" t="s">
        <v>770</v>
      </c>
      <c r="I780" t="s">
        <v>3829</v>
      </c>
      <c r="J780" t="s">
        <v>3830</v>
      </c>
      <c r="K780" t="s">
        <v>166</v>
      </c>
      <c r="L780" t="s">
        <v>0</v>
      </c>
      <c r="M780" t="s">
        <v>178</v>
      </c>
      <c r="N780">
        <v>49</v>
      </c>
      <c r="O780">
        <v>19</v>
      </c>
      <c r="P780">
        <v>1960</v>
      </c>
      <c r="Q780">
        <v>2496.35</v>
      </c>
      <c r="R780">
        <v>859.25</v>
      </c>
      <c r="S780">
        <v>174.55603914</v>
      </c>
      <c r="T780">
        <v>0</v>
      </c>
      <c r="U780">
        <v>0</v>
      </c>
      <c r="V780">
        <v>859.25</v>
      </c>
      <c r="W780" t="s">
        <v>3831</v>
      </c>
      <c r="X780" t="s">
        <v>271</v>
      </c>
      <c r="Y780" t="s">
        <v>3832</v>
      </c>
      <c r="AA780" t="s">
        <v>3833</v>
      </c>
      <c r="AB780" t="s">
        <v>181</v>
      </c>
    </row>
    <row r="781" spans="1:28" x14ac:dyDescent="0.25">
      <c r="A781" t="s">
        <v>4139</v>
      </c>
      <c r="B781" t="s">
        <v>4140</v>
      </c>
      <c r="C781" t="s">
        <v>646</v>
      </c>
      <c r="D781" t="s">
        <v>3779</v>
      </c>
      <c r="E781" t="s">
        <v>647</v>
      </c>
      <c r="F781" t="s">
        <v>3780</v>
      </c>
      <c r="G781" t="s">
        <v>769</v>
      </c>
      <c r="H781" t="s">
        <v>1045</v>
      </c>
      <c r="I781" t="s">
        <v>778</v>
      </c>
      <c r="J781" t="s">
        <v>428</v>
      </c>
      <c r="K781" t="s">
        <v>166</v>
      </c>
      <c r="L781" t="s">
        <v>0</v>
      </c>
      <c r="M781" t="s">
        <v>178</v>
      </c>
      <c r="N781">
        <v>2</v>
      </c>
      <c r="O781">
        <v>2</v>
      </c>
      <c r="P781">
        <v>20</v>
      </c>
      <c r="Q781">
        <v>103.8</v>
      </c>
      <c r="R781">
        <v>22.87</v>
      </c>
      <c r="S781">
        <v>14</v>
      </c>
      <c r="T781">
        <v>0</v>
      </c>
      <c r="U781">
        <v>0</v>
      </c>
      <c r="V781">
        <v>22.87</v>
      </c>
      <c r="W781" t="s">
        <v>547</v>
      </c>
      <c r="X781" t="s">
        <v>271</v>
      </c>
      <c r="Y781" t="s">
        <v>4141</v>
      </c>
      <c r="AA781" t="s">
        <v>4142</v>
      </c>
      <c r="AB781" t="s">
        <v>181</v>
      </c>
    </row>
    <row r="782" spans="1:28" x14ac:dyDescent="0.25">
      <c r="A782" t="s">
        <v>4082</v>
      </c>
      <c r="B782" t="s">
        <v>257</v>
      </c>
      <c r="C782" t="s">
        <v>646</v>
      </c>
      <c r="D782" t="s">
        <v>3779</v>
      </c>
      <c r="E782" t="s">
        <v>647</v>
      </c>
      <c r="F782" t="s">
        <v>3780</v>
      </c>
      <c r="G782" t="s">
        <v>769</v>
      </c>
      <c r="H782" t="s">
        <v>761</v>
      </c>
      <c r="I782" t="s">
        <v>4083</v>
      </c>
      <c r="J782" t="s">
        <v>1972</v>
      </c>
      <c r="K782" t="s">
        <v>166</v>
      </c>
      <c r="L782" t="s">
        <v>0</v>
      </c>
      <c r="M782" t="s">
        <v>178</v>
      </c>
      <c r="N782">
        <v>2</v>
      </c>
      <c r="O782">
        <v>0</v>
      </c>
      <c r="P782">
        <v>45</v>
      </c>
      <c r="Q782">
        <v>135.69</v>
      </c>
      <c r="R782">
        <v>49.72</v>
      </c>
      <c r="S782">
        <v>1.3596999999999999</v>
      </c>
      <c r="T782">
        <v>0</v>
      </c>
      <c r="U782">
        <v>0</v>
      </c>
      <c r="V782">
        <v>49.72</v>
      </c>
      <c r="W782" t="s">
        <v>1973</v>
      </c>
      <c r="X782" t="s">
        <v>271</v>
      </c>
      <c r="Y782" t="s">
        <v>4084</v>
      </c>
      <c r="AA782" t="s">
        <v>4085</v>
      </c>
      <c r="AB782" t="s">
        <v>181</v>
      </c>
    </row>
    <row r="783" spans="1:28" x14ac:dyDescent="0.25">
      <c r="A783" t="s">
        <v>3810</v>
      </c>
      <c r="B783" t="s">
        <v>3811</v>
      </c>
      <c r="C783" t="s">
        <v>646</v>
      </c>
      <c r="D783" t="s">
        <v>3779</v>
      </c>
      <c r="E783" t="s">
        <v>647</v>
      </c>
      <c r="F783" t="s">
        <v>3780</v>
      </c>
      <c r="G783" t="s">
        <v>769</v>
      </c>
      <c r="H783" t="s">
        <v>708</v>
      </c>
      <c r="I783" t="s">
        <v>771</v>
      </c>
      <c r="J783" t="s">
        <v>319</v>
      </c>
      <c r="K783" t="s">
        <v>166</v>
      </c>
      <c r="L783" t="s">
        <v>0</v>
      </c>
      <c r="M783" t="s">
        <v>178</v>
      </c>
      <c r="N783">
        <v>6</v>
      </c>
      <c r="O783">
        <v>0</v>
      </c>
      <c r="P783">
        <v>7.2</v>
      </c>
      <c r="Q783">
        <v>79.98</v>
      </c>
      <c r="R783">
        <v>10.51</v>
      </c>
      <c r="S783">
        <v>2.82</v>
      </c>
      <c r="T783">
        <v>0</v>
      </c>
      <c r="U783">
        <v>0</v>
      </c>
      <c r="V783">
        <v>10.51</v>
      </c>
      <c r="W783" t="s">
        <v>0</v>
      </c>
      <c r="X783" t="s">
        <v>271</v>
      </c>
      <c r="Y783" t="s">
        <v>3812</v>
      </c>
      <c r="AA783" t="s">
        <v>3813</v>
      </c>
      <c r="AB783" t="s">
        <v>181</v>
      </c>
    </row>
    <row r="784" spans="1:28" x14ac:dyDescent="0.25">
      <c r="A784" t="s">
        <v>4206</v>
      </c>
      <c r="B784" t="s">
        <v>4207</v>
      </c>
      <c r="C784" t="s">
        <v>646</v>
      </c>
      <c r="D784" t="s">
        <v>3779</v>
      </c>
      <c r="E784" t="s">
        <v>647</v>
      </c>
      <c r="F784" t="s">
        <v>3780</v>
      </c>
      <c r="G784" t="s">
        <v>769</v>
      </c>
      <c r="H784" t="s">
        <v>856</v>
      </c>
      <c r="I784" t="s">
        <v>4208</v>
      </c>
      <c r="J784" t="s">
        <v>317</v>
      </c>
      <c r="K784" t="s">
        <v>166</v>
      </c>
      <c r="L784" t="s">
        <v>0</v>
      </c>
      <c r="M784" t="s">
        <v>178</v>
      </c>
      <c r="N784">
        <v>19</v>
      </c>
      <c r="O784">
        <v>0</v>
      </c>
      <c r="P784">
        <v>595.61</v>
      </c>
      <c r="Q784">
        <v>1836.15</v>
      </c>
      <c r="R784">
        <v>406.69</v>
      </c>
      <c r="S784">
        <v>14.294639999999999</v>
      </c>
      <c r="T784">
        <v>0</v>
      </c>
      <c r="U784">
        <v>0</v>
      </c>
      <c r="V784">
        <v>406.69</v>
      </c>
      <c r="W784" t="s">
        <v>340</v>
      </c>
      <c r="X784" t="s">
        <v>271</v>
      </c>
      <c r="Y784" t="s">
        <v>4209</v>
      </c>
      <c r="AA784" t="s">
        <v>4210</v>
      </c>
      <c r="AB784" t="s">
        <v>181</v>
      </c>
    </row>
    <row r="785" spans="1:28" x14ac:dyDescent="0.25">
      <c r="A785" t="s">
        <v>4159</v>
      </c>
      <c r="B785" t="s">
        <v>257</v>
      </c>
      <c r="C785" t="s">
        <v>646</v>
      </c>
      <c r="D785" t="s">
        <v>3779</v>
      </c>
      <c r="E785" t="s">
        <v>647</v>
      </c>
      <c r="F785" t="s">
        <v>3780</v>
      </c>
      <c r="G785" t="s">
        <v>769</v>
      </c>
      <c r="H785" t="s">
        <v>761</v>
      </c>
      <c r="I785" t="s">
        <v>673</v>
      </c>
      <c r="J785" t="s">
        <v>674</v>
      </c>
      <c r="K785" t="s">
        <v>166</v>
      </c>
      <c r="L785" t="s">
        <v>0</v>
      </c>
      <c r="M785" t="s">
        <v>178</v>
      </c>
      <c r="N785">
        <v>2</v>
      </c>
      <c r="O785">
        <v>0</v>
      </c>
      <c r="P785">
        <v>20</v>
      </c>
      <c r="Q785">
        <v>65.319999999999993</v>
      </c>
      <c r="R785">
        <v>22.52</v>
      </c>
      <c r="S785">
        <v>21.69850418</v>
      </c>
      <c r="T785">
        <v>0</v>
      </c>
      <c r="U785">
        <v>0</v>
      </c>
      <c r="V785">
        <v>22.52</v>
      </c>
      <c r="W785" t="s">
        <v>675</v>
      </c>
      <c r="X785" t="s">
        <v>271</v>
      </c>
      <c r="Y785" t="s">
        <v>4160</v>
      </c>
      <c r="AA785" t="s">
        <v>4161</v>
      </c>
      <c r="AB785" t="s">
        <v>181</v>
      </c>
    </row>
    <row r="786" spans="1:28" x14ac:dyDescent="0.25">
      <c r="A786" t="s">
        <v>4365</v>
      </c>
      <c r="B786" t="s">
        <v>4366</v>
      </c>
      <c r="C786" t="s">
        <v>646</v>
      </c>
      <c r="D786" t="s">
        <v>3779</v>
      </c>
      <c r="E786" t="s">
        <v>647</v>
      </c>
      <c r="F786" t="s">
        <v>666</v>
      </c>
      <c r="G786" t="s">
        <v>666</v>
      </c>
      <c r="H786" t="s">
        <v>1515</v>
      </c>
      <c r="I786" t="s">
        <v>4367</v>
      </c>
      <c r="J786" t="s">
        <v>318</v>
      </c>
      <c r="K786" t="s">
        <v>166</v>
      </c>
      <c r="L786" t="s">
        <v>0</v>
      </c>
      <c r="M786" t="s">
        <v>178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 t="s">
        <v>472</v>
      </c>
      <c r="X786" t="s">
        <v>271</v>
      </c>
      <c r="Y786" t="s">
        <v>4368</v>
      </c>
      <c r="AA786" t="s">
        <v>4369</v>
      </c>
      <c r="AB786" t="s">
        <v>181</v>
      </c>
    </row>
    <row r="787" spans="1:28" x14ac:dyDescent="0.25">
      <c r="A787" t="s">
        <v>3909</v>
      </c>
      <c r="B787" t="s">
        <v>3910</v>
      </c>
      <c r="C787" t="s">
        <v>646</v>
      </c>
      <c r="D787" t="s">
        <v>3779</v>
      </c>
      <c r="E787" t="s">
        <v>647</v>
      </c>
      <c r="F787" t="s">
        <v>666</v>
      </c>
      <c r="G787" t="s">
        <v>666</v>
      </c>
      <c r="H787" t="s">
        <v>909</v>
      </c>
      <c r="I787" t="s">
        <v>3911</v>
      </c>
      <c r="J787" t="s">
        <v>355</v>
      </c>
      <c r="K787" t="s">
        <v>166</v>
      </c>
      <c r="L787" t="s">
        <v>0</v>
      </c>
      <c r="M787" t="s">
        <v>178</v>
      </c>
      <c r="N787">
        <v>3</v>
      </c>
      <c r="O787">
        <v>3</v>
      </c>
      <c r="P787">
        <v>19.14</v>
      </c>
      <c r="Q787">
        <v>99.05</v>
      </c>
      <c r="R787">
        <v>40.568756260000001</v>
      </c>
      <c r="S787">
        <v>31.332822740000001</v>
      </c>
      <c r="T787">
        <v>0.10875625999999999</v>
      </c>
      <c r="U787">
        <v>0</v>
      </c>
      <c r="V787">
        <v>40.46</v>
      </c>
      <c r="W787" t="s">
        <v>0</v>
      </c>
      <c r="X787" t="s">
        <v>271</v>
      </c>
      <c r="Y787" t="s">
        <v>3912</v>
      </c>
      <c r="AA787" t="s">
        <v>3894</v>
      </c>
      <c r="AB787" t="s">
        <v>181</v>
      </c>
    </row>
    <row r="788" spans="1:28" x14ac:dyDescent="0.25">
      <c r="A788" t="s">
        <v>4189</v>
      </c>
      <c r="B788" t="s">
        <v>4190</v>
      </c>
      <c r="C788" t="s">
        <v>646</v>
      </c>
      <c r="D788" t="s">
        <v>3779</v>
      </c>
      <c r="E788" t="s">
        <v>647</v>
      </c>
      <c r="F788" t="s">
        <v>666</v>
      </c>
      <c r="G788" t="s">
        <v>666</v>
      </c>
      <c r="H788" t="s">
        <v>713</v>
      </c>
      <c r="I788" t="s">
        <v>4191</v>
      </c>
      <c r="J788" t="s">
        <v>355</v>
      </c>
      <c r="K788" t="s">
        <v>166</v>
      </c>
      <c r="L788" t="s">
        <v>0</v>
      </c>
      <c r="M788" t="s">
        <v>178</v>
      </c>
      <c r="N788">
        <v>503</v>
      </c>
      <c r="O788">
        <v>0</v>
      </c>
      <c r="P788">
        <v>14535.31</v>
      </c>
      <c r="Q788">
        <v>5814.94</v>
      </c>
      <c r="R788">
        <v>1913.82</v>
      </c>
      <c r="S788">
        <v>7.2089999999999996</v>
      </c>
      <c r="T788">
        <v>0</v>
      </c>
      <c r="U788">
        <v>0</v>
      </c>
      <c r="V788">
        <v>1913.82</v>
      </c>
      <c r="W788" t="s">
        <v>0</v>
      </c>
      <c r="X788" t="s">
        <v>271</v>
      </c>
      <c r="Y788" t="s">
        <v>4192</v>
      </c>
      <c r="AA788" t="s">
        <v>4193</v>
      </c>
      <c r="AB788" t="s">
        <v>181</v>
      </c>
    </row>
    <row r="789" spans="1:28" x14ac:dyDescent="0.25">
      <c r="A789" t="s">
        <v>3870</v>
      </c>
      <c r="B789" t="s">
        <v>3871</v>
      </c>
      <c r="C789" t="s">
        <v>646</v>
      </c>
      <c r="D789" t="s">
        <v>3779</v>
      </c>
      <c r="E789" t="s">
        <v>647</v>
      </c>
      <c r="F789" t="s">
        <v>666</v>
      </c>
      <c r="G789" t="s">
        <v>666</v>
      </c>
      <c r="H789" t="s">
        <v>1045</v>
      </c>
      <c r="I789" t="s">
        <v>3872</v>
      </c>
      <c r="J789" t="s">
        <v>355</v>
      </c>
      <c r="K789" t="s">
        <v>166</v>
      </c>
      <c r="L789" t="s">
        <v>0</v>
      </c>
      <c r="M789" t="s">
        <v>178</v>
      </c>
      <c r="N789">
        <v>1</v>
      </c>
      <c r="O789">
        <v>1</v>
      </c>
      <c r="P789">
        <v>10</v>
      </c>
      <c r="Q789">
        <v>35.630000000000003</v>
      </c>
      <c r="R789">
        <v>7.73</v>
      </c>
      <c r="S789">
        <v>4.2</v>
      </c>
      <c r="T789">
        <v>0</v>
      </c>
      <c r="U789">
        <v>0</v>
      </c>
      <c r="V789">
        <v>7.73</v>
      </c>
      <c r="W789" t="s">
        <v>0</v>
      </c>
      <c r="X789" t="s">
        <v>271</v>
      </c>
      <c r="Y789" t="s">
        <v>3873</v>
      </c>
      <c r="AA789" t="s">
        <v>3874</v>
      </c>
      <c r="AB789" t="s">
        <v>181</v>
      </c>
    </row>
    <row r="790" spans="1:28" x14ac:dyDescent="0.25">
      <c r="A790" t="s">
        <v>3952</v>
      </c>
      <c r="B790" t="s">
        <v>3953</v>
      </c>
      <c r="C790" t="s">
        <v>646</v>
      </c>
      <c r="D790" t="s">
        <v>3779</v>
      </c>
      <c r="E790" t="s">
        <v>647</v>
      </c>
      <c r="F790" t="s">
        <v>666</v>
      </c>
      <c r="G790" t="s">
        <v>666</v>
      </c>
      <c r="H790" t="s">
        <v>683</v>
      </c>
      <c r="I790" t="s">
        <v>2032</v>
      </c>
      <c r="J790" t="s">
        <v>311</v>
      </c>
      <c r="K790" t="s">
        <v>166</v>
      </c>
      <c r="L790" t="s">
        <v>0</v>
      </c>
      <c r="M790" t="s">
        <v>178</v>
      </c>
      <c r="N790">
        <v>1786</v>
      </c>
      <c r="O790">
        <v>558</v>
      </c>
      <c r="P790">
        <v>31970.51</v>
      </c>
      <c r="Q790">
        <v>87781.440000000002</v>
      </c>
      <c r="R790">
        <v>6704.7202221099997</v>
      </c>
      <c r="S790">
        <v>11592.352684019999</v>
      </c>
      <c r="T790">
        <v>1946.1802221099999</v>
      </c>
      <c r="U790">
        <v>664.91</v>
      </c>
      <c r="V790">
        <v>7369.45</v>
      </c>
      <c r="W790" t="s">
        <v>312</v>
      </c>
      <c r="X790" t="s">
        <v>271</v>
      </c>
      <c r="Y790" t="s">
        <v>3954</v>
      </c>
      <c r="AA790" t="s">
        <v>3955</v>
      </c>
      <c r="AB790" t="s">
        <v>181</v>
      </c>
    </row>
    <row r="791" spans="1:28" x14ac:dyDescent="0.25">
      <c r="A791" t="s">
        <v>3853</v>
      </c>
      <c r="B791" t="s">
        <v>3854</v>
      </c>
      <c r="C791" t="s">
        <v>646</v>
      </c>
      <c r="D791" t="s">
        <v>3779</v>
      </c>
      <c r="E791" t="s">
        <v>647</v>
      </c>
      <c r="F791" t="s">
        <v>3780</v>
      </c>
      <c r="G791" t="s">
        <v>769</v>
      </c>
      <c r="H791" t="s">
        <v>649</v>
      </c>
      <c r="I791" t="s">
        <v>746</v>
      </c>
      <c r="J791" t="s">
        <v>504</v>
      </c>
      <c r="K791" t="s">
        <v>166</v>
      </c>
      <c r="L791" t="s">
        <v>0</v>
      </c>
      <c r="M791" t="s">
        <v>178</v>
      </c>
      <c r="N791">
        <v>60</v>
      </c>
      <c r="O791">
        <v>50</v>
      </c>
      <c r="P791">
        <v>2172.0300000000002</v>
      </c>
      <c r="Q791">
        <v>2999.35</v>
      </c>
      <c r="R791">
        <v>200.96</v>
      </c>
      <c r="S791">
        <v>253.94361201999999</v>
      </c>
      <c r="T791">
        <v>0</v>
      </c>
      <c r="U791">
        <v>0</v>
      </c>
      <c r="V791">
        <v>200.96</v>
      </c>
      <c r="W791" t="s">
        <v>503</v>
      </c>
      <c r="X791" t="s">
        <v>271</v>
      </c>
      <c r="Y791" t="s">
        <v>3855</v>
      </c>
      <c r="AA791" t="s">
        <v>3856</v>
      </c>
      <c r="AB791" t="s">
        <v>181</v>
      </c>
    </row>
    <row r="792" spans="1:28" x14ac:dyDescent="0.25">
      <c r="A792" t="s">
        <v>4353</v>
      </c>
      <c r="B792" t="s">
        <v>4354</v>
      </c>
      <c r="C792" t="s">
        <v>646</v>
      </c>
      <c r="D792" t="s">
        <v>3779</v>
      </c>
      <c r="E792" t="s">
        <v>647</v>
      </c>
      <c r="F792" t="s">
        <v>3780</v>
      </c>
      <c r="G792" t="s">
        <v>769</v>
      </c>
      <c r="H792" t="s">
        <v>717</v>
      </c>
      <c r="I792" t="s">
        <v>1160</v>
      </c>
      <c r="J792" t="s">
        <v>336</v>
      </c>
      <c r="K792" t="s">
        <v>166</v>
      </c>
      <c r="L792" t="s">
        <v>0</v>
      </c>
      <c r="M792" t="s">
        <v>178</v>
      </c>
      <c r="N792">
        <v>242</v>
      </c>
      <c r="O792">
        <v>166</v>
      </c>
      <c r="P792">
        <v>3409.39</v>
      </c>
      <c r="Q792">
        <v>13410.47</v>
      </c>
      <c r="R792">
        <v>2676.5066499099999</v>
      </c>
      <c r="S792">
        <v>552.64224750000005</v>
      </c>
      <c r="T792">
        <v>6.6499100000000002E-3</v>
      </c>
      <c r="U792">
        <v>0</v>
      </c>
      <c r="V792">
        <v>2676.5</v>
      </c>
      <c r="W792" t="s">
        <v>461</v>
      </c>
      <c r="X792" t="s">
        <v>271</v>
      </c>
      <c r="Y792" t="s">
        <v>4355</v>
      </c>
      <c r="AA792" t="s">
        <v>4356</v>
      </c>
      <c r="AB792" t="s">
        <v>181</v>
      </c>
    </row>
    <row r="793" spans="1:28" x14ac:dyDescent="0.25">
      <c r="A793" t="s">
        <v>3981</v>
      </c>
      <c r="B793" t="s">
        <v>3982</v>
      </c>
      <c r="C793" t="s">
        <v>646</v>
      </c>
      <c r="D793" t="s">
        <v>3779</v>
      </c>
      <c r="E793" t="s">
        <v>647</v>
      </c>
      <c r="F793" t="s">
        <v>3780</v>
      </c>
      <c r="G793" t="s">
        <v>769</v>
      </c>
      <c r="H793" t="s">
        <v>703</v>
      </c>
      <c r="I793" t="s">
        <v>2384</v>
      </c>
      <c r="J793" t="s">
        <v>447</v>
      </c>
      <c r="K793" t="s">
        <v>166</v>
      </c>
      <c r="L793" t="s">
        <v>0</v>
      </c>
      <c r="M793" t="s">
        <v>178</v>
      </c>
      <c r="N793">
        <v>1122.1675</v>
      </c>
      <c r="O793">
        <v>445.08420000000001</v>
      </c>
      <c r="P793">
        <v>19441.849999999999</v>
      </c>
      <c r="Q793">
        <v>32819.620000000003</v>
      </c>
      <c r="R793">
        <v>2094.3372691999998</v>
      </c>
      <c r="S793">
        <v>5648.1038000299995</v>
      </c>
      <c r="T793">
        <v>22.4872692</v>
      </c>
      <c r="U793">
        <v>813.59</v>
      </c>
      <c r="V793">
        <v>2906.19</v>
      </c>
      <c r="W793" t="s">
        <v>446</v>
      </c>
      <c r="X793" t="s">
        <v>271</v>
      </c>
      <c r="Y793" t="s">
        <v>3983</v>
      </c>
      <c r="AA793" t="s">
        <v>3984</v>
      </c>
      <c r="AB793" t="s">
        <v>181</v>
      </c>
    </row>
    <row r="794" spans="1:28" x14ac:dyDescent="0.25">
      <c r="A794" t="s">
        <v>3797</v>
      </c>
      <c r="B794" t="s">
        <v>3798</v>
      </c>
      <c r="C794" t="s">
        <v>646</v>
      </c>
      <c r="D794" t="s">
        <v>3779</v>
      </c>
      <c r="E794" t="s">
        <v>647</v>
      </c>
      <c r="F794" t="s">
        <v>3780</v>
      </c>
      <c r="G794" t="s">
        <v>769</v>
      </c>
      <c r="H794" t="s">
        <v>770</v>
      </c>
      <c r="I794" t="s">
        <v>725</v>
      </c>
      <c r="J794" t="s">
        <v>726</v>
      </c>
      <c r="K794" t="s">
        <v>166</v>
      </c>
      <c r="L794" t="s">
        <v>0</v>
      </c>
      <c r="M794" t="s">
        <v>178</v>
      </c>
      <c r="N794">
        <v>3307.3</v>
      </c>
      <c r="O794">
        <v>2072.8000000000002</v>
      </c>
      <c r="P794">
        <v>64490.03</v>
      </c>
      <c r="Q794">
        <v>71573.41</v>
      </c>
      <c r="R794">
        <v>6277.25</v>
      </c>
      <c r="S794">
        <v>9719.1665051300006</v>
      </c>
      <c r="T794">
        <v>0</v>
      </c>
      <c r="U794">
        <v>1557.78</v>
      </c>
      <c r="V794">
        <v>7763.07</v>
      </c>
      <c r="W794" t="s">
        <v>0</v>
      </c>
      <c r="X794" t="s">
        <v>271</v>
      </c>
      <c r="Y794" t="s">
        <v>3799</v>
      </c>
      <c r="AA794" t="s">
        <v>3800</v>
      </c>
      <c r="AB794" t="s">
        <v>181</v>
      </c>
    </row>
    <row r="795" spans="1:28" x14ac:dyDescent="0.25">
      <c r="A795" t="s">
        <v>4184</v>
      </c>
      <c r="B795" t="s">
        <v>4185</v>
      </c>
      <c r="C795" t="s">
        <v>646</v>
      </c>
      <c r="D795" t="s">
        <v>3779</v>
      </c>
      <c r="E795" t="s">
        <v>647</v>
      </c>
      <c r="F795" t="s">
        <v>3780</v>
      </c>
      <c r="G795" t="s">
        <v>769</v>
      </c>
      <c r="H795" t="s">
        <v>672</v>
      </c>
      <c r="I795" t="s">
        <v>4186</v>
      </c>
      <c r="J795" t="s">
        <v>1164</v>
      </c>
      <c r="K795" t="s">
        <v>166</v>
      </c>
      <c r="L795" t="s">
        <v>0</v>
      </c>
      <c r="M795" t="s">
        <v>178</v>
      </c>
      <c r="N795">
        <v>471</v>
      </c>
      <c r="O795">
        <v>182</v>
      </c>
      <c r="P795">
        <v>13396.07</v>
      </c>
      <c r="Q795">
        <v>18081.509999999998</v>
      </c>
      <c r="R795">
        <v>407.24647236999999</v>
      </c>
      <c r="S795">
        <v>2627.00250585</v>
      </c>
      <c r="T795">
        <v>1.70647237</v>
      </c>
      <c r="U795">
        <v>935.3</v>
      </c>
      <c r="V795">
        <v>1340.84</v>
      </c>
      <c r="W795" t="s">
        <v>1165</v>
      </c>
      <c r="X795" t="s">
        <v>271</v>
      </c>
      <c r="Y795" t="s">
        <v>4187</v>
      </c>
      <c r="AA795" t="s">
        <v>4188</v>
      </c>
      <c r="AB795" t="s">
        <v>181</v>
      </c>
    </row>
    <row r="796" spans="1:28" x14ac:dyDescent="0.25">
      <c r="A796" t="s">
        <v>4179</v>
      </c>
      <c r="B796" t="s">
        <v>4180</v>
      </c>
      <c r="C796" t="s">
        <v>646</v>
      </c>
      <c r="D796" t="s">
        <v>3779</v>
      </c>
      <c r="E796" t="s">
        <v>647</v>
      </c>
      <c r="F796" t="s">
        <v>3780</v>
      </c>
      <c r="G796" t="s">
        <v>769</v>
      </c>
      <c r="H796" t="s">
        <v>683</v>
      </c>
      <c r="I796" t="s">
        <v>4181</v>
      </c>
      <c r="J796" t="s">
        <v>816</v>
      </c>
      <c r="K796" t="s">
        <v>166</v>
      </c>
      <c r="L796" t="s">
        <v>0</v>
      </c>
      <c r="M796" t="s">
        <v>178</v>
      </c>
      <c r="N796">
        <v>241</v>
      </c>
      <c r="O796">
        <v>145</v>
      </c>
      <c r="P796">
        <v>3499.63</v>
      </c>
      <c r="Q796">
        <v>11076.24</v>
      </c>
      <c r="R796">
        <v>2271.15</v>
      </c>
      <c r="S796">
        <v>1444.31542128</v>
      </c>
      <c r="T796">
        <v>0</v>
      </c>
      <c r="U796">
        <v>0</v>
      </c>
      <c r="V796">
        <v>2271.15</v>
      </c>
      <c r="W796" t="s">
        <v>1490</v>
      </c>
      <c r="X796" t="s">
        <v>271</v>
      </c>
      <c r="Y796" t="s">
        <v>4182</v>
      </c>
      <c r="AA796" t="s">
        <v>4183</v>
      </c>
      <c r="AB796" t="s">
        <v>181</v>
      </c>
    </row>
    <row r="797" spans="1:28" x14ac:dyDescent="0.25">
      <c r="A797" t="s">
        <v>4346</v>
      </c>
      <c r="B797" t="s">
        <v>257</v>
      </c>
      <c r="C797" t="s">
        <v>646</v>
      </c>
      <c r="D797" t="s">
        <v>3779</v>
      </c>
      <c r="E797" t="s">
        <v>647</v>
      </c>
      <c r="F797" t="s">
        <v>3780</v>
      </c>
      <c r="G797" t="s">
        <v>769</v>
      </c>
      <c r="H797" t="s">
        <v>672</v>
      </c>
      <c r="I797" t="s">
        <v>746</v>
      </c>
      <c r="J797" t="s">
        <v>504</v>
      </c>
      <c r="K797" t="s">
        <v>166</v>
      </c>
      <c r="L797" t="s">
        <v>0</v>
      </c>
      <c r="M797" t="s">
        <v>178</v>
      </c>
      <c r="N797">
        <v>202</v>
      </c>
      <c r="O797">
        <v>88</v>
      </c>
      <c r="P797">
        <v>3206.72</v>
      </c>
      <c r="Q797">
        <v>9882.75</v>
      </c>
      <c r="R797">
        <v>769.98</v>
      </c>
      <c r="S797">
        <v>485.86845825</v>
      </c>
      <c r="T797">
        <v>0</v>
      </c>
      <c r="U797">
        <v>0</v>
      </c>
      <c r="V797">
        <v>769.98</v>
      </c>
      <c r="W797" t="s">
        <v>503</v>
      </c>
      <c r="X797" t="s">
        <v>271</v>
      </c>
      <c r="Y797" t="s">
        <v>4347</v>
      </c>
      <c r="AA797" t="s">
        <v>4348</v>
      </c>
      <c r="AB797" t="s">
        <v>181</v>
      </c>
    </row>
    <row r="798" spans="1:28" x14ac:dyDescent="0.25">
      <c r="A798" t="s">
        <v>3933</v>
      </c>
      <c r="B798" t="s">
        <v>3934</v>
      </c>
      <c r="C798" t="s">
        <v>646</v>
      </c>
      <c r="D798" t="s">
        <v>3779</v>
      </c>
      <c r="E798" t="s">
        <v>647</v>
      </c>
      <c r="F798" t="s">
        <v>3780</v>
      </c>
      <c r="G798" t="s">
        <v>769</v>
      </c>
      <c r="H798" t="s">
        <v>703</v>
      </c>
      <c r="I798" t="s">
        <v>3935</v>
      </c>
      <c r="J798" t="s">
        <v>1214</v>
      </c>
      <c r="K798" t="s">
        <v>166</v>
      </c>
      <c r="L798" t="s">
        <v>0</v>
      </c>
      <c r="M798" t="s">
        <v>178</v>
      </c>
      <c r="N798">
        <v>1249.8332</v>
      </c>
      <c r="O798">
        <v>355.49990000000003</v>
      </c>
      <c r="P798">
        <v>18336.61</v>
      </c>
      <c r="Q798">
        <v>39730.61</v>
      </c>
      <c r="R798">
        <v>6725.7337415299999</v>
      </c>
      <c r="S798">
        <v>4643.8908875999996</v>
      </c>
      <c r="T798">
        <v>0.42374152999999998</v>
      </c>
      <c r="U798">
        <v>0</v>
      </c>
      <c r="V798">
        <v>6725.31</v>
      </c>
      <c r="W798" t="s">
        <v>0</v>
      </c>
      <c r="X798" t="s">
        <v>271</v>
      </c>
      <c r="Y798" t="s">
        <v>3936</v>
      </c>
      <c r="AA798" t="s">
        <v>3937</v>
      </c>
      <c r="AB798" t="s">
        <v>181</v>
      </c>
    </row>
    <row r="799" spans="1:28" x14ac:dyDescent="0.25">
      <c r="A799" t="s">
        <v>3952</v>
      </c>
      <c r="B799" t="s">
        <v>3953</v>
      </c>
      <c r="C799" t="s">
        <v>646</v>
      </c>
      <c r="D799" t="s">
        <v>3779</v>
      </c>
      <c r="E799" t="s">
        <v>647</v>
      </c>
      <c r="F799" t="s">
        <v>666</v>
      </c>
      <c r="G799" t="s">
        <v>666</v>
      </c>
      <c r="H799" t="s">
        <v>1045</v>
      </c>
      <c r="I799" t="s">
        <v>2032</v>
      </c>
      <c r="J799" t="s">
        <v>311</v>
      </c>
      <c r="K799" t="s">
        <v>166</v>
      </c>
      <c r="L799" t="s">
        <v>0</v>
      </c>
      <c r="M799" t="s">
        <v>178</v>
      </c>
      <c r="N799">
        <v>378</v>
      </c>
      <c r="O799">
        <v>211</v>
      </c>
      <c r="P799">
        <v>3782.62</v>
      </c>
      <c r="Q799">
        <v>35221.69</v>
      </c>
      <c r="R799">
        <v>2433.87</v>
      </c>
      <c r="S799">
        <v>2552.72271344</v>
      </c>
      <c r="T799">
        <v>236</v>
      </c>
      <c r="U799">
        <v>2.08</v>
      </c>
      <c r="V799">
        <v>2435.9499999999998</v>
      </c>
      <c r="W799" t="s">
        <v>312</v>
      </c>
      <c r="X799" t="s">
        <v>271</v>
      </c>
      <c r="Y799" t="s">
        <v>3954</v>
      </c>
      <c r="AA799" t="s">
        <v>3955</v>
      </c>
      <c r="AB799" t="s">
        <v>181</v>
      </c>
    </row>
    <row r="800" spans="1:28" x14ac:dyDescent="0.25">
      <c r="A800" t="s">
        <v>3806</v>
      </c>
      <c r="B800" t="s">
        <v>3807</v>
      </c>
      <c r="C800" t="s">
        <v>646</v>
      </c>
      <c r="D800" t="s">
        <v>3779</v>
      </c>
      <c r="E800" t="s">
        <v>647</v>
      </c>
      <c r="F800" t="s">
        <v>3780</v>
      </c>
      <c r="G800" t="s">
        <v>769</v>
      </c>
      <c r="H800" t="s">
        <v>797</v>
      </c>
      <c r="I800" t="s">
        <v>2071</v>
      </c>
      <c r="J800" t="s">
        <v>1664</v>
      </c>
      <c r="K800" t="s">
        <v>166</v>
      </c>
      <c r="L800" t="s">
        <v>0</v>
      </c>
      <c r="M800" t="s">
        <v>178</v>
      </c>
      <c r="N800">
        <v>241</v>
      </c>
      <c r="O800">
        <v>219</v>
      </c>
      <c r="P800">
        <v>2756.38</v>
      </c>
      <c r="Q800">
        <v>7853.86</v>
      </c>
      <c r="R800">
        <v>1557.90626518</v>
      </c>
      <c r="S800">
        <v>1891.70433258</v>
      </c>
      <c r="T800">
        <v>6.2651800000000004E-3</v>
      </c>
      <c r="U800">
        <v>0</v>
      </c>
      <c r="V800">
        <v>1557.9</v>
      </c>
      <c r="W800" t="s">
        <v>1665</v>
      </c>
      <c r="X800" t="s">
        <v>271</v>
      </c>
      <c r="Y800" t="s">
        <v>3808</v>
      </c>
      <c r="AA800" t="s">
        <v>3809</v>
      </c>
      <c r="AB800" t="s">
        <v>181</v>
      </c>
    </row>
    <row r="801" spans="1:28" x14ac:dyDescent="0.25">
      <c r="A801" t="s">
        <v>3783</v>
      </c>
      <c r="B801" t="s">
        <v>3784</v>
      </c>
      <c r="C801" t="s">
        <v>646</v>
      </c>
      <c r="D801" t="s">
        <v>3779</v>
      </c>
      <c r="E801" t="s">
        <v>647</v>
      </c>
      <c r="F801" t="s">
        <v>666</v>
      </c>
      <c r="G801" t="s">
        <v>666</v>
      </c>
      <c r="H801" t="s">
        <v>757</v>
      </c>
      <c r="I801" t="s">
        <v>3785</v>
      </c>
      <c r="J801" t="s">
        <v>432</v>
      </c>
      <c r="K801" t="s">
        <v>166</v>
      </c>
      <c r="L801" t="s">
        <v>0</v>
      </c>
      <c r="M801" t="s">
        <v>178</v>
      </c>
      <c r="N801">
        <v>224</v>
      </c>
      <c r="O801">
        <v>133</v>
      </c>
      <c r="P801">
        <v>2783.26</v>
      </c>
      <c r="Q801">
        <v>5804.33</v>
      </c>
      <c r="R801">
        <v>1574.55</v>
      </c>
      <c r="S801">
        <v>799.99097016999997</v>
      </c>
      <c r="T801">
        <v>1.92</v>
      </c>
      <c r="U801">
        <v>0</v>
      </c>
      <c r="V801">
        <v>1572.63</v>
      </c>
      <c r="W801" t="s">
        <v>0</v>
      </c>
      <c r="X801" t="s">
        <v>271</v>
      </c>
      <c r="Y801" t="s">
        <v>3786</v>
      </c>
      <c r="AA801" t="s">
        <v>3787</v>
      </c>
      <c r="AB801" t="s">
        <v>181</v>
      </c>
    </row>
    <row r="802" spans="1:28" x14ac:dyDescent="0.25">
      <c r="A802" t="s">
        <v>4252</v>
      </c>
      <c r="B802" t="s">
        <v>4253</v>
      </c>
      <c r="C802" t="s">
        <v>646</v>
      </c>
      <c r="D802" t="s">
        <v>3779</v>
      </c>
      <c r="E802" t="s">
        <v>647</v>
      </c>
      <c r="F802" t="s">
        <v>3780</v>
      </c>
      <c r="G802" t="s">
        <v>769</v>
      </c>
      <c r="H802" t="s">
        <v>683</v>
      </c>
      <c r="I802" t="s">
        <v>1046</v>
      </c>
      <c r="J802" t="s">
        <v>971</v>
      </c>
      <c r="K802" t="s">
        <v>166</v>
      </c>
      <c r="L802" t="s">
        <v>0</v>
      </c>
      <c r="M802" t="s">
        <v>178</v>
      </c>
      <c r="N802">
        <v>270</v>
      </c>
      <c r="O802">
        <v>15</v>
      </c>
      <c r="P802">
        <v>7838.09</v>
      </c>
      <c r="Q802">
        <v>12962.69</v>
      </c>
      <c r="R802">
        <v>1639.03431211</v>
      </c>
      <c r="S802">
        <v>1187.2680165899999</v>
      </c>
      <c r="T802">
        <v>8.7943121099999999</v>
      </c>
      <c r="U802">
        <v>0</v>
      </c>
      <c r="V802">
        <v>1630.24</v>
      </c>
      <c r="W802" t="s">
        <v>972</v>
      </c>
      <c r="X802" t="s">
        <v>269</v>
      </c>
      <c r="Y802" t="s">
        <v>4254</v>
      </c>
      <c r="AA802" t="s">
        <v>4255</v>
      </c>
      <c r="AB802" t="s">
        <v>181</v>
      </c>
    </row>
    <row r="803" spans="1:28" x14ac:dyDescent="0.25">
      <c r="A803" t="s">
        <v>4123</v>
      </c>
      <c r="B803" t="s">
        <v>4124</v>
      </c>
      <c r="C803" t="s">
        <v>646</v>
      </c>
      <c r="D803" t="s">
        <v>3779</v>
      </c>
      <c r="E803" t="s">
        <v>647</v>
      </c>
      <c r="F803" t="s">
        <v>3780</v>
      </c>
      <c r="G803" t="s">
        <v>769</v>
      </c>
      <c r="H803" t="s">
        <v>679</v>
      </c>
      <c r="I803" t="s">
        <v>746</v>
      </c>
      <c r="J803" t="s">
        <v>504</v>
      </c>
      <c r="K803" t="s">
        <v>166</v>
      </c>
      <c r="L803" t="s">
        <v>0</v>
      </c>
      <c r="M803" t="s">
        <v>178</v>
      </c>
      <c r="N803">
        <v>187.08330000000001</v>
      </c>
      <c r="O803">
        <v>144.08330000000001</v>
      </c>
      <c r="P803">
        <v>2058.54</v>
      </c>
      <c r="Q803">
        <v>6091.32</v>
      </c>
      <c r="R803">
        <v>-328.70110245000001</v>
      </c>
      <c r="S803">
        <v>2623.23758374</v>
      </c>
      <c r="T803">
        <v>-6.3211024499999997</v>
      </c>
      <c r="U803">
        <v>797.57</v>
      </c>
      <c r="V803">
        <v>475.19</v>
      </c>
      <c r="W803" t="s">
        <v>503</v>
      </c>
      <c r="X803" t="s">
        <v>271</v>
      </c>
      <c r="Y803" t="s">
        <v>4125</v>
      </c>
      <c r="AA803" t="s">
        <v>4126</v>
      </c>
      <c r="AB803" t="s">
        <v>181</v>
      </c>
    </row>
    <row r="804" spans="1:28" x14ac:dyDescent="0.25">
      <c r="A804" t="s">
        <v>3981</v>
      </c>
      <c r="B804" t="s">
        <v>3982</v>
      </c>
      <c r="C804" t="s">
        <v>646</v>
      </c>
      <c r="D804" t="s">
        <v>3779</v>
      </c>
      <c r="E804" t="s">
        <v>647</v>
      </c>
      <c r="F804" t="s">
        <v>3780</v>
      </c>
      <c r="G804" t="s">
        <v>769</v>
      </c>
      <c r="H804" t="s">
        <v>1045</v>
      </c>
      <c r="I804" t="s">
        <v>2384</v>
      </c>
      <c r="J804" t="s">
        <v>447</v>
      </c>
      <c r="K804" t="s">
        <v>166</v>
      </c>
      <c r="L804" t="s">
        <v>0</v>
      </c>
      <c r="M804" t="s">
        <v>178</v>
      </c>
      <c r="N804">
        <v>193.91749999999999</v>
      </c>
      <c r="O804">
        <v>104.9175</v>
      </c>
      <c r="P804">
        <v>1953</v>
      </c>
      <c r="Q804">
        <v>10555.42</v>
      </c>
      <c r="R804">
        <v>731.42</v>
      </c>
      <c r="S804">
        <v>762.13376743000003</v>
      </c>
      <c r="T804">
        <v>0</v>
      </c>
      <c r="U804">
        <v>0</v>
      </c>
      <c r="V804">
        <v>731.42</v>
      </c>
      <c r="W804" t="s">
        <v>446</v>
      </c>
      <c r="X804" t="s">
        <v>271</v>
      </c>
      <c r="Y804" t="s">
        <v>3983</v>
      </c>
      <c r="AA804" t="s">
        <v>3984</v>
      </c>
      <c r="AB804" t="s">
        <v>181</v>
      </c>
    </row>
    <row r="805" spans="1:28" x14ac:dyDescent="0.25">
      <c r="A805" t="s">
        <v>3861</v>
      </c>
      <c r="B805" t="s">
        <v>3862</v>
      </c>
      <c r="C805" t="s">
        <v>646</v>
      </c>
      <c r="D805" t="s">
        <v>3779</v>
      </c>
      <c r="E805" t="s">
        <v>647</v>
      </c>
      <c r="F805" t="s">
        <v>3780</v>
      </c>
      <c r="G805" t="s">
        <v>769</v>
      </c>
      <c r="H805" t="s">
        <v>703</v>
      </c>
      <c r="I805" t="s">
        <v>2065</v>
      </c>
      <c r="J805" t="s">
        <v>2066</v>
      </c>
      <c r="K805" t="s">
        <v>166</v>
      </c>
      <c r="L805" t="s">
        <v>0</v>
      </c>
      <c r="M805" t="s">
        <v>178</v>
      </c>
      <c r="N805">
        <v>413.25</v>
      </c>
      <c r="O805">
        <v>289</v>
      </c>
      <c r="P805">
        <v>8250.3799999999992</v>
      </c>
      <c r="Q805">
        <v>17073.8</v>
      </c>
      <c r="R805">
        <v>3598.3911303599998</v>
      </c>
      <c r="S805">
        <v>3165.60474488</v>
      </c>
      <c r="T805">
        <v>5.113036E-2</v>
      </c>
      <c r="U805">
        <v>0</v>
      </c>
      <c r="V805">
        <v>3598.34</v>
      </c>
      <c r="W805" t="s">
        <v>2067</v>
      </c>
      <c r="X805" t="s">
        <v>271</v>
      </c>
      <c r="Y805" t="s">
        <v>3863</v>
      </c>
      <c r="AA805" t="s">
        <v>3864</v>
      </c>
      <c r="AB805" t="s">
        <v>181</v>
      </c>
    </row>
    <row r="806" spans="1:28" x14ac:dyDescent="0.25">
      <c r="A806" t="s">
        <v>4298</v>
      </c>
      <c r="B806" t="s">
        <v>4299</v>
      </c>
      <c r="C806" t="s">
        <v>646</v>
      </c>
      <c r="D806" t="s">
        <v>3779</v>
      </c>
      <c r="E806" t="s">
        <v>647</v>
      </c>
      <c r="F806" t="s">
        <v>666</v>
      </c>
      <c r="G806" t="s">
        <v>666</v>
      </c>
      <c r="H806" t="s">
        <v>672</v>
      </c>
      <c r="I806" t="s">
        <v>4300</v>
      </c>
      <c r="J806" t="s">
        <v>511</v>
      </c>
      <c r="K806" t="s">
        <v>166</v>
      </c>
      <c r="L806" t="s">
        <v>0</v>
      </c>
      <c r="M806" t="s">
        <v>178</v>
      </c>
      <c r="N806">
        <v>949</v>
      </c>
      <c r="O806">
        <v>662</v>
      </c>
      <c r="P806">
        <v>19359.2</v>
      </c>
      <c r="Q806">
        <v>25393.62</v>
      </c>
      <c r="R806">
        <v>2219.4682160000002</v>
      </c>
      <c r="S806">
        <v>4961.7667587899996</v>
      </c>
      <c r="T806">
        <v>2603.8782160000001</v>
      </c>
      <c r="U806">
        <v>248.22</v>
      </c>
      <c r="V806">
        <v>2518.66</v>
      </c>
      <c r="W806" t="s">
        <v>510</v>
      </c>
      <c r="X806" t="s">
        <v>271</v>
      </c>
      <c r="Y806" t="s">
        <v>4301</v>
      </c>
      <c r="Z806" t="s">
        <v>4302</v>
      </c>
      <c r="AA806" t="s">
        <v>4303</v>
      </c>
      <c r="AB806" t="s">
        <v>181</v>
      </c>
    </row>
    <row r="807" spans="1:28" x14ac:dyDescent="0.25">
      <c r="A807" t="s">
        <v>4361</v>
      </c>
      <c r="B807" t="s">
        <v>4362</v>
      </c>
      <c r="C807" t="s">
        <v>646</v>
      </c>
      <c r="D807" t="s">
        <v>3779</v>
      </c>
      <c r="E807" t="s">
        <v>647</v>
      </c>
      <c r="F807" t="s">
        <v>3780</v>
      </c>
      <c r="G807" t="s">
        <v>769</v>
      </c>
      <c r="H807" t="s">
        <v>679</v>
      </c>
      <c r="I807" t="s">
        <v>1712</v>
      </c>
      <c r="J807" t="s">
        <v>335</v>
      </c>
      <c r="K807" t="s">
        <v>166</v>
      </c>
      <c r="L807" t="s">
        <v>0</v>
      </c>
      <c r="M807" t="s">
        <v>178</v>
      </c>
      <c r="N807">
        <v>43</v>
      </c>
      <c r="O807">
        <v>34</v>
      </c>
      <c r="P807">
        <v>275.25</v>
      </c>
      <c r="Q807">
        <v>1263.2</v>
      </c>
      <c r="R807">
        <v>204.51093900000001</v>
      </c>
      <c r="S807">
        <v>327.49810342000001</v>
      </c>
      <c r="T807">
        <v>-1.759061</v>
      </c>
      <c r="U807">
        <v>0</v>
      </c>
      <c r="V807">
        <v>206.27</v>
      </c>
      <c r="W807" t="s">
        <v>572</v>
      </c>
      <c r="X807" t="s">
        <v>271</v>
      </c>
      <c r="Y807" t="s">
        <v>4363</v>
      </c>
      <c r="AA807" t="s">
        <v>4364</v>
      </c>
      <c r="AB807" t="s">
        <v>181</v>
      </c>
    </row>
    <row r="808" spans="1:28" x14ac:dyDescent="0.25">
      <c r="A808" t="s">
        <v>4117</v>
      </c>
      <c r="B808" t="s">
        <v>4118</v>
      </c>
      <c r="C808" t="s">
        <v>646</v>
      </c>
      <c r="D808" t="s">
        <v>3779</v>
      </c>
      <c r="E808" t="s">
        <v>647</v>
      </c>
      <c r="F808" t="s">
        <v>3780</v>
      </c>
      <c r="G808" t="s">
        <v>769</v>
      </c>
      <c r="H808" t="s">
        <v>649</v>
      </c>
      <c r="I808" t="s">
        <v>1190</v>
      </c>
      <c r="J808" t="s">
        <v>1191</v>
      </c>
      <c r="K808" t="s">
        <v>166</v>
      </c>
      <c r="L808" t="s">
        <v>0</v>
      </c>
      <c r="M808" t="s">
        <v>178</v>
      </c>
      <c r="N808">
        <v>692</v>
      </c>
      <c r="O808">
        <v>205</v>
      </c>
      <c r="P808">
        <v>10691.87</v>
      </c>
      <c r="Q808">
        <v>37535.57</v>
      </c>
      <c r="R808">
        <v>2453.04</v>
      </c>
      <c r="S808">
        <v>2968.24864695</v>
      </c>
      <c r="T808">
        <v>620.5</v>
      </c>
      <c r="U808">
        <v>0</v>
      </c>
      <c r="V808">
        <v>2454.29</v>
      </c>
      <c r="W808" t="s">
        <v>282</v>
      </c>
      <c r="X808" t="s">
        <v>271</v>
      </c>
      <c r="Y808" t="s">
        <v>2170</v>
      </c>
      <c r="AA808" t="s">
        <v>2171</v>
      </c>
      <c r="AB808" t="s">
        <v>181</v>
      </c>
    </row>
    <row r="809" spans="1:28" x14ac:dyDescent="0.25">
      <c r="A809" t="s">
        <v>3857</v>
      </c>
      <c r="B809" t="s">
        <v>3858</v>
      </c>
      <c r="C809" t="s">
        <v>646</v>
      </c>
      <c r="D809" t="s">
        <v>3779</v>
      </c>
      <c r="E809" t="s">
        <v>647</v>
      </c>
      <c r="F809" t="s">
        <v>3780</v>
      </c>
      <c r="G809" t="s">
        <v>769</v>
      </c>
      <c r="H809" t="s">
        <v>1171</v>
      </c>
      <c r="I809" t="s">
        <v>952</v>
      </c>
      <c r="J809" t="s">
        <v>434</v>
      </c>
      <c r="K809" t="s">
        <v>166</v>
      </c>
      <c r="L809" t="s">
        <v>0</v>
      </c>
      <c r="M809" t="s">
        <v>178</v>
      </c>
      <c r="N809">
        <v>149</v>
      </c>
      <c r="O809">
        <v>135</v>
      </c>
      <c r="P809">
        <v>1972.8</v>
      </c>
      <c r="Q809">
        <v>18273.88</v>
      </c>
      <c r="R809">
        <v>1588.7602944</v>
      </c>
      <c r="S809">
        <v>32.522460000000002</v>
      </c>
      <c r="T809">
        <v>12.360294400000001</v>
      </c>
      <c r="U809">
        <v>0</v>
      </c>
      <c r="V809">
        <v>1576.4</v>
      </c>
      <c r="W809" t="s">
        <v>466</v>
      </c>
      <c r="X809" t="s">
        <v>271</v>
      </c>
      <c r="Y809" t="s">
        <v>3859</v>
      </c>
      <c r="AA809" t="s">
        <v>3860</v>
      </c>
      <c r="AB809" t="s">
        <v>181</v>
      </c>
    </row>
    <row r="810" spans="1:28" x14ac:dyDescent="0.25">
      <c r="A810" t="s">
        <v>4326</v>
      </c>
      <c r="B810" t="s">
        <v>4327</v>
      </c>
      <c r="C810" t="s">
        <v>646</v>
      </c>
      <c r="D810" t="s">
        <v>3779</v>
      </c>
      <c r="E810" t="s">
        <v>647</v>
      </c>
      <c r="F810" t="s">
        <v>3780</v>
      </c>
      <c r="G810" t="s">
        <v>769</v>
      </c>
      <c r="H810" t="s">
        <v>802</v>
      </c>
      <c r="I810" t="s">
        <v>936</v>
      </c>
      <c r="J810" t="s">
        <v>582</v>
      </c>
      <c r="K810" t="s">
        <v>166</v>
      </c>
      <c r="L810" t="s">
        <v>0</v>
      </c>
      <c r="M810" t="s">
        <v>178</v>
      </c>
      <c r="N810">
        <v>198</v>
      </c>
      <c r="O810">
        <v>156</v>
      </c>
      <c r="P810">
        <v>2877.41</v>
      </c>
      <c r="Q810">
        <v>6992.92</v>
      </c>
      <c r="R810">
        <v>277.36</v>
      </c>
      <c r="S810">
        <v>886.65191116000005</v>
      </c>
      <c r="T810">
        <v>0</v>
      </c>
      <c r="U810">
        <v>0</v>
      </c>
      <c r="V810">
        <v>277.36</v>
      </c>
      <c r="W810" t="s">
        <v>361</v>
      </c>
      <c r="X810" t="s">
        <v>271</v>
      </c>
      <c r="Y810" t="s">
        <v>4328</v>
      </c>
      <c r="AA810" t="s">
        <v>4329</v>
      </c>
      <c r="AB810" t="s">
        <v>181</v>
      </c>
    </row>
    <row r="811" spans="1:28" x14ac:dyDescent="0.25">
      <c r="A811" t="s">
        <v>4022</v>
      </c>
      <c r="B811" t="s">
        <v>4023</v>
      </c>
      <c r="C811" t="s">
        <v>646</v>
      </c>
      <c r="D811" t="s">
        <v>3779</v>
      </c>
      <c r="E811" t="s">
        <v>647</v>
      </c>
      <c r="F811" t="s">
        <v>3780</v>
      </c>
      <c r="G811" t="s">
        <v>769</v>
      </c>
      <c r="H811" t="s">
        <v>1045</v>
      </c>
      <c r="I811" t="s">
        <v>4024</v>
      </c>
      <c r="J811" t="s">
        <v>447</v>
      </c>
      <c r="K811" t="s">
        <v>166</v>
      </c>
      <c r="L811" t="s">
        <v>0</v>
      </c>
      <c r="M811" t="s">
        <v>178</v>
      </c>
      <c r="N811">
        <v>70</v>
      </c>
      <c r="O811">
        <v>47</v>
      </c>
      <c r="P811">
        <v>777.19</v>
      </c>
      <c r="Q811">
        <v>5881.17</v>
      </c>
      <c r="R811">
        <v>638.37</v>
      </c>
      <c r="S811">
        <v>363.25877394000003</v>
      </c>
      <c r="T811">
        <v>0</v>
      </c>
      <c r="U811">
        <v>0</v>
      </c>
      <c r="V811">
        <v>638.37</v>
      </c>
      <c r="W811" t="s">
        <v>446</v>
      </c>
      <c r="X811" t="s">
        <v>271</v>
      </c>
      <c r="Y811" t="s">
        <v>4025</v>
      </c>
      <c r="AA811" t="s">
        <v>4026</v>
      </c>
      <c r="AB811" t="s">
        <v>181</v>
      </c>
    </row>
    <row r="812" spans="1:28" x14ac:dyDescent="0.25">
      <c r="A812" t="s">
        <v>3865</v>
      </c>
      <c r="B812" t="s">
        <v>3866</v>
      </c>
      <c r="C812" t="s">
        <v>646</v>
      </c>
      <c r="D812" t="s">
        <v>3779</v>
      </c>
      <c r="E812" t="s">
        <v>647</v>
      </c>
      <c r="F812" t="s">
        <v>3780</v>
      </c>
      <c r="G812" t="s">
        <v>769</v>
      </c>
      <c r="H812" t="s">
        <v>802</v>
      </c>
      <c r="I812" t="s">
        <v>3867</v>
      </c>
      <c r="J812" t="s">
        <v>881</v>
      </c>
      <c r="K812" t="s">
        <v>166</v>
      </c>
      <c r="L812" t="s">
        <v>0</v>
      </c>
      <c r="M812" t="s">
        <v>178</v>
      </c>
      <c r="N812">
        <v>99.5</v>
      </c>
      <c r="O812">
        <v>47.5</v>
      </c>
      <c r="P812">
        <v>1964.47</v>
      </c>
      <c r="Q812">
        <v>6835.78</v>
      </c>
      <c r="R812">
        <v>1672.09</v>
      </c>
      <c r="S812">
        <v>411.55965103</v>
      </c>
      <c r="T812">
        <v>0</v>
      </c>
      <c r="U812">
        <v>0</v>
      </c>
      <c r="V812">
        <v>1672.09</v>
      </c>
      <c r="W812" t="s">
        <v>0</v>
      </c>
      <c r="X812" t="s">
        <v>271</v>
      </c>
      <c r="Y812" t="s">
        <v>3868</v>
      </c>
      <c r="AA812" t="s">
        <v>3869</v>
      </c>
      <c r="AB812" t="s">
        <v>181</v>
      </c>
    </row>
    <row r="813" spans="1:28" x14ac:dyDescent="0.25">
      <c r="A813" t="s">
        <v>4206</v>
      </c>
      <c r="B813" t="s">
        <v>4207</v>
      </c>
      <c r="C813" t="s">
        <v>646</v>
      </c>
      <c r="D813" t="s">
        <v>3779</v>
      </c>
      <c r="E813" t="s">
        <v>647</v>
      </c>
      <c r="F813" t="s">
        <v>3780</v>
      </c>
      <c r="G813" t="s">
        <v>769</v>
      </c>
      <c r="H813" t="s">
        <v>672</v>
      </c>
      <c r="I813" t="s">
        <v>4208</v>
      </c>
      <c r="J813" t="s">
        <v>317</v>
      </c>
      <c r="K813" t="s">
        <v>166</v>
      </c>
      <c r="L813" t="s">
        <v>0</v>
      </c>
      <c r="M813" t="s">
        <v>178</v>
      </c>
      <c r="N813">
        <v>103</v>
      </c>
      <c r="O813">
        <v>59</v>
      </c>
      <c r="P813">
        <v>1096.18</v>
      </c>
      <c r="Q813">
        <v>6883.29</v>
      </c>
      <c r="R813">
        <v>2087.15</v>
      </c>
      <c r="S813">
        <v>1059.9214801999999</v>
      </c>
      <c r="T813">
        <v>0</v>
      </c>
      <c r="U813">
        <v>0</v>
      </c>
      <c r="V813">
        <v>2087.15</v>
      </c>
      <c r="W813" t="s">
        <v>340</v>
      </c>
      <c r="X813" t="s">
        <v>271</v>
      </c>
      <c r="Y813" t="s">
        <v>4209</v>
      </c>
      <c r="AA813" t="s">
        <v>4210</v>
      </c>
      <c r="AB813" t="s">
        <v>181</v>
      </c>
    </row>
    <row r="814" spans="1:28" x14ac:dyDescent="0.25">
      <c r="A814" t="s">
        <v>4219</v>
      </c>
      <c r="B814" t="s">
        <v>4220</v>
      </c>
      <c r="C814" t="s">
        <v>646</v>
      </c>
      <c r="D814" t="s">
        <v>3779</v>
      </c>
      <c r="E814" t="s">
        <v>647</v>
      </c>
      <c r="F814" t="s">
        <v>3780</v>
      </c>
      <c r="G814" t="s">
        <v>769</v>
      </c>
      <c r="H814" t="s">
        <v>797</v>
      </c>
      <c r="I814" t="s">
        <v>1208</v>
      </c>
      <c r="J814" t="s">
        <v>1209</v>
      </c>
      <c r="K814" t="s">
        <v>166</v>
      </c>
      <c r="L814" t="s">
        <v>0</v>
      </c>
      <c r="M814" t="s">
        <v>178</v>
      </c>
      <c r="N814">
        <v>37</v>
      </c>
      <c r="O814">
        <v>8</v>
      </c>
      <c r="P814">
        <v>373.07</v>
      </c>
      <c r="Q814">
        <v>1363.2</v>
      </c>
      <c r="R814">
        <v>467.73</v>
      </c>
      <c r="S814">
        <v>92.68214313</v>
      </c>
      <c r="T814">
        <v>0</v>
      </c>
      <c r="U814">
        <v>0</v>
      </c>
      <c r="V814">
        <v>467.73</v>
      </c>
      <c r="W814" t="s">
        <v>1210</v>
      </c>
      <c r="X814" t="s">
        <v>271</v>
      </c>
      <c r="Y814" t="s">
        <v>4221</v>
      </c>
      <c r="AA814" t="s">
        <v>4222</v>
      </c>
      <c r="AB814" t="s">
        <v>181</v>
      </c>
    </row>
    <row r="815" spans="1:28" x14ac:dyDescent="0.25">
      <c r="A815" t="s">
        <v>4353</v>
      </c>
      <c r="B815" t="s">
        <v>4354</v>
      </c>
      <c r="C815" t="s">
        <v>646</v>
      </c>
      <c r="D815" t="s">
        <v>3779</v>
      </c>
      <c r="E815" t="s">
        <v>647</v>
      </c>
      <c r="F815" t="s">
        <v>3780</v>
      </c>
      <c r="G815" t="s">
        <v>769</v>
      </c>
      <c r="H815" t="s">
        <v>649</v>
      </c>
      <c r="I815" t="s">
        <v>1160</v>
      </c>
      <c r="J815" t="s">
        <v>336</v>
      </c>
      <c r="K815" t="s">
        <v>166</v>
      </c>
      <c r="L815" t="s">
        <v>0</v>
      </c>
      <c r="M815" t="s">
        <v>178</v>
      </c>
      <c r="N815">
        <v>337</v>
      </c>
      <c r="O815">
        <v>282</v>
      </c>
      <c r="P815">
        <v>6830.46</v>
      </c>
      <c r="Q815">
        <v>21620.62</v>
      </c>
      <c r="R815">
        <v>2733.41</v>
      </c>
      <c r="S815">
        <v>1102.6884926</v>
      </c>
      <c r="T815">
        <v>0</v>
      </c>
      <c r="U815">
        <v>0</v>
      </c>
      <c r="V815">
        <v>2733.41</v>
      </c>
      <c r="W815" t="s">
        <v>461</v>
      </c>
      <c r="X815" t="s">
        <v>271</v>
      </c>
      <c r="Y815" t="s">
        <v>4355</v>
      </c>
      <c r="AA815" t="s">
        <v>4356</v>
      </c>
      <c r="AB815" t="s">
        <v>181</v>
      </c>
    </row>
    <row r="816" spans="1:28" x14ac:dyDescent="0.25">
      <c r="A816" t="s">
        <v>4265</v>
      </c>
      <c r="B816" t="s">
        <v>4266</v>
      </c>
      <c r="C816" t="s">
        <v>646</v>
      </c>
      <c r="D816" t="s">
        <v>3779</v>
      </c>
      <c r="E816" t="s">
        <v>647</v>
      </c>
      <c r="F816" t="s">
        <v>666</v>
      </c>
      <c r="G816" t="s">
        <v>666</v>
      </c>
      <c r="H816" t="s">
        <v>1045</v>
      </c>
      <c r="I816" t="s">
        <v>4267</v>
      </c>
      <c r="J816" t="s">
        <v>326</v>
      </c>
      <c r="K816" t="s">
        <v>166</v>
      </c>
      <c r="L816" t="s">
        <v>0</v>
      </c>
      <c r="M816" t="s">
        <v>178</v>
      </c>
      <c r="N816">
        <v>102</v>
      </c>
      <c r="O816">
        <v>91</v>
      </c>
      <c r="P816">
        <v>1017</v>
      </c>
      <c r="Q816">
        <v>7543.02</v>
      </c>
      <c r="R816">
        <v>1261.46</v>
      </c>
      <c r="S816">
        <v>489.54426973</v>
      </c>
      <c r="T816">
        <v>0</v>
      </c>
      <c r="U816">
        <v>0</v>
      </c>
      <c r="V816">
        <v>1261.46</v>
      </c>
      <c r="W816" t="s">
        <v>450</v>
      </c>
      <c r="X816" t="s">
        <v>271</v>
      </c>
      <c r="Y816" t="s">
        <v>4268</v>
      </c>
      <c r="AA816" t="s">
        <v>4269</v>
      </c>
      <c r="AB816" t="s">
        <v>181</v>
      </c>
    </row>
    <row r="817" spans="1:28" x14ac:dyDescent="0.25">
      <c r="A817" t="s">
        <v>4288</v>
      </c>
      <c r="B817" t="s">
        <v>4289</v>
      </c>
      <c r="C817" t="s">
        <v>646</v>
      </c>
      <c r="D817" t="s">
        <v>3779</v>
      </c>
      <c r="E817" t="s">
        <v>647</v>
      </c>
      <c r="F817" t="s">
        <v>3780</v>
      </c>
      <c r="G817" t="s">
        <v>769</v>
      </c>
      <c r="H817" t="s">
        <v>1175</v>
      </c>
      <c r="I817" t="s">
        <v>1453</v>
      </c>
      <c r="J817" t="s">
        <v>1454</v>
      </c>
      <c r="K817" t="s">
        <v>166</v>
      </c>
      <c r="L817" t="s">
        <v>0</v>
      </c>
      <c r="M817" t="s">
        <v>178</v>
      </c>
      <c r="N817">
        <v>3</v>
      </c>
      <c r="O817">
        <v>3</v>
      </c>
      <c r="P817">
        <v>48</v>
      </c>
      <c r="Q817">
        <v>96.54</v>
      </c>
      <c r="R817">
        <v>21.18</v>
      </c>
      <c r="S817">
        <v>13.44</v>
      </c>
      <c r="T817">
        <v>0</v>
      </c>
      <c r="U817">
        <v>0</v>
      </c>
      <c r="V817">
        <v>21.18</v>
      </c>
      <c r="W817" t="s">
        <v>1455</v>
      </c>
      <c r="X817" t="s">
        <v>271</v>
      </c>
      <c r="Y817" t="s">
        <v>4290</v>
      </c>
      <c r="AA817" t="s">
        <v>4291</v>
      </c>
      <c r="AB817" t="s">
        <v>181</v>
      </c>
    </row>
    <row r="818" spans="1:28" x14ac:dyDescent="0.25">
      <c r="A818" t="s">
        <v>4228</v>
      </c>
      <c r="B818" t="s">
        <v>4229</v>
      </c>
      <c r="C818" t="s">
        <v>646</v>
      </c>
      <c r="D818" t="s">
        <v>3779</v>
      </c>
      <c r="E818" t="s">
        <v>647</v>
      </c>
      <c r="F818" t="s">
        <v>3780</v>
      </c>
      <c r="G818" t="s">
        <v>769</v>
      </c>
      <c r="H818" t="s">
        <v>797</v>
      </c>
      <c r="I818" t="s">
        <v>1971</v>
      </c>
      <c r="J818" t="s">
        <v>1972</v>
      </c>
      <c r="K818" t="s">
        <v>166</v>
      </c>
      <c r="L818" t="s">
        <v>0</v>
      </c>
      <c r="M818" t="s">
        <v>178</v>
      </c>
      <c r="N818">
        <v>473</v>
      </c>
      <c r="O818">
        <v>469</v>
      </c>
      <c r="P818">
        <v>5646</v>
      </c>
      <c r="Q818">
        <v>15941.34</v>
      </c>
      <c r="R818">
        <v>3915.1075078200001</v>
      </c>
      <c r="S818">
        <v>4215.8998339999998</v>
      </c>
      <c r="T818">
        <v>-1.249218E-2</v>
      </c>
      <c r="U818">
        <v>0</v>
      </c>
      <c r="V818">
        <v>3915.12</v>
      </c>
      <c r="W818" t="s">
        <v>1973</v>
      </c>
      <c r="X818" t="s">
        <v>271</v>
      </c>
      <c r="Y818" t="s">
        <v>4230</v>
      </c>
      <c r="AA818" t="s">
        <v>4231</v>
      </c>
      <c r="AB818" t="s">
        <v>181</v>
      </c>
    </row>
    <row r="819" spans="1:28" x14ac:dyDescent="0.25">
      <c r="A819" t="s">
        <v>4337</v>
      </c>
      <c r="B819" t="s">
        <v>4338</v>
      </c>
      <c r="C819" t="s">
        <v>646</v>
      </c>
      <c r="D819" t="s">
        <v>3779</v>
      </c>
      <c r="E819" t="s">
        <v>647</v>
      </c>
      <c r="F819" t="s">
        <v>3780</v>
      </c>
      <c r="G819" t="s">
        <v>769</v>
      </c>
      <c r="H819" t="s">
        <v>802</v>
      </c>
      <c r="I819" t="s">
        <v>4339</v>
      </c>
      <c r="J819" t="s">
        <v>821</v>
      </c>
      <c r="K819" t="s">
        <v>166</v>
      </c>
      <c r="L819" t="s">
        <v>0</v>
      </c>
      <c r="M819" t="s">
        <v>178</v>
      </c>
      <c r="N819">
        <v>71.333100000000002</v>
      </c>
      <c r="O819">
        <v>52.833100000000002</v>
      </c>
      <c r="P819">
        <v>855.4</v>
      </c>
      <c r="Q819">
        <v>3738.82</v>
      </c>
      <c r="R819">
        <v>967.33</v>
      </c>
      <c r="S819">
        <v>296.19522533999998</v>
      </c>
      <c r="T819">
        <v>0</v>
      </c>
      <c r="U819">
        <v>0</v>
      </c>
      <c r="V819">
        <v>967.33</v>
      </c>
      <c r="W819" t="s">
        <v>822</v>
      </c>
      <c r="X819" t="s">
        <v>269</v>
      </c>
      <c r="Y819" t="s">
        <v>4340</v>
      </c>
      <c r="AA819" t="s">
        <v>4341</v>
      </c>
      <c r="AB819" t="s">
        <v>181</v>
      </c>
    </row>
    <row r="820" spans="1:28" x14ac:dyDescent="0.25">
      <c r="A820" t="s">
        <v>4353</v>
      </c>
      <c r="B820" t="s">
        <v>4354</v>
      </c>
      <c r="C820" t="s">
        <v>646</v>
      </c>
      <c r="D820" t="s">
        <v>3779</v>
      </c>
      <c r="E820" t="s">
        <v>647</v>
      </c>
      <c r="F820" t="s">
        <v>3780</v>
      </c>
      <c r="G820" t="s">
        <v>769</v>
      </c>
      <c r="H820" t="s">
        <v>713</v>
      </c>
      <c r="I820" t="s">
        <v>1160</v>
      </c>
      <c r="J820" t="s">
        <v>336</v>
      </c>
      <c r="K820" t="s">
        <v>166</v>
      </c>
      <c r="L820" t="s">
        <v>0</v>
      </c>
      <c r="M820" t="s">
        <v>178</v>
      </c>
      <c r="N820">
        <v>267</v>
      </c>
      <c r="O820">
        <v>14</v>
      </c>
      <c r="P820">
        <v>9026.94</v>
      </c>
      <c r="Q820">
        <v>20815.5</v>
      </c>
      <c r="R820">
        <v>3356.11595429</v>
      </c>
      <c r="S820">
        <v>506.64567132000002</v>
      </c>
      <c r="T820">
        <v>55.475954289999997</v>
      </c>
      <c r="U820">
        <v>0</v>
      </c>
      <c r="V820">
        <v>3300.64</v>
      </c>
      <c r="W820" t="s">
        <v>461</v>
      </c>
      <c r="X820" t="s">
        <v>271</v>
      </c>
      <c r="Y820" t="s">
        <v>4355</v>
      </c>
      <c r="AA820" t="s">
        <v>4356</v>
      </c>
      <c r="AB820" t="s">
        <v>181</v>
      </c>
    </row>
    <row r="821" spans="1:28" x14ac:dyDescent="0.25">
      <c r="A821" t="s">
        <v>4031</v>
      </c>
      <c r="B821" t="s">
        <v>4032</v>
      </c>
      <c r="C821" t="s">
        <v>646</v>
      </c>
      <c r="D821" t="s">
        <v>3779</v>
      </c>
      <c r="E821" t="s">
        <v>647</v>
      </c>
      <c r="F821" t="s">
        <v>3780</v>
      </c>
      <c r="G821" t="s">
        <v>769</v>
      </c>
      <c r="H821" t="s">
        <v>797</v>
      </c>
      <c r="I821" t="s">
        <v>1513</v>
      </c>
      <c r="J821" t="s">
        <v>333</v>
      </c>
      <c r="K821" t="s">
        <v>166</v>
      </c>
      <c r="L821" t="s">
        <v>0</v>
      </c>
      <c r="M821" t="s">
        <v>178</v>
      </c>
      <c r="N821">
        <v>1195</v>
      </c>
      <c r="O821">
        <v>824</v>
      </c>
      <c r="P821">
        <v>13738.13</v>
      </c>
      <c r="Q821">
        <v>36102.28</v>
      </c>
      <c r="R821">
        <v>1146.1268558500001</v>
      </c>
      <c r="S821">
        <v>7381.5815616500004</v>
      </c>
      <c r="T821">
        <v>-3.1441500000000001E-3</v>
      </c>
      <c r="U821">
        <v>1840.3</v>
      </c>
      <c r="V821">
        <v>2993.33</v>
      </c>
      <c r="W821" t="s">
        <v>718</v>
      </c>
      <c r="X821" t="s">
        <v>271</v>
      </c>
      <c r="Y821" t="s">
        <v>4033</v>
      </c>
      <c r="AA821" t="s">
        <v>4034</v>
      </c>
      <c r="AB821" t="s">
        <v>181</v>
      </c>
    </row>
    <row r="822" spans="1:28" x14ac:dyDescent="0.25">
      <c r="A822" t="s">
        <v>3981</v>
      </c>
      <c r="B822" t="s">
        <v>3982</v>
      </c>
      <c r="C822" t="s">
        <v>646</v>
      </c>
      <c r="D822" t="s">
        <v>3779</v>
      </c>
      <c r="E822" t="s">
        <v>647</v>
      </c>
      <c r="F822" t="s">
        <v>3780</v>
      </c>
      <c r="G822" t="s">
        <v>769</v>
      </c>
      <c r="H822" t="s">
        <v>713</v>
      </c>
      <c r="I822" t="s">
        <v>2384</v>
      </c>
      <c r="J822" t="s">
        <v>447</v>
      </c>
      <c r="K822" t="s">
        <v>166</v>
      </c>
      <c r="L822" t="s">
        <v>0</v>
      </c>
      <c r="M822" t="s">
        <v>178</v>
      </c>
      <c r="N822">
        <v>2573.1667000000002</v>
      </c>
      <c r="O822">
        <v>1960.1667</v>
      </c>
      <c r="P822">
        <v>66105.78</v>
      </c>
      <c r="Q822">
        <v>39378.480000000003</v>
      </c>
      <c r="R822">
        <v>5465.0835020300001</v>
      </c>
      <c r="S822">
        <v>3824.6649134700001</v>
      </c>
      <c r="T822">
        <v>5292.5335020299999</v>
      </c>
      <c r="U822">
        <v>410.56</v>
      </c>
      <c r="V822">
        <v>5929.46</v>
      </c>
      <c r="W822" t="s">
        <v>446</v>
      </c>
      <c r="X822" t="s">
        <v>271</v>
      </c>
      <c r="Y822" t="s">
        <v>3983</v>
      </c>
      <c r="AA822" t="s">
        <v>3984</v>
      </c>
      <c r="AB822" t="s">
        <v>181</v>
      </c>
    </row>
    <row r="823" spans="1:28" x14ac:dyDescent="0.25">
      <c r="A823" t="s">
        <v>4167</v>
      </c>
      <c r="B823" t="s">
        <v>4168</v>
      </c>
      <c r="C823" t="s">
        <v>646</v>
      </c>
      <c r="D823" t="s">
        <v>3779</v>
      </c>
      <c r="E823" t="s">
        <v>647</v>
      </c>
      <c r="F823" t="s">
        <v>3780</v>
      </c>
      <c r="G823" t="s">
        <v>769</v>
      </c>
      <c r="H823" t="s">
        <v>683</v>
      </c>
      <c r="I823" t="s">
        <v>4169</v>
      </c>
      <c r="J823" t="s">
        <v>662</v>
      </c>
      <c r="K823" t="s">
        <v>166</v>
      </c>
      <c r="L823" t="s">
        <v>0</v>
      </c>
      <c r="M823" t="s">
        <v>178</v>
      </c>
      <c r="N823">
        <v>531.8777</v>
      </c>
      <c r="O823">
        <v>264</v>
      </c>
      <c r="P823">
        <v>10019.31</v>
      </c>
      <c r="Q823">
        <v>24669.16</v>
      </c>
      <c r="R823">
        <v>1830.08</v>
      </c>
      <c r="S823">
        <v>2952.6980444999999</v>
      </c>
      <c r="T823">
        <v>638.98</v>
      </c>
      <c r="U823">
        <v>0</v>
      </c>
      <c r="V823">
        <v>1830.08</v>
      </c>
      <c r="W823" t="s">
        <v>586</v>
      </c>
      <c r="X823" t="s">
        <v>271</v>
      </c>
      <c r="Y823" t="s">
        <v>4170</v>
      </c>
      <c r="AA823" t="s">
        <v>4171</v>
      </c>
      <c r="AB823" t="s">
        <v>181</v>
      </c>
    </row>
    <row r="824" spans="1:28" x14ac:dyDescent="0.25">
      <c r="A824" t="s">
        <v>4236</v>
      </c>
      <c r="B824" t="s">
        <v>4237</v>
      </c>
      <c r="C824" t="s">
        <v>646</v>
      </c>
      <c r="D824" t="s">
        <v>3779</v>
      </c>
      <c r="E824" t="s">
        <v>647</v>
      </c>
      <c r="F824" t="s">
        <v>3780</v>
      </c>
      <c r="G824" t="s">
        <v>769</v>
      </c>
      <c r="H824" t="s">
        <v>713</v>
      </c>
      <c r="I824" t="s">
        <v>1546</v>
      </c>
      <c r="J824" t="s">
        <v>1547</v>
      </c>
      <c r="K824" t="s">
        <v>166</v>
      </c>
      <c r="L824" t="s">
        <v>0</v>
      </c>
      <c r="M824" t="s">
        <v>178</v>
      </c>
      <c r="N824">
        <v>29</v>
      </c>
      <c r="O824">
        <v>0</v>
      </c>
      <c r="P824">
        <v>331.29</v>
      </c>
      <c r="Q824">
        <v>2958.88</v>
      </c>
      <c r="R824">
        <v>116.6</v>
      </c>
      <c r="S824">
        <v>163.30868888000001</v>
      </c>
      <c r="T824">
        <v>0</v>
      </c>
      <c r="U824">
        <v>0</v>
      </c>
      <c r="V824">
        <v>116.6</v>
      </c>
      <c r="W824" t="s">
        <v>1548</v>
      </c>
      <c r="X824" t="s">
        <v>271</v>
      </c>
      <c r="Y824" t="s">
        <v>4238</v>
      </c>
      <c r="AA824" t="s">
        <v>4239</v>
      </c>
      <c r="AB824" t="s">
        <v>181</v>
      </c>
    </row>
    <row r="825" spans="1:28" x14ac:dyDescent="0.25">
      <c r="A825" t="s">
        <v>4082</v>
      </c>
      <c r="B825" t="s">
        <v>257</v>
      </c>
      <c r="C825" t="s">
        <v>646</v>
      </c>
      <c r="D825" t="s">
        <v>3779</v>
      </c>
      <c r="E825" t="s">
        <v>647</v>
      </c>
      <c r="F825" t="s">
        <v>3780</v>
      </c>
      <c r="G825" t="s">
        <v>769</v>
      </c>
      <c r="H825" t="s">
        <v>679</v>
      </c>
      <c r="I825" t="s">
        <v>4083</v>
      </c>
      <c r="J825" t="s">
        <v>1972</v>
      </c>
      <c r="K825" t="s">
        <v>166</v>
      </c>
      <c r="L825" t="s">
        <v>0</v>
      </c>
      <c r="M825" t="s">
        <v>178</v>
      </c>
      <c r="N825">
        <v>485</v>
      </c>
      <c r="O825">
        <v>460</v>
      </c>
      <c r="P825">
        <v>5459.61</v>
      </c>
      <c r="Q825">
        <v>19676.009999999998</v>
      </c>
      <c r="R825">
        <v>1915.01605591</v>
      </c>
      <c r="S825">
        <v>10164.772690379999</v>
      </c>
      <c r="T825">
        <v>-21.15394409</v>
      </c>
      <c r="U825">
        <v>0</v>
      </c>
      <c r="V825">
        <v>1936.17</v>
      </c>
      <c r="W825" t="s">
        <v>1973</v>
      </c>
      <c r="X825" t="s">
        <v>271</v>
      </c>
      <c r="Y825" t="s">
        <v>4084</v>
      </c>
      <c r="AA825" t="s">
        <v>4085</v>
      </c>
      <c r="AB825" t="s">
        <v>181</v>
      </c>
    </row>
    <row r="826" spans="1:28" x14ac:dyDescent="0.25">
      <c r="A826" t="s">
        <v>4151</v>
      </c>
      <c r="B826" t="s">
        <v>4152</v>
      </c>
      <c r="C826" t="s">
        <v>646</v>
      </c>
      <c r="D826" t="s">
        <v>3779</v>
      </c>
      <c r="E826" t="s">
        <v>647</v>
      </c>
      <c r="F826" t="s">
        <v>666</v>
      </c>
      <c r="G826" t="s">
        <v>666</v>
      </c>
      <c r="H826" t="s">
        <v>1159</v>
      </c>
      <c r="I826" t="s">
        <v>765</v>
      </c>
      <c r="J826" t="s">
        <v>436</v>
      </c>
      <c r="K826" t="s">
        <v>166</v>
      </c>
      <c r="L826" t="s">
        <v>0</v>
      </c>
      <c r="M826" t="s">
        <v>178</v>
      </c>
      <c r="N826">
        <v>18</v>
      </c>
      <c r="O826">
        <v>0</v>
      </c>
      <c r="P826">
        <v>167.4</v>
      </c>
      <c r="Q826">
        <v>1008.13</v>
      </c>
      <c r="R826">
        <v>201.55</v>
      </c>
      <c r="S826">
        <v>36.794925550000002</v>
      </c>
      <c r="T826">
        <v>0</v>
      </c>
      <c r="U826">
        <v>0</v>
      </c>
      <c r="V826">
        <v>201.55</v>
      </c>
      <c r="W826" t="s">
        <v>0</v>
      </c>
      <c r="X826" t="s">
        <v>271</v>
      </c>
      <c r="Y826" t="s">
        <v>4153</v>
      </c>
      <c r="AA826" t="s">
        <v>4154</v>
      </c>
      <c r="AB826" t="s">
        <v>181</v>
      </c>
    </row>
    <row r="827" spans="1:28" x14ac:dyDescent="0.25">
      <c r="A827" t="s">
        <v>4162</v>
      </c>
      <c r="B827" t="s">
        <v>4163</v>
      </c>
      <c r="C827" t="s">
        <v>646</v>
      </c>
      <c r="D827" t="s">
        <v>3779</v>
      </c>
      <c r="E827" t="s">
        <v>647</v>
      </c>
      <c r="F827" t="s">
        <v>3780</v>
      </c>
      <c r="G827" t="s">
        <v>769</v>
      </c>
      <c r="H827" t="s">
        <v>1045</v>
      </c>
      <c r="I827" t="s">
        <v>4164</v>
      </c>
      <c r="J827" t="s">
        <v>985</v>
      </c>
      <c r="K827" t="s">
        <v>166</v>
      </c>
      <c r="L827" t="s">
        <v>0</v>
      </c>
      <c r="M827" t="s">
        <v>178</v>
      </c>
      <c r="N827">
        <v>24.433299999999999</v>
      </c>
      <c r="O827">
        <v>12.433299999999999</v>
      </c>
      <c r="P827">
        <v>331.69</v>
      </c>
      <c r="Q827">
        <v>3525.84</v>
      </c>
      <c r="R827">
        <v>269.99</v>
      </c>
      <c r="S827">
        <v>83.188011079999995</v>
      </c>
      <c r="T827">
        <v>0</v>
      </c>
      <c r="U827">
        <v>0</v>
      </c>
      <c r="V827">
        <v>269.99</v>
      </c>
      <c r="W827" t="s">
        <v>986</v>
      </c>
      <c r="X827" t="s">
        <v>271</v>
      </c>
      <c r="Y827" t="s">
        <v>4165</v>
      </c>
      <c r="AA827" t="s">
        <v>4166</v>
      </c>
      <c r="AB827" t="s">
        <v>181</v>
      </c>
    </row>
    <row r="828" spans="1:28" x14ac:dyDescent="0.25">
      <c r="A828" t="s">
        <v>4206</v>
      </c>
      <c r="B828" t="s">
        <v>4207</v>
      </c>
      <c r="C828" t="s">
        <v>646</v>
      </c>
      <c r="D828" t="s">
        <v>3779</v>
      </c>
      <c r="E828" t="s">
        <v>647</v>
      </c>
      <c r="F828" t="s">
        <v>3780</v>
      </c>
      <c r="G828" t="s">
        <v>769</v>
      </c>
      <c r="H828" t="s">
        <v>797</v>
      </c>
      <c r="I828" t="s">
        <v>4208</v>
      </c>
      <c r="J828" t="s">
        <v>317</v>
      </c>
      <c r="K828" t="s">
        <v>166</v>
      </c>
      <c r="L828" t="s">
        <v>0</v>
      </c>
      <c r="M828" t="s">
        <v>178</v>
      </c>
      <c r="N828">
        <v>62</v>
      </c>
      <c r="O828">
        <v>0</v>
      </c>
      <c r="P828">
        <v>402</v>
      </c>
      <c r="Q828">
        <v>1334.04</v>
      </c>
      <c r="R828">
        <v>324.76</v>
      </c>
      <c r="S828">
        <v>66.170930200000001</v>
      </c>
      <c r="T828">
        <v>0</v>
      </c>
      <c r="U828">
        <v>0</v>
      </c>
      <c r="V828">
        <v>324.76</v>
      </c>
      <c r="W828" t="s">
        <v>340</v>
      </c>
      <c r="X828" t="s">
        <v>271</v>
      </c>
      <c r="Y828" t="s">
        <v>4209</v>
      </c>
      <c r="AA828" t="s">
        <v>4210</v>
      </c>
      <c r="AB828" t="s">
        <v>181</v>
      </c>
    </row>
    <row r="829" spans="1:28" x14ac:dyDescent="0.25">
      <c r="A829" t="s">
        <v>3998</v>
      </c>
      <c r="B829" t="s">
        <v>3999</v>
      </c>
      <c r="C829" t="s">
        <v>646</v>
      </c>
      <c r="D829" t="s">
        <v>3779</v>
      </c>
      <c r="E829" t="s">
        <v>647</v>
      </c>
      <c r="F829" t="s">
        <v>3780</v>
      </c>
      <c r="G829" t="s">
        <v>769</v>
      </c>
      <c r="H829" t="s">
        <v>708</v>
      </c>
      <c r="I829" t="s">
        <v>1636</v>
      </c>
      <c r="J829" t="s">
        <v>1637</v>
      </c>
      <c r="K829" t="s">
        <v>166</v>
      </c>
      <c r="L829" t="s">
        <v>0</v>
      </c>
      <c r="M829" t="s">
        <v>178</v>
      </c>
      <c r="N829">
        <v>3</v>
      </c>
      <c r="O829">
        <v>1</v>
      </c>
      <c r="P829">
        <v>41.61</v>
      </c>
      <c r="Q829">
        <v>169.27</v>
      </c>
      <c r="R829">
        <v>23.74</v>
      </c>
      <c r="S829">
        <v>33.753611550000002</v>
      </c>
      <c r="T829">
        <v>0</v>
      </c>
      <c r="U829">
        <v>0</v>
      </c>
      <c r="V829">
        <v>23.74</v>
      </c>
      <c r="W829" t="s">
        <v>1638</v>
      </c>
      <c r="X829" t="s">
        <v>271</v>
      </c>
      <c r="Y829" t="s">
        <v>4000</v>
      </c>
      <c r="AA829" t="s">
        <v>4001</v>
      </c>
      <c r="AB829" t="s">
        <v>181</v>
      </c>
    </row>
    <row r="830" spans="1:28" x14ac:dyDescent="0.25">
      <c r="A830" t="s">
        <v>3853</v>
      </c>
      <c r="B830" t="s">
        <v>3854</v>
      </c>
      <c r="C830" t="s">
        <v>646</v>
      </c>
      <c r="D830" t="s">
        <v>3779</v>
      </c>
      <c r="E830" t="s">
        <v>647</v>
      </c>
      <c r="F830" t="s">
        <v>3780</v>
      </c>
      <c r="G830" t="s">
        <v>769</v>
      </c>
      <c r="H830" t="s">
        <v>708</v>
      </c>
      <c r="I830" t="s">
        <v>746</v>
      </c>
      <c r="J830" t="s">
        <v>504</v>
      </c>
      <c r="K830" t="s">
        <v>166</v>
      </c>
      <c r="L830" t="s">
        <v>0</v>
      </c>
      <c r="M830" t="s">
        <v>178</v>
      </c>
      <c r="N830">
        <v>26</v>
      </c>
      <c r="O830">
        <v>5</v>
      </c>
      <c r="P830">
        <v>629.34</v>
      </c>
      <c r="Q830">
        <v>767.65</v>
      </c>
      <c r="R830">
        <v>120.13</v>
      </c>
      <c r="S830">
        <v>87.798690550000003</v>
      </c>
      <c r="T830">
        <v>0</v>
      </c>
      <c r="U830">
        <v>0</v>
      </c>
      <c r="V830">
        <v>120.13</v>
      </c>
      <c r="W830" t="s">
        <v>503</v>
      </c>
      <c r="X830" t="s">
        <v>271</v>
      </c>
      <c r="Y830" t="s">
        <v>3855</v>
      </c>
      <c r="AA830" t="s">
        <v>3856</v>
      </c>
      <c r="AB830" t="s">
        <v>181</v>
      </c>
    </row>
    <row r="831" spans="1:28" x14ac:dyDescent="0.25">
      <c r="A831" t="s">
        <v>3998</v>
      </c>
      <c r="B831" t="s">
        <v>3999</v>
      </c>
      <c r="C831" t="s">
        <v>646</v>
      </c>
      <c r="D831" t="s">
        <v>3779</v>
      </c>
      <c r="E831" t="s">
        <v>647</v>
      </c>
      <c r="F831" t="s">
        <v>3780</v>
      </c>
      <c r="G831" t="s">
        <v>769</v>
      </c>
      <c r="H831" t="s">
        <v>962</v>
      </c>
      <c r="I831" t="s">
        <v>1636</v>
      </c>
      <c r="J831" t="s">
        <v>1637</v>
      </c>
      <c r="K831" t="s">
        <v>166</v>
      </c>
      <c r="L831" t="s">
        <v>0</v>
      </c>
      <c r="M831" t="s">
        <v>178</v>
      </c>
      <c r="N831">
        <v>81</v>
      </c>
      <c r="O831">
        <v>24</v>
      </c>
      <c r="P831">
        <v>1166.33</v>
      </c>
      <c r="Q831">
        <v>4610.54</v>
      </c>
      <c r="R831">
        <v>625.39</v>
      </c>
      <c r="S831">
        <v>190.32733593</v>
      </c>
      <c r="T831">
        <v>0</v>
      </c>
      <c r="U831">
        <v>0</v>
      </c>
      <c r="V831">
        <v>625.39</v>
      </c>
      <c r="W831" t="s">
        <v>1638</v>
      </c>
      <c r="X831" t="s">
        <v>271</v>
      </c>
      <c r="Y831" t="s">
        <v>4000</v>
      </c>
      <c r="AA831" t="s">
        <v>4001</v>
      </c>
      <c r="AB831" t="s">
        <v>181</v>
      </c>
    </row>
    <row r="832" spans="1:28" x14ac:dyDescent="0.25">
      <c r="A832" t="s">
        <v>4298</v>
      </c>
      <c r="B832" t="s">
        <v>4299</v>
      </c>
      <c r="C832" t="s">
        <v>646</v>
      </c>
      <c r="D832" t="s">
        <v>3779</v>
      </c>
      <c r="E832" t="s">
        <v>647</v>
      </c>
      <c r="F832" t="s">
        <v>666</v>
      </c>
      <c r="G832" t="s">
        <v>666</v>
      </c>
      <c r="H832" t="s">
        <v>761</v>
      </c>
      <c r="I832" t="s">
        <v>4300</v>
      </c>
      <c r="J832" t="s">
        <v>511</v>
      </c>
      <c r="K832" t="s">
        <v>166</v>
      </c>
      <c r="L832" t="s">
        <v>0</v>
      </c>
      <c r="M832" t="s">
        <v>178</v>
      </c>
      <c r="N832">
        <v>106</v>
      </c>
      <c r="O832">
        <v>66</v>
      </c>
      <c r="P832">
        <v>2778.48</v>
      </c>
      <c r="Q832">
        <v>4110.4799999999996</v>
      </c>
      <c r="R832">
        <v>378.65</v>
      </c>
      <c r="S832">
        <v>807.36982108999996</v>
      </c>
      <c r="T832">
        <v>0</v>
      </c>
      <c r="U832">
        <v>0</v>
      </c>
      <c r="V832">
        <v>378.65</v>
      </c>
      <c r="W832" t="s">
        <v>510</v>
      </c>
      <c r="X832" t="s">
        <v>271</v>
      </c>
      <c r="Y832" t="s">
        <v>4301</v>
      </c>
      <c r="Z832" t="s">
        <v>4302</v>
      </c>
      <c r="AA832" t="s">
        <v>4303</v>
      </c>
      <c r="AB832" t="s">
        <v>181</v>
      </c>
    </row>
    <row r="833" spans="1:28" x14ac:dyDescent="0.25">
      <c r="A833" t="s">
        <v>3849</v>
      </c>
      <c r="B833" t="s">
        <v>3850</v>
      </c>
      <c r="C833" t="s">
        <v>646</v>
      </c>
      <c r="D833" t="s">
        <v>3779</v>
      </c>
      <c r="E833" t="s">
        <v>647</v>
      </c>
      <c r="F833" t="s">
        <v>3780</v>
      </c>
      <c r="G833" t="s">
        <v>769</v>
      </c>
      <c r="H833" t="s">
        <v>761</v>
      </c>
      <c r="I833" t="s">
        <v>1184</v>
      </c>
      <c r="J833" t="s">
        <v>1185</v>
      </c>
      <c r="K833" t="s">
        <v>166</v>
      </c>
      <c r="L833" t="s">
        <v>0</v>
      </c>
      <c r="M833" t="s">
        <v>178</v>
      </c>
      <c r="N833">
        <v>34</v>
      </c>
      <c r="O833">
        <v>16</v>
      </c>
      <c r="P833">
        <v>978.46</v>
      </c>
      <c r="Q833">
        <v>1083.31</v>
      </c>
      <c r="R833">
        <v>211.77</v>
      </c>
      <c r="S833">
        <v>168.00342724000001</v>
      </c>
      <c r="T833">
        <v>0</v>
      </c>
      <c r="U833">
        <v>0</v>
      </c>
      <c r="V833">
        <v>211.77</v>
      </c>
      <c r="W833" t="s">
        <v>1186</v>
      </c>
      <c r="X833" t="s">
        <v>271</v>
      </c>
      <c r="Y833" t="s">
        <v>3851</v>
      </c>
      <c r="AA833" t="s">
        <v>3852</v>
      </c>
      <c r="AB833" t="s">
        <v>181</v>
      </c>
    </row>
    <row r="834" spans="1:28" x14ac:dyDescent="0.25">
      <c r="A834" t="s">
        <v>3998</v>
      </c>
      <c r="B834" t="s">
        <v>3999</v>
      </c>
      <c r="C834" t="s">
        <v>646</v>
      </c>
      <c r="D834" t="s">
        <v>3779</v>
      </c>
      <c r="E834" t="s">
        <v>647</v>
      </c>
      <c r="F834" t="s">
        <v>3780</v>
      </c>
      <c r="G834" t="s">
        <v>769</v>
      </c>
      <c r="H834" t="s">
        <v>649</v>
      </c>
      <c r="I834" t="s">
        <v>1636</v>
      </c>
      <c r="J834" t="s">
        <v>1637</v>
      </c>
      <c r="K834" t="s">
        <v>166</v>
      </c>
      <c r="L834" t="s">
        <v>0</v>
      </c>
      <c r="M834" t="s">
        <v>178</v>
      </c>
      <c r="N834">
        <v>122</v>
      </c>
      <c r="O834">
        <v>11</v>
      </c>
      <c r="P834">
        <v>1345.94</v>
      </c>
      <c r="Q834">
        <v>6557.38</v>
      </c>
      <c r="R834">
        <v>615.85</v>
      </c>
      <c r="S834">
        <v>102.80926984</v>
      </c>
      <c r="T834">
        <v>0</v>
      </c>
      <c r="U834">
        <v>0</v>
      </c>
      <c r="V834">
        <v>615.85</v>
      </c>
      <c r="W834" t="s">
        <v>1638</v>
      </c>
      <c r="X834" t="s">
        <v>271</v>
      </c>
      <c r="Y834" t="s">
        <v>4000</v>
      </c>
      <c r="AA834" t="s">
        <v>4001</v>
      </c>
      <c r="AB834" t="s">
        <v>181</v>
      </c>
    </row>
    <row r="835" spans="1:28" x14ac:dyDescent="0.25">
      <c r="A835" t="s">
        <v>3992</v>
      </c>
      <c r="B835" t="s">
        <v>3993</v>
      </c>
      <c r="C835" t="s">
        <v>646</v>
      </c>
      <c r="D835" t="s">
        <v>3779</v>
      </c>
      <c r="E835" t="s">
        <v>647</v>
      </c>
      <c r="F835" t="s">
        <v>3780</v>
      </c>
      <c r="G835" t="s">
        <v>769</v>
      </c>
      <c r="H835" t="s">
        <v>909</v>
      </c>
      <c r="I835" t="s">
        <v>3994</v>
      </c>
      <c r="J835" t="s">
        <v>3995</v>
      </c>
      <c r="K835" t="s">
        <v>166</v>
      </c>
      <c r="L835" t="s">
        <v>0</v>
      </c>
      <c r="M835" t="s">
        <v>178</v>
      </c>
      <c r="N835">
        <v>44</v>
      </c>
      <c r="O835">
        <v>42</v>
      </c>
      <c r="P835">
        <v>1525</v>
      </c>
      <c r="Q835">
        <v>779.14</v>
      </c>
      <c r="R835">
        <v>-46.56</v>
      </c>
      <c r="S835">
        <v>153.28840980999999</v>
      </c>
      <c r="T835">
        <v>0</v>
      </c>
      <c r="U835">
        <v>52.71</v>
      </c>
      <c r="V835">
        <v>6.15</v>
      </c>
      <c r="W835" t="s">
        <v>250</v>
      </c>
      <c r="X835" t="s">
        <v>269</v>
      </c>
      <c r="Y835" t="s">
        <v>3996</v>
      </c>
      <c r="AA835" t="s">
        <v>3997</v>
      </c>
      <c r="AB835" t="s">
        <v>181</v>
      </c>
    </row>
    <row r="836" spans="1:28" x14ac:dyDescent="0.25">
      <c r="A836" t="s">
        <v>4270</v>
      </c>
      <c r="B836" t="s">
        <v>4271</v>
      </c>
      <c r="C836" t="s">
        <v>646</v>
      </c>
      <c r="D836" t="s">
        <v>3779</v>
      </c>
      <c r="E836" t="s">
        <v>647</v>
      </c>
      <c r="F836" t="s">
        <v>3780</v>
      </c>
      <c r="G836" t="s">
        <v>769</v>
      </c>
      <c r="H836" t="s">
        <v>649</v>
      </c>
      <c r="I836" t="s">
        <v>4272</v>
      </c>
      <c r="J836" t="s">
        <v>352</v>
      </c>
      <c r="K836" t="s">
        <v>166</v>
      </c>
      <c r="L836" t="s">
        <v>0</v>
      </c>
      <c r="M836" t="s">
        <v>178</v>
      </c>
      <c r="N836">
        <v>47</v>
      </c>
      <c r="O836">
        <v>41</v>
      </c>
      <c r="P836">
        <v>949.5</v>
      </c>
      <c r="Q836">
        <v>3220.01</v>
      </c>
      <c r="R836">
        <v>356.65</v>
      </c>
      <c r="S836">
        <v>230.09561475999999</v>
      </c>
      <c r="T836">
        <v>0</v>
      </c>
      <c r="U836">
        <v>0</v>
      </c>
      <c r="V836">
        <v>356.65</v>
      </c>
      <c r="W836" t="s">
        <v>314</v>
      </c>
      <c r="X836" t="s">
        <v>271</v>
      </c>
      <c r="Y836" t="s">
        <v>4273</v>
      </c>
      <c r="AA836" t="s">
        <v>4274</v>
      </c>
      <c r="AB836" t="s">
        <v>181</v>
      </c>
    </row>
    <row r="837" spans="1:28" x14ac:dyDescent="0.25">
      <c r="A837" t="s">
        <v>4223</v>
      </c>
      <c r="B837" t="s">
        <v>4224</v>
      </c>
      <c r="C837" t="s">
        <v>646</v>
      </c>
      <c r="D837" t="s">
        <v>3779</v>
      </c>
      <c r="E837" t="s">
        <v>647</v>
      </c>
      <c r="F837" t="s">
        <v>3780</v>
      </c>
      <c r="G837" t="s">
        <v>769</v>
      </c>
      <c r="H837" t="s">
        <v>802</v>
      </c>
      <c r="I837" t="s">
        <v>4225</v>
      </c>
      <c r="J837" t="s">
        <v>336</v>
      </c>
      <c r="K837" t="s">
        <v>166</v>
      </c>
      <c r="L837" t="s">
        <v>0</v>
      </c>
      <c r="M837" t="s">
        <v>178</v>
      </c>
      <c r="N837">
        <v>2.25</v>
      </c>
      <c r="O837">
        <v>1.25</v>
      </c>
      <c r="P837">
        <v>33</v>
      </c>
      <c r="Q837">
        <v>129.63</v>
      </c>
      <c r="R837">
        <v>40.700000000000003</v>
      </c>
      <c r="S837">
        <v>11.388063349999999</v>
      </c>
      <c r="T837">
        <v>0</v>
      </c>
      <c r="U837">
        <v>0</v>
      </c>
      <c r="V837">
        <v>40.700000000000003</v>
      </c>
      <c r="W837" t="s">
        <v>461</v>
      </c>
      <c r="X837" t="s">
        <v>271</v>
      </c>
      <c r="Y837" t="s">
        <v>4226</v>
      </c>
      <c r="AA837" t="s">
        <v>4227</v>
      </c>
      <c r="AB837" t="s">
        <v>181</v>
      </c>
    </row>
    <row r="838" spans="1:28" x14ac:dyDescent="0.25">
      <c r="A838" t="s">
        <v>4119</v>
      </c>
      <c r="B838" t="s">
        <v>4120</v>
      </c>
      <c r="C838" t="s">
        <v>646</v>
      </c>
      <c r="D838" t="s">
        <v>3779</v>
      </c>
      <c r="E838" t="s">
        <v>647</v>
      </c>
      <c r="F838" t="s">
        <v>3780</v>
      </c>
      <c r="G838" t="s">
        <v>769</v>
      </c>
      <c r="H838" t="s">
        <v>1159</v>
      </c>
      <c r="I838" t="s">
        <v>1374</v>
      </c>
      <c r="J838" t="s">
        <v>441</v>
      </c>
      <c r="K838" t="s">
        <v>166</v>
      </c>
      <c r="L838" t="s">
        <v>0</v>
      </c>
      <c r="M838" t="s">
        <v>178</v>
      </c>
      <c r="N838">
        <v>3</v>
      </c>
      <c r="O838">
        <v>3</v>
      </c>
      <c r="P838">
        <v>28.68</v>
      </c>
      <c r="Q838">
        <v>147.19999999999999</v>
      </c>
      <c r="R838">
        <v>29.27</v>
      </c>
      <c r="S838">
        <v>40.4679</v>
      </c>
      <c r="T838">
        <v>0</v>
      </c>
      <c r="U838">
        <v>0</v>
      </c>
      <c r="V838">
        <v>29.27</v>
      </c>
      <c r="W838" t="s">
        <v>440</v>
      </c>
      <c r="X838" t="s">
        <v>271</v>
      </c>
      <c r="Y838" t="s">
        <v>4121</v>
      </c>
      <c r="AA838" t="s">
        <v>4122</v>
      </c>
      <c r="AB838" t="s">
        <v>181</v>
      </c>
    </row>
    <row r="839" spans="1:28" x14ac:dyDescent="0.25">
      <c r="A839" t="s">
        <v>4035</v>
      </c>
      <c r="B839" t="s">
        <v>4036</v>
      </c>
      <c r="C839" t="s">
        <v>646</v>
      </c>
      <c r="D839" t="s">
        <v>3779</v>
      </c>
      <c r="E839" t="s">
        <v>647</v>
      </c>
      <c r="F839" t="s">
        <v>3780</v>
      </c>
      <c r="G839" t="s">
        <v>769</v>
      </c>
      <c r="H839" t="s">
        <v>1159</v>
      </c>
      <c r="I839" t="s">
        <v>3464</v>
      </c>
      <c r="J839" t="s">
        <v>688</v>
      </c>
      <c r="K839" t="s">
        <v>166</v>
      </c>
      <c r="L839" t="s">
        <v>0</v>
      </c>
      <c r="M839" t="s">
        <v>178</v>
      </c>
      <c r="N839">
        <v>2</v>
      </c>
      <c r="O839">
        <v>2</v>
      </c>
      <c r="P839">
        <v>19.12</v>
      </c>
      <c r="Q839">
        <v>105.63</v>
      </c>
      <c r="R839">
        <v>27.01</v>
      </c>
      <c r="S839">
        <v>24.9786</v>
      </c>
      <c r="T839">
        <v>0</v>
      </c>
      <c r="U839">
        <v>0</v>
      </c>
      <c r="V839">
        <v>27.01</v>
      </c>
      <c r="W839" t="s">
        <v>0</v>
      </c>
      <c r="X839" t="s">
        <v>271</v>
      </c>
      <c r="Y839" t="s">
        <v>4037</v>
      </c>
      <c r="AA839" t="s">
        <v>4038</v>
      </c>
      <c r="AB839" t="s">
        <v>181</v>
      </c>
    </row>
    <row r="840" spans="1:28" x14ac:dyDescent="0.25">
      <c r="A840" t="s">
        <v>4370</v>
      </c>
      <c r="B840" t="s">
        <v>4371</v>
      </c>
      <c r="C840" t="s">
        <v>646</v>
      </c>
      <c r="D840" t="s">
        <v>3779</v>
      </c>
      <c r="E840" t="s">
        <v>647</v>
      </c>
      <c r="F840" t="s">
        <v>666</v>
      </c>
      <c r="G840" t="s">
        <v>666</v>
      </c>
      <c r="H840" t="s">
        <v>770</v>
      </c>
      <c r="I840" t="s">
        <v>4372</v>
      </c>
      <c r="J840" t="s">
        <v>355</v>
      </c>
      <c r="K840" t="s">
        <v>166</v>
      </c>
      <c r="L840" t="s">
        <v>0</v>
      </c>
      <c r="M840" t="s">
        <v>178</v>
      </c>
      <c r="N840">
        <v>2</v>
      </c>
      <c r="O840">
        <v>2</v>
      </c>
      <c r="P840">
        <v>24</v>
      </c>
      <c r="Q840">
        <v>37.14</v>
      </c>
      <c r="R840">
        <v>1.68</v>
      </c>
      <c r="S840">
        <v>6.7848646400000003</v>
      </c>
      <c r="T840">
        <v>0</v>
      </c>
      <c r="U840">
        <v>0</v>
      </c>
      <c r="V840">
        <v>1.68</v>
      </c>
      <c r="W840" t="s">
        <v>0</v>
      </c>
      <c r="X840" t="s">
        <v>271</v>
      </c>
      <c r="Y840" t="s">
        <v>4373</v>
      </c>
      <c r="AA840" t="s">
        <v>3894</v>
      </c>
      <c r="AB840" t="s">
        <v>181</v>
      </c>
    </row>
    <row r="841" spans="1:28" x14ac:dyDescent="0.25">
      <c r="A841" t="s">
        <v>3861</v>
      </c>
      <c r="B841" t="s">
        <v>3862</v>
      </c>
      <c r="C841" t="s">
        <v>646</v>
      </c>
      <c r="D841" t="s">
        <v>3779</v>
      </c>
      <c r="E841" t="s">
        <v>647</v>
      </c>
      <c r="F841" t="s">
        <v>3780</v>
      </c>
      <c r="G841" t="s">
        <v>769</v>
      </c>
      <c r="H841" t="s">
        <v>1171</v>
      </c>
      <c r="I841" t="s">
        <v>2065</v>
      </c>
      <c r="J841" t="s">
        <v>2066</v>
      </c>
      <c r="K841" t="s">
        <v>166</v>
      </c>
      <c r="L841" t="s">
        <v>0</v>
      </c>
      <c r="M841" t="s">
        <v>178</v>
      </c>
      <c r="N841">
        <v>71</v>
      </c>
      <c r="O841">
        <v>0</v>
      </c>
      <c r="P841">
        <v>5516.47</v>
      </c>
      <c r="Q841">
        <v>17805.240000000002</v>
      </c>
      <c r="R841">
        <v>2416.2199999999998</v>
      </c>
      <c r="S841">
        <v>475.24859750000002</v>
      </c>
      <c r="T841">
        <v>0</v>
      </c>
      <c r="U841">
        <v>0</v>
      </c>
      <c r="V841">
        <v>2416.2199999999998</v>
      </c>
      <c r="W841" t="s">
        <v>2067</v>
      </c>
      <c r="X841" t="s">
        <v>271</v>
      </c>
      <c r="Y841" t="s">
        <v>3863</v>
      </c>
      <c r="AA841" t="s">
        <v>3864</v>
      </c>
      <c r="AB841" t="s">
        <v>181</v>
      </c>
    </row>
    <row r="842" spans="1:28" x14ac:dyDescent="0.25">
      <c r="A842" t="s">
        <v>3888</v>
      </c>
      <c r="B842" t="s">
        <v>3889</v>
      </c>
      <c r="C842" t="s">
        <v>646</v>
      </c>
      <c r="D842" t="s">
        <v>3779</v>
      </c>
      <c r="E842" t="s">
        <v>647</v>
      </c>
      <c r="F842" t="s">
        <v>3780</v>
      </c>
      <c r="G842" t="s">
        <v>769</v>
      </c>
      <c r="H842" t="s">
        <v>717</v>
      </c>
      <c r="I842" t="s">
        <v>1368</v>
      </c>
      <c r="J842" t="s">
        <v>1369</v>
      </c>
      <c r="K842" t="s">
        <v>166</v>
      </c>
      <c r="L842" t="s">
        <v>0</v>
      </c>
      <c r="M842" t="s">
        <v>178</v>
      </c>
      <c r="N842">
        <v>10</v>
      </c>
      <c r="O842">
        <v>10</v>
      </c>
      <c r="P842">
        <v>574.9</v>
      </c>
      <c r="Q842">
        <v>1234.04</v>
      </c>
      <c r="R842">
        <v>77.47</v>
      </c>
      <c r="S842">
        <v>155.40363203000001</v>
      </c>
      <c r="T842">
        <v>0</v>
      </c>
      <c r="U842">
        <v>0</v>
      </c>
      <c r="V842">
        <v>77.47</v>
      </c>
      <c r="W842" t="s">
        <v>1370</v>
      </c>
      <c r="X842" t="s">
        <v>271</v>
      </c>
      <c r="Y842" t="s">
        <v>3890</v>
      </c>
      <c r="AA842" t="s">
        <v>3891</v>
      </c>
      <c r="AB842" t="s">
        <v>181</v>
      </c>
    </row>
    <row r="843" spans="1:28" x14ac:dyDescent="0.25">
      <c r="A843" t="s">
        <v>4167</v>
      </c>
      <c r="B843" t="s">
        <v>4168</v>
      </c>
      <c r="C843" t="s">
        <v>646</v>
      </c>
      <c r="D843" t="s">
        <v>3779</v>
      </c>
      <c r="E843" t="s">
        <v>647</v>
      </c>
      <c r="F843" t="s">
        <v>3780</v>
      </c>
      <c r="G843" t="s">
        <v>769</v>
      </c>
      <c r="H843" t="s">
        <v>1515</v>
      </c>
      <c r="I843" t="s">
        <v>4169</v>
      </c>
      <c r="J843" t="s">
        <v>662</v>
      </c>
      <c r="K843" t="s">
        <v>166</v>
      </c>
      <c r="L843" t="s">
        <v>0</v>
      </c>
      <c r="M843" t="s">
        <v>178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 t="s">
        <v>586</v>
      </c>
      <c r="X843" t="s">
        <v>271</v>
      </c>
      <c r="Y843" t="s">
        <v>4170</v>
      </c>
      <c r="AA843" t="s">
        <v>4171</v>
      </c>
      <c r="AB843" t="s">
        <v>181</v>
      </c>
    </row>
    <row r="844" spans="1:28" x14ac:dyDescent="0.25">
      <c r="A844" t="s">
        <v>4330</v>
      </c>
      <c r="B844" t="s">
        <v>4331</v>
      </c>
      <c r="C844" t="s">
        <v>646</v>
      </c>
      <c r="D844" t="s">
        <v>3779</v>
      </c>
      <c r="E844" t="s">
        <v>647</v>
      </c>
      <c r="F844" t="s">
        <v>666</v>
      </c>
      <c r="G844" t="s">
        <v>666</v>
      </c>
      <c r="H844" t="s">
        <v>649</v>
      </c>
      <c r="I844" t="s">
        <v>1513</v>
      </c>
      <c r="J844" t="s">
        <v>333</v>
      </c>
      <c r="K844" t="s">
        <v>166</v>
      </c>
      <c r="L844" t="s">
        <v>0</v>
      </c>
      <c r="M844" t="s">
        <v>178</v>
      </c>
      <c r="N844">
        <v>3</v>
      </c>
      <c r="O844">
        <v>3</v>
      </c>
      <c r="P844">
        <v>50.22</v>
      </c>
      <c r="Q844">
        <v>190.62</v>
      </c>
      <c r="R844">
        <v>4.22</v>
      </c>
      <c r="S844">
        <v>42.885277199999997</v>
      </c>
      <c r="T844">
        <v>0</v>
      </c>
      <c r="U844">
        <v>0</v>
      </c>
      <c r="V844">
        <v>4.22</v>
      </c>
      <c r="W844" t="s">
        <v>616</v>
      </c>
      <c r="X844" t="s">
        <v>271</v>
      </c>
      <c r="Y844" t="s">
        <v>4332</v>
      </c>
      <c r="AA844" t="s">
        <v>2421</v>
      </c>
      <c r="AB844" t="s">
        <v>181</v>
      </c>
    </row>
    <row r="845" spans="1:28" x14ac:dyDescent="0.25">
      <c r="A845" t="s">
        <v>4035</v>
      </c>
      <c r="B845" t="s">
        <v>4036</v>
      </c>
      <c r="C845" t="s">
        <v>646</v>
      </c>
      <c r="D845" t="s">
        <v>3779</v>
      </c>
      <c r="E845" t="s">
        <v>647</v>
      </c>
      <c r="F845" t="s">
        <v>3780</v>
      </c>
      <c r="G845" t="s">
        <v>769</v>
      </c>
      <c r="H845" t="s">
        <v>1515</v>
      </c>
      <c r="I845" t="s">
        <v>3464</v>
      </c>
      <c r="J845" t="s">
        <v>688</v>
      </c>
      <c r="K845" t="s">
        <v>166</v>
      </c>
      <c r="L845" t="s">
        <v>0</v>
      </c>
      <c r="M845" t="s">
        <v>178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 t="s">
        <v>0</v>
      </c>
      <c r="X845" t="s">
        <v>271</v>
      </c>
      <c r="Y845" t="s">
        <v>4037</v>
      </c>
      <c r="AA845" t="s">
        <v>4038</v>
      </c>
      <c r="AB845" t="s">
        <v>181</v>
      </c>
    </row>
    <row r="846" spans="1:28" x14ac:dyDescent="0.25">
      <c r="A846" t="s">
        <v>3905</v>
      </c>
      <c r="B846" t="s">
        <v>3906</v>
      </c>
      <c r="C846" t="s">
        <v>646</v>
      </c>
      <c r="D846" t="s">
        <v>3779</v>
      </c>
      <c r="E846" t="s">
        <v>647</v>
      </c>
      <c r="F846" t="s">
        <v>3780</v>
      </c>
      <c r="G846" t="s">
        <v>769</v>
      </c>
      <c r="H846" t="s">
        <v>1159</v>
      </c>
      <c r="I846" t="s">
        <v>3753</v>
      </c>
      <c r="J846" t="s">
        <v>489</v>
      </c>
      <c r="K846" t="s">
        <v>166</v>
      </c>
      <c r="L846" t="s">
        <v>0</v>
      </c>
      <c r="M846" t="s">
        <v>178</v>
      </c>
      <c r="N846">
        <v>1</v>
      </c>
      <c r="O846">
        <v>0</v>
      </c>
      <c r="P846">
        <v>10.199999999999999</v>
      </c>
      <c r="Q846">
        <v>77.22</v>
      </c>
      <c r="R846">
        <v>29.98</v>
      </c>
      <c r="S846">
        <v>2.2785954799999999</v>
      </c>
      <c r="T846">
        <v>0</v>
      </c>
      <c r="U846">
        <v>0</v>
      </c>
      <c r="V846">
        <v>29.98</v>
      </c>
      <c r="W846" t="s">
        <v>488</v>
      </c>
      <c r="X846" t="s">
        <v>271</v>
      </c>
      <c r="Y846" t="s">
        <v>3907</v>
      </c>
      <c r="AA846" t="s">
        <v>3908</v>
      </c>
      <c r="AB846" t="s">
        <v>181</v>
      </c>
    </row>
    <row r="847" spans="1:28" x14ac:dyDescent="0.25">
      <c r="A847" t="s">
        <v>4333</v>
      </c>
      <c r="B847" t="s">
        <v>4334</v>
      </c>
      <c r="C847" t="s">
        <v>646</v>
      </c>
      <c r="D847" t="s">
        <v>3779</v>
      </c>
      <c r="E847" t="s">
        <v>647</v>
      </c>
      <c r="F847" t="s">
        <v>666</v>
      </c>
      <c r="G847" t="s">
        <v>666</v>
      </c>
      <c r="H847" t="s">
        <v>683</v>
      </c>
      <c r="I847" t="s">
        <v>3649</v>
      </c>
      <c r="J847" t="s">
        <v>1567</v>
      </c>
      <c r="K847" t="s">
        <v>166</v>
      </c>
      <c r="L847" t="s">
        <v>0</v>
      </c>
      <c r="M847" t="s">
        <v>178</v>
      </c>
      <c r="N847">
        <v>890.64440000000002</v>
      </c>
      <c r="O847">
        <v>371</v>
      </c>
      <c r="P847">
        <v>14791.56</v>
      </c>
      <c r="Q847">
        <v>34610.550000000003</v>
      </c>
      <c r="R847">
        <v>3495.8730501999999</v>
      </c>
      <c r="S847">
        <v>4421.5276826099998</v>
      </c>
      <c r="T847">
        <v>564.90305020000005</v>
      </c>
      <c r="U847">
        <v>0</v>
      </c>
      <c r="V847">
        <v>3494.97</v>
      </c>
      <c r="W847" t="s">
        <v>556</v>
      </c>
      <c r="X847" t="s">
        <v>271</v>
      </c>
      <c r="Y847" t="s">
        <v>4335</v>
      </c>
      <c r="AA847" t="s">
        <v>4336</v>
      </c>
      <c r="AB847" t="s">
        <v>181</v>
      </c>
    </row>
    <row r="848" spans="1:28" x14ac:dyDescent="0.25">
      <c r="A848" t="s">
        <v>4337</v>
      </c>
      <c r="B848" t="s">
        <v>4338</v>
      </c>
      <c r="C848" t="s">
        <v>646</v>
      </c>
      <c r="D848" t="s">
        <v>3779</v>
      </c>
      <c r="E848" t="s">
        <v>647</v>
      </c>
      <c r="F848" t="s">
        <v>3780</v>
      </c>
      <c r="G848" t="s">
        <v>769</v>
      </c>
      <c r="H848" t="s">
        <v>708</v>
      </c>
      <c r="I848" t="s">
        <v>4339</v>
      </c>
      <c r="J848" t="s">
        <v>821</v>
      </c>
      <c r="K848" t="s">
        <v>166</v>
      </c>
      <c r="L848" t="s">
        <v>0</v>
      </c>
      <c r="M848" t="s">
        <v>178</v>
      </c>
      <c r="N848">
        <v>25.333400000000001</v>
      </c>
      <c r="O848">
        <v>25.333400000000001</v>
      </c>
      <c r="P848">
        <v>199.29</v>
      </c>
      <c r="Q848">
        <v>981.22</v>
      </c>
      <c r="R848">
        <v>110.41</v>
      </c>
      <c r="S848">
        <v>177.50624629000001</v>
      </c>
      <c r="T848">
        <v>0</v>
      </c>
      <c r="U848">
        <v>0</v>
      </c>
      <c r="V848">
        <v>110.41</v>
      </c>
      <c r="W848" t="s">
        <v>822</v>
      </c>
      <c r="X848" t="s">
        <v>269</v>
      </c>
      <c r="Y848" t="s">
        <v>4340</v>
      </c>
      <c r="AA848" t="s">
        <v>4341</v>
      </c>
      <c r="AB848" t="s">
        <v>181</v>
      </c>
    </row>
    <row r="849" spans="1:28" x14ac:dyDescent="0.25">
      <c r="A849" t="s">
        <v>3797</v>
      </c>
      <c r="B849" t="s">
        <v>3798</v>
      </c>
      <c r="C849" t="s">
        <v>646</v>
      </c>
      <c r="D849" t="s">
        <v>3779</v>
      </c>
      <c r="E849" t="s">
        <v>647</v>
      </c>
      <c r="F849" t="s">
        <v>3780</v>
      </c>
      <c r="G849" t="s">
        <v>769</v>
      </c>
      <c r="H849" t="s">
        <v>703</v>
      </c>
      <c r="I849" t="s">
        <v>725</v>
      </c>
      <c r="J849" t="s">
        <v>726</v>
      </c>
      <c r="K849" t="s">
        <v>166</v>
      </c>
      <c r="L849" t="s">
        <v>0</v>
      </c>
      <c r="M849" t="s">
        <v>178</v>
      </c>
      <c r="N849">
        <v>1874.6178</v>
      </c>
      <c r="O849">
        <v>737.75149999999996</v>
      </c>
      <c r="P849">
        <v>26520.78</v>
      </c>
      <c r="Q849">
        <v>59268.26</v>
      </c>
      <c r="R849">
        <v>4301.5507898799997</v>
      </c>
      <c r="S849">
        <v>9983.3849535099998</v>
      </c>
      <c r="T849">
        <v>93.480789880000003</v>
      </c>
      <c r="U849">
        <v>1102.4100000000001</v>
      </c>
      <c r="V849">
        <v>5402.98</v>
      </c>
      <c r="W849" t="s">
        <v>0</v>
      </c>
      <c r="X849" t="s">
        <v>271</v>
      </c>
      <c r="Y849" t="s">
        <v>3799</v>
      </c>
      <c r="AA849" t="s">
        <v>3800</v>
      </c>
      <c r="AB849" t="s">
        <v>181</v>
      </c>
    </row>
    <row r="850" spans="1:28" x14ac:dyDescent="0.25">
      <c r="A850" t="s">
        <v>4047</v>
      </c>
      <c r="B850" t="s">
        <v>4048</v>
      </c>
      <c r="C850" t="s">
        <v>646</v>
      </c>
      <c r="D850" t="s">
        <v>3779</v>
      </c>
      <c r="E850" t="s">
        <v>647</v>
      </c>
      <c r="F850" t="s">
        <v>666</v>
      </c>
      <c r="G850" t="s">
        <v>666</v>
      </c>
      <c r="H850" t="s">
        <v>761</v>
      </c>
      <c r="I850" t="s">
        <v>2292</v>
      </c>
      <c r="J850" t="s">
        <v>1847</v>
      </c>
      <c r="K850" t="s">
        <v>166</v>
      </c>
      <c r="L850" t="s">
        <v>0</v>
      </c>
      <c r="M850" t="s">
        <v>178</v>
      </c>
      <c r="N850">
        <v>58</v>
      </c>
      <c r="O850">
        <v>37</v>
      </c>
      <c r="P850">
        <v>2140.81</v>
      </c>
      <c r="Q850">
        <v>2252.5500000000002</v>
      </c>
      <c r="R850">
        <v>703.85</v>
      </c>
      <c r="S850">
        <v>263.61000625999998</v>
      </c>
      <c r="T850">
        <v>0</v>
      </c>
      <c r="U850">
        <v>0</v>
      </c>
      <c r="V850">
        <v>703.85</v>
      </c>
      <c r="W850" t="s">
        <v>1848</v>
      </c>
      <c r="X850" t="s">
        <v>269</v>
      </c>
      <c r="Y850" t="s">
        <v>4049</v>
      </c>
      <c r="AA850" t="s">
        <v>4050</v>
      </c>
      <c r="AB850" t="s">
        <v>181</v>
      </c>
    </row>
    <row r="851" spans="1:28" x14ac:dyDescent="0.25">
      <c r="A851" t="s">
        <v>3793</v>
      </c>
      <c r="B851" t="s">
        <v>3794</v>
      </c>
      <c r="C851" t="s">
        <v>646</v>
      </c>
      <c r="D851" t="s">
        <v>3779</v>
      </c>
      <c r="E851" t="s">
        <v>647</v>
      </c>
      <c r="F851" t="s">
        <v>666</v>
      </c>
      <c r="G851" t="s">
        <v>666</v>
      </c>
      <c r="H851" t="s">
        <v>909</v>
      </c>
      <c r="I851" t="s">
        <v>1712</v>
      </c>
      <c r="J851" t="s">
        <v>335</v>
      </c>
      <c r="K851" t="s">
        <v>166</v>
      </c>
      <c r="L851" t="s">
        <v>0</v>
      </c>
      <c r="M851" t="s">
        <v>178</v>
      </c>
      <c r="N851">
        <v>1104.9166</v>
      </c>
      <c r="O851">
        <v>1100.4166</v>
      </c>
      <c r="P851">
        <v>32276.78</v>
      </c>
      <c r="Q851">
        <v>29953.01</v>
      </c>
      <c r="R851">
        <v>5213.59552876</v>
      </c>
      <c r="S851">
        <v>5856.3710625599997</v>
      </c>
      <c r="T851">
        <v>0.30552876000000001</v>
      </c>
      <c r="U851">
        <v>0</v>
      </c>
      <c r="V851">
        <v>5213.29</v>
      </c>
      <c r="W851" t="s">
        <v>572</v>
      </c>
      <c r="X851" t="s">
        <v>271</v>
      </c>
      <c r="Y851" t="s">
        <v>3795</v>
      </c>
      <c r="AA851" t="s">
        <v>3796</v>
      </c>
      <c r="AB851" t="s">
        <v>181</v>
      </c>
    </row>
    <row r="852" spans="1:28" x14ac:dyDescent="0.25">
      <c r="A852" t="s">
        <v>4223</v>
      </c>
      <c r="B852" t="s">
        <v>4224</v>
      </c>
      <c r="C852" t="s">
        <v>646</v>
      </c>
      <c r="D852" t="s">
        <v>3779</v>
      </c>
      <c r="E852" t="s">
        <v>647</v>
      </c>
      <c r="F852" t="s">
        <v>3780</v>
      </c>
      <c r="G852" t="s">
        <v>769</v>
      </c>
      <c r="H852" t="s">
        <v>713</v>
      </c>
      <c r="I852" t="s">
        <v>4225</v>
      </c>
      <c r="J852" t="s">
        <v>336</v>
      </c>
      <c r="K852" t="s">
        <v>166</v>
      </c>
      <c r="L852" t="s">
        <v>0</v>
      </c>
      <c r="M852" t="s">
        <v>178</v>
      </c>
      <c r="N852">
        <v>157</v>
      </c>
      <c r="O852">
        <v>11</v>
      </c>
      <c r="P852">
        <v>4493.8100000000004</v>
      </c>
      <c r="Q852">
        <v>9833.65</v>
      </c>
      <c r="R852">
        <v>1855.6206073599999</v>
      </c>
      <c r="S852">
        <v>311.99249192000002</v>
      </c>
      <c r="T852">
        <v>17.420607360000002</v>
      </c>
      <c r="U852">
        <v>0</v>
      </c>
      <c r="V852">
        <v>1838.2</v>
      </c>
      <c r="W852" t="s">
        <v>461</v>
      </c>
      <c r="X852" t="s">
        <v>271</v>
      </c>
      <c r="Y852" t="s">
        <v>4226</v>
      </c>
      <c r="AA852" t="s">
        <v>4227</v>
      </c>
      <c r="AB852" t="s">
        <v>181</v>
      </c>
    </row>
    <row r="853" spans="1:28" x14ac:dyDescent="0.25">
      <c r="A853" t="s">
        <v>4232</v>
      </c>
      <c r="B853" t="s">
        <v>4233</v>
      </c>
      <c r="C853" t="s">
        <v>646</v>
      </c>
      <c r="D853" t="s">
        <v>3779</v>
      </c>
      <c r="E853" t="s">
        <v>647</v>
      </c>
      <c r="F853" t="s">
        <v>3780</v>
      </c>
      <c r="G853" t="s">
        <v>769</v>
      </c>
      <c r="H853" t="s">
        <v>770</v>
      </c>
      <c r="I853" t="s">
        <v>1296</v>
      </c>
      <c r="J853" t="s">
        <v>996</v>
      </c>
      <c r="K853" t="s">
        <v>166</v>
      </c>
      <c r="L853" t="s">
        <v>0</v>
      </c>
      <c r="M853" t="s">
        <v>178</v>
      </c>
      <c r="N853">
        <v>573.79999999999995</v>
      </c>
      <c r="O853">
        <v>225.8</v>
      </c>
      <c r="P853">
        <v>24773.17</v>
      </c>
      <c r="Q853">
        <v>11754.98</v>
      </c>
      <c r="R853">
        <v>1095.5649721</v>
      </c>
      <c r="S853">
        <v>1729.17856039</v>
      </c>
      <c r="T853">
        <v>0.39497209999999999</v>
      </c>
      <c r="U853">
        <v>0</v>
      </c>
      <c r="V853">
        <v>1095.17</v>
      </c>
      <c r="W853" t="s">
        <v>1683</v>
      </c>
      <c r="X853" t="s">
        <v>271</v>
      </c>
      <c r="Y853" t="s">
        <v>4234</v>
      </c>
      <c r="AA853" t="s">
        <v>4235</v>
      </c>
      <c r="AB853" t="s">
        <v>181</v>
      </c>
    </row>
    <row r="854" spans="1:28" x14ac:dyDescent="0.25">
      <c r="A854" t="s">
        <v>4117</v>
      </c>
      <c r="B854" t="s">
        <v>4118</v>
      </c>
      <c r="C854" t="s">
        <v>646</v>
      </c>
      <c r="D854" t="s">
        <v>3779</v>
      </c>
      <c r="E854" t="s">
        <v>647</v>
      </c>
      <c r="F854" t="s">
        <v>3780</v>
      </c>
      <c r="G854" t="s">
        <v>769</v>
      </c>
      <c r="H854" t="s">
        <v>802</v>
      </c>
      <c r="I854" t="s">
        <v>1190</v>
      </c>
      <c r="J854" t="s">
        <v>1191</v>
      </c>
      <c r="K854" t="s">
        <v>166</v>
      </c>
      <c r="L854" t="s">
        <v>0</v>
      </c>
      <c r="M854" t="s">
        <v>178</v>
      </c>
      <c r="N854">
        <v>80</v>
      </c>
      <c r="O854">
        <v>60</v>
      </c>
      <c r="P854">
        <v>988.84</v>
      </c>
      <c r="Q854">
        <v>3871.46</v>
      </c>
      <c r="R854">
        <v>269.33</v>
      </c>
      <c r="S854">
        <v>465.96843643</v>
      </c>
      <c r="T854">
        <v>0</v>
      </c>
      <c r="U854">
        <v>0</v>
      </c>
      <c r="V854">
        <v>269.33</v>
      </c>
      <c r="W854" t="s">
        <v>282</v>
      </c>
      <c r="X854" t="s">
        <v>271</v>
      </c>
      <c r="Y854" t="s">
        <v>2170</v>
      </c>
      <c r="AA854" t="s">
        <v>2171</v>
      </c>
      <c r="AB854" t="s">
        <v>181</v>
      </c>
    </row>
    <row r="855" spans="1:28" x14ac:dyDescent="0.25">
      <c r="A855" t="s">
        <v>4031</v>
      </c>
      <c r="B855" t="s">
        <v>4032</v>
      </c>
      <c r="C855" t="s">
        <v>646</v>
      </c>
      <c r="D855" t="s">
        <v>3779</v>
      </c>
      <c r="E855" t="s">
        <v>647</v>
      </c>
      <c r="F855" t="s">
        <v>3780</v>
      </c>
      <c r="G855" t="s">
        <v>769</v>
      </c>
      <c r="H855" t="s">
        <v>802</v>
      </c>
      <c r="I855" t="s">
        <v>1513</v>
      </c>
      <c r="J855" t="s">
        <v>333</v>
      </c>
      <c r="K855" t="s">
        <v>166</v>
      </c>
      <c r="L855" t="s">
        <v>0</v>
      </c>
      <c r="M855" t="s">
        <v>178</v>
      </c>
      <c r="N855">
        <v>1313.2916</v>
      </c>
      <c r="O855">
        <v>1138.125</v>
      </c>
      <c r="P855">
        <v>18704.63</v>
      </c>
      <c r="Q855">
        <v>54918.29</v>
      </c>
      <c r="R855">
        <v>3341.36</v>
      </c>
      <c r="S855">
        <v>7743.5062154300003</v>
      </c>
      <c r="T855">
        <v>0</v>
      </c>
      <c r="U855">
        <v>1056.96</v>
      </c>
      <c r="V855">
        <v>4398.32</v>
      </c>
      <c r="W855" t="s">
        <v>718</v>
      </c>
      <c r="X855" t="s">
        <v>271</v>
      </c>
      <c r="Y855" t="s">
        <v>4033</v>
      </c>
      <c r="AA855" t="s">
        <v>4034</v>
      </c>
      <c r="AB855" t="s">
        <v>181</v>
      </c>
    </row>
    <row r="856" spans="1:28" x14ac:dyDescent="0.25">
      <c r="A856" t="s">
        <v>4280</v>
      </c>
      <c r="B856" t="s">
        <v>4281</v>
      </c>
      <c r="C856" t="s">
        <v>646</v>
      </c>
      <c r="D856" t="s">
        <v>3779</v>
      </c>
      <c r="E856" t="s">
        <v>647</v>
      </c>
      <c r="F856" t="s">
        <v>3780</v>
      </c>
      <c r="G856" t="s">
        <v>769</v>
      </c>
      <c r="H856" t="s">
        <v>1175</v>
      </c>
      <c r="I856" t="s">
        <v>1872</v>
      </c>
      <c r="J856" t="s">
        <v>1873</v>
      </c>
      <c r="K856" t="s">
        <v>166</v>
      </c>
      <c r="L856" t="s">
        <v>0</v>
      </c>
      <c r="M856" t="s">
        <v>178</v>
      </c>
      <c r="N856">
        <v>14</v>
      </c>
      <c r="O856">
        <v>14</v>
      </c>
      <c r="P856">
        <v>224</v>
      </c>
      <c r="Q856">
        <v>494.14</v>
      </c>
      <c r="R856">
        <v>109.02</v>
      </c>
      <c r="S856">
        <v>56.363552830000003</v>
      </c>
      <c r="T856">
        <v>0</v>
      </c>
      <c r="U856">
        <v>0</v>
      </c>
      <c r="V856">
        <v>109.02</v>
      </c>
      <c r="W856" t="s">
        <v>1874</v>
      </c>
      <c r="X856" t="s">
        <v>271</v>
      </c>
      <c r="Y856" t="s">
        <v>4282</v>
      </c>
      <c r="AA856" t="s">
        <v>4283</v>
      </c>
      <c r="AB856" t="s">
        <v>181</v>
      </c>
    </row>
    <row r="857" spans="1:28" x14ac:dyDescent="0.25">
      <c r="A857" t="s">
        <v>4098</v>
      </c>
      <c r="B857" t="s">
        <v>4099</v>
      </c>
      <c r="C857" t="s">
        <v>646</v>
      </c>
      <c r="D857" t="s">
        <v>3779</v>
      </c>
      <c r="E857" t="s">
        <v>647</v>
      </c>
      <c r="F857" t="s">
        <v>666</v>
      </c>
      <c r="G857" t="s">
        <v>666</v>
      </c>
      <c r="H857" t="s">
        <v>1175</v>
      </c>
      <c r="I857" t="s">
        <v>765</v>
      </c>
      <c r="J857" t="s">
        <v>436</v>
      </c>
      <c r="K857" t="s">
        <v>166</v>
      </c>
      <c r="L857" t="s">
        <v>0</v>
      </c>
      <c r="M857" t="s">
        <v>178</v>
      </c>
      <c r="N857">
        <v>17</v>
      </c>
      <c r="O857">
        <v>17</v>
      </c>
      <c r="P857">
        <v>272</v>
      </c>
      <c r="Q857">
        <v>525.77</v>
      </c>
      <c r="R857">
        <v>63.13</v>
      </c>
      <c r="S857">
        <v>68.695889149999999</v>
      </c>
      <c r="T857">
        <v>0</v>
      </c>
      <c r="U857">
        <v>0</v>
      </c>
      <c r="V857">
        <v>63.13</v>
      </c>
      <c r="W857" t="s">
        <v>0</v>
      </c>
      <c r="X857" t="s">
        <v>271</v>
      </c>
      <c r="Y857" t="s">
        <v>4100</v>
      </c>
      <c r="AA857" t="s">
        <v>4101</v>
      </c>
      <c r="AB857" t="s">
        <v>181</v>
      </c>
    </row>
    <row r="858" spans="1:28" x14ac:dyDescent="0.25">
      <c r="A858" t="s">
        <v>3823</v>
      </c>
      <c r="B858" t="s">
        <v>3824</v>
      </c>
      <c r="C858" t="s">
        <v>646</v>
      </c>
      <c r="D858" t="s">
        <v>3779</v>
      </c>
      <c r="E858" t="s">
        <v>647</v>
      </c>
      <c r="F858" t="s">
        <v>3780</v>
      </c>
      <c r="G858" t="s">
        <v>769</v>
      </c>
      <c r="H858" t="s">
        <v>962</v>
      </c>
      <c r="I858" t="s">
        <v>1801</v>
      </c>
      <c r="J858" t="s">
        <v>437</v>
      </c>
      <c r="K858" t="s">
        <v>166</v>
      </c>
      <c r="L858" t="s">
        <v>0</v>
      </c>
      <c r="M858" t="s">
        <v>178</v>
      </c>
      <c r="N858">
        <v>41</v>
      </c>
      <c r="O858">
        <v>28</v>
      </c>
      <c r="P858">
        <v>718.7</v>
      </c>
      <c r="Q858">
        <v>2272.8200000000002</v>
      </c>
      <c r="R858">
        <v>287.63444390000001</v>
      </c>
      <c r="S858">
        <v>187.10327509999999</v>
      </c>
      <c r="T858">
        <v>4.4438999999999998E-3</v>
      </c>
      <c r="U858">
        <v>0</v>
      </c>
      <c r="V858">
        <v>287.63</v>
      </c>
      <c r="W858" t="s">
        <v>510</v>
      </c>
      <c r="X858" t="s">
        <v>271</v>
      </c>
      <c r="Y858" t="s">
        <v>3825</v>
      </c>
      <c r="AA858" t="s">
        <v>3826</v>
      </c>
      <c r="AB858" t="s">
        <v>181</v>
      </c>
    </row>
    <row r="859" spans="1:28" x14ac:dyDescent="0.25">
      <c r="A859" t="s">
        <v>4011</v>
      </c>
      <c r="B859" t="s">
        <v>4012</v>
      </c>
      <c r="C859" t="s">
        <v>646</v>
      </c>
      <c r="D859" t="s">
        <v>3779</v>
      </c>
      <c r="E859" t="s">
        <v>647</v>
      </c>
      <c r="F859" t="s">
        <v>3780</v>
      </c>
      <c r="G859" t="s">
        <v>769</v>
      </c>
      <c r="H859" t="s">
        <v>909</v>
      </c>
      <c r="I859" t="s">
        <v>2142</v>
      </c>
      <c r="J859" t="s">
        <v>1924</v>
      </c>
      <c r="K859" t="s">
        <v>166</v>
      </c>
      <c r="L859" t="s">
        <v>0</v>
      </c>
      <c r="M859" t="s">
        <v>178</v>
      </c>
      <c r="N859">
        <v>38</v>
      </c>
      <c r="O859">
        <v>38</v>
      </c>
      <c r="P859">
        <v>1306</v>
      </c>
      <c r="Q859">
        <v>788.26</v>
      </c>
      <c r="R859">
        <v>84.58</v>
      </c>
      <c r="S859">
        <v>151.32047918000001</v>
      </c>
      <c r="T859">
        <v>0</v>
      </c>
      <c r="U859">
        <v>0</v>
      </c>
      <c r="V859">
        <v>84.58</v>
      </c>
      <c r="W859" t="s">
        <v>1925</v>
      </c>
      <c r="X859" t="s">
        <v>271</v>
      </c>
      <c r="Y859" t="s">
        <v>4013</v>
      </c>
      <c r="AA859" t="s">
        <v>4014</v>
      </c>
      <c r="AB859" t="s">
        <v>181</v>
      </c>
    </row>
    <row r="860" spans="1:28" x14ac:dyDescent="0.25">
      <c r="A860" t="s">
        <v>4078</v>
      </c>
      <c r="B860" t="s">
        <v>4079</v>
      </c>
      <c r="C860" t="s">
        <v>646</v>
      </c>
      <c r="D860" t="s">
        <v>3779</v>
      </c>
      <c r="E860" t="s">
        <v>647</v>
      </c>
      <c r="F860" t="s">
        <v>3780</v>
      </c>
      <c r="G860" t="s">
        <v>769</v>
      </c>
      <c r="H860" t="s">
        <v>708</v>
      </c>
      <c r="I860" t="s">
        <v>885</v>
      </c>
      <c r="J860" t="s">
        <v>324</v>
      </c>
      <c r="K860" t="s">
        <v>166</v>
      </c>
      <c r="L860" t="s">
        <v>0</v>
      </c>
      <c r="M860" t="s">
        <v>178</v>
      </c>
      <c r="N860">
        <v>2</v>
      </c>
      <c r="O860">
        <v>1</v>
      </c>
      <c r="P860">
        <v>2.25</v>
      </c>
      <c r="Q860">
        <v>21.44</v>
      </c>
      <c r="R860">
        <v>3.78</v>
      </c>
      <c r="S860">
        <v>6.2147268100000002</v>
      </c>
      <c r="T860">
        <v>0</v>
      </c>
      <c r="U860">
        <v>0</v>
      </c>
      <c r="V860">
        <v>3.78</v>
      </c>
      <c r="W860" t="s">
        <v>519</v>
      </c>
      <c r="X860" t="s">
        <v>271</v>
      </c>
      <c r="Y860" t="s">
        <v>4080</v>
      </c>
      <c r="AA860" t="s">
        <v>4081</v>
      </c>
      <c r="AB860" t="s">
        <v>181</v>
      </c>
    </row>
    <row r="861" spans="1:28" x14ac:dyDescent="0.25">
      <c r="A861" t="s">
        <v>3981</v>
      </c>
      <c r="B861" t="s">
        <v>3982</v>
      </c>
      <c r="C861" t="s">
        <v>646</v>
      </c>
      <c r="D861" t="s">
        <v>3779</v>
      </c>
      <c r="E861" t="s">
        <v>647</v>
      </c>
      <c r="F861" t="s">
        <v>3780</v>
      </c>
      <c r="G861" t="s">
        <v>769</v>
      </c>
      <c r="H861" t="s">
        <v>757</v>
      </c>
      <c r="I861" t="s">
        <v>2384</v>
      </c>
      <c r="J861" t="s">
        <v>447</v>
      </c>
      <c r="K861" t="s">
        <v>166</v>
      </c>
      <c r="L861" t="s">
        <v>0</v>
      </c>
      <c r="M861" t="s">
        <v>178</v>
      </c>
      <c r="N861">
        <v>1313.5102999999999</v>
      </c>
      <c r="O861">
        <v>853.51030000000003</v>
      </c>
      <c r="P861">
        <v>26076.54</v>
      </c>
      <c r="Q861">
        <v>30961.83</v>
      </c>
      <c r="R861">
        <v>129.59483021</v>
      </c>
      <c r="S861">
        <v>6229.1786096400001</v>
      </c>
      <c r="T861">
        <v>6073.4248302100004</v>
      </c>
      <c r="U861">
        <v>2568.46</v>
      </c>
      <c r="V861">
        <v>3339.53</v>
      </c>
      <c r="W861" t="s">
        <v>446</v>
      </c>
      <c r="X861" t="s">
        <v>271</v>
      </c>
      <c r="Y861" t="s">
        <v>3983</v>
      </c>
      <c r="AA861" t="s">
        <v>3984</v>
      </c>
      <c r="AB861" t="s">
        <v>181</v>
      </c>
    </row>
    <row r="862" spans="1:28" x14ac:dyDescent="0.25">
      <c r="A862" t="s">
        <v>4172</v>
      </c>
      <c r="B862" t="s">
        <v>4173</v>
      </c>
      <c r="C862" t="s">
        <v>646</v>
      </c>
      <c r="D862" t="s">
        <v>3779</v>
      </c>
      <c r="E862" t="s">
        <v>647</v>
      </c>
      <c r="F862" t="s">
        <v>3780</v>
      </c>
      <c r="G862" t="s">
        <v>769</v>
      </c>
      <c r="H862" t="s">
        <v>770</v>
      </c>
      <c r="I862" t="s">
        <v>1801</v>
      </c>
      <c r="J862" t="s">
        <v>437</v>
      </c>
      <c r="K862" t="s">
        <v>166</v>
      </c>
      <c r="L862" t="s">
        <v>0</v>
      </c>
      <c r="M862" t="s">
        <v>178</v>
      </c>
      <c r="N862">
        <v>73.5</v>
      </c>
      <c r="O862">
        <v>40.5</v>
      </c>
      <c r="P862">
        <v>1192</v>
      </c>
      <c r="Q862">
        <v>1576.72</v>
      </c>
      <c r="R862">
        <v>309.93</v>
      </c>
      <c r="S862">
        <v>201.53032185000001</v>
      </c>
      <c r="T862">
        <v>0</v>
      </c>
      <c r="U862">
        <v>0</v>
      </c>
      <c r="V862">
        <v>309.93</v>
      </c>
      <c r="W862" t="s">
        <v>510</v>
      </c>
      <c r="X862" t="s">
        <v>271</v>
      </c>
      <c r="Y862" t="s">
        <v>4174</v>
      </c>
      <c r="Z862" t="s">
        <v>4175</v>
      </c>
      <c r="AA862" t="s">
        <v>4176</v>
      </c>
      <c r="AB862" t="s">
        <v>181</v>
      </c>
    </row>
    <row r="863" spans="1:28" x14ac:dyDescent="0.25">
      <c r="A863" t="s">
        <v>4102</v>
      </c>
      <c r="B863" t="s">
        <v>4103</v>
      </c>
      <c r="C863" t="s">
        <v>646</v>
      </c>
      <c r="D863" t="s">
        <v>3779</v>
      </c>
      <c r="E863" t="s">
        <v>647</v>
      </c>
      <c r="F863" t="s">
        <v>3780</v>
      </c>
      <c r="G863" t="s">
        <v>769</v>
      </c>
      <c r="H863" t="s">
        <v>962</v>
      </c>
      <c r="I863" t="s">
        <v>4104</v>
      </c>
      <c r="J863" t="s">
        <v>4105</v>
      </c>
      <c r="K863" t="s">
        <v>166</v>
      </c>
      <c r="L863" t="s">
        <v>0</v>
      </c>
      <c r="M863" t="s">
        <v>178</v>
      </c>
      <c r="N863">
        <v>537</v>
      </c>
      <c r="O863">
        <v>132</v>
      </c>
      <c r="P863">
        <v>8330.5</v>
      </c>
      <c r="Q863">
        <v>34681.42</v>
      </c>
      <c r="R863">
        <v>4383.5523034899998</v>
      </c>
      <c r="S863">
        <v>1293.01869859</v>
      </c>
      <c r="T863">
        <v>0.55230349000000001</v>
      </c>
      <c r="U863">
        <v>0</v>
      </c>
      <c r="V863">
        <v>4383</v>
      </c>
      <c r="W863" t="s">
        <v>4106</v>
      </c>
      <c r="X863" t="s">
        <v>269</v>
      </c>
      <c r="Y863" t="s">
        <v>4107</v>
      </c>
      <c r="AA863" t="s">
        <v>4108</v>
      </c>
      <c r="AB863" t="s">
        <v>181</v>
      </c>
    </row>
    <row r="864" spans="1:28" x14ac:dyDescent="0.25">
      <c r="A864" t="s">
        <v>4361</v>
      </c>
      <c r="B864" t="s">
        <v>4362</v>
      </c>
      <c r="C864" t="s">
        <v>646</v>
      </c>
      <c r="D864" t="s">
        <v>3779</v>
      </c>
      <c r="E864" t="s">
        <v>647</v>
      </c>
      <c r="F864" t="s">
        <v>3780</v>
      </c>
      <c r="G864" t="s">
        <v>769</v>
      </c>
      <c r="H864" t="s">
        <v>717</v>
      </c>
      <c r="I864" t="s">
        <v>1712</v>
      </c>
      <c r="J864" t="s">
        <v>335</v>
      </c>
      <c r="K864" t="s">
        <v>166</v>
      </c>
      <c r="L864" t="s">
        <v>0</v>
      </c>
      <c r="M864" t="s">
        <v>178</v>
      </c>
      <c r="N864">
        <v>8</v>
      </c>
      <c r="O864">
        <v>2</v>
      </c>
      <c r="P864">
        <v>126</v>
      </c>
      <c r="Q864">
        <v>460.11</v>
      </c>
      <c r="R864">
        <v>100.11</v>
      </c>
      <c r="S864">
        <v>8.8798326200000002</v>
      </c>
      <c r="T864">
        <v>0</v>
      </c>
      <c r="U864">
        <v>0</v>
      </c>
      <c r="V864">
        <v>100.11</v>
      </c>
      <c r="W864" t="s">
        <v>572</v>
      </c>
      <c r="X864" t="s">
        <v>271</v>
      </c>
      <c r="Y864" t="s">
        <v>4363</v>
      </c>
      <c r="AA864" t="s">
        <v>4364</v>
      </c>
      <c r="AB864" t="s">
        <v>181</v>
      </c>
    </row>
    <row r="865" spans="1:28" x14ac:dyDescent="0.25">
      <c r="A865" t="s">
        <v>4162</v>
      </c>
      <c r="B865" t="s">
        <v>4163</v>
      </c>
      <c r="C865" t="s">
        <v>646</v>
      </c>
      <c r="D865" t="s">
        <v>3779</v>
      </c>
      <c r="E865" t="s">
        <v>647</v>
      </c>
      <c r="F865" t="s">
        <v>3780</v>
      </c>
      <c r="G865" t="s">
        <v>769</v>
      </c>
      <c r="H865" t="s">
        <v>683</v>
      </c>
      <c r="I865" t="s">
        <v>4164</v>
      </c>
      <c r="J865" t="s">
        <v>985</v>
      </c>
      <c r="K865" t="s">
        <v>166</v>
      </c>
      <c r="L865" t="s">
        <v>0</v>
      </c>
      <c r="M865" t="s">
        <v>178</v>
      </c>
      <c r="N865">
        <v>251.25</v>
      </c>
      <c r="O865">
        <v>226.25</v>
      </c>
      <c r="P865">
        <v>5909.06</v>
      </c>
      <c r="Q865">
        <v>7954.7</v>
      </c>
      <c r="R865">
        <v>468.14023501000003</v>
      </c>
      <c r="S865">
        <v>2648.6613694600001</v>
      </c>
      <c r="T865">
        <v>6.0235009999999999E-2</v>
      </c>
      <c r="U865">
        <v>0</v>
      </c>
      <c r="V865">
        <v>468.08</v>
      </c>
      <c r="W865" t="s">
        <v>986</v>
      </c>
      <c r="X865" t="s">
        <v>271</v>
      </c>
      <c r="Y865" t="s">
        <v>4165</v>
      </c>
      <c r="AA865" t="s">
        <v>4166</v>
      </c>
      <c r="AB865" t="s">
        <v>181</v>
      </c>
    </row>
    <row r="866" spans="1:28" x14ac:dyDescent="0.25">
      <c r="A866" t="s">
        <v>4179</v>
      </c>
      <c r="B866" t="s">
        <v>4180</v>
      </c>
      <c r="C866" t="s">
        <v>646</v>
      </c>
      <c r="D866" t="s">
        <v>3779</v>
      </c>
      <c r="E866" t="s">
        <v>647</v>
      </c>
      <c r="F866" t="s">
        <v>3780</v>
      </c>
      <c r="G866" t="s">
        <v>769</v>
      </c>
      <c r="H866" t="s">
        <v>802</v>
      </c>
      <c r="I866" t="s">
        <v>4181</v>
      </c>
      <c r="J866" t="s">
        <v>816</v>
      </c>
      <c r="K866" t="s">
        <v>166</v>
      </c>
      <c r="L866" t="s">
        <v>0</v>
      </c>
      <c r="M866" t="s">
        <v>178</v>
      </c>
      <c r="N866">
        <v>71.166700000000006</v>
      </c>
      <c r="O866">
        <v>45.166699999999999</v>
      </c>
      <c r="P866">
        <v>911.18</v>
      </c>
      <c r="Q866">
        <v>3753.31</v>
      </c>
      <c r="R866">
        <v>888.43</v>
      </c>
      <c r="S866">
        <v>272.08382712000002</v>
      </c>
      <c r="T866">
        <v>0</v>
      </c>
      <c r="U866">
        <v>0</v>
      </c>
      <c r="V866">
        <v>888.43</v>
      </c>
      <c r="W866" t="s">
        <v>1490</v>
      </c>
      <c r="X866" t="s">
        <v>271</v>
      </c>
      <c r="Y866" t="s">
        <v>4182</v>
      </c>
      <c r="AA866" t="s">
        <v>4183</v>
      </c>
      <c r="AB866" t="s">
        <v>181</v>
      </c>
    </row>
    <row r="867" spans="1:28" x14ac:dyDescent="0.25">
      <c r="A867" t="s">
        <v>4223</v>
      </c>
      <c r="B867" t="s">
        <v>4224</v>
      </c>
      <c r="C867" t="s">
        <v>646</v>
      </c>
      <c r="D867" t="s">
        <v>3779</v>
      </c>
      <c r="E867" t="s">
        <v>647</v>
      </c>
      <c r="F867" t="s">
        <v>3780</v>
      </c>
      <c r="G867" t="s">
        <v>769</v>
      </c>
      <c r="H867" t="s">
        <v>703</v>
      </c>
      <c r="I867" t="s">
        <v>4225</v>
      </c>
      <c r="J867" t="s">
        <v>336</v>
      </c>
      <c r="K867" t="s">
        <v>166</v>
      </c>
      <c r="L867" t="s">
        <v>0</v>
      </c>
      <c r="M867" t="s">
        <v>178</v>
      </c>
      <c r="N867">
        <v>141.00020000000001</v>
      </c>
      <c r="O867">
        <v>116.1669</v>
      </c>
      <c r="P867">
        <v>3868.59</v>
      </c>
      <c r="Q867">
        <v>6170.28</v>
      </c>
      <c r="R867">
        <v>1674.4975948399999</v>
      </c>
      <c r="S867">
        <v>1209.28729015</v>
      </c>
      <c r="T867">
        <v>3.7594839999999997E-2</v>
      </c>
      <c r="U867">
        <v>0</v>
      </c>
      <c r="V867">
        <v>1674.46</v>
      </c>
      <c r="W867" t="s">
        <v>461</v>
      </c>
      <c r="X867" t="s">
        <v>271</v>
      </c>
      <c r="Y867" t="s">
        <v>4226</v>
      </c>
      <c r="AA867" t="s">
        <v>4227</v>
      </c>
      <c r="AB867" t="s">
        <v>181</v>
      </c>
    </row>
    <row r="868" spans="1:28" x14ac:dyDescent="0.25">
      <c r="A868" t="s">
        <v>3865</v>
      </c>
      <c r="B868" t="s">
        <v>3866</v>
      </c>
      <c r="C868" t="s">
        <v>646</v>
      </c>
      <c r="D868" t="s">
        <v>3779</v>
      </c>
      <c r="E868" t="s">
        <v>647</v>
      </c>
      <c r="F868" t="s">
        <v>3780</v>
      </c>
      <c r="G868" t="s">
        <v>769</v>
      </c>
      <c r="H868" t="s">
        <v>797</v>
      </c>
      <c r="I868" t="s">
        <v>3867</v>
      </c>
      <c r="J868" t="s">
        <v>881</v>
      </c>
      <c r="K868" t="s">
        <v>166</v>
      </c>
      <c r="L868" t="s">
        <v>0</v>
      </c>
      <c r="M868" t="s">
        <v>178</v>
      </c>
      <c r="N868">
        <v>29</v>
      </c>
      <c r="O868">
        <v>10</v>
      </c>
      <c r="P868">
        <v>304</v>
      </c>
      <c r="Q868">
        <v>1515.53</v>
      </c>
      <c r="R868">
        <v>389.32</v>
      </c>
      <c r="S868">
        <v>87.447749810000005</v>
      </c>
      <c r="T868">
        <v>0</v>
      </c>
      <c r="U868">
        <v>0</v>
      </c>
      <c r="V868">
        <v>389.32</v>
      </c>
      <c r="W868" t="s">
        <v>0</v>
      </c>
      <c r="X868" t="s">
        <v>271</v>
      </c>
      <c r="Y868" t="s">
        <v>3868</v>
      </c>
      <c r="AA868" t="s">
        <v>3869</v>
      </c>
      <c r="AB868" t="s">
        <v>181</v>
      </c>
    </row>
    <row r="869" spans="1:28" x14ac:dyDescent="0.25">
      <c r="A869" t="s">
        <v>4216</v>
      </c>
      <c r="B869" t="s">
        <v>4217</v>
      </c>
      <c r="C869" t="s">
        <v>646</v>
      </c>
      <c r="D869" t="s">
        <v>3779</v>
      </c>
      <c r="E869" t="s">
        <v>647</v>
      </c>
      <c r="F869" t="s">
        <v>666</v>
      </c>
      <c r="G869" t="s">
        <v>666</v>
      </c>
      <c r="H869" t="s">
        <v>757</v>
      </c>
      <c r="I869" t="s">
        <v>1636</v>
      </c>
      <c r="J869" t="s">
        <v>1637</v>
      </c>
      <c r="K869" t="s">
        <v>166</v>
      </c>
      <c r="L869" t="s">
        <v>0</v>
      </c>
      <c r="M869" t="s">
        <v>178</v>
      </c>
      <c r="N869">
        <v>138</v>
      </c>
      <c r="O869">
        <v>138</v>
      </c>
      <c r="P869">
        <v>3663.36</v>
      </c>
      <c r="Q869">
        <v>3297.21</v>
      </c>
      <c r="R869">
        <v>-178.81</v>
      </c>
      <c r="S869">
        <v>1065.2200304600001</v>
      </c>
      <c r="T869">
        <v>156.11000000000001</v>
      </c>
      <c r="U869">
        <v>436.15</v>
      </c>
      <c r="V869">
        <v>304.10000000000002</v>
      </c>
      <c r="W869" t="s">
        <v>1638</v>
      </c>
      <c r="X869" t="s">
        <v>271</v>
      </c>
      <c r="Y869" t="s">
        <v>1639</v>
      </c>
      <c r="AA869" t="s">
        <v>4218</v>
      </c>
      <c r="AB869" t="s">
        <v>181</v>
      </c>
    </row>
    <row r="870" spans="1:28" x14ac:dyDescent="0.25">
      <c r="A870" t="s">
        <v>3793</v>
      </c>
      <c r="B870" t="s">
        <v>3794</v>
      </c>
      <c r="C870" t="s">
        <v>646</v>
      </c>
      <c r="D870" t="s">
        <v>3779</v>
      </c>
      <c r="E870" t="s">
        <v>647</v>
      </c>
      <c r="F870" t="s">
        <v>666</v>
      </c>
      <c r="G870" t="s">
        <v>666</v>
      </c>
      <c r="H870" t="s">
        <v>962</v>
      </c>
      <c r="I870" t="s">
        <v>1712</v>
      </c>
      <c r="J870" t="s">
        <v>335</v>
      </c>
      <c r="K870" t="s">
        <v>166</v>
      </c>
      <c r="L870" t="s">
        <v>0</v>
      </c>
      <c r="M870" t="s">
        <v>178</v>
      </c>
      <c r="N870">
        <v>648</v>
      </c>
      <c r="O870">
        <v>394</v>
      </c>
      <c r="P870">
        <v>18335.5</v>
      </c>
      <c r="Q870">
        <v>60882.19</v>
      </c>
      <c r="R870">
        <v>23757.087775579999</v>
      </c>
      <c r="S870">
        <v>5892.9153793699998</v>
      </c>
      <c r="T870">
        <v>1.7775579999999999E-2</v>
      </c>
      <c r="U870">
        <v>0</v>
      </c>
      <c r="V870">
        <v>23757.07</v>
      </c>
      <c r="W870" t="s">
        <v>572</v>
      </c>
      <c r="X870" t="s">
        <v>271</v>
      </c>
      <c r="Y870" t="s">
        <v>3795</v>
      </c>
      <c r="AA870" t="s">
        <v>3796</v>
      </c>
      <c r="AB870" t="s">
        <v>181</v>
      </c>
    </row>
    <row r="871" spans="1:28" x14ac:dyDescent="0.25">
      <c r="A871" t="s">
        <v>3810</v>
      </c>
      <c r="B871" t="s">
        <v>3811</v>
      </c>
      <c r="C871" t="s">
        <v>646</v>
      </c>
      <c r="D871" t="s">
        <v>3779</v>
      </c>
      <c r="E871" t="s">
        <v>647</v>
      </c>
      <c r="F871" t="s">
        <v>3780</v>
      </c>
      <c r="G871" t="s">
        <v>769</v>
      </c>
      <c r="H871" t="s">
        <v>757</v>
      </c>
      <c r="I871" t="s">
        <v>771</v>
      </c>
      <c r="J871" t="s">
        <v>319</v>
      </c>
      <c r="K871" t="s">
        <v>166</v>
      </c>
      <c r="L871" t="s">
        <v>0</v>
      </c>
      <c r="M871" t="s">
        <v>178</v>
      </c>
      <c r="N871">
        <v>1995</v>
      </c>
      <c r="O871">
        <v>373</v>
      </c>
      <c r="P871">
        <v>39094.400000000001</v>
      </c>
      <c r="Q871">
        <v>78740.399999999994</v>
      </c>
      <c r="R871">
        <v>-629.30999999999995</v>
      </c>
      <c r="S871">
        <v>4617.8253899000001</v>
      </c>
      <c r="T871">
        <v>2.16</v>
      </c>
      <c r="U871">
        <v>6418.48</v>
      </c>
      <c r="V871">
        <v>5787.01</v>
      </c>
      <c r="W871" t="s">
        <v>0</v>
      </c>
      <c r="X871" t="s">
        <v>271</v>
      </c>
      <c r="Y871" t="s">
        <v>3812</v>
      </c>
      <c r="AA871" t="s">
        <v>3813</v>
      </c>
      <c r="AB871" t="s">
        <v>181</v>
      </c>
    </row>
    <row r="872" spans="1:28" x14ac:dyDescent="0.25">
      <c r="A872" t="s">
        <v>3913</v>
      </c>
      <c r="B872" t="s">
        <v>3914</v>
      </c>
      <c r="C872" t="s">
        <v>646</v>
      </c>
      <c r="D872" t="s">
        <v>3779</v>
      </c>
      <c r="E872" t="s">
        <v>647</v>
      </c>
      <c r="F872" t="s">
        <v>3780</v>
      </c>
      <c r="G872" t="s">
        <v>769</v>
      </c>
      <c r="H872" t="s">
        <v>649</v>
      </c>
      <c r="I872" t="s">
        <v>984</v>
      </c>
      <c r="J872" t="s">
        <v>985</v>
      </c>
      <c r="K872" t="s">
        <v>166</v>
      </c>
      <c r="L872" t="s">
        <v>0</v>
      </c>
      <c r="M872" t="s">
        <v>178</v>
      </c>
      <c r="N872">
        <v>381</v>
      </c>
      <c r="O872">
        <v>362</v>
      </c>
      <c r="P872">
        <v>6859.87</v>
      </c>
      <c r="Q872">
        <v>23193.62</v>
      </c>
      <c r="R872">
        <v>3188.55</v>
      </c>
      <c r="S872">
        <v>1467.3624426399999</v>
      </c>
      <c r="T872">
        <v>0</v>
      </c>
      <c r="U872">
        <v>0</v>
      </c>
      <c r="V872">
        <v>3188.55</v>
      </c>
      <c r="W872" t="s">
        <v>986</v>
      </c>
      <c r="X872" t="s">
        <v>271</v>
      </c>
      <c r="Y872" t="s">
        <v>3915</v>
      </c>
      <c r="AA872" t="s">
        <v>3916</v>
      </c>
      <c r="AB872" t="s">
        <v>181</v>
      </c>
    </row>
    <row r="873" spans="1:28" x14ac:dyDescent="0.25">
      <c r="A873" t="s">
        <v>4353</v>
      </c>
      <c r="B873" t="s">
        <v>4354</v>
      </c>
      <c r="C873" t="s">
        <v>646</v>
      </c>
      <c r="D873" t="s">
        <v>3779</v>
      </c>
      <c r="E873" t="s">
        <v>647</v>
      </c>
      <c r="F873" t="s">
        <v>3780</v>
      </c>
      <c r="G873" t="s">
        <v>769</v>
      </c>
      <c r="H873" t="s">
        <v>679</v>
      </c>
      <c r="I873" t="s">
        <v>1160</v>
      </c>
      <c r="J873" t="s">
        <v>336</v>
      </c>
      <c r="K873" t="s">
        <v>166</v>
      </c>
      <c r="L873" t="s">
        <v>0</v>
      </c>
      <c r="M873" t="s">
        <v>178</v>
      </c>
      <c r="N873">
        <v>89</v>
      </c>
      <c r="O873">
        <v>6</v>
      </c>
      <c r="P873">
        <v>822.42</v>
      </c>
      <c r="Q873">
        <v>2351.98</v>
      </c>
      <c r="R873">
        <v>531.76452317999997</v>
      </c>
      <c r="S873">
        <v>220.96990416</v>
      </c>
      <c r="T873">
        <v>0.34452317999999998</v>
      </c>
      <c r="U873">
        <v>0</v>
      </c>
      <c r="V873">
        <v>531.41999999999996</v>
      </c>
      <c r="W873" t="s">
        <v>461</v>
      </c>
      <c r="X873" t="s">
        <v>271</v>
      </c>
      <c r="Y873" t="s">
        <v>4355</v>
      </c>
      <c r="AA873" t="s">
        <v>4356</v>
      </c>
      <c r="AB873" t="s">
        <v>181</v>
      </c>
    </row>
    <row r="874" spans="1:28" x14ac:dyDescent="0.25">
      <c r="A874" t="s">
        <v>4047</v>
      </c>
      <c r="B874" t="s">
        <v>4048</v>
      </c>
      <c r="C874" t="s">
        <v>646</v>
      </c>
      <c r="D874" t="s">
        <v>3779</v>
      </c>
      <c r="E874" t="s">
        <v>647</v>
      </c>
      <c r="F874" t="s">
        <v>666</v>
      </c>
      <c r="G874" t="s">
        <v>666</v>
      </c>
      <c r="H874" t="s">
        <v>649</v>
      </c>
      <c r="I874" t="s">
        <v>2292</v>
      </c>
      <c r="J874" t="s">
        <v>1847</v>
      </c>
      <c r="K874" t="s">
        <v>166</v>
      </c>
      <c r="L874" t="s">
        <v>0</v>
      </c>
      <c r="M874" t="s">
        <v>178</v>
      </c>
      <c r="N874">
        <v>291</v>
      </c>
      <c r="O874">
        <v>220</v>
      </c>
      <c r="P874">
        <v>9104.56</v>
      </c>
      <c r="Q874">
        <v>17203.89</v>
      </c>
      <c r="R874">
        <v>2570.09</v>
      </c>
      <c r="S874">
        <v>1712.3274713000001</v>
      </c>
      <c r="T874">
        <v>0</v>
      </c>
      <c r="U874">
        <v>0</v>
      </c>
      <c r="V874">
        <v>2570.09</v>
      </c>
      <c r="W874" t="s">
        <v>1848</v>
      </c>
      <c r="X874" t="s">
        <v>269</v>
      </c>
      <c r="Y874" t="s">
        <v>4049</v>
      </c>
      <c r="AA874" t="s">
        <v>4050</v>
      </c>
      <c r="AB874" t="s">
        <v>181</v>
      </c>
    </row>
    <row r="875" spans="1:28" x14ac:dyDescent="0.25">
      <c r="A875" t="s">
        <v>4337</v>
      </c>
      <c r="B875" t="s">
        <v>4338</v>
      </c>
      <c r="C875" t="s">
        <v>646</v>
      </c>
      <c r="D875" t="s">
        <v>3779</v>
      </c>
      <c r="E875" t="s">
        <v>647</v>
      </c>
      <c r="F875" t="s">
        <v>3780</v>
      </c>
      <c r="G875" t="s">
        <v>769</v>
      </c>
      <c r="H875" t="s">
        <v>856</v>
      </c>
      <c r="I875" t="s">
        <v>4339</v>
      </c>
      <c r="J875" t="s">
        <v>821</v>
      </c>
      <c r="K875" t="s">
        <v>166</v>
      </c>
      <c r="L875" t="s">
        <v>0</v>
      </c>
      <c r="M875" t="s">
        <v>178</v>
      </c>
      <c r="N875">
        <v>20</v>
      </c>
      <c r="O875">
        <v>14</v>
      </c>
      <c r="P875">
        <v>339.65</v>
      </c>
      <c r="Q875">
        <v>3772.94</v>
      </c>
      <c r="R875">
        <v>450.12</v>
      </c>
      <c r="S875">
        <v>82.474435999999997</v>
      </c>
      <c r="T875">
        <v>0</v>
      </c>
      <c r="U875">
        <v>0</v>
      </c>
      <c r="V875">
        <v>450.12</v>
      </c>
      <c r="W875" t="s">
        <v>822</v>
      </c>
      <c r="X875" t="s">
        <v>269</v>
      </c>
      <c r="Y875" t="s">
        <v>4340</v>
      </c>
      <c r="AA875" t="s">
        <v>4341</v>
      </c>
      <c r="AB875" t="s">
        <v>181</v>
      </c>
    </row>
    <row r="876" spans="1:28" x14ac:dyDescent="0.25">
      <c r="A876" t="s">
        <v>4035</v>
      </c>
      <c r="B876" t="s">
        <v>4036</v>
      </c>
      <c r="C876" t="s">
        <v>646</v>
      </c>
      <c r="D876" t="s">
        <v>3779</v>
      </c>
      <c r="E876" t="s">
        <v>647</v>
      </c>
      <c r="F876" t="s">
        <v>3780</v>
      </c>
      <c r="G876" t="s">
        <v>769</v>
      </c>
      <c r="H876" t="s">
        <v>909</v>
      </c>
      <c r="I876" t="s">
        <v>3464</v>
      </c>
      <c r="J876" t="s">
        <v>688</v>
      </c>
      <c r="K876" t="s">
        <v>166</v>
      </c>
      <c r="L876" t="s">
        <v>0</v>
      </c>
      <c r="M876" t="s">
        <v>178</v>
      </c>
      <c r="N876">
        <v>4</v>
      </c>
      <c r="O876">
        <v>4</v>
      </c>
      <c r="P876">
        <v>140</v>
      </c>
      <c r="Q876">
        <v>86.96</v>
      </c>
      <c r="R876">
        <v>0.31</v>
      </c>
      <c r="S876">
        <v>21.0111603</v>
      </c>
      <c r="T876">
        <v>0</v>
      </c>
      <c r="U876">
        <v>0</v>
      </c>
      <c r="V876">
        <v>0.31</v>
      </c>
      <c r="W876" t="s">
        <v>0</v>
      </c>
      <c r="X876" t="s">
        <v>271</v>
      </c>
      <c r="Y876" t="s">
        <v>4037</v>
      </c>
      <c r="AA876" t="s">
        <v>4038</v>
      </c>
      <c r="AB876" t="s">
        <v>181</v>
      </c>
    </row>
    <row r="877" spans="1:28" x14ac:dyDescent="0.25">
      <c r="A877" t="s">
        <v>3834</v>
      </c>
      <c r="B877" t="s">
        <v>3835</v>
      </c>
      <c r="C877" t="s">
        <v>646</v>
      </c>
      <c r="D877" t="s">
        <v>3779</v>
      </c>
      <c r="E877" t="s">
        <v>647</v>
      </c>
      <c r="F877" t="s">
        <v>3780</v>
      </c>
      <c r="G877" t="s">
        <v>769</v>
      </c>
      <c r="H877" t="s">
        <v>962</v>
      </c>
      <c r="I877" t="s">
        <v>1251</v>
      </c>
      <c r="J877" t="s">
        <v>821</v>
      </c>
      <c r="K877" t="s">
        <v>166</v>
      </c>
      <c r="L877" t="s">
        <v>0</v>
      </c>
      <c r="M877" t="s">
        <v>178</v>
      </c>
      <c r="N877">
        <v>5</v>
      </c>
      <c r="O877">
        <v>3</v>
      </c>
      <c r="P877">
        <v>174.45</v>
      </c>
      <c r="Q877">
        <v>499.66</v>
      </c>
      <c r="R877">
        <v>189.11</v>
      </c>
      <c r="S877">
        <v>35.666769440000003</v>
      </c>
      <c r="T877">
        <v>0</v>
      </c>
      <c r="U877">
        <v>0</v>
      </c>
      <c r="V877">
        <v>189.11</v>
      </c>
      <c r="W877" t="s">
        <v>822</v>
      </c>
      <c r="X877" t="s">
        <v>269</v>
      </c>
      <c r="Y877" t="s">
        <v>3836</v>
      </c>
      <c r="AA877" t="s">
        <v>3837</v>
      </c>
      <c r="AB877" t="s">
        <v>181</v>
      </c>
    </row>
    <row r="878" spans="1:28" x14ac:dyDescent="0.25">
      <c r="A878" t="s">
        <v>3998</v>
      </c>
      <c r="B878" t="s">
        <v>3999</v>
      </c>
      <c r="C878" t="s">
        <v>646</v>
      </c>
      <c r="D878" t="s">
        <v>3779</v>
      </c>
      <c r="E878" t="s">
        <v>647</v>
      </c>
      <c r="F878" t="s">
        <v>3780</v>
      </c>
      <c r="G878" t="s">
        <v>769</v>
      </c>
      <c r="H878" t="s">
        <v>717</v>
      </c>
      <c r="I878" t="s">
        <v>1636</v>
      </c>
      <c r="J878" t="s">
        <v>1637</v>
      </c>
      <c r="K878" t="s">
        <v>166</v>
      </c>
      <c r="L878" t="s">
        <v>0</v>
      </c>
      <c r="M878" t="s">
        <v>178</v>
      </c>
      <c r="N878">
        <v>20</v>
      </c>
      <c r="O878">
        <v>16</v>
      </c>
      <c r="P878">
        <v>240</v>
      </c>
      <c r="Q878">
        <v>1281.77</v>
      </c>
      <c r="R878">
        <v>99.742455460000002</v>
      </c>
      <c r="S878">
        <v>36.896872049999999</v>
      </c>
      <c r="T878">
        <v>1.245546E-2</v>
      </c>
      <c r="U878">
        <v>0</v>
      </c>
      <c r="V878">
        <v>99.73</v>
      </c>
      <c r="W878" t="s">
        <v>1638</v>
      </c>
      <c r="X878" t="s">
        <v>271</v>
      </c>
      <c r="Y878" t="s">
        <v>4000</v>
      </c>
      <c r="AA878" t="s">
        <v>4001</v>
      </c>
      <c r="AB878" t="s">
        <v>181</v>
      </c>
    </row>
    <row r="879" spans="1:28" x14ac:dyDescent="0.25">
      <c r="A879" t="s">
        <v>4361</v>
      </c>
      <c r="B879" t="s">
        <v>4362</v>
      </c>
      <c r="C879" t="s">
        <v>646</v>
      </c>
      <c r="D879" t="s">
        <v>3779</v>
      </c>
      <c r="E879" t="s">
        <v>647</v>
      </c>
      <c r="F879" t="s">
        <v>3780</v>
      </c>
      <c r="G879" t="s">
        <v>769</v>
      </c>
      <c r="H879" t="s">
        <v>1515</v>
      </c>
      <c r="I879" t="s">
        <v>1712</v>
      </c>
      <c r="J879" t="s">
        <v>335</v>
      </c>
      <c r="K879" t="s">
        <v>166</v>
      </c>
      <c r="L879" t="s">
        <v>0</v>
      </c>
      <c r="M879" t="s">
        <v>178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 t="s">
        <v>572</v>
      </c>
      <c r="X879" t="s">
        <v>271</v>
      </c>
      <c r="Y879" t="s">
        <v>4363</v>
      </c>
      <c r="AA879" t="s">
        <v>4364</v>
      </c>
      <c r="AB879" t="s">
        <v>181</v>
      </c>
    </row>
    <row r="880" spans="1:28" x14ac:dyDescent="0.25">
      <c r="A880" t="s">
        <v>4132</v>
      </c>
      <c r="B880" t="s">
        <v>4133</v>
      </c>
      <c r="C880" t="s">
        <v>646</v>
      </c>
      <c r="D880" t="s">
        <v>3779</v>
      </c>
      <c r="E880" t="s">
        <v>647</v>
      </c>
      <c r="F880" t="s">
        <v>666</v>
      </c>
      <c r="G880" t="s">
        <v>666</v>
      </c>
      <c r="H880" t="s">
        <v>909</v>
      </c>
      <c r="I880" t="s">
        <v>3911</v>
      </c>
      <c r="J880" t="s">
        <v>355</v>
      </c>
      <c r="K880" t="s">
        <v>166</v>
      </c>
      <c r="L880" t="s">
        <v>0</v>
      </c>
      <c r="M880" t="s">
        <v>178</v>
      </c>
      <c r="N880">
        <v>3</v>
      </c>
      <c r="O880">
        <v>3</v>
      </c>
      <c r="P880">
        <v>19.14</v>
      </c>
      <c r="Q880">
        <v>90.43</v>
      </c>
      <c r="R880">
        <v>31.89437813</v>
      </c>
      <c r="S880">
        <v>31.332822740000001</v>
      </c>
      <c r="T880">
        <v>5.4378129999999997E-2</v>
      </c>
      <c r="U880">
        <v>0</v>
      </c>
      <c r="V880">
        <v>31.84</v>
      </c>
      <c r="W880" t="s">
        <v>0</v>
      </c>
      <c r="X880" t="s">
        <v>271</v>
      </c>
      <c r="Y880" t="s">
        <v>4134</v>
      </c>
      <c r="AA880" t="s">
        <v>3894</v>
      </c>
      <c r="AB880" t="s">
        <v>181</v>
      </c>
    </row>
    <row r="881" spans="1:28" x14ac:dyDescent="0.25">
      <c r="A881" t="s">
        <v>3842</v>
      </c>
      <c r="B881" t="s">
        <v>3843</v>
      </c>
      <c r="C881" t="s">
        <v>646</v>
      </c>
      <c r="D881" t="s">
        <v>3779</v>
      </c>
      <c r="E881" t="s">
        <v>647</v>
      </c>
      <c r="F881" t="s">
        <v>3780</v>
      </c>
      <c r="G881" t="s">
        <v>769</v>
      </c>
      <c r="H881" t="s">
        <v>1159</v>
      </c>
      <c r="I881" t="s">
        <v>3844</v>
      </c>
      <c r="J881" t="s">
        <v>3845</v>
      </c>
      <c r="K881" t="s">
        <v>166</v>
      </c>
      <c r="L881" t="s">
        <v>0</v>
      </c>
      <c r="M881" t="s">
        <v>178</v>
      </c>
      <c r="N881">
        <v>12</v>
      </c>
      <c r="O881">
        <v>0</v>
      </c>
      <c r="P881">
        <v>122.4</v>
      </c>
      <c r="Q881">
        <v>583.98</v>
      </c>
      <c r="R881">
        <v>17.100000000000001</v>
      </c>
      <c r="S881">
        <v>27.117310750000001</v>
      </c>
      <c r="T881">
        <v>0</v>
      </c>
      <c r="U881">
        <v>0</v>
      </c>
      <c r="V881">
        <v>17.100000000000001</v>
      </c>
      <c r="W881" t="s">
        <v>3846</v>
      </c>
      <c r="X881" t="s">
        <v>271</v>
      </c>
      <c r="Y881" t="s">
        <v>3847</v>
      </c>
      <c r="AA881" t="s">
        <v>3848</v>
      </c>
      <c r="AB881" t="s">
        <v>181</v>
      </c>
    </row>
    <row r="882" spans="1:28" x14ac:dyDescent="0.25">
      <c r="A882" t="s">
        <v>3810</v>
      </c>
      <c r="B882" t="s">
        <v>3811</v>
      </c>
      <c r="C882" t="s">
        <v>646</v>
      </c>
      <c r="D882" t="s">
        <v>3779</v>
      </c>
      <c r="E882" t="s">
        <v>647</v>
      </c>
      <c r="F882" t="s">
        <v>3780</v>
      </c>
      <c r="G882" t="s">
        <v>769</v>
      </c>
      <c r="H882" t="s">
        <v>1171</v>
      </c>
      <c r="I882" t="s">
        <v>771</v>
      </c>
      <c r="J882" t="s">
        <v>319</v>
      </c>
      <c r="K882" t="s">
        <v>166</v>
      </c>
      <c r="L882" t="s">
        <v>0</v>
      </c>
      <c r="M882" t="s">
        <v>178</v>
      </c>
      <c r="N882">
        <v>149</v>
      </c>
      <c r="O882">
        <v>138</v>
      </c>
      <c r="P882">
        <v>10589.08</v>
      </c>
      <c r="Q882">
        <v>69532.12</v>
      </c>
      <c r="R882">
        <v>2419.8787020499999</v>
      </c>
      <c r="S882">
        <v>1033.2925964000001</v>
      </c>
      <c r="T882">
        <v>0.26870205000000003</v>
      </c>
      <c r="U882">
        <v>0</v>
      </c>
      <c r="V882">
        <v>2419.61</v>
      </c>
      <c r="W882" t="s">
        <v>0</v>
      </c>
      <c r="X882" t="s">
        <v>271</v>
      </c>
      <c r="Y882" t="s">
        <v>3812</v>
      </c>
      <c r="AA882" t="s">
        <v>3813</v>
      </c>
      <c r="AB882" t="s">
        <v>181</v>
      </c>
    </row>
    <row r="883" spans="1:28" x14ac:dyDescent="0.25">
      <c r="A883" t="s">
        <v>4162</v>
      </c>
      <c r="B883" t="s">
        <v>4163</v>
      </c>
      <c r="C883" t="s">
        <v>646</v>
      </c>
      <c r="D883" t="s">
        <v>3779</v>
      </c>
      <c r="E883" t="s">
        <v>647</v>
      </c>
      <c r="F883" t="s">
        <v>3780</v>
      </c>
      <c r="G883" t="s">
        <v>769</v>
      </c>
      <c r="H883" t="s">
        <v>708</v>
      </c>
      <c r="I883" t="s">
        <v>4164</v>
      </c>
      <c r="J883" t="s">
        <v>985</v>
      </c>
      <c r="K883" t="s">
        <v>166</v>
      </c>
      <c r="L883" t="s">
        <v>0</v>
      </c>
      <c r="M883" t="s">
        <v>178</v>
      </c>
      <c r="N883">
        <v>24.166699999999999</v>
      </c>
      <c r="O883">
        <v>9.1667000000000005</v>
      </c>
      <c r="P883">
        <v>150.99</v>
      </c>
      <c r="Q883">
        <v>559.97</v>
      </c>
      <c r="R883">
        <v>-15.59</v>
      </c>
      <c r="S883">
        <v>167.48789429999999</v>
      </c>
      <c r="T883">
        <v>0</v>
      </c>
      <c r="U883">
        <v>0</v>
      </c>
      <c r="V883">
        <v>-15.59</v>
      </c>
      <c r="W883" t="s">
        <v>986</v>
      </c>
      <c r="X883" t="s">
        <v>271</v>
      </c>
      <c r="Y883" t="s">
        <v>4165</v>
      </c>
      <c r="AA883" t="s">
        <v>4166</v>
      </c>
      <c r="AB883" t="s">
        <v>181</v>
      </c>
    </row>
    <row r="884" spans="1:28" x14ac:dyDescent="0.25">
      <c r="A884" t="s">
        <v>4265</v>
      </c>
      <c r="B884" t="s">
        <v>4266</v>
      </c>
      <c r="C884" t="s">
        <v>646</v>
      </c>
      <c r="D884" t="s">
        <v>3779</v>
      </c>
      <c r="E884" t="s">
        <v>647</v>
      </c>
      <c r="F884" t="s">
        <v>666</v>
      </c>
      <c r="G884" t="s">
        <v>666</v>
      </c>
      <c r="H884" t="s">
        <v>757</v>
      </c>
      <c r="I884" t="s">
        <v>4267</v>
      </c>
      <c r="J884" t="s">
        <v>326</v>
      </c>
      <c r="K884" t="s">
        <v>166</v>
      </c>
      <c r="L884" t="s">
        <v>0</v>
      </c>
      <c r="M884" t="s">
        <v>178</v>
      </c>
      <c r="N884">
        <v>568.72220000000004</v>
      </c>
      <c r="O884">
        <v>311.72219999999999</v>
      </c>
      <c r="P884">
        <v>9358.86</v>
      </c>
      <c r="Q884">
        <v>12193.66</v>
      </c>
      <c r="R884">
        <v>-233.67</v>
      </c>
      <c r="S884">
        <v>3053.0074546400001</v>
      </c>
      <c r="T884">
        <v>352.15</v>
      </c>
      <c r="U884">
        <v>1268.6300000000001</v>
      </c>
      <c r="V884">
        <v>1024.98</v>
      </c>
      <c r="W884" t="s">
        <v>450</v>
      </c>
      <c r="X884" t="s">
        <v>271</v>
      </c>
      <c r="Y884" t="s">
        <v>4268</v>
      </c>
      <c r="AA884" t="s">
        <v>4269</v>
      </c>
      <c r="AB884" t="s">
        <v>181</v>
      </c>
    </row>
    <row r="885" spans="1:28" x14ac:dyDescent="0.25">
      <c r="A885" t="s">
        <v>3992</v>
      </c>
      <c r="B885" t="s">
        <v>3993</v>
      </c>
      <c r="C885" t="s">
        <v>646</v>
      </c>
      <c r="D885" t="s">
        <v>3779</v>
      </c>
      <c r="E885" t="s">
        <v>647</v>
      </c>
      <c r="F885" t="s">
        <v>3780</v>
      </c>
      <c r="G885" t="s">
        <v>769</v>
      </c>
      <c r="H885" t="s">
        <v>962</v>
      </c>
      <c r="I885" t="s">
        <v>3994</v>
      </c>
      <c r="J885" t="s">
        <v>3995</v>
      </c>
      <c r="K885" t="s">
        <v>166</v>
      </c>
      <c r="L885" t="s">
        <v>0</v>
      </c>
      <c r="M885" t="s">
        <v>178</v>
      </c>
      <c r="N885">
        <v>62</v>
      </c>
      <c r="O885">
        <v>29</v>
      </c>
      <c r="P885">
        <v>1748.97</v>
      </c>
      <c r="Q885">
        <v>4630.8999999999996</v>
      </c>
      <c r="R885">
        <v>280.54888778999998</v>
      </c>
      <c r="S885">
        <v>566.12801860000002</v>
      </c>
      <c r="T885">
        <v>8.8877899999999996E-3</v>
      </c>
      <c r="U885">
        <v>0</v>
      </c>
      <c r="V885">
        <v>280.54000000000002</v>
      </c>
      <c r="W885" t="s">
        <v>250</v>
      </c>
      <c r="X885" t="s">
        <v>269</v>
      </c>
      <c r="Y885" t="s">
        <v>3996</v>
      </c>
      <c r="AA885" t="s">
        <v>3997</v>
      </c>
      <c r="AB885" t="s">
        <v>181</v>
      </c>
    </row>
    <row r="886" spans="1:28" x14ac:dyDescent="0.25">
      <c r="A886" t="s">
        <v>3956</v>
      </c>
      <c r="B886" t="s">
        <v>3957</v>
      </c>
      <c r="C886" t="s">
        <v>646</v>
      </c>
      <c r="D886" t="s">
        <v>3779</v>
      </c>
      <c r="E886" t="s">
        <v>647</v>
      </c>
      <c r="F886" t="s">
        <v>666</v>
      </c>
      <c r="G886" t="s">
        <v>666</v>
      </c>
      <c r="H886" t="s">
        <v>672</v>
      </c>
      <c r="I886" t="s">
        <v>1068</v>
      </c>
      <c r="J886" t="s">
        <v>501</v>
      </c>
      <c r="K886" t="s">
        <v>166</v>
      </c>
      <c r="L886" t="s">
        <v>0</v>
      </c>
      <c r="M886" t="s">
        <v>178</v>
      </c>
      <c r="N886">
        <v>15</v>
      </c>
      <c r="O886">
        <v>15</v>
      </c>
      <c r="P886">
        <v>100.75</v>
      </c>
      <c r="Q886">
        <v>1182.8599999999999</v>
      </c>
      <c r="R886">
        <v>140.22</v>
      </c>
      <c r="S886">
        <v>348.30874774</v>
      </c>
      <c r="T886">
        <v>0</v>
      </c>
      <c r="U886">
        <v>0</v>
      </c>
      <c r="V886">
        <v>140.22</v>
      </c>
      <c r="W886" t="s">
        <v>500</v>
      </c>
      <c r="X886" t="s">
        <v>271</v>
      </c>
      <c r="Y886" t="s">
        <v>3958</v>
      </c>
      <c r="AA886" t="s">
        <v>3959</v>
      </c>
      <c r="AB886" t="s">
        <v>181</v>
      </c>
    </row>
    <row r="887" spans="1:28" x14ac:dyDescent="0.25">
      <c r="A887" t="s">
        <v>4337</v>
      </c>
      <c r="B887" t="s">
        <v>4338</v>
      </c>
      <c r="C887" t="s">
        <v>646</v>
      </c>
      <c r="D887" t="s">
        <v>3779</v>
      </c>
      <c r="E887" t="s">
        <v>647</v>
      </c>
      <c r="F887" t="s">
        <v>3780</v>
      </c>
      <c r="G887" t="s">
        <v>769</v>
      </c>
      <c r="H887" t="s">
        <v>770</v>
      </c>
      <c r="I887" t="s">
        <v>4339</v>
      </c>
      <c r="J887" t="s">
        <v>821</v>
      </c>
      <c r="K887" t="s">
        <v>166</v>
      </c>
      <c r="L887" t="s">
        <v>0</v>
      </c>
      <c r="M887" t="s">
        <v>178</v>
      </c>
      <c r="N887">
        <v>545.75</v>
      </c>
      <c r="O887">
        <v>295.75</v>
      </c>
      <c r="P887">
        <v>8531.4</v>
      </c>
      <c r="Q887">
        <v>13697.11</v>
      </c>
      <c r="R887">
        <v>3174.78</v>
      </c>
      <c r="S887">
        <v>1580.86084091</v>
      </c>
      <c r="T887">
        <v>0</v>
      </c>
      <c r="U887">
        <v>0</v>
      </c>
      <c r="V887">
        <v>3174.78</v>
      </c>
      <c r="W887" t="s">
        <v>822</v>
      </c>
      <c r="X887" t="s">
        <v>269</v>
      </c>
      <c r="Y887" t="s">
        <v>4340</v>
      </c>
      <c r="AA887" t="s">
        <v>4341</v>
      </c>
      <c r="AB887" t="s">
        <v>181</v>
      </c>
    </row>
    <row r="888" spans="1:28" x14ac:dyDescent="0.25">
      <c r="A888" t="s">
        <v>4117</v>
      </c>
      <c r="B888" t="s">
        <v>4118</v>
      </c>
      <c r="C888" t="s">
        <v>646</v>
      </c>
      <c r="D888" t="s">
        <v>3779</v>
      </c>
      <c r="E888" t="s">
        <v>647</v>
      </c>
      <c r="F888" t="s">
        <v>3780</v>
      </c>
      <c r="G888" t="s">
        <v>769</v>
      </c>
      <c r="H888" t="s">
        <v>962</v>
      </c>
      <c r="I888" t="s">
        <v>1190</v>
      </c>
      <c r="J888" t="s">
        <v>1191</v>
      </c>
      <c r="K888" t="s">
        <v>166</v>
      </c>
      <c r="L888" t="s">
        <v>0</v>
      </c>
      <c r="M888" t="s">
        <v>178</v>
      </c>
      <c r="N888">
        <v>140</v>
      </c>
      <c r="O888">
        <v>74</v>
      </c>
      <c r="P888">
        <v>2571.2199999999998</v>
      </c>
      <c r="Q888">
        <v>8520.33</v>
      </c>
      <c r="R888">
        <v>651.86236822000001</v>
      </c>
      <c r="S888">
        <v>762.32456693999995</v>
      </c>
      <c r="T888">
        <v>4.30236822</v>
      </c>
      <c r="U888">
        <v>0</v>
      </c>
      <c r="V888">
        <v>647.55999999999995</v>
      </c>
      <c r="W888" t="s">
        <v>282</v>
      </c>
      <c r="X888" t="s">
        <v>271</v>
      </c>
      <c r="Y888" t="s">
        <v>2170</v>
      </c>
      <c r="AA888" t="s">
        <v>2171</v>
      </c>
      <c r="AB888" t="s">
        <v>181</v>
      </c>
    </row>
    <row r="889" spans="1:28" x14ac:dyDescent="0.25">
      <c r="A889" t="s">
        <v>3969</v>
      </c>
      <c r="B889" t="s">
        <v>3970</v>
      </c>
      <c r="C889" t="s">
        <v>646</v>
      </c>
      <c r="D889" t="s">
        <v>3779</v>
      </c>
      <c r="E889" t="s">
        <v>647</v>
      </c>
      <c r="F889" t="s">
        <v>3780</v>
      </c>
      <c r="G889" t="s">
        <v>769</v>
      </c>
      <c r="H889" t="s">
        <v>770</v>
      </c>
      <c r="I889" t="s">
        <v>1518</v>
      </c>
      <c r="J889" t="s">
        <v>1519</v>
      </c>
      <c r="K889" t="s">
        <v>166</v>
      </c>
      <c r="L889" t="s">
        <v>0</v>
      </c>
      <c r="M889" t="s">
        <v>178</v>
      </c>
      <c r="N889">
        <v>541</v>
      </c>
      <c r="O889">
        <v>70</v>
      </c>
      <c r="P889">
        <v>4927.1000000000004</v>
      </c>
      <c r="Q889">
        <v>9311.7800000000007</v>
      </c>
      <c r="R889">
        <v>1627.19</v>
      </c>
      <c r="S889">
        <v>1423.14839289</v>
      </c>
      <c r="T889">
        <v>0</v>
      </c>
      <c r="U889">
        <v>0</v>
      </c>
      <c r="V889">
        <v>1627.19</v>
      </c>
      <c r="W889" t="s">
        <v>1485</v>
      </c>
      <c r="X889" t="s">
        <v>271</v>
      </c>
      <c r="Y889" t="s">
        <v>3971</v>
      </c>
      <c r="AA889" t="s">
        <v>3972</v>
      </c>
      <c r="AB889" t="s">
        <v>181</v>
      </c>
    </row>
    <row r="890" spans="1:28" x14ac:dyDescent="0.25">
      <c r="A890" t="s">
        <v>4316</v>
      </c>
      <c r="B890" t="s">
        <v>4317</v>
      </c>
      <c r="C890" t="s">
        <v>646</v>
      </c>
      <c r="D890" t="s">
        <v>3779</v>
      </c>
      <c r="E890" t="s">
        <v>647</v>
      </c>
      <c r="F890" t="s">
        <v>3780</v>
      </c>
      <c r="G890" t="s">
        <v>769</v>
      </c>
      <c r="H890" t="s">
        <v>713</v>
      </c>
      <c r="I890" t="s">
        <v>1290</v>
      </c>
      <c r="J890" t="s">
        <v>1291</v>
      </c>
      <c r="K890" t="s">
        <v>166</v>
      </c>
      <c r="L890" t="s">
        <v>0</v>
      </c>
      <c r="M890" t="s">
        <v>178</v>
      </c>
      <c r="N890">
        <v>463.16660000000002</v>
      </c>
      <c r="O890">
        <v>148.16659999999999</v>
      </c>
      <c r="P890">
        <v>13531.46</v>
      </c>
      <c r="Q890">
        <v>10708.31</v>
      </c>
      <c r="R890">
        <v>1598.21683409</v>
      </c>
      <c r="S890">
        <v>717.54091616999995</v>
      </c>
      <c r="T890">
        <v>20.506834090000002</v>
      </c>
      <c r="U890">
        <v>3.04</v>
      </c>
      <c r="V890">
        <v>1580.75</v>
      </c>
      <c r="W890" t="s">
        <v>1292</v>
      </c>
      <c r="X890" t="s">
        <v>271</v>
      </c>
      <c r="Y890" t="s">
        <v>4318</v>
      </c>
      <c r="AA890" t="s">
        <v>4319</v>
      </c>
      <c r="AB890" t="s">
        <v>181</v>
      </c>
    </row>
    <row r="891" spans="1:28" x14ac:dyDescent="0.25">
      <c r="A891" t="s">
        <v>4275</v>
      </c>
      <c r="B891" t="s">
        <v>4276</v>
      </c>
      <c r="C891" t="s">
        <v>646</v>
      </c>
      <c r="D891" t="s">
        <v>3779</v>
      </c>
      <c r="E891" t="s">
        <v>647</v>
      </c>
      <c r="F891" t="s">
        <v>3780</v>
      </c>
      <c r="G891" t="s">
        <v>769</v>
      </c>
      <c r="H891" t="s">
        <v>703</v>
      </c>
      <c r="I891" t="s">
        <v>4277</v>
      </c>
      <c r="J891" t="s">
        <v>562</v>
      </c>
      <c r="K891" t="s">
        <v>166</v>
      </c>
      <c r="L891" t="s">
        <v>0</v>
      </c>
      <c r="M891" t="s">
        <v>178</v>
      </c>
      <c r="N891">
        <v>298</v>
      </c>
      <c r="O891">
        <v>75</v>
      </c>
      <c r="P891">
        <v>6927.51</v>
      </c>
      <c r="Q891">
        <v>9521.27</v>
      </c>
      <c r="R891">
        <v>1495.7133413500001</v>
      </c>
      <c r="S891">
        <v>1143.9118851400001</v>
      </c>
      <c r="T891">
        <v>0.11334134999999999</v>
      </c>
      <c r="U891">
        <v>0</v>
      </c>
      <c r="V891">
        <v>1495.6</v>
      </c>
      <c r="W891" t="s">
        <v>0</v>
      </c>
      <c r="X891" t="s">
        <v>271</v>
      </c>
      <c r="Y891" t="s">
        <v>4278</v>
      </c>
      <c r="AA891" t="s">
        <v>4279</v>
      </c>
      <c r="AB891" t="s">
        <v>181</v>
      </c>
    </row>
    <row r="892" spans="1:28" x14ac:dyDescent="0.25">
      <c r="A892" t="s">
        <v>3834</v>
      </c>
      <c r="B892" t="s">
        <v>3835</v>
      </c>
      <c r="C892" t="s">
        <v>646</v>
      </c>
      <c r="D892" t="s">
        <v>3779</v>
      </c>
      <c r="E892" t="s">
        <v>647</v>
      </c>
      <c r="F892" t="s">
        <v>3780</v>
      </c>
      <c r="G892" t="s">
        <v>769</v>
      </c>
      <c r="H892" t="s">
        <v>1045</v>
      </c>
      <c r="I892" t="s">
        <v>1251</v>
      </c>
      <c r="J892" t="s">
        <v>821</v>
      </c>
      <c r="K892" t="s">
        <v>166</v>
      </c>
      <c r="L892" t="s">
        <v>0</v>
      </c>
      <c r="M892" t="s">
        <v>178</v>
      </c>
      <c r="N892">
        <v>76</v>
      </c>
      <c r="O892">
        <v>16</v>
      </c>
      <c r="P892">
        <v>819.4</v>
      </c>
      <c r="Q892">
        <v>8403.02</v>
      </c>
      <c r="R892">
        <v>2948.25</v>
      </c>
      <c r="S892">
        <v>131.10380419000001</v>
      </c>
      <c r="T892">
        <v>0</v>
      </c>
      <c r="U892">
        <v>0</v>
      </c>
      <c r="V892">
        <v>2948.25</v>
      </c>
      <c r="W892" t="s">
        <v>822</v>
      </c>
      <c r="X892" t="s">
        <v>269</v>
      </c>
      <c r="Y892" t="s">
        <v>3836</v>
      </c>
      <c r="AA892" t="s">
        <v>3837</v>
      </c>
      <c r="AB892" t="s">
        <v>181</v>
      </c>
    </row>
    <row r="893" spans="1:28" x14ac:dyDescent="0.25">
      <c r="A893" t="s">
        <v>4240</v>
      </c>
      <c r="B893" t="s">
        <v>4241</v>
      </c>
      <c r="C893" t="s">
        <v>646</v>
      </c>
      <c r="D893" t="s">
        <v>3779</v>
      </c>
      <c r="E893" t="s">
        <v>647</v>
      </c>
      <c r="F893" t="s">
        <v>666</v>
      </c>
      <c r="G893" t="s">
        <v>666</v>
      </c>
      <c r="H893" t="s">
        <v>802</v>
      </c>
      <c r="I893" t="s">
        <v>880</v>
      </c>
      <c r="J893" t="s">
        <v>881</v>
      </c>
      <c r="K893" t="s">
        <v>166</v>
      </c>
      <c r="L893" t="s">
        <v>0</v>
      </c>
      <c r="M893" t="s">
        <v>178</v>
      </c>
      <c r="N893">
        <v>80.582999999999998</v>
      </c>
      <c r="O893">
        <v>80.582999999999998</v>
      </c>
      <c r="P893">
        <v>1516.2</v>
      </c>
      <c r="Q893">
        <v>3608.2</v>
      </c>
      <c r="R893">
        <v>338.01</v>
      </c>
      <c r="S893">
        <v>428.81543212000003</v>
      </c>
      <c r="T893">
        <v>0</v>
      </c>
      <c r="U893">
        <v>107.86</v>
      </c>
      <c r="V893">
        <v>445.87</v>
      </c>
      <c r="W893" t="s">
        <v>0</v>
      </c>
      <c r="X893" t="s">
        <v>271</v>
      </c>
      <c r="Y893" t="s">
        <v>4242</v>
      </c>
      <c r="AA893" t="s">
        <v>4243</v>
      </c>
      <c r="AB893" t="s">
        <v>181</v>
      </c>
    </row>
    <row r="894" spans="1:28" x14ac:dyDescent="0.25">
      <c r="A894" t="s">
        <v>4228</v>
      </c>
      <c r="B894" t="s">
        <v>4229</v>
      </c>
      <c r="C894" t="s">
        <v>646</v>
      </c>
      <c r="D894" t="s">
        <v>3779</v>
      </c>
      <c r="E894" t="s">
        <v>647</v>
      </c>
      <c r="F894" t="s">
        <v>3780</v>
      </c>
      <c r="G894" t="s">
        <v>769</v>
      </c>
      <c r="H894" t="s">
        <v>757</v>
      </c>
      <c r="I894" t="s">
        <v>1971</v>
      </c>
      <c r="J894" t="s">
        <v>1972</v>
      </c>
      <c r="K894" t="s">
        <v>166</v>
      </c>
      <c r="L894" t="s">
        <v>0</v>
      </c>
      <c r="M894" t="s">
        <v>178</v>
      </c>
      <c r="N894">
        <v>1495</v>
      </c>
      <c r="O894">
        <v>1286</v>
      </c>
      <c r="P894">
        <v>29159.03</v>
      </c>
      <c r="Q894">
        <v>46727.31</v>
      </c>
      <c r="R894">
        <v>7983.81</v>
      </c>
      <c r="S894">
        <v>6822.6908337300001</v>
      </c>
      <c r="T894">
        <v>0</v>
      </c>
      <c r="U894">
        <v>0</v>
      </c>
      <c r="V894">
        <v>7983.81</v>
      </c>
      <c r="W894" t="s">
        <v>1973</v>
      </c>
      <c r="X894" t="s">
        <v>271</v>
      </c>
      <c r="Y894" t="s">
        <v>4230</v>
      </c>
      <c r="AA894" t="s">
        <v>4231</v>
      </c>
      <c r="AB894" t="s">
        <v>181</v>
      </c>
    </row>
    <row r="895" spans="1:28" x14ac:dyDescent="0.25">
      <c r="A895" t="s">
        <v>3977</v>
      </c>
      <c r="B895" t="s">
        <v>3978</v>
      </c>
      <c r="C895" t="s">
        <v>646</v>
      </c>
      <c r="D895" t="s">
        <v>3779</v>
      </c>
      <c r="E895" t="s">
        <v>647</v>
      </c>
      <c r="F895" t="s">
        <v>3780</v>
      </c>
      <c r="G895" t="s">
        <v>769</v>
      </c>
      <c r="H895" t="s">
        <v>683</v>
      </c>
      <c r="I895" t="s">
        <v>1489</v>
      </c>
      <c r="J895" t="s">
        <v>816</v>
      </c>
      <c r="K895" t="s">
        <v>166</v>
      </c>
      <c r="L895" t="s">
        <v>0</v>
      </c>
      <c r="M895" t="s">
        <v>178</v>
      </c>
      <c r="N895">
        <v>59</v>
      </c>
      <c r="O895">
        <v>28</v>
      </c>
      <c r="P895">
        <v>1256.83</v>
      </c>
      <c r="Q895">
        <v>2723.02</v>
      </c>
      <c r="R895">
        <v>474.86117507</v>
      </c>
      <c r="S895">
        <v>382.23939747999998</v>
      </c>
      <c r="T895">
        <v>0.30117506999999999</v>
      </c>
      <c r="U895">
        <v>0</v>
      </c>
      <c r="V895">
        <v>474.56</v>
      </c>
      <c r="W895" t="s">
        <v>817</v>
      </c>
      <c r="X895" t="s">
        <v>271</v>
      </c>
      <c r="Y895" t="s">
        <v>3979</v>
      </c>
      <c r="AA895" t="s">
        <v>3980</v>
      </c>
      <c r="AB895" t="s">
        <v>181</v>
      </c>
    </row>
    <row r="896" spans="1:28" x14ac:dyDescent="0.25">
      <c r="A896" t="s">
        <v>3965</v>
      </c>
      <c r="B896" t="s">
        <v>3966</v>
      </c>
      <c r="C896" t="s">
        <v>646</v>
      </c>
      <c r="D896" t="s">
        <v>3779</v>
      </c>
      <c r="E896" t="s">
        <v>647</v>
      </c>
      <c r="F896" t="s">
        <v>3780</v>
      </c>
      <c r="G896" t="s">
        <v>769</v>
      </c>
      <c r="H896" t="s">
        <v>713</v>
      </c>
      <c r="I896" t="s">
        <v>2339</v>
      </c>
      <c r="J896" t="s">
        <v>2165</v>
      </c>
      <c r="K896" t="s">
        <v>166</v>
      </c>
      <c r="L896" t="s">
        <v>0</v>
      </c>
      <c r="M896" t="s">
        <v>178</v>
      </c>
      <c r="N896">
        <v>103</v>
      </c>
      <c r="O896">
        <v>3</v>
      </c>
      <c r="P896">
        <v>5030.9799999999996</v>
      </c>
      <c r="Q896">
        <v>957.63</v>
      </c>
      <c r="R896">
        <v>143.08000000000001</v>
      </c>
      <c r="S896">
        <v>74.814514189999997</v>
      </c>
      <c r="T896">
        <v>0</v>
      </c>
      <c r="U896">
        <v>0</v>
      </c>
      <c r="V896">
        <v>143.08000000000001</v>
      </c>
      <c r="W896" t="s">
        <v>2166</v>
      </c>
      <c r="X896" t="s">
        <v>271</v>
      </c>
      <c r="Y896" t="s">
        <v>3967</v>
      </c>
      <c r="AA896" t="s">
        <v>3968</v>
      </c>
      <c r="AB896" t="s">
        <v>181</v>
      </c>
    </row>
    <row r="897" spans="1:28" x14ac:dyDescent="0.25">
      <c r="A897" t="s">
        <v>4280</v>
      </c>
      <c r="B897" t="s">
        <v>4281</v>
      </c>
      <c r="C897" t="s">
        <v>646</v>
      </c>
      <c r="D897" t="s">
        <v>3779</v>
      </c>
      <c r="E897" t="s">
        <v>647</v>
      </c>
      <c r="F897" t="s">
        <v>3780</v>
      </c>
      <c r="G897" t="s">
        <v>769</v>
      </c>
      <c r="H897" t="s">
        <v>717</v>
      </c>
      <c r="I897" t="s">
        <v>1872</v>
      </c>
      <c r="J897" t="s">
        <v>1873</v>
      </c>
      <c r="K897" t="s">
        <v>166</v>
      </c>
      <c r="L897" t="s">
        <v>0</v>
      </c>
      <c r="M897" t="s">
        <v>178</v>
      </c>
      <c r="N897">
        <v>21</v>
      </c>
      <c r="O897">
        <v>13</v>
      </c>
      <c r="P897">
        <v>236.56</v>
      </c>
      <c r="Q897">
        <v>1564.11</v>
      </c>
      <c r="R897">
        <v>241.05238095000001</v>
      </c>
      <c r="S897">
        <v>47.378315280000002</v>
      </c>
      <c r="T897">
        <v>0.15238094999999999</v>
      </c>
      <c r="U897">
        <v>0</v>
      </c>
      <c r="V897">
        <v>240.9</v>
      </c>
      <c r="W897" t="s">
        <v>1874</v>
      </c>
      <c r="X897" t="s">
        <v>271</v>
      </c>
      <c r="Y897" t="s">
        <v>4282</v>
      </c>
      <c r="AA897" t="s">
        <v>4283</v>
      </c>
      <c r="AB897" t="s">
        <v>181</v>
      </c>
    </row>
    <row r="898" spans="1:28" x14ac:dyDescent="0.25">
      <c r="A898" t="s">
        <v>4167</v>
      </c>
      <c r="B898" t="s">
        <v>4168</v>
      </c>
      <c r="C898" t="s">
        <v>646</v>
      </c>
      <c r="D898" t="s">
        <v>3779</v>
      </c>
      <c r="E898" t="s">
        <v>647</v>
      </c>
      <c r="F898" t="s">
        <v>3780</v>
      </c>
      <c r="G898" t="s">
        <v>769</v>
      </c>
      <c r="H898" t="s">
        <v>730</v>
      </c>
      <c r="I898" t="s">
        <v>4169</v>
      </c>
      <c r="J898" t="s">
        <v>662</v>
      </c>
      <c r="K898" t="s">
        <v>166</v>
      </c>
      <c r="L898" t="s">
        <v>0</v>
      </c>
      <c r="M898" t="s">
        <v>178</v>
      </c>
      <c r="N898">
        <v>9</v>
      </c>
      <c r="O898">
        <v>9</v>
      </c>
      <c r="P898">
        <v>196.9</v>
      </c>
      <c r="Q898">
        <v>201.4</v>
      </c>
      <c r="R898">
        <v>17.41</v>
      </c>
      <c r="S898">
        <v>15.555184880000001</v>
      </c>
      <c r="T898">
        <v>0</v>
      </c>
      <c r="U898">
        <v>0</v>
      </c>
      <c r="V898">
        <v>17.41</v>
      </c>
      <c r="W898" t="s">
        <v>586</v>
      </c>
      <c r="X898" t="s">
        <v>271</v>
      </c>
      <c r="Y898" t="s">
        <v>4170</v>
      </c>
      <c r="AA898" t="s">
        <v>4171</v>
      </c>
      <c r="AB898" t="s">
        <v>181</v>
      </c>
    </row>
    <row r="899" spans="1:28" x14ac:dyDescent="0.25">
      <c r="A899" t="s">
        <v>4342</v>
      </c>
      <c r="B899" t="s">
        <v>4343</v>
      </c>
      <c r="C899" t="s">
        <v>646</v>
      </c>
      <c r="D899" t="s">
        <v>3779</v>
      </c>
      <c r="E899" t="s">
        <v>647</v>
      </c>
      <c r="F899" t="s">
        <v>666</v>
      </c>
      <c r="G899" t="s">
        <v>666</v>
      </c>
      <c r="H899" t="s">
        <v>703</v>
      </c>
      <c r="I899" t="s">
        <v>4344</v>
      </c>
      <c r="J899" t="s">
        <v>355</v>
      </c>
      <c r="K899" t="s">
        <v>166</v>
      </c>
      <c r="L899" t="s">
        <v>0</v>
      </c>
      <c r="M899" t="s">
        <v>178</v>
      </c>
      <c r="N899">
        <v>409.5</v>
      </c>
      <c r="O899">
        <v>151</v>
      </c>
      <c r="P899">
        <v>5113.6099999999997</v>
      </c>
      <c r="Q899">
        <v>14149.61</v>
      </c>
      <c r="R899">
        <v>3888.02</v>
      </c>
      <c r="S899">
        <v>978.89744746999997</v>
      </c>
      <c r="T899">
        <v>0</v>
      </c>
      <c r="U899">
        <v>0</v>
      </c>
      <c r="V899">
        <v>3888.02</v>
      </c>
      <c r="W899" t="s">
        <v>0</v>
      </c>
      <c r="X899" t="s">
        <v>271</v>
      </c>
      <c r="Y899" t="s">
        <v>4345</v>
      </c>
      <c r="AA899" t="s">
        <v>3894</v>
      </c>
      <c r="AB899" t="s">
        <v>181</v>
      </c>
    </row>
    <row r="900" spans="1:28" x14ac:dyDescent="0.25">
      <c r="A900" t="s">
        <v>4244</v>
      </c>
      <c r="B900" t="s">
        <v>4245</v>
      </c>
      <c r="C900" t="s">
        <v>646</v>
      </c>
      <c r="D900" t="s">
        <v>3779</v>
      </c>
      <c r="E900" t="s">
        <v>647</v>
      </c>
      <c r="F900" t="s">
        <v>3780</v>
      </c>
      <c r="G900" t="s">
        <v>769</v>
      </c>
      <c r="H900" t="s">
        <v>761</v>
      </c>
      <c r="I900" t="s">
        <v>1251</v>
      </c>
      <c r="J900" t="s">
        <v>821</v>
      </c>
      <c r="K900" t="s">
        <v>166</v>
      </c>
      <c r="L900" t="s">
        <v>0</v>
      </c>
      <c r="M900" t="s">
        <v>178</v>
      </c>
      <c r="N900">
        <v>20.75</v>
      </c>
      <c r="O900">
        <v>14</v>
      </c>
      <c r="P900">
        <v>538.97</v>
      </c>
      <c r="Q900">
        <v>787.03</v>
      </c>
      <c r="R900">
        <v>190.27</v>
      </c>
      <c r="S900">
        <v>135.372716</v>
      </c>
      <c r="T900">
        <v>0</v>
      </c>
      <c r="U900">
        <v>0</v>
      </c>
      <c r="V900">
        <v>190.27</v>
      </c>
      <c r="W900" t="s">
        <v>822</v>
      </c>
      <c r="X900" t="s">
        <v>269</v>
      </c>
      <c r="Y900" t="s">
        <v>4246</v>
      </c>
      <c r="AA900" t="s">
        <v>4247</v>
      </c>
      <c r="AB900" t="s">
        <v>181</v>
      </c>
    </row>
    <row r="901" spans="1:28" x14ac:dyDescent="0.25">
      <c r="A901" t="s">
        <v>3827</v>
      </c>
      <c r="B901" t="s">
        <v>3828</v>
      </c>
      <c r="C901" t="s">
        <v>646</v>
      </c>
      <c r="D901" t="s">
        <v>3779</v>
      </c>
      <c r="E901" t="s">
        <v>647</v>
      </c>
      <c r="F901" t="s">
        <v>3780</v>
      </c>
      <c r="G901" t="s">
        <v>769</v>
      </c>
      <c r="H901" t="s">
        <v>703</v>
      </c>
      <c r="I901" t="s">
        <v>3829</v>
      </c>
      <c r="J901" t="s">
        <v>3830</v>
      </c>
      <c r="K901" t="s">
        <v>166</v>
      </c>
      <c r="L901" t="s">
        <v>0</v>
      </c>
      <c r="M901" t="s">
        <v>178</v>
      </c>
      <c r="N901">
        <v>136</v>
      </c>
      <c r="O901">
        <v>47</v>
      </c>
      <c r="P901">
        <v>1088.6500000000001</v>
      </c>
      <c r="Q901">
        <v>3686.47</v>
      </c>
      <c r="R901">
        <v>1273.2524236300001</v>
      </c>
      <c r="S901">
        <v>360.46154841999999</v>
      </c>
      <c r="T901">
        <v>2.42363E-3</v>
      </c>
      <c r="U901">
        <v>0</v>
      </c>
      <c r="V901">
        <v>1273.25</v>
      </c>
      <c r="W901" t="s">
        <v>3831</v>
      </c>
      <c r="X901" t="s">
        <v>271</v>
      </c>
      <c r="Y901" t="s">
        <v>3832</v>
      </c>
      <c r="AA901" t="s">
        <v>3833</v>
      </c>
      <c r="AB901" t="s">
        <v>181</v>
      </c>
    </row>
    <row r="902" spans="1:28" x14ac:dyDescent="0.25">
      <c r="A902" t="s">
        <v>3842</v>
      </c>
      <c r="B902" t="s">
        <v>3843</v>
      </c>
      <c r="C902" t="s">
        <v>646</v>
      </c>
      <c r="D902" t="s">
        <v>3779</v>
      </c>
      <c r="E902" t="s">
        <v>647</v>
      </c>
      <c r="F902" t="s">
        <v>3780</v>
      </c>
      <c r="G902" t="s">
        <v>769</v>
      </c>
      <c r="H902" t="s">
        <v>802</v>
      </c>
      <c r="I902" t="s">
        <v>3844</v>
      </c>
      <c r="J902" t="s">
        <v>3845</v>
      </c>
      <c r="K902" t="s">
        <v>166</v>
      </c>
      <c r="L902" t="s">
        <v>0</v>
      </c>
      <c r="M902" t="s">
        <v>178</v>
      </c>
      <c r="N902">
        <v>1</v>
      </c>
      <c r="O902">
        <v>0</v>
      </c>
      <c r="P902">
        <v>20</v>
      </c>
      <c r="Q902">
        <v>81.84</v>
      </c>
      <c r="R902">
        <v>10.83</v>
      </c>
      <c r="S902">
        <v>0</v>
      </c>
      <c r="T902">
        <v>0</v>
      </c>
      <c r="U902">
        <v>0</v>
      </c>
      <c r="V902">
        <v>10.83</v>
      </c>
      <c r="W902" t="s">
        <v>3846</v>
      </c>
      <c r="X902" t="s">
        <v>271</v>
      </c>
      <c r="Y902" t="s">
        <v>3847</v>
      </c>
      <c r="AA902" t="s">
        <v>3848</v>
      </c>
      <c r="AB902" t="s">
        <v>181</v>
      </c>
    </row>
    <row r="903" spans="1:28" x14ac:dyDescent="0.25">
      <c r="A903" t="s">
        <v>4206</v>
      </c>
      <c r="B903" t="s">
        <v>4207</v>
      </c>
      <c r="C903" t="s">
        <v>646</v>
      </c>
      <c r="D903" t="s">
        <v>3779</v>
      </c>
      <c r="E903" t="s">
        <v>647</v>
      </c>
      <c r="F903" t="s">
        <v>3780</v>
      </c>
      <c r="G903" t="s">
        <v>769</v>
      </c>
      <c r="H903" t="s">
        <v>1171</v>
      </c>
      <c r="I903" t="s">
        <v>4208</v>
      </c>
      <c r="J903" t="s">
        <v>317</v>
      </c>
      <c r="K903" t="s">
        <v>166</v>
      </c>
      <c r="L903" t="s">
        <v>0</v>
      </c>
      <c r="M903" t="s">
        <v>178</v>
      </c>
      <c r="N903">
        <v>145</v>
      </c>
      <c r="O903">
        <v>135</v>
      </c>
      <c r="P903">
        <v>10675.56</v>
      </c>
      <c r="Q903">
        <v>52706.58</v>
      </c>
      <c r="R903">
        <v>5316.57</v>
      </c>
      <c r="S903">
        <v>922.02935411999999</v>
      </c>
      <c r="T903">
        <v>0</v>
      </c>
      <c r="U903">
        <v>0</v>
      </c>
      <c r="V903">
        <v>5316.57</v>
      </c>
      <c r="W903" t="s">
        <v>340</v>
      </c>
      <c r="X903" t="s">
        <v>271</v>
      </c>
      <c r="Y903" t="s">
        <v>4209</v>
      </c>
      <c r="AA903" t="s">
        <v>4210</v>
      </c>
      <c r="AB903" t="s">
        <v>181</v>
      </c>
    </row>
    <row r="904" spans="1:28" x14ac:dyDescent="0.25">
      <c r="A904" t="s">
        <v>3877</v>
      </c>
      <c r="B904" t="s">
        <v>3878</v>
      </c>
      <c r="C904" t="s">
        <v>646</v>
      </c>
      <c r="D904" t="s">
        <v>3779</v>
      </c>
      <c r="E904" t="s">
        <v>647</v>
      </c>
      <c r="F904" t="s">
        <v>648</v>
      </c>
      <c r="G904" t="s">
        <v>648</v>
      </c>
      <c r="H904" t="s">
        <v>679</v>
      </c>
      <c r="I904" t="s">
        <v>3879</v>
      </c>
      <c r="J904" t="s">
        <v>3880</v>
      </c>
      <c r="K904" t="s">
        <v>166</v>
      </c>
      <c r="L904" t="s">
        <v>0</v>
      </c>
      <c r="M904" t="s">
        <v>178</v>
      </c>
      <c r="N904">
        <v>27</v>
      </c>
      <c r="O904">
        <v>14</v>
      </c>
      <c r="P904">
        <v>276.32</v>
      </c>
      <c r="Q904">
        <v>1701.93</v>
      </c>
      <c r="R904">
        <v>26.81790552</v>
      </c>
      <c r="S904">
        <v>661.15157879000003</v>
      </c>
      <c r="T904">
        <v>-0.37209448000000001</v>
      </c>
      <c r="U904">
        <v>0</v>
      </c>
      <c r="V904">
        <v>27.19</v>
      </c>
      <c r="W904" t="s">
        <v>1079</v>
      </c>
      <c r="X904" t="s">
        <v>271</v>
      </c>
      <c r="Y904" t="s">
        <v>3881</v>
      </c>
      <c r="AA904" t="s">
        <v>3882</v>
      </c>
      <c r="AB904" t="s">
        <v>181</v>
      </c>
    </row>
    <row r="905" spans="1:28" x14ac:dyDescent="0.25">
      <c r="A905" t="s">
        <v>4308</v>
      </c>
      <c r="B905" t="s">
        <v>4309</v>
      </c>
      <c r="C905" t="s">
        <v>646</v>
      </c>
      <c r="D905" t="s">
        <v>3779</v>
      </c>
      <c r="E905" t="s">
        <v>647</v>
      </c>
      <c r="F905" t="s">
        <v>3780</v>
      </c>
      <c r="G905" t="s">
        <v>769</v>
      </c>
      <c r="H905" t="s">
        <v>770</v>
      </c>
      <c r="I905" t="s">
        <v>1184</v>
      </c>
      <c r="J905" t="s">
        <v>1185</v>
      </c>
      <c r="K905" t="s">
        <v>166</v>
      </c>
      <c r="L905" t="s">
        <v>0</v>
      </c>
      <c r="M905" t="s">
        <v>178</v>
      </c>
      <c r="N905">
        <v>324.25</v>
      </c>
      <c r="O905">
        <v>88.25</v>
      </c>
      <c r="P905">
        <v>8291.1</v>
      </c>
      <c r="Q905">
        <v>5249.31</v>
      </c>
      <c r="R905">
        <v>486.36</v>
      </c>
      <c r="S905">
        <v>731.71184760000006</v>
      </c>
      <c r="T905">
        <v>0</v>
      </c>
      <c r="U905">
        <v>0</v>
      </c>
      <c r="V905">
        <v>486.36</v>
      </c>
      <c r="W905" t="s">
        <v>1186</v>
      </c>
      <c r="X905" t="s">
        <v>271</v>
      </c>
      <c r="Y905" t="s">
        <v>4310</v>
      </c>
      <c r="AA905" t="s">
        <v>4311</v>
      </c>
      <c r="AB905" t="s">
        <v>181</v>
      </c>
    </row>
    <row r="906" spans="1:28" x14ac:dyDescent="0.25">
      <c r="A906" t="s">
        <v>4092</v>
      </c>
      <c r="B906" t="s">
        <v>4093</v>
      </c>
      <c r="C906" t="s">
        <v>646</v>
      </c>
      <c r="D906" t="s">
        <v>3779</v>
      </c>
      <c r="E906" t="s">
        <v>647</v>
      </c>
      <c r="F906" t="s">
        <v>3780</v>
      </c>
      <c r="G906" t="s">
        <v>769</v>
      </c>
      <c r="H906" t="s">
        <v>1159</v>
      </c>
      <c r="I906" t="s">
        <v>4094</v>
      </c>
      <c r="J906" t="s">
        <v>370</v>
      </c>
      <c r="K906" t="s">
        <v>166</v>
      </c>
      <c r="L906" t="s">
        <v>0</v>
      </c>
      <c r="M906" t="s">
        <v>178</v>
      </c>
      <c r="N906">
        <v>1</v>
      </c>
      <c r="O906">
        <v>1</v>
      </c>
      <c r="P906">
        <v>6.07</v>
      </c>
      <c r="Q906">
        <v>39.020000000000003</v>
      </c>
      <c r="R906">
        <v>11.02</v>
      </c>
      <c r="S906">
        <v>5.28</v>
      </c>
      <c r="T906">
        <v>0</v>
      </c>
      <c r="U906">
        <v>0</v>
      </c>
      <c r="V906">
        <v>11.02</v>
      </c>
      <c r="W906" t="s">
        <v>314</v>
      </c>
      <c r="X906" t="s">
        <v>271</v>
      </c>
      <c r="Y906" t="s">
        <v>4095</v>
      </c>
      <c r="Z906" t="s">
        <v>4096</v>
      </c>
      <c r="AA906" t="s">
        <v>4097</v>
      </c>
      <c r="AB906" t="s">
        <v>181</v>
      </c>
    </row>
    <row r="907" spans="1:28" x14ac:dyDescent="0.25">
      <c r="A907" t="s">
        <v>4240</v>
      </c>
      <c r="B907" t="s">
        <v>4241</v>
      </c>
      <c r="C907" t="s">
        <v>646</v>
      </c>
      <c r="D907" t="s">
        <v>3779</v>
      </c>
      <c r="E907" t="s">
        <v>647</v>
      </c>
      <c r="F907" t="s">
        <v>666</v>
      </c>
      <c r="G907" t="s">
        <v>666</v>
      </c>
      <c r="H907" t="s">
        <v>962</v>
      </c>
      <c r="I907" t="s">
        <v>880</v>
      </c>
      <c r="J907" t="s">
        <v>881</v>
      </c>
      <c r="K907" t="s">
        <v>166</v>
      </c>
      <c r="L907" t="s">
        <v>0</v>
      </c>
      <c r="M907" t="s">
        <v>178</v>
      </c>
      <c r="N907">
        <v>77.25</v>
      </c>
      <c r="O907">
        <v>58</v>
      </c>
      <c r="P907">
        <v>1279.3</v>
      </c>
      <c r="Q907">
        <v>3848.1</v>
      </c>
      <c r="R907">
        <v>483.13888780000002</v>
      </c>
      <c r="S907">
        <v>550.82148242999995</v>
      </c>
      <c r="T907">
        <v>8.8877999999999995E-3</v>
      </c>
      <c r="U907">
        <v>0</v>
      </c>
      <c r="V907">
        <v>483.13</v>
      </c>
      <c r="W907" t="s">
        <v>0</v>
      </c>
      <c r="X907" t="s">
        <v>271</v>
      </c>
      <c r="Y907" t="s">
        <v>4242</v>
      </c>
      <c r="AA907" t="s">
        <v>4243</v>
      </c>
      <c r="AB907" t="s">
        <v>181</v>
      </c>
    </row>
    <row r="908" spans="1:28" x14ac:dyDescent="0.25">
      <c r="A908" t="s">
        <v>4333</v>
      </c>
      <c r="B908" t="s">
        <v>4334</v>
      </c>
      <c r="C908" t="s">
        <v>646</v>
      </c>
      <c r="D908" t="s">
        <v>3779</v>
      </c>
      <c r="E908" t="s">
        <v>647</v>
      </c>
      <c r="F908" t="s">
        <v>666</v>
      </c>
      <c r="G908" t="s">
        <v>666</v>
      </c>
      <c r="H908" t="s">
        <v>962</v>
      </c>
      <c r="I908" t="s">
        <v>3649</v>
      </c>
      <c r="J908" t="s">
        <v>1567</v>
      </c>
      <c r="K908" t="s">
        <v>166</v>
      </c>
      <c r="L908" t="s">
        <v>0</v>
      </c>
      <c r="M908" t="s">
        <v>178</v>
      </c>
      <c r="N908">
        <v>399</v>
      </c>
      <c r="O908">
        <v>269</v>
      </c>
      <c r="P908">
        <v>8169.48</v>
      </c>
      <c r="Q908">
        <v>22271.21</v>
      </c>
      <c r="R908">
        <v>2727.7244439000001</v>
      </c>
      <c r="S908">
        <v>2780.8570127900002</v>
      </c>
      <c r="T908">
        <v>4.4438999999999998E-3</v>
      </c>
      <c r="U908">
        <v>0</v>
      </c>
      <c r="V908">
        <v>2727.72</v>
      </c>
      <c r="W908" t="s">
        <v>556</v>
      </c>
      <c r="X908" t="s">
        <v>271</v>
      </c>
      <c r="Y908" t="s">
        <v>4335</v>
      </c>
      <c r="AA908" t="s">
        <v>4336</v>
      </c>
      <c r="AB908" t="s">
        <v>181</v>
      </c>
    </row>
    <row r="909" spans="1:28" x14ac:dyDescent="0.25">
      <c r="A909" t="s">
        <v>3925</v>
      </c>
      <c r="B909" t="s">
        <v>3926</v>
      </c>
      <c r="C909" t="s">
        <v>646</v>
      </c>
      <c r="D909" t="s">
        <v>3779</v>
      </c>
      <c r="E909" t="s">
        <v>647</v>
      </c>
      <c r="F909" t="s">
        <v>3780</v>
      </c>
      <c r="G909" t="s">
        <v>769</v>
      </c>
      <c r="H909" t="s">
        <v>770</v>
      </c>
      <c r="I909" t="s">
        <v>2284</v>
      </c>
      <c r="J909" t="s">
        <v>2285</v>
      </c>
      <c r="K909" t="s">
        <v>166</v>
      </c>
      <c r="L909" t="s">
        <v>0</v>
      </c>
      <c r="M909" t="s">
        <v>178</v>
      </c>
      <c r="N909">
        <v>239</v>
      </c>
      <c r="O909">
        <v>234</v>
      </c>
      <c r="P909">
        <v>1335</v>
      </c>
      <c r="Q909">
        <v>4078.04</v>
      </c>
      <c r="R909">
        <v>1362.86</v>
      </c>
      <c r="S909">
        <v>721.36088351000001</v>
      </c>
      <c r="T909">
        <v>0</v>
      </c>
      <c r="U909">
        <v>0</v>
      </c>
      <c r="V909">
        <v>1362.86</v>
      </c>
      <c r="W909" t="s">
        <v>453</v>
      </c>
      <c r="X909" t="s">
        <v>271</v>
      </c>
      <c r="Y909" t="s">
        <v>3927</v>
      </c>
      <c r="AA909" t="s">
        <v>3928</v>
      </c>
      <c r="AB909" t="s">
        <v>181</v>
      </c>
    </row>
    <row r="910" spans="1:28" x14ac:dyDescent="0.25">
      <c r="A910" t="s">
        <v>4117</v>
      </c>
      <c r="B910" t="s">
        <v>4118</v>
      </c>
      <c r="C910" t="s">
        <v>646</v>
      </c>
      <c r="D910" t="s">
        <v>3779</v>
      </c>
      <c r="E910" t="s">
        <v>647</v>
      </c>
      <c r="F910" t="s">
        <v>3780</v>
      </c>
      <c r="G910" t="s">
        <v>769</v>
      </c>
      <c r="H910" t="s">
        <v>1175</v>
      </c>
      <c r="I910" t="s">
        <v>1190</v>
      </c>
      <c r="J910" t="s">
        <v>1191</v>
      </c>
      <c r="K910" t="s">
        <v>166</v>
      </c>
      <c r="L910" t="s">
        <v>0</v>
      </c>
      <c r="M910" t="s">
        <v>178</v>
      </c>
      <c r="N910">
        <v>282</v>
      </c>
      <c r="O910">
        <v>282</v>
      </c>
      <c r="P910">
        <v>4182</v>
      </c>
      <c r="Q910">
        <v>5973.52</v>
      </c>
      <c r="R910">
        <v>172.04</v>
      </c>
      <c r="S910">
        <v>1182.36215969</v>
      </c>
      <c r="T910">
        <v>14.4</v>
      </c>
      <c r="U910">
        <v>217.68</v>
      </c>
      <c r="V910">
        <v>423</v>
      </c>
      <c r="W910" t="s">
        <v>282</v>
      </c>
      <c r="X910" t="s">
        <v>271</v>
      </c>
      <c r="Y910" t="s">
        <v>2170</v>
      </c>
      <c r="AA910" t="s">
        <v>2171</v>
      </c>
      <c r="AB910" t="s">
        <v>181</v>
      </c>
    </row>
    <row r="911" spans="1:28" x14ac:dyDescent="0.25">
      <c r="A911" t="s">
        <v>4284</v>
      </c>
      <c r="B911" t="s">
        <v>4285</v>
      </c>
      <c r="C911" t="s">
        <v>646</v>
      </c>
      <c r="D911" t="s">
        <v>3779</v>
      </c>
      <c r="E911" t="s">
        <v>647</v>
      </c>
      <c r="F911" t="s">
        <v>3780</v>
      </c>
      <c r="G911" t="s">
        <v>769</v>
      </c>
      <c r="H911" t="s">
        <v>683</v>
      </c>
      <c r="I911" t="s">
        <v>778</v>
      </c>
      <c r="J911" t="s">
        <v>428</v>
      </c>
      <c r="K911" t="s">
        <v>166</v>
      </c>
      <c r="L911" t="s">
        <v>0</v>
      </c>
      <c r="M911" t="s">
        <v>178</v>
      </c>
      <c r="N911">
        <v>200.3</v>
      </c>
      <c r="O911">
        <v>112</v>
      </c>
      <c r="P911">
        <v>2798.74</v>
      </c>
      <c r="Q911">
        <v>8779.85</v>
      </c>
      <c r="R911">
        <v>2842.8197808599998</v>
      </c>
      <c r="S911">
        <v>852.50262162000001</v>
      </c>
      <c r="T911">
        <v>0.78978086000000003</v>
      </c>
      <c r="U911">
        <v>0</v>
      </c>
      <c r="V911">
        <v>2842.03</v>
      </c>
      <c r="W911" t="s">
        <v>1977</v>
      </c>
      <c r="X911" t="s">
        <v>271</v>
      </c>
      <c r="Y911" t="s">
        <v>4286</v>
      </c>
      <c r="AA911" t="s">
        <v>4287</v>
      </c>
      <c r="AB911" t="s">
        <v>181</v>
      </c>
    </row>
    <row r="912" spans="1:28" x14ac:dyDescent="0.25">
      <c r="A912" t="s">
        <v>4357</v>
      </c>
      <c r="B912" t="s">
        <v>4358</v>
      </c>
      <c r="C912" t="s">
        <v>646</v>
      </c>
      <c r="D912" t="s">
        <v>3779</v>
      </c>
      <c r="E912" t="s">
        <v>647</v>
      </c>
      <c r="F912" t="s">
        <v>3780</v>
      </c>
      <c r="G912" t="s">
        <v>769</v>
      </c>
      <c r="H912" t="s">
        <v>1175</v>
      </c>
      <c r="I912" t="s">
        <v>1599</v>
      </c>
      <c r="J912" t="s">
        <v>1600</v>
      </c>
      <c r="K912" t="s">
        <v>166</v>
      </c>
      <c r="L912" t="s">
        <v>0</v>
      </c>
      <c r="M912" t="s">
        <v>178</v>
      </c>
      <c r="N912">
        <v>3</v>
      </c>
      <c r="O912">
        <v>3</v>
      </c>
      <c r="P912">
        <v>34</v>
      </c>
      <c r="Q912">
        <v>77.69</v>
      </c>
      <c r="R912">
        <v>4.87</v>
      </c>
      <c r="S912">
        <v>9.52</v>
      </c>
      <c r="T912">
        <v>0</v>
      </c>
      <c r="U912">
        <v>0</v>
      </c>
      <c r="V912">
        <v>4.87</v>
      </c>
      <c r="W912" t="s">
        <v>1601</v>
      </c>
      <c r="X912" t="s">
        <v>269</v>
      </c>
      <c r="Y912" t="s">
        <v>4359</v>
      </c>
      <c r="AA912" t="s">
        <v>4360</v>
      </c>
      <c r="AB912" t="s">
        <v>181</v>
      </c>
    </row>
    <row r="913" spans="1:28" x14ac:dyDescent="0.25">
      <c r="A913" t="s">
        <v>4232</v>
      </c>
      <c r="B913" t="s">
        <v>4233</v>
      </c>
      <c r="C913" t="s">
        <v>646</v>
      </c>
      <c r="D913" t="s">
        <v>3779</v>
      </c>
      <c r="E913" t="s">
        <v>647</v>
      </c>
      <c r="F913" t="s">
        <v>3780</v>
      </c>
      <c r="G913" t="s">
        <v>769</v>
      </c>
      <c r="H913" t="s">
        <v>717</v>
      </c>
      <c r="I913" t="s">
        <v>1296</v>
      </c>
      <c r="J913" t="s">
        <v>996</v>
      </c>
      <c r="K913" t="s">
        <v>166</v>
      </c>
      <c r="L913" t="s">
        <v>0</v>
      </c>
      <c r="M913" t="s">
        <v>178</v>
      </c>
      <c r="N913">
        <v>80</v>
      </c>
      <c r="O913">
        <v>0</v>
      </c>
      <c r="P913">
        <v>6002.3</v>
      </c>
      <c r="Q913">
        <v>13905.11</v>
      </c>
      <c r="R913">
        <v>777.51</v>
      </c>
      <c r="S913">
        <v>533.74337607999996</v>
      </c>
      <c r="T913">
        <v>0</v>
      </c>
      <c r="U913">
        <v>0</v>
      </c>
      <c r="V913">
        <v>777.51</v>
      </c>
      <c r="W913" t="s">
        <v>1683</v>
      </c>
      <c r="X913" t="s">
        <v>271</v>
      </c>
      <c r="Y913" t="s">
        <v>4234</v>
      </c>
      <c r="AA913" t="s">
        <v>4235</v>
      </c>
      <c r="AB913" t="s">
        <v>181</v>
      </c>
    </row>
    <row r="914" spans="1:28" x14ac:dyDescent="0.25">
      <c r="A914" t="s">
        <v>4284</v>
      </c>
      <c r="B914" t="s">
        <v>4285</v>
      </c>
      <c r="C914" t="s">
        <v>646</v>
      </c>
      <c r="D914" t="s">
        <v>3779</v>
      </c>
      <c r="E914" t="s">
        <v>647</v>
      </c>
      <c r="F914" t="s">
        <v>3780</v>
      </c>
      <c r="G914" t="s">
        <v>769</v>
      </c>
      <c r="H914" t="s">
        <v>856</v>
      </c>
      <c r="I914" t="s">
        <v>778</v>
      </c>
      <c r="J914" t="s">
        <v>428</v>
      </c>
      <c r="K914" t="s">
        <v>166</v>
      </c>
      <c r="L914" t="s">
        <v>0</v>
      </c>
      <c r="M914" t="s">
        <v>178</v>
      </c>
      <c r="N914">
        <v>6</v>
      </c>
      <c r="O914">
        <v>1</v>
      </c>
      <c r="P914">
        <v>70.06</v>
      </c>
      <c r="Q914">
        <v>959.16</v>
      </c>
      <c r="R914">
        <v>256.89</v>
      </c>
      <c r="S914">
        <v>17.623664000000002</v>
      </c>
      <c r="T914">
        <v>0</v>
      </c>
      <c r="U914">
        <v>0</v>
      </c>
      <c r="V914">
        <v>256.89</v>
      </c>
      <c r="W914" t="s">
        <v>1977</v>
      </c>
      <c r="X914" t="s">
        <v>271</v>
      </c>
      <c r="Y914" t="s">
        <v>4286</v>
      </c>
      <c r="AA914" t="s">
        <v>4287</v>
      </c>
      <c r="AB914" t="s">
        <v>181</v>
      </c>
    </row>
    <row r="915" spans="1:28" x14ac:dyDescent="0.25">
      <c r="A915" t="s">
        <v>3865</v>
      </c>
      <c r="B915" t="s">
        <v>3866</v>
      </c>
      <c r="C915" t="s">
        <v>646</v>
      </c>
      <c r="D915" t="s">
        <v>3779</v>
      </c>
      <c r="E915" t="s">
        <v>647</v>
      </c>
      <c r="F915" t="s">
        <v>3780</v>
      </c>
      <c r="G915" t="s">
        <v>769</v>
      </c>
      <c r="H915" t="s">
        <v>1159</v>
      </c>
      <c r="I915" t="s">
        <v>3867</v>
      </c>
      <c r="J915" t="s">
        <v>881</v>
      </c>
      <c r="K915" t="s">
        <v>166</v>
      </c>
      <c r="L915" t="s">
        <v>0</v>
      </c>
      <c r="M915" t="s">
        <v>178</v>
      </c>
      <c r="N915">
        <v>2</v>
      </c>
      <c r="O915">
        <v>1</v>
      </c>
      <c r="P915">
        <v>19.559999999999999</v>
      </c>
      <c r="Q915">
        <v>140.94999999999999</v>
      </c>
      <c r="R915">
        <v>1.64</v>
      </c>
      <c r="S915">
        <v>23.813160419999999</v>
      </c>
      <c r="T915">
        <v>0</v>
      </c>
      <c r="U915">
        <v>0</v>
      </c>
      <c r="V915">
        <v>1.64</v>
      </c>
      <c r="W915" t="s">
        <v>0</v>
      </c>
      <c r="X915" t="s">
        <v>271</v>
      </c>
      <c r="Y915" t="s">
        <v>3868</v>
      </c>
      <c r="AA915" t="s">
        <v>3869</v>
      </c>
      <c r="AB915" t="s">
        <v>181</v>
      </c>
    </row>
    <row r="916" spans="1:28" x14ac:dyDescent="0.25">
      <c r="A916" t="s">
        <v>3888</v>
      </c>
      <c r="B916" t="s">
        <v>3889</v>
      </c>
      <c r="C916" t="s">
        <v>646</v>
      </c>
      <c r="D916" t="s">
        <v>3779</v>
      </c>
      <c r="E916" t="s">
        <v>647</v>
      </c>
      <c r="F916" t="s">
        <v>3780</v>
      </c>
      <c r="G916" t="s">
        <v>769</v>
      </c>
      <c r="H916" t="s">
        <v>802</v>
      </c>
      <c r="I916" t="s">
        <v>1368</v>
      </c>
      <c r="J916" t="s">
        <v>1369</v>
      </c>
      <c r="K916" t="s">
        <v>166</v>
      </c>
      <c r="L916" t="s">
        <v>0</v>
      </c>
      <c r="M916" t="s">
        <v>178</v>
      </c>
      <c r="N916">
        <v>1.25</v>
      </c>
      <c r="O916">
        <v>1.25</v>
      </c>
      <c r="P916">
        <v>11</v>
      </c>
      <c r="Q916">
        <v>34.340000000000003</v>
      </c>
      <c r="R916">
        <v>3.18</v>
      </c>
      <c r="S916">
        <v>6.2582840300000004</v>
      </c>
      <c r="T916">
        <v>0</v>
      </c>
      <c r="U916">
        <v>0</v>
      </c>
      <c r="V916">
        <v>3.18</v>
      </c>
      <c r="W916" t="s">
        <v>1370</v>
      </c>
      <c r="X916" t="s">
        <v>271</v>
      </c>
      <c r="Y916" t="s">
        <v>3890</v>
      </c>
      <c r="AA916" t="s">
        <v>3891</v>
      </c>
      <c r="AB916" t="s">
        <v>181</v>
      </c>
    </row>
    <row r="917" spans="1:28" x14ac:dyDescent="0.25">
      <c r="A917" t="s">
        <v>4064</v>
      </c>
      <c r="B917" t="s">
        <v>4065</v>
      </c>
      <c r="C917" t="s">
        <v>646</v>
      </c>
      <c r="D917" t="s">
        <v>3779</v>
      </c>
      <c r="E917" t="s">
        <v>647</v>
      </c>
      <c r="F917" t="s">
        <v>3780</v>
      </c>
      <c r="G917" t="s">
        <v>769</v>
      </c>
      <c r="H917" t="s">
        <v>761</v>
      </c>
      <c r="I917" t="s">
        <v>2469</v>
      </c>
      <c r="J917" t="s">
        <v>2470</v>
      </c>
      <c r="K917" t="s">
        <v>166</v>
      </c>
      <c r="L917" t="s">
        <v>0</v>
      </c>
      <c r="M917" t="s">
        <v>178</v>
      </c>
      <c r="N917">
        <v>9</v>
      </c>
      <c r="O917">
        <v>8</v>
      </c>
      <c r="P917">
        <v>362</v>
      </c>
      <c r="Q917">
        <v>239.44</v>
      </c>
      <c r="R917">
        <v>42.03</v>
      </c>
      <c r="S917">
        <v>44.22622707</v>
      </c>
      <c r="T917">
        <v>0</v>
      </c>
      <c r="U917">
        <v>0</v>
      </c>
      <c r="V917">
        <v>42.03</v>
      </c>
      <c r="W917" t="s">
        <v>4066</v>
      </c>
      <c r="X917" t="s">
        <v>271</v>
      </c>
      <c r="Y917" t="s">
        <v>4067</v>
      </c>
      <c r="AA917" t="s">
        <v>4068</v>
      </c>
      <c r="AB917" t="s">
        <v>181</v>
      </c>
    </row>
    <row r="918" spans="1:28" x14ac:dyDescent="0.25">
      <c r="A918" t="s">
        <v>4039</v>
      </c>
      <c r="B918" t="s">
        <v>4040</v>
      </c>
      <c r="C918" t="s">
        <v>646</v>
      </c>
      <c r="D918" t="s">
        <v>3779</v>
      </c>
      <c r="E918" t="s">
        <v>647</v>
      </c>
      <c r="F918" t="s">
        <v>3780</v>
      </c>
      <c r="G918" t="s">
        <v>769</v>
      </c>
      <c r="H918" t="s">
        <v>1171</v>
      </c>
      <c r="I918" t="s">
        <v>1595</v>
      </c>
      <c r="J918" t="s">
        <v>544</v>
      </c>
      <c r="K918" t="s">
        <v>166</v>
      </c>
      <c r="L918" t="s">
        <v>0</v>
      </c>
      <c r="M918" t="s">
        <v>178</v>
      </c>
      <c r="N918">
        <v>17</v>
      </c>
      <c r="O918">
        <v>17</v>
      </c>
      <c r="P918">
        <v>493.6</v>
      </c>
      <c r="Q918">
        <v>4978.8599999999997</v>
      </c>
      <c r="R918">
        <v>161.1522123</v>
      </c>
      <c r="S918">
        <v>32.159999999999997</v>
      </c>
      <c r="T918">
        <v>1.6122122999999999</v>
      </c>
      <c r="U918">
        <v>0</v>
      </c>
      <c r="V918">
        <v>159.54</v>
      </c>
      <c r="W918" t="s">
        <v>239</v>
      </c>
      <c r="X918" t="s">
        <v>271</v>
      </c>
      <c r="Y918" t="s">
        <v>4041</v>
      </c>
      <c r="AA918" t="s">
        <v>4042</v>
      </c>
      <c r="AB918" t="s">
        <v>181</v>
      </c>
    </row>
    <row r="919" spans="1:28" x14ac:dyDescent="0.25">
      <c r="A919" t="s">
        <v>4228</v>
      </c>
      <c r="B919" t="s">
        <v>4229</v>
      </c>
      <c r="C919" t="s">
        <v>646</v>
      </c>
      <c r="D919" t="s">
        <v>3779</v>
      </c>
      <c r="E919" t="s">
        <v>647</v>
      </c>
      <c r="F919" t="s">
        <v>3780</v>
      </c>
      <c r="G919" t="s">
        <v>769</v>
      </c>
      <c r="H919" t="s">
        <v>730</v>
      </c>
      <c r="I919" t="s">
        <v>1971</v>
      </c>
      <c r="J919" t="s">
        <v>1972</v>
      </c>
      <c r="K919" t="s">
        <v>166</v>
      </c>
      <c r="L919" t="s">
        <v>0</v>
      </c>
      <c r="M919" t="s">
        <v>178</v>
      </c>
      <c r="N919">
        <v>1</v>
      </c>
      <c r="O919">
        <v>0</v>
      </c>
      <c r="P919">
        <v>1</v>
      </c>
      <c r="Q919">
        <v>96.29</v>
      </c>
      <c r="R919">
        <v>15.52</v>
      </c>
      <c r="S919">
        <v>6.48</v>
      </c>
      <c r="T919">
        <v>0</v>
      </c>
      <c r="U919">
        <v>0</v>
      </c>
      <c r="V919">
        <v>15.52</v>
      </c>
      <c r="W919" t="s">
        <v>1973</v>
      </c>
      <c r="X919" t="s">
        <v>271</v>
      </c>
      <c r="Y919" t="s">
        <v>4230</v>
      </c>
      <c r="AA919" t="s">
        <v>4231</v>
      </c>
      <c r="AB919" t="s">
        <v>181</v>
      </c>
    </row>
    <row r="920" spans="1:28" x14ac:dyDescent="0.25">
      <c r="A920" t="s">
        <v>4232</v>
      </c>
      <c r="B920" t="s">
        <v>4233</v>
      </c>
      <c r="C920" t="s">
        <v>646</v>
      </c>
      <c r="D920" t="s">
        <v>3779</v>
      </c>
      <c r="E920" t="s">
        <v>647</v>
      </c>
      <c r="F920" t="s">
        <v>3780</v>
      </c>
      <c r="G920" t="s">
        <v>769</v>
      </c>
      <c r="H920" t="s">
        <v>962</v>
      </c>
      <c r="I920" t="s">
        <v>1296</v>
      </c>
      <c r="J920" t="s">
        <v>996</v>
      </c>
      <c r="K920" t="s">
        <v>166</v>
      </c>
      <c r="L920" t="s">
        <v>0</v>
      </c>
      <c r="M920" t="s">
        <v>178</v>
      </c>
      <c r="N920">
        <v>175</v>
      </c>
      <c r="O920">
        <v>0</v>
      </c>
      <c r="P920">
        <v>10935.84</v>
      </c>
      <c r="Q920">
        <v>14680.64</v>
      </c>
      <c r="R920">
        <v>1018.5744439</v>
      </c>
      <c r="S920">
        <v>742.47631159000002</v>
      </c>
      <c r="T920">
        <v>4.4438999999999998E-3</v>
      </c>
      <c r="U920">
        <v>0</v>
      </c>
      <c r="V920">
        <v>1018.57</v>
      </c>
      <c r="W920" t="s">
        <v>1683</v>
      </c>
      <c r="X920" t="s">
        <v>271</v>
      </c>
      <c r="Y920" t="s">
        <v>4234</v>
      </c>
      <c r="AA920" t="s">
        <v>4235</v>
      </c>
      <c r="AB920" t="s">
        <v>181</v>
      </c>
    </row>
    <row r="921" spans="1:28" x14ac:dyDescent="0.25">
      <c r="A921" t="s">
        <v>3960</v>
      </c>
      <c r="B921" t="s">
        <v>3961</v>
      </c>
      <c r="C921" t="s">
        <v>646</v>
      </c>
      <c r="D921" t="s">
        <v>3779</v>
      </c>
      <c r="E921" t="s">
        <v>647</v>
      </c>
      <c r="F921" t="s">
        <v>666</v>
      </c>
      <c r="G921" t="s">
        <v>666</v>
      </c>
      <c r="H921" t="s">
        <v>713</v>
      </c>
      <c r="I921" t="s">
        <v>3962</v>
      </c>
      <c r="J921" t="s">
        <v>575</v>
      </c>
      <c r="K921" t="s">
        <v>166</v>
      </c>
      <c r="L921" t="s">
        <v>0</v>
      </c>
      <c r="M921" t="s">
        <v>178</v>
      </c>
      <c r="N921">
        <v>31</v>
      </c>
      <c r="O921">
        <v>0</v>
      </c>
      <c r="P921">
        <v>730.68</v>
      </c>
      <c r="Q921">
        <v>262.06</v>
      </c>
      <c r="R921">
        <v>19.23</v>
      </c>
      <c r="S921">
        <v>17.246206239999999</v>
      </c>
      <c r="T921">
        <v>1.05</v>
      </c>
      <c r="U921">
        <v>0</v>
      </c>
      <c r="V921">
        <v>18.18</v>
      </c>
      <c r="W921" t="s">
        <v>0</v>
      </c>
      <c r="X921" t="s">
        <v>271</v>
      </c>
      <c r="Y921" t="s">
        <v>3963</v>
      </c>
      <c r="AA921" t="s">
        <v>3964</v>
      </c>
      <c r="AB921" t="s">
        <v>181</v>
      </c>
    </row>
    <row r="922" spans="1:28" x14ac:dyDescent="0.25">
      <c r="A922" t="s">
        <v>3956</v>
      </c>
      <c r="B922" t="s">
        <v>3957</v>
      </c>
      <c r="C922" t="s">
        <v>646</v>
      </c>
      <c r="D922" t="s">
        <v>3779</v>
      </c>
      <c r="E922" t="s">
        <v>647</v>
      </c>
      <c r="F922" t="s">
        <v>666</v>
      </c>
      <c r="G922" t="s">
        <v>666</v>
      </c>
      <c r="H922" t="s">
        <v>1515</v>
      </c>
      <c r="I922" t="s">
        <v>1068</v>
      </c>
      <c r="J922" t="s">
        <v>501</v>
      </c>
      <c r="K922" t="s">
        <v>166</v>
      </c>
      <c r="L922" t="s">
        <v>0</v>
      </c>
      <c r="M922" t="s">
        <v>178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 t="s">
        <v>500</v>
      </c>
      <c r="X922" t="s">
        <v>271</v>
      </c>
      <c r="Y922" t="s">
        <v>3958</v>
      </c>
      <c r="AA922" t="s">
        <v>3959</v>
      </c>
      <c r="AB922" t="s">
        <v>181</v>
      </c>
    </row>
    <row r="923" spans="1:28" x14ac:dyDescent="0.25">
      <c r="A923" t="s">
        <v>3969</v>
      </c>
      <c r="B923" t="s">
        <v>3970</v>
      </c>
      <c r="C923" t="s">
        <v>646</v>
      </c>
      <c r="D923" t="s">
        <v>3779</v>
      </c>
      <c r="E923" t="s">
        <v>647</v>
      </c>
      <c r="F923" t="s">
        <v>3780</v>
      </c>
      <c r="G923" t="s">
        <v>769</v>
      </c>
      <c r="H923" t="s">
        <v>708</v>
      </c>
      <c r="I923" t="s">
        <v>1518</v>
      </c>
      <c r="J923" t="s">
        <v>1519</v>
      </c>
      <c r="K923" t="s">
        <v>166</v>
      </c>
      <c r="L923" t="s">
        <v>0</v>
      </c>
      <c r="M923" t="s">
        <v>178</v>
      </c>
      <c r="N923">
        <v>3</v>
      </c>
      <c r="O923">
        <v>3</v>
      </c>
      <c r="P923">
        <v>1.2</v>
      </c>
      <c r="Q923">
        <v>47.06</v>
      </c>
      <c r="R923">
        <v>16.43</v>
      </c>
      <c r="S923">
        <v>4.8</v>
      </c>
      <c r="T923">
        <v>0</v>
      </c>
      <c r="U923">
        <v>0</v>
      </c>
      <c r="V923">
        <v>16.43</v>
      </c>
      <c r="W923" t="s">
        <v>1485</v>
      </c>
      <c r="X923" t="s">
        <v>271</v>
      </c>
      <c r="Y923" t="s">
        <v>3971</v>
      </c>
      <c r="AA923" t="s">
        <v>3972</v>
      </c>
      <c r="AB923" t="s">
        <v>181</v>
      </c>
    </row>
    <row r="924" spans="1:28" x14ac:dyDescent="0.25">
      <c r="A924" t="s">
        <v>3965</v>
      </c>
      <c r="B924" t="s">
        <v>3966</v>
      </c>
      <c r="C924" t="s">
        <v>646</v>
      </c>
      <c r="D924" t="s">
        <v>3779</v>
      </c>
      <c r="E924" t="s">
        <v>647</v>
      </c>
      <c r="F924" t="s">
        <v>3780</v>
      </c>
      <c r="G924" t="s">
        <v>769</v>
      </c>
      <c r="H924" t="s">
        <v>1171</v>
      </c>
      <c r="I924" t="s">
        <v>2339</v>
      </c>
      <c r="J924" t="s">
        <v>2165</v>
      </c>
      <c r="K924" t="s">
        <v>166</v>
      </c>
      <c r="L924" t="s">
        <v>0</v>
      </c>
      <c r="M924" t="s">
        <v>178</v>
      </c>
      <c r="N924">
        <v>169</v>
      </c>
      <c r="O924">
        <v>0</v>
      </c>
      <c r="P924">
        <v>4778.8900000000003</v>
      </c>
      <c r="Q924">
        <v>21942.48</v>
      </c>
      <c r="R924">
        <v>-560.19427454000004</v>
      </c>
      <c r="S924">
        <v>769.22987723999995</v>
      </c>
      <c r="T924">
        <v>3536.3857254599998</v>
      </c>
      <c r="U924">
        <v>581.52</v>
      </c>
      <c r="V924">
        <v>70.89</v>
      </c>
      <c r="W924" t="s">
        <v>2166</v>
      </c>
      <c r="X924" t="s">
        <v>271</v>
      </c>
      <c r="Y924" t="s">
        <v>3967</v>
      </c>
      <c r="AA924" t="s">
        <v>3968</v>
      </c>
      <c r="AB924" t="s">
        <v>181</v>
      </c>
    </row>
    <row r="925" spans="1:28" x14ac:dyDescent="0.25">
      <c r="A925" t="s">
        <v>4162</v>
      </c>
      <c r="B925" t="s">
        <v>4163</v>
      </c>
      <c r="C925" t="s">
        <v>646</v>
      </c>
      <c r="D925" t="s">
        <v>3779</v>
      </c>
      <c r="E925" t="s">
        <v>647</v>
      </c>
      <c r="F925" t="s">
        <v>3780</v>
      </c>
      <c r="G925" t="s">
        <v>769</v>
      </c>
      <c r="H925" t="s">
        <v>703</v>
      </c>
      <c r="I925" t="s">
        <v>4164</v>
      </c>
      <c r="J925" t="s">
        <v>985</v>
      </c>
      <c r="K925" t="s">
        <v>166</v>
      </c>
      <c r="L925" t="s">
        <v>0</v>
      </c>
      <c r="M925" t="s">
        <v>178</v>
      </c>
      <c r="N925">
        <v>361.9667</v>
      </c>
      <c r="O925">
        <v>210.16669999999999</v>
      </c>
      <c r="P925">
        <v>7953.91</v>
      </c>
      <c r="Q925">
        <v>11055.39</v>
      </c>
      <c r="R925">
        <v>1119.1203789399999</v>
      </c>
      <c r="S925">
        <v>2077.3029415300002</v>
      </c>
      <c r="T925">
        <v>1.8103789400000001</v>
      </c>
      <c r="U925">
        <v>0</v>
      </c>
      <c r="V925">
        <v>1117.31</v>
      </c>
      <c r="W925" t="s">
        <v>986</v>
      </c>
      <c r="X925" t="s">
        <v>271</v>
      </c>
      <c r="Y925" t="s">
        <v>4165</v>
      </c>
      <c r="AA925" t="s">
        <v>4166</v>
      </c>
      <c r="AB925" t="s">
        <v>181</v>
      </c>
    </row>
    <row r="926" spans="1:28" x14ac:dyDescent="0.25">
      <c r="A926" t="s">
        <v>4119</v>
      </c>
      <c r="B926" t="s">
        <v>4120</v>
      </c>
      <c r="C926" t="s">
        <v>646</v>
      </c>
      <c r="D926" t="s">
        <v>3779</v>
      </c>
      <c r="E926" t="s">
        <v>647</v>
      </c>
      <c r="F926" t="s">
        <v>3780</v>
      </c>
      <c r="G926" t="s">
        <v>769</v>
      </c>
      <c r="H926" t="s">
        <v>761</v>
      </c>
      <c r="I926" t="s">
        <v>1374</v>
      </c>
      <c r="J926" t="s">
        <v>441</v>
      </c>
      <c r="K926" t="s">
        <v>166</v>
      </c>
      <c r="L926" t="s">
        <v>0</v>
      </c>
      <c r="M926" t="s">
        <v>178</v>
      </c>
      <c r="N926">
        <v>82</v>
      </c>
      <c r="O926">
        <v>48</v>
      </c>
      <c r="P926">
        <v>2968.87</v>
      </c>
      <c r="Q926">
        <v>2546.42</v>
      </c>
      <c r="R926">
        <v>463.65677249999999</v>
      </c>
      <c r="S926">
        <v>393.23545496000003</v>
      </c>
      <c r="T926">
        <v>0.19677249999999999</v>
      </c>
      <c r="U926">
        <v>0</v>
      </c>
      <c r="V926">
        <v>463.46</v>
      </c>
      <c r="W926" t="s">
        <v>440</v>
      </c>
      <c r="X926" t="s">
        <v>271</v>
      </c>
      <c r="Y926" t="s">
        <v>4121</v>
      </c>
      <c r="AA926" t="s">
        <v>4122</v>
      </c>
      <c r="AB926" t="s">
        <v>181</v>
      </c>
    </row>
    <row r="927" spans="1:28" x14ac:dyDescent="0.25">
      <c r="A927" t="s">
        <v>4098</v>
      </c>
      <c r="B927" t="s">
        <v>4099</v>
      </c>
      <c r="C927" t="s">
        <v>646</v>
      </c>
      <c r="D927" t="s">
        <v>3779</v>
      </c>
      <c r="E927" t="s">
        <v>647</v>
      </c>
      <c r="F927" t="s">
        <v>666</v>
      </c>
      <c r="G927" t="s">
        <v>666</v>
      </c>
      <c r="H927" t="s">
        <v>717</v>
      </c>
      <c r="I927" t="s">
        <v>765</v>
      </c>
      <c r="J927" t="s">
        <v>436</v>
      </c>
      <c r="K927" t="s">
        <v>166</v>
      </c>
      <c r="L927" t="s">
        <v>0</v>
      </c>
      <c r="M927" t="s">
        <v>178</v>
      </c>
      <c r="N927">
        <v>361</v>
      </c>
      <c r="O927">
        <v>228</v>
      </c>
      <c r="P927">
        <v>5602.83</v>
      </c>
      <c r="Q927">
        <v>19820.330000000002</v>
      </c>
      <c r="R927">
        <v>896.92345884999997</v>
      </c>
      <c r="S927">
        <v>484.38787554999999</v>
      </c>
      <c r="T927">
        <v>2.8034588500000002</v>
      </c>
      <c r="U927">
        <v>0</v>
      </c>
      <c r="V927">
        <v>894.12</v>
      </c>
      <c r="W927" t="s">
        <v>0</v>
      </c>
      <c r="X927" t="s">
        <v>271</v>
      </c>
      <c r="Y927" t="s">
        <v>4100</v>
      </c>
      <c r="AA927" t="s">
        <v>4101</v>
      </c>
      <c r="AB927" t="s">
        <v>181</v>
      </c>
    </row>
    <row r="928" spans="1:28" x14ac:dyDescent="0.25">
      <c r="A928" t="s">
        <v>4316</v>
      </c>
      <c r="B928" t="s">
        <v>4317</v>
      </c>
      <c r="C928" t="s">
        <v>646</v>
      </c>
      <c r="D928" t="s">
        <v>3779</v>
      </c>
      <c r="E928" t="s">
        <v>647</v>
      </c>
      <c r="F928" t="s">
        <v>3780</v>
      </c>
      <c r="G928" t="s">
        <v>769</v>
      </c>
      <c r="H928" t="s">
        <v>802</v>
      </c>
      <c r="I928" t="s">
        <v>1290</v>
      </c>
      <c r="J928" t="s">
        <v>1291</v>
      </c>
      <c r="K928" t="s">
        <v>166</v>
      </c>
      <c r="L928" t="s">
        <v>0</v>
      </c>
      <c r="M928" t="s">
        <v>178</v>
      </c>
      <c r="N928">
        <v>83.416600000000003</v>
      </c>
      <c r="O928">
        <v>74.166600000000003</v>
      </c>
      <c r="P928">
        <v>1257.4000000000001</v>
      </c>
      <c r="Q928">
        <v>4897.7</v>
      </c>
      <c r="R928">
        <v>1397.55</v>
      </c>
      <c r="S928">
        <v>488.55293934000002</v>
      </c>
      <c r="T928">
        <v>0</v>
      </c>
      <c r="U928">
        <v>0</v>
      </c>
      <c r="V928">
        <v>1397.55</v>
      </c>
      <c r="W928" t="s">
        <v>1292</v>
      </c>
      <c r="X928" t="s">
        <v>271</v>
      </c>
      <c r="Y928" t="s">
        <v>4318</v>
      </c>
      <c r="AA928" t="s">
        <v>4319</v>
      </c>
      <c r="AB928" t="s">
        <v>181</v>
      </c>
    </row>
    <row r="929" spans="1:28" x14ac:dyDescent="0.25">
      <c r="A929" t="s">
        <v>4086</v>
      </c>
      <c r="B929" t="s">
        <v>4087</v>
      </c>
      <c r="C929" t="s">
        <v>646</v>
      </c>
      <c r="D929" t="s">
        <v>3779</v>
      </c>
      <c r="E929" t="s">
        <v>647</v>
      </c>
      <c r="F929" t="s">
        <v>3780</v>
      </c>
      <c r="G929" t="s">
        <v>769</v>
      </c>
      <c r="H929" t="s">
        <v>708</v>
      </c>
      <c r="I929" t="s">
        <v>4088</v>
      </c>
      <c r="J929" t="s">
        <v>480</v>
      </c>
      <c r="K929" t="s">
        <v>166</v>
      </c>
      <c r="L929" t="s">
        <v>0</v>
      </c>
      <c r="M929" t="s">
        <v>178</v>
      </c>
      <c r="N929">
        <v>60</v>
      </c>
      <c r="O929">
        <v>28</v>
      </c>
      <c r="P929">
        <v>343.15</v>
      </c>
      <c r="Q929">
        <v>1925.99</v>
      </c>
      <c r="R929">
        <v>447.6</v>
      </c>
      <c r="S929">
        <v>236.45129588</v>
      </c>
      <c r="T929">
        <v>0</v>
      </c>
      <c r="U929">
        <v>0</v>
      </c>
      <c r="V929">
        <v>447.6</v>
      </c>
      <c r="W929" t="s">
        <v>4089</v>
      </c>
      <c r="X929" t="s">
        <v>271</v>
      </c>
      <c r="Y929" t="s">
        <v>4090</v>
      </c>
      <c r="AA929" t="s">
        <v>4091</v>
      </c>
      <c r="AB929" t="s">
        <v>181</v>
      </c>
    </row>
    <row r="930" spans="1:28" x14ac:dyDescent="0.25">
      <c r="A930" t="s">
        <v>3823</v>
      </c>
      <c r="B930" t="s">
        <v>3824</v>
      </c>
      <c r="C930" t="s">
        <v>646</v>
      </c>
      <c r="D930" t="s">
        <v>3779</v>
      </c>
      <c r="E930" t="s">
        <v>647</v>
      </c>
      <c r="F930" t="s">
        <v>3780</v>
      </c>
      <c r="G930" t="s">
        <v>769</v>
      </c>
      <c r="H930" t="s">
        <v>683</v>
      </c>
      <c r="I930" t="s">
        <v>1801</v>
      </c>
      <c r="J930" t="s">
        <v>437</v>
      </c>
      <c r="K930" t="s">
        <v>166</v>
      </c>
      <c r="L930" t="s">
        <v>0</v>
      </c>
      <c r="M930" t="s">
        <v>178</v>
      </c>
      <c r="N930">
        <v>188.33340000000001</v>
      </c>
      <c r="O930">
        <v>147.33340000000001</v>
      </c>
      <c r="P930">
        <v>3153.01</v>
      </c>
      <c r="Q930">
        <v>6599.25</v>
      </c>
      <c r="R930">
        <v>1094.8104700199999</v>
      </c>
      <c r="S930">
        <v>1493.2645910199999</v>
      </c>
      <c r="T930">
        <v>0.12047002</v>
      </c>
      <c r="U930">
        <v>0</v>
      </c>
      <c r="V930">
        <v>1094.69</v>
      </c>
      <c r="W930" t="s">
        <v>510</v>
      </c>
      <c r="X930" t="s">
        <v>271</v>
      </c>
      <c r="Y930" t="s">
        <v>3825</v>
      </c>
      <c r="AA930" t="s">
        <v>3826</v>
      </c>
      <c r="AB930" t="s">
        <v>181</v>
      </c>
    </row>
    <row r="931" spans="1:28" x14ac:dyDescent="0.25">
      <c r="A931" t="s">
        <v>4333</v>
      </c>
      <c r="B931" t="s">
        <v>4334</v>
      </c>
      <c r="C931" t="s">
        <v>646</v>
      </c>
      <c r="D931" t="s">
        <v>3779</v>
      </c>
      <c r="E931" t="s">
        <v>647</v>
      </c>
      <c r="F931" t="s">
        <v>666</v>
      </c>
      <c r="G931" t="s">
        <v>666</v>
      </c>
      <c r="H931" t="s">
        <v>708</v>
      </c>
      <c r="I931" t="s">
        <v>3649</v>
      </c>
      <c r="J931" t="s">
        <v>1567</v>
      </c>
      <c r="K931" t="s">
        <v>166</v>
      </c>
      <c r="L931" t="s">
        <v>0</v>
      </c>
      <c r="M931" t="s">
        <v>178</v>
      </c>
      <c r="N931">
        <v>42</v>
      </c>
      <c r="O931">
        <v>20</v>
      </c>
      <c r="P931">
        <v>120.51</v>
      </c>
      <c r="Q931">
        <v>532.82000000000005</v>
      </c>
      <c r="R931">
        <v>68.73</v>
      </c>
      <c r="S931">
        <v>132.21542486000001</v>
      </c>
      <c r="T931">
        <v>0</v>
      </c>
      <c r="U931">
        <v>20.260000000000002</v>
      </c>
      <c r="V931">
        <v>88.99</v>
      </c>
      <c r="W931" t="s">
        <v>556</v>
      </c>
      <c r="X931" t="s">
        <v>271</v>
      </c>
      <c r="Y931" t="s">
        <v>4335</v>
      </c>
      <c r="AA931" t="s">
        <v>4336</v>
      </c>
      <c r="AB931" t="s">
        <v>181</v>
      </c>
    </row>
    <row r="932" spans="1:28" x14ac:dyDescent="0.25">
      <c r="A932" t="s">
        <v>3895</v>
      </c>
      <c r="B932" t="s">
        <v>3896</v>
      </c>
      <c r="C932" t="s">
        <v>646</v>
      </c>
      <c r="D932" t="s">
        <v>3779</v>
      </c>
      <c r="E932" t="s">
        <v>647</v>
      </c>
      <c r="F932" t="s">
        <v>3780</v>
      </c>
      <c r="G932" t="s">
        <v>769</v>
      </c>
      <c r="H932" t="s">
        <v>649</v>
      </c>
      <c r="I932" t="s">
        <v>3897</v>
      </c>
      <c r="J932" t="s">
        <v>437</v>
      </c>
      <c r="K932" t="s">
        <v>166</v>
      </c>
      <c r="L932" t="s">
        <v>0</v>
      </c>
      <c r="M932" t="s">
        <v>178</v>
      </c>
      <c r="N932">
        <v>822</v>
      </c>
      <c r="O932">
        <v>687</v>
      </c>
      <c r="P932">
        <v>25265.07</v>
      </c>
      <c r="Q932">
        <v>53019.17</v>
      </c>
      <c r="R932">
        <v>2112.4299999999998</v>
      </c>
      <c r="S932">
        <v>3332.3168550099999</v>
      </c>
      <c r="T932">
        <v>0</v>
      </c>
      <c r="U932">
        <v>0</v>
      </c>
      <c r="V932">
        <v>2112.4299999999998</v>
      </c>
      <c r="W932" t="s">
        <v>510</v>
      </c>
      <c r="X932" t="s">
        <v>271</v>
      </c>
      <c r="Y932" t="s">
        <v>3898</v>
      </c>
      <c r="AA932" t="s">
        <v>3899</v>
      </c>
      <c r="AB932" t="s">
        <v>181</v>
      </c>
    </row>
    <row r="933" spans="1:28" x14ac:dyDescent="0.25">
      <c r="A933" t="s">
        <v>3917</v>
      </c>
      <c r="B933" t="s">
        <v>3918</v>
      </c>
      <c r="C933" t="s">
        <v>646</v>
      </c>
      <c r="D933" t="s">
        <v>3779</v>
      </c>
      <c r="E933" t="s">
        <v>647</v>
      </c>
      <c r="F933" t="s">
        <v>3780</v>
      </c>
      <c r="G933" t="s">
        <v>769</v>
      </c>
      <c r="H933" t="s">
        <v>683</v>
      </c>
      <c r="I933" t="s">
        <v>1083</v>
      </c>
      <c r="J933" t="s">
        <v>731</v>
      </c>
      <c r="K933" t="s">
        <v>166</v>
      </c>
      <c r="L933" t="s">
        <v>0</v>
      </c>
      <c r="M933" t="s">
        <v>178</v>
      </c>
      <c r="N933">
        <v>38</v>
      </c>
      <c r="O933">
        <v>32</v>
      </c>
      <c r="P933">
        <v>808.2</v>
      </c>
      <c r="Q933">
        <v>1528.43</v>
      </c>
      <c r="R933">
        <v>550.23</v>
      </c>
      <c r="S933">
        <v>262.03183336000001</v>
      </c>
      <c r="T933">
        <v>0</v>
      </c>
      <c r="U933">
        <v>0</v>
      </c>
      <c r="V933">
        <v>550.23</v>
      </c>
      <c r="W933" t="s">
        <v>0</v>
      </c>
      <c r="X933" t="s">
        <v>271</v>
      </c>
      <c r="Y933" t="s">
        <v>3919</v>
      </c>
      <c r="AA933" t="s">
        <v>3920</v>
      </c>
      <c r="AB933" t="s">
        <v>181</v>
      </c>
    </row>
    <row r="934" spans="1:28" x14ac:dyDescent="0.25">
      <c r="A934" t="s">
        <v>4162</v>
      </c>
      <c r="B934" t="s">
        <v>4163</v>
      </c>
      <c r="C934" t="s">
        <v>646</v>
      </c>
      <c r="D934" t="s">
        <v>3779</v>
      </c>
      <c r="E934" t="s">
        <v>647</v>
      </c>
      <c r="F934" t="s">
        <v>3780</v>
      </c>
      <c r="G934" t="s">
        <v>769</v>
      </c>
      <c r="H934" t="s">
        <v>717</v>
      </c>
      <c r="I934" t="s">
        <v>4164</v>
      </c>
      <c r="J934" t="s">
        <v>985</v>
      </c>
      <c r="K934" t="s">
        <v>166</v>
      </c>
      <c r="L934" t="s">
        <v>0</v>
      </c>
      <c r="M934" t="s">
        <v>178</v>
      </c>
      <c r="N934">
        <v>25</v>
      </c>
      <c r="O934">
        <v>24</v>
      </c>
      <c r="P934">
        <v>429.03</v>
      </c>
      <c r="Q934">
        <v>1184.94</v>
      </c>
      <c r="R934">
        <v>82.67</v>
      </c>
      <c r="S934">
        <v>97.629299099999997</v>
      </c>
      <c r="T934">
        <v>0</v>
      </c>
      <c r="U934">
        <v>0</v>
      </c>
      <c r="V934">
        <v>82.67</v>
      </c>
      <c r="W934" t="s">
        <v>986</v>
      </c>
      <c r="X934" t="s">
        <v>271</v>
      </c>
      <c r="Y934" t="s">
        <v>4165</v>
      </c>
      <c r="AA934" t="s">
        <v>4166</v>
      </c>
      <c r="AB934" t="s">
        <v>181</v>
      </c>
    </row>
    <row r="935" spans="1:28" x14ac:dyDescent="0.25">
      <c r="A935" t="s">
        <v>4228</v>
      </c>
      <c r="B935" t="s">
        <v>4229</v>
      </c>
      <c r="C935" t="s">
        <v>646</v>
      </c>
      <c r="D935" t="s">
        <v>3779</v>
      </c>
      <c r="E935" t="s">
        <v>647</v>
      </c>
      <c r="F935" t="s">
        <v>3780</v>
      </c>
      <c r="G935" t="s">
        <v>769</v>
      </c>
      <c r="H935" t="s">
        <v>802</v>
      </c>
      <c r="I935" t="s">
        <v>1971</v>
      </c>
      <c r="J935" t="s">
        <v>1972</v>
      </c>
      <c r="K935" t="s">
        <v>166</v>
      </c>
      <c r="L935" t="s">
        <v>0</v>
      </c>
      <c r="M935" t="s">
        <v>178</v>
      </c>
      <c r="N935">
        <v>277.25</v>
      </c>
      <c r="O935">
        <v>204.25</v>
      </c>
      <c r="P935">
        <v>4976.5</v>
      </c>
      <c r="Q935">
        <v>16344.69</v>
      </c>
      <c r="R935">
        <v>3956.55</v>
      </c>
      <c r="S935">
        <v>1114.51483807</v>
      </c>
      <c r="T935">
        <v>0</v>
      </c>
      <c r="U935">
        <v>0</v>
      </c>
      <c r="V935">
        <v>3956.55</v>
      </c>
      <c r="W935" t="s">
        <v>1973</v>
      </c>
      <c r="X935" t="s">
        <v>271</v>
      </c>
      <c r="Y935" t="s">
        <v>4230</v>
      </c>
      <c r="AA935" t="s">
        <v>4231</v>
      </c>
      <c r="AB935" t="s">
        <v>181</v>
      </c>
    </row>
    <row r="936" spans="1:28" x14ac:dyDescent="0.25">
      <c r="A936" t="s">
        <v>4057</v>
      </c>
      <c r="B936" t="s">
        <v>4058</v>
      </c>
      <c r="C936" t="s">
        <v>646</v>
      </c>
      <c r="D936" t="s">
        <v>3779</v>
      </c>
      <c r="E936" t="s">
        <v>647</v>
      </c>
      <c r="F936" t="s">
        <v>3780</v>
      </c>
      <c r="G936" t="s">
        <v>769</v>
      </c>
      <c r="H936" t="s">
        <v>770</v>
      </c>
      <c r="I936" t="s">
        <v>1190</v>
      </c>
      <c r="J936" t="s">
        <v>1191</v>
      </c>
      <c r="K936" t="s">
        <v>166</v>
      </c>
      <c r="L936" t="s">
        <v>0</v>
      </c>
      <c r="M936" t="s">
        <v>178</v>
      </c>
      <c r="N936">
        <v>328.58330000000001</v>
      </c>
      <c r="O936">
        <v>185.58330000000001</v>
      </c>
      <c r="P936">
        <v>5086.8999999999996</v>
      </c>
      <c r="Q936">
        <v>7167.87</v>
      </c>
      <c r="R936">
        <v>553.04</v>
      </c>
      <c r="S936">
        <v>921.67749581999999</v>
      </c>
      <c r="T936">
        <v>0</v>
      </c>
      <c r="U936">
        <v>0</v>
      </c>
      <c r="V936">
        <v>553.04</v>
      </c>
      <c r="W936" t="s">
        <v>282</v>
      </c>
      <c r="X936" t="s">
        <v>271</v>
      </c>
      <c r="Y936" t="s">
        <v>4059</v>
      </c>
      <c r="AA936" t="s">
        <v>2171</v>
      </c>
      <c r="AB936" t="s">
        <v>181</v>
      </c>
    </row>
    <row r="937" spans="1:28" x14ac:dyDescent="0.25">
      <c r="A937" t="s">
        <v>4316</v>
      </c>
      <c r="B937" t="s">
        <v>4317</v>
      </c>
      <c r="C937" t="s">
        <v>646</v>
      </c>
      <c r="D937" t="s">
        <v>3779</v>
      </c>
      <c r="E937" t="s">
        <v>647</v>
      </c>
      <c r="F937" t="s">
        <v>3780</v>
      </c>
      <c r="G937" t="s">
        <v>769</v>
      </c>
      <c r="H937" t="s">
        <v>757</v>
      </c>
      <c r="I937" t="s">
        <v>1290</v>
      </c>
      <c r="J937" t="s">
        <v>1291</v>
      </c>
      <c r="K937" t="s">
        <v>166</v>
      </c>
      <c r="L937" t="s">
        <v>0</v>
      </c>
      <c r="M937" t="s">
        <v>178</v>
      </c>
      <c r="N937">
        <v>147.6053</v>
      </c>
      <c r="O937">
        <v>133.6053</v>
      </c>
      <c r="P937">
        <v>3409.41</v>
      </c>
      <c r="Q937">
        <v>6760.42</v>
      </c>
      <c r="R937">
        <v>1299.1300000000001</v>
      </c>
      <c r="S937">
        <v>1139.2636621900001</v>
      </c>
      <c r="T937">
        <v>0</v>
      </c>
      <c r="U937">
        <v>0</v>
      </c>
      <c r="V937">
        <v>1299.1300000000001</v>
      </c>
      <c r="W937" t="s">
        <v>1292</v>
      </c>
      <c r="X937" t="s">
        <v>271</v>
      </c>
      <c r="Y937" t="s">
        <v>4318</v>
      </c>
      <c r="AA937" t="s">
        <v>4319</v>
      </c>
      <c r="AB937" t="s">
        <v>181</v>
      </c>
    </row>
    <row r="938" spans="1:28" x14ac:dyDescent="0.25">
      <c r="A938" t="s">
        <v>4119</v>
      </c>
      <c r="B938" t="s">
        <v>4120</v>
      </c>
      <c r="C938" t="s">
        <v>646</v>
      </c>
      <c r="D938" t="s">
        <v>3779</v>
      </c>
      <c r="E938" t="s">
        <v>647</v>
      </c>
      <c r="F938" t="s">
        <v>3780</v>
      </c>
      <c r="G938" t="s">
        <v>769</v>
      </c>
      <c r="H938" t="s">
        <v>672</v>
      </c>
      <c r="I938" t="s">
        <v>1374</v>
      </c>
      <c r="J938" t="s">
        <v>441</v>
      </c>
      <c r="K938" t="s">
        <v>166</v>
      </c>
      <c r="L938" t="s">
        <v>0</v>
      </c>
      <c r="M938" t="s">
        <v>178</v>
      </c>
      <c r="N938">
        <v>218</v>
      </c>
      <c r="O938">
        <v>187</v>
      </c>
      <c r="P938">
        <v>5330.46</v>
      </c>
      <c r="Q938">
        <v>9567.2000000000007</v>
      </c>
      <c r="R938">
        <v>1538.0205592299999</v>
      </c>
      <c r="S938">
        <v>2187.1612440600002</v>
      </c>
      <c r="T938">
        <v>0.23055923</v>
      </c>
      <c r="U938">
        <v>0</v>
      </c>
      <c r="V938">
        <v>1537.79</v>
      </c>
      <c r="W938" t="s">
        <v>440</v>
      </c>
      <c r="X938" t="s">
        <v>271</v>
      </c>
      <c r="Y938" t="s">
        <v>4121</v>
      </c>
      <c r="AA938" t="s">
        <v>4122</v>
      </c>
      <c r="AB938" t="s">
        <v>181</v>
      </c>
    </row>
    <row r="939" spans="1:28" x14ac:dyDescent="0.25">
      <c r="A939" t="s">
        <v>3857</v>
      </c>
      <c r="B939" t="s">
        <v>3858</v>
      </c>
      <c r="C939" t="s">
        <v>646</v>
      </c>
      <c r="D939" t="s">
        <v>3779</v>
      </c>
      <c r="E939" t="s">
        <v>647</v>
      </c>
      <c r="F939" t="s">
        <v>3780</v>
      </c>
      <c r="G939" t="s">
        <v>769</v>
      </c>
      <c r="H939" t="s">
        <v>672</v>
      </c>
      <c r="I939" t="s">
        <v>952</v>
      </c>
      <c r="J939" t="s">
        <v>434</v>
      </c>
      <c r="K939" t="s">
        <v>166</v>
      </c>
      <c r="L939" t="s">
        <v>0</v>
      </c>
      <c r="M939" t="s">
        <v>178</v>
      </c>
      <c r="N939">
        <v>306</v>
      </c>
      <c r="O939">
        <v>110</v>
      </c>
      <c r="P939">
        <v>5222.22</v>
      </c>
      <c r="Q939">
        <v>14087.71</v>
      </c>
      <c r="R939">
        <v>3773.1497269900001</v>
      </c>
      <c r="S939">
        <v>1903.65130032</v>
      </c>
      <c r="T939">
        <v>0.29972699000000003</v>
      </c>
      <c r="U939">
        <v>0</v>
      </c>
      <c r="V939">
        <v>3772.85</v>
      </c>
      <c r="W939" t="s">
        <v>466</v>
      </c>
      <c r="X939" t="s">
        <v>271</v>
      </c>
      <c r="Y939" t="s">
        <v>3859</v>
      </c>
      <c r="AA939" t="s">
        <v>3860</v>
      </c>
      <c r="AB939" t="s">
        <v>181</v>
      </c>
    </row>
    <row r="940" spans="1:28" x14ac:dyDescent="0.25">
      <c r="A940" t="s">
        <v>3933</v>
      </c>
      <c r="B940" t="s">
        <v>3934</v>
      </c>
      <c r="C940" t="s">
        <v>646</v>
      </c>
      <c r="D940" t="s">
        <v>3779</v>
      </c>
      <c r="E940" t="s">
        <v>647</v>
      </c>
      <c r="F940" t="s">
        <v>3780</v>
      </c>
      <c r="G940" t="s">
        <v>769</v>
      </c>
      <c r="H940" t="s">
        <v>797</v>
      </c>
      <c r="I940" t="s">
        <v>3935</v>
      </c>
      <c r="J940" t="s">
        <v>1214</v>
      </c>
      <c r="K940" t="s">
        <v>166</v>
      </c>
      <c r="L940" t="s">
        <v>0</v>
      </c>
      <c r="M940" t="s">
        <v>178</v>
      </c>
      <c r="N940">
        <v>58</v>
      </c>
      <c r="O940">
        <v>56</v>
      </c>
      <c r="P940">
        <v>632.53</v>
      </c>
      <c r="Q940">
        <v>1869.06</v>
      </c>
      <c r="R940">
        <v>322.64999999999998</v>
      </c>
      <c r="S940">
        <v>408.88620013000002</v>
      </c>
      <c r="T940">
        <v>0</v>
      </c>
      <c r="U940">
        <v>0</v>
      </c>
      <c r="V940">
        <v>322.64999999999998</v>
      </c>
      <c r="W940" t="s">
        <v>0</v>
      </c>
      <c r="X940" t="s">
        <v>271</v>
      </c>
      <c r="Y940" t="s">
        <v>3936</v>
      </c>
      <c r="AA940" t="s">
        <v>3937</v>
      </c>
      <c r="AB940" t="s">
        <v>181</v>
      </c>
    </row>
    <row r="941" spans="1:28" x14ac:dyDescent="0.25">
      <c r="A941" t="s">
        <v>3814</v>
      </c>
      <c r="B941" t="s">
        <v>3815</v>
      </c>
      <c r="C941" t="s">
        <v>646</v>
      </c>
      <c r="D941" t="s">
        <v>3779</v>
      </c>
      <c r="E941" t="s">
        <v>647</v>
      </c>
      <c r="F941" t="s">
        <v>3780</v>
      </c>
      <c r="G941" t="s">
        <v>769</v>
      </c>
      <c r="H941" t="s">
        <v>761</v>
      </c>
      <c r="I941" t="s">
        <v>3816</v>
      </c>
      <c r="J941" t="s">
        <v>548</v>
      </c>
      <c r="K941" t="s">
        <v>166</v>
      </c>
      <c r="L941" t="s">
        <v>0</v>
      </c>
      <c r="M941" t="s">
        <v>178</v>
      </c>
      <c r="N941">
        <v>17</v>
      </c>
      <c r="O941">
        <v>10</v>
      </c>
      <c r="P941">
        <v>472.36</v>
      </c>
      <c r="Q941">
        <v>982.65</v>
      </c>
      <c r="R941">
        <v>82.76</v>
      </c>
      <c r="S941">
        <v>179.96327805999999</v>
      </c>
      <c r="T941">
        <v>0</v>
      </c>
      <c r="U941">
        <v>0</v>
      </c>
      <c r="V941">
        <v>82.76</v>
      </c>
      <c r="W941" t="s">
        <v>241</v>
      </c>
      <c r="X941" t="s">
        <v>271</v>
      </c>
      <c r="Y941" t="s">
        <v>3817</v>
      </c>
      <c r="AA941" t="s">
        <v>3818</v>
      </c>
      <c r="AB941" t="s">
        <v>181</v>
      </c>
    </row>
    <row r="942" spans="1:28" x14ac:dyDescent="0.25">
      <c r="A942" t="s">
        <v>4353</v>
      </c>
      <c r="B942" t="s">
        <v>4354</v>
      </c>
      <c r="C942" t="s">
        <v>646</v>
      </c>
      <c r="D942" t="s">
        <v>3779</v>
      </c>
      <c r="E942" t="s">
        <v>647</v>
      </c>
      <c r="F942" t="s">
        <v>3780</v>
      </c>
      <c r="G942" t="s">
        <v>769</v>
      </c>
      <c r="H942" t="s">
        <v>683</v>
      </c>
      <c r="I942" t="s">
        <v>1160</v>
      </c>
      <c r="J942" t="s">
        <v>336</v>
      </c>
      <c r="K942" t="s">
        <v>166</v>
      </c>
      <c r="L942" t="s">
        <v>0</v>
      </c>
      <c r="M942" t="s">
        <v>178</v>
      </c>
      <c r="N942">
        <v>117.25</v>
      </c>
      <c r="O942">
        <v>108.25</v>
      </c>
      <c r="P942">
        <v>1969.98</v>
      </c>
      <c r="Q942">
        <v>6207.02</v>
      </c>
      <c r="R942">
        <v>1628.2</v>
      </c>
      <c r="S942">
        <v>1910.1249393999999</v>
      </c>
      <c r="T942">
        <v>0</v>
      </c>
      <c r="U942">
        <v>0</v>
      </c>
      <c r="V942">
        <v>1628.2</v>
      </c>
      <c r="W942" t="s">
        <v>461</v>
      </c>
      <c r="X942" t="s">
        <v>271</v>
      </c>
      <c r="Y942" t="s">
        <v>4355</v>
      </c>
      <c r="AA942" t="s">
        <v>4356</v>
      </c>
      <c r="AB942" t="s">
        <v>181</v>
      </c>
    </row>
    <row r="943" spans="1:28" x14ac:dyDescent="0.25">
      <c r="A943" t="s">
        <v>4132</v>
      </c>
      <c r="B943" t="s">
        <v>4133</v>
      </c>
      <c r="C943" t="s">
        <v>646</v>
      </c>
      <c r="D943" t="s">
        <v>3779</v>
      </c>
      <c r="E943" t="s">
        <v>647</v>
      </c>
      <c r="F943" t="s">
        <v>666</v>
      </c>
      <c r="G943" t="s">
        <v>666</v>
      </c>
      <c r="H943" t="s">
        <v>757</v>
      </c>
      <c r="I943" t="s">
        <v>3911</v>
      </c>
      <c r="J943" t="s">
        <v>355</v>
      </c>
      <c r="K943" t="s">
        <v>166</v>
      </c>
      <c r="L943" t="s">
        <v>0</v>
      </c>
      <c r="M943" t="s">
        <v>178</v>
      </c>
      <c r="N943">
        <v>128</v>
      </c>
      <c r="O943">
        <v>14</v>
      </c>
      <c r="P943">
        <v>744.74</v>
      </c>
      <c r="Q943">
        <v>3112.08</v>
      </c>
      <c r="R943">
        <v>809.13</v>
      </c>
      <c r="S943">
        <v>610.53706964000003</v>
      </c>
      <c r="T943">
        <v>0</v>
      </c>
      <c r="U943">
        <v>0</v>
      </c>
      <c r="V943">
        <v>809.13</v>
      </c>
      <c r="W943" t="s">
        <v>0</v>
      </c>
      <c r="X943" t="s">
        <v>271</v>
      </c>
      <c r="Y943" t="s">
        <v>4134</v>
      </c>
      <c r="AA943" t="s">
        <v>3894</v>
      </c>
      <c r="AB943" t="s">
        <v>181</v>
      </c>
    </row>
    <row r="944" spans="1:28" x14ac:dyDescent="0.25">
      <c r="A944" t="s">
        <v>3877</v>
      </c>
      <c r="B944" t="s">
        <v>3878</v>
      </c>
      <c r="C944" t="s">
        <v>646</v>
      </c>
      <c r="D944" t="s">
        <v>3779</v>
      </c>
      <c r="E944" t="s">
        <v>647</v>
      </c>
      <c r="F944" t="s">
        <v>648</v>
      </c>
      <c r="G944" t="s">
        <v>648</v>
      </c>
      <c r="H944" t="s">
        <v>672</v>
      </c>
      <c r="I944" t="s">
        <v>3879</v>
      </c>
      <c r="J944" t="s">
        <v>3880</v>
      </c>
      <c r="K944" t="s">
        <v>166</v>
      </c>
      <c r="L944" t="s">
        <v>0</v>
      </c>
      <c r="M944" t="s">
        <v>178</v>
      </c>
      <c r="N944">
        <v>39</v>
      </c>
      <c r="O944">
        <v>20</v>
      </c>
      <c r="P944">
        <v>813.5</v>
      </c>
      <c r="Q944">
        <v>3285.21</v>
      </c>
      <c r="R944">
        <v>280.81</v>
      </c>
      <c r="S944">
        <v>677.28405258999999</v>
      </c>
      <c r="T944">
        <v>0</v>
      </c>
      <c r="U944">
        <v>0</v>
      </c>
      <c r="V944">
        <v>280.81</v>
      </c>
      <c r="W944" t="s">
        <v>1079</v>
      </c>
      <c r="X944" t="s">
        <v>271</v>
      </c>
      <c r="Y944" t="s">
        <v>3881</v>
      </c>
      <c r="AA944" t="s">
        <v>3882</v>
      </c>
      <c r="AB944" t="s">
        <v>181</v>
      </c>
    </row>
    <row r="945" spans="1:28" x14ac:dyDescent="0.25">
      <c r="A945" t="s">
        <v>4057</v>
      </c>
      <c r="B945" t="s">
        <v>4058</v>
      </c>
      <c r="C945" t="s">
        <v>646</v>
      </c>
      <c r="D945" t="s">
        <v>3779</v>
      </c>
      <c r="E945" t="s">
        <v>647</v>
      </c>
      <c r="F945" t="s">
        <v>3780</v>
      </c>
      <c r="G945" t="s">
        <v>769</v>
      </c>
      <c r="H945" t="s">
        <v>757</v>
      </c>
      <c r="I945" t="s">
        <v>1190</v>
      </c>
      <c r="J945" t="s">
        <v>1191</v>
      </c>
      <c r="K945" t="s">
        <v>166</v>
      </c>
      <c r="L945" t="s">
        <v>0</v>
      </c>
      <c r="M945" t="s">
        <v>178</v>
      </c>
      <c r="N945">
        <v>1518.75</v>
      </c>
      <c r="O945">
        <v>1474.75</v>
      </c>
      <c r="P945">
        <v>42245.08</v>
      </c>
      <c r="Q945">
        <v>26262.31</v>
      </c>
      <c r="R945">
        <v>-5073.21</v>
      </c>
      <c r="S945">
        <v>12417.495772779999</v>
      </c>
      <c r="T945">
        <v>508.07</v>
      </c>
      <c r="U945">
        <v>7444.49</v>
      </c>
      <c r="V945">
        <v>2522.02</v>
      </c>
      <c r="W945" t="s">
        <v>282</v>
      </c>
      <c r="X945" t="s">
        <v>271</v>
      </c>
      <c r="Y945" t="s">
        <v>4059</v>
      </c>
      <c r="AA945" t="s">
        <v>2171</v>
      </c>
      <c r="AB945" t="s">
        <v>181</v>
      </c>
    </row>
    <row r="946" spans="1:28" x14ac:dyDescent="0.25">
      <c r="A946" t="s">
        <v>4143</v>
      </c>
      <c r="B946" t="s">
        <v>4144</v>
      </c>
      <c r="C946" t="s">
        <v>646</v>
      </c>
      <c r="D946" t="s">
        <v>3779</v>
      </c>
      <c r="E946" t="s">
        <v>647</v>
      </c>
      <c r="F946" t="s">
        <v>3780</v>
      </c>
      <c r="G946" t="s">
        <v>769</v>
      </c>
      <c r="H946" t="s">
        <v>757</v>
      </c>
      <c r="I946" t="s">
        <v>1828</v>
      </c>
      <c r="J946" t="s">
        <v>1829</v>
      </c>
      <c r="K946" t="s">
        <v>166</v>
      </c>
      <c r="L946" t="s">
        <v>0</v>
      </c>
      <c r="M946" t="s">
        <v>178</v>
      </c>
      <c r="N946">
        <v>131.875</v>
      </c>
      <c r="O946">
        <v>129.875</v>
      </c>
      <c r="P946">
        <v>3189.29</v>
      </c>
      <c r="Q946">
        <v>6534.62</v>
      </c>
      <c r="R946">
        <v>2111.5100000000002</v>
      </c>
      <c r="S946">
        <v>599.32257369000001</v>
      </c>
      <c r="T946">
        <v>0</v>
      </c>
      <c r="U946">
        <v>0</v>
      </c>
      <c r="V946">
        <v>2111.5100000000002</v>
      </c>
      <c r="W946" t="s">
        <v>1361</v>
      </c>
      <c r="X946" t="s">
        <v>271</v>
      </c>
      <c r="Y946" t="s">
        <v>4145</v>
      </c>
      <c r="AA946" t="s">
        <v>4146</v>
      </c>
      <c r="AB946" t="s">
        <v>181</v>
      </c>
    </row>
    <row r="947" spans="1:28" x14ac:dyDescent="0.25">
      <c r="A947" t="s">
        <v>3883</v>
      </c>
      <c r="B947" t="s">
        <v>3884</v>
      </c>
      <c r="C947" t="s">
        <v>646</v>
      </c>
      <c r="D947" t="s">
        <v>3779</v>
      </c>
      <c r="E947" t="s">
        <v>647</v>
      </c>
      <c r="F947" t="s">
        <v>3780</v>
      </c>
      <c r="G947" t="s">
        <v>769</v>
      </c>
      <c r="H947" t="s">
        <v>757</v>
      </c>
      <c r="I947" t="s">
        <v>3885</v>
      </c>
      <c r="J947" t="s">
        <v>1861</v>
      </c>
      <c r="K947" t="s">
        <v>166</v>
      </c>
      <c r="L947" t="s">
        <v>0</v>
      </c>
      <c r="M947" t="s">
        <v>178</v>
      </c>
      <c r="N947">
        <v>101</v>
      </c>
      <c r="O947">
        <v>97</v>
      </c>
      <c r="P947">
        <v>857.2</v>
      </c>
      <c r="Q947">
        <v>2691.95</v>
      </c>
      <c r="R947">
        <v>78.28</v>
      </c>
      <c r="S947">
        <v>209.27754100999999</v>
      </c>
      <c r="T947">
        <v>0</v>
      </c>
      <c r="U947">
        <v>0</v>
      </c>
      <c r="V947">
        <v>78.28</v>
      </c>
      <c r="W947" t="s">
        <v>1862</v>
      </c>
      <c r="X947" t="s">
        <v>271</v>
      </c>
      <c r="Y947" t="s">
        <v>3886</v>
      </c>
      <c r="AA947" t="s">
        <v>3887</v>
      </c>
      <c r="AB947" t="s">
        <v>181</v>
      </c>
    </row>
    <row r="948" spans="1:28" x14ac:dyDescent="0.25">
      <c r="A948" t="s">
        <v>4270</v>
      </c>
      <c r="B948" t="s">
        <v>4271</v>
      </c>
      <c r="C948" t="s">
        <v>646</v>
      </c>
      <c r="D948" t="s">
        <v>3779</v>
      </c>
      <c r="E948" t="s">
        <v>647</v>
      </c>
      <c r="F948" t="s">
        <v>3780</v>
      </c>
      <c r="G948" t="s">
        <v>769</v>
      </c>
      <c r="H948" t="s">
        <v>962</v>
      </c>
      <c r="I948" t="s">
        <v>4272</v>
      </c>
      <c r="J948" t="s">
        <v>352</v>
      </c>
      <c r="K948" t="s">
        <v>166</v>
      </c>
      <c r="L948" t="s">
        <v>0</v>
      </c>
      <c r="M948" t="s">
        <v>178</v>
      </c>
      <c r="N948">
        <v>147</v>
      </c>
      <c r="O948">
        <v>19</v>
      </c>
      <c r="P948">
        <v>2352.56</v>
      </c>
      <c r="Q948">
        <v>12876.32</v>
      </c>
      <c r="R948">
        <v>2702.96</v>
      </c>
      <c r="S948">
        <v>408.84037419999999</v>
      </c>
      <c r="T948">
        <v>0</v>
      </c>
      <c r="U948">
        <v>0</v>
      </c>
      <c r="V948">
        <v>2702.96</v>
      </c>
      <c r="W948" t="s">
        <v>314</v>
      </c>
      <c r="X948" t="s">
        <v>271</v>
      </c>
      <c r="Y948" t="s">
        <v>4273</v>
      </c>
      <c r="AA948" t="s">
        <v>4274</v>
      </c>
      <c r="AB948" t="s">
        <v>181</v>
      </c>
    </row>
    <row r="949" spans="1:28" x14ac:dyDescent="0.25">
      <c r="A949" t="s">
        <v>4326</v>
      </c>
      <c r="B949" t="s">
        <v>4327</v>
      </c>
      <c r="C949" t="s">
        <v>646</v>
      </c>
      <c r="D949" t="s">
        <v>3779</v>
      </c>
      <c r="E949" t="s">
        <v>647</v>
      </c>
      <c r="F949" t="s">
        <v>3780</v>
      </c>
      <c r="G949" t="s">
        <v>769</v>
      </c>
      <c r="H949" t="s">
        <v>1171</v>
      </c>
      <c r="I949" t="s">
        <v>936</v>
      </c>
      <c r="J949" t="s">
        <v>582</v>
      </c>
      <c r="K949" t="s">
        <v>166</v>
      </c>
      <c r="L949" t="s">
        <v>0</v>
      </c>
      <c r="M949" t="s">
        <v>178</v>
      </c>
      <c r="N949">
        <v>60</v>
      </c>
      <c r="O949">
        <v>0</v>
      </c>
      <c r="P949">
        <v>4195.21</v>
      </c>
      <c r="Q949">
        <v>12091.11</v>
      </c>
      <c r="R949">
        <v>539.26</v>
      </c>
      <c r="S949">
        <v>300.85615209999997</v>
      </c>
      <c r="T949">
        <v>0</v>
      </c>
      <c r="U949">
        <v>0</v>
      </c>
      <c r="V949">
        <v>539.26</v>
      </c>
      <c r="W949" t="s">
        <v>361</v>
      </c>
      <c r="X949" t="s">
        <v>271</v>
      </c>
      <c r="Y949" t="s">
        <v>4328</v>
      </c>
      <c r="AA949" t="s">
        <v>4329</v>
      </c>
      <c r="AB949" t="s">
        <v>181</v>
      </c>
    </row>
    <row r="950" spans="1:28" x14ac:dyDescent="0.25">
      <c r="A950" t="s">
        <v>4109</v>
      </c>
      <c r="B950" t="s">
        <v>4110</v>
      </c>
      <c r="C950" t="s">
        <v>646</v>
      </c>
      <c r="D950" t="s">
        <v>3779</v>
      </c>
      <c r="E950" t="s">
        <v>647</v>
      </c>
      <c r="F950" t="s">
        <v>3780</v>
      </c>
      <c r="G950" t="s">
        <v>769</v>
      </c>
      <c r="H950" t="s">
        <v>672</v>
      </c>
      <c r="I950" t="s">
        <v>1046</v>
      </c>
      <c r="J950" t="s">
        <v>971</v>
      </c>
      <c r="K950" t="s">
        <v>166</v>
      </c>
      <c r="L950" t="s">
        <v>0</v>
      </c>
      <c r="M950" t="s">
        <v>178</v>
      </c>
      <c r="N950">
        <v>86</v>
      </c>
      <c r="O950">
        <v>49</v>
      </c>
      <c r="P950">
        <v>2094.69</v>
      </c>
      <c r="Q950">
        <v>3484.09</v>
      </c>
      <c r="R950">
        <v>314.81503614000002</v>
      </c>
      <c r="S950">
        <v>558.28935587000001</v>
      </c>
      <c r="T950">
        <v>-0.16496385999999999</v>
      </c>
      <c r="U950">
        <v>0</v>
      </c>
      <c r="V950">
        <v>314.98</v>
      </c>
      <c r="W950" t="s">
        <v>972</v>
      </c>
      <c r="X950" t="s">
        <v>269</v>
      </c>
      <c r="Y950" t="s">
        <v>4111</v>
      </c>
      <c r="AA950" t="s">
        <v>4112</v>
      </c>
      <c r="AB950" t="s">
        <v>181</v>
      </c>
    </row>
    <row r="951" spans="1:28" x14ac:dyDescent="0.25">
      <c r="A951" t="s">
        <v>4147</v>
      </c>
      <c r="B951" t="s">
        <v>4148</v>
      </c>
      <c r="C951" t="s">
        <v>646</v>
      </c>
      <c r="D951" t="s">
        <v>3779</v>
      </c>
      <c r="E951" t="s">
        <v>647</v>
      </c>
      <c r="F951" t="s">
        <v>3780</v>
      </c>
      <c r="G951" t="s">
        <v>769</v>
      </c>
      <c r="H951" t="s">
        <v>649</v>
      </c>
      <c r="I951" t="s">
        <v>1301</v>
      </c>
      <c r="J951" t="s">
        <v>1302</v>
      </c>
      <c r="K951" t="s">
        <v>166</v>
      </c>
      <c r="L951" t="s">
        <v>0</v>
      </c>
      <c r="M951" t="s">
        <v>178</v>
      </c>
      <c r="N951">
        <v>106</v>
      </c>
      <c r="O951">
        <v>106</v>
      </c>
      <c r="P951">
        <v>1678.48</v>
      </c>
      <c r="Q951">
        <v>5875.7</v>
      </c>
      <c r="R951">
        <v>593.77</v>
      </c>
      <c r="S951">
        <v>594.17276646000005</v>
      </c>
      <c r="T951">
        <v>0</v>
      </c>
      <c r="U951">
        <v>0</v>
      </c>
      <c r="V951">
        <v>593.77</v>
      </c>
      <c r="W951" t="s">
        <v>1303</v>
      </c>
      <c r="X951" t="s">
        <v>269</v>
      </c>
      <c r="Y951" t="s">
        <v>4149</v>
      </c>
      <c r="AA951" t="s">
        <v>4150</v>
      </c>
      <c r="AB951" t="s">
        <v>181</v>
      </c>
    </row>
    <row r="952" spans="1:28" x14ac:dyDescent="0.25">
      <c r="A952" t="s">
        <v>4117</v>
      </c>
      <c r="B952" t="s">
        <v>4118</v>
      </c>
      <c r="C952" t="s">
        <v>646</v>
      </c>
      <c r="D952" t="s">
        <v>3779</v>
      </c>
      <c r="E952" t="s">
        <v>647</v>
      </c>
      <c r="F952" t="s">
        <v>3780</v>
      </c>
      <c r="G952" t="s">
        <v>769</v>
      </c>
      <c r="H952" t="s">
        <v>1045</v>
      </c>
      <c r="I952" t="s">
        <v>1190</v>
      </c>
      <c r="J952" t="s">
        <v>1191</v>
      </c>
      <c r="K952" t="s">
        <v>166</v>
      </c>
      <c r="L952" t="s">
        <v>0</v>
      </c>
      <c r="M952" t="s">
        <v>178</v>
      </c>
      <c r="N952">
        <v>32</v>
      </c>
      <c r="O952">
        <v>29</v>
      </c>
      <c r="P952">
        <v>320</v>
      </c>
      <c r="Q952">
        <v>1927.63</v>
      </c>
      <c r="R952">
        <v>127.44</v>
      </c>
      <c r="S952">
        <v>186.38208469</v>
      </c>
      <c r="T952">
        <v>0</v>
      </c>
      <c r="U952">
        <v>0</v>
      </c>
      <c r="V952">
        <v>127.44</v>
      </c>
      <c r="W952" t="s">
        <v>282</v>
      </c>
      <c r="X952" t="s">
        <v>271</v>
      </c>
      <c r="Y952" t="s">
        <v>2170</v>
      </c>
      <c r="AA952" t="s">
        <v>2171</v>
      </c>
      <c r="AB952" t="s">
        <v>181</v>
      </c>
    </row>
    <row r="953" spans="1:28" x14ac:dyDescent="0.25">
      <c r="A953" t="s">
        <v>3842</v>
      </c>
      <c r="B953" t="s">
        <v>3843</v>
      </c>
      <c r="C953" t="s">
        <v>646</v>
      </c>
      <c r="D953" t="s">
        <v>3779</v>
      </c>
      <c r="E953" t="s">
        <v>647</v>
      </c>
      <c r="F953" t="s">
        <v>3780</v>
      </c>
      <c r="G953" t="s">
        <v>769</v>
      </c>
      <c r="H953" t="s">
        <v>757</v>
      </c>
      <c r="I953" t="s">
        <v>3844</v>
      </c>
      <c r="J953" t="s">
        <v>3845</v>
      </c>
      <c r="K953" t="s">
        <v>166</v>
      </c>
      <c r="L953" t="s">
        <v>0</v>
      </c>
      <c r="M953" t="s">
        <v>178</v>
      </c>
      <c r="N953">
        <v>566</v>
      </c>
      <c r="O953">
        <v>279</v>
      </c>
      <c r="P953">
        <v>15710.79</v>
      </c>
      <c r="Q953">
        <v>32795.81</v>
      </c>
      <c r="R953">
        <v>1289.06</v>
      </c>
      <c r="S953">
        <v>2435.6137696199999</v>
      </c>
      <c r="T953">
        <v>0</v>
      </c>
      <c r="U953">
        <v>0</v>
      </c>
      <c r="V953">
        <v>1289.06</v>
      </c>
      <c r="W953" t="s">
        <v>3846</v>
      </c>
      <c r="X953" t="s">
        <v>271</v>
      </c>
      <c r="Y953" t="s">
        <v>3847</v>
      </c>
      <c r="AA953" t="s">
        <v>3848</v>
      </c>
      <c r="AB953" t="s">
        <v>181</v>
      </c>
    </row>
    <row r="954" spans="1:28" x14ac:dyDescent="0.25">
      <c r="A954" t="s">
        <v>4265</v>
      </c>
      <c r="B954" t="s">
        <v>4266</v>
      </c>
      <c r="C954" t="s">
        <v>646</v>
      </c>
      <c r="D954" t="s">
        <v>3779</v>
      </c>
      <c r="E954" t="s">
        <v>647</v>
      </c>
      <c r="F954" t="s">
        <v>666</v>
      </c>
      <c r="G954" t="s">
        <v>666</v>
      </c>
      <c r="H954" t="s">
        <v>856</v>
      </c>
      <c r="I954" t="s">
        <v>4267</v>
      </c>
      <c r="J954" t="s">
        <v>326</v>
      </c>
      <c r="K954" t="s">
        <v>166</v>
      </c>
      <c r="L954" t="s">
        <v>0</v>
      </c>
      <c r="M954" t="s">
        <v>178</v>
      </c>
      <c r="N954">
        <v>4</v>
      </c>
      <c r="O954">
        <v>0</v>
      </c>
      <c r="P954">
        <v>70</v>
      </c>
      <c r="Q954">
        <v>331.17</v>
      </c>
      <c r="R954">
        <v>33.119999999999997</v>
      </c>
      <c r="S954">
        <v>15.84676</v>
      </c>
      <c r="T954">
        <v>0</v>
      </c>
      <c r="U954">
        <v>0</v>
      </c>
      <c r="V954">
        <v>33.119999999999997</v>
      </c>
      <c r="W954" t="s">
        <v>450</v>
      </c>
      <c r="X954" t="s">
        <v>271</v>
      </c>
      <c r="Y954" t="s">
        <v>4268</v>
      </c>
      <c r="AA954" t="s">
        <v>4269</v>
      </c>
      <c r="AB954" t="s">
        <v>181</v>
      </c>
    </row>
    <row r="955" spans="1:28" x14ac:dyDescent="0.25">
      <c r="A955" t="s">
        <v>4151</v>
      </c>
      <c r="B955" t="s">
        <v>4152</v>
      </c>
      <c r="C955" t="s">
        <v>646</v>
      </c>
      <c r="D955" t="s">
        <v>3779</v>
      </c>
      <c r="E955" t="s">
        <v>647</v>
      </c>
      <c r="F955" t="s">
        <v>666</v>
      </c>
      <c r="G955" t="s">
        <v>666</v>
      </c>
      <c r="H955" t="s">
        <v>909</v>
      </c>
      <c r="I955" t="s">
        <v>765</v>
      </c>
      <c r="J955" t="s">
        <v>436</v>
      </c>
      <c r="K955" t="s">
        <v>166</v>
      </c>
      <c r="L955" t="s">
        <v>0</v>
      </c>
      <c r="M955" t="s">
        <v>178</v>
      </c>
      <c r="N955">
        <v>233.5</v>
      </c>
      <c r="O955">
        <v>232.5</v>
      </c>
      <c r="P955">
        <v>7341.64</v>
      </c>
      <c r="Q955">
        <v>10362.92</v>
      </c>
      <c r="R955">
        <v>1898.4735257299999</v>
      </c>
      <c r="S955">
        <v>2009.1205591099999</v>
      </c>
      <c r="T955">
        <v>0.31352573</v>
      </c>
      <c r="U955">
        <v>0</v>
      </c>
      <c r="V955">
        <v>1898.16</v>
      </c>
      <c r="W955" t="s">
        <v>0</v>
      </c>
      <c r="X955" t="s">
        <v>271</v>
      </c>
      <c r="Y955" t="s">
        <v>4153</v>
      </c>
      <c r="AA955" t="s">
        <v>4154</v>
      </c>
      <c r="AB955" t="s">
        <v>181</v>
      </c>
    </row>
    <row r="956" spans="1:28" x14ac:dyDescent="0.25">
      <c r="A956" t="s">
        <v>3777</v>
      </c>
      <c r="B956" t="s">
        <v>3778</v>
      </c>
      <c r="C956" t="s">
        <v>646</v>
      </c>
      <c r="D956" t="s">
        <v>3779</v>
      </c>
      <c r="E956" t="s">
        <v>647</v>
      </c>
      <c r="F956" t="s">
        <v>3780</v>
      </c>
      <c r="G956" t="s">
        <v>769</v>
      </c>
      <c r="H956" t="s">
        <v>679</v>
      </c>
      <c r="I956" t="s">
        <v>798</v>
      </c>
      <c r="J956" t="s">
        <v>524</v>
      </c>
      <c r="K956" t="s">
        <v>166</v>
      </c>
      <c r="L956" t="s">
        <v>0</v>
      </c>
      <c r="M956" t="s">
        <v>178</v>
      </c>
      <c r="N956">
        <v>21</v>
      </c>
      <c r="O956">
        <v>17</v>
      </c>
      <c r="P956">
        <v>320.08999999999997</v>
      </c>
      <c r="Q956">
        <v>793.62</v>
      </c>
      <c r="R956">
        <v>110.78305286</v>
      </c>
      <c r="S956">
        <v>209.34387554</v>
      </c>
      <c r="T956">
        <v>-0.15694714000000001</v>
      </c>
      <c r="U956">
        <v>0</v>
      </c>
      <c r="V956">
        <v>110.94</v>
      </c>
      <c r="W956" t="s">
        <v>258</v>
      </c>
      <c r="X956" t="s">
        <v>271</v>
      </c>
      <c r="Y956" t="s">
        <v>3781</v>
      </c>
      <c r="AA956" t="s">
        <v>3782</v>
      </c>
      <c r="AB956" t="s">
        <v>181</v>
      </c>
    </row>
    <row r="957" spans="1:28" x14ac:dyDescent="0.25">
      <c r="A957" t="s">
        <v>3838</v>
      </c>
      <c r="B957" t="s">
        <v>3839</v>
      </c>
      <c r="C957" t="s">
        <v>646</v>
      </c>
      <c r="D957" t="s">
        <v>3779</v>
      </c>
      <c r="E957" t="s">
        <v>647</v>
      </c>
      <c r="F957" t="s">
        <v>3780</v>
      </c>
      <c r="G957" t="s">
        <v>769</v>
      </c>
      <c r="H957" t="s">
        <v>797</v>
      </c>
      <c r="I957" t="s">
        <v>906</v>
      </c>
      <c r="J957" t="s">
        <v>907</v>
      </c>
      <c r="K957" t="s">
        <v>166</v>
      </c>
      <c r="L957" t="s">
        <v>0</v>
      </c>
      <c r="M957" t="s">
        <v>178</v>
      </c>
      <c r="N957">
        <v>123</v>
      </c>
      <c r="O957">
        <v>34</v>
      </c>
      <c r="P957">
        <v>1250</v>
      </c>
      <c r="Q957">
        <v>3876.22</v>
      </c>
      <c r="R957">
        <v>676.24</v>
      </c>
      <c r="S957">
        <v>330.13410157999999</v>
      </c>
      <c r="T957">
        <v>0</v>
      </c>
      <c r="U957">
        <v>0</v>
      </c>
      <c r="V957">
        <v>676.24</v>
      </c>
      <c r="W957" t="s">
        <v>272</v>
      </c>
      <c r="X957" t="s">
        <v>269</v>
      </c>
      <c r="Y957" t="s">
        <v>3840</v>
      </c>
      <c r="AA957" t="s">
        <v>3841</v>
      </c>
      <c r="AB957" t="s">
        <v>181</v>
      </c>
    </row>
    <row r="958" spans="1:28" x14ac:dyDescent="0.25">
      <c r="A958" t="s">
        <v>4206</v>
      </c>
      <c r="B958" t="s">
        <v>4207</v>
      </c>
      <c r="C958" t="s">
        <v>646</v>
      </c>
      <c r="D958" t="s">
        <v>3779</v>
      </c>
      <c r="E958" t="s">
        <v>647</v>
      </c>
      <c r="F958" t="s">
        <v>3780</v>
      </c>
      <c r="G958" t="s">
        <v>769</v>
      </c>
      <c r="H958" t="s">
        <v>730</v>
      </c>
      <c r="I958" t="s">
        <v>4208</v>
      </c>
      <c r="J958" t="s">
        <v>317</v>
      </c>
      <c r="K958" t="s">
        <v>166</v>
      </c>
      <c r="L958" t="s">
        <v>0</v>
      </c>
      <c r="M958" t="s">
        <v>178</v>
      </c>
      <c r="N958">
        <v>103</v>
      </c>
      <c r="O958">
        <v>0</v>
      </c>
      <c r="P958">
        <v>2021.16</v>
      </c>
      <c r="Q958">
        <v>3804.04</v>
      </c>
      <c r="R958">
        <v>340.38142479999999</v>
      </c>
      <c r="S958">
        <v>27.21</v>
      </c>
      <c r="T958">
        <v>-10.6185752</v>
      </c>
      <c r="U958">
        <v>0</v>
      </c>
      <c r="V958">
        <v>351</v>
      </c>
      <c r="W958" t="s">
        <v>340</v>
      </c>
      <c r="X958" t="s">
        <v>271</v>
      </c>
      <c r="Y958" t="s">
        <v>4209</v>
      </c>
      <c r="AA958" t="s">
        <v>4210</v>
      </c>
      <c r="AB958" t="s">
        <v>181</v>
      </c>
    </row>
    <row r="959" spans="1:28" x14ac:dyDescent="0.25">
      <c r="A959" t="s">
        <v>4109</v>
      </c>
      <c r="B959" t="s">
        <v>4110</v>
      </c>
      <c r="C959" t="s">
        <v>646</v>
      </c>
      <c r="D959" t="s">
        <v>3779</v>
      </c>
      <c r="E959" t="s">
        <v>647</v>
      </c>
      <c r="F959" t="s">
        <v>3780</v>
      </c>
      <c r="G959" t="s">
        <v>769</v>
      </c>
      <c r="H959" t="s">
        <v>1175</v>
      </c>
      <c r="I959" t="s">
        <v>1046</v>
      </c>
      <c r="J959" t="s">
        <v>971</v>
      </c>
      <c r="K959" t="s">
        <v>166</v>
      </c>
      <c r="L959" t="s">
        <v>0</v>
      </c>
      <c r="M959" t="s">
        <v>178</v>
      </c>
      <c r="N959">
        <v>11</v>
      </c>
      <c r="O959">
        <v>11</v>
      </c>
      <c r="P959">
        <v>176</v>
      </c>
      <c r="Q959">
        <v>289.77999999999997</v>
      </c>
      <c r="R959">
        <v>53.94</v>
      </c>
      <c r="S959">
        <v>49.532954179999997</v>
      </c>
      <c r="T959">
        <v>0</v>
      </c>
      <c r="U959">
        <v>0</v>
      </c>
      <c r="V959">
        <v>53.94</v>
      </c>
      <c r="W959" t="s">
        <v>972</v>
      </c>
      <c r="X959" t="s">
        <v>269</v>
      </c>
      <c r="Y959" t="s">
        <v>4111</v>
      </c>
      <c r="AA959" t="s">
        <v>4112</v>
      </c>
      <c r="AB959" t="s">
        <v>181</v>
      </c>
    </row>
    <row r="960" spans="1:28" x14ac:dyDescent="0.25">
      <c r="A960" t="s">
        <v>4167</v>
      </c>
      <c r="B960" t="s">
        <v>4168</v>
      </c>
      <c r="C960" t="s">
        <v>646</v>
      </c>
      <c r="D960" t="s">
        <v>3779</v>
      </c>
      <c r="E960" t="s">
        <v>647</v>
      </c>
      <c r="F960" t="s">
        <v>3780</v>
      </c>
      <c r="G960" t="s">
        <v>769</v>
      </c>
      <c r="H960" t="s">
        <v>962</v>
      </c>
      <c r="I960" t="s">
        <v>4169</v>
      </c>
      <c r="J960" t="s">
        <v>662</v>
      </c>
      <c r="K960" t="s">
        <v>166</v>
      </c>
      <c r="L960" t="s">
        <v>0</v>
      </c>
      <c r="M960" t="s">
        <v>178</v>
      </c>
      <c r="N960">
        <v>434</v>
      </c>
      <c r="O960">
        <v>1</v>
      </c>
      <c r="P960">
        <v>1345.11</v>
      </c>
      <c r="Q960">
        <v>15358.56</v>
      </c>
      <c r="R960">
        <v>1514.76</v>
      </c>
      <c r="S960">
        <v>308.92123665000003</v>
      </c>
      <c r="T960">
        <v>0</v>
      </c>
      <c r="U960">
        <v>0</v>
      </c>
      <c r="V960">
        <v>1514.76</v>
      </c>
      <c r="W960" t="s">
        <v>586</v>
      </c>
      <c r="X960" t="s">
        <v>271</v>
      </c>
      <c r="Y960" t="s">
        <v>4170</v>
      </c>
      <c r="AA960" t="s">
        <v>4171</v>
      </c>
      <c r="AB960" t="s">
        <v>181</v>
      </c>
    </row>
    <row r="961" spans="1:28" x14ac:dyDescent="0.25">
      <c r="A961" t="s">
        <v>3933</v>
      </c>
      <c r="B961" t="s">
        <v>3934</v>
      </c>
      <c r="C961" t="s">
        <v>646</v>
      </c>
      <c r="D961" t="s">
        <v>3779</v>
      </c>
      <c r="E961" t="s">
        <v>647</v>
      </c>
      <c r="F961" t="s">
        <v>3780</v>
      </c>
      <c r="G961" t="s">
        <v>769</v>
      </c>
      <c r="H961" t="s">
        <v>1171</v>
      </c>
      <c r="I961" t="s">
        <v>3935</v>
      </c>
      <c r="J961" t="s">
        <v>1214</v>
      </c>
      <c r="K961" t="s">
        <v>166</v>
      </c>
      <c r="L961" t="s">
        <v>0</v>
      </c>
      <c r="M961" t="s">
        <v>178</v>
      </c>
      <c r="N961">
        <v>29</v>
      </c>
      <c r="O961">
        <v>29</v>
      </c>
      <c r="P961">
        <v>397.38</v>
      </c>
      <c r="Q961">
        <v>1984.63</v>
      </c>
      <c r="R961">
        <v>290.29000000000002</v>
      </c>
      <c r="S961">
        <v>295.00285711999999</v>
      </c>
      <c r="T961">
        <v>0</v>
      </c>
      <c r="U961">
        <v>0</v>
      </c>
      <c r="V961">
        <v>290.29000000000002</v>
      </c>
      <c r="W961" t="s">
        <v>0</v>
      </c>
      <c r="X961" t="s">
        <v>271</v>
      </c>
      <c r="Y961" t="s">
        <v>3936</v>
      </c>
      <c r="AA961" t="s">
        <v>3937</v>
      </c>
      <c r="AB961" t="s">
        <v>181</v>
      </c>
    </row>
    <row r="962" spans="1:28" x14ac:dyDescent="0.25">
      <c r="A962" t="s">
        <v>3900</v>
      </c>
      <c r="B962" t="s">
        <v>3901</v>
      </c>
      <c r="C962" t="s">
        <v>646</v>
      </c>
      <c r="D962" t="s">
        <v>3779</v>
      </c>
      <c r="E962" t="s">
        <v>647</v>
      </c>
      <c r="F962" t="s">
        <v>3780</v>
      </c>
      <c r="G962" t="s">
        <v>769</v>
      </c>
      <c r="H962" t="s">
        <v>1171</v>
      </c>
      <c r="I962" t="s">
        <v>3902</v>
      </c>
      <c r="J962" t="s">
        <v>1225</v>
      </c>
      <c r="K962" t="s">
        <v>166</v>
      </c>
      <c r="L962" t="s">
        <v>0</v>
      </c>
      <c r="M962" t="s">
        <v>178</v>
      </c>
      <c r="N962">
        <v>16</v>
      </c>
      <c r="O962">
        <v>0</v>
      </c>
      <c r="P962">
        <v>452.05</v>
      </c>
      <c r="Q962">
        <v>2549.04</v>
      </c>
      <c r="R962">
        <v>96.55</v>
      </c>
      <c r="S962">
        <v>72.928975289999997</v>
      </c>
      <c r="T962">
        <v>0</v>
      </c>
      <c r="U962">
        <v>0</v>
      </c>
      <c r="V962">
        <v>96.55</v>
      </c>
      <c r="W962" t="s">
        <v>0</v>
      </c>
      <c r="X962" t="s">
        <v>271</v>
      </c>
      <c r="Y962" t="s">
        <v>3903</v>
      </c>
      <c r="AA962" t="s">
        <v>3904</v>
      </c>
      <c r="AB962" t="s">
        <v>181</v>
      </c>
    </row>
    <row r="963" spans="1:28" x14ac:dyDescent="0.25">
      <c r="A963" t="s">
        <v>4288</v>
      </c>
      <c r="B963" t="s">
        <v>4289</v>
      </c>
      <c r="C963" t="s">
        <v>646</v>
      </c>
      <c r="D963" t="s">
        <v>3779</v>
      </c>
      <c r="E963" t="s">
        <v>647</v>
      </c>
      <c r="F963" t="s">
        <v>3780</v>
      </c>
      <c r="G963" t="s">
        <v>769</v>
      </c>
      <c r="H963" t="s">
        <v>730</v>
      </c>
      <c r="I963" t="s">
        <v>1453</v>
      </c>
      <c r="J963" t="s">
        <v>1454</v>
      </c>
      <c r="K963" t="s">
        <v>166</v>
      </c>
      <c r="L963" t="s">
        <v>0</v>
      </c>
      <c r="M963" t="s">
        <v>178</v>
      </c>
      <c r="N963">
        <v>3</v>
      </c>
      <c r="O963">
        <v>3</v>
      </c>
      <c r="P963">
        <v>37.5</v>
      </c>
      <c r="Q963">
        <v>78.63</v>
      </c>
      <c r="R963">
        <v>26.7</v>
      </c>
      <c r="S963">
        <v>7.5695458100000002</v>
      </c>
      <c r="T963">
        <v>0</v>
      </c>
      <c r="U963">
        <v>0</v>
      </c>
      <c r="V963">
        <v>26.7</v>
      </c>
      <c r="W963" t="s">
        <v>1455</v>
      </c>
      <c r="X963" t="s">
        <v>271</v>
      </c>
      <c r="Y963" t="s">
        <v>4290</v>
      </c>
      <c r="AA963" t="s">
        <v>4291</v>
      </c>
      <c r="AB963" t="s">
        <v>181</v>
      </c>
    </row>
    <row r="964" spans="1:28" x14ac:dyDescent="0.25">
      <c r="A964" t="s">
        <v>4330</v>
      </c>
      <c r="B964" t="s">
        <v>4331</v>
      </c>
      <c r="C964" t="s">
        <v>646</v>
      </c>
      <c r="D964" t="s">
        <v>3779</v>
      </c>
      <c r="E964" t="s">
        <v>647</v>
      </c>
      <c r="F964" t="s">
        <v>666</v>
      </c>
      <c r="G964" t="s">
        <v>666</v>
      </c>
      <c r="H964" t="s">
        <v>1515</v>
      </c>
      <c r="I964" t="s">
        <v>1513</v>
      </c>
      <c r="J964" t="s">
        <v>333</v>
      </c>
      <c r="K964" t="s">
        <v>166</v>
      </c>
      <c r="L964" t="s">
        <v>0</v>
      </c>
      <c r="M964" t="s">
        <v>178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 t="s">
        <v>616</v>
      </c>
      <c r="X964" t="s">
        <v>271</v>
      </c>
      <c r="Y964" t="s">
        <v>4332</v>
      </c>
      <c r="AA964" t="s">
        <v>2421</v>
      </c>
      <c r="AB964" t="s">
        <v>181</v>
      </c>
    </row>
    <row r="965" spans="1:28" x14ac:dyDescent="0.25">
      <c r="A965" t="s">
        <v>4288</v>
      </c>
      <c r="B965" t="s">
        <v>4289</v>
      </c>
      <c r="C965" t="s">
        <v>646</v>
      </c>
      <c r="D965" t="s">
        <v>3779</v>
      </c>
      <c r="E965" t="s">
        <v>647</v>
      </c>
      <c r="F965" t="s">
        <v>3780</v>
      </c>
      <c r="G965" t="s">
        <v>769</v>
      </c>
      <c r="H965" t="s">
        <v>1515</v>
      </c>
      <c r="I965" t="s">
        <v>1453</v>
      </c>
      <c r="J965" t="s">
        <v>1454</v>
      </c>
      <c r="K965" t="s">
        <v>166</v>
      </c>
      <c r="L965" t="s">
        <v>0</v>
      </c>
      <c r="M965" t="s">
        <v>178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 t="s">
        <v>1455</v>
      </c>
      <c r="X965" t="s">
        <v>271</v>
      </c>
      <c r="Y965" t="s">
        <v>4290</v>
      </c>
      <c r="AA965" t="s">
        <v>4291</v>
      </c>
      <c r="AB965" t="s">
        <v>181</v>
      </c>
    </row>
    <row r="966" spans="1:28" x14ac:dyDescent="0.25">
      <c r="A966" t="s">
        <v>3801</v>
      </c>
      <c r="B966" t="s">
        <v>3802</v>
      </c>
      <c r="C966" t="s">
        <v>646</v>
      </c>
      <c r="D966" t="s">
        <v>3779</v>
      </c>
      <c r="E966" t="s">
        <v>647</v>
      </c>
      <c r="F966" t="s">
        <v>666</v>
      </c>
      <c r="G966" t="s">
        <v>666</v>
      </c>
      <c r="H966" t="s">
        <v>1159</v>
      </c>
      <c r="I966" t="s">
        <v>3803</v>
      </c>
      <c r="J966" t="s">
        <v>2577</v>
      </c>
      <c r="K966" t="s">
        <v>166</v>
      </c>
      <c r="L966" t="s">
        <v>0</v>
      </c>
      <c r="M966" t="s">
        <v>178</v>
      </c>
      <c r="N966">
        <v>2</v>
      </c>
      <c r="O966">
        <v>0</v>
      </c>
      <c r="P966">
        <v>19.5</v>
      </c>
      <c r="Q966">
        <v>139</v>
      </c>
      <c r="R966">
        <v>39.96</v>
      </c>
      <c r="S966">
        <v>3.71613068</v>
      </c>
      <c r="T966">
        <v>0</v>
      </c>
      <c r="U966">
        <v>0</v>
      </c>
      <c r="V966">
        <v>39.96</v>
      </c>
      <c r="W966" t="s">
        <v>2578</v>
      </c>
      <c r="X966" t="s">
        <v>271</v>
      </c>
      <c r="Y966" t="s">
        <v>3804</v>
      </c>
      <c r="AA966" t="s">
        <v>3805</v>
      </c>
      <c r="AB966" t="s">
        <v>181</v>
      </c>
    </row>
    <row r="967" spans="1:28" x14ac:dyDescent="0.25">
      <c r="A967" t="s">
        <v>4132</v>
      </c>
      <c r="B967" t="s">
        <v>4133</v>
      </c>
      <c r="C967" t="s">
        <v>646</v>
      </c>
      <c r="D967" t="s">
        <v>3779</v>
      </c>
      <c r="E967" t="s">
        <v>647</v>
      </c>
      <c r="F967" t="s">
        <v>666</v>
      </c>
      <c r="G967" t="s">
        <v>666</v>
      </c>
      <c r="H967" t="s">
        <v>649</v>
      </c>
      <c r="I967" t="s">
        <v>3911</v>
      </c>
      <c r="J967" t="s">
        <v>355</v>
      </c>
      <c r="K967" t="s">
        <v>166</v>
      </c>
      <c r="L967" t="s">
        <v>0</v>
      </c>
      <c r="M967" t="s">
        <v>178</v>
      </c>
      <c r="N967">
        <v>48</v>
      </c>
      <c r="O967">
        <v>48</v>
      </c>
      <c r="P967">
        <v>960</v>
      </c>
      <c r="Q967">
        <v>3246.18</v>
      </c>
      <c r="R967">
        <v>103.17</v>
      </c>
      <c r="S967">
        <v>152.51426115999999</v>
      </c>
      <c r="T967">
        <v>0</v>
      </c>
      <c r="U967">
        <v>0</v>
      </c>
      <c r="V967">
        <v>103.17</v>
      </c>
      <c r="W967" t="s">
        <v>0</v>
      </c>
      <c r="X967" t="s">
        <v>271</v>
      </c>
      <c r="Y967" t="s">
        <v>4134</v>
      </c>
      <c r="AA967" t="s">
        <v>3894</v>
      </c>
      <c r="AB967" t="s">
        <v>181</v>
      </c>
    </row>
    <row r="968" spans="1:28" x14ac:dyDescent="0.25">
      <c r="A968" t="s">
        <v>4333</v>
      </c>
      <c r="B968" t="s">
        <v>4334</v>
      </c>
      <c r="C968" t="s">
        <v>646</v>
      </c>
      <c r="D968" t="s">
        <v>3779</v>
      </c>
      <c r="E968" t="s">
        <v>647</v>
      </c>
      <c r="F968" t="s">
        <v>666</v>
      </c>
      <c r="G968" t="s">
        <v>666</v>
      </c>
      <c r="H968" t="s">
        <v>703</v>
      </c>
      <c r="I968" t="s">
        <v>3649</v>
      </c>
      <c r="J968" t="s">
        <v>1567</v>
      </c>
      <c r="K968" t="s">
        <v>166</v>
      </c>
      <c r="L968" t="s">
        <v>0</v>
      </c>
      <c r="M968" t="s">
        <v>178</v>
      </c>
      <c r="N968">
        <v>1832.5</v>
      </c>
      <c r="O968">
        <v>678.41669999999999</v>
      </c>
      <c r="P968">
        <v>29060.25</v>
      </c>
      <c r="Q968">
        <v>63130.87</v>
      </c>
      <c r="R968">
        <v>6589.4992565499997</v>
      </c>
      <c r="S968">
        <v>9685.8740526900001</v>
      </c>
      <c r="T968">
        <v>1193.7492565499999</v>
      </c>
      <c r="U968">
        <v>117.45</v>
      </c>
      <c r="V968">
        <v>6707.67</v>
      </c>
      <c r="W968" t="s">
        <v>556</v>
      </c>
      <c r="X968" t="s">
        <v>271</v>
      </c>
      <c r="Y968" t="s">
        <v>4335</v>
      </c>
      <c r="AA968" t="s">
        <v>4336</v>
      </c>
      <c r="AB968" t="s">
        <v>181</v>
      </c>
    </row>
    <row r="969" spans="1:28" x14ac:dyDescent="0.25">
      <c r="A969" t="s">
        <v>4123</v>
      </c>
      <c r="B969" t="s">
        <v>4124</v>
      </c>
      <c r="C969" t="s">
        <v>646</v>
      </c>
      <c r="D969" t="s">
        <v>3779</v>
      </c>
      <c r="E969" t="s">
        <v>647</v>
      </c>
      <c r="F969" t="s">
        <v>3780</v>
      </c>
      <c r="G969" t="s">
        <v>769</v>
      </c>
      <c r="H969" t="s">
        <v>708</v>
      </c>
      <c r="I969" t="s">
        <v>746</v>
      </c>
      <c r="J969" t="s">
        <v>504</v>
      </c>
      <c r="K969" t="s">
        <v>166</v>
      </c>
      <c r="L969" t="s">
        <v>0</v>
      </c>
      <c r="M969" t="s">
        <v>178</v>
      </c>
      <c r="N969">
        <v>66.166700000000006</v>
      </c>
      <c r="O969">
        <v>61.166699999999999</v>
      </c>
      <c r="P969">
        <v>1274.44</v>
      </c>
      <c r="Q969">
        <v>2153.86</v>
      </c>
      <c r="R969">
        <v>-470.8</v>
      </c>
      <c r="S969">
        <v>1047.61768127</v>
      </c>
      <c r="T969">
        <v>0</v>
      </c>
      <c r="U969">
        <v>640.35</v>
      </c>
      <c r="V969">
        <v>169.55</v>
      </c>
      <c r="W969" t="s">
        <v>503</v>
      </c>
      <c r="X969" t="s">
        <v>271</v>
      </c>
      <c r="Y969" t="s">
        <v>4125</v>
      </c>
      <c r="AA969" t="s">
        <v>4126</v>
      </c>
      <c r="AB969" t="s">
        <v>181</v>
      </c>
    </row>
    <row r="970" spans="1:28" x14ac:dyDescent="0.25">
      <c r="A970" t="s">
        <v>4280</v>
      </c>
      <c r="B970" t="s">
        <v>4281</v>
      </c>
      <c r="C970" t="s">
        <v>646</v>
      </c>
      <c r="D970" t="s">
        <v>3779</v>
      </c>
      <c r="E970" t="s">
        <v>647</v>
      </c>
      <c r="F970" t="s">
        <v>3780</v>
      </c>
      <c r="G970" t="s">
        <v>769</v>
      </c>
      <c r="H970" t="s">
        <v>683</v>
      </c>
      <c r="I970" t="s">
        <v>1872</v>
      </c>
      <c r="J970" t="s">
        <v>1873</v>
      </c>
      <c r="K970" t="s">
        <v>166</v>
      </c>
      <c r="L970" t="s">
        <v>0</v>
      </c>
      <c r="M970" t="s">
        <v>178</v>
      </c>
      <c r="N970">
        <v>438.25</v>
      </c>
      <c r="O970">
        <v>293.5</v>
      </c>
      <c r="P970">
        <v>6921.29</v>
      </c>
      <c r="Q970">
        <v>25186.720000000001</v>
      </c>
      <c r="R970">
        <v>4533.3490421300003</v>
      </c>
      <c r="S970">
        <v>4924.6251381100001</v>
      </c>
      <c r="T970">
        <v>-9.5786999999999999E-4</v>
      </c>
      <c r="U970">
        <v>0</v>
      </c>
      <c r="V970">
        <v>4533.3500000000004</v>
      </c>
      <c r="W970" t="s">
        <v>1874</v>
      </c>
      <c r="X970" t="s">
        <v>271</v>
      </c>
      <c r="Y970" t="s">
        <v>4282</v>
      </c>
      <c r="AA970" t="s">
        <v>4283</v>
      </c>
      <c r="AB970" t="s">
        <v>181</v>
      </c>
    </row>
    <row r="971" spans="1:28" x14ac:dyDescent="0.25">
      <c r="A971" t="s">
        <v>4002</v>
      </c>
      <c r="B971" t="s">
        <v>4003</v>
      </c>
      <c r="C971" t="s">
        <v>646</v>
      </c>
      <c r="D971" t="s">
        <v>3779</v>
      </c>
      <c r="E971" t="s">
        <v>647</v>
      </c>
      <c r="F971" t="s">
        <v>3780</v>
      </c>
      <c r="G971" t="s">
        <v>769</v>
      </c>
      <c r="H971" t="s">
        <v>672</v>
      </c>
      <c r="I971" t="s">
        <v>2635</v>
      </c>
      <c r="J971" t="s">
        <v>2636</v>
      </c>
      <c r="K971" t="s">
        <v>166</v>
      </c>
      <c r="L971" t="s">
        <v>0</v>
      </c>
      <c r="M971" t="s">
        <v>178</v>
      </c>
      <c r="N971">
        <v>414</v>
      </c>
      <c r="O971">
        <v>132</v>
      </c>
      <c r="P971">
        <v>10589.6</v>
      </c>
      <c r="Q971">
        <v>13473.36</v>
      </c>
      <c r="R971">
        <v>2250.0619770399999</v>
      </c>
      <c r="S971">
        <v>1183.3336570900001</v>
      </c>
      <c r="T971">
        <v>565.78197704000002</v>
      </c>
      <c r="U971">
        <v>0</v>
      </c>
      <c r="V971">
        <v>2249.0300000000002</v>
      </c>
      <c r="W971" t="s">
        <v>1609</v>
      </c>
      <c r="X971" t="s">
        <v>271</v>
      </c>
      <c r="Y971" t="s">
        <v>4004</v>
      </c>
      <c r="AA971" t="s">
        <v>4005</v>
      </c>
      <c r="AB971" t="s">
        <v>181</v>
      </c>
    </row>
    <row r="972" spans="1:28" x14ac:dyDescent="0.25">
      <c r="A972" t="s">
        <v>4078</v>
      </c>
      <c r="B972" t="s">
        <v>4079</v>
      </c>
      <c r="C972" t="s">
        <v>646</v>
      </c>
      <c r="D972" t="s">
        <v>3779</v>
      </c>
      <c r="E972" t="s">
        <v>647</v>
      </c>
      <c r="F972" t="s">
        <v>3780</v>
      </c>
      <c r="G972" t="s">
        <v>769</v>
      </c>
      <c r="H972" t="s">
        <v>802</v>
      </c>
      <c r="I972" t="s">
        <v>885</v>
      </c>
      <c r="J972" t="s">
        <v>324</v>
      </c>
      <c r="K972" t="s">
        <v>166</v>
      </c>
      <c r="L972" t="s">
        <v>0</v>
      </c>
      <c r="M972" t="s">
        <v>178</v>
      </c>
      <c r="N972">
        <v>38.583300000000001</v>
      </c>
      <c r="O972">
        <v>38.583300000000001</v>
      </c>
      <c r="P972">
        <v>523.53</v>
      </c>
      <c r="Q972">
        <v>1602.47</v>
      </c>
      <c r="R972">
        <v>201.42</v>
      </c>
      <c r="S972">
        <v>201.14404554000001</v>
      </c>
      <c r="T972">
        <v>0</v>
      </c>
      <c r="U972">
        <v>0</v>
      </c>
      <c r="V972">
        <v>201.42</v>
      </c>
      <c r="W972" t="s">
        <v>519</v>
      </c>
      <c r="X972" t="s">
        <v>271</v>
      </c>
      <c r="Y972" t="s">
        <v>4080</v>
      </c>
      <c r="AA972" t="s">
        <v>4081</v>
      </c>
      <c r="AB972" t="s">
        <v>181</v>
      </c>
    </row>
    <row r="973" spans="1:28" x14ac:dyDescent="0.25">
      <c r="A973" t="s">
        <v>3895</v>
      </c>
      <c r="B973" t="s">
        <v>3896</v>
      </c>
      <c r="C973" t="s">
        <v>646</v>
      </c>
      <c r="D973" t="s">
        <v>3779</v>
      </c>
      <c r="E973" t="s">
        <v>647</v>
      </c>
      <c r="F973" t="s">
        <v>3780</v>
      </c>
      <c r="G973" t="s">
        <v>769</v>
      </c>
      <c r="H973" t="s">
        <v>672</v>
      </c>
      <c r="I973" t="s">
        <v>3897</v>
      </c>
      <c r="J973" t="s">
        <v>437</v>
      </c>
      <c r="K973" t="s">
        <v>166</v>
      </c>
      <c r="L973" t="s">
        <v>0</v>
      </c>
      <c r="M973" t="s">
        <v>178</v>
      </c>
      <c r="N973">
        <v>1056</v>
      </c>
      <c r="O973">
        <v>458</v>
      </c>
      <c r="P973">
        <v>23058.04</v>
      </c>
      <c r="Q973">
        <v>36806.870000000003</v>
      </c>
      <c r="R973">
        <v>1564.28852063</v>
      </c>
      <c r="S973">
        <v>4167.4382186800003</v>
      </c>
      <c r="T973">
        <v>0.68852062999999997</v>
      </c>
      <c r="U973">
        <v>1082</v>
      </c>
      <c r="V973">
        <v>2645.6</v>
      </c>
      <c r="W973" t="s">
        <v>510</v>
      </c>
      <c r="X973" t="s">
        <v>271</v>
      </c>
      <c r="Y973" t="s">
        <v>3898</v>
      </c>
      <c r="AA973" t="s">
        <v>3899</v>
      </c>
      <c r="AB973" t="s">
        <v>181</v>
      </c>
    </row>
    <row r="974" spans="1:28" x14ac:dyDescent="0.25">
      <c r="A974" t="s">
        <v>4139</v>
      </c>
      <c r="B974" t="s">
        <v>4140</v>
      </c>
      <c r="C974" t="s">
        <v>646</v>
      </c>
      <c r="D974" t="s">
        <v>3779</v>
      </c>
      <c r="E974" t="s">
        <v>647</v>
      </c>
      <c r="F974" t="s">
        <v>3780</v>
      </c>
      <c r="G974" t="s">
        <v>769</v>
      </c>
      <c r="H974" t="s">
        <v>708</v>
      </c>
      <c r="I974" t="s">
        <v>778</v>
      </c>
      <c r="J974" t="s">
        <v>428</v>
      </c>
      <c r="K974" t="s">
        <v>166</v>
      </c>
      <c r="L974" t="s">
        <v>0</v>
      </c>
      <c r="M974" t="s">
        <v>178</v>
      </c>
      <c r="N974">
        <v>17</v>
      </c>
      <c r="O974">
        <v>0</v>
      </c>
      <c r="P974">
        <v>133</v>
      </c>
      <c r="Q974">
        <v>523.12</v>
      </c>
      <c r="R974">
        <v>99.54</v>
      </c>
      <c r="S974">
        <v>19.917900750000001</v>
      </c>
      <c r="T974">
        <v>0</v>
      </c>
      <c r="U974">
        <v>0</v>
      </c>
      <c r="V974">
        <v>99.54</v>
      </c>
      <c r="W974" t="s">
        <v>547</v>
      </c>
      <c r="X974" t="s">
        <v>271</v>
      </c>
      <c r="Y974" t="s">
        <v>4141</v>
      </c>
      <c r="AA974" t="s">
        <v>4142</v>
      </c>
      <c r="AB974" t="s">
        <v>181</v>
      </c>
    </row>
    <row r="975" spans="1:28" x14ac:dyDescent="0.25">
      <c r="A975" t="s">
        <v>3985</v>
      </c>
      <c r="B975" t="s">
        <v>3986</v>
      </c>
      <c r="C975" t="s">
        <v>646</v>
      </c>
      <c r="D975" t="s">
        <v>3779</v>
      </c>
      <c r="E975" t="s">
        <v>647</v>
      </c>
      <c r="F975" t="s">
        <v>3780</v>
      </c>
      <c r="G975" t="s">
        <v>769</v>
      </c>
      <c r="H975" t="s">
        <v>703</v>
      </c>
      <c r="I975" t="s">
        <v>3987</v>
      </c>
      <c r="J975" t="s">
        <v>3988</v>
      </c>
      <c r="K975" t="s">
        <v>166</v>
      </c>
      <c r="L975" t="s">
        <v>0</v>
      </c>
      <c r="M975" t="s">
        <v>178</v>
      </c>
      <c r="N975">
        <v>407.08330000000001</v>
      </c>
      <c r="O975">
        <v>230.58330000000001</v>
      </c>
      <c r="P975">
        <v>7303.69</v>
      </c>
      <c r="Q975">
        <v>18996.34</v>
      </c>
      <c r="R975">
        <v>3276.92957346</v>
      </c>
      <c r="S975">
        <v>3904.3037645099998</v>
      </c>
      <c r="T975">
        <v>0.17957345999999999</v>
      </c>
      <c r="U975">
        <v>0</v>
      </c>
      <c r="V975">
        <v>3276.75</v>
      </c>
      <c r="W975" t="s">
        <v>3989</v>
      </c>
      <c r="X975" t="s">
        <v>271</v>
      </c>
      <c r="Y975" t="s">
        <v>3990</v>
      </c>
      <c r="AA975" t="s">
        <v>3991</v>
      </c>
      <c r="AB975" t="s">
        <v>181</v>
      </c>
    </row>
    <row r="976" spans="1:28" x14ac:dyDescent="0.25">
      <c r="A976" t="s">
        <v>4051</v>
      </c>
      <c r="B976" t="s">
        <v>4052</v>
      </c>
      <c r="C976" t="s">
        <v>646</v>
      </c>
      <c r="D976" t="s">
        <v>3779</v>
      </c>
      <c r="E976" t="s">
        <v>647</v>
      </c>
      <c r="F976" t="s">
        <v>3780</v>
      </c>
      <c r="G976" t="s">
        <v>769</v>
      </c>
      <c r="H976" t="s">
        <v>1045</v>
      </c>
      <c r="I976" t="s">
        <v>4053</v>
      </c>
      <c r="J976" t="s">
        <v>4054</v>
      </c>
      <c r="K976" t="s">
        <v>166</v>
      </c>
      <c r="L976" t="s">
        <v>0</v>
      </c>
      <c r="M976" t="s">
        <v>178</v>
      </c>
      <c r="N976">
        <v>1864</v>
      </c>
      <c r="O976">
        <v>1153</v>
      </c>
      <c r="P976">
        <v>22778.3</v>
      </c>
      <c r="Q976">
        <v>124059.85</v>
      </c>
      <c r="R976">
        <v>8988.9</v>
      </c>
      <c r="S976">
        <v>6043.73452387</v>
      </c>
      <c r="T976">
        <v>0</v>
      </c>
      <c r="U976">
        <v>0</v>
      </c>
      <c r="V976">
        <v>8988.9</v>
      </c>
      <c r="W976" t="s">
        <v>2488</v>
      </c>
      <c r="X976" t="s">
        <v>269</v>
      </c>
      <c r="Y976" t="s">
        <v>4055</v>
      </c>
      <c r="AA976" t="s">
        <v>4056</v>
      </c>
      <c r="AB976" t="s">
        <v>181</v>
      </c>
    </row>
    <row r="977" spans="1:28" x14ac:dyDescent="0.25">
      <c r="A977" t="s">
        <v>4184</v>
      </c>
      <c r="B977" t="s">
        <v>4185</v>
      </c>
      <c r="C977" t="s">
        <v>646</v>
      </c>
      <c r="D977" t="s">
        <v>3779</v>
      </c>
      <c r="E977" t="s">
        <v>647</v>
      </c>
      <c r="F977" t="s">
        <v>3780</v>
      </c>
      <c r="G977" t="s">
        <v>769</v>
      </c>
      <c r="H977" t="s">
        <v>649</v>
      </c>
      <c r="I977" t="s">
        <v>4186</v>
      </c>
      <c r="J977" t="s">
        <v>1164</v>
      </c>
      <c r="K977" t="s">
        <v>166</v>
      </c>
      <c r="L977" t="s">
        <v>0</v>
      </c>
      <c r="M977" t="s">
        <v>178</v>
      </c>
      <c r="N977">
        <v>393</v>
      </c>
      <c r="O977">
        <v>352</v>
      </c>
      <c r="P977">
        <v>12201.38</v>
      </c>
      <c r="Q977">
        <v>26110.35</v>
      </c>
      <c r="R977">
        <v>1209.6300000000001</v>
      </c>
      <c r="S977">
        <v>1581.34541691</v>
      </c>
      <c r="T977">
        <v>0</v>
      </c>
      <c r="U977">
        <v>361.33</v>
      </c>
      <c r="V977">
        <v>1570.96</v>
      </c>
      <c r="W977" t="s">
        <v>1165</v>
      </c>
      <c r="X977" t="s">
        <v>271</v>
      </c>
      <c r="Y977" t="s">
        <v>4187</v>
      </c>
      <c r="AA977" t="s">
        <v>4188</v>
      </c>
      <c r="AB977" t="s">
        <v>181</v>
      </c>
    </row>
    <row r="978" spans="1:28" x14ac:dyDescent="0.25">
      <c r="A978" t="s">
        <v>3965</v>
      </c>
      <c r="B978" t="s">
        <v>3966</v>
      </c>
      <c r="C978" t="s">
        <v>646</v>
      </c>
      <c r="D978" t="s">
        <v>3779</v>
      </c>
      <c r="E978" t="s">
        <v>647</v>
      </c>
      <c r="F978" t="s">
        <v>3780</v>
      </c>
      <c r="G978" t="s">
        <v>769</v>
      </c>
      <c r="H978" t="s">
        <v>757</v>
      </c>
      <c r="I978" t="s">
        <v>2339</v>
      </c>
      <c r="J978" t="s">
        <v>2165</v>
      </c>
      <c r="K978" t="s">
        <v>166</v>
      </c>
      <c r="L978" t="s">
        <v>0</v>
      </c>
      <c r="M978" t="s">
        <v>178</v>
      </c>
      <c r="N978">
        <v>103</v>
      </c>
      <c r="O978">
        <v>61</v>
      </c>
      <c r="P978">
        <v>3016.63</v>
      </c>
      <c r="Q978">
        <v>2146.1999999999998</v>
      </c>
      <c r="R978">
        <v>-183.51</v>
      </c>
      <c r="S978">
        <v>568.25243197999998</v>
      </c>
      <c r="T978">
        <v>0</v>
      </c>
      <c r="U978">
        <v>0</v>
      </c>
      <c r="V978">
        <v>-183.51</v>
      </c>
      <c r="W978" t="s">
        <v>2166</v>
      </c>
      <c r="X978" t="s">
        <v>271</v>
      </c>
      <c r="Y978" t="s">
        <v>3967</v>
      </c>
      <c r="AA978" t="s">
        <v>3968</v>
      </c>
      <c r="AB978" t="s">
        <v>181</v>
      </c>
    </row>
    <row r="979" spans="1:28" x14ac:dyDescent="0.25">
      <c r="A979" t="s">
        <v>4015</v>
      </c>
      <c r="B979" t="s">
        <v>4016</v>
      </c>
      <c r="C979" t="s">
        <v>646</v>
      </c>
      <c r="D979" t="s">
        <v>3779</v>
      </c>
      <c r="E979" t="s">
        <v>647</v>
      </c>
      <c r="F979" t="s">
        <v>3780</v>
      </c>
      <c r="G979" t="s">
        <v>769</v>
      </c>
      <c r="H979" t="s">
        <v>717</v>
      </c>
      <c r="I979" t="s">
        <v>4017</v>
      </c>
      <c r="J979" t="s">
        <v>4018</v>
      </c>
      <c r="K979" t="s">
        <v>166</v>
      </c>
      <c r="L979" t="s">
        <v>0</v>
      </c>
      <c r="M979" t="s">
        <v>178</v>
      </c>
      <c r="N979">
        <v>21</v>
      </c>
      <c r="O979">
        <v>16</v>
      </c>
      <c r="P979">
        <v>210.22</v>
      </c>
      <c r="Q979">
        <v>1235.82</v>
      </c>
      <c r="R979">
        <v>146.96</v>
      </c>
      <c r="S979">
        <v>22.248267250000001</v>
      </c>
      <c r="T979">
        <v>0</v>
      </c>
      <c r="U979">
        <v>0</v>
      </c>
      <c r="V979">
        <v>146.96</v>
      </c>
      <c r="W979" t="s">
        <v>4019</v>
      </c>
      <c r="X979" t="s">
        <v>271</v>
      </c>
      <c r="Y979" t="s">
        <v>4020</v>
      </c>
      <c r="AA979" t="s">
        <v>4021</v>
      </c>
      <c r="AB979" t="s">
        <v>181</v>
      </c>
    </row>
    <row r="980" spans="1:28" x14ac:dyDescent="0.25">
      <c r="A980" t="s">
        <v>4216</v>
      </c>
      <c r="B980" t="s">
        <v>4217</v>
      </c>
      <c r="C980" t="s">
        <v>646</v>
      </c>
      <c r="D980" t="s">
        <v>3779</v>
      </c>
      <c r="E980" t="s">
        <v>647</v>
      </c>
      <c r="F980" t="s">
        <v>666</v>
      </c>
      <c r="G980" t="s">
        <v>666</v>
      </c>
      <c r="H980" t="s">
        <v>730</v>
      </c>
      <c r="I980" t="s">
        <v>1636</v>
      </c>
      <c r="J980" t="s">
        <v>1637</v>
      </c>
      <c r="K980" t="s">
        <v>166</v>
      </c>
      <c r="L980" t="s">
        <v>0</v>
      </c>
      <c r="M980" t="s">
        <v>178</v>
      </c>
      <c r="N980">
        <v>37</v>
      </c>
      <c r="O980">
        <v>8</v>
      </c>
      <c r="P980">
        <v>1240.5999999999999</v>
      </c>
      <c r="Q980">
        <v>3508.61</v>
      </c>
      <c r="R980">
        <v>350.37185088000001</v>
      </c>
      <c r="S980">
        <v>33.345448619999999</v>
      </c>
      <c r="T980">
        <v>1653.36185088</v>
      </c>
      <c r="U980">
        <v>0</v>
      </c>
      <c r="V980">
        <v>354.4</v>
      </c>
      <c r="W980" t="s">
        <v>1638</v>
      </c>
      <c r="X980" t="s">
        <v>271</v>
      </c>
      <c r="Y980" t="s">
        <v>1639</v>
      </c>
      <c r="AA980" t="s">
        <v>4218</v>
      </c>
      <c r="AB980" t="s">
        <v>181</v>
      </c>
    </row>
    <row r="981" spans="1:28" x14ac:dyDescent="0.25">
      <c r="A981" t="s">
        <v>4113</v>
      </c>
      <c r="B981" t="s">
        <v>4114</v>
      </c>
      <c r="C981" t="s">
        <v>646</v>
      </c>
      <c r="D981" t="s">
        <v>3779</v>
      </c>
      <c r="E981" t="s">
        <v>647</v>
      </c>
      <c r="F981" t="s">
        <v>3780</v>
      </c>
      <c r="G981" t="s">
        <v>769</v>
      </c>
      <c r="H981" t="s">
        <v>909</v>
      </c>
      <c r="I981" t="s">
        <v>1913</v>
      </c>
      <c r="J981" t="s">
        <v>1914</v>
      </c>
      <c r="K981" t="s">
        <v>166</v>
      </c>
      <c r="L981" t="s">
        <v>0</v>
      </c>
      <c r="M981" t="s">
        <v>178</v>
      </c>
      <c r="N981">
        <v>201</v>
      </c>
      <c r="O981">
        <v>201</v>
      </c>
      <c r="P981">
        <v>6428.6</v>
      </c>
      <c r="Q981">
        <v>8647.36</v>
      </c>
      <c r="R981">
        <v>1783.64953894</v>
      </c>
      <c r="S981">
        <v>2210.3219682399999</v>
      </c>
      <c r="T981">
        <v>0.40953894000000002</v>
      </c>
      <c r="U981">
        <v>0</v>
      </c>
      <c r="V981">
        <v>1783.24</v>
      </c>
      <c r="W981" t="s">
        <v>1915</v>
      </c>
      <c r="X981" t="s">
        <v>269</v>
      </c>
      <c r="Y981" t="s">
        <v>4115</v>
      </c>
      <c r="AA981" t="s">
        <v>4116</v>
      </c>
      <c r="AB981" t="s">
        <v>181</v>
      </c>
    </row>
    <row r="982" spans="1:28" x14ac:dyDescent="0.25">
      <c r="A982" t="s">
        <v>3801</v>
      </c>
      <c r="B982" t="s">
        <v>3802</v>
      </c>
      <c r="C982" t="s">
        <v>646</v>
      </c>
      <c r="D982" t="s">
        <v>3779</v>
      </c>
      <c r="E982" t="s">
        <v>647</v>
      </c>
      <c r="F982" t="s">
        <v>666</v>
      </c>
      <c r="G982" t="s">
        <v>666</v>
      </c>
      <c r="H982" t="s">
        <v>679</v>
      </c>
      <c r="I982" t="s">
        <v>3803</v>
      </c>
      <c r="J982" t="s">
        <v>2577</v>
      </c>
      <c r="K982" t="s">
        <v>166</v>
      </c>
      <c r="L982" t="s">
        <v>0</v>
      </c>
      <c r="M982" t="s">
        <v>178</v>
      </c>
      <c r="N982">
        <v>26</v>
      </c>
      <c r="O982">
        <v>26</v>
      </c>
      <c r="P982">
        <v>219.96</v>
      </c>
      <c r="Q982">
        <v>512.53</v>
      </c>
      <c r="R982">
        <v>37.417447189999997</v>
      </c>
      <c r="S982">
        <v>143.47296908999999</v>
      </c>
      <c r="T982">
        <v>-3.1025528100000002</v>
      </c>
      <c r="U982">
        <v>0</v>
      </c>
      <c r="V982">
        <v>40.520000000000003</v>
      </c>
      <c r="W982" t="s">
        <v>2578</v>
      </c>
      <c r="X982" t="s">
        <v>271</v>
      </c>
      <c r="Y982" t="s">
        <v>3804</v>
      </c>
      <c r="AA982" t="s">
        <v>3805</v>
      </c>
      <c r="AB982" t="s">
        <v>181</v>
      </c>
    </row>
    <row r="983" spans="1:28" x14ac:dyDescent="0.25">
      <c r="A983" t="s">
        <v>4135</v>
      </c>
      <c r="B983" t="s">
        <v>4136</v>
      </c>
      <c r="C983" t="s">
        <v>646</v>
      </c>
      <c r="D983" t="s">
        <v>3779</v>
      </c>
      <c r="E983" t="s">
        <v>647</v>
      </c>
      <c r="F983" t="s">
        <v>3780</v>
      </c>
      <c r="G983" t="s">
        <v>769</v>
      </c>
      <c r="H983" t="s">
        <v>713</v>
      </c>
      <c r="I983" t="s">
        <v>1083</v>
      </c>
      <c r="J983" t="s">
        <v>731</v>
      </c>
      <c r="K983" t="s">
        <v>166</v>
      </c>
      <c r="L983" t="s">
        <v>0</v>
      </c>
      <c r="M983" t="s">
        <v>178</v>
      </c>
      <c r="N983">
        <v>358</v>
      </c>
      <c r="O983">
        <v>77</v>
      </c>
      <c r="P983">
        <v>7405.68</v>
      </c>
      <c r="Q983">
        <v>9516.92</v>
      </c>
      <c r="R983">
        <v>2901.1372642699998</v>
      </c>
      <c r="S983">
        <v>728.29501273999995</v>
      </c>
      <c r="T983">
        <v>-1.77273573</v>
      </c>
      <c r="U983">
        <v>0</v>
      </c>
      <c r="V983">
        <v>2902.91</v>
      </c>
      <c r="W983" t="s">
        <v>0</v>
      </c>
      <c r="X983" t="s">
        <v>271</v>
      </c>
      <c r="Y983" t="s">
        <v>4137</v>
      </c>
      <c r="AA983" t="s">
        <v>4138</v>
      </c>
      <c r="AB983" t="s">
        <v>181</v>
      </c>
    </row>
    <row r="984" spans="1:28" x14ac:dyDescent="0.25">
      <c r="A984" t="s">
        <v>4324</v>
      </c>
      <c r="B984" t="s">
        <v>224</v>
      </c>
      <c r="C984" t="s">
        <v>646</v>
      </c>
      <c r="D984" t="s">
        <v>3779</v>
      </c>
      <c r="E984" t="s">
        <v>647</v>
      </c>
      <c r="F984" t="s">
        <v>3780</v>
      </c>
      <c r="G984" t="s">
        <v>769</v>
      </c>
      <c r="H984" t="s">
        <v>683</v>
      </c>
      <c r="I984" t="s">
        <v>4164</v>
      </c>
      <c r="J984" t="s">
        <v>985</v>
      </c>
      <c r="K984" t="s">
        <v>166</v>
      </c>
      <c r="L984" t="s">
        <v>0</v>
      </c>
      <c r="M984" t="s">
        <v>178</v>
      </c>
      <c r="N984">
        <v>337</v>
      </c>
      <c r="O984">
        <v>89</v>
      </c>
      <c r="P984">
        <v>3596.56</v>
      </c>
      <c r="Q984">
        <v>10355.540000000001</v>
      </c>
      <c r="R984">
        <v>1470.4771024700001</v>
      </c>
      <c r="S984">
        <v>1359.7464425400001</v>
      </c>
      <c r="T984">
        <v>-2.8975300000000002E-3</v>
      </c>
      <c r="U984">
        <v>0</v>
      </c>
      <c r="V984">
        <v>1470.48</v>
      </c>
      <c r="W984" t="s">
        <v>986</v>
      </c>
      <c r="X984" t="s">
        <v>271</v>
      </c>
      <c r="Y984" t="s">
        <v>4165</v>
      </c>
      <c r="AA984" t="s">
        <v>4325</v>
      </c>
      <c r="AB984" t="s">
        <v>181</v>
      </c>
    </row>
    <row r="985" spans="1:28" x14ac:dyDescent="0.25">
      <c r="A985" t="s">
        <v>3849</v>
      </c>
      <c r="B985" t="s">
        <v>3850</v>
      </c>
      <c r="C985" t="s">
        <v>646</v>
      </c>
      <c r="D985" t="s">
        <v>3779</v>
      </c>
      <c r="E985" t="s">
        <v>647</v>
      </c>
      <c r="F985" t="s">
        <v>3780</v>
      </c>
      <c r="G985" t="s">
        <v>769</v>
      </c>
      <c r="H985" t="s">
        <v>1045</v>
      </c>
      <c r="I985" t="s">
        <v>1184</v>
      </c>
      <c r="J985" t="s">
        <v>1185</v>
      </c>
      <c r="K985" t="s">
        <v>166</v>
      </c>
      <c r="L985" t="s">
        <v>0</v>
      </c>
      <c r="M985" t="s">
        <v>178</v>
      </c>
      <c r="N985">
        <v>23</v>
      </c>
      <c r="O985">
        <v>6</v>
      </c>
      <c r="P985">
        <v>247.3</v>
      </c>
      <c r="Q985">
        <v>1857.42</v>
      </c>
      <c r="R985">
        <v>260.63</v>
      </c>
      <c r="S985">
        <v>34.387324530000001</v>
      </c>
      <c r="T985">
        <v>0</v>
      </c>
      <c r="U985">
        <v>0</v>
      </c>
      <c r="V985">
        <v>260.63</v>
      </c>
      <c r="W985" t="s">
        <v>1186</v>
      </c>
      <c r="X985" t="s">
        <v>271</v>
      </c>
      <c r="Y985" t="s">
        <v>3851</v>
      </c>
      <c r="AA985" t="s">
        <v>3852</v>
      </c>
      <c r="AB985" t="s">
        <v>181</v>
      </c>
    </row>
    <row r="986" spans="1:28" x14ac:dyDescent="0.25">
      <c r="A986" t="s">
        <v>3888</v>
      </c>
      <c r="B986" t="s">
        <v>3889</v>
      </c>
      <c r="C986" t="s">
        <v>646</v>
      </c>
      <c r="D986" t="s">
        <v>3779</v>
      </c>
      <c r="E986" t="s">
        <v>647</v>
      </c>
      <c r="F986" t="s">
        <v>3780</v>
      </c>
      <c r="G986" t="s">
        <v>769</v>
      </c>
      <c r="H986" t="s">
        <v>770</v>
      </c>
      <c r="I986" t="s">
        <v>1368</v>
      </c>
      <c r="J986" t="s">
        <v>1369</v>
      </c>
      <c r="K986" t="s">
        <v>166</v>
      </c>
      <c r="L986" t="s">
        <v>0</v>
      </c>
      <c r="M986" t="s">
        <v>178</v>
      </c>
      <c r="N986">
        <v>585.5</v>
      </c>
      <c r="O986">
        <v>504.5</v>
      </c>
      <c r="P986">
        <v>15865.4</v>
      </c>
      <c r="Q986">
        <v>10892.26</v>
      </c>
      <c r="R986">
        <v>181.68</v>
      </c>
      <c r="S986">
        <v>1661.43411586</v>
      </c>
      <c r="T986">
        <v>0</v>
      </c>
      <c r="U986">
        <v>0</v>
      </c>
      <c r="V986">
        <v>181.68</v>
      </c>
      <c r="W986" t="s">
        <v>1370</v>
      </c>
      <c r="X986" t="s">
        <v>271</v>
      </c>
      <c r="Y986" t="s">
        <v>3890</v>
      </c>
      <c r="AA986" t="s">
        <v>3891</v>
      </c>
      <c r="AB986" t="s">
        <v>181</v>
      </c>
    </row>
    <row r="987" spans="1:28" x14ac:dyDescent="0.25">
      <c r="A987" t="s">
        <v>4361</v>
      </c>
      <c r="B987" t="s">
        <v>4362</v>
      </c>
      <c r="C987" t="s">
        <v>646</v>
      </c>
      <c r="D987" t="s">
        <v>3779</v>
      </c>
      <c r="E987" t="s">
        <v>647</v>
      </c>
      <c r="F987" t="s">
        <v>3780</v>
      </c>
      <c r="G987" t="s">
        <v>769</v>
      </c>
      <c r="H987" t="s">
        <v>770</v>
      </c>
      <c r="I987" t="s">
        <v>1712</v>
      </c>
      <c r="J987" t="s">
        <v>335</v>
      </c>
      <c r="K987" t="s">
        <v>166</v>
      </c>
      <c r="L987" t="s">
        <v>0</v>
      </c>
      <c r="M987" t="s">
        <v>178</v>
      </c>
      <c r="N987">
        <v>852.7</v>
      </c>
      <c r="O987">
        <v>815.7</v>
      </c>
      <c r="P987">
        <v>17107.73</v>
      </c>
      <c r="Q987">
        <v>15946.58</v>
      </c>
      <c r="R987">
        <v>2198.7800000000002</v>
      </c>
      <c r="S987">
        <v>2648.0221942899998</v>
      </c>
      <c r="T987">
        <v>0</v>
      </c>
      <c r="U987">
        <v>0</v>
      </c>
      <c r="V987">
        <v>2198.7800000000002</v>
      </c>
      <c r="W987" t="s">
        <v>572</v>
      </c>
      <c r="X987" t="s">
        <v>271</v>
      </c>
      <c r="Y987" t="s">
        <v>4363</v>
      </c>
      <c r="AA987" t="s">
        <v>4364</v>
      </c>
      <c r="AB987" t="s">
        <v>181</v>
      </c>
    </row>
    <row r="988" spans="1:28" x14ac:dyDescent="0.25">
      <c r="A988" t="s">
        <v>4280</v>
      </c>
      <c r="B988" t="s">
        <v>4281</v>
      </c>
      <c r="C988" t="s">
        <v>646</v>
      </c>
      <c r="D988" t="s">
        <v>3779</v>
      </c>
      <c r="E988" t="s">
        <v>647</v>
      </c>
      <c r="F988" t="s">
        <v>3780</v>
      </c>
      <c r="G988" t="s">
        <v>769</v>
      </c>
      <c r="H988" t="s">
        <v>649</v>
      </c>
      <c r="I988" t="s">
        <v>1872</v>
      </c>
      <c r="J988" t="s">
        <v>1873</v>
      </c>
      <c r="K988" t="s">
        <v>166</v>
      </c>
      <c r="L988" t="s">
        <v>0</v>
      </c>
      <c r="M988" t="s">
        <v>178</v>
      </c>
      <c r="N988">
        <v>461</v>
      </c>
      <c r="O988">
        <v>209</v>
      </c>
      <c r="P988">
        <v>7117.37</v>
      </c>
      <c r="Q988">
        <v>28387.15</v>
      </c>
      <c r="R988">
        <v>3933.87</v>
      </c>
      <c r="S988">
        <v>1267.8567000400001</v>
      </c>
      <c r="T988">
        <v>0</v>
      </c>
      <c r="U988">
        <v>0</v>
      </c>
      <c r="V988">
        <v>3933.87</v>
      </c>
      <c r="W988" t="s">
        <v>1874</v>
      </c>
      <c r="X988" t="s">
        <v>271</v>
      </c>
      <c r="Y988" t="s">
        <v>4282</v>
      </c>
      <c r="AA988" t="s">
        <v>4283</v>
      </c>
      <c r="AB988" t="s">
        <v>181</v>
      </c>
    </row>
    <row r="989" spans="1:28" x14ac:dyDescent="0.25">
      <c r="A989" t="s">
        <v>4211</v>
      </c>
      <c r="B989" t="s">
        <v>4212</v>
      </c>
      <c r="C989" t="s">
        <v>646</v>
      </c>
      <c r="D989" t="s">
        <v>3779</v>
      </c>
      <c r="E989" t="s">
        <v>647</v>
      </c>
      <c r="F989" t="s">
        <v>3780</v>
      </c>
      <c r="G989" t="s">
        <v>769</v>
      </c>
      <c r="H989" t="s">
        <v>717</v>
      </c>
      <c r="I989" t="s">
        <v>4213</v>
      </c>
      <c r="J989" t="s">
        <v>437</v>
      </c>
      <c r="K989" t="s">
        <v>166</v>
      </c>
      <c r="L989" t="s">
        <v>0</v>
      </c>
      <c r="M989" t="s">
        <v>178</v>
      </c>
      <c r="N989">
        <v>130</v>
      </c>
      <c r="O989">
        <v>57</v>
      </c>
      <c r="P989">
        <v>1783.05</v>
      </c>
      <c r="Q989">
        <v>6672.11</v>
      </c>
      <c r="R989">
        <v>734.09444389999999</v>
      </c>
      <c r="S989">
        <v>181.05954080000001</v>
      </c>
      <c r="T989">
        <v>4.4438999999999998E-3</v>
      </c>
      <c r="U989">
        <v>0</v>
      </c>
      <c r="V989">
        <v>734.09</v>
      </c>
      <c r="W989" t="s">
        <v>510</v>
      </c>
      <c r="X989" t="s">
        <v>271</v>
      </c>
      <c r="Y989" t="s">
        <v>4214</v>
      </c>
      <c r="Z989" t="s">
        <v>4175</v>
      </c>
      <c r="AA989" t="s">
        <v>4215</v>
      </c>
      <c r="AB989" t="s">
        <v>181</v>
      </c>
    </row>
    <row r="990" spans="1:28" x14ac:dyDescent="0.25">
      <c r="A990" t="s">
        <v>4047</v>
      </c>
      <c r="B990" t="s">
        <v>4048</v>
      </c>
      <c r="C990" t="s">
        <v>646</v>
      </c>
      <c r="D990" t="s">
        <v>3779</v>
      </c>
      <c r="E990" t="s">
        <v>647</v>
      </c>
      <c r="F990" t="s">
        <v>666</v>
      </c>
      <c r="G990" t="s">
        <v>666</v>
      </c>
      <c r="H990" t="s">
        <v>757</v>
      </c>
      <c r="I990" t="s">
        <v>2292</v>
      </c>
      <c r="J990" t="s">
        <v>1847</v>
      </c>
      <c r="K990" t="s">
        <v>166</v>
      </c>
      <c r="L990" t="s">
        <v>0</v>
      </c>
      <c r="M990" t="s">
        <v>178</v>
      </c>
      <c r="N990">
        <v>113.8</v>
      </c>
      <c r="O990">
        <v>98.8</v>
      </c>
      <c r="P990">
        <v>2800.11</v>
      </c>
      <c r="Q990">
        <v>5369.38</v>
      </c>
      <c r="R990">
        <v>938.52</v>
      </c>
      <c r="S990">
        <v>802.36201060999997</v>
      </c>
      <c r="T990">
        <v>0</v>
      </c>
      <c r="U990">
        <v>0</v>
      </c>
      <c r="V990">
        <v>938.52</v>
      </c>
      <c r="W990" t="s">
        <v>1848</v>
      </c>
      <c r="X990" t="s">
        <v>269</v>
      </c>
      <c r="Y990" t="s">
        <v>4049</v>
      </c>
      <c r="AA990" t="s">
        <v>4050</v>
      </c>
      <c r="AB990" t="s">
        <v>181</v>
      </c>
    </row>
    <row r="991" spans="1:28" x14ac:dyDescent="0.25">
      <c r="A991" t="s">
        <v>4082</v>
      </c>
      <c r="B991" t="s">
        <v>257</v>
      </c>
      <c r="C991" t="s">
        <v>646</v>
      </c>
      <c r="D991" t="s">
        <v>3779</v>
      </c>
      <c r="E991" t="s">
        <v>647</v>
      </c>
      <c r="F991" t="s">
        <v>3780</v>
      </c>
      <c r="G991" t="s">
        <v>769</v>
      </c>
      <c r="H991" t="s">
        <v>649</v>
      </c>
      <c r="I991" t="s">
        <v>4083</v>
      </c>
      <c r="J991" t="s">
        <v>1972</v>
      </c>
      <c r="K991" t="s">
        <v>166</v>
      </c>
      <c r="L991" t="s">
        <v>0</v>
      </c>
      <c r="M991" t="s">
        <v>178</v>
      </c>
      <c r="N991">
        <v>1</v>
      </c>
      <c r="O991">
        <v>0</v>
      </c>
      <c r="P991">
        <v>52</v>
      </c>
      <c r="Q991">
        <v>55.64</v>
      </c>
      <c r="R991">
        <v>-4.16</v>
      </c>
      <c r="S991">
        <v>1.04</v>
      </c>
      <c r="T991">
        <v>0</v>
      </c>
      <c r="U991">
        <v>0</v>
      </c>
      <c r="V991">
        <v>-4.16</v>
      </c>
      <c r="W991" t="s">
        <v>1973</v>
      </c>
      <c r="X991" t="s">
        <v>271</v>
      </c>
      <c r="Y991" t="s">
        <v>4084</v>
      </c>
      <c r="AA991" t="s">
        <v>4085</v>
      </c>
      <c r="AB991" t="s">
        <v>181</v>
      </c>
    </row>
    <row r="992" spans="1:28" x14ac:dyDescent="0.25">
      <c r="A992" t="s">
        <v>4292</v>
      </c>
      <c r="B992" t="s">
        <v>4293</v>
      </c>
      <c r="C992" t="s">
        <v>646</v>
      </c>
      <c r="D992" t="s">
        <v>3779</v>
      </c>
      <c r="E992" t="s">
        <v>647</v>
      </c>
      <c r="F992" t="s">
        <v>3780</v>
      </c>
      <c r="G992" t="s">
        <v>769</v>
      </c>
      <c r="H992" t="s">
        <v>683</v>
      </c>
      <c r="I992" t="s">
        <v>4294</v>
      </c>
      <c r="J992" t="s">
        <v>4295</v>
      </c>
      <c r="K992" t="s">
        <v>166</v>
      </c>
      <c r="L992" t="s">
        <v>0</v>
      </c>
      <c r="M992" t="s">
        <v>178</v>
      </c>
      <c r="N992">
        <v>652</v>
      </c>
      <c r="O992">
        <v>226</v>
      </c>
      <c r="P992">
        <v>8691</v>
      </c>
      <c r="Q992">
        <v>21360.3</v>
      </c>
      <c r="R992">
        <v>5728.31</v>
      </c>
      <c r="S992">
        <v>3090.1000974899998</v>
      </c>
      <c r="T992">
        <v>136</v>
      </c>
      <c r="U992">
        <v>0</v>
      </c>
      <c r="V992">
        <v>5734.31</v>
      </c>
      <c r="W992" t="s">
        <v>0</v>
      </c>
      <c r="X992" t="s">
        <v>271</v>
      </c>
      <c r="Y992" t="s">
        <v>4296</v>
      </c>
      <c r="AA992" t="s">
        <v>4297</v>
      </c>
      <c r="AB992" t="s">
        <v>181</v>
      </c>
    </row>
    <row r="993" spans="1:28" x14ac:dyDescent="0.25">
      <c r="A993" t="s">
        <v>4288</v>
      </c>
      <c r="B993" t="s">
        <v>4289</v>
      </c>
      <c r="C993" t="s">
        <v>646</v>
      </c>
      <c r="D993" t="s">
        <v>3779</v>
      </c>
      <c r="E993" t="s">
        <v>647</v>
      </c>
      <c r="F993" t="s">
        <v>3780</v>
      </c>
      <c r="G993" t="s">
        <v>769</v>
      </c>
      <c r="H993" t="s">
        <v>1171</v>
      </c>
      <c r="I993" t="s">
        <v>1453</v>
      </c>
      <c r="J993" t="s">
        <v>1454</v>
      </c>
      <c r="K993" t="s">
        <v>166</v>
      </c>
      <c r="L993" t="s">
        <v>0</v>
      </c>
      <c r="M993" t="s">
        <v>178</v>
      </c>
      <c r="N993">
        <v>51</v>
      </c>
      <c r="O993">
        <v>13</v>
      </c>
      <c r="P993">
        <v>3524.25</v>
      </c>
      <c r="Q993">
        <v>34649.1</v>
      </c>
      <c r="R993">
        <v>1270.8511575099999</v>
      </c>
      <c r="S993">
        <v>462.84469596999998</v>
      </c>
      <c r="T993">
        <v>0.28115751</v>
      </c>
      <c r="U993">
        <v>0</v>
      </c>
      <c r="V993">
        <v>1270.57</v>
      </c>
      <c r="W993" t="s">
        <v>1455</v>
      </c>
      <c r="X993" t="s">
        <v>271</v>
      </c>
      <c r="Y993" t="s">
        <v>4290</v>
      </c>
      <c r="AA993" t="s">
        <v>4291</v>
      </c>
      <c r="AB993" t="s">
        <v>181</v>
      </c>
    </row>
    <row r="994" spans="1:28" x14ac:dyDescent="0.25">
      <c r="A994" t="s">
        <v>3814</v>
      </c>
      <c r="B994" t="s">
        <v>3815</v>
      </c>
      <c r="C994" t="s">
        <v>646</v>
      </c>
      <c r="D994" t="s">
        <v>3779</v>
      </c>
      <c r="E994" t="s">
        <v>647</v>
      </c>
      <c r="F994" t="s">
        <v>3780</v>
      </c>
      <c r="G994" t="s">
        <v>769</v>
      </c>
      <c r="H994" t="s">
        <v>717</v>
      </c>
      <c r="I994" t="s">
        <v>3816</v>
      </c>
      <c r="J994" t="s">
        <v>548</v>
      </c>
      <c r="K994" t="s">
        <v>166</v>
      </c>
      <c r="L994" t="s">
        <v>0</v>
      </c>
      <c r="M994" t="s">
        <v>178</v>
      </c>
      <c r="N994">
        <v>14</v>
      </c>
      <c r="O994">
        <v>14</v>
      </c>
      <c r="P994">
        <v>274</v>
      </c>
      <c r="Q994">
        <v>835.27</v>
      </c>
      <c r="R994">
        <v>28.53</v>
      </c>
      <c r="S994">
        <v>142.31257977999999</v>
      </c>
      <c r="T994">
        <v>0</v>
      </c>
      <c r="U994">
        <v>0</v>
      </c>
      <c r="V994">
        <v>28.53</v>
      </c>
      <c r="W994" t="s">
        <v>241</v>
      </c>
      <c r="X994" t="s">
        <v>271</v>
      </c>
      <c r="Y994" t="s">
        <v>3817</v>
      </c>
      <c r="AA994" t="s">
        <v>3818</v>
      </c>
      <c r="AB994" t="s">
        <v>181</v>
      </c>
    </row>
    <row r="995" spans="1:28" x14ac:dyDescent="0.25">
      <c r="A995" t="s">
        <v>4312</v>
      </c>
      <c r="B995" t="s">
        <v>4313</v>
      </c>
      <c r="C995" t="s">
        <v>646</v>
      </c>
      <c r="D995" t="s">
        <v>3779</v>
      </c>
      <c r="E995" t="s">
        <v>647</v>
      </c>
      <c r="F995" t="s">
        <v>3780</v>
      </c>
      <c r="G995" t="s">
        <v>769</v>
      </c>
      <c r="H995" t="s">
        <v>649</v>
      </c>
      <c r="I995" t="s">
        <v>4314</v>
      </c>
      <c r="J995" t="s">
        <v>319</v>
      </c>
      <c r="K995" t="s">
        <v>166</v>
      </c>
      <c r="L995" t="s">
        <v>0</v>
      </c>
      <c r="M995" t="s">
        <v>178</v>
      </c>
      <c r="N995">
        <v>127</v>
      </c>
      <c r="O995">
        <v>24</v>
      </c>
      <c r="P995">
        <v>1390</v>
      </c>
      <c r="Q995">
        <v>5784.09</v>
      </c>
      <c r="R995">
        <v>1111.5</v>
      </c>
      <c r="S995">
        <v>518.38832715000001</v>
      </c>
      <c r="T995">
        <v>0</v>
      </c>
      <c r="U995">
        <v>0</v>
      </c>
      <c r="V995">
        <v>1111.5</v>
      </c>
      <c r="W995" t="s">
        <v>0</v>
      </c>
      <c r="X995" t="s">
        <v>271</v>
      </c>
      <c r="Y995" t="s">
        <v>4315</v>
      </c>
      <c r="AA995" t="s">
        <v>3466</v>
      </c>
      <c r="AB995" t="s">
        <v>181</v>
      </c>
    </row>
    <row r="996" spans="1:28" x14ac:dyDescent="0.25">
      <c r="A996" t="s">
        <v>3925</v>
      </c>
      <c r="B996" t="s">
        <v>3926</v>
      </c>
      <c r="C996" t="s">
        <v>646</v>
      </c>
      <c r="D996" t="s">
        <v>3779</v>
      </c>
      <c r="E996" t="s">
        <v>647</v>
      </c>
      <c r="F996" t="s">
        <v>3780</v>
      </c>
      <c r="G996" t="s">
        <v>769</v>
      </c>
      <c r="H996" t="s">
        <v>672</v>
      </c>
      <c r="I996" t="s">
        <v>2284</v>
      </c>
      <c r="J996" t="s">
        <v>2285</v>
      </c>
      <c r="K996" t="s">
        <v>166</v>
      </c>
      <c r="L996" t="s">
        <v>0</v>
      </c>
      <c r="M996" t="s">
        <v>178</v>
      </c>
      <c r="N996">
        <v>263</v>
      </c>
      <c r="O996">
        <v>95</v>
      </c>
      <c r="P996">
        <v>6375.77</v>
      </c>
      <c r="Q996">
        <v>12457.6</v>
      </c>
      <c r="R996">
        <v>3246.8444473899999</v>
      </c>
      <c r="S996">
        <v>1344.6845476200001</v>
      </c>
      <c r="T996">
        <v>0.18444738999999999</v>
      </c>
      <c r="U996">
        <v>0</v>
      </c>
      <c r="V996">
        <v>3246.66</v>
      </c>
      <c r="W996" t="s">
        <v>453</v>
      </c>
      <c r="X996" t="s">
        <v>271</v>
      </c>
      <c r="Y996" t="s">
        <v>3927</v>
      </c>
      <c r="AA996" t="s">
        <v>3928</v>
      </c>
      <c r="AB996" t="s">
        <v>181</v>
      </c>
    </row>
    <row r="997" spans="1:28" x14ac:dyDescent="0.25">
      <c r="A997" t="s">
        <v>3838</v>
      </c>
      <c r="B997" t="s">
        <v>3839</v>
      </c>
      <c r="C997" t="s">
        <v>646</v>
      </c>
      <c r="D997" t="s">
        <v>3779</v>
      </c>
      <c r="E997" t="s">
        <v>647</v>
      </c>
      <c r="F997" t="s">
        <v>3780</v>
      </c>
      <c r="G997" t="s">
        <v>769</v>
      </c>
      <c r="H997" t="s">
        <v>1515</v>
      </c>
      <c r="I997" t="s">
        <v>906</v>
      </c>
      <c r="J997" t="s">
        <v>907</v>
      </c>
      <c r="K997" t="s">
        <v>166</v>
      </c>
      <c r="L997" t="s">
        <v>0</v>
      </c>
      <c r="M997" t="s">
        <v>178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 t="s">
        <v>272</v>
      </c>
      <c r="X997" t="s">
        <v>269</v>
      </c>
      <c r="Y997" t="s">
        <v>3840</v>
      </c>
      <c r="AA997" t="s">
        <v>3841</v>
      </c>
      <c r="AB997" t="s">
        <v>181</v>
      </c>
    </row>
    <row r="998" spans="1:28" x14ac:dyDescent="0.25">
      <c r="A998" t="s">
        <v>4337</v>
      </c>
      <c r="B998" t="s">
        <v>4338</v>
      </c>
      <c r="C998" t="s">
        <v>646</v>
      </c>
      <c r="D998" t="s">
        <v>3779</v>
      </c>
      <c r="E998" t="s">
        <v>647</v>
      </c>
      <c r="F998" t="s">
        <v>3780</v>
      </c>
      <c r="G998" t="s">
        <v>769</v>
      </c>
      <c r="H998" t="s">
        <v>1515</v>
      </c>
      <c r="I998" t="s">
        <v>4339</v>
      </c>
      <c r="J998" t="s">
        <v>821</v>
      </c>
      <c r="K998" t="s">
        <v>166</v>
      </c>
      <c r="L998" t="s">
        <v>0</v>
      </c>
      <c r="M998" t="s">
        <v>178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 t="s">
        <v>822</v>
      </c>
      <c r="X998" t="s">
        <v>269</v>
      </c>
      <c r="Y998" t="s">
        <v>4340</v>
      </c>
      <c r="AA998" t="s">
        <v>4341</v>
      </c>
      <c r="AB998" t="s">
        <v>181</v>
      </c>
    </row>
    <row r="999" spans="1:28" x14ac:dyDescent="0.25">
      <c r="A999" t="s">
        <v>3870</v>
      </c>
      <c r="B999" t="s">
        <v>3871</v>
      </c>
      <c r="C999" t="s">
        <v>646</v>
      </c>
      <c r="D999" t="s">
        <v>3779</v>
      </c>
      <c r="E999" t="s">
        <v>647</v>
      </c>
      <c r="F999" t="s">
        <v>666</v>
      </c>
      <c r="G999" t="s">
        <v>666</v>
      </c>
      <c r="H999" t="s">
        <v>1515</v>
      </c>
      <c r="I999" t="s">
        <v>3872</v>
      </c>
      <c r="J999" t="s">
        <v>355</v>
      </c>
      <c r="K999" t="s">
        <v>166</v>
      </c>
      <c r="L999" t="s">
        <v>0</v>
      </c>
      <c r="M999" t="s">
        <v>178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 t="s">
        <v>0</v>
      </c>
      <c r="X999" t="s">
        <v>271</v>
      </c>
      <c r="Y999" t="s">
        <v>3873</v>
      </c>
      <c r="AA999" t="s">
        <v>3874</v>
      </c>
      <c r="AB999" t="s">
        <v>181</v>
      </c>
    </row>
    <row r="1000" spans="1:28" x14ac:dyDescent="0.25">
      <c r="A1000" t="s">
        <v>4312</v>
      </c>
      <c r="B1000" t="s">
        <v>4313</v>
      </c>
      <c r="C1000" t="s">
        <v>646</v>
      </c>
      <c r="D1000" t="s">
        <v>3779</v>
      </c>
      <c r="E1000" t="s">
        <v>647</v>
      </c>
      <c r="F1000" t="s">
        <v>3780</v>
      </c>
      <c r="G1000" t="s">
        <v>769</v>
      </c>
      <c r="H1000" t="s">
        <v>1515</v>
      </c>
      <c r="I1000" t="s">
        <v>4314</v>
      </c>
      <c r="J1000" t="s">
        <v>319</v>
      </c>
      <c r="K1000" t="s">
        <v>166</v>
      </c>
      <c r="L1000" t="s">
        <v>0</v>
      </c>
      <c r="M1000" t="s">
        <v>178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 t="s">
        <v>0</v>
      </c>
      <c r="X1000" t="s">
        <v>271</v>
      </c>
      <c r="Y1000" t="s">
        <v>4315</v>
      </c>
      <c r="AA1000" t="s">
        <v>3466</v>
      </c>
      <c r="AB1000" t="s">
        <v>181</v>
      </c>
    </row>
    <row r="1001" spans="1:28" x14ac:dyDescent="0.25">
      <c r="A1001" t="s">
        <v>4248</v>
      </c>
      <c r="B1001" t="s">
        <v>4249</v>
      </c>
      <c r="C1001" t="s">
        <v>646</v>
      </c>
      <c r="D1001" t="s">
        <v>3779</v>
      </c>
      <c r="E1001" t="s">
        <v>647</v>
      </c>
      <c r="F1001" t="s">
        <v>3780</v>
      </c>
      <c r="G1001" t="s">
        <v>769</v>
      </c>
      <c r="H1001" t="s">
        <v>1515</v>
      </c>
      <c r="I1001" t="s">
        <v>1913</v>
      </c>
      <c r="J1001" t="s">
        <v>1914</v>
      </c>
      <c r="K1001" t="s">
        <v>166</v>
      </c>
      <c r="L1001" t="s">
        <v>0</v>
      </c>
      <c r="M1001" t="s">
        <v>178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 t="s">
        <v>1915</v>
      </c>
      <c r="X1001" t="s">
        <v>269</v>
      </c>
      <c r="Y1001" t="s">
        <v>4250</v>
      </c>
      <c r="AA1001" t="s">
        <v>4251</v>
      </c>
      <c r="AB1001" t="s">
        <v>181</v>
      </c>
    </row>
    <row r="1002" spans="1:28" x14ac:dyDescent="0.25">
      <c r="A1002" t="s">
        <v>3985</v>
      </c>
      <c r="B1002" t="s">
        <v>3986</v>
      </c>
      <c r="C1002" t="s">
        <v>646</v>
      </c>
      <c r="D1002" t="s">
        <v>3779</v>
      </c>
      <c r="E1002" t="s">
        <v>647</v>
      </c>
      <c r="F1002" t="s">
        <v>3780</v>
      </c>
      <c r="G1002" t="s">
        <v>769</v>
      </c>
      <c r="H1002" t="s">
        <v>856</v>
      </c>
      <c r="I1002" t="s">
        <v>3987</v>
      </c>
      <c r="J1002" t="s">
        <v>3988</v>
      </c>
      <c r="K1002" t="s">
        <v>166</v>
      </c>
      <c r="L1002" t="s">
        <v>0</v>
      </c>
      <c r="M1002" t="s">
        <v>178</v>
      </c>
      <c r="N1002">
        <v>11</v>
      </c>
      <c r="O1002">
        <v>3</v>
      </c>
      <c r="P1002">
        <v>203.07</v>
      </c>
      <c r="Q1002">
        <v>3583.96</v>
      </c>
      <c r="R1002">
        <v>578.84870205000004</v>
      </c>
      <c r="S1002">
        <v>32.2273</v>
      </c>
      <c r="T1002">
        <v>0.26870205000000003</v>
      </c>
      <c r="U1002">
        <v>0</v>
      </c>
      <c r="V1002">
        <v>578.58000000000004</v>
      </c>
      <c r="W1002" t="s">
        <v>3989</v>
      </c>
      <c r="X1002" t="s">
        <v>271</v>
      </c>
      <c r="Y1002" t="s">
        <v>3990</v>
      </c>
      <c r="AA1002" t="s">
        <v>3991</v>
      </c>
      <c r="AB1002" t="s">
        <v>181</v>
      </c>
    </row>
    <row r="1003" spans="1:28" x14ac:dyDescent="0.25">
      <c r="A1003" t="s">
        <v>4086</v>
      </c>
      <c r="B1003" t="s">
        <v>4087</v>
      </c>
      <c r="C1003" t="s">
        <v>646</v>
      </c>
      <c r="D1003" t="s">
        <v>3779</v>
      </c>
      <c r="E1003" t="s">
        <v>647</v>
      </c>
      <c r="F1003" t="s">
        <v>3780</v>
      </c>
      <c r="G1003" t="s">
        <v>769</v>
      </c>
      <c r="H1003" t="s">
        <v>683</v>
      </c>
      <c r="I1003" t="s">
        <v>4088</v>
      </c>
      <c r="J1003" t="s">
        <v>480</v>
      </c>
      <c r="K1003" t="s">
        <v>166</v>
      </c>
      <c r="L1003" t="s">
        <v>0</v>
      </c>
      <c r="M1003" t="s">
        <v>178</v>
      </c>
      <c r="N1003">
        <v>29.25</v>
      </c>
      <c r="O1003">
        <v>13.25</v>
      </c>
      <c r="P1003">
        <v>594.76</v>
      </c>
      <c r="Q1003">
        <v>1216.0999999999999</v>
      </c>
      <c r="R1003">
        <v>270.43</v>
      </c>
      <c r="S1003">
        <v>114.9371187</v>
      </c>
      <c r="T1003">
        <v>0</v>
      </c>
      <c r="U1003">
        <v>0</v>
      </c>
      <c r="V1003">
        <v>270.43</v>
      </c>
      <c r="W1003" t="s">
        <v>4089</v>
      </c>
      <c r="X1003" t="s">
        <v>271</v>
      </c>
      <c r="Y1003" t="s">
        <v>4090</v>
      </c>
      <c r="AA1003" t="s">
        <v>4091</v>
      </c>
      <c r="AB1003" t="s">
        <v>181</v>
      </c>
    </row>
    <row r="1004" spans="1:28" x14ac:dyDescent="0.25">
      <c r="A1004" t="s">
        <v>4326</v>
      </c>
      <c r="B1004" t="s">
        <v>4327</v>
      </c>
      <c r="C1004" t="s">
        <v>646</v>
      </c>
      <c r="D1004" t="s">
        <v>3779</v>
      </c>
      <c r="E1004" t="s">
        <v>647</v>
      </c>
      <c r="F1004" t="s">
        <v>3780</v>
      </c>
      <c r="G1004" t="s">
        <v>769</v>
      </c>
      <c r="H1004" t="s">
        <v>672</v>
      </c>
      <c r="I1004" t="s">
        <v>936</v>
      </c>
      <c r="J1004" t="s">
        <v>582</v>
      </c>
      <c r="K1004" t="s">
        <v>166</v>
      </c>
      <c r="L1004" t="s">
        <v>0</v>
      </c>
      <c r="M1004" t="s">
        <v>178</v>
      </c>
      <c r="N1004">
        <v>103</v>
      </c>
      <c r="O1004">
        <v>103</v>
      </c>
      <c r="P1004">
        <v>1920</v>
      </c>
      <c r="Q1004">
        <v>1609.86</v>
      </c>
      <c r="R1004">
        <v>92.153654009999997</v>
      </c>
      <c r="S1004">
        <v>197.68793640999999</v>
      </c>
      <c r="T1004">
        <v>165.36365401</v>
      </c>
      <c r="U1004">
        <v>0</v>
      </c>
      <c r="V1004">
        <v>93.88</v>
      </c>
      <c r="W1004" t="s">
        <v>361</v>
      </c>
      <c r="X1004" t="s">
        <v>271</v>
      </c>
      <c r="Y1004" t="s">
        <v>4328</v>
      </c>
      <c r="AA1004" t="s">
        <v>4329</v>
      </c>
      <c r="AB1004" t="s">
        <v>181</v>
      </c>
    </row>
    <row r="1005" spans="1:28" x14ac:dyDescent="0.25">
      <c r="A1005" t="s">
        <v>4132</v>
      </c>
      <c r="B1005" t="s">
        <v>4133</v>
      </c>
      <c r="C1005" t="s">
        <v>646</v>
      </c>
      <c r="D1005" t="s">
        <v>3779</v>
      </c>
      <c r="E1005" t="s">
        <v>647</v>
      </c>
      <c r="F1005" t="s">
        <v>666</v>
      </c>
      <c r="G1005" t="s">
        <v>666</v>
      </c>
      <c r="H1005" t="s">
        <v>717</v>
      </c>
      <c r="I1005" t="s">
        <v>3911</v>
      </c>
      <c r="J1005" t="s">
        <v>355</v>
      </c>
      <c r="K1005" t="s">
        <v>166</v>
      </c>
      <c r="L1005" t="s">
        <v>0</v>
      </c>
      <c r="M1005" t="s">
        <v>178</v>
      </c>
      <c r="N1005">
        <v>108</v>
      </c>
      <c r="O1005">
        <v>0</v>
      </c>
      <c r="P1005">
        <v>1436.4</v>
      </c>
      <c r="Q1005">
        <v>5357.41</v>
      </c>
      <c r="R1005">
        <v>1479.13</v>
      </c>
      <c r="S1005">
        <v>43.091025209999998</v>
      </c>
      <c r="T1005">
        <v>0</v>
      </c>
      <c r="U1005">
        <v>0</v>
      </c>
      <c r="V1005">
        <v>1479.13</v>
      </c>
      <c r="W1005" t="s">
        <v>0</v>
      </c>
      <c r="X1005" t="s">
        <v>271</v>
      </c>
      <c r="Y1005" t="s">
        <v>4134</v>
      </c>
      <c r="AA1005" t="s">
        <v>3894</v>
      </c>
      <c r="AB1005" t="s">
        <v>181</v>
      </c>
    </row>
    <row r="1006" spans="1:28" x14ac:dyDescent="0.25">
      <c r="A1006" t="s">
        <v>3849</v>
      </c>
      <c r="B1006" t="s">
        <v>3850</v>
      </c>
      <c r="C1006" t="s">
        <v>646</v>
      </c>
      <c r="D1006" t="s">
        <v>3779</v>
      </c>
      <c r="E1006" t="s">
        <v>647</v>
      </c>
      <c r="F1006" t="s">
        <v>3780</v>
      </c>
      <c r="G1006" t="s">
        <v>769</v>
      </c>
      <c r="H1006" t="s">
        <v>730</v>
      </c>
      <c r="I1006" t="s">
        <v>1184</v>
      </c>
      <c r="J1006" t="s">
        <v>1185</v>
      </c>
      <c r="K1006" t="s">
        <v>166</v>
      </c>
      <c r="L1006" t="s">
        <v>0</v>
      </c>
      <c r="M1006" t="s">
        <v>178</v>
      </c>
      <c r="N1006">
        <v>9</v>
      </c>
      <c r="O1006">
        <v>9</v>
      </c>
      <c r="P1006">
        <v>450.27</v>
      </c>
      <c r="Q1006">
        <v>128.83000000000001</v>
      </c>
      <c r="R1006">
        <v>35.61</v>
      </c>
      <c r="S1006">
        <v>33.446725620000002</v>
      </c>
      <c r="T1006">
        <v>0</v>
      </c>
      <c r="U1006">
        <v>0</v>
      </c>
      <c r="V1006">
        <v>35.61</v>
      </c>
      <c r="W1006" t="s">
        <v>1186</v>
      </c>
      <c r="X1006" t="s">
        <v>271</v>
      </c>
      <c r="Y1006" t="s">
        <v>3851</v>
      </c>
      <c r="AA1006" t="s">
        <v>3852</v>
      </c>
      <c r="AB1006" t="s">
        <v>181</v>
      </c>
    </row>
    <row r="1007" spans="1:28" x14ac:dyDescent="0.25">
      <c r="A1007" t="s">
        <v>4082</v>
      </c>
      <c r="B1007" t="s">
        <v>257</v>
      </c>
      <c r="C1007" t="s">
        <v>646</v>
      </c>
      <c r="D1007" t="s">
        <v>3779</v>
      </c>
      <c r="E1007" t="s">
        <v>647</v>
      </c>
      <c r="F1007" t="s">
        <v>3780</v>
      </c>
      <c r="G1007" t="s">
        <v>769</v>
      </c>
      <c r="H1007" t="s">
        <v>797</v>
      </c>
      <c r="I1007" t="s">
        <v>4083</v>
      </c>
      <c r="J1007" t="s">
        <v>1972</v>
      </c>
      <c r="K1007" t="s">
        <v>166</v>
      </c>
      <c r="L1007" t="s">
        <v>0</v>
      </c>
      <c r="M1007" t="s">
        <v>178</v>
      </c>
      <c r="N1007">
        <v>394</v>
      </c>
      <c r="O1007">
        <v>0</v>
      </c>
      <c r="P1007">
        <v>3940</v>
      </c>
      <c r="Q1007">
        <v>9945.59</v>
      </c>
      <c r="R1007">
        <v>1950.68</v>
      </c>
      <c r="S1007">
        <v>278.71695098999999</v>
      </c>
      <c r="T1007">
        <v>0</v>
      </c>
      <c r="U1007">
        <v>0</v>
      </c>
      <c r="V1007">
        <v>1950.68</v>
      </c>
      <c r="W1007" t="s">
        <v>1973</v>
      </c>
      <c r="X1007" t="s">
        <v>271</v>
      </c>
      <c r="Y1007" t="s">
        <v>4084</v>
      </c>
      <c r="AA1007" t="s">
        <v>4085</v>
      </c>
      <c r="AB1007" t="s">
        <v>181</v>
      </c>
    </row>
    <row r="1008" spans="1:28" x14ac:dyDescent="0.25">
      <c r="A1008" t="s">
        <v>3797</v>
      </c>
      <c r="B1008" t="s">
        <v>3798</v>
      </c>
      <c r="C1008" t="s">
        <v>646</v>
      </c>
      <c r="D1008" t="s">
        <v>3779</v>
      </c>
      <c r="E1008" t="s">
        <v>647</v>
      </c>
      <c r="F1008" t="s">
        <v>3780</v>
      </c>
      <c r="G1008" t="s">
        <v>769</v>
      </c>
      <c r="H1008" t="s">
        <v>730</v>
      </c>
      <c r="I1008" t="s">
        <v>725</v>
      </c>
      <c r="J1008" t="s">
        <v>726</v>
      </c>
      <c r="K1008" t="s">
        <v>166</v>
      </c>
      <c r="L1008" t="s">
        <v>0</v>
      </c>
      <c r="M1008" t="s">
        <v>178</v>
      </c>
      <c r="N1008">
        <v>1</v>
      </c>
      <c r="O1008">
        <v>0</v>
      </c>
      <c r="P1008">
        <v>14</v>
      </c>
      <c r="Q1008">
        <v>111.04</v>
      </c>
      <c r="R1008">
        <v>11.91425199</v>
      </c>
      <c r="S1008">
        <v>-2.5170319999999999E-2</v>
      </c>
      <c r="T1008">
        <v>10.99425199</v>
      </c>
      <c r="U1008">
        <v>0</v>
      </c>
      <c r="V1008">
        <v>12.02</v>
      </c>
      <c r="W1008" t="s">
        <v>0</v>
      </c>
      <c r="X1008" t="s">
        <v>271</v>
      </c>
      <c r="Y1008" t="s">
        <v>3799</v>
      </c>
      <c r="AA1008" t="s">
        <v>3800</v>
      </c>
      <c r="AB1008" t="s">
        <v>181</v>
      </c>
    </row>
    <row r="1009" spans="1:28" x14ac:dyDescent="0.25">
      <c r="A1009" t="s">
        <v>3969</v>
      </c>
      <c r="B1009" t="s">
        <v>3970</v>
      </c>
      <c r="C1009" t="s">
        <v>646</v>
      </c>
      <c r="D1009" t="s">
        <v>3779</v>
      </c>
      <c r="E1009" t="s">
        <v>647</v>
      </c>
      <c r="F1009" t="s">
        <v>3780</v>
      </c>
      <c r="G1009" t="s">
        <v>769</v>
      </c>
      <c r="H1009" t="s">
        <v>797</v>
      </c>
      <c r="I1009" t="s">
        <v>1518</v>
      </c>
      <c r="J1009" t="s">
        <v>1519</v>
      </c>
      <c r="K1009" t="s">
        <v>166</v>
      </c>
      <c r="L1009" t="s">
        <v>0</v>
      </c>
      <c r="M1009" t="s">
        <v>178</v>
      </c>
      <c r="N1009">
        <v>99</v>
      </c>
      <c r="O1009">
        <v>1</v>
      </c>
      <c r="P1009">
        <v>1042.44</v>
      </c>
      <c r="Q1009">
        <v>3612.73</v>
      </c>
      <c r="R1009">
        <v>878.85742094</v>
      </c>
      <c r="S1009">
        <v>156.52599488999999</v>
      </c>
      <c r="T1009">
        <v>0.36742093999999997</v>
      </c>
      <c r="U1009">
        <v>0</v>
      </c>
      <c r="V1009">
        <v>878.49</v>
      </c>
      <c r="W1009" t="s">
        <v>1485</v>
      </c>
      <c r="X1009" t="s">
        <v>271</v>
      </c>
      <c r="Y1009" t="s">
        <v>3971</v>
      </c>
      <c r="AA1009" t="s">
        <v>3972</v>
      </c>
      <c r="AB1009" t="s">
        <v>181</v>
      </c>
    </row>
    <row r="1010" spans="1:28" x14ac:dyDescent="0.25">
      <c r="A1010" t="s">
        <v>4236</v>
      </c>
      <c r="B1010" t="s">
        <v>4237</v>
      </c>
      <c r="C1010" t="s">
        <v>646</v>
      </c>
      <c r="D1010" t="s">
        <v>3779</v>
      </c>
      <c r="E1010" t="s">
        <v>647</v>
      </c>
      <c r="F1010" t="s">
        <v>3780</v>
      </c>
      <c r="G1010" t="s">
        <v>769</v>
      </c>
      <c r="H1010" t="s">
        <v>1171</v>
      </c>
      <c r="I1010" t="s">
        <v>1546</v>
      </c>
      <c r="J1010" t="s">
        <v>1547</v>
      </c>
      <c r="K1010" t="s">
        <v>166</v>
      </c>
      <c r="L1010" t="s">
        <v>0</v>
      </c>
      <c r="M1010" t="s">
        <v>178</v>
      </c>
      <c r="N1010">
        <v>24</v>
      </c>
      <c r="O1010">
        <v>0</v>
      </c>
      <c r="P1010">
        <v>1986.7</v>
      </c>
      <c r="Q1010">
        <v>19662.650000000001</v>
      </c>
      <c r="R1010">
        <v>591.52</v>
      </c>
      <c r="S1010">
        <v>190.96807351999999</v>
      </c>
      <c r="T1010">
        <v>0</v>
      </c>
      <c r="U1010">
        <v>0</v>
      </c>
      <c r="V1010">
        <v>591.52</v>
      </c>
      <c r="W1010" t="s">
        <v>1548</v>
      </c>
      <c r="X1010" t="s">
        <v>271</v>
      </c>
      <c r="Y1010" t="s">
        <v>4238</v>
      </c>
      <c r="AA1010" t="s">
        <v>4239</v>
      </c>
      <c r="AB1010" t="s">
        <v>181</v>
      </c>
    </row>
    <row r="1011" spans="1:28" x14ac:dyDescent="0.25">
      <c r="A1011" t="s">
        <v>4260</v>
      </c>
      <c r="B1011" t="s">
        <v>4261</v>
      </c>
      <c r="C1011" t="s">
        <v>646</v>
      </c>
      <c r="D1011" t="s">
        <v>3779</v>
      </c>
      <c r="E1011" t="s">
        <v>647</v>
      </c>
      <c r="F1011" t="s">
        <v>666</v>
      </c>
      <c r="G1011" t="s">
        <v>666</v>
      </c>
      <c r="H1011" t="s">
        <v>797</v>
      </c>
      <c r="I1011" t="s">
        <v>4262</v>
      </c>
      <c r="J1011" t="s">
        <v>1180</v>
      </c>
      <c r="K1011" t="s">
        <v>166</v>
      </c>
      <c r="L1011" t="s">
        <v>0</v>
      </c>
      <c r="M1011" t="s">
        <v>178</v>
      </c>
      <c r="N1011">
        <v>1</v>
      </c>
      <c r="O1011">
        <v>1</v>
      </c>
      <c r="P1011">
        <v>12</v>
      </c>
      <c r="Q1011">
        <v>26.39</v>
      </c>
      <c r="R1011">
        <v>2.5095250500000001</v>
      </c>
      <c r="S1011">
        <v>8.94</v>
      </c>
      <c r="T1011">
        <v>-4.7495000000000002E-4</v>
      </c>
      <c r="U1011">
        <v>0</v>
      </c>
      <c r="V1011">
        <v>2.5099999999999998</v>
      </c>
      <c r="W1011" t="s">
        <v>0</v>
      </c>
      <c r="X1011" t="s">
        <v>271</v>
      </c>
      <c r="Y1011" t="s">
        <v>4263</v>
      </c>
      <c r="AA1011" t="s">
        <v>4264</v>
      </c>
      <c r="AB1011" t="s">
        <v>181</v>
      </c>
    </row>
    <row r="1012" spans="1:28" x14ac:dyDescent="0.25">
      <c r="A1012" t="s">
        <v>4316</v>
      </c>
      <c r="B1012" t="s">
        <v>4317</v>
      </c>
      <c r="C1012" t="s">
        <v>646</v>
      </c>
      <c r="D1012" t="s">
        <v>3779</v>
      </c>
      <c r="E1012" t="s">
        <v>647</v>
      </c>
      <c r="F1012" t="s">
        <v>3780</v>
      </c>
      <c r="G1012" t="s">
        <v>769</v>
      </c>
      <c r="H1012" t="s">
        <v>797</v>
      </c>
      <c r="I1012" t="s">
        <v>1290</v>
      </c>
      <c r="J1012" t="s">
        <v>1291</v>
      </c>
      <c r="K1012" t="s">
        <v>166</v>
      </c>
      <c r="L1012" t="s">
        <v>0</v>
      </c>
      <c r="M1012" t="s">
        <v>178</v>
      </c>
      <c r="N1012">
        <v>64</v>
      </c>
      <c r="O1012">
        <v>52</v>
      </c>
      <c r="P1012">
        <v>656.09</v>
      </c>
      <c r="Q1012">
        <v>2559.2199999999998</v>
      </c>
      <c r="R1012">
        <v>803.96</v>
      </c>
      <c r="S1012">
        <v>400.60465219000002</v>
      </c>
      <c r="T1012">
        <v>0</v>
      </c>
      <c r="U1012">
        <v>0</v>
      </c>
      <c r="V1012">
        <v>803.96</v>
      </c>
      <c r="W1012" t="s">
        <v>1292</v>
      </c>
      <c r="X1012" t="s">
        <v>271</v>
      </c>
      <c r="Y1012" t="s">
        <v>4318</v>
      </c>
      <c r="AA1012" t="s">
        <v>4319</v>
      </c>
      <c r="AB1012" t="s">
        <v>181</v>
      </c>
    </row>
    <row r="1013" spans="1:28" x14ac:dyDescent="0.25">
      <c r="A1013" t="s">
        <v>3952</v>
      </c>
      <c r="B1013" t="s">
        <v>3953</v>
      </c>
      <c r="C1013" t="s">
        <v>646</v>
      </c>
      <c r="D1013" t="s">
        <v>3779</v>
      </c>
      <c r="E1013" t="s">
        <v>647</v>
      </c>
      <c r="F1013" t="s">
        <v>666</v>
      </c>
      <c r="G1013" t="s">
        <v>666</v>
      </c>
      <c r="H1013" t="s">
        <v>708</v>
      </c>
      <c r="I1013" t="s">
        <v>2032</v>
      </c>
      <c r="J1013" t="s">
        <v>311</v>
      </c>
      <c r="K1013" t="s">
        <v>166</v>
      </c>
      <c r="L1013" t="s">
        <v>0</v>
      </c>
      <c r="M1013" t="s">
        <v>178</v>
      </c>
      <c r="N1013">
        <v>182</v>
      </c>
      <c r="O1013">
        <v>162</v>
      </c>
      <c r="P1013">
        <v>2551.87</v>
      </c>
      <c r="Q1013">
        <v>8120.76</v>
      </c>
      <c r="R1013">
        <v>-1412.28</v>
      </c>
      <c r="S1013">
        <v>2711.2000843800001</v>
      </c>
      <c r="T1013">
        <v>0</v>
      </c>
      <c r="U1013">
        <v>2317.6799999999998</v>
      </c>
      <c r="V1013">
        <v>905.4</v>
      </c>
      <c r="W1013" t="s">
        <v>312</v>
      </c>
      <c r="X1013" t="s">
        <v>271</v>
      </c>
      <c r="Y1013" t="s">
        <v>3954</v>
      </c>
      <c r="AA1013" t="s">
        <v>3955</v>
      </c>
      <c r="AB1013" t="s">
        <v>181</v>
      </c>
    </row>
    <row r="1014" spans="1:28" x14ac:dyDescent="0.25">
      <c r="A1014" t="s">
        <v>4256</v>
      </c>
      <c r="B1014" t="s">
        <v>4257</v>
      </c>
      <c r="C1014" t="s">
        <v>646</v>
      </c>
      <c r="D1014" t="s">
        <v>3779</v>
      </c>
      <c r="E1014" t="s">
        <v>647</v>
      </c>
      <c r="F1014" t="s">
        <v>3780</v>
      </c>
      <c r="G1014" t="s">
        <v>769</v>
      </c>
      <c r="H1014" t="s">
        <v>757</v>
      </c>
      <c r="I1014" t="s">
        <v>2284</v>
      </c>
      <c r="J1014" t="s">
        <v>2285</v>
      </c>
      <c r="K1014" t="s">
        <v>166</v>
      </c>
      <c r="L1014" t="s">
        <v>0</v>
      </c>
      <c r="M1014" t="s">
        <v>178</v>
      </c>
      <c r="N1014">
        <v>300</v>
      </c>
      <c r="O1014">
        <v>273</v>
      </c>
      <c r="P1014">
        <v>6781.64</v>
      </c>
      <c r="Q1014">
        <v>11519.95</v>
      </c>
      <c r="R1014">
        <v>2225.08</v>
      </c>
      <c r="S1014">
        <v>2379.88489686</v>
      </c>
      <c r="T1014">
        <v>0</v>
      </c>
      <c r="U1014">
        <v>0</v>
      </c>
      <c r="V1014">
        <v>2225.08</v>
      </c>
      <c r="W1014" t="s">
        <v>453</v>
      </c>
      <c r="X1014" t="s">
        <v>271</v>
      </c>
      <c r="Y1014" t="s">
        <v>4258</v>
      </c>
      <c r="AA1014" t="s">
        <v>4259</v>
      </c>
      <c r="AB1014" t="s">
        <v>181</v>
      </c>
    </row>
    <row r="1015" spans="1:28" x14ac:dyDescent="0.25">
      <c r="A1015" t="s">
        <v>4270</v>
      </c>
      <c r="B1015" t="s">
        <v>4271</v>
      </c>
      <c r="C1015" t="s">
        <v>646</v>
      </c>
      <c r="D1015" t="s">
        <v>3779</v>
      </c>
      <c r="E1015" t="s">
        <v>647</v>
      </c>
      <c r="F1015" t="s">
        <v>3780</v>
      </c>
      <c r="G1015" t="s">
        <v>769</v>
      </c>
      <c r="H1015" t="s">
        <v>802</v>
      </c>
      <c r="I1015" t="s">
        <v>4272</v>
      </c>
      <c r="J1015" t="s">
        <v>352</v>
      </c>
      <c r="K1015" t="s">
        <v>166</v>
      </c>
      <c r="L1015" t="s">
        <v>0</v>
      </c>
      <c r="M1015" t="s">
        <v>178</v>
      </c>
      <c r="N1015">
        <v>112.20820000000001</v>
      </c>
      <c r="O1015">
        <v>98.208200000000005</v>
      </c>
      <c r="P1015">
        <v>1102.53</v>
      </c>
      <c r="Q1015">
        <v>4582.9799999999996</v>
      </c>
      <c r="R1015">
        <v>993.82</v>
      </c>
      <c r="S1015">
        <v>483.44296679000001</v>
      </c>
      <c r="T1015">
        <v>0</v>
      </c>
      <c r="U1015">
        <v>0</v>
      </c>
      <c r="V1015">
        <v>993.82</v>
      </c>
      <c r="W1015" t="s">
        <v>314</v>
      </c>
      <c r="X1015" t="s">
        <v>271</v>
      </c>
      <c r="Y1015" t="s">
        <v>4273</v>
      </c>
      <c r="AA1015" t="s">
        <v>4274</v>
      </c>
      <c r="AB1015" t="s">
        <v>181</v>
      </c>
    </row>
    <row r="1016" spans="1:28" x14ac:dyDescent="0.25">
      <c r="A1016" t="s">
        <v>4256</v>
      </c>
      <c r="B1016" t="s">
        <v>4257</v>
      </c>
      <c r="C1016" t="s">
        <v>646</v>
      </c>
      <c r="D1016" t="s">
        <v>3779</v>
      </c>
      <c r="E1016" t="s">
        <v>647</v>
      </c>
      <c r="F1016" t="s">
        <v>3780</v>
      </c>
      <c r="G1016" t="s">
        <v>769</v>
      </c>
      <c r="H1016" t="s">
        <v>1045</v>
      </c>
      <c r="I1016" t="s">
        <v>2284</v>
      </c>
      <c r="J1016" t="s">
        <v>2285</v>
      </c>
      <c r="K1016" t="s">
        <v>166</v>
      </c>
      <c r="L1016" t="s">
        <v>0</v>
      </c>
      <c r="M1016" t="s">
        <v>178</v>
      </c>
      <c r="N1016">
        <v>275</v>
      </c>
      <c r="O1016">
        <v>37</v>
      </c>
      <c r="P1016">
        <v>4044.77</v>
      </c>
      <c r="Q1016">
        <v>24534.28</v>
      </c>
      <c r="R1016">
        <v>5272.16</v>
      </c>
      <c r="S1016">
        <v>669.20885324000005</v>
      </c>
      <c r="T1016">
        <v>0</v>
      </c>
      <c r="U1016">
        <v>0</v>
      </c>
      <c r="V1016">
        <v>5272.16</v>
      </c>
      <c r="W1016" t="s">
        <v>453</v>
      </c>
      <c r="X1016" t="s">
        <v>271</v>
      </c>
      <c r="Y1016" t="s">
        <v>4258</v>
      </c>
      <c r="AA1016" t="s">
        <v>4259</v>
      </c>
      <c r="AB1016" t="s">
        <v>181</v>
      </c>
    </row>
    <row r="1017" spans="1:28" x14ac:dyDescent="0.25">
      <c r="A1017" t="s">
        <v>4155</v>
      </c>
      <c r="B1017" t="s">
        <v>4156</v>
      </c>
      <c r="C1017" t="s">
        <v>646</v>
      </c>
      <c r="D1017" t="s">
        <v>3779</v>
      </c>
      <c r="E1017" t="s">
        <v>647</v>
      </c>
      <c r="F1017" t="s">
        <v>3780</v>
      </c>
      <c r="G1017" t="s">
        <v>769</v>
      </c>
      <c r="H1017" t="s">
        <v>708</v>
      </c>
      <c r="I1017" t="s">
        <v>885</v>
      </c>
      <c r="J1017" t="s">
        <v>324</v>
      </c>
      <c r="K1017" t="s">
        <v>166</v>
      </c>
      <c r="L1017" t="s">
        <v>0</v>
      </c>
      <c r="M1017" t="s">
        <v>178</v>
      </c>
      <c r="N1017">
        <v>7</v>
      </c>
      <c r="O1017">
        <v>7</v>
      </c>
      <c r="P1017">
        <v>168.81</v>
      </c>
      <c r="Q1017">
        <v>232.7</v>
      </c>
      <c r="R1017">
        <v>-38.03</v>
      </c>
      <c r="S1017">
        <v>105.97887904</v>
      </c>
      <c r="T1017">
        <v>0</v>
      </c>
      <c r="U1017">
        <v>0</v>
      </c>
      <c r="V1017">
        <v>-38.03</v>
      </c>
      <c r="W1017" t="s">
        <v>519</v>
      </c>
      <c r="X1017" t="s">
        <v>271</v>
      </c>
      <c r="Y1017" t="s">
        <v>4157</v>
      </c>
      <c r="AA1017" t="s">
        <v>4158</v>
      </c>
      <c r="AB1017" t="s">
        <v>181</v>
      </c>
    </row>
    <row r="1018" spans="1:28" x14ac:dyDescent="0.25">
      <c r="A1018" t="s">
        <v>4113</v>
      </c>
      <c r="B1018" t="s">
        <v>4114</v>
      </c>
      <c r="C1018" t="s">
        <v>646</v>
      </c>
      <c r="D1018" t="s">
        <v>3779</v>
      </c>
      <c r="E1018" t="s">
        <v>647</v>
      </c>
      <c r="F1018" t="s">
        <v>3780</v>
      </c>
      <c r="G1018" t="s">
        <v>769</v>
      </c>
      <c r="H1018" t="s">
        <v>1045</v>
      </c>
      <c r="I1018" t="s">
        <v>1913</v>
      </c>
      <c r="J1018" t="s">
        <v>1914</v>
      </c>
      <c r="K1018" t="s">
        <v>166</v>
      </c>
      <c r="L1018" t="s">
        <v>0</v>
      </c>
      <c r="M1018" t="s">
        <v>178</v>
      </c>
      <c r="N1018">
        <v>482.09980000000002</v>
      </c>
      <c r="O1018">
        <v>105.0998</v>
      </c>
      <c r="P1018">
        <v>8357.86</v>
      </c>
      <c r="Q1018">
        <v>41527.85</v>
      </c>
      <c r="R1018">
        <v>5605.15</v>
      </c>
      <c r="S1018">
        <v>1164.77020416</v>
      </c>
      <c r="T1018">
        <v>0</v>
      </c>
      <c r="U1018">
        <v>0</v>
      </c>
      <c r="V1018">
        <v>5605.15</v>
      </c>
      <c r="W1018" t="s">
        <v>1915</v>
      </c>
      <c r="X1018" t="s">
        <v>269</v>
      </c>
      <c r="Y1018" t="s">
        <v>4115</v>
      </c>
      <c r="AA1018" t="s">
        <v>4116</v>
      </c>
      <c r="AB1018" t="s">
        <v>181</v>
      </c>
    </row>
    <row r="1019" spans="1:28" x14ac:dyDescent="0.25">
      <c r="A1019" t="s">
        <v>3853</v>
      </c>
      <c r="B1019" t="s">
        <v>3854</v>
      </c>
      <c r="C1019" t="s">
        <v>646</v>
      </c>
      <c r="D1019" t="s">
        <v>3779</v>
      </c>
      <c r="E1019" t="s">
        <v>647</v>
      </c>
      <c r="F1019" t="s">
        <v>3780</v>
      </c>
      <c r="G1019" t="s">
        <v>769</v>
      </c>
      <c r="H1019" t="s">
        <v>717</v>
      </c>
      <c r="I1019" t="s">
        <v>746</v>
      </c>
      <c r="J1019" t="s">
        <v>504</v>
      </c>
      <c r="K1019" t="s">
        <v>166</v>
      </c>
      <c r="L1019" t="s">
        <v>0</v>
      </c>
      <c r="M1019" t="s">
        <v>178</v>
      </c>
      <c r="N1019">
        <v>32</v>
      </c>
      <c r="O1019">
        <v>26</v>
      </c>
      <c r="P1019">
        <v>452.5</v>
      </c>
      <c r="Q1019">
        <v>2654.82</v>
      </c>
      <c r="R1019">
        <v>395.44864753000002</v>
      </c>
      <c r="S1019">
        <v>20.17751616</v>
      </c>
      <c r="T1019">
        <v>1.6286475300000001</v>
      </c>
      <c r="U1019">
        <v>0</v>
      </c>
      <c r="V1019">
        <v>393.82</v>
      </c>
      <c r="W1019" t="s">
        <v>503</v>
      </c>
      <c r="X1019" t="s">
        <v>271</v>
      </c>
      <c r="Y1019" t="s">
        <v>3855</v>
      </c>
      <c r="AA1019" t="s">
        <v>3856</v>
      </c>
      <c r="AB1019" t="s">
        <v>181</v>
      </c>
    </row>
    <row r="1020" spans="1:28" x14ac:dyDescent="0.25">
      <c r="A1020" t="s">
        <v>4162</v>
      </c>
      <c r="B1020" t="s">
        <v>4163</v>
      </c>
      <c r="C1020" t="s">
        <v>646</v>
      </c>
      <c r="D1020" t="s">
        <v>3779</v>
      </c>
      <c r="E1020" t="s">
        <v>647</v>
      </c>
      <c r="F1020" t="s">
        <v>3780</v>
      </c>
      <c r="G1020" t="s">
        <v>769</v>
      </c>
      <c r="H1020" t="s">
        <v>649</v>
      </c>
      <c r="I1020" t="s">
        <v>4164</v>
      </c>
      <c r="J1020" t="s">
        <v>985</v>
      </c>
      <c r="K1020" t="s">
        <v>166</v>
      </c>
      <c r="L1020" t="s">
        <v>0</v>
      </c>
      <c r="M1020" t="s">
        <v>178</v>
      </c>
      <c r="N1020">
        <v>643</v>
      </c>
      <c r="O1020">
        <v>213</v>
      </c>
      <c r="P1020">
        <v>13685.7</v>
      </c>
      <c r="Q1020">
        <v>35999.14</v>
      </c>
      <c r="R1020">
        <v>584.74</v>
      </c>
      <c r="S1020">
        <v>1214.8032370799999</v>
      </c>
      <c r="T1020">
        <v>0</v>
      </c>
      <c r="U1020">
        <v>0</v>
      </c>
      <c r="V1020">
        <v>584.74</v>
      </c>
      <c r="W1020" t="s">
        <v>986</v>
      </c>
      <c r="X1020" t="s">
        <v>271</v>
      </c>
      <c r="Y1020" t="s">
        <v>4165</v>
      </c>
      <c r="AA1020" t="s">
        <v>4166</v>
      </c>
      <c r="AB1020" t="s">
        <v>181</v>
      </c>
    </row>
    <row r="1021" spans="1:28" x14ac:dyDescent="0.25">
      <c r="A1021" t="s">
        <v>4022</v>
      </c>
      <c r="B1021" t="s">
        <v>4023</v>
      </c>
      <c r="C1021" t="s">
        <v>646</v>
      </c>
      <c r="D1021" t="s">
        <v>3779</v>
      </c>
      <c r="E1021" t="s">
        <v>647</v>
      </c>
      <c r="F1021" t="s">
        <v>3780</v>
      </c>
      <c r="G1021" t="s">
        <v>769</v>
      </c>
      <c r="H1021" t="s">
        <v>649</v>
      </c>
      <c r="I1021" t="s">
        <v>4024</v>
      </c>
      <c r="J1021" t="s">
        <v>447</v>
      </c>
      <c r="K1021" t="s">
        <v>166</v>
      </c>
      <c r="L1021" t="s">
        <v>0</v>
      </c>
      <c r="M1021" t="s">
        <v>178</v>
      </c>
      <c r="N1021">
        <v>207</v>
      </c>
      <c r="O1021">
        <v>68</v>
      </c>
      <c r="P1021">
        <v>4251.22</v>
      </c>
      <c r="Q1021">
        <v>12451.18</v>
      </c>
      <c r="R1021">
        <v>1531.94491094</v>
      </c>
      <c r="S1021">
        <v>650.78646287000004</v>
      </c>
      <c r="T1021">
        <v>2.4910939999999999E-2</v>
      </c>
      <c r="U1021">
        <v>0</v>
      </c>
      <c r="V1021">
        <v>1531.92</v>
      </c>
      <c r="W1021" t="s">
        <v>446</v>
      </c>
      <c r="X1021" t="s">
        <v>271</v>
      </c>
      <c r="Y1021" t="s">
        <v>4025</v>
      </c>
      <c r="AA1021" t="s">
        <v>4026</v>
      </c>
      <c r="AB1021" t="s">
        <v>181</v>
      </c>
    </row>
    <row r="1022" spans="1:28" x14ac:dyDescent="0.25">
      <c r="A1022" t="s">
        <v>3973</v>
      </c>
      <c r="B1022" t="s">
        <v>3974</v>
      </c>
      <c r="C1022" t="s">
        <v>646</v>
      </c>
      <c r="D1022" t="s">
        <v>3779</v>
      </c>
      <c r="E1022" t="s">
        <v>647</v>
      </c>
      <c r="F1022" t="s">
        <v>3780</v>
      </c>
      <c r="G1022" t="s">
        <v>769</v>
      </c>
      <c r="H1022" t="s">
        <v>717</v>
      </c>
      <c r="I1022" t="s">
        <v>880</v>
      </c>
      <c r="J1022" t="s">
        <v>881</v>
      </c>
      <c r="K1022" t="s">
        <v>166</v>
      </c>
      <c r="L1022" t="s">
        <v>0</v>
      </c>
      <c r="M1022" t="s">
        <v>178</v>
      </c>
      <c r="N1022">
        <v>20</v>
      </c>
      <c r="O1022">
        <v>20</v>
      </c>
      <c r="P1022">
        <v>286.05</v>
      </c>
      <c r="Q1022">
        <v>1662.69</v>
      </c>
      <c r="R1022">
        <v>85.563021539999994</v>
      </c>
      <c r="S1022">
        <v>9.8643999999999998</v>
      </c>
      <c r="T1022">
        <v>2.4230215400000001</v>
      </c>
      <c r="U1022">
        <v>0</v>
      </c>
      <c r="V1022">
        <v>83.14</v>
      </c>
      <c r="W1022" t="s">
        <v>0</v>
      </c>
      <c r="X1022" t="s">
        <v>271</v>
      </c>
      <c r="Y1022" t="s">
        <v>3975</v>
      </c>
      <c r="AA1022" t="s">
        <v>3976</v>
      </c>
      <c r="AB1022" t="s">
        <v>181</v>
      </c>
    </row>
    <row r="1023" spans="1:28" x14ac:dyDescent="0.25">
      <c r="A1023" t="s">
        <v>4074</v>
      </c>
      <c r="B1023" t="s">
        <v>4075</v>
      </c>
      <c r="C1023" t="s">
        <v>646</v>
      </c>
      <c r="D1023" t="s">
        <v>3779</v>
      </c>
      <c r="E1023" t="s">
        <v>647</v>
      </c>
      <c r="F1023" t="s">
        <v>3780</v>
      </c>
      <c r="G1023" t="s">
        <v>769</v>
      </c>
      <c r="H1023" t="s">
        <v>802</v>
      </c>
      <c r="I1023" t="s">
        <v>1284</v>
      </c>
      <c r="J1023" t="s">
        <v>1285</v>
      </c>
      <c r="K1023" t="s">
        <v>166</v>
      </c>
      <c r="L1023" t="s">
        <v>0</v>
      </c>
      <c r="M1023" t="s">
        <v>178</v>
      </c>
      <c r="N1023">
        <v>159.5</v>
      </c>
      <c r="O1023">
        <v>5.5</v>
      </c>
      <c r="P1023">
        <v>4661.54</v>
      </c>
      <c r="Q1023">
        <v>12299.51</v>
      </c>
      <c r="R1023">
        <v>357.13</v>
      </c>
      <c r="S1023">
        <v>698.15254531000005</v>
      </c>
      <c r="T1023">
        <v>0</v>
      </c>
      <c r="U1023">
        <v>0</v>
      </c>
      <c r="V1023">
        <v>357.13</v>
      </c>
      <c r="W1023" t="s">
        <v>1286</v>
      </c>
      <c r="X1023" t="s">
        <v>269</v>
      </c>
      <c r="Y1023" t="s">
        <v>4076</v>
      </c>
      <c r="AA1023" t="s">
        <v>4077</v>
      </c>
      <c r="AB1023" t="s">
        <v>181</v>
      </c>
    </row>
    <row r="1024" spans="1:28" x14ac:dyDescent="0.25">
      <c r="A1024" t="s">
        <v>4039</v>
      </c>
      <c r="B1024" t="s">
        <v>4040</v>
      </c>
      <c r="C1024" t="s">
        <v>646</v>
      </c>
      <c r="D1024" t="s">
        <v>3779</v>
      </c>
      <c r="E1024" t="s">
        <v>647</v>
      </c>
      <c r="F1024" t="s">
        <v>3780</v>
      </c>
      <c r="G1024" t="s">
        <v>769</v>
      </c>
      <c r="H1024" t="s">
        <v>797</v>
      </c>
      <c r="I1024" t="s">
        <v>1595</v>
      </c>
      <c r="J1024" t="s">
        <v>544</v>
      </c>
      <c r="K1024" t="s">
        <v>166</v>
      </c>
      <c r="L1024" t="s">
        <v>0</v>
      </c>
      <c r="M1024" t="s">
        <v>178</v>
      </c>
      <c r="N1024">
        <v>202</v>
      </c>
      <c r="O1024">
        <v>77</v>
      </c>
      <c r="P1024">
        <v>2106</v>
      </c>
      <c r="Q1024">
        <v>8717.86</v>
      </c>
      <c r="R1024">
        <v>2025.6617429600001</v>
      </c>
      <c r="S1024">
        <v>715.26156866999997</v>
      </c>
      <c r="T1024">
        <v>0.21174296000000001</v>
      </c>
      <c r="U1024">
        <v>0</v>
      </c>
      <c r="V1024">
        <v>2025.45</v>
      </c>
      <c r="W1024" t="s">
        <v>239</v>
      </c>
      <c r="X1024" t="s">
        <v>271</v>
      </c>
      <c r="Y1024" t="s">
        <v>4041</v>
      </c>
      <c r="AA1024" t="s">
        <v>4042</v>
      </c>
      <c r="AB1024" t="s">
        <v>181</v>
      </c>
    </row>
    <row r="1025" spans="1:28" x14ac:dyDescent="0.25">
      <c r="A1025" t="s">
        <v>3838</v>
      </c>
      <c r="B1025" t="s">
        <v>3839</v>
      </c>
      <c r="C1025" t="s">
        <v>646</v>
      </c>
      <c r="D1025" t="s">
        <v>3779</v>
      </c>
      <c r="E1025" t="s">
        <v>647</v>
      </c>
      <c r="F1025" t="s">
        <v>3780</v>
      </c>
      <c r="G1025" t="s">
        <v>769</v>
      </c>
      <c r="H1025" t="s">
        <v>717</v>
      </c>
      <c r="I1025" t="s">
        <v>906</v>
      </c>
      <c r="J1025" t="s">
        <v>907</v>
      </c>
      <c r="K1025" t="s">
        <v>166</v>
      </c>
      <c r="L1025" t="s">
        <v>0</v>
      </c>
      <c r="M1025" t="s">
        <v>178</v>
      </c>
      <c r="N1025">
        <v>55</v>
      </c>
      <c r="O1025">
        <v>17</v>
      </c>
      <c r="P1025">
        <v>962.6</v>
      </c>
      <c r="Q1025">
        <v>3372.53</v>
      </c>
      <c r="R1025">
        <v>550.75</v>
      </c>
      <c r="S1025">
        <v>108.03409788</v>
      </c>
      <c r="T1025">
        <v>0</v>
      </c>
      <c r="U1025">
        <v>0</v>
      </c>
      <c r="V1025">
        <v>550.75</v>
      </c>
      <c r="W1025" t="s">
        <v>272</v>
      </c>
      <c r="X1025" t="s">
        <v>269</v>
      </c>
      <c r="Y1025" t="s">
        <v>3840</v>
      </c>
      <c r="AA1025" t="s">
        <v>3841</v>
      </c>
      <c r="AB1025" t="s">
        <v>181</v>
      </c>
    </row>
    <row r="1026" spans="1:28" x14ac:dyDescent="0.25">
      <c r="A1026" t="s">
        <v>4337</v>
      </c>
      <c r="B1026" t="s">
        <v>4338</v>
      </c>
      <c r="C1026" t="s">
        <v>646</v>
      </c>
      <c r="D1026" t="s">
        <v>3779</v>
      </c>
      <c r="E1026" t="s">
        <v>647</v>
      </c>
      <c r="F1026" t="s">
        <v>3780</v>
      </c>
      <c r="G1026" t="s">
        <v>769</v>
      </c>
      <c r="H1026" t="s">
        <v>1171</v>
      </c>
      <c r="I1026" t="s">
        <v>4339</v>
      </c>
      <c r="J1026" t="s">
        <v>821</v>
      </c>
      <c r="K1026" t="s">
        <v>166</v>
      </c>
      <c r="L1026" t="s">
        <v>0</v>
      </c>
      <c r="M1026" t="s">
        <v>178</v>
      </c>
      <c r="N1026">
        <v>84</v>
      </c>
      <c r="O1026">
        <v>73</v>
      </c>
      <c r="P1026">
        <v>1687.27</v>
      </c>
      <c r="Q1026">
        <v>18894.54</v>
      </c>
      <c r="R1026">
        <v>2720.5470187599999</v>
      </c>
      <c r="S1026">
        <v>71.283717379999999</v>
      </c>
      <c r="T1026">
        <v>4.9170187600000004</v>
      </c>
      <c r="U1026">
        <v>0</v>
      </c>
      <c r="V1026">
        <v>2715.63</v>
      </c>
      <c r="W1026" t="s">
        <v>822</v>
      </c>
      <c r="X1026" t="s">
        <v>269</v>
      </c>
      <c r="Y1026" t="s">
        <v>4340</v>
      </c>
      <c r="AA1026" t="s">
        <v>4341</v>
      </c>
      <c r="AB1026" t="s">
        <v>181</v>
      </c>
    </row>
    <row r="1027" spans="1:28" x14ac:dyDescent="0.25">
      <c r="A1027" t="s">
        <v>4236</v>
      </c>
      <c r="B1027" t="s">
        <v>4237</v>
      </c>
      <c r="C1027" t="s">
        <v>646</v>
      </c>
      <c r="D1027" t="s">
        <v>3779</v>
      </c>
      <c r="E1027" t="s">
        <v>647</v>
      </c>
      <c r="F1027" t="s">
        <v>3780</v>
      </c>
      <c r="G1027" t="s">
        <v>769</v>
      </c>
      <c r="H1027" t="s">
        <v>683</v>
      </c>
      <c r="I1027" t="s">
        <v>1546</v>
      </c>
      <c r="J1027" t="s">
        <v>1547</v>
      </c>
      <c r="K1027" t="s">
        <v>166</v>
      </c>
      <c r="L1027" t="s">
        <v>0</v>
      </c>
      <c r="M1027" t="s">
        <v>178</v>
      </c>
      <c r="N1027">
        <v>90</v>
      </c>
      <c r="O1027">
        <v>48</v>
      </c>
      <c r="P1027">
        <v>1076.56</v>
      </c>
      <c r="Q1027">
        <v>3091.51</v>
      </c>
      <c r="R1027">
        <v>356.13</v>
      </c>
      <c r="S1027">
        <v>543.81707902999995</v>
      </c>
      <c r="T1027">
        <v>0</v>
      </c>
      <c r="U1027">
        <v>0</v>
      </c>
      <c r="V1027">
        <v>356.13</v>
      </c>
      <c r="W1027" t="s">
        <v>1548</v>
      </c>
      <c r="X1027" t="s">
        <v>271</v>
      </c>
      <c r="Y1027" t="s">
        <v>4238</v>
      </c>
      <c r="AA1027" t="s">
        <v>4239</v>
      </c>
      <c r="AB1027" t="s">
        <v>181</v>
      </c>
    </row>
    <row r="1028" spans="1:28" x14ac:dyDescent="0.25">
      <c r="A1028" t="s">
        <v>4361</v>
      </c>
      <c r="B1028" t="s">
        <v>4362</v>
      </c>
      <c r="C1028" t="s">
        <v>646</v>
      </c>
      <c r="D1028" t="s">
        <v>3779</v>
      </c>
      <c r="E1028" t="s">
        <v>647</v>
      </c>
      <c r="F1028" t="s">
        <v>3780</v>
      </c>
      <c r="G1028" t="s">
        <v>769</v>
      </c>
      <c r="H1028" t="s">
        <v>1045</v>
      </c>
      <c r="I1028" t="s">
        <v>1712</v>
      </c>
      <c r="J1028" t="s">
        <v>335</v>
      </c>
      <c r="K1028" t="s">
        <v>166</v>
      </c>
      <c r="L1028" t="s">
        <v>0</v>
      </c>
      <c r="M1028" t="s">
        <v>178</v>
      </c>
      <c r="N1028">
        <v>73</v>
      </c>
      <c r="O1028">
        <v>12</v>
      </c>
      <c r="P1028">
        <v>1258.2</v>
      </c>
      <c r="Q1028">
        <v>8096.47</v>
      </c>
      <c r="R1028">
        <v>508.79</v>
      </c>
      <c r="S1028">
        <v>127.67400000000001</v>
      </c>
      <c r="T1028">
        <v>0</v>
      </c>
      <c r="U1028">
        <v>0</v>
      </c>
      <c r="V1028">
        <v>508.79</v>
      </c>
      <c r="W1028" t="s">
        <v>572</v>
      </c>
      <c r="X1028" t="s">
        <v>271</v>
      </c>
      <c r="Y1028" t="s">
        <v>4363</v>
      </c>
      <c r="AA1028" t="s">
        <v>4364</v>
      </c>
      <c r="AB1028" t="s">
        <v>181</v>
      </c>
    </row>
    <row r="1029" spans="1:28" x14ac:dyDescent="0.25">
      <c r="A1029" t="s">
        <v>4027</v>
      </c>
      <c r="B1029" t="s">
        <v>4028</v>
      </c>
      <c r="C1029" t="s">
        <v>646</v>
      </c>
      <c r="D1029" t="s">
        <v>3779</v>
      </c>
      <c r="E1029" t="s">
        <v>647</v>
      </c>
      <c r="F1029" t="s">
        <v>3780</v>
      </c>
      <c r="G1029" t="s">
        <v>769</v>
      </c>
      <c r="H1029" t="s">
        <v>1175</v>
      </c>
      <c r="I1029" t="s">
        <v>1251</v>
      </c>
      <c r="J1029" t="s">
        <v>821</v>
      </c>
      <c r="K1029" t="s">
        <v>166</v>
      </c>
      <c r="L1029" t="s">
        <v>0</v>
      </c>
      <c r="M1029" t="s">
        <v>178</v>
      </c>
      <c r="N1029">
        <v>276</v>
      </c>
      <c r="O1029">
        <v>196</v>
      </c>
      <c r="P1029">
        <v>3588</v>
      </c>
      <c r="Q1029">
        <v>8695.0499999999993</v>
      </c>
      <c r="R1029">
        <v>1768.49</v>
      </c>
      <c r="S1029">
        <v>1011.26829765</v>
      </c>
      <c r="T1029">
        <v>0</v>
      </c>
      <c r="U1029">
        <v>0</v>
      </c>
      <c r="V1029">
        <v>1768.49</v>
      </c>
      <c r="W1029" t="s">
        <v>822</v>
      </c>
      <c r="X1029" t="s">
        <v>269</v>
      </c>
      <c r="Y1029" t="s">
        <v>4029</v>
      </c>
      <c r="AA1029" t="s">
        <v>4030</v>
      </c>
      <c r="AB1029" t="s">
        <v>181</v>
      </c>
    </row>
    <row r="1030" spans="1:28" x14ac:dyDescent="0.25">
      <c r="A1030" t="s">
        <v>3921</v>
      </c>
      <c r="B1030" t="s">
        <v>3922</v>
      </c>
      <c r="C1030" t="s">
        <v>646</v>
      </c>
      <c r="D1030" t="s">
        <v>3779</v>
      </c>
      <c r="E1030" t="s">
        <v>647</v>
      </c>
      <c r="F1030" t="s">
        <v>666</v>
      </c>
      <c r="G1030" t="s">
        <v>666</v>
      </c>
      <c r="H1030" t="s">
        <v>672</v>
      </c>
      <c r="I1030" t="s">
        <v>902</v>
      </c>
      <c r="J1030" t="s">
        <v>562</v>
      </c>
      <c r="K1030" t="s">
        <v>166</v>
      </c>
      <c r="L1030" t="s">
        <v>0</v>
      </c>
      <c r="M1030" t="s">
        <v>178</v>
      </c>
      <c r="N1030">
        <v>393</v>
      </c>
      <c r="O1030">
        <v>331</v>
      </c>
      <c r="P1030">
        <v>4731.3999999999996</v>
      </c>
      <c r="Q1030">
        <v>18996.84</v>
      </c>
      <c r="R1030">
        <v>2567.1791677599999</v>
      </c>
      <c r="S1030">
        <v>4346.87368143</v>
      </c>
      <c r="T1030">
        <v>6.9167759999999995E-2</v>
      </c>
      <c r="U1030">
        <v>0</v>
      </c>
      <c r="V1030">
        <v>2567.11</v>
      </c>
      <c r="W1030" t="s">
        <v>0</v>
      </c>
      <c r="X1030" t="s">
        <v>271</v>
      </c>
      <c r="Y1030" t="s">
        <v>3923</v>
      </c>
      <c r="AA1030" t="s">
        <v>3924</v>
      </c>
      <c r="AB1030" t="s">
        <v>181</v>
      </c>
    </row>
    <row r="1031" spans="1:28" x14ac:dyDescent="0.25">
      <c r="A1031" t="s">
        <v>4006</v>
      </c>
      <c r="B1031" t="s">
        <v>4007</v>
      </c>
      <c r="C1031" t="s">
        <v>646</v>
      </c>
      <c r="D1031" t="s">
        <v>3779</v>
      </c>
      <c r="E1031" t="s">
        <v>647</v>
      </c>
      <c r="F1031" t="s">
        <v>3780</v>
      </c>
      <c r="G1031" t="s">
        <v>769</v>
      </c>
      <c r="H1031" t="s">
        <v>683</v>
      </c>
      <c r="I1031" t="s">
        <v>4008</v>
      </c>
      <c r="J1031" t="s">
        <v>688</v>
      </c>
      <c r="K1031" t="s">
        <v>166</v>
      </c>
      <c r="L1031" t="s">
        <v>0</v>
      </c>
      <c r="M1031" t="s">
        <v>178</v>
      </c>
      <c r="N1031">
        <v>60.433199999999999</v>
      </c>
      <c r="O1031">
        <v>20</v>
      </c>
      <c r="P1031">
        <v>973.95</v>
      </c>
      <c r="Q1031">
        <v>4543.3100000000004</v>
      </c>
      <c r="R1031">
        <v>880.18</v>
      </c>
      <c r="S1031">
        <v>229.42058111</v>
      </c>
      <c r="T1031">
        <v>0</v>
      </c>
      <c r="U1031">
        <v>0</v>
      </c>
      <c r="V1031">
        <v>880.18</v>
      </c>
      <c r="W1031" t="s">
        <v>0</v>
      </c>
      <c r="X1031" t="s">
        <v>271</v>
      </c>
      <c r="Y1031" t="s">
        <v>4009</v>
      </c>
      <c r="AA1031" t="s">
        <v>4010</v>
      </c>
      <c r="AB1031" t="s">
        <v>181</v>
      </c>
    </row>
    <row r="1032" spans="1:28" x14ac:dyDescent="0.25">
      <c r="A1032" t="s">
        <v>3857</v>
      </c>
      <c r="B1032" t="s">
        <v>3858</v>
      </c>
      <c r="C1032" t="s">
        <v>646</v>
      </c>
      <c r="D1032" t="s">
        <v>3779</v>
      </c>
      <c r="E1032" t="s">
        <v>647</v>
      </c>
      <c r="F1032" t="s">
        <v>3780</v>
      </c>
      <c r="G1032" t="s">
        <v>769</v>
      </c>
      <c r="H1032" t="s">
        <v>797</v>
      </c>
      <c r="I1032" t="s">
        <v>952</v>
      </c>
      <c r="J1032" t="s">
        <v>434</v>
      </c>
      <c r="K1032" t="s">
        <v>166</v>
      </c>
      <c r="L1032" t="s">
        <v>0</v>
      </c>
      <c r="M1032" t="s">
        <v>178</v>
      </c>
      <c r="N1032">
        <v>39</v>
      </c>
      <c r="O1032">
        <v>18</v>
      </c>
      <c r="P1032">
        <v>414.04</v>
      </c>
      <c r="Q1032">
        <v>1911.25</v>
      </c>
      <c r="R1032">
        <v>388.28491093999997</v>
      </c>
      <c r="S1032">
        <v>113.94307704000001</v>
      </c>
      <c r="T1032">
        <v>2.4910939999999999E-2</v>
      </c>
      <c r="U1032">
        <v>0</v>
      </c>
      <c r="V1032">
        <v>388.26</v>
      </c>
      <c r="W1032" t="s">
        <v>466</v>
      </c>
      <c r="X1032" t="s">
        <v>271</v>
      </c>
      <c r="Y1032" t="s">
        <v>3859</v>
      </c>
      <c r="AA1032" t="s">
        <v>3860</v>
      </c>
      <c r="AB1032" t="s">
        <v>181</v>
      </c>
    </row>
    <row r="1033" spans="1:28" x14ac:dyDescent="0.25">
      <c r="A1033" t="s">
        <v>3965</v>
      </c>
      <c r="B1033" t="s">
        <v>3966</v>
      </c>
      <c r="C1033" t="s">
        <v>646</v>
      </c>
      <c r="D1033" t="s">
        <v>3779</v>
      </c>
      <c r="E1033" t="s">
        <v>647</v>
      </c>
      <c r="F1033" t="s">
        <v>3780</v>
      </c>
      <c r="G1033" t="s">
        <v>769</v>
      </c>
      <c r="H1033" t="s">
        <v>909</v>
      </c>
      <c r="I1033" t="s">
        <v>2339</v>
      </c>
      <c r="J1033" t="s">
        <v>2165</v>
      </c>
      <c r="K1033" t="s">
        <v>166</v>
      </c>
      <c r="L1033" t="s">
        <v>0</v>
      </c>
      <c r="M1033" t="s">
        <v>178</v>
      </c>
      <c r="N1033">
        <v>118</v>
      </c>
      <c r="O1033">
        <v>99</v>
      </c>
      <c r="P1033">
        <v>3652.18</v>
      </c>
      <c r="Q1033">
        <v>2530.66</v>
      </c>
      <c r="R1033">
        <v>157.75</v>
      </c>
      <c r="S1033">
        <v>385.57350958000001</v>
      </c>
      <c r="T1033">
        <v>0</v>
      </c>
      <c r="U1033">
        <v>0</v>
      </c>
      <c r="V1033">
        <v>157.75</v>
      </c>
      <c r="W1033" t="s">
        <v>2166</v>
      </c>
      <c r="X1033" t="s">
        <v>271</v>
      </c>
      <c r="Y1033" t="s">
        <v>3967</v>
      </c>
      <c r="AA1033" t="s">
        <v>3968</v>
      </c>
      <c r="AB1033" t="s">
        <v>181</v>
      </c>
    </row>
    <row r="1034" spans="1:28" x14ac:dyDescent="0.25">
      <c r="A1034" t="s">
        <v>3917</v>
      </c>
      <c r="B1034" t="s">
        <v>3918</v>
      </c>
      <c r="C1034" t="s">
        <v>646</v>
      </c>
      <c r="D1034" t="s">
        <v>3779</v>
      </c>
      <c r="E1034" t="s">
        <v>647</v>
      </c>
      <c r="F1034" t="s">
        <v>3780</v>
      </c>
      <c r="G1034" t="s">
        <v>769</v>
      </c>
      <c r="H1034" t="s">
        <v>962</v>
      </c>
      <c r="I1034" t="s">
        <v>1083</v>
      </c>
      <c r="J1034" t="s">
        <v>731</v>
      </c>
      <c r="K1034" t="s">
        <v>166</v>
      </c>
      <c r="L1034" t="s">
        <v>0</v>
      </c>
      <c r="M1034" t="s">
        <v>178</v>
      </c>
      <c r="N1034">
        <v>17</v>
      </c>
      <c r="O1034">
        <v>13</v>
      </c>
      <c r="P1034">
        <v>318.14999999999998</v>
      </c>
      <c r="Q1034">
        <v>1031.0899999999999</v>
      </c>
      <c r="R1034">
        <v>30.08</v>
      </c>
      <c r="S1034">
        <v>134.85252650999999</v>
      </c>
      <c r="T1034">
        <v>0</v>
      </c>
      <c r="U1034">
        <v>0</v>
      </c>
      <c r="V1034">
        <v>30.08</v>
      </c>
      <c r="W1034" t="s">
        <v>0</v>
      </c>
      <c r="X1034" t="s">
        <v>271</v>
      </c>
      <c r="Y1034" t="s">
        <v>3919</v>
      </c>
      <c r="AA1034" t="s">
        <v>3920</v>
      </c>
      <c r="AB1034" t="s">
        <v>181</v>
      </c>
    </row>
    <row r="1035" spans="1:28" x14ac:dyDescent="0.25">
      <c r="A1035" t="s">
        <v>3992</v>
      </c>
      <c r="B1035" t="s">
        <v>3993</v>
      </c>
      <c r="C1035" t="s">
        <v>646</v>
      </c>
      <c r="D1035" t="s">
        <v>3779</v>
      </c>
      <c r="E1035" t="s">
        <v>647</v>
      </c>
      <c r="F1035" t="s">
        <v>3780</v>
      </c>
      <c r="G1035" t="s">
        <v>769</v>
      </c>
      <c r="H1035" t="s">
        <v>672</v>
      </c>
      <c r="I1035" t="s">
        <v>3994</v>
      </c>
      <c r="J1035" t="s">
        <v>3995</v>
      </c>
      <c r="K1035" t="s">
        <v>166</v>
      </c>
      <c r="L1035" t="s">
        <v>0</v>
      </c>
      <c r="M1035" t="s">
        <v>178</v>
      </c>
      <c r="N1035">
        <v>10</v>
      </c>
      <c r="O1035">
        <v>4</v>
      </c>
      <c r="P1035">
        <v>228</v>
      </c>
      <c r="Q1035">
        <v>224.87</v>
      </c>
      <c r="R1035">
        <v>1.9161118399999999</v>
      </c>
      <c r="S1035">
        <v>60.130940379999998</v>
      </c>
      <c r="T1035">
        <v>54.346111839999999</v>
      </c>
      <c r="U1035">
        <v>5.19</v>
      </c>
      <c r="V1035">
        <v>7.46</v>
      </c>
      <c r="W1035" t="s">
        <v>250</v>
      </c>
      <c r="X1035" t="s">
        <v>269</v>
      </c>
      <c r="Y1035" t="s">
        <v>3996</v>
      </c>
      <c r="AA1035" t="s">
        <v>3997</v>
      </c>
      <c r="AB1035" t="s">
        <v>181</v>
      </c>
    </row>
    <row r="1036" spans="1:28" x14ac:dyDescent="0.25">
      <c r="A1036" t="s">
        <v>4320</v>
      </c>
      <c r="B1036" t="s">
        <v>4321</v>
      </c>
      <c r="C1036" t="s">
        <v>646</v>
      </c>
      <c r="D1036" t="s">
        <v>3779</v>
      </c>
      <c r="E1036" t="s">
        <v>647</v>
      </c>
      <c r="F1036" t="s">
        <v>3780</v>
      </c>
      <c r="G1036" t="s">
        <v>769</v>
      </c>
      <c r="H1036" t="s">
        <v>797</v>
      </c>
      <c r="I1036" t="s">
        <v>1010</v>
      </c>
      <c r="J1036" t="s">
        <v>1011</v>
      </c>
      <c r="K1036" t="s">
        <v>166</v>
      </c>
      <c r="L1036" t="s">
        <v>0</v>
      </c>
      <c r="M1036" t="s">
        <v>178</v>
      </c>
      <c r="N1036">
        <v>507</v>
      </c>
      <c r="O1036">
        <v>496</v>
      </c>
      <c r="P1036">
        <v>6056</v>
      </c>
      <c r="Q1036">
        <v>15110.75</v>
      </c>
      <c r="R1036">
        <v>2636.29945546</v>
      </c>
      <c r="S1036">
        <v>4604.7048364700004</v>
      </c>
      <c r="T1036">
        <v>-1.054454E-2</v>
      </c>
      <c r="U1036">
        <v>0</v>
      </c>
      <c r="V1036">
        <v>2636.31</v>
      </c>
      <c r="W1036" t="s">
        <v>0</v>
      </c>
      <c r="X1036" t="s">
        <v>271</v>
      </c>
      <c r="Y1036" t="s">
        <v>4322</v>
      </c>
      <c r="AA1036" t="s">
        <v>4323</v>
      </c>
      <c r="AB1036" t="s">
        <v>181</v>
      </c>
    </row>
    <row r="1037" spans="1:28" x14ac:dyDescent="0.25">
      <c r="A1037" t="s">
        <v>4011</v>
      </c>
      <c r="B1037" t="s">
        <v>4012</v>
      </c>
      <c r="C1037" t="s">
        <v>646</v>
      </c>
      <c r="D1037" t="s">
        <v>3779</v>
      </c>
      <c r="E1037" t="s">
        <v>647</v>
      </c>
      <c r="F1037" t="s">
        <v>3780</v>
      </c>
      <c r="G1037" t="s">
        <v>769</v>
      </c>
      <c r="H1037" t="s">
        <v>770</v>
      </c>
      <c r="I1037" t="s">
        <v>2142</v>
      </c>
      <c r="J1037" t="s">
        <v>1924</v>
      </c>
      <c r="K1037" t="s">
        <v>166</v>
      </c>
      <c r="L1037" t="s">
        <v>0</v>
      </c>
      <c r="M1037" t="s">
        <v>178</v>
      </c>
      <c r="N1037">
        <v>119.25</v>
      </c>
      <c r="O1037">
        <v>55.25</v>
      </c>
      <c r="P1037">
        <v>3582.5</v>
      </c>
      <c r="Q1037">
        <v>2815.62</v>
      </c>
      <c r="R1037">
        <v>365.2</v>
      </c>
      <c r="S1037">
        <v>351.06893841999999</v>
      </c>
      <c r="T1037">
        <v>0</v>
      </c>
      <c r="U1037">
        <v>0</v>
      </c>
      <c r="V1037">
        <v>365.2</v>
      </c>
      <c r="W1037" t="s">
        <v>1925</v>
      </c>
      <c r="X1037" t="s">
        <v>271</v>
      </c>
      <c r="Y1037" t="s">
        <v>4013</v>
      </c>
      <c r="AA1037" t="s">
        <v>4014</v>
      </c>
      <c r="AB1037" t="s">
        <v>181</v>
      </c>
    </row>
    <row r="1038" spans="1:28" x14ac:dyDescent="0.25">
      <c r="A1038" t="s">
        <v>3875</v>
      </c>
      <c r="B1038" t="s">
        <v>3876</v>
      </c>
      <c r="C1038" t="s">
        <v>646</v>
      </c>
      <c r="D1038" t="s">
        <v>3779</v>
      </c>
      <c r="E1038" t="s">
        <v>647</v>
      </c>
      <c r="F1038" t="s">
        <v>3780</v>
      </c>
      <c r="G1038" t="s">
        <v>769</v>
      </c>
      <c r="H1038" t="s">
        <v>672</v>
      </c>
      <c r="I1038" t="s">
        <v>1190</v>
      </c>
      <c r="J1038" t="s">
        <v>1191</v>
      </c>
      <c r="K1038" t="s">
        <v>166</v>
      </c>
      <c r="L1038" t="s">
        <v>0</v>
      </c>
      <c r="M1038" t="s">
        <v>178</v>
      </c>
      <c r="N1038">
        <v>1286</v>
      </c>
      <c r="O1038">
        <v>269</v>
      </c>
      <c r="P1038">
        <v>34755</v>
      </c>
      <c r="Q1038">
        <v>36390.050000000003</v>
      </c>
      <c r="R1038">
        <v>623.59298791000003</v>
      </c>
      <c r="S1038">
        <v>5258.5474182799999</v>
      </c>
      <c r="T1038">
        <v>9640.6229879099992</v>
      </c>
      <c r="U1038">
        <v>1077.0899999999999</v>
      </c>
      <c r="V1038">
        <v>1798.03</v>
      </c>
      <c r="W1038" t="s">
        <v>282</v>
      </c>
      <c r="X1038" t="s">
        <v>271</v>
      </c>
      <c r="Y1038" t="s">
        <v>2170</v>
      </c>
      <c r="AA1038" t="s">
        <v>2171</v>
      </c>
      <c r="AB1038" t="s">
        <v>181</v>
      </c>
    </row>
    <row r="1039" spans="1:28" x14ac:dyDescent="0.25">
      <c r="A1039" t="s">
        <v>3992</v>
      </c>
      <c r="B1039" t="s">
        <v>3993</v>
      </c>
      <c r="C1039" t="s">
        <v>646</v>
      </c>
      <c r="D1039" t="s">
        <v>3779</v>
      </c>
      <c r="E1039" t="s">
        <v>647</v>
      </c>
      <c r="F1039" t="s">
        <v>3780</v>
      </c>
      <c r="G1039" t="s">
        <v>769</v>
      </c>
      <c r="H1039" t="s">
        <v>1171</v>
      </c>
      <c r="I1039" t="s">
        <v>3994</v>
      </c>
      <c r="J1039" t="s">
        <v>3995</v>
      </c>
      <c r="K1039" t="s">
        <v>166</v>
      </c>
      <c r="L1039" t="s">
        <v>0</v>
      </c>
      <c r="M1039" t="s">
        <v>178</v>
      </c>
      <c r="N1039">
        <v>33</v>
      </c>
      <c r="O1039">
        <v>3</v>
      </c>
      <c r="P1039">
        <v>2497.35</v>
      </c>
      <c r="Q1039">
        <v>12227.43</v>
      </c>
      <c r="R1039">
        <v>118.84</v>
      </c>
      <c r="S1039">
        <v>225.07510858000001</v>
      </c>
      <c r="T1039">
        <v>0</v>
      </c>
      <c r="U1039">
        <v>0</v>
      </c>
      <c r="V1039">
        <v>118.84</v>
      </c>
      <c r="W1039" t="s">
        <v>250</v>
      </c>
      <c r="X1039" t="s">
        <v>269</v>
      </c>
      <c r="Y1039" t="s">
        <v>3996</v>
      </c>
      <c r="AA1039" t="s">
        <v>3997</v>
      </c>
      <c r="AB1039" t="s">
        <v>181</v>
      </c>
    </row>
    <row r="1040" spans="1:28" x14ac:dyDescent="0.25">
      <c r="A1040" t="s">
        <v>4143</v>
      </c>
      <c r="B1040" t="s">
        <v>4144</v>
      </c>
      <c r="C1040" t="s">
        <v>646</v>
      </c>
      <c r="D1040" t="s">
        <v>3779</v>
      </c>
      <c r="E1040" t="s">
        <v>647</v>
      </c>
      <c r="F1040" t="s">
        <v>3780</v>
      </c>
      <c r="G1040" t="s">
        <v>769</v>
      </c>
      <c r="H1040" t="s">
        <v>717</v>
      </c>
      <c r="I1040" t="s">
        <v>1828</v>
      </c>
      <c r="J1040" t="s">
        <v>1829</v>
      </c>
      <c r="K1040" t="s">
        <v>166</v>
      </c>
      <c r="L1040" t="s">
        <v>0</v>
      </c>
      <c r="M1040" t="s">
        <v>178</v>
      </c>
      <c r="N1040">
        <v>22</v>
      </c>
      <c r="O1040">
        <v>20</v>
      </c>
      <c r="P1040">
        <v>340</v>
      </c>
      <c r="Q1040">
        <v>1246.96</v>
      </c>
      <c r="R1040">
        <v>224.43</v>
      </c>
      <c r="S1040">
        <v>211.61299550000001</v>
      </c>
      <c r="T1040">
        <v>0</v>
      </c>
      <c r="U1040">
        <v>0</v>
      </c>
      <c r="V1040">
        <v>224.43</v>
      </c>
      <c r="W1040" t="s">
        <v>1361</v>
      </c>
      <c r="X1040" t="s">
        <v>271</v>
      </c>
      <c r="Y1040" t="s">
        <v>4145</v>
      </c>
      <c r="AA1040" t="s">
        <v>4146</v>
      </c>
      <c r="AB1040" t="s">
        <v>181</v>
      </c>
    </row>
    <row r="1041" spans="1:28" x14ac:dyDescent="0.25">
      <c r="A1041" t="s">
        <v>4346</v>
      </c>
      <c r="B1041" t="s">
        <v>257</v>
      </c>
      <c r="C1041" t="s">
        <v>646</v>
      </c>
      <c r="D1041" t="s">
        <v>3779</v>
      </c>
      <c r="E1041" t="s">
        <v>647</v>
      </c>
      <c r="F1041" t="s">
        <v>3780</v>
      </c>
      <c r="G1041" t="s">
        <v>769</v>
      </c>
      <c r="H1041" t="s">
        <v>1515</v>
      </c>
      <c r="I1041" t="s">
        <v>746</v>
      </c>
      <c r="J1041" t="s">
        <v>504</v>
      </c>
      <c r="K1041" t="s">
        <v>166</v>
      </c>
      <c r="L1041" t="s">
        <v>0</v>
      </c>
      <c r="M1041" t="s">
        <v>178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 t="s">
        <v>503</v>
      </c>
      <c r="X1041" t="s">
        <v>271</v>
      </c>
      <c r="Y1041" t="s">
        <v>4347</v>
      </c>
      <c r="AA1041" t="s">
        <v>4348</v>
      </c>
      <c r="AB1041" t="s">
        <v>181</v>
      </c>
    </row>
    <row r="1042" spans="1:28" x14ac:dyDescent="0.25">
      <c r="A1042" t="s">
        <v>3801</v>
      </c>
      <c r="B1042" t="s">
        <v>3802</v>
      </c>
      <c r="C1042" t="s">
        <v>646</v>
      </c>
      <c r="D1042" t="s">
        <v>3779</v>
      </c>
      <c r="E1042" t="s">
        <v>647</v>
      </c>
      <c r="F1042" t="s">
        <v>666</v>
      </c>
      <c r="G1042" t="s">
        <v>666</v>
      </c>
      <c r="H1042" t="s">
        <v>1515</v>
      </c>
      <c r="I1042" t="s">
        <v>3803</v>
      </c>
      <c r="J1042" t="s">
        <v>2577</v>
      </c>
      <c r="K1042" t="s">
        <v>166</v>
      </c>
      <c r="L1042" t="s">
        <v>0</v>
      </c>
      <c r="M1042" t="s">
        <v>178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 t="s">
        <v>2578</v>
      </c>
      <c r="X1042" t="s">
        <v>271</v>
      </c>
      <c r="Y1042" t="s">
        <v>3804</v>
      </c>
      <c r="AA1042" t="s">
        <v>3805</v>
      </c>
      <c r="AB1042" t="s">
        <v>181</v>
      </c>
    </row>
    <row r="1043" spans="1:28" x14ac:dyDescent="0.25">
      <c r="A1043" t="s">
        <v>4092</v>
      </c>
      <c r="B1043" t="s">
        <v>4093</v>
      </c>
      <c r="C1043" t="s">
        <v>646</v>
      </c>
      <c r="D1043" t="s">
        <v>3779</v>
      </c>
      <c r="E1043" t="s">
        <v>647</v>
      </c>
      <c r="F1043" t="s">
        <v>3780</v>
      </c>
      <c r="G1043" t="s">
        <v>769</v>
      </c>
      <c r="H1043" t="s">
        <v>1515</v>
      </c>
      <c r="I1043" t="s">
        <v>4094</v>
      </c>
      <c r="J1043" t="s">
        <v>370</v>
      </c>
      <c r="K1043" t="s">
        <v>166</v>
      </c>
      <c r="L1043" t="s">
        <v>0</v>
      </c>
      <c r="M1043" t="s">
        <v>178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 t="s">
        <v>314</v>
      </c>
      <c r="X1043" t="s">
        <v>271</v>
      </c>
      <c r="Y1043" t="s">
        <v>4095</v>
      </c>
      <c r="Z1043" t="s">
        <v>4096</v>
      </c>
      <c r="AA1043" t="s">
        <v>4097</v>
      </c>
      <c r="AB1043" t="s">
        <v>181</v>
      </c>
    </row>
    <row r="1044" spans="1:28" x14ac:dyDescent="0.25">
      <c r="A1044" t="s">
        <v>4252</v>
      </c>
      <c r="B1044" t="s">
        <v>4253</v>
      </c>
      <c r="C1044" t="s">
        <v>646</v>
      </c>
      <c r="D1044" t="s">
        <v>3779</v>
      </c>
      <c r="E1044" t="s">
        <v>647</v>
      </c>
      <c r="F1044" t="s">
        <v>3780</v>
      </c>
      <c r="G1044" t="s">
        <v>769</v>
      </c>
      <c r="H1044" t="s">
        <v>717</v>
      </c>
      <c r="I1044" t="s">
        <v>1046</v>
      </c>
      <c r="J1044" t="s">
        <v>971</v>
      </c>
      <c r="K1044" t="s">
        <v>166</v>
      </c>
      <c r="L1044" t="s">
        <v>0</v>
      </c>
      <c r="M1044" t="s">
        <v>178</v>
      </c>
      <c r="N1044">
        <v>185</v>
      </c>
      <c r="O1044">
        <v>161</v>
      </c>
      <c r="P1044">
        <v>2188.6</v>
      </c>
      <c r="Q1044">
        <v>11999.97</v>
      </c>
      <c r="R1044">
        <v>1224.5264757800001</v>
      </c>
      <c r="S1044">
        <v>488.72305950999998</v>
      </c>
      <c r="T1044">
        <v>0.28647578000000001</v>
      </c>
      <c r="U1044">
        <v>0</v>
      </c>
      <c r="V1044">
        <v>1224.24</v>
      </c>
      <c r="W1044" t="s">
        <v>972</v>
      </c>
      <c r="X1044" t="s">
        <v>269</v>
      </c>
      <c r="Y1044" t="s">
        <v>4254</v>
      </c>
      <c r="AA1044" t="s">
        <v>4255</v>
      </c>
      <c r="AB1044" t="s">
        <v>181</v>
      </c>
    </row>
    <row r="1045" spans="1:28" x14ac:dyDescent="0.25">
      <c r="A1045" t="s">
        <v>4139</v>
      </c>
      <c r="B1045" t="s">
        <v>4140</v>
      </c>
      <c r="C1045" t="s">
        <v>646</v>
      </c>
      <c r="D1045" t="s">
        <v>3779</v>
      </c>
      <c r="E1045" t="s">
        <v>647</v>
      </c>
      <c r="F1045" t="s">
        <v>3780</v>
      </c>
      <c r="G1045" t="s">
        <v>769</v>
      </c>
      <c r="H1045" t="s">
        <v>962</v>
      </c>
      <c r="I1045" t="s">
        <v>778</v>
      </c>
      <c r="J1045" t="s">
        <v>428</v>
      </c>
      <c r="K1045" t="s">
        <v>166</v>
      </c>
      <c r="L1045" t="s">
        <v>0</v>
      </c>
      <c r="M1045" t="s">
        <v>178</v>
      </c>
      <c r="N1045">
        <v>24</v>
      </c>
      <c r="O1045">
        <v>24</v>
      </c>
      <c r="P1045">
        <v>245.83</v>
      </c>
      <c r="Q1045">
        <v>959.56</v>
      </c>
      <c r="R1045">
        <v>181.35</v>
      </c>
      <c r="S1045">
        <v>33.112254489999998</v>
      </c>
      <c r="T1045">
        <v>0</v>
      </c>
      <c r="U1045">
        <v>0</v>
      </c>
      <c r="V1045">
        <v>181.35</v>
      </c>
      <c r="W1045" t="s">
        <v>547</v>
      </c>
      <c r="X1045" t="s">
        <v>271</v>
      </c>
      <c r="Y1045" t="s">
        <v>4141</v>
      </c>
      <c r="AA1045" t="s">
        <v>4142</v>
      </c>
      <c r="AB1045" t="s">
        <v>181</v>
      </c>
    </row>
    <row r="1046" spans="1:28" x14ac:dyDescent="0.25">
      <c r="A1046" t="s">
        <v>3929</v>
      </c>
      <c r="B1046" t="s">
        <v>3930</v>
      </c>
      <c r="C1046" t="s">
        <v>646</v>
      </c>
      <c r="D1046" t="s">
        <v>3779</v>
      </c>
      <c r="E1046" t="s">
        <v>647</v>
      </c>
      <c r="F1046" t="s">
        <v>3780</v>
      </c>
      <c r="G1046" t="s">
        <v>769</v>
      </c>
      <c r="H1046" t="s">
        <v>717</v>
      </c>
      <c r="I1046" t="s">
        <v>3649</v>
      </c>
      <c r="J1046" t="s">
        <v>1567</v>
      </c>
      <c r="K1046" t="s">
        <v>166</v>
      </c>
      <c r="L1046" t="s">
        <v>0</v>
      </c>
      <c r="M1046" t="s">
        <v>178</v>
      </c>
      <c r="N1046">
        <v>143</v>
      </c>
      <c r="O1046">
        <v>2</v>
      </c>
      <c r="P1046">
        <v>2266.38</v>
      </c>
      <c r="Q1046">
        <v>8962.6299999999992</v>
      </c>
      <c r="R1046">
        <v>2291.16</v>
      </c>
      <c r="S1046">
        <v>64.029126289999994</v>
      </c>
      <c r="T1046">
        <v>0</v>
      </c>
      <c r="U1046">
        <v>0</v>
      </c>
      <c r="V1046">
        <v>2291.16</v>
      </c>
      <c r="W1046" t="s">
        <v>556</v>
      </c>
      <c r="X1046" t="s">
        <v>271</v>
      </c>
      <c r="Y1046" t="s">
        <v>3931</v>
      </c>
      <c r="AA1046" t="s">
        <v>3932</v>
      </c>
      <c r="AB1046" t="s">
        <v>181</v>
      </c>
    </row>
    <row r="1047" spans="1:28" x14ac:dyDescent="0.25">
      <c r="A1047" t="s">
        <v>4011</v>
      </c>
      <c r="B1047" t="s">
        <v>4012</v>
      </c>
      <c r="C1047" t="s">
        <v>646</v>
      </c>
      <c r="D1047" t="s">
        <v>3779</v>
      </c>
      <c r="E1047" t="s">
        <v>647</v>
      </c>
      <c r="F1047" t="s">
        <v>3780</v>
      </c>
      <c r="G1047" t="s">
        <v>769</v>
      </c>
      <c r="H1047" t="s">
        <v>649</v>
      </c>
      <c r="I1047" t="s">
        <v>2142</v>
      </c>
      <c r="J1047" t="s">
        <v>1924</v>
      </c>
      <c r="K1047" t="s">
        <v>166</v>
      </c>
      <c r="L1047" t="s">
        <v>0</v>
      </c>
      <c r="M1047" t="s">
        <v>178</v>
      </c>
      <c r="N1047">
        <v>471</v>
      </c>
      <c r="O1047">
        <v>116</v>
      </c>
      <c r="P1047">
        <v>6450</v>
      </c>
      <c r="Q1047">
        <v>21317.09</v>
      </c>
      <c r="R1047">
        <v>-471.74</v>
      </c>
      <c r="S1047">
        <v>2466.0350666700001</v>
      </c>
      <c r="T1047">
        <v>0</v>
      </c>
      <c r="U1047">
        <v>0</v>
      </c>
      <c r="V1047">
        <v>-471.74</v>
      </c>
      <c r="W1047" t="s">
        <v>1925</v>
      </c>
      <c r="X1047" t="s">
        <v>271</v>
      </c>
      <c r="Y1047" t="s">
        <v>4013</v>
      </c>
      <c r="AA1047" t="s">
        <v>4014</v>
      </c>
      <c r="AB1047" t="s">
        <v>181</v>
      </c>
    </row>
    <row r="1048" spans="1:28" x14ac:dyDescent="0.25">
      <c r="A1048" t="s">
        <v>4346</v>
      </c>
      <c r="B1048" t="s">
        <v>257</v>
      </c>
      <c r="C1048" t="s">
        <v>646</v>
      </c>
      <c r="D1048" t="s">
        <v>3779</v>
      </c>
      <c r="E1048" t="s">
        <v>647</v>
      </c>
      <c r="F1048" t="s">
        <v>3780</v>
      </c>
      <c r="G1048" t="s">
        <v>769</v>
      </c>
      <c r="H1048" t="s">
        <v>713</v>
      </c>
      <c r="I1048" t="s">
        <v>746</v>
      </c>
      <c r="J1048" t="s">
        <v>504</v>
      </c>
      <c r="K1048" t="s">
        <v>166</v>
      </c>
      <c r="L1048" t="s">
        <v>0</v>
      </c>
      <c r="M1048" t="s">
        <v>178</v>
      </c>
      <c r="N1048">
        <v>532</v>
      </c>
      <c r="O1048">
        <v>525</v>
      </c>
      <c r="P1048">
        <v>14184.9</v>
      </c>
      <c r="Q1048">
        <v>2149.25</v>
      </c>
      <c r="R1048">
        <v>175.21914760000001</v>
      </c>
      <c r="S1048">
        <v>830.46604231000003</v>
      </c>
      <c r="T1048">
        <v>0.25914759999999998</v>
      </c>
      <c r="U1048">
        <v>0</v>
      </c>
      <c r="V1048">
        <v>174.96</v>
      </c>
      <c r="W1048" t="s">
        <v>503</v>
      </c>
      <c r="X1048" t="s">
        <v>271</v>
      </c>
      <c r="Y1048" t="s">
        <v>4347</v>
      </c>
      <c r="AA1048" t="s">
        <v>4348</v>
      </c>
      <c r="AB1048" t="s">
        <v>181</v>
      </c>
    </row>
    <row r="1049" spans="1:28" x14ac:dyDescent="0.25">
      <c r="A1049" t="s">
        <v>3944</v>
      </c>
      <c r="B1049" t="s">
        <v>3945</v>
      </c>
      <c r="C1049" t="s">
        <v>646</v>
      </c>
      <c r="D1049" t="s">
        <v>3779</v>
      </c>
      <c r="E1049" t="s">
        <v>647</v>
      </c>
      <c r="F1049" t="s">
        <v>3780</v>
      </c>
      <c r="G1049" t="s">
        <v>769</v>
      </c>
      <c r="H1049" t="s">
        <v>730</v>
      </c>
      <c r="I1049" t="s">
        <v>798</v>
      </c>
      <c r="J1049" t="s">
        <v>524</v>
      </c>
      <c r="K1049" t="s">
        <v>166</v>
      </c>
      <c r="L1049" t="s">
        <v>0</v>
      </c>
      <c r="M1049" t="s">
        <v>178</v>
      </c>
      <c r="N1049">
        <v>51</v>
      </c>
      <c r="O1049">
        <v>1</v>
      </c>
      <c r="P1049">
        <v>2558</v>
      </c>
      <c r="Q1049">
        <v>459.07</v>
      </c>
      <c r="R1049">
        <v>154.68</v>
      </c>
      <c r="S1049">
        <v>16.982103309999999</v>
      </c>
      <c r="T1049">
        <v>0</v>
      </c>
      <c r="U1049">
        <v>0</v>
      </c>
      <c r="V1049">
        <v>154.68</v>
      </c>
      <c r="W1049" t="s">
        <v>258</v>
      </c>
      <c r="X1049" t="s">
        <v>271</v>
      </c>
      <c r="Y1049" t="s">
        <v>3946</v>
      </c>
      <c r="AA1049" t="s">
        <v>3947</v>
      </c>
      <c r="AB1049" t="s">
        <v>181</v>
      </c>
    </row>
    <row r="1050" spans="1:28" x14ac:dyDescent="0.25">
      <c r="A1050" t="s">
        <v>4316</v>
      </c>
      <c r="B1050" t="s">
        <v>4317</v>
      </c>
      <c r="C1050" t="s">
        <v>646</v>
      </c>
      <c r="D1050" t="s">
        <v>3779</v>
      </c>
      <c r="E1050" t="s">
        <v>647</v>
      </c>
      <c r="F1050" t="s">
        <v>3780</v>
      </c>
      <c r="G1050" t="s">
        <v>769</v>
      </c>
      <c r="H1050" t="s">
        <v>708</v>
      </c>
      <c r="I1050" t="s">
        <v>1290</v>
      </c>
      <c r="J1050" t="s">
        <v>1291</v>
      </c>
      <c r="K1050" t="s">
        <v>166</v>
      </c>
      <c r="L1050" t="s">
        <v>0</v>
      </c>
      <c r="M1050" t="s">
        <v>178</v>
      </c>
      <c r="N1050">
        <v>20</v>
      </c>
      <c r="O1050">
        <v>0</v>
      </c>
      <c r="P1050">
        <v>679.2</v>
      </c>
      <c r="Q1050">
        <v>568.52</v>
      </c>
      <c r="R1050">
        <v>122.09</v>
      </c>
      <c r="S1050">
        <v>17.343854660000002</v>
      </c>
      <c r="T1050">
        <v>0</v>
      </c>
      <c r="U1050">
        <v>0</v>
      </c>
      <c r="V1050">
        <v>122.09</v>
      </c>
      <c r="W1050" t="s">
        <v>1292</v>
      </c>
      <c r="X1050" t="s">
        <v>271</v>
      </c>
      <c r="Y1050" t="s">
        <v>4318</v>
      </c>
      <c r="AA1050" t="s">
        <v>4319</v>
      </c>
      <c r="AB1050" t="s">
        <v>181</v>
      </c>
    </row>
    <row r="1051" spans="1:28" x14ac:dyDescent="0.25">
      <c r="A1051" t="s">
        <v>3797</v>
      </c>
      <c r="B1051" t="s">
        <v>3798</v>
      </c>
      <c r="C1051" t="s">
        <v>646</v>
      </c>
      <c r="D1051" t="s">
        <v>3779</v>
      </c>
      <c r="E1051" t="s">
        <v>647</v>
      </c>
      <c r="F1051" t="s">
        <v>3780</v>
      </c>
      <c r="G1051" t="s">
        <v>769</v>
      </c>
      <c r="H1051" t="s">
        <v>856</v>
      </c>
      <c r="I1051" t="s">
        <v>725</v>
      </c>
      <c r="J1051" t="s">
        <v>726</v>
      </c>
      <c r="K1051" t="s">
        <v>166</v>
      </c>
      <c r="L1051" t="s">
        <v>0</v>
      </c>
      <c r="M1051" t="s">
        <v>178</v>
      </c>
      <c r="N1051">
        <v>4</v>
      </c>
      <c r="O1051">
        <v>4</v>
      </c>
      <c r="P1051">
        <v>40</v>
      </c>
      <c r="Q1051">
        <v>296.89999999999998</v>
      </c>
      <c r="R1051">
        <v>17.899999999999999</v>
      </c>
      <c r="S1051">
        <v>12.8</v>
      </c>
      <c r="T1051">
        <v>0</v>
      </c>
      <c r="U1051">
        <v>0</v>
      </c>
      <c r="V1051">
        <v>17.899999999999999</v>
      </c>
      <c r="W1051" t="s">
        <v>0</v>
      </c>
      <c r="X1051" t="s">
        <v>271</v>
      </c>
      <c r="Y1051" t="s">
        <v>3799</v>
      </c>
      <c r="AA1051" t="s">
        <v>3800</v>
      </c>
      <c r="AB1051" t="s">
        <v>181</v>
      </c>
    </row>
    <row r="1052" spans="1:28" x14ac:dyDescent="0.25">
      <c r="A1052" t="s">
        <v>4320</v>
      </c>
      <c r="B1052" t="s">
        <v>4321</v>
      </c>
      <c r="C1052" t="s">
        <v>646</v>
      </c>
      <c r="D1052" t="s">
        <v>3779</v>
      </c>
      <c r="E1052" t="s">
        <v>647</v>
      </c>
      <c r="F1052" t="s">
        <v>3780</v>
      </c>
      <c r="G1052" t="s">
        <v>769</v>
      </c>
      <c r="H1052" t="s">
        <v>1159</v>
      </c>
      <c r="I1052" t="s">
        <v>1010</v>
      </c>
      <c r="J1052" t="s">
        <v>1011</v>
      </c>
      <c r="K1052" t="s">
        <v>166</v>
      </c>
      <c r="L1052" t="s">
        <v>0</v>
      </c>
      <c r="M1052" t="s">
        <v>178</v>
      </c>
      <c r="N1052">
        <v>6</v>
      </c>
      <c r="O1052">
        <v>0</v>
      </c>
      <c r="P1052">
        <v>58.5</v>
      </c>
      <c r="Q1052">
        <v>342.92</v>
      </c>
      <c r="R1052">
        <v>43.13</v>
      </c>
      <c r="S1052">
        <v>11.46373786</v>
      </c>
      <c r="T1052">
        <v>0</v>
      </c>
      <c r="U1052">
        <v>0</v>
      </c>
      <c r="V1052">
        <v>43.13</v>
      </c>
      <c r="W1052" t="s">
        <v>0</v>
      </c>
      <c r="X1052" t="s">
        <v>271</v>
      </c>
      <c r="Y1052" t="s">
        <v>4322</v>
      </c>
      <c r="AA1052" t="s">
        <v>4323</v>
      </c>
      <c r="AB1052" t="s">
        <v>181</v>
      </c>
    </row>
    <row r="1053" spans="1:28" x14ac:dyDescent="0.25">
      <c r="A1053" t="s">
        <v>3892</v>
      </c>
      <c r="B1053" t="s">
        <v>3893</v>
      </c>
      <c r="C1053" t="s">
        <v>646</v>
      </c>
      <c r="D1053" t="s">
        <v>3779</v>
      </c>
      <c r="E1053" t="s">
        <v>647</v>
      </c>
      <c r="F1053" t="s">
        <v>666</v>
      </c>
      <c r="G1053" t="s">
        <v>666</v>
      </c>
      <c r="H1053" t="s">
        <v>649</v>
      </c>
      <c r="I1053" t="s">
        <v>2102</v>
      </c>
      <c r="J1053" t="s">
        <v>355</v>
      </c>
      <c r="K1053" t="s">
        <v>166</v>
      </c>
      <c r="L1053" t="s">
        <v>0</v>
      </c>
      <c r="M1053" t="s">
        <v>178</v>
      </c>
      <c r="N1053">
        <v>46</v>
      </c>
      <c r="O1053">
        <v>46</v>
      </c>
      <c r="P1053">
        <v>920</v>
      </c>
      <c r="Q1053">
        <v>3113.76</v>
      </c>
      <c r="R1053">
        <v>106.56</v>
      </c>
      <c r="S1053">
        <v>145.19478287999999</v>
      </c>
      <c r="T1053">
        <v>0</v>
      </c>
      <c r="U1053">
        <v>0</v>
      </c>
      <c r="V1053">
        <v>106.56</v>
      </c>
      <c r="W1053" t="s">
        <v>0</v>
      </c>
      <c r="X1053" t="s">
        <v>271</v>
      </c>
      <c r="Y1053" t="s">
        <v>2103</v>
      </c>
      <c r="AA1053" t="s">
        <v>3894</v>
      </c>
      <c r="AB1053" t="s">
        <v>181</v>
      </c>
    </row>
    <row r="1054" spans="1:28" x14ac:dyDescent="0.25">
      <c r="A1054" t="s">
        <v>4051</v>
      </c>
      <c r="B1054" t="s">
        <v>4052</v>
      </c>
      <c r="C1054" t="s">
        <v>646</v>
      </c>
      <c r="D1054" t="s">
        <v>3779</v>
      </c>
      <c r="E1054" t="s">
        <v>647</v>
      </c>
      <c r="F1054" t="s">
        <v>3780</v>
      </c>
      <c r="G1054" t="s">
        <v>769</v>
      </c>
      <c r="H1054" t="s">
        <v>761</v>
      </c>
      <c r="I1054" t="s">
        <v>4053</v>
      </c>
      <c r="J1054" t="s">
        <v>4054</v>
      </c>
      <c r="K1054" t="s">
        <v>166</v>
      </c>
      <c r="L1054" t="s">
        <v>0</v>
      </c>
      <c r="M1054" t="s">
        <v>178</v>
      </c>
      <c r="N1054">
        <v>3</v>
      </c>
      <c r="O1054">
        <v>3</v>
      </c>
      <c r="P1054">
        <v>133.5</v>
      </c>
      <c r="Q1054">
        <v>75.55</v>
      </c>
      <c r="R1054">
        <v>0.67</v>
      </c>
      <c r="S1054">
        <v>18.600438740000001</v>
      </c>
      <c r="T1054">
        <v>0</v>
      </c>
      <c r="U1054">
        <v>0</v>
      </c>
      <c r="V1054">
        <v>0.67</v>
      </c>
      <c r="W1054" t="s">
        <v>2488</v>
      </c>
      <c r="X1054" t="s">
        <v>269</v>
      </c>
      <c r="Y1054" t="s">
        <v>4055</v>
      </c>
      <c r="AA1054" t="s">
        <v>4056</v>
      </c>
      <c r="AB1054" t="s">
        <v>181</v>
      </c>
    </row>
    <row r="1055" spans="1:28" x14ac:dyDescent="0.25">
      <c r="A1055" t="s">
        <v>3857</v>
      </c>
      <c r="B1055" t="s">
        <v>3858</v>
      </c>
      <c r="C1055" t="s">
        <v>646</v>
      </c>
      <c r="D1055" t="s">
        <v>3779</v>
      </c>
      <c r="E1055" t="s">
        <v>647</v>
      </c>
      <c r="F1055" t="s">
        <v>3780</v>
      </c>
      <c r="G1055" t="s">
        <v>769</v>
      </c>
      <c r="H1055" t="s">
        <v>679</v>
      </c>
      <c r="I1055" t="s">
        <v>952</v>
      </c>
      <c r="J1055" t="s">
        <v>434</v>
      </c>
      <c r="K1055" t="s">
        <v>166</v>
      </c>
      <c r="L1055" t="s">
        <v>0</v>
      </c>
      <c r="M1055" t="s">
        <v>178</v>
      </c>
      <c r="N1055">
        <v>2</v>
      </c>
      <c r="O1055">
        <v>2</v>
      </c>
      <c r="P1055">
        <v>2.97</v>
      </c>
      <c r="Q1055">
        <v>57.25</v>
      </c>
      <c r="R1055">
        <v>7.66</v>
      </c>
      <c r="S1055">
        <v>28.363928959999999</v>
      </c>
      <c r="T1055">
        <v>0</v>
      </c>
      <c r="U1055">
        <v>0</v>
      </c>
      <c r="V1055">
        <v>7.66</v>
      </c>
      <c r="W1055" t="s">
        <v>466</v>
      </c>
      <c r="X1055" t="s">
        <v>271</v>
      </c>
      <c r="Y1055" t="s">
        <v>3859</v>
      </c>
      <c r="AA1055" t="s">
        <v>3860</v>
      </c>
      <c r="AB1055" t="s">
        <v>181</v>
      </c>
    </row>
    <row r="1056" spans="1:28" x14ac:dyDescent="0.25">
      <c r="A1056" t="s">
        <v>4132</v>
      </c>
      <c r="B1056" t="s">
        <v>4133</v>
      </c>
      <c r="C1056" t="s">
        <v>646</v>
      </c>
      <c r="D1056" t="s">
        <v>3779</v>
      </c>
      <c r="E1056" t="s">
        <v>647</v>
      </c>
      <c r="F1056" t="s">
        <v>666</v>
      </c>
      <c r="G1056" t="s">
        <v>666</v>
      </c>
      <c r="H1056" t="s">
        <v>770</v>
      </c>
      <c r="I1056" t="s">
        <v>3911</v>
      </c>
      <c r="J1056" t="s">
        <v>355</v>
      </c>
      <c r="K1056" t="s">
        <v>166</v>
      </c>
      <c r="L1056" t="s">
        <v>0</v>
      </c>
      <c r="M1056" t="s">
        <v>178</v>
      </c>
      <c r="N1056">
        <v>1</v>
      </c>
      <c r="O1056">
        <v>1</v>
      </c>
      <c r="P1056">
        <v>12</v>
      </c>
      <c r="Q1056">
        <v>18.57</v>
      </c>
      <c r="R1056">
        <v>0.84</v>
      </c>
      <c r="S1056">
        <v>3.3924323200000002</v>
      </c>
      <c r="T1056">
        <v>0</v>
      </c>
      <c r="U1056">
        <v>0</v>
      </c>
      <c r="V1056">
        <v>0.84</v>
      </c>
      <c r="W1056" t="s">
        <v>0</v>
      </c>
      <c r="X1056" t="s">
        <v>271</v>
      </c>
      <c r="Y1056" t="s">
        <v>4134</v>
      </c>
      <c r="AA1056" t="s">
        <v>3894</v>
      </c>
      <c r="AB1056" t="s">
        <v>181</v>
      </c>
    </row>
    <row r="1057" spans="1:28" x14ac:dyDescent="0.25">
      <c r="A1057" t="s">
        <v>3870</v>
      </c>
      <c r="B1057" t="s">
        <v>3871</v>
      </c>
      <c r="C1057" t="s">
        <v>646</v>
      </c>
      <c r="D1057" t="s">
        <v>3779</v>
      </c>
      <c r="E1057" t="s">
        <v>647</v>
      </c>
      <c r="F1057" t="s">
        <v>666</v>
      </c>
      <c r="G1057" t="s">
        <v>666</v>
      </c>
      <c r="H1057" t="s">
        <v>1175</v>
      </c>
      <c r="I1057" t="s">
        <v>3872</v>
      </c>
      <c r="J1057" t="s">
        <v>355</v>
      </c>
      <c r="K1057" t="s">
        <v>166</v>
      </c>
      <c r="L1057" t="s">
        <v>0</v>
      </c>
      <c r="M1057" t="s">
        <v>178</v>
      </c>
      <c r="N1057">
        <v>2</v>
      </c>
      <c r="O1057">
        <v>2</v>
      </c>
      <c r="P1057">
        <v>32</v>
      </c>
      <c r="Q1057">
        <v>45.62</v>
      </c>
      <c r="R1057">
        <v>2.74</v>
      </c>
      <c r="S1057">
        <v>8.9600000000000009</v>
      </c>
      <c r="T1057">
        <v>0</v>
      </c>
      <c r="U1057">
        <v>0</v>
      </c>
      <c r="V1057">
        <v>2.74</v>
      </c>
      <c r="W1057" t="s">
        <v>0</v>
      </c>
      <c r="X1057" t="s">
        <v>271</v>
      </c>
      <c r="Y1057" t="s">
        <v>3873</v>
      </c>
      <c r="AA1057" t="s">
        <v>3874</v>
      </c>
      <c r="AB1057" t="s">
        <v>181</v>
      </c>
    </row>
    <row r="1058" spans="1:28" x14ac:dyDescent="0.25">
      <c r="A1058" t="s">
        <v>3883</v>
      </c>
      <c r="B1058" t="s">
        <v>3884</v>
      </c>
      <c r="C1058" t="s">
        <v>646</v>
      </c>
      <c r="D1058" t="s">
        <v>3779</v>
      </c>
      <c r="E1058" t="s">
        <v>647</v>
      </c>
      <c r="F1058" t="s">
        <v>3780</v>
      </c>
      <c r="G1058" t="s">
        <v>769</v>
      </c>
      <c r="H1058" t="s">
        <v>797</v>
      </c>
      <c r="I1058" t="s">
        <v>3885</v>
      </c>
      <c r="J1058" t="s">
        <v>1861</v>
      </c>
      <c r="K1058" t="s">
        <v>166</v>
      </c>
      <c r="L1058" t="s">
        <v>0</v>
      </c>
      <c r="M1058" t="s">
        <v>178</v>
      </c>
      <c r="N1058">
        <v>65</v>
      </c>
      <c r="O1058">
        <v>65</v>
      </c>
      <c r="P1058">
        <v>650</v>
      </c>
      <c r="Q1058">
        <v>1755.33</v>
      </c>
      <c r="R1058">
        <v>68.319999999999993</v>
      </c>
      <c r="S1058">
        <v>478.54368532000001</v>
      </c>
      <c r="T1058">
        <v>0</v>
      </c>
      <c r="U1058">
        <v>0</v>
      </c>
      <c r="V1058">
        <v>68.319999999999993</v>
      </c>
      <c r="W1058" t="s">
        <v>1862</v>
      </c>
      <c r="X1058" t="s">
        <v>271</v>
      </c>
      <c r="Y1058" t="s">
        <v>3886</v>
      </c>
      <c r="AA1058" t="s">
        <v>3887</v>
      </c>
      <c r="AB1058" t="s">
        <v>181</v>
      </c>
    </row>
    <row r="1059" spans="1:28" x14ac:dyDescent="0.25">
      <c r="A1059" t="s">
        <v>4002</v>
      </c>
      <c r="B1059" t="s">
        <v>4003</v>
      </c>
      <c r="C1059" t="s">
        <v>646</v>
      </c>
      <c r="D1059" t="s">
        <v>3779</v>
      </c>
      <c r="E1059" t="s">
        <v>647</v>
      </c>
      <c r="F1059" t="s">
        <v>3780</v>
      </c>
      <c r="G1059" t="s">
        <v>769</v>
      </c>
      <c r="H1059" t="s">
        <v>683</v>
      </c>
      <c r="I1059" t="s">
        <v>2635</v>
      </c>
      <c r="J1059" t="s">
        <v>2636</v>
      </c>
      <c r="K1059" t="s">
        <v>166</v>
      </c>
      <c r="L1059" t="s">
        <v>0</v>
      </c>
      <c r="M1059" t="s">
        <v>178</v>
      </c>
      <c r="N1059">
        <v>320.08370000000002</v>
      </c>
      <c r="O1059">
        <v>174.83369999999999</v>
      </c>
      <c r="P1059">
        <v>5686.6</v>
      </c>
      <c r="Q1059">
        <v>17118.5</v>
      </c>
      <c r="R1059">
        <v>4129.1304700199998</v>
      </c>
      <c r="S1059">
        <v>2420.9507667500002</v>
      </c>
      <c r="T1059">
        <v>0.12047002</v>
      </c>
      <c r="U1059">
        <v>0</v>
      </c>
      <c r="V1059">
        <v>4129.01</v>
      </c>
      <c r="W1059" t="s">
        <v>1609</v>
      </c>
      <c r="X1059" t="s">
        <v>271</v>
      </c>
      <c r="Y1059" t="s">
        <v>4004</v>
      </c>
      <c r="AA1059" t="s">
        <v>4005</v>
      </c>
      <c r="AB1059" t="s">
        <v>181</v>
      </c>
    </row>
    <row r="1060" spans="1:28" x14ac:dyDescent="0.25">
      <c r="A1060" t="s">
        <v>4092</v>
      </c>
      <c r="B1060" t="s">
        <v>4093</v>
      </c>
      <c r="C1060" t="s">
        <v>646</v>
      </c>
      <c r="D1060" t="s">
        <v>3779</v>
      </c>
      <c r="E1060" t="s">
        <v>647</v>
      </c>
      <c r="F1060" t="s">
        <v>3780</v>
      </c>
      <c r="G1060" t="s">
        <v>769</v>
      </c>
      <c r="H1060" t="s">
        <v>683</v>
      </c>
      <c r="I1060" t="s">
        <v>4094</v>
      </c>
      <c r="J1060" t="s">
        <v>370</v>
      </c>
      <c r="K1060" t="s">
        <v>166</v>
      </c>
      <c r="L1060" t="s">
        <v>0</v>
      </c>
      <c r="M1060" t="s">
        <v>178</v>
      </c>
      <c r="N1060">
        <v>203.25</v>
      </c>
      <c r="O1060">
        <v>88.25</v>
      </c>
      <c r="P1060">
        <v>2502.92</v>
      </c>
      <c r="Q1060">
        <v>8283.26</v>
      </c>
      <c r="R1060">
        <v>1428.44505228</v>
      </c>
      <c r="S1060">
        <v>1133.71565732</v>
      </c>
      <c r="T1060">
        <v>2.505228E-2</v>
      </c>
      <c r="U1060">
        <v>0</v>
      </c>
      <c r="V1060">
        <v>1428.42</v>
      </c>
      <c r="W1060" t="s">
        <v>314</v>
      </c>
      <c r="X1060" t="s">
        <v>271</v>
      </c>
      <c r="Y1060" t="s">
        <v>4095</v>
      </c>
      <c r="Z1060" t="s">
        <v>4096</v>
      </c>
      <c r="AA1060" t="s">
        <v>4097</v>
      </c>
      <c r="AB1060" t="s">
        <v>181</v>
      </c>
    </row>
    <row r="1061" spans="1:28" x14ac:dyDescent="0.25">
      <c r="A1061" t="s">
        <v>4333</v>
      </c>
      <c r="B1061" t="s">
        <v>4334</v>
      </c>
      <c r="C1061" t="s">
        <v>646</v>
      </c>
      <c r="D1061" t="s">
        <v>3779</v>
      </c>
      <c r="E1061" t="s">
        <v>647</v>
      </c>
      <c r="F1061" t="s">
        <v>666</v>
      </c>
      <c r="G1061" t="s">
        <v>666</v>
      </c>
      <c r="H1061" t="s">
        <v>672</v>
      </c>
      <c r="I1061" t="s">
        <v>3649</v>
      </c>
      <c r="J1061" t="s">
        <v>1567</v>
      </c>
      <c r="K1061" t="s">
        <v>166</v>
      </c>
      <c r="L1061" t="s">
        <v>0</v>
      </c>
      <c r="M1061" t="s">
        <v>178</v>
      </c>
      <c r="N1061">
        <v>598</v>
      </c>
      <c r="O1061">
        <v>421</v>
      </c>
      <c r="P1061">
        <v>13074.61</v>
      </c>
      <c r="Q1061">
        <v>24688.67</v>
      </c>
      <c r="R1061">
        <v>2743.9117554099998</v>
      </c>
      <c r="S1061">
        <v>4091.4306363199998</v>
      </c>
      <c r="T1061">
        <v>-12.95824459</v>
      </c>
      <c r="U1061">
        <v>0</v>
      </c>
      <c r="V1061">
        <v>2756.87</v>
      </c>
      <c r="W1061" t="s">
        <v>556</v>
      </c>
      <c r="X1061" t="s">
        <v>271</v>
      </c>
      <c r="Y1061" t="s">
        <v>4335</v>
      </c>
      <c r="AA1061" t="s">
        <v>4336</v>
      </c>
      <c r="AB1061" t="s">
        <v>181</v>
      </c>
    </row>
    <row r="1062" spans="1:28" x14ac:dyDescent="0.25">
      <c r="A1062" t="s">
        <v>3917</v>
      </c>
      <c r="B1062" t="s">
        <v>3918</v>
      </c>
      <c r="C1062" t="s">
        <v>646</v>
      </c>
      <c r="D1062" t="s">
        <v>3779</v>
      </c>
      <c r="E1062" t="s">
        <v>647</v>
      </c>
      <c r="F1062" t="s">
        <v>3780</v>
      </c>
      <c r="G1062" t="s">
        <v>769</v>
      </c>
      <c r="H1062" t="s">
        <v>703</v>
      </c>
      <c r="I1062" t="s">
        <v>1083</v>
      </c>
      <c r="J1062" t="s">
        <v>731</v>
      </c>
      <c r="K1062" t="s">
        <v>166</v>
      </c>
      <c r="L1062" t="s">
        <v>0</v>
      </c>
      <c r="M1062" t="s">
        <v>178</v>
      </c>
      <c r="N1062">
        <v>205</v>
      </c>
      <c r="O1062">
        <v>127</v>
      </c>
      <c r="P1062">
        <v>3843.77</v>
      </c>
      <c r="Q1062">
        <v>9016.7800000000007</v>
      </c>
      <c r="R1062">
        <v>2339.64</v>
      </c>
      <c r="S1062">
        <v>1655.0030639300001</v>
      </c>
      <c r="T1062">
        <v>0</v>
      </c>
      <c r="U1062">
        <v>0</v>
      </c>
      <c r="V1062">
        <v>2339.64</v>
      </c>
      <c r="W1062" t="s">
        <v>0</v>
      </c>
      <c r="X1062" t="s">
        <v>271</v>
      </c>
      <c r="Y1062" t="s">
        <v>3919</v>
      </c>
      <c r="AA1062" t="s">
        <v>3920</v>
      </c>
      <c r="AB1062" t="s">
        <v>181</v>
      </c>
    </row>
    <row r="1063" spans="1:28" x14ac:dyDescent="0.25">
      <c r="A1063" t="s">
        <v>3933</v>
      </c>
      <c r="B1063" t="s">
        <v>3934</v>
      </c>
      <c r="C1063" t="s">
        <v>646</v>
      </c>
      <c r="D1063" t="s">
        <v>3779</v>
      </c>
      <c r="E1063" t="s">
        <v>647</v>
      </c>
      <c r="F1063" t="s">
        <v>3780</v>
      </c>
      <c r="G1063" t="s">
        <v>769</v>
      </c>
      <c r="H1063" t="s">
        <v>909</v>
      </c>
      <c r="I1063" t="s">
        <v>3935</v>
      </c>
      <c r="J1063" t="s">
        <v>1214</v>
      </c>
      <c r="K1063" t="s">
        <v>166</v>
      </c>
      <c r="L1063" t="s">
        <v>0</v>
      </c>
      <c r="M1063" t="s">
        <v>178</v>
      </c>
      <c r="N1063">
        <v>170.2</v>
      </c>
      <c r="O1063">
        <v>148</v>
      </c>
      <c r="P1063">
        <v>5283.1</v>
      </c>
      <c r="Q1063">
        <v>7059.36</v>
      </c>
      <c r="R1063">
        <v>1003.73</v>
      </c>
      <c r="S1063">
        <v>1071.2683554800001</v>
      </c>
      <c r="T1063">
        <v>0</v>
      </c>
      <c r="U1063">
        <v>0</v>
      </c>
      <c r="V1063">
        <v>1003.73</v>
      </c>
      <c r="W1063" t="s">
        <v>0</v>
      </c>
      <c r="X1063" t="s">
        <v>271</v>
      </c>
      <c r="Y1063" t="s">
        <v>3936</v>
      </c>
      <c r="AA1063" t="s">
        <v>3937</v>
      </c>
      <c r="AB1063" t="s">
        <v>181</v>
      </c>
    </row>
    <row r="1064" spans="1:28" x14ac:dyDescent="0.25">
      <c r="A1064" t="s">
        <v>3797</v>
      </c>
      <c r="B1064" t="s">
        <v>3798</v>
      </c>
      <c r="C1064" t="s">
        <v>646</v>
      </c>
      <c r="D1064" t="s">
        <v>3779</v>
      </c>
      <c r="E1064" t="s">
        <v>647</v>
      </c>
      <c r="F1064" t="s">
        <v>3780</v>
      </c>
      <c r="G1064" t="s">
        <v>769</v>
      </c>
      <c r="H1064" t="s">
        <v>1171</v>
      </c>
      <c r="I1064" t="s">
        <v>725</v>
      </c>
      <c r="J1064" t="s">
        <v>726</v>
      </c>
      <c r="K1064" t="s">
        <v>166</v>
      </c>
      <c r="L1064" t="s">
        <v>0</v>
      </c>
      <c r="M1064" t="s">
        <v>178</v>
      </c>
      <c r="N1064">
        <v>211</v>
      </c>
      <c r="O1064">
        <v>193</v>
      </c>
      <c r="P1064">
        <v>3266.49</v>
      </c>
      <c r="Q1064">
        <v>26920.43</v>
      </c>
      <c r="R1064">
        <v>878.62213462</v>
      </c>
      <c r="S1064">
        <v>119.09522749999999</v>
      </c>
      <c r="T1064">
        <v>15.97213462</v>
      </c>
      <c r="U1064">
        <v>0</v>
      </c>
      <c r="V1064">
        <v>862.65</v>
      </c>
      <c r="W1064" t="s">
        <v>0</v>
      </c>
      <c r="X1064" t="s">
        <v>271</v>
      </c>
      <c r="Y1064" t="s">
        <v>3799</v>
      </c>
      <c r="AA1064" t="s">
        <v>3800</v>
      </c>
      <c r="AB1064" t="s">
        <v>181</v>
      </c>
    </row>
    <row r="1065" spans="1:28" x14ac:dyDescent="0.25">
      <c r="A1065" t="s">
        <v>4223</v>
      </c>
      <c r="B1065" t="s">
        <v>4224</v>
      </c>
      <c r="C1065" t="s">
        <v>646</v>
      </c>
      <c r="D1065" t="s">
        <v>3779</v>
      </c>
      <c r="E1065" t="s">
        <v>647</v>
      </c>
      <c r="F1065" t="s">
        <v>3780</v>
      </c>
      <c r="G1065" t="s">
        <v>769</v>
      </c>
      <c r="H1065" t="s">
        <v>1171</v>
      </c>
      <c r="I1065" t="s">
        <v>4225</v>
      </c>
      <c r="J1065" t="s">
        <v>336</v>
      </c>
      <c r="K1065" t="s">
        <v>166</v>
      </c>
      <c r="L1065" t="s">
        <v>0</v>
      </c>
      <c r="M1065" t="s">
        <v>178</v>
      </c>
      <c r="N1065">
        <v>70</v>
      </c>
      <c r="O1065">
        <v>25</v>
      </c>
      <c r="P1065">
        <v>2422.61</v>
      </c>
      <c r="Q1065">
        <v>18389.849999999999</v>
      </c>
      <c r="R1065">
        <v>2995.8253727400001</v>
      </c>
      <c r="S1065">
        <v>141.61037422999999</v>
      </c>
      <c r="T1065">
        <v>0.56537274000000004</v>
      </c>
      <c r="U1065">
        <v>0</v>
      </c>
      <c r="V1065">
        <v>2995.26</v>
      </c>
      <c r="W1065" t="s">
        <v>461</v>
      </c>
      <c r="X1065" t="s">
        <v>271</v>
      </c>
      <c r="Y1065" t="s">
        <v>4226</v>
      </c>
      <c r="AA1065" t="s">
        <v>4227</v>
      </c>
      <c r="AB1065" t="s">
        <v>181</v>
      </c>
    </row>
    <row r="1066" spans="1:28" x14ac:dyDescent="0.25">
      <c r="A1066" t="s">
        <v>3921</v>
      </c>
      <c r="B1066" t="s">
        <v>3922</v>
      </c>
      <c r="C1066" t="s">
        <v>646</v>
      </c>
      <c r="D1066" t="s">
        <v>3779</v>
      </c>
      <c r="E1066" t="s">
        <v>647</v>
      </c>
      <c r="F1066" t="s">
        <v>666</v>
      </c>
      <c r="G1066" t="s">
        <v>666</v>
      </c>
      <c r="H1066" t="s">
        <v>703</v>
      </c>
      <c r="I1066" t="s">
        <v>902</v>
      </c>
      <c r="J1066" t="s">
        <v>562</v>
      </c>
      <c r="K1066" t="s">
        <v>166</v>
      </c>
      <c r="L1066" t="s">
        <v>0</v>
      </c>
      <c r="M1066" t="s">
        <v>178</v>
      </c>
      <c r="N1066">
        <v>2240.0835000000002</v>
      </c>
      <c r="O1066">
        <v>1018.2501999999999</v>
      </c>
      <c r="P1066">
        <v>52248.9</v>
      </c>
      <c r="Q1066">
        <v>84109.25</v>
      </c>
      <c r="R1066">
        <v>15677.69917677</v>
      </c>
      <c r="S1066">
        <v>11859.212038899999</v>
      </c>
      <c r="T1066">
        <v>0.28917677000000003</v>
      </c>
      <c r="U1066">
        <v>0</v>
      </c>
      <c r="V1066">
        <v>15677.41</v>
      </c>
      <c r="W1066" t="s">
        <v>0</v>
      </c>
      <c r="X1066" t="s">
        <v>271</v>
      </c>
      <c r="Y1066" t="s">
        <v>3923</v>
      </c>
      <c r="AA1066" t="s">
        <v>3924</v>
      </c>
      <c r="AB1066" t="s">
        <v>181</v>
      </c>
    </row>
    <row r="1067" spans="1:28" x14ac:dyDescent="0.25">
      <c r="A1067" t="s">
        <v>4027</v>
      </c>
      <c r="B1067" t="s">
        <v>4028</v>
      </c>
      <c r="C1067" t="s">
        <v>646</v>
      </c>
      <c r="D1067" t="s">
        <v>3779</v>
      </c>
      <c r="E1067" t="s">
        <v>647</v>
      </c>
      <c r="F1067" t="s">
        <v>3780</v>
      </c>
      <c r="G1067" t="s">
        <v>769</v>
      </c>
      <c r="H1067" t="s">
        <v>683</v>
      </c>
      <c r="I1067" t="s">
        <v>1251</v>
      </c>
      <c r="J1067" t="s">
        <v>821</v>
      </c>
      <c r="K1067" t="s">
        <v>166</v>
      </c>
      <c r="L1067" t="s">
        <v>0</v>
      </c>
      <c r="M1067" t="s">
        <v>178</v>
      </c>
      <c r="N1067">
        <v>1184.1832999999999</v>
      </c>
      <c r="O1067">
        <v>248</v>
      </c>
      <c r="P1067">
        <v>23592.11</v>
      </c>
      <c r="Q1067">
        <v>55419.32</v>
      </c>
      <c r="R1067">
        <v>7252.8552106400002</v>
      </c>
      <c r="S1067">
        <v>5832.69772749</v>
      </c>
      <c r="T1067">
        <v>2650.7852106400001</v>
      </c>
      <c r="U1067">
        <v>0</v>
      </c>
      <c r="V1067">
        <v>7252.86</v>
      </c>
      <c r="W1067" t="s">
        <v>822</v>
      </c>
      <c r="X1067" t="s">
        <v>269</v>
      </c>
      <c r="Y1067" t="s">
        <v>4029</v>
      </c>
      <c r="AA1067" t="s">
        <v>4030</v>
      </c>
      <c r="AB1067" t="s">
        <v>181</v>
      </c>
    </row>
    <row r="1068" spans="1:28" x14ac:dyDescent="0.25">
      <c r="A1068" t="s">
        <v>3853</v>
      </c>
      <c r="B1068" t="s">
        <v>3854</v>
      </c>
      <c r="C1068" t="s">
        <v>646</v>
      </c>
      <c r="D1068" t="s">
        <v>3779</v>
      </c>
      <c r="E1068" t="s">
        <v>647</v>
      </c>
      <c r="F1068" t="s">
        <v>3780</v>
      </c>
      <c r="G1068" t="s">
        <v>769</v>
      </c>
      <c r="H1068" t="s">
        <v>770</v>
      </c>
      <c r="I1068" t="s">
        <v>746</v>
      </c>
      <c r="J1068" t="s">
        <v>504</v>
      </c>
      <c r="K1068" t="s">
        <v>166</v>
      </c>
      <c r="L1068" t="s">
        <v>0</v>
      </c>
      <c r="M1068" t="s">
        <v>178</v>
      </c>
      <c r="N1068">
        <v>534.16669999999999</v>
      </c>
      <c r="O1068">
        <v>176.5</v>
      </c>
      <c r="P1068">
        <v>11251.83</v>
      </c>
      <c r="Q1068">
        <v>12562.01</v>
      </c>
      <c r="R1068">
        <v>1689.81</v>
      </c>
      <c r="S1068">
        <v>1211.4827123800001</v>
      </c>
      <c r="T1068">
        <v>24</v>
      </c>
      <c r="U1068">
        <v>36</v>
      </c>
      <c r="V1068">
        <v>1725.81</v>
      </c>
      <c r="W1068" t="s">
        <v>503</v>
      </c>
      <c r="X1068" t="s">
        <v>271</v>
      </c>
      <c r="Y1068" t="s">
        <v>3855</v>
      </c>
      <c r="AA1068" t="s">
        <v>3856</v>
      </c>
      <c r="AB1068" t="s">
        <v>181</v>
      </c>
    </row>
    <row r="1069" spans="1:28" x14ac:dyDescent="0.25">
      <c r="A1069" t="s">
        <v>3992</v>
      </c>
      <c r="B1069" t="s">
        <v>3993</v>
      </c>
      <c r="C1069" t="s">
        <v>646</v>
      </c>
      <c r="D1069" t="s">
        <v>3779</v>
      </c>
      <c r="E1069" t="s">
        <v>647</v>
      </c>
      <c r="F1069" t="s">
        <v>3780</v>
      </c>
      <c r="G1069" t="s">
        <v>769</v>
      </c>
      <c r="H1069" t="s">
        <v>802</v>
      </c>
      <c r="I1069" t="s">
        <v>3994</v>
      </c>
      <c r="J1069" t="s">
        <v>3995</v>
      </c>
      <c r="K1069" t="s">
        <v>166</v>
      </c>
      <c r="L1069" t="s">
        <v>0</v>
      </c>
      <c r="M1069" t="s">
        <v>178</v>
      </c>
      <c r="N1069">
        <v>15</v>
      </c>
      <c r="O1069">
        <v>5</v>
      </c>
      <c r="P1069">
        <v>238.22</v>
      </c>
      <c r="Q1069">
        <v>594.04999999999995</v>
      </c>
      <c r="R1069">
        <v>49.22</v>
      </c>
      <c r="S1069">
        <v>34.98316337</v>
      </c>
      <c r="T1069">
        <v>0</v>
      </c>
      <c r="U1069">
        <v>0</v>
      </c>
      <c r="V1069">
        <v>49.22</v>
      </c>
      <c r="W1069" t="s">
        <v>250</v>
      </c>
      <c r="X1069" t="s">
        <v>269</v>
      </c>
      <c r="Y1069" t="s">
        <v>3996</v>
      </c>
      <c r="AA1069" t="s">
        <v>3997</v>
      </c>
      <c r="AB1069" t="s">
        <v>181</v>
      </c>
    </row>
    <row r="1070" spans="1:28" x14ac:dyDescent="0.25">
      <c r="A1070" t="s">
        <v>4201</v>
      </c>
      <c r="B1070" t="s">
        <v>4202</v>
      </c>
      <c r="C1070" t="s">
        <v>646</v>
      </c>
      <c r="D1070" t="s">
        <v>3779</v>
      </c>
      <c r="E1070" t="s">
        <v>647</v>
      </c>
      <c r="F1070" t="s">
        <v>3780</v>
      </c>
      <c r="G1070" t="s">
        <v>769</v>
      </c>
      <c r="H1070" t="s">
        <v>757</v>
      </c>
      <c r="I1070" t="s">
        <v>4203</v>
      </c>
      <c r="J1070" t="s">
        <v>688</v>
      </c>
      <c r="K1070" t="s">
        <v>166</v>
      </c>
      <c r="L1070" t="s">
        <v>0</v>
      </c>
      <c r="M1070" t="s">
        <v>178</v>
      </c>
      <c r="N1070">
        <v>18</v>
      </c>
      <c r="O1070">
        <v>11</v>
      </c>
      <c r="P1070">
        <v>490.81</v>
      </c>
      <c r="Q1070">
        <v>474.77</v>
      </c>
      <c r="R1070">
        <v>43.48</v>
      </c>
      <c r="S1070">
        <v>113.02140894</v>
      </c>
      <c r="T1070">
        <v>3.75</v>
      </c>
      <c r="U1070">
        <v>0</v>
      </c>
      <c r="V1070">
        <v>43.48</v>
      </c>
      <c r="W1070" t="s">
        <v>0</v>
      </c>
      <c r="X1070" t="s">
        <v>271</v>
      </c>
      <c r="Y1070" t="s">
        <v>4204</v>
      </c>
      <c r="AA1070" t="s">
        <v>4205</v>
      </c>
      <c r="AB1070" t="s">
        <v>181</v>
      </c>
    </row>
    <row r="1071" spans="1:28" x14ac:dyDescent="0.25">
      <c r="A1071" t="s">
        <v>4162</v>
      </c>
      <c r="B1071" t="s">
        <v>4163</v>
      </c>
      <c r="C1071" t="s">
        <v>646</v>
      </c>
      <c r="D1071" t="s">
        <v>3779</v>
      </c>
      <c r="E1071" t="s">
        <v>647</v>
      </c>
      <c r="F1071" t="s">
        <v>3780</v>
      </c>
      <c r="G1071" t="s">
        <v>769</v>
      </c>
      <c r="H1071" t="s">
        <v>1171</v>
      </c>
      <c r="I1071" t="s">
        <v>4164</v>
      </c>
      <c r="J1071" t="s">
        <v>985</v>
      </c>
      <c r="K1071" t="s">
        <v>166</v>
      </c>
      <c r="L1071" t="s">
        <v>0</v>
      </c>
      <c r="M1071" t="s">
        <v>178</v>
      </c>
      <c r="N1071">
        <v>164</v>
      </c>
      <c r="O1071">
        <v>56</v>
      </c>
      <c r="P1071">
        <v>9037.59</v>
      </c>
      <c r="Q1071">
        <v>39215.230000000003</v>
      </c>
      <c r="R1071">
        <v>1305.5346311400001</v>
      </c>
      <c r="S1071">
        <v>737.60749566000004</v>
      </c>
      <c r="T1071">
        <v>8.3446311400000006</v>
      </c>
      <c r="U1071">
        <v>0</v>
      </c>
      <c r="V1071">
        <v>1297.19</v>
      </c>
      <c r="W1071" t="s">
        <v>986</v>
      </c>
      <c r="X1071" t="s">
        <v>271</v>
      </c>
      <c r="Y1071" t="s">
        <v>4165</v>
      </c>
      <c r="AA1071" t="s">
        <v>4166</v>
      </c>
      <c r="AB1071" t="s">
        <v>181</v>
      </c>
    </row>
    <row r="1072" spans="1:28" x14ac:dyDescent="0.25">
      <c r="A1072" t="s">
        <v>3909</v>
      </c>
      <c r="B1072" t="s">
        <v>3910</v>
      </c>
      <c r="C1072" t="s">
        <v>646</v>
      </c>
      <c r="D1072" t="s">
        <v>3779</v>
      </c>
      <c r="E1072" t="s">
        <v>647</v>
      </c>
      <c r="F1072" t="s">
        <v>666</v>
      </c>
      <c r="G1072" t="s">
        <v>666</v>
      </c>
      <c r="H1072" t="s">
        <v>730</v>
      </c>
      <c r="I1072" t="s">
        <v>3911</v>
      </c>
      <c r="J1072" t="s">
        <v>355</v>
      </c>
      <c r="K1072" t="s">
        <v>166</v>
      </c>
      <c r="L1072" t="s">
        <v>0</v>
      </c>
      <c r="M1072" t="s">
        <v>178</v>
      </c>
      <c r="N1072">
        <v>30</v>
      </c>
      <c r="O1072">
        <v>30</v>
      </c>
      <c r="P1072">
        <v>584.96</v>
      </c>
      <c r="Q1072">
        <v>1430.95</v>
      </c>
      <c r="R1072">
        <v>449.87</v>
      </c>
      <c r="S1072">
        <v>159.52411527000001</v>
      </c>
      <c r="T1072">
        <v>0</v>
      </c>
      <c r="U1072">
        <v>0</v>
      </c>
      <c r="V1072">
        <v>449.87</v>
      </c>
      <c r="W1072" t="s">
        <v>0</v>
      </c>
      <c r="X1072" t="s">
        <v>271</v>
      </c>
      <c r="Y1072" t="s">
        <v>3912</v>
      </c>
      <c r="AA1072" t="s">
        <v>3894</v>
      </c>
      <c r="AB1072" t="s">
        <v>181</v>
      </c>
    </row>
    <row r="1073" spans="1:28" x14ac:dyDescent="0.25">
      <c r="A1073" t="s">
        <v>4312</v>
      </c>
      <c r="B1073" t="s">
        <v>4313</v>
      </c>
      <c r="C1073" t="s">
        <v>646</v>
      </c>
      <c r="D1073" t="s">
        <v>3779</v>
      </c>
      <c r="E1073" t="s">
        <v>647</v>
      </c>
      <c r="F1073" t="s">
        <v>3780</v>
      </c>
      <c r="G1073" t="s">
        <v>769</v>
      </c>
      <c r="H1073" t="s">
        <v>713</v>
      </c>
      <c r="I1073" t="s">
        <v>4314</v>
      </c>
      <c r="J1073" t="s">
        <v>319</v>
      </c>
      <c r="K1073" t="s">
        <v>166</v>
      </c>
      <c r="L1073" t="s">
        <v>0</v>
      </c>
      <c r="M1073" t="s">
        <v>178</v>
      </c>
      <c r="N1073">
        <v>73</v>
      </c>
      <c r="O1073">
        <v>0</v>
      </c>
      <c r="P1073">
        <v>3478.59</v>
      </c>
      <c r="Q1073">
        <v>5648.1</v>
      </c>
      <c r="R1073">
        <v>694.29148095000005</v>
      </c>
      <c r="S1073">
        <v>4.0666487900000003</v>
      </c>
      <c r="T1073">
        <v>123.62148095000001</v>
      </c>
      <c r="U1073">
        <v>0</v>
      </c>
      <c r="V1073">
        <v>570.66999999999996</v>
      </c>
      <c r="W1073" t="s">
        <v>0</v>
      </c>
      <c r="X1073" t="s">
        <v>271</v>
      </c>
      <c r="Y1073" t="s">
        <v>4315</v>
      </c>
      <c r="AA1073" t="s">
        <v>3466</v>
      </c>
      <c r="AB1073" t="s">
        <v>181</v>
      </c>
    </row>
    <row r="1074" spans="1:28" x14ac:dyDescent="0.25">
      <c r="A1074" t="s">
        <v>4316</v>
      </c>
      <c r="B1074" t="s">
        <v>4317</v>
      </c>
      <c r="C1074" t="s">
        <v>646</v>
      </c>
      <c r="D1074" t="s">
        <v>3779</v>
      </c>
      <c r="E1074" t="s">
        <v>647</v>
      </c>
      <c r="F1074" t="s">
        <v>3780</v>
      </c>
      <c r="G1074" t="s">
        <v>769</v>
      </c>
      <c r="H1074" t="s">
        <v>672</v>
      </c>
      <c r="I1074" t="s">
        <v>1290</v>
      </c>
      <c r="J1074" t="s">
        <v>1291</v>
      </c>
      <c r="K1074" t="s">
        <v>166</v>
      </c>
      <c r="L1074" t="s">
        <v>0</v>
      </c>
      <c r="M1074" t="s">
        <v>178</v>
      </c>
      <c r="N1074">
        <v>162</v>
      </c>
      <c r="O1074">
        <v>57</v>
      </c>
      <c r="P1074">
        <v>3873.44</v>
      </c>
      <c r="Q1074">
        <v>7612.4</v>
      </c>
      <c r="R1074">
        <v>1609.4952796099999</v>
      </c>
      <c r="S1074">
        <v>987.69481041999995</v>
      </c>
      <c r="T1074">
        <v>0.11527961</v>
      </c>
      <c r="U1074">
        <v>0</v>
      </c>
      <c r="V1074">
        <v>1609.38</v>
      </c>
      <c r="W1074" t="s">
        <v>1292</v>
      </c>
      <c r="X1074" t="s">
        <v>271</v>
      </c>
      <c r="Y1074" t="s">
        <v>4318</v>
      </c>
      <c r="AA1074" t="s">
        <v>4319</v>
      </c>
      <c r="AB1074" t="s">
        <v>181</v>
      </c>
    </row>
    <row r="1075" spans="1:28" x14ac:dyDescent="0.25">
      <c r="A1075" t="s">
        <v>4074</v>
      </c>
      <c r="B1075" t="s">
        <v>4075</v>
      </c>
      <c r="C1075" t="s">
        <v>646</v>
      </c>
      <c r="D1075" t="s">
        <v>3779</v>
      </c>
      <c r="E1075" t="s">
        <v>647</v>
      </c>
      <c r="F1075" t="s">
        <v>3780</v>
      </c>
      <c r="G1075" t="s">
        <v>769</v>
      </c>
      <c r="H1075" t="s">
        <v>679</v>
      </c>
      <c r="I1075" t="s">
        <v>1284</v>
      </c>
      <c r="J1075" t="s">
        <v>1285</v>
      </c>
      <c r="K1075" t="s">
        <v>166</v>
      </c>
      <c r="L1075" t="s">
        <v>0</v>
      </c>
      <c r="M1075" t="s">
        <v>178</v>
      </c>
      <c r="N1075">
        <v>181</v>
      </c>
      <c r="O1075">
        <v>103</v>
      </c>
      <c r="P1075">
        <v>2422.9299999999998</v>
      </c>
      <c r="Q1075">
        <v>5998.93</v>
      </c>
      <c r="R1075">
        <v>1454.3786237700001</v>
      </c>
      <c r="S1075">
        <v>595.53071666999995</v>
      </c>
      <c r="T1075">
        <v>0.25862376999999998</v>
      </c>
      <c r="U1075">
        <v>0</v>
      </c>
      <c r="V1075">
        <v>1454.12</v>
      </c>
      <c r="W1075" t="s">
        <v>1286</v>
      </c>
      <c r="X1075" t="s">
        <v>269</v>
      </c>
      <c r="Y1075" t="s">
        <v>4076</v>
      </c>
      <c r="AA1075" t="s">
        <v>4077</v>
      </c>
      <c r="AB1075" t="s">
        <v>181</v>
      </c>
    </row>
    <row r="1076" spans="1:28" x14ac:dyDescent="0.25">
      <c r="A1076" t="s">
        <v>3814</v>
      </c>
      <c r="B1076" t="s">
        <v>3815</v>
      </c>
      <c r="C1076" t="s">
        <v>646</v>
      </c>
      <c r="D1076" t="s">
        <v>3779</v>
      </c>
      <c r="E1076" t="s">
        <v>647</v>
      </c>
      <c r="F1076" t="s">
        <v>3780</v>
      </c>
      <c r="G1076" t="s">
        <v>769</v>
      </c>
      <c r="H1076" t="s">
        <v>1171</v>
      </c>
      <c r="I1076" t="s">
        <v>3816</v>
      </c>
      <c r="J1076" t="s">
        <v>548</v>
      </c>
      <c r="K1076" t="s">
        <v>166</v>
      </c>
      <c r="L1076" t="s">
        <v>0</v>
      </c>
      <c r="M1076" t="s">
        <v>178</v>
      </c>
      <c r="N1076">
        <v>148</v>
      </c>
      <c r="O1076">
        <v>33</v>
      </c>
      <c r="P1076">
        <v>2931.14</v>
      </c>
      <c r="Q1076">
        <v>22533.51</v>
      </c>
      <c r="R1076">
        <v>1379.2383184600001</v>
      </c>
      <c r="S1076">
        <v>297.84008929999999</v>
      </c>
      <c r="T1076">
        <v>2.4183184600000001</v>
      </c>
      <c r="U1076">
        <v>0</v>
      </c>
      <c r="V1076">
        <v>1376.82</v>
      </c>
      <c r="W1076" t="s">
        <v>241</v>
      </c>
      <c r="X1076" t="s">
        <v>271</v>
      </c>
      <c r="Y1076" t="s">
        <v>3817</v>
      </c>
      <c r="AA1076" t="s">
        <v>3818</v>
      </c>
      <c r="AB1076" t="s">
        <v>181</v>
      </c>
    </row>
    <row r="1077" spans="1:28" x14ac:dyDescent="0.25">
      <c r="A1077" t="s">
        <v>4312</v>
      </c>
      <c r="B1077" t="s">
        <v>4313</v>
      </c>
      <c r="C1077" t="s">
        <v>646</v>
      </c>
      <c r="D1077" t="s">
        <v>3779</v>
      </c>
      <c r="E1077" t="s">
        <v>647</v>
      </c>
      <c r="F1077" t="s">
        <v>3780</v>
      </c>
      <c r="G1077" t="s">
        <v>769</v>
      </c>
      <c r="H1077" t="s">
        <v>703</v>
      </c>
      <c r="I1077" t="s">
        <v>4314</v>
      </c>
      <c r="J1077" t="s">
        <v>319</v>
      </c>
      <c r="K1077" t="s">
        <v>166</v>
      </c>
      <c r="L1077" t="s">
        <v>0</v>
      </c>
      <c r="M1077" t="s">
        <v>178</v>
      </c>
      <c r="N1077">
        <v>78.166899999999998</v>
      </c>
      <c r="O1077">
        <v>34.583599999999997</v>
      </c>
      <c r="P1077">
        <v>1770.62</v>
      </c>
      <c r="Q1077">
        <v>5295.9</v>
      </c>
      <c r="R1077">
        <v>1472.27</v>
      </c>
      <c r="S1077">
        <v>483.19009632000001</v>
      </c>
      <c r="T1077">
        <v>0</v>
      </c>
      <c r="U1077">
        <v>0</v>
      </c>
      <c r="V1077">
        <v>1472.27</v>
      </c>
      <c r="W1077" t="s">
        <v>0</v>
      </c>
      <c r="X1077" t="s">
        <v>271</v>
      </c>
      <c r="Y1077" t="s">
        <v>4315</v>
      </c>
      <c r="AA1077" t="s">
        <v>3466</v>
      </c>
      <c r="AB1077" t="s">
        <v>181</v>
      </c>
    </row>
    <row r="1078" spans="1:28" x14ac:dyDescent="0.25">
      <c r="A1078" t="s">
        <v>4349</v>
      </c>
      <c r="B1078" t="s">
        <v>4350</v>
      </c>
      <c r="C1078" t="s">
        <v>646</v>
      </c>
      <c r="D1078" t="s">
        <v>3779</v>
      </c>
      <c r="E1078" t="s">
        <v>647</v>
      </c>
      <c r="F1078" t="s">
        <v>3780</v>
      </c>
      <c r="G1078" t="s">
        <v>769</v>
      </c>
      <c r="H1078" t="s">
        <v>797</v>
      </c>
      <c r="I1078" t="s">
        <v>2242</v>
      </c>
      <c r="J1078" t="s">
        <v>2243</v>
      </c>
      <c r="K1078" t="s">
        <v>166</v>
      </c>
      <c r="L1078" t="s">
        <v>0</v>
      </c>
      <c r="M1078" t="s">
        <v>178</v>
      </c>
      <c r="N1078">
        <v>179</v>
      </c>
      <c r="O1078">
        <v>105</v>
      </c>
      <c r="P1078">
        <v>1790</v>
      </c>
      <c r="Q1078">
        <v>7775.65</v>
      </c>
      <c r="R1078">
        <v>3561.7685512399999</v>
      </c>
      <c r="S1078">
        <v>893.31190117999995</v>
      </c>
      <c r="T1078">
        <v>-1.4487599999999999E-3</v>
      </c>
      <c r="U1078">
        <v>0</v>
      </c>
      <c r="V1078">
        <v>3561.77</v>
      </c>
      <c r="W1078" t="s">
        <v>1601</v>
      </c>
      <c r="X1078" t="s">
        <v>269</v>
      </c>
      <c r="Y1078" t="s">
        <v>4351</v>
      </c>
      <c r="AA1078" t="s">
        <v>4352</v>
      </c>
      <c r="AB1078" t="s">
        <v>181</v>
      </c>
    </row>
    <row r="1079" spans="1:28" x14ac:dyDescent="0.25">
      <c r="A1079" t="s">
        <v>3892</v>
      </c>
      <c r="B1079" t="s">
        <v>3893</v>
      </c>
      <c r="C1079" t="s">
        <v>646</v>
      </c>
      <c r="D1079" t="s">
        <v>3779</v>
      </c>
      <c r="E1079" t="s">
        <v>647</v>
      </c>
      <c r="F1079" t="s">
        <v>666</v>
      </c>
      <c r="G1079" t="s">
        <v>666</v>
      </c>
      <c r="H1079" t="s">
        <v>797</v>
      </c>
      <c r="I1079" t="s">
        <v>2102</v>
      </c>
      <c r="J1079" t="s">
        <v>355</v>
      </c>
      <c r="K1079" t="s">
        <v>166</v>
      </c>
      <c r="L1079" t="s">
        <v>0</v>
      </c>
      <c r="M1079" t="s">
        <v>178</v>
      </c>
      <c r="N1079">
        <v>247</v>
      </c>
      <c r="O1079">
        <v>3</v>
      </c>
      <c r="P1079">
        <v>2470</v>
      </c>
      <c r="Q1079">
        <v>10853.34</v>
      </c>
      <c r="R1079">
        <v>1959.20031812</v>
      </c>
      <c r="S1079">
        <v>172.05</v>
      </c>
      <c r="T1079">
        <v>0.21031812</v>
      </c>
      <c r="U1079">
        <v>0</v>
      </c>
      <c r="V1079">
        <v>1958.99</v>
      </c>
      <c r="W1079" t="s">
        <v>0</v>
      </c>
      <c r="X1079" t="s">
        <v>271</v>
      </c>
      <c r="Y1079" t="s">
        <v>2103</v>
      </c>
      <c r="AA1079" t="s">
        <v>3894</v>
      </c>
      <c r="AB1079" t="s">
        <v>181</v>
      </c>
    </row>
    <row r="1080" spans="1:28" x14ac:dyDescent="0.25">
      <c r="A1080" t="s">
        <v>4031</v>
      </c>
      <c r="B1080" t="s">
        <v>4032</v>
      </c>
      <c r="C1080" t="s">
        <v>646</v>
      </c>
      <c r="D1080" t="s">
        <v>3779</v>
      </c>
      <c r="E1080" t="s">
        <v>647</v>
      </c>
      <c r="F1080" t="s">
        <v>3780</v>
      </c>
      <c r="G1080" t="s">
        <v>769</v>
      </c>
      <c r="H1080" t="s">
        <v>757</v>
      </c>
      <c r="I1080" t="s">
        <v>1513</v>
      </c>
      <c r="J1080" t="s">
        <v>333</v>
      </c>
      <c r="K1080" t="s">
        <v>166</v>
      </c>
      <c r="L1080" t="s">
        <v>0</v>
      </c>
      <c r="M1080" t="s">
        <v>178</v>
      </c>
      <c r="N1080">
        <v>3737.6</v>
      </c>
      <c r="O1080">
        <v>2153.6</v>
      </c>
      <c r="P1080">
        <v>83990.76</v>
      </c>
      <c r="Q1080">
        <v>100431.67999999999</v>
      </c>
      <c r="R1080">
        <v>1607.0886796499999</v>
      </c>
      <c r="S1080">
        <v>19624.97875342</v>
      </c>
      <c r="T1080">
        <v>12120.568679649999</v>
      </c>
      <c r="U1080">
        <v>6692.45</v>
      </c>
      <c r="V1080">
        <v>9741.8799999999992</v>
      </c>
      <c r="W1080" t="s">
        <v>718</v>
      </c>
      <c r="X1080" t="s">
        <v>271</v>
      </c>
      <c r="Y1080" t="s">
        <v>4033</v>
      </c>
      <c r="AA1080" t="s">
        <v>4034</v>
      </c>
      <c r="AB1080" t="s">
        <v>181</v>
      </c>
    </row>
    <row r="1081" spans="1:28" x14ac:dyDescent="0.25">
      <c r="A1081" t="s">
        <v>3801</v>
      </c>
      <c r="B1081" t="s">
        <v>3802</v>
      </c>
      <c r="C1081" t="s">
        <v>646</v>
      </c>
      <c r="D1081" t="s">
        <v>3779</v>
      </c>
      <c r="E1081" t="s">
        <v>647</v>
      </c>
      <c r="F1081" t="s">
        <v>666</v>
      </c>
      <c r="G1081" t="s">
        <v>666</v>
      </c>
      <c r="H1081" t="s">
        <v>672</v>
      </c>
      <c r="I1081" t="s">
        <v>3803</v>
      </c>
      <c r="J1081" t="s">
        <v>2577</v>
      </c>
      <c r="K1081" t="s">
        <v>166</v>
      </c>
      <c r="L1081" t="s">
        <v>0</v>
      </c>
      <c r="M1081" t="s">
        <v>178</v>
      </c>
      <c r="N1081">
        <v>17</v>
      </c>
      <c r="O1081">
        <v>17</v>
      </c>
      <c r="P1081">
        <v>393.75</v>
      </c>
      <c r="Q1081">
        <v>1113.08</v>
      </c>
      <c r="R1081">
        <v>294.05833446000003</v>
      </c>
      <c r="S1081">
        <v>227.21352372000001</v>
      </c>
      <c r="T1081">
        <v>-0.53166553999999999</v>
      </c>
      <c r="U1081">
        <v>0</v>
      </c>
      <c r="V1081">
        <v>294.58999999999997</v>
      </c>
      <c r="W1081" t="s">
        <v>2578</v>
      </c>
      <c r="X1081" t="s">
        <v>271</v>
      </c>
      <c r="Y1081" t="s">
        <v>3804</v>
      </c>
      <c r="AA1081" t="s">
        <v>3805</v>
      </c>
      <c r="AB1081" t="s">
        <v>181</v>
      </c>
    </row>
    <row r="1082" spans="1:28" x14ac:dyDescent="0.25">
      <c r="A1082" t="s">
        <v>4330</v>
      </c>
      <c r="B1082" t="s">
        <v>4331</v>
      </c>
      <c r="C1082" t="s">
        <v>646</v>
      </c>
      <c r="D1082" t="s">
        <v>3779</v>
      </c>
      <c r="E1082" t="s">
        <v>647</v>
      </c>
      <c r="F1082" t="s">
        <v>666</v>
      </c>
      <c r="G1082" t="s">
        <v>666</v>
      </c>
      <c r="H1082" t="s">
        <v>672</v>
      </c>
      <c r="I1082" t="s">
        <v>1513</v>
      </c>
      <c r="J1082" t="s">
        <v>333</v>
      </c>
      <c r="K1082" t="s">
        <v>166</v>
      </c>
      <c r="L1082" t="s">
        <v>0</v>
      </c>
      <c r="M1082" t="s">
        <v>178</v>
      </c>
      <c r="N1082">
        <v>21</v>
      </c>
      <c r="O1082">
        <v>2</v>
      </c>
      <c r="P1082">
        <v>610</v>
      </c>
      <c r="Q1082">
        <v>743.18</v>
      </c>
      <c r="R1082">
        <v>52.54</v>
      </c>
      <c r="S1082">
        <v>37.95821986</v>
      </c>
      <c r="T1082">
        <v>0</v>
      </c>
      <c r="U1082">
        <v>0</v>
      </c>
      <c r="V1082">
        <v>52.54</v>
      </c>
      <c r="W1082" t="s">
        <v>616</v>
      </c>
      <c r="X1082" t="s">
        <v>271</v>
      </c>
      <c r="Y1082" t="s">
        <v>4332</v>
      </c>
      <c r="AA1082" t="s">
        <v>2421</v>
      </c>
      <c r="AB1082" t="s">
        <v>181</v>
      </c>
    </row>
    <row r="1083" spans="1:28" x14ac:dyDescent="0.25">
      <c r="A1083" t="s">
        <v>4139</v>
      </c>
      <c r="B1083" t="s">
        <v>4140</v>
      </c>
      <c r="C1083" t="s">
        <v>646</v>
      </c>
      <c r="D1083" t="s">
        <v>3779</v>
      </c>
      <c r="E1083" t="s">
        <v>647</v>
      </c>
      <c r="F1083" t="s">
        <v>3780</v>
      </c>
      <c r="G1083" t="s">
        <v>769</v>
      </c>
      <c r="H1083" t="s">
        <v>797</v>
      </c>
      <c r="I1083" t="s">
        <v>778</v>
      </c>
      <c r="J1083" t="s">
        <v>428</v>
      </c>
      <c r="K1083" t="s">
        <v>166</v>
      </c>
      <c r="L1083" t="s">
        <v>0</v>
      </c>
      <c r="M1083" t="s">
        <v>178</v>
      </c>
      <c r="N1083">
        <v>10</v>
      </c>
      <c r="O1083">
        <v>2</v>
      </c>
      <c r="P1083">
        <v>103.5</v>
      </c>
      <c r="Q1083">
        <v>428.9</v>
      </c>
      <c r="R1083">
        <v>86.482455470000005</v>
      </c>
      <c r="S1083">
        <v>20.321000000000002</v>
      </c>
      <c r="T1083">
        <v>1.245547E-2</v>
      </c>
      <c r="U1083">
        <v>0</v>
      </c>
      <c r="V1083">
        <v>86.47</v>
      </c>
      <c r="W1083" t="s">
        <v>547</v>
      </c>
      <c r="X1083" t="s">
        <v>271</v>
      </c>
      <c r="Y1083" t="s">
        <v>4141</v>
      </c>
      <c r="AA1083" t="s">
        <v>4142</v>
      </c>
      <c r="AB1083" t="s">
        <v>181</v>
      </c>
    </row>
    <row r="1084" spans="1:28" x14ac:dyDescent="0.25">
      <c r="A1084" t="s">
        <v>3797</v>
      </c>
      <c r="B1084" t="s">
        <v>3798</v>
      </c>
      <c r="C1084" t="s">
        <v>646</v>
      </c>
      <c r="D1084" t="s">
        <v>3779</v>
      </c>
      <c r="E1084" t="s">
        <v>647</v>
      </c>
      <c r="F1084" t="s">
        <v>3780</v>
      </c>
      <c r="G1084" t="s">
        <v>769</v>
      </c>
      <c r="H1084" t="s">
        <v>649</v>
      </c>
      <c r="I1084" t="s">
        <v>725</v>
      </c>
      <c r="J1084" t="s">
        <v>726</v>
      </c>
      <c r="K1084" t="s">
        <v>166</v>
      </c>
      <c r="L1084" t="s">
        <v>0</v>
      </c>
      <c r="M1084" t="s">
        <v>178</v>
      </c>
      <c r="N1084">
        <v>517</v>
      </c>
      <c r="O1084">
        <v>447</v>
      </c>
      <c r="P1084">
        <v>11229.21</v>
      </c>
      <c r="Q1084">
        <v>31461.67</v>
      </c>
      <c r="R1084">
        <v>1052.28</v>
      </c>
      <c r="S1084">
        <v>1728.1304716699999</v>
      </c>
      <c r="T1084">
        <v>0</v>
      </c>
      <c r="U1084">
        <v>658.14</v>
      </c>
      <c r="V1084">
        <v>1719.34</v>
      </c>
      <c r="W1084" t="s">
        <v>0</v>
      </c>
      <c r="X1084" t="s">
        <v>271</v>
      </c>
      <c r="Y1084" t="s">
        <v>3799</v>
      </c>
      <c r="AA1084" t="s">
        <v>3800</v>
      </c>
      <c r="AB1084" t="s">
        <v>181</v>
      </c>
    </row>
    <row r="1085" spans="1:28" x14ac:dyDescent="0.25">
      <c r="A1085" t="s">
        <v>4201</v>
      </c>
      <c r="B1085" t="s">
        <v>4202</v>
      </c>
      <c r="C1085" t="s">
        <v>646</v>
      </c>
      <c r="D1085" t="s">
        <v>3779</v>
      </c>
      <c r="E1085" t="s">
        <v>647</v>
      </c>
      <c r="F1085" t="s">
        <v>3780</v>
      </c>
      <c r="G1085" t="s">
        <v>769</v>
      </c>
      <c r="H1085" t="s">
        <v>713</v>
      </c>
      <c r="I1085" t="s">
        <v>4203</v>
      </c>
      <c r="J1085" t="s">
        <v>688</v>
      </c>
      <c r="K1085" t="s">
        <v>166</v>
      </c>
      <c r="L1085" t="s">
        <v>0</v>
      </c>
      <c r="M1085" t="s">
        <v>178</v>
      </c>
      <c r="N1085">
        <v>184</v>
      </c>
      <c r="O1085">
        <v>46</v>
      </c>
      <c r="P1085">
        <v>5832.73</v>
      </c>
      <c r="Q1085">
        <v>8387.1</v>
      </c>
      <c r="R1085">
        <v>1110.93472443</v>
      </c>
      <c r="S1085">
        <v>245.16460728999999</v>
      </c>
      <c r="T1085">
        <v>25.64472443</v>
      </c>
      <c r="U1085">
        <v>0</v>
      </c>
      <c r="V1085">
        <v>1085.29</v>
      </c>
      <c r="W1085" t="s">
        <v>0</v>
      </c>
      <c r="X1085" t="s">
        <v>271</v>
      </c>
      <c r="Y1085" t="s">
        <v>4204</v>
      </c>
      <c r="AA1085" t="s">
        <v>4205</v>
      </c>
      <c r="AB1085" t="s">
        <v>181</v>
      </c>
    </row>
    <row r="1086" spans="1:28" x14ac:dyDescent="0.25">
      <c r="A1086" t="s">
        <v>3960</v>
      </c>
      <c r="B1086" t="s">
        <v>3961</v>
      </c>
      <c r="C1086" t="s">
        <v>646</v>
      </c>
      <c r="D1086" t="s">
        <v>3779</v>
      </c>
      <c r="E1086" t="s">
        <v>647</v>
      </c>
      <c r="F1086" t="s">
        <v>666</v>
      </c>
      <c r="G1086" t="s">
        <v>666</v>
      </c>
      <c r="H1086" t="s">
        <v>717</v>
      </c>
      <c r="I1086" t="s">
        <v>3962</v>
      </c>
      <c r="J1086" t="s">
        <v>575</v>
      </c>
      <c r="K1086" t="s">
        <v>166</v>
      </c>
      <c r="L1086" t="s">
        <v>0</v>
      </c>
      <c r="M1086" t="s">
        <v>178</v>
      </c>
      <c r="N1086">
        <v>135</v>
      </c>
      <c r="O1086">
        <v>135</v>
      </c>
      <c r="P1086">
        <v>1620</v>
      </c>
      <c r="Q1086">
        <v>7872.76</v>
      </c>
      <c r="R1086">
        <v>412.43</v>
      </c>
      <c r="S1086">
        <v>435.49603216999998</v>
      </c>
      <c r="T1086">
        <v>0</v>
      </c>
      <c r="U1086">
        <v>0</v>
      </c>
      <c r="V1086">
        <v>412.43</v>
      </c>
      <c r="W1086" t="s">
        <v>0</v>
      </c>
      <c r="X1086" t="s">
        <v>271</v>
      </c>
      <c r="Y1086" t="s">
        <v>3963</v>
      </c>
      <c r="AA1086" t="s">
        <v>3964</v>
      </c>
      <c r="AB1086" t="s">
        <v>181</v>
      </c>
    </row>
    <row r="1087" spans="1:28" x14ac:dyDescent="0.25">
      <c r="A1087" t="s">
        <v>3801</v>
      </c>
      <c r="B1087" t="s">
        <v>3802</v>
      </c>
      <c r="C1087" t="s">
        <v>646</v>
      </c>
      <c r="D1087" t="s">
        <v>3779</v>
      </c>
      <c r="E1087" t="s">
        <v>647</v>
      </c>
      <c r="F1087" t="s">
        <v>666</v>
      </c>
      <c r="G1087" t="s">
        <v>666</v>
      </c>
      <c r="H1087" t="s">
        <v>909</v>
      </c>
      <c r="I1087" t="s">
        <v>3803</v>
      </c>
      <c r="J1087" t="s">
        <v>2577</v>
      </c>
      <c r="K1087" t="s">
        <v>166</v>
      </c>
      <c r="L1087" t="s">
        <v>0</v>
      </c>
      <c r="M1087" t="s">
        <v>178</v>
      </c>
      <c r="N1087">
        <v>32</v>
      </c>
      <c r="O1087">
        <v>31</v>
      </c>
      <c r="P1087">
        <v>814.42</v>
      </c>
      <c r="Q1087">
        <v>1457.87</v>
      </c>
      <c r="R1087">
        <v>432.66677249999998</v>
      </c>
      <c r="S1087">
        <v>288.39931558000001</v>
      </c>
      <c r="T1087">
        <v>0.19677249999999999</v>
      </c>
      <c r="U1087">
        <v>0</v>
      </c>
      <c r="V1087">
        <v>432.47</v>
      </c>
      <c r="W1087" t="s">
        <v>2578</v>
      </c>
      <c r="X1087" t="s">
        <v>271</v>
      </c>
      <c r="Y1087" t="s">
        <v>3804</v>
      </c>
      <c r="AA1087" t="s">
        <v>3805</v>
      </c>
      <c r="AB1087" t="s">
        <v>181</v>
      </c>
    </row>
    <row r="1088" spans="1:28" x14ac:dyDescent="0.25">
      <c r="A1088" t="s">
        <v>4051</v>
      </c>
      <c r="B1088" t="s">
        <v>4052</v>
      </c>
      <c r="C1088" t="s">
        <v>646</v>
      </c>
      <c r="D1088" t="s">
        <v>3779</v>
      </c>
      <c r="E1088" t="s">
        <v>647</v>
      </c>
      <c r="F1088" t="s">
        <v>3780</v>
      </c>
      <c r="G1088" t="s">
        <v>769</v>
      </c>
      <c r="H1088" t="s">
        <v>909</v>
      </c>
      <c r="I1088" t="s">
        <v>4053</v>
      </c>
      <c r="J1088" t="s">
        <v>4054</v>
      </c>
      <c r="K1088" t="s">
        <v>166</v>
      </c>
      <c r="L1088" t="s">
        <v>0</v>
      </c>
      <c r="M1088" t="s">
        <v>178</v>
      </c>
      <c r="N1088">
        <v>621</v>
      </c>
      <c r="O1088">
        <v>621</v>
      </c>
      <c r="P1088">
        <v>21735</v>
      </c>
      <c r="Q1088">
        <v>11318.25</v>
      </c>
      <c r="R1088">
        <v>-148.28</v>
      </c>
      <c r="S1088">
        <v>2352.56891025</v>
      </c>
      <c r="T1088">
        <v>0</v>
      </c>
      <c r="U1088">
        <v>0</v>
      </c>
      <c r="V1088">
        <v>-148.28</v>
      </c>
      <c r="W1088" t="s">
        <v>2488</v>
      </c>
      <c r="X1088" t="s">
        <v>269</v>
      </c>
      <c r="Y1088" t="s">
        <v>4055</v>
      </c>
      <c r="AA1088" t="s">
        <v>4056</v>
      </c>
      <c r="AB1088" t="s">
        <v>181</v>
      </c>
    </row>
    <row r="1089" spans="1:28" x14ac:dyDescent="0.25">
      <c r="A1089" t="s">
        <v>4223</v>
      </c>
      <c r="B1089" t="s">
        <v>4224</v>
      </c>
      <c r="C1089" t="s">
        <v>646</v>
      </c>
      <c r="D1089" t="s">
        <v>3779</v>
      </c>
      <c r="E1089" t="s">
        <v>647</v>
      </c>
      <c r="F1089" t="s">
        <v>3780</v>
      </c>
      <c r="G1089" t="s">
        <v>769</v>
      </c>
      <c r="H1089" t="s">
        <v>679</v>
      </c>
      <c r="I1089" t="s">
        <v>4225</v>
      </c>
      <c r="J1089" t="s">
        <v>336</v>
      </c>
      <c r="K1089" t="s">
        <v>166</v>
      </c>
      <c r="L1089" t="s">
        <v>0</v>
      </c>
      <c r="M1089" t="s">
        <v>178</v>
      </c>
      <c r="N1089">
        <v>48</v>
      </c>
      <c r="O1089">
        <v>32</v>
      </c>
      <c r="P1089">
        <v>232.97</v>
      </c>
      <c r="Q1089">
        <v>1054.03</v>
      </c>
      <c r="R1089">
        <v>261.84830589000001</v>
      </c>
      <c r="S1089">
        <v>315.04952249000002</v>
      </c>
      <c r="T1089">
        <v>-1.5416941099999999</v>
      </c>
      <c r="U1089">
        <v>0</v>
      </c>
      <c r="V1089">
        <v>263.39</v>
      </c>
      <c r="W1089" t="s">
        <v>461</v>
      </c>
      <c r="X1089" t="s">
        <v>271</v>
      </c>
      <c r="Y1089" t="s">
        <v>4226</v>
      </c>
      <c r="AA1089" t="s">
        <v>4227</v>
      </c>
      <c r="AB1089" t="s">
        <v>181</v>
      </c>
    </row>
    <row r="1090" spans="1:28" x14ac:dyDescent="0.25">
      <c r="A1090" t="s">
        <v>4337</v>
      </c>
      <c r="B1090" t="s">
        <v>4338</v>
      </c>
      <c r="C1090" t="s">
        <v>646</v>
      </c>
      <c r="D1090" t="s">
        <v>3779</v>
      </c>
      <c r="E1090" t="s">
        <v>647</v>
      </c>
      <c r="F1090" t="s">
        <v>3780</v>
      </c>
      <c r="G1090" t="s">
        <v>769</v>
      </c>
      <c r="H1090" t="s">
        <v>761</v>
      </c>
      <c r="I1090" t="s">
        <v>4339</v>
      </c>
      <c r="J1090" t="s">
        <v>821</v>
      </c>
      <c r="K1090" t="s">
        <v>166</v>
      </c>
      <c r="L1090" t="s">
        <v>0</v>
      </c>
      <c r="M1090" t="s">
        <v>178</v>
      </c>
      <c r="N1090">
        <v>22.5</v>
      </c>
      <c r="O1090">
        <v>4.5</v>
      </c>
      <c r="P1090">
        <v>688.13</v>
      </c>
      <c r="Q1090">
        <v>772.53</v>
      </c>
      <c r="R1090">
        <v>163.21</v>
      </c>
      <c r="S1090">
        <v>45.951663760000002</v>
      </c>
      <c r="T1090">
        <v>0</v>
      </c>
      <c r="U1090">
        <v>0</v>
      </c>
      <c r="V1090">
        <v>163.21</v>
      </c>
      <c r="W1090" t="s">
        <v>822</v>
      </c>
      <c r="X1090" t="s">
        <v>269</v>
      </c>
      <c r="Y1090" t="s">
        <v>4340</v>
      </c>
      <c r="AA1090" t="s">
        <v>4341</v>
      </c>
      <c r="AB1090" t="s">
        <v>181</v>
      </c>
    </row>
    <row r="1091" spans="1:28" x14ac:dyDescent="0.25">
      <c r="A1091" t="s">
        <v>3900</v>
      </c>
      <c r="B1091" t="s">
        <v>3901</v>
      </c>
      <c r="C1091" t="s">
        <v>646</v>
      </c>
      <c r="D1091" t="s">
        <v>3779</v>
      </c>
      <c r="E1091" t="s">
        <v>647</v>
      </c>
      <c r="F1091" t="s">
        <v>3780</v>
      </c>
      <c r="G1091" t="s">
        <v>769</v>
      </c>
      <c r="H1091" t="s">
        <v>717</v>
      </c>
      <c r="I1091" t="s">
        <v>3902</v>
      </c>
      <c r="J1091" t="s">
        <v>1225</v>
      </c>
      <c r="K1091" t="s">
        <v>166</v>
      </c>
      <c r="L1091" t="s">
        <v>0</v>
      </c>
      <c r="M1091" t="s">
        <v>178</v>
      </c>
      <c r="N1091">
        <v>1</v>
      </c>
      <c r="O1091">
        <v>0</v>
      </c>
      <c r="P1091">
        <v>16</v>
      </c>
      <c r="Q1091">
        <v>48.44</v>
      </c>
      <c r="R1091">
        <v>6.84</v>
      </c>
      <c r="S1091">
        <v>0.48</v>
      </c>
      <c r="T1091">
        <v>0</v>
      </c>
      <c r="U1091">
        <v>0</v>
      </c>
      <c r="V1091">
        <v>6.84</v>
      </c>
      <c r="W1091" t="s">
        <v>0</v>
      </c>
      <c r="X1091" t="s">
        <v>271</v>
      </c>
      <c r="Y1091" t="s">
        <v>3903</v>
      </c>
      <c r="AA1091" t="s">
        <v>3904</v>
      </c>
      <c r="AB1091" t="s">
        <v>181</v>
      </c>
    </row>
    <row r="1092" spans="1:28" x14ac:dyDescent="0.25">
      <c r="A1092" t="s">
        <v>4316</v>
      </c>
      <c r="B1092" t="s">
        <v>4317</v>
      </c>
      <c r="C1092" t="s">
        <v>646</v>
      </c>
      <c r="D1092" t="s">
        <v>3779</v>
      </c>
      <c r="E1092" t="s">
        <v>647</v>
      </c>
      <c r="F1092" t="s">
        <v>3780</v>
      </c>
      <c r="G1092" t="s">
        <v>769</v>
      </c>
      <c r="H1092" t="s">
        <v>962</v>
      </c>
      <c r="I1092" t="s">
        <v>1290</v>
      </c>
      <c r="J1092" t="s">
        <v>1291</v>
      </c>
      <c r="K1092" t="s">
        <v>166</v>
      </c>
      <c r="L1092" t="s">
        <v>0</v>
      </c>
      <c r="M1092" t="s">
        <v>178</v>
      </c>
      <c r="N1092">
        <v>83</v>
      </c>
      <c r="O1092">
        <v>80</v>
      </c>
      <c r="P1092">
        <v>1264.1300000000001</v>
      </c>
      <c r="Q1092">
        <v>4919.8500000000004</v>
      </c>
      <c r="R1092">
        <v>994.92666337000003</v>
      </c>
      <c r="S1092">
        <v>560.03460186999996</v>
      </c>
      <c r="T1092">
        <v>2.6663369999999999E-2</v>
      </c>
      <c r="U1092">
        <v>0</v>
      </c>
      <c r="V1092">
        <v>994.9</v>
      </c>
      <c r="W1092" t="s">
        <v>1292</v>
      </c>
      <c r="X1092" t="s">
        <v>271</v>
      </c>
      <c r="Y1092" t="s">
        <v>4318</v>
      </c>
      <c r="AA1092" t="s">
        <v>4319</v>
      </c>
      <c r="AB1092" t="s">
        <v>181</v>
      </c>
    </row>
    <row r="1093" spans="1:28" x14ac:dyDescent="0.25">
      <c r="A1093" t="s">
        <v>4298</v>
      </c>
      <c r="B1093" t="s">
        <v>4299</v>
      </c>
      <c r="C1093" t="s">
        <v>646</v>
      </c>
      <c r="D1093" t="s">
        <v>3779</v>
      </c>
      <c r="E1093" t="s">
        <v>647</v>
      </c>
      <c r="F1093" t="s">
        <v>666</v>
      </c>
      <c r="G1093" t="s">
        <v>666</v>
      </c>
      <c r="H1093" t="s">
        <v>649</v>
      </c>
      <c r="I1093" t="s">
        <v>4300</v>
      </c>
      <c r="J1093" t="s">
        <v>511</v>
      </c>
      <c r="K1093" t="s">
        <v>166</v>
      </c>
      <c r="L1093" t="s">
        <v>0</v>
      </c>
      <c r="M1093" t="s">
        <v>178</v>
      </c>
      <c r="N1093">
        <v>53</v>
      </c>
      <c r="O1093">
        <v>24</v>
      </c>
      <c r="P1093">
        <v>1992.51</v>
      </c>
      <c r="Q1093">
        <v>2823.17</v>
      </c>
      <c r="R1093">
        <v>182.13</v>
      </c>
      <c r="S1093">
        <v>262.26749990000002</v>
      </c>
      <c r="T1093">
        <v>0</v>
      </c>
      <c r="U1093">
        <v>0</v>
      </c>
      <c r="V1093">
        <v>182.13</v>
      </c>
      <c r="W1093" t="s">
        <v>510</v>
      </c>
      <c r="X1093" t="s">
        <v>271</v>
      </c>
      <c r="Y1093" t="s">
        <v>4301</v>
      </c>
      <c r="Z1093" t="s">
        <v>4302</v>
      </c>
      <c r="AA1093" t="s">
        <v>4303</v>
      </c>
      <c r="AB1093" t="s">
        <v>181</v>
      </c>
    </row>
    <row r="1094" spans="1:28" x14ac:dyDescent="0.25">
      <c r="A1094" t="s">
        <v>3865</v>
      </c>
      <c r="B1094" t="s">
        <v>3866</v>
      </c>
      <c r="C1094" t="s">
        <v>646</v>
      </c>
      <c r="D1094" t="s">
        <v>3779</v>
      </c>
      <c r="E1094" t="s">
        <v>647</v>
      </c>
      <c r="F1094" t="s">
        <v>3780</v>
      </c>
      <c r="G1094" t="s">
        <v>769</v>
      </c>
      <c r="H1094" t="s">
        <v>717</v>
      </c>
      <c r="I1094" t="s">
        <v>3867</v>
      </c>
      <c r="J1094" t="s">
        <v>881</v>
      </c>
      <c r="K1094" t="s">
        <v>166</v>
      </c>
      <c r="L1094" t="s">
        <v>0</v>
      </c>
      <c r="M1094" t="s">
        <v>178</v>
      </c>
      <c r="N1094">
        <v>113</v>
      </c>
      <c r="O1094">
        <v>0</v>
      </c>
      <c r="P1094">
        <v>1808</v>
      </c>
      <c r="Q1094">
        <v>6533.54</v>
      </c>
      <c r="R1094">
        <v>1408.74</v>
      </c>
      <c r="S1094">
        <v>54.256303150000001</v>
      </c>
      <c r="T1094">
        <v>0</v>
      </c>
      <c r="U1094">
        <v>0</v>
      </c>
      <c r="V1094">
        <v>1408.74</v>
      </c>
      <c r="W1094" t="s">
        <v>0</v>
      </c>
      <c r="X1094" t="s">
        <v>271</v>
      </c>
      <c r="Y1094" t="s">
        <v>3868</v>
      </c>
      <c r="AA1094" t="s">
        <v>3869</v>
      </c>
      <c r="AB1094" t="s">
        <v>181</v>
      </c>
    </row>
    <row r="1095" spans="1:28" x14ac:dyDescent="0.25">
      <c r="A1095" t="s">
        <v>3929</v>
      </c>
      <c r="B1095" t="s">
        <v>3930</v>
      </c>
      <c r="C1095" t="s">
        <v>646</v>
      </c>
      <c r="D1095" t="s">
        <v>3779</v>
      </c>
      <c r="E1095" t="s">
        <v>647</v>
      </c>
      <c r="F1095" t="s">
        <v>3780</v>
      </c>
      <c r="G1095" t="s">
        <v>769</v>
      </c>
      <c r="H1095" t="s">
        <v>757</v>
      </c>
      <c r="I1095" t="s">
        <v>3649</v>
      </c>
      <c r="J1095" t="s">
        <v>1567</v>
      </c>
      <c r="K1095" t="s">
        <v>166</v>
      </c>
      <c r="L1095" t="s">
        <v>0</v>
      </c>
      <c r="M1095" t="s">
        <v>178</v>
      </c>
      <c r="N1095">
        <v>159.1</v>
      </c>
      <c r="O1095">
        <v>128.1</v>
      </c>
      <c r="P1095">
        <v>4259.6899999999996</v>
      </c>
      <c r="Q1095">
        <v>8138.47</v>
      </c>
      <c r="R1095">
        <v>1871.33</v>
      </c>
      <c r="S1095">
        <v>1234.5764324500001</v>
      </c>
      <c r="T1095">
        <v>0</v>
      </c>
      <c r="U1095">
        <v>0</v>
      </c>
      <c r="V1095">
        <v>1871.33</v>
      </c>
      <c r="W1095" t="s">
        <v>556</v>
      </c>
      <c r="X1095" t="s">
        <v>271</v>
      </c>
      <c r="Y1095" t="s">
        <v>3931</v>
      </c>
      <c r="AA1095" t="s">
        <v>3932</v>
      </c>
      <c r="AB1095" t="s">
        <v>181</v>
      </c>
    </row>
    <row r="1096" spans="1:28" x14ac:dyDescent="0.25">
      <c r="A1096" t="s">
        <v>4123</v>
      </c>
      <c r="B1096" t="s">
        <v>4124</v>
      </c>
      <c r="C1096" t="s">
        <v>646</v>
      </c>
      <c r="D1096" t="s">
        <v>3779</v>
      </c>
      <c r="E1096" t="s">
        <v>647</v>
      </c>
      <c r="F1096" t="s">
        <v>3780</v>
      </c>
      <c r="G1096" t="s">
        <v>769</v>
      </c>
      <c r="H1096" t="s">
        <v>1171</v>
      </c>
      <c r="I1096" t="s">
        <v>746</v>
      </c>
      <c r="J1096" t="s">
        <v>504</v>
      </c>
      <c r="K1096" t="s">
        <v>166</v>
      </c>
      <c r="L1096" t="s">
        <v>0</v>
      </c>
      <c r="M1096" t="s">
        <v>178</v>
      </c>
      <c r="N1096">
        <v>59</v>
      </c>
      <c r="O1096">
        <v>34</v>
      </c>
      <c r="P1096">
        <v>915.1</v>
      </c>
      <c r="Q1096">
        <v>5370.87</v>
      </c>
      <c r="R1096">
        <v>137.90831845</v>
      </c>
      <c r="S1096">
        <v>10.22264352</v>
      </c>
      <c r="T1096">
        <v>2.4183184500000001</v>
      </c>
      <c r="U1096">
        <v>0</v>
      </c>
      <c r="V1096">
        <v>135.49</v>
      </c>
      <c r="W1096" t="s">
        <v>503</v>
      </c>
      <c r="X1096" t="s">
        <v>271</v>
      </c>
      <c r="Y1096" t="s">
        <v>4125</v>
      </c>
      <c r="AA1096" t="s">
        <v>4126</v>
      </c>
      <c r="AB1096" t="s">
        <v>181</v>
      </c>
    </row>
    <row r="1097" spans="1:28" x14ac:dyDescent="0.25">
      <c r="A1097" t="s">
        <v>3998</v>
      </c>
      <c r="B1097" t="s">
        <v>3999</v>
      </c>
      <c r="C1097" t="s">
        <v>646</v>
      </c>
      <c r="D1097" t="s">
        <v>3779</v>
      </c>
      <c r="E1097" t="s">
        <v>647</v>
      </c>
      <c r="F1097" t="s">
        <v>3780</v>
      </c>
      <c r="G1097" t="s">
        <v>769</v>
      </c>
      <c r="H1097" t="s">
        <v>909</v>
      </c>
      <c r="I1097" t="s">
        <v>1636</v>
      </c>
      <c r="J1097" t="s">
        <v>1637</v>
      </c>
      <c r="K1097" t="s">
        <v>166</v>
      </c>
      <c r="L1097" t="s">
        <v>0</v>
      </c>
      <c r="M1097" t="s">
        <v>178</v>
      </c>
      <c r="N1097">
        <v>45</v>
      </c>
      <c r="O1097">
        <v>45</v>
      </c>
      <c r="P1097">
        <v>1549.8</v>
      </c>
      <c r="Q1097">
        <v>1441.3</v>
      </c>
      <c r="R1097">
        <v>232.65</v>
      </c>
      <c r="S1097">
        <v>259.07452286</v>
      </c>
      <c r="T1097">
        <v>0</v>
      </c>
      <c r="U1097">
        <v>0</v>
      </c>
      <c r="V1097">
        <v>232.65</v>
      </c>
      <c r="W1097" t="s">
        <v>1638</v>
      </c>
      <c r="X1097" t="s">
        <v>271</v>
      </c>
      <c r="Y1097" t="s">
        <v>4000</v>
      </c>
      <c r="AA1097" t="s">
        <v>4001</v>
      </c>
      <c r="AB1097" t="s">
        <v>181</v>
      </c>
    </row>
    <row r="1098" spans="1:28" x14ac:dyDescent="0.25">
      <c r="A1098" t="s">
        <v>4143</v>
      </c>
      <c r="B1098" t="s">
        <v>4144</v>
      </c>
      <c r="C1098" t="s">
        <v>646</v>
      </c>
      <c r="D1098" t="s">
        <v>3779</v>
      </c>
      <c r="E1098" t="s">
        <v>647</v>
      </c>
      <c r="F1098" t="s">
        <v>3780</v>
      </c>
      <c r="G1098" t="s">
        <v>769</v>
      </c>
      <c r="H1098" t="s">
        <v>1045</v>
      </c>
      <c r="I1098" t="s">
        <v>1828</v>
      </c>
      <c r="J1098" t="s">
        <v>1829</v>
      </c>
      <c r="K1098" t="s">
        <v>166</v>
      </c>
      <c r="L1098" t="s">
        <v>0</v>
      </c>
      <c r="M1098" t="s">
        <v>178</v>
      </c>
      <c r="N1098">
        <v>278</v>
      </c>
      <c r="O1098">
        <v>79</v>
      </c>
      <c r="P1098">
        <v>3129.55</v>
      </c>
      <c r="Q1098">
        <v>57995.19</v>
      </c>
      <c r="R1098">
        <v>8285.31</v>
      </c>
      <c r="S1098">
        <v>647.49918473000002</v>
      </c>
      <c r="T1098">
        <v>0</v>
      </c>
      <c r="U1098">
        <v>0</v>
      </c>
      <c r="V1098">
        <v>8285.31</v>
      </c>
      <c r="W1098" t="s">
        <v>1361</v>
      </c>
      <c r="X1098" t="s">
        <v>271</v>
      </c>
      <c r="Y1098" t="s">
        <v>4145</v>
      </c>
      <c r="AA1098" t="s">
        <v>4146</v>
      </c>
      <c r="AB1098" t="s">
        <v>181</v>
      </c>
    </row>
    <row r="1099" spans="1:28" x14ac:dyDescent="0.25">
      <c r="A1099" t="s">
        <v>3842</v>
      </c>
      <c r="B1099" t="s">
        <v>3843</v>
      </c>
      <c r="C1099" t="s">
        <v>646</v>
      </c>
      <c r="D1099" t="s">
        <v>3779</v>
      </c>
      <c r="E1099" t="s">
        <v>647</v>
      </c>
      <c r="F1099" t="s">
        <v>3780</v>
      </c>
      <c r="G1099" t="s">
        <v>769</v>
      </c>
      <c r="H1099" t="s">
        <v>1045</v>
      </c>
      <c r="I1099" t="s">
        <v>3844</v>
      </c>
      <c r="J1099" t="s">
        <v>3845</v>
      </c>
      <c r="K1099" t="s">
        <v>166</v>
      </c>
      <c r="L1099" t="s">
        <v>0</v>
      </c>
      <c r="M1099" t="s">
        <v>178</v>
      </c>
      <c r="N1099">
        <v>2</v>
      </c>
      <c r="O1099">
        <v>2</v>
      </c>
      <c r="P1099">
        <v>20</v>
      </c>
      <c r="Q1099">
        <v>94.06</v>
      </c>
      <c r="R1099">
        <v>13.12</v>
      </c>
      <c r="S1099">
        <v>14</v>
      </c>
      <c r="T1099">
        <v>0</v>
      </c>
      <c r="U1099">
        <v>0</v>
      </c>
      <c r="V1099">
        <v>13.12</v>
      </c>
      <c r="W1099" t="s">
        <v>3846</v>
      </c>
      <c r="X1099" t="s">
        <v>271</v>
      </c>
      <c r="Y1099" t="s">
        <v>3847</v>
      </c>
      <c r="AA1099" t="s">
        <v>3848</v>
      </c>
      <c r="AB1099" t="s">
        <v>181</v>
      </c>
    </row>
    <row r="1100" spans="1:28" x14ac:dyDescent="0.25">
      <c r="A1100" t="s">
        <v>4236</v>
      </c>
      <c r="B1100" t="s">
        <v>4237</v>
      </c>
      <c r="C1100" t="s">
        <v>646</v>
      </c>
      <c r="D1100" t="s">
        <v>3779</v>
      </c>
      <c r="E1100" t="s">
        <v>647</v>
      </c>
      <c r="F1100" t="s">
        <v>3780</v>
      </c>
      <c r="G1100" t="s">
        <v>769</v>
      </c>
      <c r="H1100" t="s">
        <v>708</v>
      </c>
      <c r="I1100" t="s">
        <v>1546</v>
      </c>
      <c r="J1100" t="s">
        <v>1547</v>
      </c>
      <c r="K1100" t="s">
        <v>166</v>
      </c>
      <c r="L1100" t="s">
        <v>0</v>
      </c>
      <c r="M1100" t="s">
        <v>178</v>
      </c>
      <c r="N1100">
        <v>2</v>
      </c>
      <c r="O1100">
        <v>0</v>
      </c>
      <c r="P1100">
        <v>12</v>
      </c>
      <c r="Q1100">
        <v>59</v>
      </c>
      <c r="R1100">
        <v>5.04</v>
      </c>
      <c r="S1100">
        <v>0</v>
      </c>
      <c r="T1100">
        <v>0</v>
      </c>
      <c r="U1100">
        <v>0</v>
      </c>
      <c r="V1100">
        <v>5.04</v>
      </c>
      <c r="W1100" t="s">
        <v>1548</v>
      </c>
      <c r="X1100" t="s">
        <v>271</v>
      </c>
      <c r="Y1100" t="s">
        <v>4238</v>
      </c>
      <c r="AA1100" t="s">
        <v>4239</v>
      </c>
      <c r="AB1100" t="s">
        <v>181</v>
      </c>
    </row>
    <row r="1101" spans="1:28" x14ac:dyDescent="0.25">
      <c r="A1101" t="s">
        <v>4370</v>
      </c>
      <c r="B1101" t="s">
        <v>4371</v>
      </c>
      <c r="C1101" t="s">
        <v>646</v>
      </c>
      <c r="D1101" t="s">
        <v>3779</v>
      </c>
      <c r="E1101" t="s">
        <v>647</v>
      </c>
      <c r="F1101" t="s">
        <v>666</v>
      </c>
      <c r="G1101" t="s">
        <v>666</v>
      </c>
      <c r="H1101" t="s">
        <v>1515</v>
      </c>
      <c r="I1101" t="s">
        <v>4372</v>
      </c>
      <c r="J1101" t="s">
        <v>355</v>
      </c>
      <c r="K1101" t="s">
        <v>166</v>
      </c>
      <c r="L1101" t="s">
        <v>0</v>
      </c>
      <c r="M1101" t="s">
        <v>178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 t="s">
        <v>0</v>
      </c>
      <c r="X1101" t="s">
        <v>271</v>
      </c>
      <c r="Y1101" t="s">
        <v>4373</v>
      </c>
      <c r="AA1101" t="s">
        <v>3894</v>
      </c>
      <c r="AB1101" t="s">
        <v>181</v>
      </c>
    </row>
    <row r="1102" spans="1:28" x14ac:dyDescent="0.25">
      <c r="A1102" t="s">
        <v>4113</v>
      </c>
      <c r="B1102" t="s">
        <v>4114</v>
      </c>
      <c r="C1102" t="s">
        <v>646</v>
      </c>
      <c r="D1102" t="s">
        <v>3779</v>
      </c>
      <c r="E1102" t="s">
        <v>647</v>
      </c>
      <c r="F1102" t="s">
        <v>3780</v>
      </c>
      <c r="G1102" t="s">
        <v>769</v>
      </c>
      <c r="H1102" t="s">
        <v>1515</v>
      </c>
      <c r="I1102" t="s">
        <v>1913</v>
      </c>
      <c r="J1102" t="s">
        <v>1914</v>
      </c>
      <c r="K1102" t="s">
        <v>166</v>
      </c>
      <c r="L1102" t="s">
        <v>0</v>
      </c>
      <c r="M1102" t="s">
        <v>178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 t="s">
        <v>1915</v>
      </c>
      <c r="X1102" t="s">
        <v>269</v>
      </c>
      <c r="Y1102" t="s">
        <v>4115</v>
      </c>
      <c r="AA1102" t="s">
        <v>4116</v>
      </c>
      <c r="AB1102" t="s">
        <v>181</v>
      </c>
    </row>
    <row r="1103" spans="1:28" x14ac:dyDescent="0.25">
      <c r="A1103" t="s">
        <v>4353</v>
      </c>
      <c r="B1103" t="s">
        <v>4354</v>
      </c>
      <c r="C1103" t="s">
        <v>646</v>
      </c>
      <c r="D1103" t="s">
        <v>3779</v>
      </c>
      <c r="E1103" t="s">
        <v>647</v>
      </c>
      <c r="F1103" t="s">
        <v>3780</v>
      </c>
      <c r="G1103" t="s">
        <v>769</v>
      </c>
      <c r="H1103" t="s">
        <v>703</v>
      </c>
      <c r="I1103" t="s">
        <v>1160</v>
      </c>
      <c r="J1103" t="s">
        <v>336</v>
      </c>
      <c r="K1103" t="s">
        <v>166</v>
      </c>
      <c r="L1103" t="s">
        <v>0</v>
      </c>
      <c r="M1103" t="s">
        <v>178</v>
      </c>
      <c r="N1103">
        <v>518.58420000000001</v>
      </c>
      <c r="O1103">
        <v>372.33390000000003</v>
      </c>
      <c r="P1103">
        <v>12749.08</v>
      </c>
      <c r="Q1103">
        <v>20765.91</v>
      </c>
      <c r="R1103">
        <v>6937.4631607199999</v>
      </c>
      <c r="S1103">
        <v>3184.7488407800001</v>
      </c>
      <c r="T1103">
        <v>3.1607200000000001E-3</v>
      </c>
      <c r="U1103">
        <v>0</v>
      </c>
      <c r="V1103">
        <v>6937.46</v>
      </c>
      <c r="W1103" t="s">
        <v>461</v>
      </c>
      <c r="X1103" t="s">
        <v>271</v>
      </c>
      <c r="Y1103" t="s">
        <v>4355</v>
      </c>
      <c r="AA1103" t="s">
        <v>4356</v>
      </c>
      <c r="AB1103" t="s">
        <v>181</v>
      </c>
    </row>
    <row r="1104" spans="1:28" x14ac:dyDescent="0.25">
      <c r="A1104" t="s">
        <v>3895</v>
      </c>
      <c r="B1104" t="s">
        <v>3896</v>
      </c>
      <c r="C1104" t="s">
        <v>646</v>
      </c>
      <c r="D1104" t="s">
        <v>3779</v>
      </c>
      <c r="E1104" t="s">
        <v>647</v>
      </c>
      <c r="F1104" t="s">
        <v>3780</v>
      </c>
      <c r="G1104" t="s">
        <v>769</v>
      </c>
      <c r="H1104" t="s">
        <v>683</v>
      </c>
      <c r="I1104" t="s">
        <v>3897</v>
      </c>
      <c r="J1104" t="s">
        <v>437</v>
      </c>
      <c r="K1104" t="s">
        <v>166</v>
      </c>
      <c r="L1104" t="s">
        <v>0</v>
      </c>
      <c r="M1104" t="s">
        <v>178</v>
      </c>
      <c r="N1104">
        <v>517.66660000000002</v>
      </c>
      <c r="O1104">
        <v>176.16659999999999</v>
      </c>
      <c r="P1104">
        <v>11695.98</v>
      </c>
      <c r="Q1104">
        <v>16289.48</v>
      </c>
      <c r="R1104">
        <v>1103.06399517</v>
      </c>
      <c r="S1104">
        <v>2364.8428723500001</v>
      </c>
      <c r="T1104">
        <v>1.0239951700000001</v>
      </c>
      <c r="U1104">
        <v>0</v>
      </c>
      <c r="V1104">
        <v>1102.04</v>
      </c>
      <c r="W1104" t="s">
        <v>510</v>
      </c>
      <c r="X1104" t="s">
        <v>271</v>
      </c>
      <c r="Y1104" t="s">
        <v>3898</v>
      </c>
      <c r="AA1104" t="s">
        <v>3899</v>
      </c>
      <c r="AB1104" t="s">
        <v>181</v>
      </c>
    </row>
    <row r="1105" spans="1:28" x14ac:dyDescent="0.25">
      <c r="A1105" t="s">
        <v>4035</v>
      </c>
      <c r="B1105" t="s">
        <v>4036</v>
      </c>
      <c r="C1105" t="s">
        <v>646</v>
      </c>
      <c r="D1105" t="s">
        <v>3779</v>
      </c>
      <c r="E1105" t="s">
        <v>647</v>
      </c>
      <c r="F1105" t="s">
        <v>3780</v>
      </c>
      <c r="G1105" t="s">
        <v>769</v>
      </c>
      <c r="H1105" t="s">
        <v>683</v>
      </c>
      <c r="I1105" t="s">
        <v>3464</v>
      </c>
      <c r="J1105" t="s">
        <v>688</v>
      </c>
      <c r="K1105" t="s">
        <v>166</v>
      </c>
      <c r="L1105" t="s">
        <v>0</v>
      </c>
      <c r="M1105" t="s">
        <v>178</v>
      </c>
      <c r="N1105">
        <v>192</v>
      </c>
      <c r="O1105">
        <v>157</v>
      </c>
      <c r="P1105">
        <v>3735</v>
      </c>
      <c r="Q1105">
        <v>7767.1</v>
      </c>
      <c r="R1105">
        <v>1697.47164507</v>
      </c>
      <c r="S1105">
        <v>1657.16311935</v>
      </c>
      <c r="T1105">
        <v>0.42164507000000001</v>
      </c>
      <c r="U1105">
        <v>0</v>
      </c>
      <c r="V1105">
        <v>1697.05</v>
      </c>
      <c r="W1105" t="s">
        <v>0</v>
      </c>
      <c r="X1105" t="s">
        <v>271</v>
      </c>
      <c r="Y1105" t="s">
        <v>4037</v>
      </c>
      <c r="AA1105" t="s">
        <v>4038</v>
      </c>
      <c r="AB1105" t="s">
        <v>181</v>
      </c>
    </row>
    <row r="1106" spans="1:28" x14ac:dyDescent="0.25">
      <c r="A1106" t="s">
        <v>4069</v>
      </c>
      <c r="B1106" t="s">
        <v>4070</v>
      </c>
      <c r="C1106" t="s">
        <v>646</v>
      </c>
      <c r="D1106" t="s">
        <v>3779</v>
      </c>
      <c r="E1106" t="s">
        <v>647</v>
      </c>
      <c r="F1106" t="s">
        <v>3780</v>
      </c>
      <c r="G1106" t="s">
        <v>769</v>
      </c>
      <c r="H1106" t="s">
        <v>703</v>
      </c>
      <c r="I1106" t="s">
        <v>4071</v>
      </c>
      <c r="J1106" t="s">
        <v>785</v>
      </c>
      <c r="K1106" t="s">
        <v>166</v>
      </c>
      <c r="L1106" t="s">
        <v>0</v>
      </c>
      <c r="M1106" t="s">
        <v>178</v>
      </c>
      <c r="N1106">
        <v>267.16669999999999</v>
      </c>
      <c r="O1106">
        <v>99.75</v>
      </c>
      <c r="P1106">
        <v>5927.29</v>
      </c>
      <c r="Q1106">
        <v>11287.34</v>
      </c>
      <c r="R1106">
        <v>857.94090351</v>
      </c>
      <c r="S1106">
        <v>1862.6432367</v>
      </c>
      <c r="T1106">
        <v>0.73090350999999998</v>
      </c>
      <c r="U1106">
        <v>0</v>
      </c>
      <c r="V1106">
        <v>857.21</v>
      </c>
      <c r="W1106" t="s">
        <v>0</v>
      </c>
      <c r="X1106" t="s">
        <v>271</v>
      </c>
      <c r="Y1106" t="s">
        <v>4072</v>
      </c>
      <c r="AA1106" t="s">
        <v>4073</v>
      </c>
      <c r="AB1106" t="s">
        <v>181</v>
      </c>
    </row>
    <row r="1107" spans="1:28" x14ac:dyDescent="0.25">
      <c r="A1107" t="s">
        <v>4123</v>
      </c>
      <c r="B1107" t="s">
        <v>4124</v>
      </c>
      <c r="C1107" t="s">
        <v>646</v>
      </c>
      <c r="D1107" t="s">
        <v>3779</v>
      </c>
      <c r="E1107" t="s">
        <v>647</v>
      </c>
      <c r="F1107" t="s">
        <v>3780</v>
      </c>
      <c r="G1107" t="s">
        <v>769</v>
      </c>
      <c r="H1107" t="s">
        <v>703</v>
      </c>
      <c r="I1107" t="s">
        <v>746</v>
      </c>
      <c r="J1107" t="s">
        <v>504</v>
      </c>
      <c r="K1107" t="s">
        <v>166</v>
      </c>
      <c r="L1107" t="s">
        <v>0</v>
      </c>
      <c r="M1107" t="s">
        <v>178</v>
      </c>
      <c r="N1107">
        <v>414.83339999999998</v>
      </c>
      <c r="O1107">
        <v>210.08340000000001</v>
      </c>
      <c r="P1107">
        <v>9393.7099999999991</v>
      </c>
      <c r="Q1107">
        <v>13884.05</v>
      </c>
      <c r="R1107">
        <v>1052.8721238999999</v>
      </c>
      <c r="S1107">
        <v>2757.0004065399999</v>
      </c>
      <c r="T1107">
        <v>-0.24787609999999999</v>
      </c>
      <c r="U1107">
        <v>0</v>
      </c>
      <c r="V1107">
        <v>1053.1199999999999</v>
      </c>
      <c r="W1107" t="s">
        <v>503</v>
      </c>
      <c r="X1107" t="s">
        <v>271</v>
      </c>
      <c r="Y1107" t="s">
        <v>4125</v>
      </c>
      <c r="AA1107" t="s">
        <v>4126</v>
      </c>
      <c r="AB1107" t="s">
        <v>181</v>
      </c>
    </row>
    <row r="1108" spans="1:28" x14ac:dyDescent="0.25">
      <c r="A1108" t="s">
        <v>3913</v>
      </c>
      <c r="B1108" t="s">
        <v>3914</v>
      </c>
      <c r="C1108" t="s">
        <v>646</v>
      </c>
      <c r="D1108" t="s">
        <v>3779</v>
      </c>
      <c r="E1108" t="s">
        <v>647</v>
      </c>
      <c r="F1108" t="s">
        <v>3780</v>
      </c>
      <c r="G1108" t="s">
        <v>769</v>
      </c>
      <c r="H1108" t="s">
        <v>672</v>
      </c>
      <c r="I1108" t="s">
        <v>984</v>
      </c>
      <c r="J1108" t="s">
        <v>985</v>
      </c>
      <c r="K1108" t="s">
        <v>166</v>
      </c>
      <c r="L1108" t="s">
        <v>0</v>
      </c>
      <c r="M1108" t="s">
        <v>178</v>
      </c>
      <c r="N1108">
        <v>92</v>
      </c>
      <c r="O1108">
        <v>65</v>
      </c>
      <c r="P1108">
        <v>1709.17</v>
      </c>
      <c r="Q1108">
        <v>4579.55</v>
      </c>
      <c r="R1108">
        <v>667.14296560000003</v>
      </c>
      <c r="S1108">
        <v>960.33608278999998</v>
      </c>
      <c r="T1108">
        <v>-5.7034399999999999E-2</v>
      </c>
      <c r="U1108">
        <v>0</v>
      </c>
      <c r="V1108">
        <v>667.2</v>
      </c>
      <c r="W1108" t="s">
        <v>986</v>
      </c>
      <c r="X1108" t="s">
        <v>271</v>
      </c>
      <c r="Y1108" t="s">
        <v>3915</v>
      </c>
      <c r="AA1108" t="s">
        <v>3916</v>
      </c>
      <c r="AB1108" t="s">
        <v>181</v>
      </c>
    </row>
    <row r="1109" spans="1:28" x14ac:dyDescent="0.25">
      <c r="A1109" t="s">
        <v>4265</v>
      </c>
      <c r="B1109" t="s">
        <v>4266</v>
      </c>
      <c r="C1109" t="s">
        <v>646</v>
      </c>
      <c r="D1109" t="s">
        <v>3779</v>
      </c>
      <c r="E1109" t="s">
        <v>647</v>
      </c>
      <c r="F1109" t="s">
        <v>666</v>
      </c>
      <c r="G1109" t="s">
        <v>666</v>
      </c>
      <c r="H1109" t="s">
        <v>708</v>
      </c>
      <c r="I1109" t="s">
        <v>4267</v>
      </c>
      <c r="J1109" t="s">
        <v>326</v>
      </c>
      <c r="K1109" t="s">
        <v>166</v>
      </c>
      <c r="L1109" t="s">
        <v>0</v>
      </c>
      <c r="M1109" t="s">
        <v>178</v>
      </c>
      <c r="N1109">
        <v>18</v>
      </c>
      <c r="O1109">
        <v>12</v>
      </c>
      <c r="P1109">
        <v>139.16</v>
      </c>
      <c r="Q1109">
        <v>296.26</v>
      </c>
      <c r="R1109">
        <v>-25.41</v>
      </c>
      <c r="S1109">
        <v>100.53276884</v>
      </c>
      <c r="T1109">
        <v>0</v>
      </c>
      <c r="U1109">
        <v>60.78</v>
      </c>
      <c r="V1109">
        <v>35.369999999999997</v>
      </c>
      <c r="W1109" t="s">
        <v>450</v>
      </c>
      <c r="X1109" t="s">
        <v>271</v>
      </c>
      <c r="Y1109" t="s">
        <v>4268</v>
      </c>
      <c r="AA1109" t="s">
        <v>4269</v>
      </c>
      <c r="AB1109" t="s">
        <v>181</v>
      </c>
    </row>
    <row r="1110" spans="1:28" x14ac:dyDescent="0.25">
      <c r="A1110" t="s">
        <v>4223</v>
      </c>
      <c r="B1110" t="s">
        <v>4224</v>
      </c>
      <c r="C1110" t="s">
        <v>646</v>
      </c>
      <c r="D1110" t="s">
        <v>3779</v>
      </c>
      <c r="E1110" t="s">
        <v>647</v>
      </c>
      <c r="F1110" t="s">
        <v>3780</v>
      </c>
      <c r="G1110" t="s">
        <v>769</v>
      </c>
      <c r="H1110" t="s">
        <v>757</v>
      </c>
      <c r="I1110" t="s">
        <v>4225</v>
      </c>
      <c r="J1110" t="s">
        <v>336</v>
      </c>
      <c r="K1110" t="s">
        <v>166</v>
      </c>
      <c r="L1110" t="s">
        <v>0</v>
      </c>
      <c r="M1110" t="s">
        <v>178</v>
      </c>
      <c r="N1110">
        <v>151</v>
      </c>
      <c r="O1110">
        <v>144</v>
      </c>
      <c r="P1110">
        <v>3850.97</v>
      </c>
      <c r="Q1110">
        <v>8042.04</v>
      </c>
      <c r="R1110">
        <v>1408.49</v>
      </c>
      <c r="S1110">
        <v>1344.2731534</v>
      </c>
      <c r="T1110">
        <v>0</v>
      </c>
      <c r="U1110">
        <v>0</v>
      </c>
      <c r="V1110">
        <v>1408.49</v>
      </c>
      <c r="W1110" t="s">
        <v>461</v>
      </c>
      <c r="X1110" t="s">
        <v>271</v>
      </c>
      <c r="Y1110" t="s">
        <v>4226</v>
      </c>
      <c r="AA1110" t="s">
        <v>4227</v>
      </c>
      <c r="AB1110" t="s">
        <v>181</v>
      </c>
    </row>
    <row r="1111" spans="1:28" x14ac:dyDescent="0.25">
      <c r="A1111" t="s">
        <v>3998</v>
      </c>
      <c r="B1111" t="s">
        <v>3999</v>
      </c>
      <c r="C1111" t="s">
        <v>646</v>
      </c>
      <c r="D1111" t="s">
        <v>3779</v>
      </c>
      <c r="E1111" t="s">
        <v>647</v>
      </c>
      <c r="F1111" t="s">
        <v>3780</v>
      </c>
      <c r="G1111" t="s">
        <v>769</v>
      </c>
      <c r="H1111" t="s">
        <v>770</v>
      </c>
      <c r="I1111" t="s">
        <v>1636</v>
      </c>
      <c r="J1111" t="s">
        <v>1637</v>
      </c>
      <c r="K1111" t="s">
        <v>166</v>
      </c>
      <c r="L1111" t="s">
        <v>0</v>
      </c>
      <c r="M1111" t="s">
        <v>178</v>
      </c>
      <c r="N1111">
        <v>843.75</v>
      </c>
      <c r="O1111">
        <v>169.75</v>
      </c>
      <c r="P1111">
        <v>7654.55</v>
      </c>
      <c r="Q1111">
        <v>15189.1</v>
      </c>
      <c r="R1111">
        <v>2398.09</v>
      </c>
      <c r="S1111">
        <v>2413.55726091</v>
      </c>
      <c r="T1111">
        <v>0</v>
      </c>
      <c r="U1111">
        <v>0</v>
      </c>
      <c r="V1111">
        <v>2388.27</v>
      </c>
      <c r="W1111" t="s">
        <v>1638</v>
      </c>
      <c r="X1111" t="s">
        <v>271</v>
      </c>
      <c r="Y1111" t="s">
        <v>4000</v>
      </c>
      <c r="AA1111" t="s">
        <v>4001</v>
      </c>
      <c r="AB1111" t="s">
        <v>181</v>
      </c>
    </row>
    <row r="1112" spans="1:28" x14ac:dyDescent="0.25">
      <c r="A1112" t="s">
        <v>4337</v>
      </c>
      <c r="B1112" t="s">
        <v>4338</v>
      </c>
      <c r="C1112" t="s">
        <v>646</v>
      </c>
      <c r="D1112" t="s">
        <v>3779</v>
      </c>
      <c r="E1112" t="s">
        <v>647</v>
      </c>
      <c r="F1112" t="s">
        <v>3780</v>
      </c>
      <c r="G1112" t="s">
        <v>769</v>
      </c>
      <c r="H1112" t="s">
        <v>713</v>
      </c>
      <c r="I1112" t="s">
        <v>4339</v>
      </c>
      <c r="J1112" t="s">
        <v>821</v>
      </c>
      <c r="K1112" t="s">
        <v>166</v>
      </c>
      <c r="L1112" t="s">
        <v>0</v>
      </c>
      <c r="M1112" t="s">
        <v>178</v>
      </c>
      <c r="N1112">
        <v>171.75</v>
      </c>
      <c r="O1112">
        <v>7.75</v>
      </c>
      <c r="P1112">
        <v>4650.17</v>
      </c>
      <c r="Q1112">
        <v>4159.6000000000004</v>
      </c>
      <c r="R1112">
        <v>683.14146450999999</v>
      </c>
      <c r="S1112">
        <v>318.02895706999999</v>
      </c>
      <c r="T1112">
        <v>9.0414645100000008</v>
      </c>
      <c r="U1112">
        <v>0</v>
      </c>
      <c r="V1112">
        <v>674.1</v>
      </c>
      <c r="W1112" t="s">
        <v>822</v>
      </c>
      <c r="X1112" t="s">
        <v>269</v>
      </c>
      <c r="Y1112" t="s">
        <v>4340</v>
      </c>
      <c r="AA1112" t="s">
        <v>4341</v>
      </c>
      <c r="AB1112" t="s">
        <v>181</v>
      </c>
    </row>
    <row r="1113" spans="1:28" x14ac:dyDescent="0.25">
      <c r="A1113" t="s">
        <v>4113</v>
      </c>
      <c r="B1113" t="s">
        <v>4114</v>
      </c>
      <c r="C1113" t="s">
        <v>646</v>
      </c>
      <c r="D1113" t="s">
        <v>3779</v>
      </c>
      <c r="E1113" t="s">
        <v>647</v>
      </c>
      <c r="F1113" t="s">
        <v>3780</v>
      </c>
      <c r="G1113" t="s">
        <v>769</v>
      </c>
      <c r="H1113" t="s">
        <v>672</v>
      </c>
      <c r="I1113" t="s">
        <v>1913</v>
      </c>
      <c r="J1113" t="s">
        <v>1914</v>
      </c>
      <c r="K1113" t="s">
        <v>166</v>
      </c>
      <c r="L1113" t="s">
        <v>0</v>
      </c>
      <c r="M1113" t="s">
        <v>178</v>
      </c>
      <c r="N1113">
        <v>191</v>
      </c>
      <c r="O1113">
        <v>164</v>
      </c>
      <c r="P1113">
        <v>3917.4</v>
      </c>
      <c r="Q1113">
        <v>10910.6</v>
      </c>
      <c r="R1113">
        <v>1670.7849373399999</v>
      </c>
      <c r="S1113">
        <v>2016.63559083</v>
      </c>
      <c r="T1113">
        <v>0.28493733999999998</v>
      </c>
      <c r="U1113">
        <v>0</v>
      </c>
      <c r="V1113">
        <v>1670.5</v>
      </c>
      <c r="W1113" t="s">
        <v>1915</v>
      </c>
      <c r="X1113" t="s">
        <v>269</v>
      </c>
      <c r="Y1113" t="s">
        <v>4115</v>
      </c>
      <c r="AA1113" t="s">
        <v>4116</v>
      </c>
      <c r="AB1113" t="s">
        <v>181</v>
      </c>
    </row>
    <row r="1114" spans="1:28" x14ac:dyDescent="0.25">
      <c r="A1114" t="s">
        <v>4194</v>
      </c>
      <c r="B1114" t="s">
        <v>4195</v>
      </c>
      <c r="C1114" t="s">
        <v>646</v>
      </c>
      <c r="D1114" t="s">
        <v>3779</v>
      </c>
      <c r="E1114" t="s">
        <v>647</v>
      </c>
      <c r="F1114" t="s">
        <v>3780</v>
      </c>
      <c r="G1114" t="s">
        <v>769</v>
      </c>
      <c r="H1114" t="s">
        <v>1045</v>
      </c>
      <c r="I1114" t="s">
        <v>1190</v>
      </c>
      <c r="J1114" t="s">
        <v>1191</v>
      </c>
      <c r="K1114" t="s">
        <v>166</v>
      </c>
      <c r="L1114" t="s">
        <v>0</v>
      </c>
      <c r="M1114" t="s">
        <v>178</v>
      </c>
      <c r="N1114">
        <v>19</v>
      </c>
      <c r="O1114">
        <v>10</v>
      </c>
      <c r="P1114">
        <v>205</v>
      </c>
      <c r="Q1114">
        <v>818.33</v>
      </c>
      <c r="R1114">
        <v>53.63</v>
      </c>
      <c r="S1114">
        <v>58.584162739999996</v>
      </c>
      <c r="T1114">
        <v>0</v>
      </c>
      <c r="U1114">
        <v>0</v>
      </c>
      <c r="V1114">
        <v>53.63</v>
      </c>
      <c r="W1114" t="s">
        <v>282</v>
      </c>
      <c r="X1114" t="s">
        <v>271</v>
      </c>
      <c r="Y1114" t="s">
        <v>4059</v>
      </c>
      <c r="AA1114" t="s">
        <v>2171</v>
      </c>
      <c r="AB1114" t="s">
        <v>181</v>
      </c>
    </row>
    <row r="1115" spans="1:28" x14ac:dyDescent="0.25">
      <c r="A1115" t="s">
        <v>4275</v>
      </c>
      <c r="B1115" t="s">
        <v>4276</v>
      </c>
      <c r="C1115" t="s">
        <v>646</v>
      </c>
      <c r="D1115" t="s">
        <v>3779</v>
      </c>
      <c r="E1115" t="s">
        <v>647</v>
      </c>
      <c r="F1115" t="s">
        <v>3780</v>
      </c>
      <c r="G1115" t="s">
        <v>769</v>
      </c>
      <c r="H1115" t="s">
        <v>713</v>
      </c>
      <c r="I1115" t="s">
        <v>4277</v>
      </c>
      <c r="J1115" t="s">
        <v>562</v>
      </c>
      <c r="K1115" t="s">
        <v>166</v>
      </c>
      <c r="L1115" t="s">
        <v>0</v>
      </c>
      <c r="M1115" t="s">
        <v>178</v>
      </c>
      <c r="N1115">
        <v>557</v>
      </c>
      <c r="O1115">
        <v>0</v>
      </c>
      <c r="P1115">
        <v>11676.3</v>
      </c>
      <c r="Q1115">
        <v>13576.82</v>
      </c>
      <c r="R1115">
        <v>638.52279231</v>
      </c>
      <c r="S1115">
        <v>9.0109556800000004</v>
      </c>
      <c r="T1115">
        <v>40.462792309999998</v>
      </c>
      <c r="U1115">
        <v>0</v>
      </c>
      <c r="V1115">
        <v>598.05999999999995</v>
      </c>
      <c r="W1115" t="s">
        <v>0</v>
      </c>
      <c r="X1115" t="s">
        <v>271</v>
      </c>
      <c r="Y1115" t="s">
        <v>4278</v>
      </c>
      <c r="AA1115" t="s">
        <v>4279</v>
      </c>
      <c r="AB1115" t="s">
        <v>181</v>
      </c>
    </row>
    <row r="1116" spans="1:28" x14ac:dyDescent="0.25">
      <c r="A1116" t="s">
        <v>4147</v>
      </c>
      <c r="B1116" t="s">
        <v>4148</v>
      </c>
      <c r="C1116" t="s">
        <v>646</v>
      </c>
      <c r="D1116" t="s">
        <v>3779</v>
      </c>
      <c r="E1116" t="s">
        <v>647</v>
      </c>
      <c r="F1116" t="s">
        <v>3780</v>
      </c>
      <c r="G1116" t="s">
        <v>769</v>
      </c>
      <c r="H1116" t="s">
        <v>713</v>
      </c>
      <c r="I1116" t="s">
        <v>1301</v>
      </c>
      <c r="J1116" t="s">
        <v>1302</v>
      </c>
      <c r="K1116" t="s">
        <v>166</v>
      </c>
      <c r="L1116" t="s">
        <v>0</v>
      </c>
      <c r="M1116" t="s">
        <v>178</v>
      </c>
      <c r="N1116">
        <v>44</v>
      </c>
      <c r="O1116">
        <v>8</v>
      </c>
      <c r="P1116">
        <v>772.21</v>
      </c>
      <c r="Q1116">
        <v>4517.3100000000004</v>
      </c>
      <c r="R1116">
        <v>438.44110290999998</v>
      </c>
      <c r="S1116">
        <v>277.03768325999999</v>
      </c>
      <c r="T1116">
        <v>-7.8897090000000003E-2</v>
      </c>
      <c r="U1116">
        <v>0</v>
      </c>
      <c r="V1116">
        <v>438.52</v>
      </c>
      <c r="W1116" t="s">
        <v>1303</v>
      </c>
      <c r="X1116" t="s">
        <v>269</v>
      </c>
      <c r="Y1116" t="s">
        <v>4149</v>
      </c>
      <c r="AA1116" t="s">
        <v>4150</v>
      </c>
      <c r="AB1116" t="s">
        <v>181</v>
      </c>
    </row>
    <row r="1117" spans="1:28" x14ac:dyDescent="0.25">
      <c r="A1117" t="s">
        <v>4184</v>
      </c>
      <c r="B1117" t="s">
        <v>4185</v>
      </c>
      <c r="C1117" t="s">
        <v>646</v>
      </c>
      <c r="D1117" t="s">
        <v>3779</v>
      </c>
      <c r="E1117" t="s">
        <v>647</v>
      </c>
      <c r="F1117" t="s">
        <v>3780</v>
      </c>
      <c r="G1117" t="s">
        <v>769</v>
      </c>
      <c r="H1117" t="s">
        <v>802</v>
      </c>
      <c r="I1117" t="s">
        <v>4186</v>
      </c>
      <c r="J1117" t="s">
        <v>1164</v>
      </c>
      <c r="K1117" t="s">
        <v>166</v>
      </c>
      <c r="L1117" t="s">
        <v>0</v>
      </c>
      <c r="M1117" t="s">
        <v>178</v>
      </c>
      <c r="N1117">
        <v>262.29020000000003</v>
      </c>
      <c r="O1117">
        <v>230.6652</v>
      </c>
      <c r="P1117">
        <v>3667.98</v>
      </c>
      <c r="Q1117">
        <v>12385.38</v>
      </c>
      <c r="R1117">
        <v>2025.04</v>
      </c>
      <c r="S1117">
        <v>1391.4992607900001</v>
      </c>
      <c r="T1117">
        <v>0</v>
      </c>
      <c r="U1117">
        <v>56.09</v>
      </c>
      <c r="V1117">
        <v>2081.13</v>
      </c>
      <c r="W1117" t="s">
        <v>1165</v>
      </c>
      <c r="X1117" t="s">
        <v>271</v>
      </c>
      <c r="Y1117" t="s">
        <v>4187</v>
      </c>
      <c r="AA1117" t="s">
        <v>4188</v>
      </c>
      <c r="AB1117" t="s">
        <v>181</v>
      </c>
    </row>
    <row r="1118" spans="1:28" x14ac:dyDescent="0.25">
      <c r="A1118" t="s">
        <v>4123</v>
      </c>
      <c r="B1118" t="s">
        <v>4124</v>
      </c>
      <c r="C1118" t="s">
        <v>646</v>
      </c>
      <c r="D1118" t="s">
        <v>3779</v>
      </c>
      <c r="E1118" t="s">
        <v>647</v>
      </c>
      <c r="F1118" t="s">
        <v>3780</v>
      </c>
      <c r="G1118" t="s">
        <v>769</v>
      </c>
      <c r="H1118" t="s">
        <v>802</v>
      </c>
      <c r="I1118" t="s">
        <v>746</v>
      </c>
      <c r="J1118" t="s">
        <v>504</v>
      </c>
      <c r="K1118" t="s">
        <v>166</v>
      </c>
      <c r="L1118" t="s">
        <v>0</v>
      </c>
      <c r="M1118" t="s">
        <v>178</v>
      </c>
      <c r="N1118">
        <v>76.166600000000003</v>
      </c>
      <c r="O1118">
        <v>64.166600000000003</v>
      </c>
      <c r="P1118">
        <v>1148</v>
      </c>
      <c r="Q1118">
        <v>3215.91</v>
      </c>
      <c r="R1118">
        <v>261.04000000000002</v>
      </c>
      <c r="S1118">
        <v>351.66961614000002</v>
      </c>
      <c r="T1118">
        <v>0</v>
      </c>
      <c r="U1118">
        <v>0</v>
      </c>
      <c r="V1118">
        <v>261.04000000000002</v>
      </c>
      <c r="W1118" t="s">
        <v>503</v>
      </c>
      <c r="X1118" t="s">
        <v>271</v>
      </c>
      <c r="Y1118" t="s">
        <v>4125</v>
      </c>
      <c r="AA1118" t="s">
        <v>4126</v>
      </c>
      <c r="AB1118" t="s">
        <v>181</v>
      </c>
    </row>
    <row r="1119" spans="1:28" x14ac:dyDescent="0.25">
      <c r="A1119" t="s">
        <v>3801</v>
      </c>
      <c r="B1119" t="s">
        <v>3802</v>
      </c>
      <c r="C1119" t="s">
        <v>646</v>
      </c>
      <c r="D1119" t="s">
        <v>3779</v>
      </c>
      <c r="E1119" t="s">
        <v>647</v>
      </c>
      <c r="F1119" t="s">
        <v>666</v>
      </c>
      <c r="G1119" t="s">
        <v>666</v>
      </c>
      <c r="H1119" t="s">
        <v>757</v>
      </c>
      <c r="I1119" t="s">
        <v>3803</v>
      </c>
      <c r="J1119" t="s">
        <v>2577</v>
      </c>
      <c r="K1119" t="s">
        <v>166</v>
      </c>
      <c r="L1119" t="s">
        <v>0</v>
      </c>
      <c r="M1119" t="s">
        <v>178</v>
      </c>
      <c r="N1119">
        <v>129</v>
      </c>
      <c r="O1119">
        <v>97</v>
      </c>
      <c r="P1119">
        <v>3023.4</v>
      </c>
      <c r="Q1119">
        <v>5142.22</v>
      </c>
      <c r="R1119">
        <v>1009.21</v>
      </c>
      <c r="S1119">
        <v>671.21198905000006</v>
      </c>
      <c r="T1119">
        <v>4.2</v>
      </c>
      <c r="U1119">
        <v>0</v>
      </c>
      <c r="V1119">
        <v>1005.01</v>
      </c>
      <c r="W1119" t="s">
        <v>2578</v>
      </c>
      <c r="X1119" t="s">
        <v>271</v>
      </c>
      <c r="Y1119" t="s">
        <v>3804</v>
      </c>
      <c r="AA1119" t="s">
        <v>3805</v>
      </c>
      <c r="AB1119" t="s">
        <v>181</v>
      </c>
    </row>
    <row r="1120" spans="1:28" x14ac:dyDescent="0.25">
      <c r="A1120" t="s">
        <v>4074</v>
      </c>
      <c r="B1120" t="s">
        <v>4075</v>
      </c>
      <c r="C1120" t="s">
        <v>646</v>
      </c>
      <c r="D1120" t="s">
        <v>3779</v>
      </c>
      <c r="E1120" t="s">
        <v>647</v>
      </c>
      <c r="F1120" t="s">
        <v>3780</v>
      </c>
      <c r="G1120" t="s">
        <v>769</v>
      </c>
      <c r="H1120" t="s">
        <v>713</v>
      </c>
      <c r="I1120" t="s">
        <v>1284</v>
      </c>
      <c r="J1120" t="s">
        <v>1285</v>
      </c>
      <c r="K1120" t="s">
        <v>166</v>
      </c>
      <c r="L1120" t="s">
        <v>0</v>
      </c>
      <c r="M1120" t="s">
        <v>178</v>
      </c>
      <c r="N1120">
        <v>77</v>
      </c>
      <c r="O1120">
        <v>28</v>
      </c>
      <c r="P1120">
        <v>1222.99</v>
      </c>
      <c r="Q1120">
        <v>6257.92</v>
      </c>
      <c r="R1120">
        <v>2098.71130997</v>
      </c>
      <c r="S1120">
        <v>800.94375737999997</v>
      </c>
      <c r="T1120">
        <v>1.3099699999999999E-3</v>
      </c>
      <c r="U1120">
        <v>0</v>
      </c>
      <c r="V1120">
        <v>2098.71</v>
      </c>
      <c r="W1120" t="s">
        <v>1286</v>
      </c>
      <c r="X1120" t="s">
        <v>269</v>
      </c>
      <c r="Y1120" t="s">
        <v>4076</v>
      </c>
      <c r="AA1120" t="s">
        <v>4077</v>
      </c>
      <c r="AB1120" t="s">
        <v>181</v>
      </c>
    </row>
    <row r="1121" spans="1:28" x14ac:dyDescent="0.25">
      <c r="A1121" t="s">
        <v>4143</v>
      </c>
      <c r="B1121" t="s">
        <v>4144</v>
      </c>
      <c r="C1121" t="s">
        <v>646</v>
      </c>
      <c r="D1121" t="s">
        <v>3779</v>
      </c>
      <c r="E1121" t="s">
        <v>647</v>
      </c>
      <c r="F1121" t="s">
        <v>3780</v>
      </c>
      <c r="G1121" t="s">
        <v>769</v>
      </c>
      <c r="H1121" t="s">
        <v>708</v>
      </c>
      <c r="I1121" t="s">
        <v>1828</v>
      </c>
      <c r="J1121" t="s">
        <v>1829</v>
      </c>
      <c r="K1121" t="s">
        <v>166</v>
      </c>
      <c r="L1121" t="s">
        <v>0</v>
      </c>
      <c r="M1121" t="s">
        <v>178</v>
      </c>
      <c r="N1121">
        <v>23</v>
      </c>
      <c r="O1121">
        <v>3</v>
      </c>
      <c r="P1121">
        <v>14.15</v>
      </c>
      <c r="Q1121">
        <v>504.33</v>
      </c>
      <c r="R1121">
        <v>131.15</v>
      </c>
      <c r="S1121">
        <v>30.89</v>
      </c>
      <c r="T1121">
        <v>0</v>
      </c>
      <c r="U1121">
        <v>0</v>
      </c>
      <c r="V1121">
        <v>131.15</v>
      </c>
      <c r="W1121" t="s">
        <v>1361</v>
      </c>
      <c r="X1121" t="s">
        <v>271</v>
      </c>
      <c r="Y1121" t="s">
        <v>4145</v>
      </c>
      <c r="AA1121" t="s">
        <v>4146</v>
      </c>
      <c r="AB1121" t="s">
        <v>181</v>
      </c>
    </row>
    <row r="1122" spans="1:28" x14ac:dyDescent="0.25">
      <c r="A1122" t="s">
        <v>3956</v>
      </c>
      <c r="B1122" t="s">
        <v>3957</v>
      </c>
      <c r="C1122" t="s">
        <v>646</v>
      </c>
      <c r="D1122" t="s">
        <v>3779</v>
      </c>
      <c r="E1122" t="s">
        <v>647</v>
      </c>
      <c r="F1122" t="s">
        <v>666</v>
      </c>
      <c r="G1122" t="s">
        <v>666</v>
      </c>
      <c r="H1122" t="s">
        <v>683</v>
      </c>
      <c r="I1122" t="s">
        <v>1068</v>
      </c>
      <c r="J1122" t="s">
        <v>501</v>
      </c>
      <c r="K1122" t="s">
        <v>166</v>
      </c>
      <c r="L1122" t="s">
        <v>0</v>
      </c>
      <c r="M1122" t="s">
        <v>178</v>
      </c>
      <c r="N1122">
        <v>99</v>
      </c>
      <c r="O1122">
        <v>60</v>
      </c>
      <c r="P1122">
        <v>2068.1</v>
      </c>
      <c r="Q1122">
        <v>4668.62</v>
      </c>
      <c r="R1122">
        <v>832.35</v>
      </c>
      <c r="S1122">
        <v>766.41009028999997</v>
      </c>
      <c r="T1122">
        <v>0</v>
      </c>
      <c r="U1122">
        <v>0</v>
      </c>
      <c r="V1122">
        <v>832.35</v>
      </c>
      <c r="W1122" t="s">
        <v>500</v>
      </c>
      <c r="X1122" t="s">
        <v>271</v>
      </c>
      <c r="Y1122" t="s">
        <v>3958</v>
      </c>
      <c r="AA1122" t="s">
        <v>3959</v>
      </c>
      <c r="AB1122" t="s">
        <v>181</v>
      </c>
    </row>
    <row r="1123" spans="1:28" x14ac:dyDescent="0.25">
      <c r="A1123" t="s">
        <v>3801</v>
      </c>
      <c r="B1123" t="s">
        <v>3802</v>
      </c>
      <c r="C1123" t="s">
        <v>646</v>
      </c>
      <c r="D1123" t="s">
        <v>3779</v>
      </c>
      <c r="E1123" t="s">
        <v>647</v>
      </c>
      <c r="F1123" t="s">
        <v>666</v>
      </c>
      <c r="G1123" t="s">
        <v>666</v>
      </c>
      <c r="H1123" t="s">
        <v>1045</v>
      </c>
      <c r="I1123" t="s">
        <v>3803</v>
      </c>
      <c r="J1123" t="s">
        <v>2577</v>
      </c>
      <c r="K1123" t="s">
        <v>166</v>
      </c>
      <c r="L1123" t="s">
        <v>0</v>
      </c>
      <c r="M1123" t="s">
        <v>178</v>
      </c>
      <c r="N1123">
        <v>146</v>
      </c>
      <c r="O1123">
        <v>15</v>
      </c>
      <c r="P1123">
        <v>1633.2</v>
      </c>
      <c r="Q1123">
        <v>12441.17</v>
      </c>
      <c r="R1123">
        <v>706.86</v>
      </c>
      <c r="S1123">
        <v>241.70527976</v>
      </c>
      <c r="T1123">
        <v>0</v>
      </c>
      <c r="U1123">
        <v>0</v>
      </c>
      <c r="V1123">
        <v>706.86</v>
      </c>
      <c r="W1123" t="s">
        <v>2578</v>
      </c>
      <c r="X1123" t="s">
        <v>271</v>
      </c>
      <c r="Y1123" t="s">
        <v>3804</v>
      </c>
      <c r="AA1123" t="s">
        <v>3805</v>
      </c>
      <c r="AB1123" t="s">
        <v>181</v>
      </c>
    </row>
    <row r="1124" spans="1:28" x14ac:dyDescent="0.25">
      <c r="A1124" t="s">
        <v>3944</v>
      </c>
      <c r="B1124" t="s">
        <v>3945</v>
      </c>
      <c r="C1124" t="s">
        <v>646</v>
      </c>
      <c r="D1124" t="s">
        <v>3779</v>
      </c>
      <c r="E1124" t="s">
        <v>647</v>
      </c>
      <c r="F1124" t="s">
        <v>3780</v>
      </c>
      <c r="G1124" t="s">
        <v>769</v>
      </c>
      <c r="H1124" t="s">
        <v>679</v>
      </c>
      <c r="I1124" t="s">
        <v>798</v>
      </c>
      <c r="J1124" t="s">
        <v>524</v>
      </c>
      <c r="K1124" t="s">
        <v>166</v>
      </c>
      <c r="L1124" t="s">
        <v>0</v>
      </c>
      <c r="M1124" t="s">
        <v>178</v>
      </c>
      <c r="N1124">
        <v>153</v>
      </c>
      <c r="O1124">
        <v>53</v>
      </c>
      <c r="P1124">
        <v>1239.8900000000001</v>
      </c>
      <c r="Q1124">
        <v>6383.74</v>
      </c>
      <c r="R1124">
        <v>944.91989621000005</v>
      </c>
      <c r="S1124">
        <v>2039.95636259</v>
      </c>
      <c r="T1124">
        <v>-0.24010379000000001</v>
      </c>
      <c r="U1124">
        <v>0</v>
      </c>
      <c r="V1124">
        <v>945.16</v>
      </c>
      <c r="W1124" t="s">
        <v>258</v>
      </c>
      <c r="X1124" t="s">
        <v>271</v>
      </c>
      <c r="Y1124" t="s">
        <v>3946</v>
      </c>
      <c r="AA1124" t="s">
        <v>3947</v>
      </c>
      <c r="AB1124" t="s">
        <v>181</v>
      </c>
    </row>
    <row r="1125" spans="1:28" x14ac:dyDescent="0.25">
      <c r="A1125" t="s">
        <v>3823</v>
      </c>
      <c r="B1125" t="s">
        <v>3824</v>
      </c>
      <c r="C1125" t="s">
        <v>646</v>
      </c>
      <c r="D1125" t="s">
        <v>3779</v>
      </c>
      <c r="E1125" t="s">
        <v>647</v>
      </c>
      <c r="F1125" t="s">
        <v>3780</v>
      </c>
      <c r="G1125" t="s">
        <v>769</v>
      </c>
      <c r="H1125" t="s">
        <v>713</v>
      </c>
      <c r="I1125" t="s">
        <v>1801</v>
      </c>
      <c r="J1125" t="s">
        <v>437</v>
      </c>
      <c r="K1125" t="s">
        <v>166</v>
      </c>
      <c r="L1125" t="s">
        <v>0</v>
      </c>
      <c r="M1125" t="s">
        <v>178</v>
      </c>
      <c r="N1125">
        <v>753</v>
      </c>
      <c r="O1125">
        <v>631</v>
      </c>
      <c r="P1125">
        <v>18287.38</v>
      </c>
      <c r="Q1125">
        <v>12164.53</v>
      </c>
      <c r="R1125">
        <v>2322.9511073399999</v>
      </c>
      <c r="S1125">
        <v>1189.41355574</v>
      </c>
      <c r="T1125">
        <v>-9.4288926600000007</v>
      </c>
      <c r="U1125">
        <v>0</v>
      </c>
      <c r="V1125">
        <v>2332.38</v>
      </c>
      <c r="W1125" t="s">
        <v>510</v>
      </c>
      <c r="X1125" t="s">
        <v>271</v>
      </c>
      <c r="Y1125" t="s">
        <v>3825</v>
      </c>
      <c r="AA1125" t="s">
        <v>3826</v>
      </c>
      <c r="AB1125" t="s">
        <v>181</v>
      </c>
    </row>
    <row r="1126" spans="1:28" x14ac:dyDescent="0.25">
      <c r="A1126" t="s">
        <v>4326</v>
      </c>
      <c r="B1126" t="s">
        <v>4327</v>
      </c>
      <c r="C1126" t="s">
        <v>646</v>
      </c>
      <c r="D1126" t="s">
        <v>3779</v>
      </c>
      <c r="E1126" t="s">
        <v>647</v>
      </c>
      <c r="F1126" t="s">
        <v>3780</v>
      </c>
      <c r="G1126" t="s">
        <v>769</v>
      </c>
      <c r="H1126" t="s">
        <v>679</v>
      </c>
      <c r="I1126" t="s">
        <v>936</v>
      </c>
      <c r="J1126" t="s">
        <v>582</v>
      </c>
      <c r="K1126" t="s">
        <v>166</v>
      </c>
      <c r="L1126" t="s">
        <v>0</v>
      </c>
      <c r="M1126" t="s">
        <v>178</v>
      </c>
      <c r="N1126">
        <v>160</v>
      </c>
      <c r="O1126">
        <v>1</v>
      </c>
      <c r="P1126">
        <v>1477.41</v>
      </c>
      <c r="Q1126">
        <v>5631.69</v>
      </c>
      <c r="R1126">
        <v>409.43107762</v>
      </c>
      <c r="S1126">
        <v>291.98536709000001</v>
      </c>
      <c r="T1126">
        <v>-9.8922380000000004E-2</v>
      </c>
      <c r="U1126">
        <v>0</v>
      </c>
      <c r="V1126">
        <v>409.53</v>
      </c>
      <c r="W1126" t="s">
        <v>361</v>
      </c>
      <c r="X1126" t="s">
        <v>271</v>
      </c>
      <c r="Y1126" t="s">
        <v>4328</v>
      </c>
      <c r="AA1126" t="s">
        <v>4329</v>
      </c>
      <c r="AB1126" t="s">
        <v>181</v>
      </c>
    </row>
    <row r="1127" spans="1:28" x14ac:dyDescent="0.25">
      <c r="A1127" t="s">
        <v>3938</v>
      </c>
      <c r="B1127" t="s">
        <v>3939</v>
      </c>
      <c r="C1127" t="s">
        <v>646</v>
      </c>
      <c r="D1127" t="s">
        <v>3779</v>
      </c>
      <c r="E1127" t="s">
        <v>647</v>
      </c>
      <c r="F1127" t="s">
        <v>3780</v>
      </c>
      <c r="G1127" t="s">
        <v>769</v>
      </c>
      <c r="H1127" t="s">
        <v>757</v>
      </c>
      <c r="I1127" t="s">
        <v>3940</v>
      </c>
      <c r="J1127" t="s">
        <v>3941</v>
      </c>
      <c r="K1127" t="s">
        <v>166</v>
      </c>
      <c r="L1127" t="s">
        <v>0</v>
      </c>
      <c r="M1127" t="s">
        <v>178</v>
      </c>
      <c r="N1127">
        <v>74.221999999999994</v>
      </c>
      <c r="O1127">
        <v>69.221999999999994</v>
      </c>
      <c r="P1127">
        <v>1304.43</v>
      </c>
      <c r="Q1127">
        <v>1692.38</v>
      </c>
      <c r="R1127">
        <v>182.49</v>
      </c>
      <c r="S1127">
        <v>431.74434255</v>
      </c>
      <c r="T1127">
        <v>0</v>
      </c>
      <c r="U1127">
        <v>0</v>
      </c>
      <c r="V1127">
        <v>182.49</v>
      </c>
      <c r="W1127" t="s">
        <v>0</v>
      </c>
      <c r="X1127" t="s">
        <v>271</v>
      </c>
      <c r="Y1127" t="s">
        <v>3942</v>
      </c>
      <c r="AA1127" t="s">
        <v>3943</v>
      </c>
      <c r="AB1127" t="s">
        <v>181</v>
      </c>
    </row>
    <row r="1128" spans="1:28" x14ac:dyDescent="0.25">
      <c r="A1128" t="s">
        <v>4298</v>
      </c>
      <c r="B1128" t="s">
        <v>4299</v>
      </c>
      <c r="C1128" t="s">
        <v>646</v>
      </c>
      <c r="D1128" t="s">
        <v>3779</v>
      </c>
      <c r="E1128" t="s">
        <v>647</v>
      </c>
      <c r="F1128" t="s">
        <v>666</v>
      </c>
      <c r="G1128" t="s">
        <v>666</v>
      </c>
      <c r="H1128" t="s">
        <v>757</v>
      </c>
      <c r="I1128" t="s">
        <v>4300</v>
      </c>
      <c r="J1128" t="s">
        <v>511</v>
      </c>
      <c r="K1128" t="s">
        <v>166</v>
      </c>
      <c r="L1128" t="s">
        <v>0</v>
      </c>
      <c r="M1128" t="s">
        <v>178</v>
      </c>
      <c r="N1128">
        <v>146</v>
      </c>
      <c r="O1128">
        <v>106</v>
      </c>
      <c r="P1128">
        <v>3984.32</v>
      </c>
      <c r="Q1128">
        <v>6799.68</v>
      </c>
      <c r="R1128">
        <v>586.12211508999997</v>
      </c>
      <c r="S1128">
        <v>848.16566350000005</v>
      </c>
      <c r="T1128">
        <v>1.26211509</v>
      </c>
      <c r="U1128">
        <v>0</v>
      </c>
      <c r="V1128">
        <v>584.86</v>
      </c>
      <c r="W1128" t="s">
        <v>510</v>
      </c>
      <c r="X1128" t="s">
        <v>271</v>
      </c>
      <c r="Y1128" t="s">
        <v>4301</v>
      </c>
      <c r="Z1128" t="s">
        <v>4302</v>
      </c>
      <c r="AA1128" t="s">
        <v>4303</v>
      </c>
      <c r="AB1128" t="s">
        <v>181</v>
      </c>
    </row>
    <row r="1129" spans="1:28" x14ac:dyDescent="0.25">
      <c r="A1129" t="s">
        <v>3985</v>
      </c>
      <c r="B1129" t="s">
        <v>3986</v>
      </c>
      <c r="C1129" t="s">
        <v>646</v>
      </c>
      <c r="D1129" t="s">
        <v>3779</v>
      </c>
      <c r="E1129" t="s">
        <v>647</v>
      </c>
      <c r="F1129" t="s">
        <v>3780</v>
      </c>
      <c r="G1129" t="s">
        <v>769</v>
      </c>
      <c r="H1129" t="s">
        <v>962</v>
      </c>
      <c r="I1129" t="s">
        <v>3987</v>
      </c>
      <c r="J1129" t="s">
        <v>3988</v>
      </c>
      <c r="K1129" t="s">
        <v>166</v>
      </c>
      <c r="L1129" t="s">
        <v>0</v>
      </c>
      <c r="M1129" t="s">
        <v>178</v>
      </c>
      <c r="N1129">
        <v>171</v>
      </c>
      <c r="O1129">
        <v>18</v>
      </c>
      <c r="P1129">
        <v>3227.59</v>
      </c>
      <c r="Q1129">
        <v>13096.55</v>
      </c>
      <c r="R1129">
        <v>2784.82</v>
      </c>
      <c r="S1129">
        <v>418.15122516999998</v>
      </c>
      <c r="T1129">
        <v>0</v>
      </c>
      <c r="U1129">
        <v>0</v>
      </c>
      <c r="V1129">
        <v>2784.82</v>
      </c>
      <c r="W1129" t="s">
        <v>3989</v>
      </c>
      <c r="X1129" t="s">
        <v>271</v>
      </c>
      <c r="Y1129" t="s">
        <v>3990</v>
      </c>
      <c r="AA1129" t="s">
        <v>3991</v>
      </c>
      <c r="AB1129" t="s">
        <v>181</v>
      </c>
    </row>
    <row r="1130" spans="1:28" x14ac:dyDescent="0.25">
      <c r="A1130" t="s">
        <v>4357</v>
      </c>
      <c r="B1130" t="s">
        <v>4358</v>
      </c>
      <c r="C1130" t="s">
        <v>646</v>
      </c>
      <c r="D1130" t="s">
        <v>3779</v>
      </c>
      <c r="E1130" t="s">
        <v>647</v>
      </c>
      <c r="F1130" t="s">
        <v>3780</v>
      </c>
      <c r="G1130" t="s">
        <v>769</v>
      </c>
      <c r="H1130" t="s">
        <v>761</v>
      </c>
      <c r="I1130" t="s">
        <v>1599</v>
      </c>
      <c r="J1130" t="s">
        <v>1600</v>
      </c>
      <c r="K1130" t="s">
        <v>166</v>
      </c>
      <c r="L1130" t="s">
        <v>0</v>
      </c>
      <c r="M1130" t="s">
        <v>178</v>
      </c>
      <c r="N1130">
        <v>59.333399999999997</v>
      </c>
      <c r="O1130">
        <v>2.3334000000000001</v>
      </c>
      <c r="P1130">
        <v>608.72</v>
      </c>
      <c r="Q1130">
        <v>1766.26</v>
      </c>
      <c r="R1130">
        <v>671.89</v>
      </c>
      <c r="S1130">
        <v>133.47475578000001</v>
      </c>
      <c r="T1130">
        <v>0</v>
      </c>
      <c r="U1130">
        <v>0</v>
      </c>
      <c r="V1130">
        <v>671.89</v>
      </c>
      <c r="W1130" t="s">
        <v>1601</v>
      </c>
      <c r="X1130" t="s">
        <v>269</v>
      </c>
      <c r="Y1130" t="s">
        <v>4359</v>
      </c>
      <c r="AA1130" t="s">
        <v>4360</v>
      </c>
      <c r="AB1130" t="s">
        <v>181</v>
      </c>
    </row>
    <row r="1131" spans="1:28" x14ac:dyDescent="0.25">
      <c r="A1131" t="s">
        <v>4216</v>
      </c>
      <c r="B1131" t="s">
        <v>4217</v>
      </c>
      <c r="C1131" t="s">
        <v>646</v>
      </c>
      <c r="D1131" t="s">
        <v>3779</v>
      </c>
      <c r="E1131" t="s">
        <v>647</v>
      </c>
      <c r="F1131" t="s">
        <v>666</v>
      </c>
      <c r="G1131" t="s">
        <v>666</v>
      </c>
      <c r="H1131" t="s">
        <v>770</v>
      </c>
      <c r="I1131" t="s">
        <v>1636</v>
      </c>
      <c r="J1131" t="s">
        <v>1637</v>
      </c>
      <c r="K1131" t="s">
        <v>166</v>
      </c>
      <c r="L1131" t="s">
        <v>0</v>
      </c>
      <c r="M1131" t="s">
        <v>178</v>
      </c>
      <c r="N1131">
        <v>38.5</v>
      </c>
      <c r="O1131">
        <v>26.5</v>
      </c>
      <c r="P1131">
        <v>732</v>
      </c>
      <c r="Q1131">
        <v>857.36</v>
      </c>
      <c r="R1131">
        <v>120.52</v>
      </c>
      <c r="S1131">
        <v>102.82718867</v>
      </c>
      <c r="T1131">
        <v>0</v>
      </c>
      <c r="U1131">
        <v>0</v>
      </c>
      <c r="V1131">
        <v>120.52</v>
      </c>
      <c r="W1131" t="s">
        <v>1638</v>
      </c>
      <c r="X1131" t="s">
        <v>271</v>
      </c>
      <c r="Y1131" t="s">
        <v>1639</v>
      </c>
      <c r="AA1131" t="s">
        <v>4218</v>
      </c>
      <c r="AB1131" t="s">
        <v>181</v>
      </c>
    </row>
    <row r="1132" spans="1:28" x14ac:dyDescent="0.25">
      <c r="A1132" t="s">
        <v>3925</v>
      </c>
      <c r="B1132" t="s">
        <v>3926</v>
      </c>
      <c r="C1132" t="s">
        <v>646</v>
      </c>
      <c r="D1132" t="s">
        <v>3779</v>
      </c>
      <c r="E1132" t="s">
        <v>647</v>
      </c>
      <c r="F1132" t="s">
        <v>3780</v>
      </c>
      <c r="G1132" t="s">
        <v>769</v>
      </c>
      <c r="H1132" t="s">
        <v>1045</v>
      </c>
      <c r="I1132" t="s">
        <v>2284</v>
      </c>
      <c r="J1132" t="s">
        <v>2285</v>
      </c>
      <c r="K1132" t="s">
        <v>166</v>
      </c>
      <c r="L1132" t="s">
        <v>0</v>
      </c>
      <c r="M1132" t="s">
        <v>178</v>
      </c>
      <c r="N1132">
        <v>64</v>
      </c>
      <c r="O1132">
        <v>32</v>
      </c>
      <c r="P1132">
        <v>1852</v>
      </c>
      <c r="Q1132">
        <v>24810.19</v>
      </c>
      <c r="R1132">
        <v>904.91</v>
      </c>
      <c r="S1132">
        <v>407.70556900000003</v>
      </c>
      <c r="T1132">
        <v>0</v>
      </c>
      <c r="U1132">
        <v>0</v>
      </c>
      <c r="V1132">
        <v>904.91</v>
      </c>
      <c r="W1132" t="s">
        <v>453</v>
      </c>
      <c r="X1132" t="s">
        <v>271</v>
      </c>
      <c r="Y1132" t="s">
        <v>3927</v>
      </c>
      <c r="AA1132" t="s">
        <v>3928</v>
      </c>
      <c r="AB1132" t="s">
        <v>181</v>
      </c>
    </row>
    <row r="1133" spans="1:28" x14ac:dyDescent="0.25">
      <c r="A1133" t="s">
        <v>3892</v>
      </c>
      <c r="B1133" t="s">
        <v>3893</v>
      </c>
      <c r="C1133" t="s">
        <v>646</v>
      </c>
      <c r="D1133" t="s">
        <v>3779</v>
      </c>
      <c r="E1133" t="s">
        <v>647</v>
      </c>
      <c r="F1133" t="s">
        <v>666</v>
      </c>
      <c r="G1133" t="s">
        <v>666</v>
      </c>
      <c r="H1133" t="s">
        <v>757</v>
      </c>
      <c r="I1133" t="s">
        <v>2102</v>
      </c>
      <c r="J1133" t="s">
        <v>355</v>
      </c>
      <c r="K1133" t="s">
        <v>166</v>
      </c>
      <c r="L1133" t="s">
        <v>0</v>
      </c>
      <c r="M1133" t="s">
        <v>178</v>
      </c>
      <c r="N1133">
        <v>121</v>
      </c>
      <c r="O1133">
        <v>14</v>
      </c>
      <c r="P1133">
        <v>708.94</v>
      </c>
      <c r="Q1133">
        <v>2927.76</v>
      </c>
      <c r="R1133">
        <v>760.16</v>
      </c>
      <c r="S1133">
        <v>576.35657321999997</v>
      </c>
      <c r="T1133">
        <v>0</v>
      </c>
      <c r="U1133">
        <v>0</v>
      </c>
      <c r="V1133">
        <v>760.16</v>
      </c>
      <c r="W1133" t="s">
        <v>0</v>
      </c>
      <c r="X1133" t="s">
        <v>271</v>
      </c>
      <c r="Y1133" t="s">
        <v>2103</v>
      </c>
      <c r="AA1133" t="s">
        <v>3894</v>
      </c>
      <c r="AB1133" t="s">
        <v>181</v>
      </c>
    </row>
    <row r="1134" spans="1:28" x14ac:dyDescent="0.25">
      <c r="A1134" t="s">
        <v>4236</v>
      </c>
      <c r="B1134" t="s">
        <v>4237</v>
      </c>
      <c r="C1134" t="s">
        <v>646</v>
      </c>
      <c r="D1134" t="s">
        <v>3779</v>
      </c>
      <c r="E1134" t="s">
        <v>647</v>
      </c>
      <c r="F1134" t="s">
        <v>3780</v>
      </c>
      <c r="G1134" t="s">
        <v>769</v>
      </c>
      <c r="H1134" t="s">
        <v>1045</v>
      </c>
      <c r="I1134" t="s">
        <v>1546</v>
      </c>
      <c r="J1134" t="s">
        <v>1547</v>
      </c>
      <c r="K1134" t="s">
        <v>166</v>
      </c>
      <c r="L1134" t="s">
        <v>0</v>
      </c>
      <c r="M1134" t="s">
        <v>178</v>
      </c>
      <c r="N1134">
        <v>8</v>
      </c>
      <c r="O1134">
        <v>7</v>
      </c>
      <c r="P1134">
        <v>104.1</v>
      </c>
      <c r="Q1134">
        <v>599.23</v>
      </c>
      <c r="R1134">
        <v>6.39</v>
      </c>
      <c r="S1134">
        <v>37.11</v>
      </c>
      <c r="T1134">
        <v>0</v>
      </c>
      <c r="U1134">
        <v>0</v>
      </c>
      <c r="V1134">
        <v>6.39</v>
      </c>
      <c r="W1134" t="s">
        <v>1548</v>
      </c>
      <c r="X1134" t="s">
        <v>271</v>
      </c>
      <c r="Y1134" t="s">
        <v>4238</v>
      </c>
      <c r="AA1134" t="s">
        <v>4239</v>
      </c>
      <c r="AB1134" t="s">
        <v>181</v>
      </c>
    </row>
    <row r="1135" spans="1:28" x14ac:dyDescent="0.25">
      <c r="A1135" t="s">
        <v>3875</v>
      </c>
      <c r="B1135" t="s">
        <v>3876</v>
      </c>
      <c r="C1135" t="s">
        <v>646</v>
      </c>
      <c r="D1135" t="s">
        <v>3779</v>
      </c>
      <c r="E1135" t="s">
        <v>647</v>
      </c>
      <c r="F1135" t="s">
        <v>3780</v>
      </c>
      <c r="G1135" t="s">
        <v>769</v>
      </c>
      <c r="H1135" t="s">
        <v>717</v>
      </c>
      <c r="I1135" t="s">
        <v>1190</v>
      </c>
      <c r="J1135" t="s">
        <v>1191</v>
      </c>
      <c r="K1135" t="s">
        <v>166</v>
      </c>
      <c r="L1135" t="s">
        <v>0</v>
      </c>
      <c r="M1135" t="s">
        <v>178</v>
      </c>
      <c r="N1135">
        <v>777</v>
      </c>
      <c r="O1135">
        <v>0</v>
      </c>
      <c r="P1135">
        <v>7810</v>
      </c>
      <c r="Q1135">
        <v>24967.61</v>
      </c>
      <c r="R1135">
        <v>1539.11</v>
      </c>
      <c r="S1135">
        <v>-4.8</v>
      </c>
      <c r="T1135">
        <v>-110.4</v>
      </c>
      <c r="U1135">
        <v>0</v>
      </c>
      <c r="V1135">
        <v>1677.11</v>
      </c>
      <c r="W1135" t="s">
        <v>282</v>
      </c>
      <c r="X1135" t="s">
        <v>271</v>
      </c>
      <c r="Y1135" t="s">
        <v>2170</v>
      </c>
      <c r="AA1135" t="s">
        <v>2171</v>
      </c>
      <c r="AB1135" t="s">
        <v>181</v>
      </c>
    </row>
    <row r="1136" spans="1:28" x14ac:dyDescent="0.25">
      <c r="A1136" t="s">
        <v>4240</v>
      </c>
      <c r="B1136" t="s">
        <v>4241</v>
      </c>
      <c r="C1136" t="s">
        <v>646</v>
      </c>
      <c r="D1136" t="s">
        <v>3779</v>
      </c>
      <c r="E1136" t="s">
        <v>647</v>
      </c>
      <c r="F1136" t="s">
        <v>666</v>
      </c>
      <c r="G1136" t="s">
        <v>666</v>
      </c>
      <c r="H1136" t="s">
        <v>1159</v>
      </c>
      <c r="I1136" t="s">
        <v>880</v>
      </c>
      <c r="J1136" t="s">
        <v>881</v>
      </c>
      <c r="K1136" t="s">
        <v>166</v>
      </c>
      <c r="L1136" t="s">
        <v>0</v>
      </c>
      <c r="M1136" t="s">
        <v>178</v>
      </c>
      <c r="N1136">
        <v>2</v>
      </c>
      <c r="O1136">
        <v>2</v>
      </c>
      <c r="P1136">
        <v>19.12</v>
      </c>
      <c r="Q1136">
        <v>87.36</v>
      </c>
      <c r="R1136">
        <v>8.74</v>
      </c>
      <c r="S1136">
        <v>22.9786</v>
      </c>
      <c r="T1136">
        <v>0</v>
      </c>
      <c r="U1136">
        <v>0</v>
      </c>
      <c r="V1136">
        <v>8.74</v>
      </c>
      <c r="W1136" t="s">
        <v>0</v>
      </c>
      <c r="X1136" t="s">
        <v>271</v>
      </c>
      <c r="Y1136" t="s">
        <v>4242</v>
      </c>
      <c r="AA1136" t="s">
        <v>4243</v>
      </c>
      <c r="AB1136" t="s">
        <v>181</v>
      </c>
    </row>
    <row r="1137" spans="1:28" x14ac:dyDescent="0.25">
      <c r="A1137" t="s">
        <v>3797</v>
      </c>
      <c r="B1137" t="s">
        <v>3798</v>
      </c>
      <c r="C1137" t="s">
        <v>646</v>
      </c>
      <c r="D1137" t="s">
        <v>3779</v>
      </c>
      <c r="E1137" t="s">
        <v>647</v>
      </c>
      <c r="F1137" t="s">
        <v>3780</v>
      </c>
      <c r="G1137" t="s">
        <v>769</v>
      </c>
      <c r="H1137" t="s">
        <v>1175</v>
      </c>
      <c r="I1137" t="s">
        <v>725</v>
      </c>
      <c r="J1137" t="s">
        <v>726</v>
      </c>
      <c r="K1137" t="s">
        <v>166</v>
      </c>
      <c r="L1137" t="s">
        <v>0</v>
      </c>
      <c r="M1137" t="s">
        <v>178</v>
      </c>
      <c r="N1137">
        <v>3</v>
      </c>
      <c r="O1137">
        <v>3</v>
      </c>
      <c r="P1137">
        <v>48</v>
      </c>
      <c r="Q1137">
        <v>69.569999999999993</v>
      </c>
      <c r="R1137">
        <v>5.25</v>
      </c>
      <c r="S1137">
        <v>13.44</v>
      </c>
      <c r="T1137">
        <v>0</v>
      </c>
      <c r="U1137">
        <v>0</v>
      </c>
      <c r="V1137">
        <v>5.25</v>
      </c>
      <c r="W1137" t="s">
        <v>0</v>
      </c>
      <c r="X1137" t="s">
        <v>271</v>
      </c>
      <c r="Y1137" t="s">
        <v>3799</v>
      </c>
      <c r="AA1137" t="s">
        <v>3800</v>
      </c>
      <c r="AB1137" t="s">
        <v>181</v>
      </c>
    </row>
    <row r="1138" spans="1:28" x14ac:dyDescent="0.25">
      <c r="A1138" t="s">
        <v>4147</v>
      </c>
      <c r="B1138" t="s">
        <v>4148</v>
      </c>
      <c r="C1138" t="s">
        <v>646</v>
      </c>
      <c r="D1138" t="s">
        <v>3779</v>
      </c>
      <c r="E1138" t="s">
        <v>647</v>
      </c>
      <c r="F1138" t="s">
        <v>3780</v>
      </c>
      <c r="G1138" t="s">
        <v>769</v>
      </c>
      <c r="H1138" t="s">
        <v>717</v>
      </c>
      <c r="I1138" t="s">
        <v>1301</v>
      </c>
      <c r="J1138" t="s">
        <v>1302</v>
      </c>
      <c r="K1138" t="s">
        <v>166</v>
      </c>
      <c r="L1138" t="s">
        <v>0</v>
      </c>
      <c r="M1138" t="s">
        <v>178</v>
      </c>
      <c r="N1138">
        <v>28</v>
      </c>
      <c r="O1138">
        <v>28</v>
      </c>
      <c r="P1138">
        <v>2149.4899999999998</v>
      </c>
      <c r="Q1138">
        <v>6841.19</v>
      </c>
      <c r="R1138">
        <v>1432.97</v>
      </c>
      <c r="S1138">
        <v>187.47713898000001</v>
      </c>
      <c r="T1138">
        <v>0</v>
      </c>
      <c r="U1138">
        <v>0</v>
      </c>
      <c r="V1138">
        <v>1432.97</v>
      </c>
      <c r="W1138" t="s">
        <v>1303</v>
      </c>
      <c r="X1138" t="s">
        <v>269</v>
      </c>
      <c r="Y1138" t="s">
        <v>4149</v>
      </c>
      <c r="AA1138" t="s">
        <v>4150</v>
      </c>
      <c r="AB1138" t="s">
        <v>181</v>
      </c>
    </row>
    <row r="1139" spans="1:28" x14ac:dyDescent="0.25">
      <c r="A1139" t="s">
        <v>4159</v>
      </c>
      <c r="B1139" t="s">
        <v>257</v>
      </c>
      <c r="C1139" t="s">
        <v>646</v>
      </c>
      <c r="D1139" t="s">
        <v>3779</v>
      </c>
      <c r="E1139" t="s">
        <v>647</v>
      </c>
      <c r="F1139" t="s">
        <v>3780</v>
      </c>
      <c r="G1139" t="s">
        <v>769</v>
      </c>
      <c r="H1139" t="s">
        <v>962</v>
      </c>
      <c r="I1139" t="s">
        <v>673</v>
      </c>
      <c r="J1139" t="s">
        <v>674</v>
      </c>
      <c r="K1139" t="s">
        <v>166</v>
      </c>
      <c r="L1139" t="s">
        <v>0</v>
      </c>
      <c r="M1139" t="s">
        <v>178</v>
      </c>
      <c r="N1139">
        <v>164</v>
      </c>
      <c r="O1139">
        <v>0</v>
      </c>
      <c r="P1139">
        <v>508.4</v>
      </c>
      <c r="Q1139">
        <v>11154.47</v>
      </c>
      <c r="R1139">
        <v>5901.28</v>
      </c>
      <c r="S1139">
        <v>115.89765324</v>
      </c>
      <c r="T1139">
        <v>0</v>
      </c>
      <c r="U1139">
        <v>0</v>
      </c>
      <c r="V1139">
        <v>5901.28</v>
      </c>
      <c r="W1139" t="s">
        <v>675</v>
      </c>
      <c r="X1139" t="s">
        <v>271</v>
      </c>
      <c r="Y1139" t="s">
        <v>4160</v>
      </c>
      <c r="AA1139" t="s">
        <v>4161</v>
      </c>
      <c r="AB1139" t="s">
        <v>181</v>
      </c>
    </row>
    <row r="1140" spans="1:28" x14ac:dyDescent="0.25">
      <c r="A1140" t="s">
        <v>3956</v>
      </c>
      <c r="B1140" t="s">
        <v>3957</v>
      </c>
      <c r="C1140" t="s">
        <v>646</v>
      </c>
      <c r="D1140" t="s">
        <v>3779</v>
      </c>
      <c r="E1140" t="s">
        <v>647</v>
      </c>
      <c r="F1140" t="s">
        <v>666</v>
      </c>
      <c r="G1140" t="s">
        <v>666</v>
      </c>
      <c r="H1140" t="s">
        <v>1159</v>
      </c>
      <c r="I1140" t="s">
        <v>1068</v>
      </c>
      <c r="J1140" t="s">
        <v>501</v>
      </c>
      <c r="K1140" t="s">
        <v>166</v>
      </c>
      <c r="L1140" t="s">
        <v>0</v>
      </c>
      <c r="M1140" t="s">
        <v>178</v>
      </c>
      <c r="N1140">
        <v>33</v>
      </c>
      <c r="O1140">
        <v>33</v>
      </c>
      <c r="P1140">
        <v>315.48</v>
      </c>
      <c r="Q1140">
        <v>1578.21</v>
      </c>
      <c r="R1140">
        <v>280.98</v>
      </c>
      <c r="S1140">
        <v>398.14690000000002</v>
      </c>
      <c r="T1140">
        <v>0</v>
      </c>
      <c r="U1140">
        <v>0</v>
      </c>
      <c r="V1140">
        <v>280.98</v>
      </c>
      <c r="W1140" t="s">
        <v>500</v>
      </c>
      <c r="X1140" t="s">
        <v>271</v>
      </c>
      <c r="Y1140" t="s">
        <v>3958</v>
      </c>
      <c r="AA1140" t="s">
        <v>3959</v>
      </c>
      <c r="AB1140" t="s">
        <v>181</v>
      </c>
    </row>
    <row r="1141" spans="1:28" x14ac:dyDescent="0.25">
      <c r="A1141" t="s">
        <v>4316</v>
      </c>
      <c r="B1141" t="s">
        <v>4317</v>
      </c>
      <c r="C1141" t="s">
        <v>646</v>
      </c>
      <c r="D1141" t="s">
        <v>3779</v>
      </c>
      <c r="E1141" t="s">
        <v>647</v>
      </c>
      <c r="F1141" t="s">
        <v>3780</v>
      </c>
      <c r="G1141" t="s">
        <v>769</v>
      </c>
      <c r="H1141" t="s">
        <v>1159</v>
      </c>
      <c r="I1141" t="s">
        <v>1290</v>
      </c>
      <c r="J1141" t="s">
        <v>1291</v>
      </c>
      <c r="K1141" t="s">
        <v>166</v>
      </c>
      <c r="L1141" t="s">
        <v>0</v>
      </c>
      <c r="M1141" t="s">
        <v>178</v>
      </c>
      <c r="N1141">
        <v>1</v>
      </c>
      <c r="O1141">
        <v>1</v>
      </c>
      <c r="P1141">
        <v>9.56</v>
      </c>
      <c r="Q1141">
        <v>50.2</v>
      </c>
      <c r="R1141">
        <v>10.89</v>
      </c>
      <c r="S1141">
        <v>9.4893000000000001</v>
      </c>
      <c r="T1141">
        <v>0</v>
      </c>
      <c r="U1141">
        <v>0</v>
      </c>
      <c r="V1141">
        <v>10.89</v>
      </c>
      <c r="W1141" t="s">
        <v>1292</v>
      </c>
      <c r="X1141" t="s">
        <v>271</v>
      </c>
      <c r="Y1141" t="s">
        <v>4318</v>
      </c>
      <c r="AA1141" t="s">
        <v>4319</v>
      </c>
      <c r="AB1141" t="s">
        <v>181</v>
      </c>
    </row>
    <row r="1142" spans="1:28" x14ac:dyDescent="0.25">
      <c r="A1142" t="s">
        <v>4162</v>
      </c>
      <c r="B1142" t="s">
        <v>4163</v>
      </c>
      <c r="C1142" t="s">
        <v>646</v>
      </c>
      <c r="D1142" t="s">
        <v>3779</v>
      </c>
      <c r="E1142" t="s">
        <v>647</v>
      </c>
      <c r="F1142" t="s">
        <v>3780</v>
      </c>
      <c r="G1142" t="s">
        <v>769</v>
      </c>
      <c r="H1142" t="s">
        <v>730</v>
      </c>
      <c r="I1142" t="s">
        <v>4164</v>
      </c>
      <c r="J1142" t="s">
        <v>985</v>
      </c>
      <c r="K1142" t="s">
        <v>166</v>
      </c>
      <c r="L1142" t="s">
        <v>0</v>
      </c>
      <c r="M1142" t="s">
        <v>178</v>
      </c>
      <c r="N1142">
        <v>75</v>
      </c>
      <c r="O1142">
        <v>7</v>
      </c>
      <c r="P1142">
        <v>3106</v>
      </c>
      <c r="Q1142">
        <v>2530.79</v>
      </c>
      <c r="R1142">
        <v>226.02854094</v>
      </c>
      <c r="S1142">
        <v>44.427710159999997</v>
      </c>
      <c r="T1142">
        <v>1090.56854094</v>
      </c>
      <c r="U1142">
        <v>0</v>
      </c>
      <c r="V1142">
        <v>230.78</v>
      </c>
      <c r="W1142" t="s">
        <v>986</v>
      </c>
      <c r="X1142" t="s">
        <v>271</v>
      </c>
      <c r="Y1142" t="s">
        <v>4165</v>
      </c>
      <c r="AA1142" t="s">
        <v>4166</v>
      </c>
      <c r="AB1142" t="s">
        <v>181</v>
      </c>
    </row>
    <row r="1143" spans="1:28" x14ac:dyDescent="0.25">
      <c r="A1143" t="s">
        <v>4074</v>
      </c>
      <c r="B1143" t="s">
        <v>4075</v>
      </c>
      <c r="C1143" t="s">
        <v>646</v>
      </c>
      <c r="D1143" t="s">
        <v>3779</v>
      </c>
      <c r="E1143" t="s">
        <v>647</v>
      </c>
      <c r="F1143" t="s">
        <v>3780</v>
      </c>
      <c r="G1143" t="s">
        <v>769</v>
      </c>
      <c r="H1143" t="s">
        <v>1045</v>
      </c>
      <c r="I1143" t="s">
        <v>1284</v>
      </c>
      <c r="J1143" t="s">
        <v>1285</v>
      </c>
      <c r="K1143" t="s">
        <v>166</v>
      </c>
      <c r="L1143" t="s">
        <v>0</v>
      </c>
      <c r="M1143" t="s">
        <v>178</v>
      </c>
      <c r="N1143">
        <v>14</v>
      </c>
      <c r="O1143">
        <v>14</v>
      </c>
      <c r="P1143">
        <v>83.19</v>
      </c>
      <c r="Q1143">
        <v>427.67</v>
      </c>
      <c r="R1143">
        <v>116.6</v>
      </c>
      <c r="S1143">
        <v>51.845175240000003</v>
      </c>
      <c r="T1143">
        <v>0</v>
      </c>
      <c r="U1143">
        <v>0</v>
      </c>
      <c r="V1143">
        <v>116.6</v>
      </c>
      <c r="W1143" t="s">
        <v>1286</v>
      </c>
      <c r="X1143" t="s">
        <v>269</v>
      </c>
      <c r="Y1143" t="s">
        <v>4076</v>
      </c>
      <c r="AA1143" t="s">
        <v>4077</v>
      </c>
      <c r="AB1143" t="s">
        <v>181</v>
      </c>
    </row>
    <row r="1144" spans="1:28" x14ac:dyDescent="0.25">
      <c r="A1144" t="s">
        <v>3853</v>
      </c>
      <c r="B1144" t="s">
        <v>3854</v>
      </c>
      <c r="C1144" t="s">
        <v>646</v>
      </c>
      <c r="D1144" t="s">
        <v>3779</v>
      </c>
      <c r="E1144" t="s">
        <v>647</v>
      </c>
      <c r="F1144" t="s">
        <v>3780</v>
      </c>
      <c r="G1144" t="s">
        <v>769</v>
      </c>
      <c r="H1144" t="s">
        <v>730</v>
      </c>
      <c r="I1144" t="s">
        <v>746</v>
      </c>
      <c r="J1144" t="s">
        <v>504</v>
      </c>
      <c r="K1144" t="s">
        <v>166</v>
      </c>
      <c r="L1144" t="s">
        <v>0</v>
      </c>
      <c r="M1144" t="s">
        <v>178</v>
      </c>
      <c r="N1144">
        <v>65</v>
      </c>
      <c r="O1144">
        <v>3</v>
      </c>
      <c r="P1144">
        <v>3274</v>
      </c>
      <c r="Q1144">
        <v>751.21</v>
      </c>
      <c r="R1144">
        <v>340.21</v>
      </c>
      <c r="S1144">
        <v>30.42058853</v>
      </c>
      <c r="T1144">
        <v>0</v>
      </c>
      <c r="U1144">
        <v>0</v>
      </c>
      <c r="V1144">
        <v>340.21</v>
      </c>
      <c r="W1144" t="s">
        <v>503</v>
      </c>
      <c r="X1144" t="s">
        <v>271</v>
      </c>
      <c r="Y1144" t="s">
        <v>3855</v>
      </c>
      <c r="AA1144" t="s">
        <v>3856</v>
      </c>
      <c r="AB1144" t="s">
        <v>181</v>
      </c>
    </row>
    <row r="1145" spans="1:28" x14ac:dyDescent="0.25">
      <c r="A1145" t="s">
        <v>4135</v>
      </c>
      <c r="B1145" t="s">
        <v>4136</v>
      </c>
      <c r="C1145" t="s">
        <v>646</v>
      </c>
      <c r="D1145" t="s">
        <v>3779</v>
      </c>
      <c r="E1145" t="s">
        <v>647</v>
      </c>
      <c r="F1145" t="s">
        <v>3780</v>
      </c>
      <c r="G1145" t="s">
        <v>769</v>
      </c>
      <c r="H1145" t="s">
        <v>679</v>
      </c>
      <c r="I1145" t="s">
        <v>1083</v>
      </c>
      <c r="J1145" t="s">
        <v>731</v>
      </c>
      <c r="K1145" t="s">
        <v>166</v>
      </c>
      <c r="L1145" t="s">
        <v>0</v>
      </c>
      <c r="M1145" t="s">
        <v>178</v>
      </c>
      <c r="N1145">
        <v>12</v>
      </c>
      <c r="O1145">
        <v>12</v>
      </c>
      <c r="P1145">
        <v>179.88</v>
      </c>
      <c r="Q1145">
        <v>352.63</v>
      </c>
      <c r="R1145">
        <v>138.69</v>
      </c>
      <c r="S1145">
        <v>102.31810804</v>
      </c>
      <c r="T1145">
        <v>0</v>
      </c>
      <c r="U1145">
        <v>0</v>
      </c>
      <c r="V1145">
        <v>138.69</v>
      </c>
      <c r="W1145" t="s">
        <v>0</v>
      </c>
      <c r="X1145" t="s">
        <v>271</v>
      </c>
      <c r="Y1145" t="s">
        <v>4137</v>
      </c>
      <c r="AA1145" t="s">
        <v>4138</v>
      </c>
      <c r="AB1145" t="s">
        <v>181</v>
      </c>
    </row>
    <row r="1146" spans="1:28" x14ac:dyDescent="0.25">
      <c r="A1146" t="s">
        <v>4167</v>
      </c>
      <c r="B1146" t="s">
        <v>4168</v>
      </c>
      <c r="C1146" t="s">
        <v>646</v>
      </c>
      <c r="D1146" t="s">
        <v>3779</v>
      </c>
      <c r="E1146" t="s">
        <v>647</v>
      </c>
      <c r="F1146" t="s">
        <v>3780</v>
      </c>
      <c r="G1146" t="s">
        <v>769</v>
      </c>
      <c r="H1146" t="s">
        <v>761</v>
      </c>
      <c r="I1146" t="s">
        <v>4169</v>
      </c>
      <c r="J1146" t="s">
        <v>662</v>
      </c>
      <c r="K1146" t="s">
        <v>166</v>
      </c>
      <c r="L1146" t="s">
        <v>0</v>
      </c>
      <c r="M1146" t="s">
        <v>178</v>
      </c>
      <c r="N1146">
        <v>9</v>
      </c>
      <c r="O1146">
        <v>0</v>
      </c>
      <c r="P1146">
        <v>90</v>
      </c>
      <c r="Q1146">
        <v>197.99</v>
      </c>
      <c r="R1146">
        <v>18.54</v>
      </c>
      <c r="S1146">
        <v>91.344142480000002</v>
      </c>
      <c r="T1146">
        <v>0</v>
      </c>
      <c r="U1146">
        <v>0</v>
      </c>
      <c r="V1146">
        <v>18.54</v>
      </c>
      <c r="W1146" t="s">
        <v>586</v>
      </c>
      <c r="X1146" t="s">
        <v>271</v>
      </c>
      <c r="Y1146" t="s">
        <v>4170</v>
      </c>
      <c r="AA1146" t="s">
        <v>4171</v>
      </c>
      <c r="AB1146" t="s">
        <v>181</v>
      </c>
    </row>
    <row r="1147" spans="1:28" x14ac:dyDescent="0.25">
      <c r="A1147" t="s">
        <v>4270</v>
      </c>
      <c r="B1147" t="s">
        <v>4271</v>
      </c>
      <c r="C1147" t="s">
        <v>646</v>
      </c>
      <c r="D1147" t="s">
        <v>3779</v>
      </c>
      <c r="E1147" t="s">
        <v>647</v>
      </c>
      <c r="F1147" t="s">
        <v>3780</v>
      </c>
      <c r="G1147" t="s">
        <v>769</v>
      </c>
      <c r="H1147" t="s">
        <v>1515</v>
      </c>
      <c r="I1147" t="s">
        <v>4272</v>
      </c>
      <c r="J1147" t="s">
        <v>352</v>
      </c>
      <c r="K1147" t="s">
        <v>166</v>
      </c>
      <c r="L1147" t="s">
        <v>0</v>
      </c>
      <c r="M1147" t="s">
        <v>178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 t="s">
        <v>314</v>
      </c>
      <c r="X1147" t="s">
        <v>271</v>
      </c>
      <c r="Y1147" t="s">
        <v>4273</v>
      </c>
      <c r="AA1147" t="s">
        <v>4274</v>
      </c>
      <c r="AB1147" t="s">
        <v>181</v>
      </c>
    </row>
    <row r="1148" spans="1:28" x14ac:dyDescent="0.25">
      <c r="A1148" t="s">
        <v>3797</v>
      </c>
      <c r="B1148" t="s">
        <v>3798</v>
      </c>
      <c r="C1148" t="s">
        <v>646</v>
      </c>
      <c r="D1148" t="s">
        <v>3779</v>
      </c>
      <c r="E1148" t="s">
        <v>647</v>
      </c>
      <c r="F1148" t="s">
        <v>3780</v>
      </c>
      <c r="G1148" t="s">
        <v>769</v>
      </c>
      <c r="H1148" t="s">
        <v>1515</v>
      </c>
      <c r="I1148" t="s">
        <v>725</v>
      </c>
      <c r="J1148" t="s">
        <v>726</v>
      </c>
      <c r="K1148" t="s">
        <v>166</v>
      </c>
      <c r="L1148" t="s">
        <v>0</v>
      </c>
      <c r="M1148" t="s">
        <v>178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 t="s">
        <v>0</v>
      </c>
      <c r="X1148" t="s">
        <v>271</v>
      </c>
      <c r="Y1148" t="s">
        <v>3799</v>
      </c>
      <c r="AA1148" t="s">
        <v>3800</v>
      </c>
      <c r="AB1148" t="s">
        <v>181</v>
      </c>
    </row>
    <row r="1149" spans="1:28" x14ac:dyDescent="0.25">
      <c r="A1149" t="s">
        <v>4304</v>
      </c>
      <c r="B1149" t="s">
        <v>4305</v>
      </c>
      <c r="C1149" t="s">
        <v>646</v>
      </c>
      <c r="D1149" t="s">
        <v>3779</v>
      </c>
      <c r="E1149" t="s">
        <v>647</v>
      </c>
      <c r="F1149" t="s">
        <v>648</v>
      </c>
      <c r="G1149" t="s">
        <v>648</v>
      </c>
      <c r="H1149" t="s">
        <v>1515</v>
      </c>
      <c r="I1149" t="s">
        <v>4306</v>
      </c>
      <c r="J1149" t="s">
        <v>436</v>
      </c>
      <c r="K1149" t="s">
        <v>166</v>
      </c>
      <c r="L1149" t="s">
        <v>0</v>
      </c>
      <c r="M1149" t="s">
        <v>178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 t="s">
        <v>0</v>
      </c>
      <c r="X1149" t="s">
        <v>271</v>
      </c>
      <c r="Y1149" t="s">
        <v>4307</v>
      </c>
      <c r="AA1149" t="s">
        <v>4101</v>
      </c>
      <c r="AB1149" t="s">
        <v>181</v>
      </c>
    </row>
    <row r="1150" spans="1:28" x14ac:dyDescent="0.25">
      <c r="A1150" t="s">
        <v>4179</v>
      </c>
      <c r="B1150" t="s">
        <v>4180</v>
      </c>
      <c r="C1150" t="s">
        <v>646</v>
      </c>
      <c r="D1150" t="s">
        <v>3779</v>
      </c>
      <c r="E1150" t="s">
        <v>647</v>
      </c>
      <c r="F1150" t="s">
        <v>3780</v>
      </c>
      <c r="G1150" t="s">
        <v>769</v>
      </c>
      <c r="H1150" t="s">
        <v>1515</v>
      </c>
      <c r="I1150" t="s">
        <v>4181</v>
      </c>
      <c r="J1150" t="s">
        <v>816</v>
      </c>
      <c r="K1150" t="s">
        <v>166</v>
      </c>
      <c r="L1150" t="s">
        <v>0</v>
      </c>
      <c r="M1150" t="s">
        <v>178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 t="s">
        <v>1490</v>
      </c>
      <c r="X1150" t="s">
        <v>271</v>
      </c>
      <c r="Y1150" t="s">
        <v>4182</v>
      </c>
      <c r="AA1150" t="s">
        <v>4183</v>
      </c>
      <c r="AB1150" t="s">
        <v>181</v>
      </c>
    </row>
    <row r="1151" spans="1:28" x14ac:dyDescent="0.25">
      <c r="A1151" t="s">
        <v>3938</v>
      </c>
      <c r="B1151" t="s">
        <v>3939</v>
      </c>
      <c r="C1151" t="s">
        <v>646</v>
      </c>
      <c r="D1151" t="s">
        <v>3779</v>
      </c>
      <c r="E1151" t="s">
        <v>647</v>
      </c>
      <c r="F1151" t="s">
        <v>3780</v>
      </c>
      <c r="G1151" t="s">
        <v>769</v>
      </c>
      <c r="H1151" t="s">
        <v>730</v>
      </c>
      <c r="I1151" t="s">
        <v>3940</v>
      </c>
      <c r="J1151" t="s">
        <v>3941</v>
      </c>
      <c r="K1151" t="s">
        <v>166</v>
      </c>
      <c r="L1151" t="s">
        <v>0</v>
      </c>
      <c r="M1151" t="s">
        <v>178</v>
      </c>
      <c r="N1151">
        <v>26</v>
      </c>
      <c r="O1151">
        <v>26</v>
      </c>
      <c r="P1151">
        <v>1201.6500000000001</v>
      </c>
      <c r="Q1151">
        <v>455.48</v>
      </c>
      <c r="R1151">
        <v>137.4</v>
      </c>
      <c r="S1151">
        <v>72.080469710000003</v>
      </c>
      <c r="T1151">
        <v>0</v>
      </c>
      <c r="U1151">
        <v>0</v>
      </c>
      <c r="V1151">
        <v>137.4</v>
      </c>
      <c r="W1151" t="s">
        <v>0</v>
      </c>
      <c r="X1151" t="s">
        <v>271</v>
      </c>
      <c r="Y1151" t="s">
        <v>3942</v>
      </c>
      <c r="AA1151" t="s">
        <v>3943</v>
      </c>
      <c r="AB1151" t="s">
        <v>181</v>
      </c>
    </row>
    <row r="1152" spans="1:28" x14ac:dyDescent="0.25">
      <c r="A1152" t="s">
        <v>4349</v>
      </c>
      <c r="B1152" t="s">
        <v>4350</v>
      </c>
      <c r="C1152" t="s">
        <v>646</v>
      </c>
      <c r="D1152" t="s">
        <v>3779</v>
      </c>
      <c r="E1152" t="s">
        <v>647</v>
      </c>
      <c r="F1152" t="s">
        <v>3780</v>
      </c>
      <c r="G1152" t="s">
        <v>769</v>
      </c>
      <c r="H1152" t="s">
        <v>708</v>
      </c>
      <c r="I1152" t="s">
        <v>2242</v>
      </c>
      <c r="J1152" t="s">
        <v>2243</v>
      </c>
      <c r="K1152" t="s">
        <v>166</v>
      </c>
      <c r="L1152" t="s">
        <v>0</v>
      </c>
      <c r="M1152" t="s">
        <v>178</v>
      </c>
      <c r="N1152">
        <v>4</v>
      </c>
      <c r="O1152">
        <v>4</v>
      </c>
      <c r="P1152">
        <v>2</v>
      </c>
      <c r="Q1152">
        <v>33.76</v>
      </c>
      <c r="R1152">
        <v>20.02</v>
      </c>
      <c r="S1152">
        <v>1.36</v>
      </c>
      <c r="T1152">
        <v>0</v>
      </c>
      <c r="U1152">
        <v>0</v>
      </c>
      <c r="V1152">
        <v>20.02</v>
      </c>
      <c r="W1152" t="s">
        <v>1601</v>
      </c>
      <c r="X1152" t="s">
        <v>269</v>
      </c>
      <c r="Y1152" t="s">
        <v>4351</v>
      </c>
      <c r="AA1152" t="s">
        <v>4352</v>
      </c>
      <c r="AB1152" t="s">
        <v>181</v>
      </c>
    </row>
    <row r="1153" spans="1:28" x14ac:dyDescent="0.25">
      <c r="A1153" t="s">
        <v>4060</v>
      </c>
      <c r="B1153" t="s">
        <v>4061</v>
      </c>
      <c r="C1153" t="s">
        <v>646</v>
      </c>
      <c r="D1153" t="s">
        <v>3779</v>
      </c>
      <c r="E1153" t="s">
        <v>647</v>
      </c>
      <c r="F1153" t="s">
        <v>648</v>
      </c>
      <c r="G1153" t="s">
        <v>648</v>
      </c>
      <c r="H1153" t="s">
        <v>962</v>
      </c>
      <c r="I1153" t="s">
        <v>1114</v>
      </c>
      <c r="J1153" t="s">
        <v>1115</v>
      </c>
      <c r="K1153" t="s">
        <v>166</v>
      </c>
      <c r="L1153" t="s">
        <v>0</v>
      </c>
      <c r="M1153" t="s">
        <v>178</v>
      </c>
      <c r="N1153">
        <v>20</v>
      </c>
      <c r="O1153">
        <v>20</v>
      </c>
      <c r="P1153">
        <v>300</v>
      </c>
      <c r="Q1153">
        <v>1002.85</v>
      </c>
      <c r="R1153">
        <v>116.45</v>
      </c>
      <c r="S1153">
        <v>102.53045778000001</v>
      </c>
      <c r="T1153">
        <v>0</v>
      </c>
      <c r="U1153">
        <v>0</v>
      </c>
      <c r="V1153">
        <v>116.45</v>
      </c>
      <c r="W1153" t="s">
        <v>0</v>
      </c>
      <c r="X1153" t="s">
        <v>271</v>
      </c>
      <c r="Y1153" t="s">
        <v>4062</v>
      </c>
      <c r="AA1153" t="s">
        <v>4063</v>
      </c>
      <c r="AB1153" t="s">
        <v>181</v>
      </c>
    </row>
    <row r="1154" spans="1:28" x14ac:dyDescent="0.25">
      <c r="A1154" t="s">
        <v>3969</v>
      </c>
      <c r="B1154" t="s">
        <v>3970</v>
      </c>
      <c r="C1154" t="s">
        <v>646</v>
      </c>
      <c r="D1154" t="s">
        <v>3779</v>
      </c>
      <c r="E1154" t="s">
        <v>647</v>
      </c>
      <c r="F1154" t="s">
        <v>3780</v>
      </c>
      <c r="G1154" t="s">
        <v>769</v>
      </c>
      <c r="H1154" t="s">
        <v>672</v>
      </c>
      <c r="I1154" t="s">
        <v>1518</v>
      </c>
      <c r="J1154" t="s">
        <v>1519</v>
      </c>
      <c r="K1154" t="s">
        <v>166</v>
      </c>
      <c r="L1154" t="s">
        <v>0</v>
      </c>
      <c r="M1154" t="s">
        <v>178</v>
      </c>
      <c r="N1154">
        <v>24</v>
      </c>
      <c r="O1154">
        <v>0</v>
      </c>
      <c r="P1154">
        <v>360</v>
      </c>
      <c r="Q1154">
        <v>1439.06</v>
      </c>
      <c r="R1154">
        <v>316.16000000000003</v>
      </c>
      <c r="S1154">
        <v>79.600650200000004</v>
      </c>
      <c r="T1154">
        <v>0</v>
      </c>
      <c r="U1154">
        <v>0</v>
      </c>
      <c r="V1154">
        <v>316.16000000000003</v>
      </c>
      <c r="W1154" t="s">
        <v>1485</v>
      </c>
      <c r="X1154" t="s">
        <v>271</v>
      </c>
      <c r="Y1154" t="s">
        <v>3971</v>
      </c>
      <c r="AA1154" t="s">
        <v>3972</v>
      </c>
      <c r="AB1154" t="s">
        <v>181</v>
      </c>
    </row>
    <row r="1155" spans="1:28" x14ac:dyDescent="0.25">
      <c r="A1155" t="s">
        <v>3819</v>
      </c>
      <c r="B1155" t="s">
        <v>3820</v>
      </c>
      <c r="C1155" t="s">
        <v>646</v>
      </c>
      <c r="D1155" t="s">
        <v>3779</v>
      </c>
      <c r="E1155" t="s">
        <v>647</v>
      </c>
      <c r="F1155" t="s">
        <v>3780</v>
      </c>
      <c r="G1155" t="s">
        <v>769</v>
      </c>
      <c r="H1155" t="s">
        <v>770</v>
      </c>
      <c r="I1155" t="s">
        <v>798</v>
      </c>
      <c r="J1155" t="s">
        <v>524</v>
      </c>
      <c r="K1155" t="s">
        <v>166</v>
      </c>
      <c r="L1155" t="s">
        <v>0</v>
      </c>
      <c r="M1155" t="s">
        <v>178</v>
      </c>
      <c r="N1155">
        <v>7301.95</v>
      </c>
      <c r="O1155">
        <v>2846.95</v>
      </c>
      <c r="P1155">
        <v>117560.37</v>
      </c>
      <c r="Q1155">
        <v>192990.09</v>
      </c>
      <c r="R1155">
        <v>28688.35</v>
      </c>
      <c r="S1155">
        <v>20652.103915309999</v>
      </c>
      <c r="T1155">
        <v>0</v>
      </c>
      <c r="U1155">
        <v>0</v>
      </c>
      <c r="V1155">
        <v>28658.89</v>
      </c>
      <c r="W1155" t="s">
        <v>258</v>
      </c>
      <c r="X1155" t="s">
        <v>271</v>
      </c>
      <c r="Y1155" t="s">
        <v>3821</v>
      </c>
      <c r="AA1155" t="s">
        <v>3822</v>
      </c>
      <c r="AB1155" t="s">
        <v>181</v>
      </c>
    </row>
    <row r="1156" spans="1:28" x14ac:dyDescent="0.25">
      <c r="A1156" t="s">
        <v>3797</v>
      </c>
      <c r="B1156" t="s">
        <v>3798</v>
      </c>
      <c r="C1156" t="s">
        <v>646</v>
      </c>
      <c r="D1156" t="s">
        <v>3779</v>
      </c>
      <c r="E1156" t="s">
        <v>647</v>
      </c>
      <c r="F1156" t="s">
        <v>3780</v>
      </c>
      <c r="G1156" t="s">
        <v>769</v>
      </c>
      <c r="H1156" t="s">
        <v>797</v>
      </c>
      <c r="I1156" t="s">
        <v>725</v>
      </c>
      <c r="J1156" t="s">
        <v>726</v>
      </c>
      <c r="K1156" t="s">
        <v>166</v>
      </c>
      <c r="L1156" t="s">
        <v>0</v>
      </c>
      <c r="M1156" t="s">
        <v>178</v>
      </c>
      <c r="N1156">
        <v>623.75</v>
      </c>
      <c r="O1156">
        <v>270</v>
      </c>
      <c r="P1156">
        <v>7155.02</v>
      </c>
      <c r="Q1156">
        <v>18433.36</v>
      </c>
      <c r="R1156">
        <v>1463.1532550500001</v>
      </c>
      <c r="S1156">
        <v>2868.8415472800002</v>
      </c>
      <c r="T1156">
        <v>-6.7449500000000004E-3</v>
      </c>
      <c r="U1156">
        <v>11.86</v>
      </c>
      <c r="V1156">
        <v>1475.02</v>
      </c>
      <c r="W1156" t="s">
        <v>0</v>
      </c>
      <c r="X1156" t="s">
        <v>271</v>
      </c>
      <c r="Y1156" t="s">
        <v>3799</v>
      </c>
      <c r="AA1156" t="s">
        <v>3800</v>
      </c>
      <c r="AB1156" t="s">
        <v>181</v>
      </c>
    </row>
    <row r="1157" spans="1:28" x14ac:dyDescent="0.25">
      <c r="A1157" t="s">
        <v>3895</v>
      </c>
      <c r="B1157" t="s">
        <v>3896</v>
      </c>
      <c r="C1157" t="s">
        <v>646</v>
      </c>
      <c r="D1157" t="s">
        <v>3779</v>
      </c>
      <c r="E1157" t="s">
        <v>647</v>
      </c>
      <c r="F1157" t="s">
        <v>3780</v>
      </c>
      <c r="G1157" t="s">
        <v>769</v>
      </c>
      <c r="H1157" t="s">
        <v>708</v>
      </c>
      <c r="I1157" t="s">
        <v>3897</v>
      </c>
      <c r="J1157" t="s">
        <v>437</v>
      </c>
      <c r="K1157" t="s">
        <v>166</v>
      </c>
      <c r="L1157" t="s">
        <v>0</v>
      </c>
      <c r="M1157" t="s">
        <v>178</v>
      </c>
      <c r="N1157">
        <v>442.83339999999998</v>
      </c>
      <c r="O1157">
        <v>153.83340000000001</v>
      </c>
      <c r="P1157">
        <v>2993.81</v>
      </c>
      <c r="Q1157">
        <v>9287.39</v>
      </c>
      <c r="R1157">
        <v>909.55184192000002</v>
      </c>
      <c r="S1157">
        <v>1910.0976084399999</v>
      </c>
      <c r="T1157">
        <v>-0.29815807999999999</v>
      </c>
      <c r="U1157">
        <v>0</v>
      </c>
      <c r="V1157">
        <v>909.85</v>
      </c>
      <c r="W1157" t="s">
        <v>510</v>
      </c>
      <c r="X1157" t="s">
        <v>271</v>
      </c>
      <c r="Y1157" t="s">
        <v>3898</v>
      </c>
      <c r="AA1157" t="s">
        <v>3899</v>
      </c>
      <c r="AB1157" t="s">
        <v>181</v>
      </c>
    </row>
    <row r="1158" spans="1:28" x14ac:dyDescent="0.25">
      <c r="A1158" t="s">
        <v>4098</v>
      </c>
      <c r="B1158" t="s">
        <v>4099</v>
      </c>
      <c r="C1158" t="s">
        <v>646</v>
      </c>
      <c r="D1158" t="s">
        <v>3779</v>
      </c>
      <c r="E1158" t="s">
        <v>647</v>
      </c>
      <c r="F1158" t="s">
        <v>666</v>
      </c>
      <c r="G1158" t="s">
        <v>666</v>
      </c>
      <c r="H1158" t="s">
        <v>797</v>
      </c>
      <c r="I1158" t="s">
        <v>765</v>
      </c>
      <c r="J1158" t="s">
        <v>436</v>
      </c>
      <c r="K1158" t="s">
        <v>166</v>
      </c>
      <c r="L1158" t="s">
        <v>0</v>
      </c>
      <c r="M1158" t="s">
        <v>178</v>
      </c>
      <c r="N1158">
        <v>406</v>
      </c>
      <c r="O1158">
        <v>277</v>
      </c>
      <c r="P1158">
        <v>4180.95</v>
      </c>
      <c r="Q1158">
        <v>14084.9</v>
      </c>
      <c r="R1158">
        <v>1532.4192149600001</v>
      </c>
      <c r="S1158">
        <v>2111.4878181899999</v>
      </c>
      <c r="T1158">
        <v>2.9214960000000002E-2</v>
      </c>
      <c r="U1158">
        <v>0</v>
      </c>
      <c r="V1158">
        <v>1532.39</v>
      </c>
      <c r="W1158" t="s">
        <v>0</v>
      </c>
      <c r="X1158" t="s">
        <v>271</v>
      </c>
      <c r="Y1158" t="s">
        <v>4100</v>
      </c>
      <c r="AA1158" t="s">
        <v>4101</v>
      </c>
      <c r="AB1158" t="s">
        <v>181</v>
      </c>
    </row>
    <row r="1159" spans="1:28" x14ac:dyDescent="0.25">
      <c r="A1159" t="s">
        <v>4184</v>
      </c>
      <c r="B1159" t="s">
        <v>4185</v>
      </c>
      <c r="C1159" t="s">
        <v>646</v>
      </c>
      <c r="D1159" t="s">
        <v>3779</v>
      </c>
      <c r="E1159" t="s">
        <v>647</v>
      </c>
      <c r="F1159" t="s">
        <v>3780</v>
      </c>
      <c r="G1159" t="s">
        <v>769</v>
      </c>
      <c r="H1159" t="s">
        <v>708</v>
      </c>
      <c r="I1159" t="s">
        <v>4186</v>
      </c>
      <c r="J1159" t="s">
        <v>1164</v>
      </c>
      <c r="K1159" t="s">
        <v>166</v>
      </c>
      <c r="L1159" t="s">
        <v>0</v>
      </c>
      <c r="M1159" t="s">
        <v>178</v>
      </c>
      <c r="N1159">
        <v>151.16669999999999</v>
      </c>
      <c r="O1159">
        <v>108.16670000000001</v>
      </c>
      <c r="P1159">
        <v>1525.09</v>
      </c>
      <c r="Q1159">
        <v>4904.24</v>
      </c>
      <c r="R1159">
        <v>-613.72</v>
      </c>
      <c r="S1159">
        <v>2189.6172850299999</v>
      </c>
      <c r="T1159">
        <v>0</v>
      </c>
      <c r="U1159">
        <v>1135.98</v>
      </c>
      <c r="V1159">
        <v>522.26</v>
      </c>
      <c r="W1159" t="s">
        <v>1165</v>
      </c>
      <c r="X1159" t="s">
        <v>271</v>
      </c>
      <c r="Y1159" t="s">
        <v>4187</v>
      </c>
      <c r="AA1159" t="s">
        <v>4188</v>
      </c>
      <c r="AB1159" t="s">
        <v>181</v>
      </c>
    </row>
    <row r="1160" spans="1:28" x14ac:dyDescent="0.25">
      <c r="A1160" t="s">
        <v>4353</v>
      </c>
      <c r="B1160" t="s">
        <v>4354</v>
      </c>
      <c r="C1160" t="s">
        <v>646</v>
      </c>
      <c r="D1160" t="s">
        <v>3779</v>
      </c>
      <c r="E1160" t="s">
        <v>647</v>
      </c>
      <c r="F1160" t="s">
        <v>3780</v>
      </c>
      <c r="G1160" t="s">
        <v>769</v>
      </c>
      <c r="H1160" t="s">
        <v>757</v>
      </c>
      <c r="I1160" t="s">
        <v>1160</v>
      </c>
      <c r="J1160" t="s">
        <v>336</v>
      </c>
      <c r="K1160" t="s">
        <v>166</v>
      </c>
      <c r="L1160" t="s">
        <v>0</v>
      </c>
      <c r="M1160" t="s">
        <v>178</v>
      </c>
      <c r="N1160">
        <v>687</v>
      </c>
      <c r="O1160">
        <v>676</v>
      </c>
      <c r="P1160">
        <v>16986.32</v>
      </c>
      <c r="Q1160">
        <v>30007.81</v>
      </c>
      <c r="R1160">
        <v>1937.41</v>
      </c>
      <c r="S1160">
        <v>4917.4527755299996</v>
      </c>
      <c r="T1160">
        <v>0</v>
      </c>
      <c r="U1160">
        <v>0</v>
      </c>
      <c r="V1160">
        <v>1937.41</v>
      </c>
      <c r="W1160" t="s">
        <v>461</v>
      </c>
      <c r="X1160" t="s">
        <v>271</v>
      </c>
      <c r="Y1160" t="s">
        <v>4355</v>
      </c>
      <c r="AA1160" t="s">
        <v>4356</v>
      </c>
      <c r="AB1160" t="s">
        <v>181</v>
      </c>
    </row>
    <row r="1161" spans="1:28" x14ac:dyDescent="0.25">
      <c r="A1161" t="s">
        <v>4216</v>
      </c>
      <c r="B1161" t="s">
        <v>4217</v>
      </c>
      <c r="C1161" t="s">
        <v>646</v>
      </c>
      <c r="D1161" t="s">
        <v>3779</v>
      </c>
      <c r="E1161" t="s">
        <v>647</v>
      </c>
      <c r="F1161" t="s">
        <v>666</v>
      </c>
      <c r="G1161" t="s">
        <v>666</v>
      </c>
      <c r="H1161" t="s">
        <v>909</v>
      </c>
      <c r="I1161" t="s">
        <v>1636</v>
      </c>
      <c r="J1161" t="s">
        <v>1637</v>
      </c>
      <c r="K1161" t="s">
        <v>166</v>
      </c>
      <c r="L1161" t="s">
        <v>0</v>
      </c>
      <c r="M1161" t="s">
        <v>178</v>
      </c>
      <c r="N1161">
        <v>46</v>
      </c>
      <c r="O1161">
        <v>27</v>
      </c>
      <c r="P1161">
        <v>1148.19</v>
      </c>
      <c r="Q1161">
        <v>1450.26</v>
      </c>
      <c r="R1161">
        <v>128.37184020000001</v>
      </c>
      <c r="S1161">
        <v>127.65220092</v>
      </c>
      <c r="T1161">
        <v>0.91184019999999999</v>
      </c>
      <c r="U1161">
        <v>0</v>
      </c>
      <c r="V1161">
        <v>127.46</v>
      </c>
      <c r="W1161" t="s">
        <v>1638</v>
      </c>
      <c r="X1161" t="s">
        <v>271</v>
      </c>
      <c r="Y1161" t="s">
        <v>1639</v>
      </c>
      <c r="AA1161" t="s">
        <v>4218</v>
      </c>
      <c r="AB1161" t="s">
        <v>181</v>
      </c>
    </row>
    <row r="1162" spans="1:28" x14ac:dyDescent="0.25">
      <c r="A1162" t="s">
        <v>3998</v>
      </c>
      <c r="B1162" t="s">
        <v>3999</v>
      </c>
      <c r="C1162" t="s">
        <v>646</v>
      </c>
      <c r="D1162" t="s">
        <v>3779</v>
      </c>
      <c r="E1162" t="s">
        <v>647</v>
      </c>
      <c r="F1162" t="s">
        <v>3780</v>
      </c>
      <c r="G1162" t="s">
        <v>769</v>
      </c>
      <c r="H1162" t="s">
        <v>703</v>
      </c>
      <c r="I1162" t="s">
        <v>1636</v>
      </c>
      <c r="J1162" t="s">
        <v>1637</v>
      </c>
      <c r="K1162" t="s">
        <v>166</v>
      </c>
      <c r="L1162" t="s">
        <v>0</v>
      </c>
      <c r="M1162" t="s">
        <v>178</v>
      </c>
      <c r="N1162">
        <v>231.16659999999999</v>
      </c>
      <c r="O1162">
        <v>51.833300000000001</v>
      </c>
      <c r="P1162">
        <v>3287.95</v>
      </c>
      <c r="Q1162">
        <v>8810.42</v>
      </c>
      <c r="R1162">
        <v>1141.9672127199999</v>
      </c>
      <c r="S1162">
        <v>1008.39067385</v>
      </c>
      <c r="T1162">
        <v>-0.96278728000000002</v>
      </c>
      <c r="U1162">
        <v>0</v>
      </c>
      <c r="V1162">
        <v>1142.93</v>
      </c>
      <c r="W1162" t="s">
        <v>1638</v>
      </c>
      <c r="X1162" t="s">
        <v>271</v>
      </c>
      <c r="Y1162" t="s">
        <v>4000</v>
      </c>
      <c r="AA1162" t="s">
        <v>4001</v>
      </c>
      <c r="AB1162" t="s">
        <v>181</v>
      </c>
    </row>
    <row r="1163" spans="1:28" x14ac:dyDescent="0.25">
      <c r="A1163" t="s">
        <v>4172</v>
      </c>
      <c r="B1163" t="s">
        <v>4173</v>
      </c>
      <c r="C1163" t="s">
        <v>646</v>
      </c>
      <c r="D1163" t="s">
        <v>3779</v>
      </c>
      <c r="E1163" t="s">
        <v>647</v>
      </c>
      <c r="F1163" t="s">
        <v>3780</v>
      </c>
      <c r="G1163" t="s">
        <v>769</v>
      </c>
      <c r="H1163" t="s">
        <v>703</v>
      </c>
      <c r="I1163" t="s">
        <v>1801</v>
      </c>
      <c r="J1163" t="s">
        <v>437</v>
      </c>
      <c r="K1163" t="s">
        <v>166</v>
      </c>
      <c r="L1163" t="s">
        <v>0</v>
      </c>
      <c r="M1163" t="s">
        <v>178</v>
      </c>
      <c r="N1163">
        <v>363.91669999999999</v>
      </c>
      <c r="O1163">
        <v>119.41670000000001</v>
      </c>
      <c r="P1163">
        <v>6728.67</v>
      </c>
      <c r="Q1163">
        <v>13118.29</v>
      </c>
      <c r="R1163">
        <v>2306.4788289600001</v>
      </c>
      <c r="S1163">
        <v>1634.3151167399999</v>
      </c>
      <c r="T1163">
        <v>5.24882896</v>
      </c>
      <c r="U1163">
        <v>0</v>
      </c>
      <c r="V1163">
        <v>2301.23</v>
      </c>
      <c r="W1163" t="s">
        <v>510</v>
      </c>
      <c r="X1163" t="s">
        <v>271</v>
      </c>
      <c r="Y1163" t="s">
        <v>4174</v>
      </c>
      <c r="Z1163" t="s">
        <v>4175</v>
      </c>
      <c r="AA1163" t="s">
        <v>4176</v>
      </c>
      <c r="AB1163" t="s">
        <v>181</v>
      </c>
    </row>
    <row r="1164" spans="1:28" x14ac:dyDescent="0.25">
      <c r="A1164" t="s">
        <v>4179</v>
      </c>
      <c r="B1164" t="s">
        <v>4180</v>
      </c>
      <c r="C1164" t="s">
        <v>646</v>
      </c>
      <c r="D1164" t="s">
        <v>3779</v>
      </c>
      <c r="E1164" t="s">
        <v>647</v>
      </c>
      <c r="F1164" t="s">
        <v>3780</v>
      </c>
      <c r="G1164" t="s">
        <v>769</v>
      </c>
      <c r="H1164" t="s">
        <v>703</v>
      </c>
      <c r="I1164" t="s">
        <v>4181</v>
      </c>
      <c r="J1164" t="s">
        <v>816</v>
      </c>
      <c r="K1164" t="s">
        <v>166</v>
      </c>
      <c r="L1164" t="s">
        <v>0</v>
      </c>
      <c r="M1164" t="s">
        <v>178</v>
      </c>
      <c r="N1164">
        <v>695.5</v>
      </c>
      <c r="O1164">
        <v>307</v>
      </c>
      <c r="P1164">
        <v>11896.78</v>
      </c>
      <c r="Q1164">
        <v>32464.639999999999</v>
      </c>
      <c r="R1164">
        <v>6803.4480335099997</v>
      </c>
      <c r="S1164">
        <v>4415.6725905800004</v>
      </c>
      <c r="T1164">
        <v>1.3780335100000001</v>
      </c>
      <c r="U1164">
        <v>0</v>
      </c>
      <c r="V1164">
        <v>6802.07</v>
      </c>
      <c r="W1164" t="s">
        <v>1490</v>
      </c>
      <c r="X1164" t="s">
        <v>271</v>
      </c>
      <c r="Y1164" t="s">
        <v>4182</v>
      </c>
      <c r="AA1164" t="s">
        <v>4183</v>
      </c>
      <c r="AB1164" t="s">
        <v>181</v>
      </c>
    </row>
    <row r="1165" spans="1:28" x14ac:dyDescent="0.25">
      <c r="A1165" t="s">
        <v>4260</v>
      </c>
      <c r="B1165" t="s">
        <v>4261</v>
      </c>
      <c r="C1165" t="s">
        <v>646</v>
      </c>
      <c r="D1165" t="s">
        <v>3779</v>
      </c>
      <c r="E1165" t="s">
        <v>647</v>
      </c>
      <c r="F1165" t="s">
        <v>666</v>
      </c>
      <c r="G1165" t="s">
        <v>666</v>
      </c>
      <c r="H1165" t="s">
        <v>770</v>
      </c>
      <c r="I1165" t="s">
        <v>4262</v>
      </c>
      <c r="J1165" t="s">
        <v>1180</v>
      </c>
      <c r="K1165" t="s">
        <v>166</v>
      </c>
      <c r="L1165" t="s">
        <v>0</v>
      </c>
      <c r="M1165" t="s">
        <v>178</v>
      </c>
      <c r="N1165">
        <v>217</v>
      </c>
      <c r="O1165">
        <v>135</v>
      </c>
      <c r="P1165">
        <v>6065.2</v>
      </c>
      <c r="Q1165">
        <v>5365</v>
      </c>
      <c r="R1165">
        <v>938.95</v>
      </c>
      <c r="S1165">
        <v>645.52221362</v>
      </c>
      <c r="T1165">
        <v>0</v>
      </c>
      <c r="U1165">
        <v>0</v>
      </c>
      <c r="V1165">
        <v>938.95</v>
      </c>
      <c r="W1165" t="s">
        <v>0</v>
      </c>
      <c r="X1165" t="s">
        <v>271</v>
      </c>
      <c r="Y1165" t="s">
        <v>4263</v>
      </c>
      <c r="AA1165" t="s">
        <v>4264</v>
      </c>
      <c r="AB1165" t="s">
        <v>181</v>
      </c>
    </row>
    <row r="1166" spans="1:28" x14ac:dyDescent="0.25">
      <c r="A1166" t="s">
        <v>3913</v>
      </c>
      <c r="B1166" t="s">
        <v>3914</v>
      </c>
      <c r="C1166" t="s">
        <v>646</v>
      </c>
      <c r="D1166" t="s">
        <v>3779</v>
      </c>
      <c r="E1166" t="s">
        <v>647</v>
      </c>
      <c r="F1166" t="s">
        <v>3780</v>
      </c>
      <c r="G1166" t="s">
        <v>769</v>
      </c>
      <c r="H1166" t="s">
        <v>761</v>
      </c>
      <c r="I1166" t="s">
        <v>984</v>
      </c>
      <c r="J1166" t="s">
        <v>985</v>
      </c>
      <c r="K1166" t="s">
        <v>166</v>
      </c>
      <c r="L1166" t="s">
        <v>0</v>
      </c>
      <c r="M1166" t="s">
        <v>178</v>
      </c>
      <c r="N1166">
        <v>57</v>
      </c>
      <c r="O1166">
        <v>8</v>
      </c>
      <c r="P1166">
        <v>1977.56</v>
      </c>
      <c r="Q1166">
        <v>2062.75</v>
      </c>
      <c r="R1166">
        <v>561.30999999999995</v>
      </c>
      <c r="S1166">
        <v>101.89594280999999</v>
      </c>
      <c r="T1166">
        <v>0</v>
      </c>
      <c r="U1166">
        <v>0</v>
      </c>
      <c r="V1166">
        <v>561.30999999999995</v>
      </c>
      <c r="W1166" t="s">
        <v>986</v>
      </c>
      <c r="X1166" t="s">
        <v>271</v>
      </c>
      <c r="Y1166" t="s">
        <v>3915</v>
      </c>
      <c r="AA1166" t="s">
        <v>3916</v>
      </c>
      <c r="AB1166" t="s">
        <v>181</v>
      </c>
    </row>
    <row r="1167" spans="1:28" x14ac:dyDescent="0.25">
      <c r="A1167" t="s">
        <v>4002</v>
      </c>
      <c r="B1167" t="s">
        <v>4003</v>
      </c>
      <c r="C1167" t="s">
        <v>646</v>
      </c>
      <c r="D1167" t="s">
        <v>3779</v>
      </c>
      <c r="E1167" t="s">
        <v>647</v>
      </c>
      <c r="F1167" t="s">
        <v>3780</v>
      </c>
      <c r="G1167" t="s">
        <v>769</v>
      </c>
      <c r="H1167" t="s">
        <v>708</v>
      </c>
      <c r="I1167" t="s">
        <v>2635</v>
      </c>
      <c r="J1167" t="s">
        <v>2636</v>
      </c>
      <c r="K1167" t="s">
        <v>166</v>
      </c>
      <c r="L1167" t="s">
        <v>0</v>
      </c>
      <c r="M1167" t="s">
        <v>178</v>
      </c>
      <c r="N1167">
        <v>1</v>
      </c>
      <c r="O1167">
        <v>0</v>
      </c>
      <c r="P1167">
        <v>18</v>
      </c>
      <c r="Q1167">
        <v>57.93</v>
      </c>
      <c r="R1167">
        <v>8.1300000000000008</v>
      </c>
      <c r="S1167">
        <v>1.992</v>
      </c>
      <c r="T1167">
        <v>0</v>
      </c>
      <c r="U1167">
        <v>0</v>
      </c>
      <c r="V1167">
        <v>8.1300000000000008</v>
      </c>
      <c r="W1167" t="s">
        <v>1609</v>
      </c>
      <c r="X1167" t="s">
        <v>271</v>
      </c>
      <c r="Y1167" t="s">
        <v>4004</v>
      </c>
      <c r="AA1167" t="s">
        <v>4005</v>
      </c>
      <c r="AB1167" t="s">
        <v>181</v>
      </c>
    </row>
    <row r="1168" spans="1:28" x14ac:dyDescent="0.25">
      <c r="A1168" t="s">
        <v>3865</v>
      </c>
      <c r="B1168" t="s">
        <v>3866</v>
      </c>
      <c r="C1168" t="s">
        <v>646</v>
      </c>
      <c r="D1168" t="s">
        <v>3779</v>
      </c>
      <c r="E1168" t="s">
        <v>647</v>
      </c>
      <c r="F1168" t="s">
        <v>3780</v>
      </c>
      <c r="G1168" t="s">
        <v>769</v>
      </c>
      <c r="H1168" t="s">
        <v>757</v>
      </c>
      <c r="I1168" t="s">
        <v>3867</v>
      </c>
      <c r="J1168" t="s">
        <v>881</v>
      </c>
      <c r="K1168" t="s">
        <v>166</v>
      </c>
      <c r="L1168" t="s">
        <v>0</v>
      </c>
      <c r="M1168" t="s">
        <v>178</v>
      </c>
      <c r="N1168">
        <v>109.75</v>
      </c>
      <c r="O1168">
        <v>107.75</v>
      </c>
      <c r="P1168">
        <v>3061.05</v>
      </c>
      <c r="Q1168">
        <v>4309.24</v>
      </c>
      <c r="R1168">
        <v>558.35</v>
      </c>
      <c r="S1168">
        <v>997.84791317999998</v>
      </c>
      <c r="T1168">
        <v>0</v>
      </c>
      <c r="U1168">
        <v>0</v>
      </c>
      <c r="V1168">
        <v>558.35</v>
      </c>
      <c r="W1168" t="s">
        <v>0</v>
      </c>
      <c r="X1168" t="s">
        <v>271</v>
      </c>
      <c r="Y1168" t="s">
        <v>3868</v>
      </c>
      <c r="AA1168" t="s">
        <v>3869</v>
      </c>
      <c r="AB1168" t="s">
        <v>181</v>
      </c>
    </row>
    <row r="1169" spans="1:28" x14ac:dyDescent="0.25">
      <c r="A1169" t="s">
        <v>4172</v>
      </c>
      <c r="B1169" t="s">
        <v>4173</v>
      </c>
      <c r="C1169" t="s">
        <v>646</v>
      </c>
      <c r="D1169" t="s">
        <v>3779</v>
      </c>
      <c r="E1169" t="s">
        <v>647</v>
      </c>
      <c r="F1169" t="s">
        <v>3780</v>
      </c>
      <c r="G1169" t="s">
        <v>769</v>
      </c>
      <c r="H1169" t="s">
        <v>909</v>
      </c>
      <c r="I1169" t="s">
        <v>1801</v>
      </c>
      <c r="J1169" t="s">
        <v>437</v>
      </c>
      <c r="K1169" t="s">
        <v>166</v>
      </c>
      <c r="L1169" t="s">
        <v>0</v>
      </c>
      <c r="M1169" t="s">
        <v>178</v>
      </c>
      <c r="N1169">
        <v>58</v>
      </c>
      <c r="O1169">
        <v>39</v>
      </c>
      <c r="P1169">
        <v>1780.6</v>
      </c>
      <c r="Q1169">
        <v>1929.98</v>
      </c>
      <c r="R1169">
        <v>352.06</v>
      </c>
      <c r="S1169">
        <v>203.78169373</v>
      </c>
      <c r="T1169">
        <v>0</v>
      </c>
      <c r="U1169">
        <v>0</v>
      </c>
      <c r="V1169">
        <v>352.06</v>
      </c>
      <c r="W1169" t="s">
        <v>510</v>
      </c>
      <c r="X1169" t="s">
        <v>271</v>
      </c>
      <c r="Y1169" t="s">
        <v>4174</v>
      </c>
      <c r="Z1169" t="s">
        <v>4175</v>
      </c>
      <c r="AA1169" t="s">
        <v>4176</v>
      </c>
      <c r="AB1169" t="s">
        <v>181</v>
      </c>
    </row>
    <row r="1170" spans="1:28" x14ac:dyDescent="0.25">
      <c r="A1170" t="s">
        <v>4027</v>
      </c>
      <c r="B1170" t="s">
        <v>4028</v>
      </c>
      <c r="C1170" t="s">
        <v>646</v>
      </c>
      <c r="D1170" t="s">
        <v>3779</v>
      </c>
      <c r="E1170" t="s">
        <v>647</v>
      </c>
      <c r="F1170" t="s">
        <v>3780</v>
      </c>
      <c r="G1170" t="s">
        <v>769</v>
      </c>
      <c r="H1170" t="s">
        <v>802</v>
      </c>
      <c r="I1170" t="s">
        <v>1251</v>
      </c>
      <c r="J1170" t="s">
        <v>821</v>
      </c>
      <c r="K1170" t="s">
        <v>166</v>
      </c>
      <c r="L1170" t="s">
        <v>0</v>
      </c>
      <c r="M1170" t="s">
        <v>178</v>
      </c>
      <c r="N1170">
        <v>927.08339999999998</v>
      </c>
      <c r="O1170">
        <v>827.33339999999998</v>
      </c>
      <c r="P1170">
        <v>16793.939999999999</v>
      </c>
      <c r="Q1170">
        <v>46430.38</v>
      </c>
      <c r="R1170">
        <v>3405.08</v>
      </c>
      <c r="S1170">
        <v>5931.1010700400002</v>
      </c>
      <c r="T1170">
        <v>0</v>
      </c>
      <c r="U1170">
        <v>0</v>
      </c>
      <c r="V1170">
        <v>3405.08</v>
      </c>
      <c r="W1170" t="s">
        <v>822</v>
      </c>
      <c r="X1170" t="s">
        <v>269</v>
      </c>
      <c r="Y1170" t="s">
        <v>4029</v>
      </c>
      <c r="AA1170" t="s">
        <v>4030</v>
      </c>
      <c r="AB1170" t="s">
        <v>181</v>
      </c>
    </row>
    <row r="1171" spans="1:28" x14ac:dyDescent="0.25">
      <c r="A1171" t="s">
        <v>3985</v>
      </c>
      <c r="B1171" t="s">
        <v>3986</v>
      </c>
      <c r="C1171" t="s">
        <v>646</v>
      </c>
      <c r="D1171" t="s">
        <v>3779</v>
      </c>
      <c r="E1171" t="s">
        <v>647</v>
      </c>
      <c r="F1171" t="s">
        <v>3780</v>
      </c>
      <c r="G1171" t="s">
        <v>769</v>
      </c>
      <c r="H1171" t="s">
        <v>683</v>
      </c>
      <c r="I1171" t="s">
        <v>3987</v>
      </c>
      <c r="J1171" t="s">
        <v>3988</v>
      </c>
      <c r="K1171" t="s">
        <v>166</v>
      </c>
      <c r="L1171" t="s">
        <v>0</v>
      </c>
      <c r="M1171" t="s">
        <v>178</v>
      </c>
      <c r="N1171">
        <v>119.33329999999999</v>
      </c>
      <c r="O1171">
        <v>84.333299999999994</v>
      </c>
      <c r="P1171">
        <v>1877.49</v>
      </c>
      <c r="Q1171">
        <v>4032.97</v>
      </c>
      <c r="R1171">
        <v>724.67094004</v>
      </c>
      <c r="S1171">
        <v>875.42609949999996</v>
      </c>
      <c r="T1171">
        <v>0.24094003999999999</v>
      </c>
      <c r="U1171">
        <v>0</v>
      </c>
      <c r="V1171">
        <v>724.43</v>
      </c>
      <c r="W1171" t="s">
        <v>3989</v>
      </c>
      <c r="X1171" t="s">
        <v>271</v>
      </c>
      <c r="Y1171" t="s">
        <v>3990</v>
      </c>
      <c r="AA1171" t="s">
        <v>3991</v>
      </c>
      <c r="AB1171" t="s">
        <v>181</v>
      </c>
    </row>
    <row r="1172" spans="1:28" x14ac:dyDescent="0.25">
      <c r="A1172" t="s">
        <v>3952</v>
      </c>
      <c r="B1172" t="s">
        <v>3953</v>
      </c>
      <c r="C1172" t="s">
        <v>646</v>
      </c>
      <c r="D1172" t="s">
        <v>3779</v>
      </c>
      <c r="E1172" t="s">
        <v>647</v>
      </c>
      <c r="F1172" t="s">
        <v>666</v>
      </c>
      <c r="G1172" t="s">
        <v>666</v>
      </c>
      <c r="H1172" t="s">
        <v>962</v>
      </c>
      <c r="I1172" t="s">
        <v>2032</v>
      </c>
      <c r="J1172" t="s">
        <v>311</v>
      </c>
      <c r="K1172" t="s">
        <v>166</v>
      </c>
      <c r="L1172" t="s">
        <v>0</v>
      </c>
      <c r="M1172" t="s">
        <v>178</v>
      </c>
      <c r="N1172">
        <v>473</v>
      </c>
      <c r="O1172">
        <v>217</v>
      </c>
      <c r="P1172">
        <v>7992.23</v>
      </c>
      <c r="Q1172">
        <v>23776.25</v>
      </c>
      <c r="R1172">
        <v>1918.8615677</v>
      </c>
      <c r="S1172">
        <v>2132.3203016699999</v>
      </c>
      <c r="T1172">
        <v>1.5677E-3</v>
      </c>
      <c r="U1172">
        <v>115.77</v>
      </c>
      <c r="V1172">
        <v>2034.63</v>
      </c>
      <c r="W1172" t="s">
        <v>312</v>
      </c>
      <c r="X1172" t="s">
        <v>271</v>
      </c>
      <c r="Y1172" t="s">
        <v>3954</v>
      </c>
      <c r="AA1172" t="s">
        <v>3955</v>
      </c>
      <c r="AB1172" t="s">
        <v>181</v>
      </c>
    </row>
    <row r="1173" spans="1:28" x14ac:dyDescent="0.25">
      <c r="A1173" t="s">
        <v>4027</v>
      </c>
      <c r="B1173" t="s">
        <v>4028</v>
      </c>
      <c r="C1173" t="s">
        <v>646</v>
      </c>
      <c r="D1173" t="s">
        <v>3779</v>
      </c>
      <c r="E1173" t="s">
        <v>647</v>
      </c>
      <c r="F1173" t="s">
        <v>3780</v>
      </c>
      <c r="G1173" t="s">
        <v>769</v>
      </c>
      <c r="H1173" t="s">
        <v>962</v>
      </c>
      <c r="I1173" t="s">
        <v>1251</v>
      </c>
      <c r="J1173" t="s">
        <v>821</v>
      </c>
      <c r="K1173" t="s">
        <v>166</v>
      </c>
      <c r="L1173" t="s">
        <v>0</v>
      </c>
      <c r="M1173" t="s">
        <v>178</v>
      </c>
      <c r="N1173">
        <v>166</v>
      </c>
      <c r="O1173">
        <v>127</v>
      </c>
      <c r="P1173">
        <v>2456.75</v>
      </c>
      <c r="Q1173">
        <v>7254.03</v>
      </c>
      <c r="R1173">
        <v>799.47444389999998</v>
      </c>
      <c r="S1173">
        <v>649.46958710000001</v>
      </c>
      <c r="T1173">
        <v>4.4438999999999998E-3</v>
      </c>
      <c r="U1173">
        <v>0</v>
      </c>
      <c r="V1173">
        <v>799.47</v>
      </c>
      <c r="W1173" t="s">
        <v>822</v>
      </c>
      <c r="X1173" t="s">
        <v>269</v>
      </c>
      <c r="Y1173" t="s">
        <v>4029</v>
      </c>
      <c r="AA1173" t="s">
        <v>4030</v>
      </c>
      <c r="AB1173" t="s">
        <v>181</v>
      </c>
    </row>
    <row r="1174" spans="1:28" x14ac:dyDescent="0.25">
      <c r="A1174" t="s">
        <v>4342</v>
      </c>
      <c r="B1174" t="s">
        <v>4343</v>
      </c>
      <c r="C1174" t="s">
        <v>646</v>
      </c>
      <c r="D1174" t="s">
        <v>3779</v>
      </c>
      <c r="E1174" t="s">
        <v>647</v>
      </c>
      <c r="F1174" t="s">
        <v>666</v>
      </c>
      <c r="G1174" t="s">
        <v>666</v>
      </c>
      <c r="H1174" t="s">
        <v>797</v>
      </c>
      <c r="I1174" t="s">
        <v>4344</v>
      </c>
      <c r="J1174" t="s">
        <v>355</v>
      </c>
      <c r="K1174" t="s">
        <v>166</v>
      </c>
      <c r="L1174" t="s">
        <v>0</v>
      </c>
      <c r="M1174" t="s">
        <v>178</v>
      </c>
      <c r="N1174">
        <v>167</v>
      </c>
      <c r="O1174">
        <v>0</v>
      </c>
      <c r="P1174">
        <v>1670</v>
      </c>
      <c r="Q1174">
        <v>6558.84</v>
      </c>
      <c r="R1174">
        <v>1833.0202480600001</v>
      </c>
      <c r="S1174">
        <v>178.85</v>
      </c>
      <c r="T1174">
        <v>0.28024806000000002</v>
      </c>
      <c r="U1174">
        <v>0</v>
      </c>
      <c r="V1174">
        <v>1832.74</v>
      </c>
      <c r="W1174" t="s">
        <v>0</v>
      </c>
      <c r="X1174" t="s">
        <v>271</v>
      </c>
      <c r="Y1174" t="s">
        <v>4345</v>
      </c>
      <c r="AA1174" t="s">
        <v>3894</v>
      </c>
      <c r="AB1174" t="s">
        <v>181</v>
      </c>
    </row>
    <row r="1175" spans="1:28" x14ac:dyDescent="0.25">
      <c r="A1175" t="s">
        <v>4102</v>
      </c>
      <c r="B1175" t="s">
        <v>4103</v>
      </c>
      <c r="C1175" t="s">
        <v>646</v>
      </c>
      <c r="D1175" t="s">
        <v>3779</v>
      </c>
      <c r="E1175" t="s">
        <v>647</v>
      </c>
      <c r="F1175" t="s">
        <v>3780</v>
      </c>
      <c r="G1175" t="s">
        <v>769</v>
      </c>
      <c r="H1175" t="s">
        <v>672</v>
      </c>
      <c r="I1175" t="s">
        <v>4104</v>
      </c>
      <c r="J1175" t="s">
        <v>4105</v>
      </c>
      <c r="K1175" t="s">
        <v>166</v>
      </c>
      <c r="L1175" t="s">
        <v>0</v>
      </c>
      <c r="M1175" t="s">
        <v>178</v>
      </c>
      <c r="N1175">
        <v>1198</v>
      </c>
      <c r="O1175">
        <v>1030</v>
      </c>
      <c r="P1175">
        <v>31797.5</v>
      </c>
      <c r="Q1175">
        <v>42732.69</v>
      </c>
      <c r="R1175">
        <v>4718.1318078699996</v>
      </c>
      <c r="S1175">
        <v>7126.0304978100003</v>
      </c>
      <c r="T1175">
        <v>106.41180787</v>
      </c>
      <c r="U1175">
        <v>0</v>
      </c>
      <c r="V1175">
        <v>4715.8500000000004</v>
      </c>
      <c r="W1175" t="s">
        <v>4106</v>
      </c>
      <c r="X1175" t="s">
        <v>269</v>
      </c>
      <c r="Y1175" t="s">
        <v>4107</v>
      </c>
      <c r="AA1175" t="s">
        <v>4108</v>
      </c>
      <c r="AB1175" t="s">
        <v>181</v>
      </c>
    </row>
    <row r="1176" spans="1:28" x14ac:dyDescent="0.25">
      <c r="A1176" t="s">
        <v>4069</v>
      </c>
      <c r="B1176" t="s">
        <v>4070</v>
      </c>
      <c r="C1176" t="s">
        <v>646</v>
      </c>
      <c r="D1176" t="s">
        <v>3779</v>
      </c>
      <c r="E1176" t="s">
        <v>647</v>
      </c>
      <c r="F1176" t="s">
        <v>3780</v>
      </c>
      <c r="G1176" t="s">
        <v>769</v>
      </c>
      <c r="H1176" t="s">
        <v>730</v>
      </c>
      <c r="I1176" t="s">
        <v>4071</v>
      </c>
      <c r="J1176" t="s">
        <v>785</v>
      </c>
      <c r="K1176" t="s">
        <v>166</v>
      </c>
      <c r="L1176" t="s">
        <v>0</v>
      </c>
      <c r="M1176" t="s">
        <v>178</v>
      </c>
      <c r="N1176">
        <v>7</v>
      </c>
      <c r="O1176">
        <v>0</v>
      </c>
      <c r="P1176">
        <v>260.39999999999998</v>
      </c>
      <c r="Q1176">
        <v>1217.28</v>
      </c>
      <c r="R1176">
        <v>165.45299431000001</v>
      </c>
      <c r="S1176">
        <v>-5.0340639999999999E-2</v>
      </c>
      <c r="T1176">
        <v>139.07299431000001</v>
      </c>
      <c r="U1176">
        <v>0</v>
      </c>
      <c r="V1176">
        <v>166.98</v>
      </c>
      <c r="W1176" t="s">
        <v>0</v>
      </c>
      <c r="X1176" t="s">
        <v>271</v>
      </c>
      <c r="Y1176" t="s">
        <v>4072</v>
      </c>
      <c r="AA1176" t="s">
        <v>4073</v>
      </c>
      <c r="AB1176" t="s">
        <v>181</v>
      </c>
    </row>
    <row r="1177" spans="1:28" x14ac:dyDescent="0.25">
      <c r="A1177" t="s">
        <v>3823</v>
      </c>
      <c r="B1177" t="s">
        <v>3824</v>
      </c>
      <c r="C1177" t="s">
        <v>646</v>
      </c>
      <c r="D1177" t="s">
        <v>3779</v>
      </c>
      <c r="E1177" t="s">
        <v>647</v>
      </c>
      <c r="F1177" t="s">
        <v>3780</v>
      </c>
      <c r="G1177" t="s">
        <v>769</v>
      </c>
      <c r="H1177" t="s">
        <v>770</v>
      </c>
      <c r="I1177" t="s">
        <v>1801</v>
      </c>
      <c r="J1177" t="s">
        <v>437</v>
      </c>
      <c r="K1177" t="s">
        <v>166</v>
      </c>
      <c r="L1177" t="s">
        <v>0</v>
      </c>
      <c r="M1177" t="s">
        <v>178</v>
      </c>
      <c r="N1177">
        <v>351.25</v>
      </c>
      <c r="O1177">
        <v>190.5</v>
      </c>
      <c r="P1177">
        <v>9130.7999999999993</v>
      </c>
      <c r="Q1177">
        <v>8618.35</v>
      </c>
      <c r="R1177">
        <v>1263.05</v>
      </c>
      <c r="S1177">
        <v>1040.7270679999999</v>
      </c>
      <c r="T1177">
        <v>0</v>
      </c>
      <c r="U1177">
        <v>0</v>
      </c>
      <c r="V1177">
        <v>1263.05</v>
      </c>
      <c r="W1177" t="s">
        <v>510</v>
      </c>
      <c r="X1177" t="s">
        <v>271</v>
      </c>
      <c r="Y1177" t="s">
        <v>3825</v>
      </c>
      <c r="AA1177" t="s">
        <v>3826</v>
      </c>
      <c r="AB1177" t="s">
        <v>181</v>
      </c>
    </row>
    <row r="1178" spans="1:28" x14ac:dyDescent="0.25">
      <c r="A1178" t="s">
        <v>3814</v>
      </c>
      <c r="B1178" t="s">
        <v>3815</v>
      </c>
      <c r="C1178" t="s">
        <v>646</v>
      </c>
      <c r="D1178" t="s">
        <v>3779</v>
      </c>
      <c r="E1178" t="s">
        <v>647</v>
      </c>
      <c r="F1178" t="s">
        <v>3780</v>
      </c>
      <c r="G1178" t="s">
        <v>769</v>
      </c>
      <c r="H1178" t="s">
        <v>649</v>
      </c>
      <c r="I1178" t="s">
        <v>3816</v>
      </c>
      <c r="J1178" t="s">
        <v>548</v>
      </c>
      <c r="K1178" t="s">
        <v>166</v>
      </c>
      <c r="L1178" t="s">
        <v>0</v>
      </c>
      <c r="M1178" t="s">
        <v>178</v>
      </c>
      <c r="N1178">
        <v>306</v>
      </c>
      <c r="O1178">
        <v>271</v>
      </c>
      <c r="P1178">
        <v>5726.86</v>
      </c>
      <c r="Q1178">
        <v>14577.63</v>
      </c>
      <c r="R1178">
        <v>1147.06113867</v>
      </c>
      <c r="S1178">
        <v>1989.12389422</v>
      </c>
      <c r="T1178">
        <v>29.121138670000001</v>
      </c>
      <c r="U1178">
        <v>0</v>
      </c>
      <c r="V1178">
        <v>1147.03</v>
      </c>
      <c r="W1178" t="s">
        <v>241</v>
      </c>
      <c r="X1178" t="s">
        <v>271</v>
      </c>
      <c r="Y1178" t="s">
        <v>3817</v>
      </c>
      <c r="AA1178" t="s">
        <v>3818</v>
      </c>
      <c r="AB1178" t="s">
        <v>181</v>
      </c>
    </row>
    <row r="1179" spans="1:28" x14ac:dyDescent="0.25">
      <c r="A1179" t="s">
        <v>4357</v>
      </c>
      <c r="B1179" t="s">
        <v>4358</v>
      </c>
      <c r="C1179" t="s">
        <v>646</v>
      </c>
      <c r="D1179" t="s">
        <v>3779</v>
      </c>
      <c r="E1179" t="s">
        <v>647</v>
      </c>
      <c r="F1179" t="s">
        <v>3780</v>
      </c>
      <c r="G1179" t="s">
        <v>769</v>
      </c>
      <c r="H1179" t="s">
        <v>730</v>
      </c>
      <c r="I1179" t="s">
        <v>1599</v>
      </c>
      <c r="J1179" t="s">
        <v>1600</v>
      </c>
      <c r="K1179" t="s">
        <v>166</v>
      </c>
      <c r="L1179" t="s">
        <v>0</v>
      </c>
      <c r="M1179" t="s">
        <v>178</v>
      </c>
      <c r="N1179">
        <v>31</v>
      </c>
      <c r="O1179">
        <v>19</v>
      </c>
      <c r="P1179">
        <v>720.2</v>
      </c>
      <c r="Q1179">
        <v>747.67</v>
      </c>
      <c r="R1179">
        <v>275.58</v>
      </c>
      <c r="S1179">
        <v>69.366519210000007</v>
      </c>
      <c r="T1179">
        <v>0</v>
      </c>
      <c r="U1179">
        <v>0</v>
      </c>
      <c r="V1179">
        <v>275.58</v>
      </c>
      <c r="W1179" t="s">
        <v>1601</v>
      </c>
      <c r="X1179" t="s">
        <v>269</v>
      </c>
      <c r="Y1179" t="s">
        <v>4359</v>
      </c>
      <c r="AA1179" t="s">
        <v>4360</v>
      </c>
      <c r="AB1179" t="s">
        <v>181</v>
      </c>
    </row>
    <row r="1180" spans="1:28" x14ac:dyDescent="0.25">
      <c r="A1180" t="s">
        <v>4179</v>
      </c>
      <c r="B1180" t="s">
        <v>4180</v>
      </c>
      <c r="C1180" t="s">
        <v>646</v>
      </c>
      <c r="D1180" t="s">
        <v>3779</v>
      </c>
      <c r="E1180" t="s">
        <v>647</v>
      </c>
      <c r="F1180" t="s">
        <v>3780</v>
      </c>
      <c r="G1180" t="s">
        <v>769</v>
      </c>
      <c r="H1180" t="s">
        <v>717</v>
      </c>
      <c r="I1180" t="s">
        <v>4181</v>
      </c>
      <c r="J1180" t="s">
        <v>816</v>
      </c>
      <c r="K1180" t="s">
        <v>166</v>
      </c>
      <c r="L1180" t="s">
        <v>0</v>
      </c>
      <c r="M1180" t="s">
        <v>178</v>
      </c>
      <c r="N1180">
        <v>90</v>
      </c>
      <c r="O1180">
        <v>85</v>
      </c>
      <c r="P1180">
        <v>1280.9100000000001</v>
      </c>
      <c r="Q1180">
        <v>5109.07</v>
      </c>
      <c r="R1180">
        <v>814.06</v>
      </c>
      <c r="S1180">
        <v>702.53057745000001</v>
      </c>
      <c r="T1180">
        <v>0</v>
      </c>
      <c r="U1180">
        <v>0</v>
      </c>
      <c r="V1180">
        <v>814.06</v>
      </c>
      <c r="W1180" t="s">
        <v>1490</v>
      </c>
      <c r="X1180" t="s">
        <v>271</v>
      </c>
      <c r="Y1180" t="s">
        <v>4182</v>
      </c>
      <c r="AA1180" t="s">
        <v>4183</v>
      </c>
      <c r="AB1180" t="s">
        <v>181</v>
      </c>
    </row>
    <row r="1181" spans="1:28" x14ac:dyDescent="0.25">
      <c r="A1181" t="s">
        <v>4216</v>
      </c>
      <c r="B1181" t="s">
        <v>4217</v>
      </c>
      <c r="C1181" t="s">
        <v>646</v>
      </c>
      <c r="D1181" t="s">
        <v>3779</v>
      </c>
      <c r="E1181" t="s">
        <v>647</v>
      </c>
      <c r="F1181" t="s">
        <v>666</v>
      </c>
      <c r="G1181" t="s">
        <v>666</v>
      </c>
      <c r="H1181" t="s">
        <v>717</v>
      </c>
      <c r="I1181" t="s">
        <v>1636</v>
      </c>
      <c r="J1181" t="s">
        <v>1637</v>
      </c>
      <c r="K1181" t="s">
        <v>166</v>
      </c>
      <c r="L1181" t="s">
        <v>0</v>
      </c>
      <c r="M1181" t="s">
        <v>178</v>
      </c>
      <c r="N1181">
        <v>62</v>
      </c>
      <c r="O1181">
        <v>15</v>
      </c>
      <c r="P1181">
        <v>1592.6</v>
      </c>
      <c r="Q1181">
        <v>4473.63</v>
      </c>
      <c r="R1181">
        <v>278.27480821</v>
      </c>
      <c r="S1181">
        <v>252.78662754999999</v>
      </c>
      <c r="T1181">
        <v>1.07480821</v>
      </c>
      <c r="U1181">
        <v>0</v>
      </c>
      <c r="V1181">
        <v>277.2</v>
      </c>
      <c r="W1181" t="s">
        <v>1638</v>
      </c>
      <c r="X1181" t="s">
        <v>271</v>
      </c>
      <c r="Y1181" t="s">
        <v>1639</v>
      </c>
      <c r="AA1181" t="s">
        <v>4218</v>
      </c>
      <c r="AB1181" t="s">
        <v>181</v>
      </c>
    </row>
    <row r="1182" spans="1:28" x14ac:dyDescent="0.25">
      <c r="A1182" t="s">
        <v>4342</v>
      </c>
      <c r="B1182" t="s">
        <v>4343</v>
      </c>
      <c r="C1182" t="s">
        <v>646</v>
      </c>
      <c r="D1182" t="s">
        <v>3779</v>
      </c>
      <c r="E1182" t="s">
        <v>647</v>
      </c>
      <c r="F1182" t="s">
        <v>666</v>
      </c>
      <c r="G1182" t="s">
        <v>666</v>
      </c>
      <c r="H1182" t="s">
        <v>713</v>
      </c>
      <c r="I1182" t="s">
        <v>4344</v>
      </c>
      <c r="J1182" t="s">
        <v>355</v>
      </c>
      <c r="K1182" t="s">
        <v>166</v>
      </c>
      <c r="L1182" t="s">
        <v>0</v>
      </c>
      <c r="M1182" t="s">
        <v>178</v>
      </c>
      <c r="N1182">
        <v>593</v>
      </c>
      <c r="O1182">
        <v>2</v>
      </c>
      <c r="P1182">
        <v>17133.12</v>
      </c>
      <c r="Q1182">
        <v>6659.42</v>
      </c>
      <c r="R1182">
        <v>2168.25</v>
      </c>
      <c r="S1182">
        <v>61.499957940000002</v>
      </c>
      <c r="T1182">
        <v>0</v>
      </c>
      <c r="U1182">
        <v>0</v>
      </c>
      <c r="V1182">
        <v>2168.25</v>
      </c>
      <c r="W1182" t="s">
        <v>0</v>
      </c>
      <c r="X1182" t="s">
        <v>271</v>
      </c>
      <c r="Y1182" t="s">
        <v>4345</v>
      </c>
      <c r="AA1182" t="s">
        <v>3894</v>
      </c>
      <c r="AB1182" t="s">
        <v>181</v>
      </c>
    </row>
    <row r="1183" spans="1:28" x14ac:dyDescent="0.25">
      <c r="A1183" t="s">
        <v>4127</v>
      </c>
      <c r="B1183" t="s">
        <v>4128</v>
      </c>
      <c r="C1183" t="s">
        <v>646</v>
      </c>
      <c r="D1183" t="s">
        <v>3779</v>
      </c>
      <c r="E1183" t="s">
        <v>647</v>
      </c>
      <c r="F1183" t="s">
        <v>3780</v>
      </c>
      <c r="G1183" t="s">
        <v>769</v>
      </c>
      <c r="H1183" t="s">
        <v>1171</v>
      </c>
      <c r="I1183" t="s">
        <v>4129</v>
      </c>
      <c r="J1183" t="s">
        <v>2057</v>
      </c>
      <c r="K1183" t="s">
        <v>166</v>
      </c>
      <c r="L1183" t="s">
        <v>0</v>
      </c>
      <c r="M1183" t="s">
        <v>178</v>
      </c>
      <c r="N1183">
        <v>11</v>
      </c>
      <c r="O1183">
        <v>7</v>
      </c>
      <c r="P1183">
        <v>356.4</v>
      </c>
      <c r="Q1183">
        <v>2809.56</v>
      </c>
      <c r="R1183">
        <v>335.53480820999999</v>
      </c>
      <c r="S1183">
        <v>30.67608474</v>
      </c>
      <c r="T1183">
        <v>1.07480821</v>
      </c>
      <c r="U1183">
        <v>0</v>
      </c>
      <c r="V1183">
        <v>334.46</v>
      </c>
      <c r="W1183" t="s">
        <v>2058</v>
      </c>
      <c r="X1183" t="s">
        <v>271</v>
      </c>
      <c r="Y1183" t="s">
        <v>4130</v>
      </c>
      <c r="AA1183" t="s">
        <v>4131</v>
      </c>
      <c r="AB1183" t="s">
        <v>181</v>
      </c>
    </row>
    <row r="1184" spans="1:28" x14ac:dyDescent="0.25">
      <c r="A1184" t="s">
        <v>4248</v>
      </c>
      <c r="B1184" t="s">
        <v>4249</v>
      </c>
      <c r="C1184" t="s">
        <v>646</v>
      </c>
      <c r="D1184" t="s">
        <v>3779</v>
      </c>
      <c r="E1184" t="s">
        <v>647</v>
      </c>
      <c r="F1184" t="s">
        <v>3780</v>
      </c>
      <c r="G1184" t="s">
        <v>769</v>
      </c>
      <c r="H1184" t="s">
        <v>761</v>
      </c>
      <c r="I1184" t="s">
        <v>1913</v>
      </c>
      <c r="J1184" t="s">
        <v>1914</v>
      </c>
      <c r="K1184" t="s">
        <v>166</v>
      </c>
      <c r="L1184" t="s">
        <v>0</v>
      </c>
      <c r="M1184" t="s">
        <v>178</v>
      </c>
      <c r="N1184">
        <v>83</v>
      </c>
      <c r="O1184">
        <v>50</v>
      </c>
      <c r="P1184">
        <v>2857.15</v>
      </c>
      <c r="Q1184">
        <v>2182.61</v>
      </c>
      <c r="R1184">
        <v>383.39</v>
      </c>
      <c r="S1184">
        <v>258.38371354999998</v>
      </c>
      <c r="T1184">
        <v>0</v>
      </c>
      <c r="U1184">
        <v>0</v>
      </c>
      <c r="V1184">
        <v>383.39</v>
      </c>
      <c r="W1184" t="s">
        <v>1915</v>
      </c>
      <c r="X1184" t="s">
        <v>269</v>
      </c>
      <c r="Y1184" t="s">
        <v>4250</v>
      </c>
      <c r="AA1184" t="s">
        <v>4251</v>
      </c>
      <c r="AB1184" t="s">
        <v>181</v>
      </c>
    </row>
    <row r="1185" spans="1:28" x14ac:dyDescent="0.25">
      <c r="A1185" t="s">
        <v>4022</v>
      </c>
      <c r="B1185" t="s">
        <v>4023</v>
      </c>
      <c r="C1185" t="s">
        <v>646</v>
      </c>
      <c r="D1185" t="s">
        <v>3779</v>
      </c>
      <c r="E1185" t="s">
        <v>647</v>
      </c>
      <c r="F1185" t="s">
        <v>3780</v>
      </c>
      <c r="G1185" t="s">
        <v>769</v>
      </c>
      <c r="H1185" t="s">
        <v>909</v>
      </c>
      <c r="I1185" t="s">
        <v>4024</v>
      </c>
      <c r="J1185" t="s">
        <v>447</v>
      </c>
      <c r="K1185" t="s">
        <v>166</v>
      </c>
      <c r="L1185" t="s">
        <v>0</v>
      </c>
      <c r="M1185" t="s">
        <v>178</v>
      </c>
      <c r="N1185">
        <v>123</v>
      </c>
      <c r="O1185">
        <v>107</v>
      </c>
      <c r="P1185">
        <v>3810.54</v>
      </c>
      <c r="Q1185">
        <v>6427.21</v>
      </c>
      <c r="R1185">
        <v>728.85677250000003</v>
      </c>
      <c r="S1185">
        <v>1358.7644958200001</v>
      </c>
      <c r="T1185">
        <v>0.19677249999999999</v>
      </c>
      <c r="U1185">
        <v>0</v>
      </c>
      <c r="V1185">
        <v>728.66</v>
      </c>
      <c r="W1185" t="s">
        <v>446</v>
      </c>
      <c r="X1185" t="s">
        <v>271</v>
      </c>
      <c r="Y1185" t="s">
        <v>4025</v>
      </c>
      <c r="AA1185" t="s">
        <v>4026</v>
      </c>
      <c r="AB1185" t="s">
        <v>181</v>
      </c>
    </row>
    <row r="1186" spans="1:28" x14ac:dyDescent="0.25">
      <c r="A1186" t="s">
        <v>4357</v>
      </c>
      <c r="B1186" t="s">
        <v>4358</v>
      </c>
      <c r="C1186" t="s">
        <v>646</v>
      </c>
      <c r="D1186" t="s">
        <v>3779</v>
      </c>
      <c r="E1186" t="s">
        <v>647</v>
      </c>
      <c r="F1186" t="s">
        <v>3780</v>
      </c>
      <c r="G1186" t="s">
        <v>769</v>
      </c>
      <c r="H1186" t="s">
        <v>797</v>
      </c>
      <c r="I1186" t="s">
        <v>1599</v>
      </c>
      <c r="J1186" t="s">
        <v>1600</v>
      </c>
      <c r="K1186" t="s">
        <v>166</v>
      </c>
      <c r="L1186" t="s">
        <v>0</v>
      </c>
      <c r="M1186" t="s">
        <v>178</v>
      </c>
      <c r="N1186">
        <v>275</v>
      </c>
      <c r="O1186">
        <v>199</v>
      </c>
      <c r="P1186">
        <v>3146</v>
      </c>
      <c r="Q1186">
        <v>9299.69</v>
      </c>
      <c r="R1186">
        <v>2636.94520268</v>
      </c>
      <c r="S1186">
        <v>1931.25816719</v>
      </c>
      <c r="T1186">
        <v>-4.7973199999999999E-3</v>
      </c>
      <c r="U1186">
        <v>0</v>
      </c>
      <c r="V1186">
        <v>2636.95</v>
      </c>
      <c r="W1186" t="s">
        <v>1601</v>
      </c>
      <c r="X1186" t="s">
        <v>269</v>
      </c>
      <c r="Y1186" t="s">
        <v>4359</v>
      </c>
      <c r="AA1186" t="s">
        <v>4360</v>
      </c>
      <c r="AB1186" t="s">
        <v>181</v>
      </c>
    </row>
    <row r="1187" spans="1:28" x14ac:dyDescent="0.25">
      <c r="A1187" t="s">
        <v>4098</v>
      </c>
      <c r="B1187" t="s">
        <v>4099</v>
      </c>
      <c r="C1187" t="s">
        <v>646</v>
      </c>
      <c r="D1187" t="s">
        <v>3779</v>
      </c>
      <c r="E1187" t="s">
        <v>647</v>
      </c>
      <c r="F1187" t="s">
        <v>666</v>
      </c>
      <c r="G1187" t="s">
        <v>666</v>
      </c>
      <c r="H1187" t="s">
        <v>1045</v>
      </c>
      <c r="I1187" t="s">
        <v>765</v>
      </c>
      <c r="J1187" t="s">
        <v>436</v>
      </c>
      <c r="K1187" t="s">
        <v>166</v>
      </c>
      <c r="L1187" t="s">
        <v>0</v>
      </c>
      <c r="M1187" t="s">
        <v>178</v>
      </c>
      <c r="N1187">
        <v>124</v>
      </c>
      <c r="O1187">
        <v>55</v>
      </c>
      <c r="P1187">
        <v>1431</v>
      </c>
      <c r="Q1187">
        <v>18153.349999999999</v>
      </c>
      <c r="R1187">
        <v>1526.33</v>
      </c>
      <c r="S1187">
        <v>1035.7941458800001</v>
      </c>
      <c r="T1187">
        <v>0</v>
      </c>
      <c r="U1187">
        <v>0</v>
      </c>
      <c r="V1187">
        <v>1526.33</v>
      </c>
      <c r="W1187" t="s">
        <v>0</v>
      </c>
      <c r="X1187" t="s">
        <v>271</v>
      </c>
      <c r="Y1187" t="s">
        <v>4100</v>
      </c>
      <c r="AA1187" t="s">
        <v>4101</v>
      </c>
      <c r="AB1187" t="s">
        <v>181</v>
      </c>
    </row>
    <row r="1188" spans="1:28" x14ac:dyDescent="0.25">
      <c r="A1188" t="s">
        <v>3969</v>
      </c>
      <c r="B1188" t="s">
        <v>3970</v>
      </c>
      <c r="C1188" t="s">
        <v>646</v>
      </c>
      <c r="D1188" t="s">
        <v>3779</v>
      </c>
      <c r="E1188" t="s">
        <v>647</v>
      </c>
      <c r="F1188" t="s">
        <v>3780</v>
      </c>
      <c r="G1188" t="s">
        <v>769</v>
      </c>
      <c r="H1188" t="s">
        <v>649</v>
      </c>
      <c r="I1188" t="s">
        <v>1518</v>
      </c>
      <c r="J1188" t="s">
        <v>1519</v>
      </c>
      <c r="K1188" t="s">
        <v>166</v>
      </c>
      <c r="L1188" t="s">
        <v>0</v>
      </c>
      <c r="M1188" t="s">
        <v>178</v>
      </c>
      <c r="N1188">
        <v>34</v>
      </c>
      <c r="O1188">
        <v>0</v>
      </c>
      <c r="P1188">
        <v>356</v>
      </c>
      <c r="Q1188">
        <v>1406.9</v>
      </c>
      <c r="R1188">
        <v>260.94</v>
      </c>
      <c r="S1188">
        <v>17.32687602</v>
      </c>
      <c r="T1188">
        <v>0</v>
      </c>
      <c r="U1188">
        <v>0</v>
      </c>
      <c r="V1188">
        <v>260.94</v>
      </c>
      <c r="W1188" t="s">
        <v>1485</v>
      </c>
      <c r="X1188" t="s">
        <v>271</v>
      </c>
      <c r="Y1188" t="s">
        <v>3971</v>
      </c>
      <c r="AA1188" t="s">
        <v>3972</v>
      </c>
      <c r="AB1188" t="s">
        <v>181</v>
      </c>
    </row>
    <row r="1189" spans="1:28" x14ac:dyDescent="0.25">
      <c r="A1189" t="s">
        <v>4349</v>
      </c>
      <c r="B1189" t="s">
        <v>4350</v>
      </c>
      <c r="C1189" t="s">
        <v>646</v>
      </c>
      <c r="D1189" t="s">
        <v>3779</v>
      </c>
      <c r="E1189" t="s">
        <v>647</v>
      </c>
      <c r="F1189" t="s">
        <v>3780</v>
      </c>
      <c r="G1189" t="s">
        <v>769</v>
      </c>
      <c r="H1189" t="s">
        <v>683</v>
      </c>
      <c r="I1189" t="s">
        <v>2242</v>
      </c>
      <c r="J1189" t="s">
        <v>2243</v>
      </c>
      <c r="K1189" t="s">
        <v>166</v>
      </c>
      <c r="L1189" t="s">
        <v>0</v>
      </c>
      <c r="M1189" t="s">
        <v>178</v>
      </c>
      <c r="N1189">
        <v>190</v>
      </c>
      <c r="O1189">
        <v>11</v>
      </c>
      <c r="P1189">
        <v>2407.65</v>
      </c>
      <c r="Q1189">
        <v>13447.06</v>
      </c>
      <c r="R1189">
        <v>5130.5180842600003</v>
      </c>
      <c r="S1189">
        <v>844.79784898000003</v>
      </c>
      <c r="T1189">
        <v>-1.91574E-3</v>
      </c>
      <c r="U1189">
        <v>0</v>
      </c>
      <c r="V1189">
        <v>5130.5200000000004</v>
      </c>
      <c r="W1189" t="s">
        <v>1601</v>
      </c>
      <c r="X1189" t="s">
        <v>269</v>
      </c>
      <c r="Y1189" t="s">
        <v>4351</v>
      </c>
      <c r="AA1189" t="s">
        <v>4352</v>
      </c>
      <c r="AB1189" t="s">
        <v>181</v>
      </c>
    </row>
    <row r="1190" spans="1:28" x14ac:dyDescent="0.25">
      <c r="A1190" t="s">
        <v>4312</v>
      </c>
      <c r="B1190" t="s">
        <v>4313</v>
      </c>
      <c r="C1190" t="s">
        <v>646</v>
      </c>
      <c r="D1190" t="s">
        <v>3779</v>
      </c>
      <c r="E1190" t="s">
        <v>647</v>
      </c>
      <c r="F1190" t="s">
        <v>3780</v>
      </c>
      <c r="G1190" t="s">
        <v>769</v>
      </c>
      <c r="H1190" t="s">
        <v>770</v>
      </c>
      <c r="I1190" t="s">
        <v>4314</v>
      </c>
      <c r="J1190" t="s">
        <v>319</v>
      </c>
      <c r="K1190" t="s">
        <v>166</v>
      </c>
      <c r="L1190" t="s">
        <v>0</v>
      </c>
      <c r="M1190" t="s">
        <v>178</v>
      </c>
      <c r="N1190">
        <v>28</v>
      </c>
      <c r="O1190">
        <v>0</v>
      </c>
      <c r="P1190">
        <v>140</v>
      </c>
      <c r="Q1190">
        <v>611.07000000000005</v>
      </c>
      <c r="R1190">
        <v>153.37</v>
      </c>
      <c r="S1190">
        <v>71.488929470000002</v>
      </c>
      <c r="T1190">
        <v>0</v>
      </c>
      <c r="U1190">
        <v>0</v>
      </c>
      <c r="V1190">
        <v>153.37</v>
      </c>
      <c r="W1190" t="s">
        <v>0</v>
      </c>
      <c r="X1190" t="s">
        <v>271</v>
      </c>
      <c r="Y1190" t="s">
        <v>4315</v>
      </c>
      <c r="AA1190" t="s">
        <v>3466</v>
      </c>
      <c r="AB1190" t="s">
        <v>181</v>
      </c>
    </row>
    <row r="1191" spans="1:28" x14ac:dyDescent="0.25">
      <c r="A1191" t="s">
        <v>3883</v>
      </c>
      <c r="B1191" t="s">
        <v>3884</v>
      </c>
      <c r="C1191" t="s">
        <v>646</v>
      </c>
      <c r="D1191" t="s">
        <v>3779</v>
      </c>
      <c r="E1191" t="s">
        <v>647</v>
      </c>
      <c r="F1191" t="s">
        <v>3780</v>
      </c>
      <c r="G1191" t="s">
        <v>769</v>
      </c>
      <c r="H1191" t="s">
        <v>962</v>
      </c>
      <c r="I1191" t="s">
        <v>3885</v>
      </c>
      <c r="J1191" t="s">
        <v>1861</v>
      </c>
      <c r="K1191" t="s">
        <v>166</v>
      </c>
      <c r="L1191" t="s">
        <v>0</v>
      </c>
      <c r="M1191" t="s">
        <v>178</v>
      </c>
      <c r="N1191">
        <v>1</v>
      </c>
      <c r="O1191">
        <v>0</v>
      </c>
      <c r="P1191">
        <v>56.4</v>
      </c>
      <c r="Q1191">
        <v>140.44</v>
      </c>
      <c r="R1191">
        <v>9.16</v>
      </c>
      <c r="S1191">
        <v>1.2459474100000001</v>
      </c>
      <c r="T1191">
        <v>0</v>
      </c>
      <c r="U1191">
        <v>0</v>
      </c>
      <c r="V1191">
        <v>9.16</v>
      </c>
      <c r="W1191" t="s">
        <v>1862</v>
      </c>
      <c r="X1191" t="s">
        <v>271</v>
      </c>
      <c r="Y1191" t="s">
        <v>3886</v>
      </c>
      <c r="AA1191" t="s">
        <v>3887</v>
      </c>
      <c r="AB1191" t="s">
        <v>181</v>
      </c>
    </row>
    <row r="1192" spans="1:28" x14ac:dyDescent="0.25">
      <c r="A1192" t="s">
        <v>4078</v>
      </c>
      <c r="B1192" t="s">
        <v>4079</v>
      </c>
      <c r="C1192" t="s">
        <v>646</v>
      </c>
      <c r="D1192" t="s">
        <v>3779</v>
      </c>
      <c r="E1192" t="s">
        <v>647</v>
      </c>
      <c r="F1192" t="s">
        <v>3780</v>
      </c>
      <c r="G1192" t="s">
        <v>769</v>
      </c>
      <c r="H1192" t="s">
        <v>909</v>
      </c>
      <c r="I1192" t="s">
        <v>885</v>
      </c>
      <c r="J1192" t="s">
        <v>324</v>
      </c>
      <c r="K1192" t="s">
        <v>166</v>
      </c>
      <c r="L1192" t="s">
        <v>0</v>
      </c>
      <c r="M1192" t="s">
        <v>178</v>
      </c>
      <c r="N1192">
        <v>19</v>
      </c>
      <c r="O1192">
        <v>10</v>
      </c>
      <c r="P1192">
        <v>650</v>
      </c>
      <c r="Q1192">
        <v>463.05</v>
      </c>
      <c r="R1192">
        <v>40.799999999999997</v>
      </c>
      <c r="S1192">
        <v>48.158644090000003</v>
      </c>
      <c r="T1192">
        <v>0</v>
      </c>
      <c r="U1192">
        <v>0</v>
      </c>
      <c r="V1192">
        <v>40.799999999999997</v>
      </c>
      <c r="W1192" t="s">
        <v>519</v>
      </c>
      <c r="X1192" t="s">
        <v>271</v>
      </c>
      <c r="Y1192" t="s">
        <v>4080</v>
      </c>
      <c r="AA1192" t="s">
        <v>4081</v>
      </c>
      <c r="AB1192" t="s">
        <v>181</v>
      </c>
    </row>
    <row r="1193" spans="1:28" x14ac:dyDescent="0.25">
      <c r="A1193" t="s">
        <v>3877</v>
      </c>
      <c r="B1193" t="s">
        <v>3878</v>
      </c>
      <c r="C1193" t="s">
        <v>646</v>
      </c>
      <c r="D1193" t="s">
        <v>3779</v>
      </c>
      <c r="E1193" t="s">
        <v>647</v>
      </c>
      <c r="F1193" t="s">
        <v>648</v>
      </c>
      <c r="G1193" t="s">
        <v>648</v>
      </c>
      <c r="H1193" t="s">
        <v>1045</v>
      </c>
      <c r="I1193" t="s">
        <v>3879</v>
      </c>
      <c r="J1193" t="s">
        <v>3880</v>
      </c>
      <c r="K1193" t="s">
        <v>166</v>
      </c>
      <c r="L1193" t="s">
        <v>0</v>
      </c>
      <c r="M1193" t="s">
        <v>178</v>
      </c>
      <c r="N1193">
        <v>4</v>
      </c>
      <c r="O1193">
        <v>3</v>
      </c>
      <c r="P1193">
        <v>80</v>
      </c>
      <c r="Q1193">
        <v>488.92</v>
      </c>
      <c r="R1193">
        <v>32.82</v>
      </c>
      <c r="S1193">
        <v>13.558</v>
      </c>
      <c r="T1193">
        <v>0</v>
      </c>
      <c r="U1193">
        <v>0</v>
      </c>
      <c r="V1193">
        <v>32.82</v>
      </c>
      <c r="W1193" t="s">
        <v>1079</v>
      </c>
      <c r="X1193" t="s">
        <v>271</v>
      </c>
      <c r="Y1193" t="s">
        <v>3881</v>
      </c>
      <c r="AA1193" t="s">
        <v>3882</v>
      </c>
      <c r="AB1193" t="s">
        <v>181</v>
      </c>
    </row>
    <row r="1194" spans="1:28" x14ac:dyDescent="0.25">
      <c r="A1194" t="s">
        <v>3788</v>
      </c>
      <c r="B1194" t="s">
        <v>3789</v>
      </c>
      <c r="C1194" t="s">
        <v>646</v>
      </c>
      <c r="D1194" t="s">
        <v>3779</v>
      </c>
      <c r="E1194" t="s">
        <v>647</v>
      </c>
      <c r="F1194" t="s">
        <v>3780</v>
      </c>
      <c r="G1194" t="s">
        <v>769</v>
      </c>
      <c r="H1194" t="s">
        <v>1515</v>
      </c>
      <c r="I1194" t="s">
        <v>3790</v>
      </c>
      <c r="J1194" t="s">
        <v>599</v>
      </c>
      <c r="K1194" t="s">
        <v>166</v>
      </c>
      <c r="L1194" t="s">
        <v>0</v>
      </c>
      <c r="M1194" t="s">
        <v>178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 t="s">
        <v>598</v>
      </c>
      <c r="X1194" t="s">
        <v>271</v>
      </c>
      <c r="Y1194" t="s">
        <v>3791</v>
      </c>
      <c r="AA1194" t="s">
        <v>3792</v>
      </c>
      <c r="AB1194" t="s">
        <v>181</v>
      </c>
    </row>
    <row r="1195" spans="1:28" x14ac:dyDescent="0.25">
      <c r="A1195" t="s">
        <v>4232</v>
      </c>
      <c r="B1195" t="s">
        <v>4233</v>
      </c>
      <c r="C1195" t="s">
        <v>646</v>
      </c>
      <c r="D1195" t="s">
        <v>3779</v>
      </c>
      <c r="E1195" t="s">
        <v>647</v>
      </c>
      <c r="F1195" t="s">
        <v>3780</v>
      </c>
      <c r="G1195" t="s">
        <v>769</v>
      </c>
      <c r="H1195" t="s">
        <v>1515</v>
      </c>
      <c r="I1195" t="s">
        <v>1296</v>
      </c>
      <c r="J1195" t="s">
        <v>996</v>
      </c>
      <c r="K1195" t="s">
        <v>166</v>
      </c>
      <c r="L1195" t="s">
        <v>0</v>
      </c>
      <c r="M1195" t="s">
        <v>178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 t="s">
        <v>1683</v>
      </c>
      <c r="X1195" t="s">
        <v>271</v>
      </c>
      <c r="Y1195" t="s">
        <v>4234</v>
      </c>
      <c r="AA1195" t="s">
        <v>4235</v>
      </c>
      <c r="AB1195" t="s">
        <v>181</v>
      </c>
    </row>
    <row r="1196" spans="1:28" x14ac:dyDescent="0.25">
      <c r="A1196" t="s">
        <v>3777</v>
      </c>
      <c r="B1196" t="s">
        <v>3778</v>
      </c>
      <c r="C1196" t="s">
        <v>646</v>
      </c>
      <c r="D1196" t="s">
        <v>3779</v>
      </c>
      <c r="E1196" t="s">
        <v>647</v>
      </c>
      <c r="F1196" t="s">
        <v>3780</v>
      </c>
      <c r="G1196" t="s">
        <v>769</v>
      </c>
      <c r="H1196" t="s">
        <v>1159</v>
      </c>
      <c r="I1196" t="s">
        <v>798</v>
      </c>
      <c r="J1196" t="s">
        <v>524</v>
      </c>
      <c r="K1196" t="s">
        <v>166</v>
      </c>
      <c r="L1196" t="s">
        <v>0</v>
      </c>
      <c r="M1196" t="s">
        <v>178</v>
      </c>
      <c r="N1196">
        <v>2</v>
      </c>
      <c r="O1196">
        <v>2</v>
      </c>
      <c r="P1196">
        <v>19.559999999999999</v>
      </c>
      <c r="Q1196">
        <v>96.56</v>
      </c>
      <c r="R1196">
        <v>12.49</v>
      </c>
      <c r="S1196">
        <v>24.58498926</v>
      </c>
      <c r="T1196">
        <v>0</v>
      </c>
      <c r="U1196">
        <v>0</v>
      </c>
      <c r="V1196">
        <v>12.49</v>
      </c>
      <c r="W1196" t="s">
        <v>258</v>
      </c>
      <c r="X1196" t="s">
        <v>271</v>
      </c>
      <c r="Y1196" t="s">
        <v>3781</v>
      </c>
      <c r="AA1196" t="s">
        <v>3782</v>
      </c>
      <c r="AB1196" t="s">
        <v>181</v>
      </c>
    </row>
    <row r="1197" spans="1:28" x14ac:dyDescent="0.25">
      <c r="A1197" t="s">
        <v>3883</v>
      </c>
      <c r="B1197" t="s">
        <v>3884</v>
      </c>
      <c r="C1197" t="s">
        <v>646</v>
      </c>
      <c r="D1197" t="s">
        <v>3779</v>
      </c>
      <c r="E1197" t="s">
        <v>647</v>
      </c>
      <c r="F1197" t="s">
        <v>3780</v>
      </c>
      <c r="G1197" t="s">
        <v>769</v>
      </c>
      <c r="H1197" t="s">
        <v>909</v>
      </c>
      <c r="I1197" t="s">
        <v>3885</v>
      </c>
      <c r="J1197" t="s">
        <v>1861</v>
      </c>
      <c r="K1197" t="s">
        <v>166</v>
      </c>
      <c r="L1197" t="s">
        <v>0</v>
      </c>
      <c r="M1197" t="s">
        <v>178</v>
      </c>
      <c r="N1197">
        <v>102</v>
      </c>
      <c r="O1197">
        <v>102</v>
      </c>
      <c r="P1197">
        <v>3060</v>
      </c>
      <c r="Q1197">
        <v>1998.66</v>
      </c>
      <c r="R1197">
        <v>36.99</v>
      </c>
      <c r="S1197">
        <v>276.36081627999999</v>
      </c>
      <c r="T1197">
        <v>0</v>
      </c>
      <c r="U1197">
        <v>0</v>
      </c>
      <c r="V1197">
        <v>36.99</v>
      </c>
      <c r="W1197" t="s">
        <v>1862</v>
      </c>
      <c r="X1197" t="s">
        <v>271</v>
      </c>
      <c r="Y1197" t="s">
        <v>3886</v>
      </c>
      <c r="AA1197" t="s">
        <v>3887</v>
      </c>
      <c r="AB1197" t="s">
        <v>181</v>
      </c>
    </row>
    <row r="1198" spans="1:28" x14ac:dyDescent="0.25">
      <c r="A1198" t="s">
        <v>4098</v>
      </c>
      <c r="B1198" t="s">
        <v>4099</v>
      </c>
      <c r="C1198" t="s">
        <v>646</v>
      </c>
      <c r="D1198" t="s">
        <v>3779</v>
      </c>
      <c r="E1198" t="s">
        <v>647</v>
      </c>
      <c r="F1198" t="s">
        <v>666</v>
      </c>
      <c r="G1198" t="s">
        <v>666</v>
      </c>
      <c r="H1198" t="s">
        <v>703</v>
      </c>
      <c r="I1198" t="s">
        <v>765</v>
      </c>
      <c r="J1198" t="s">
        <v>436</v>
      </c>
      <c r="K1198" t="s">
        <v>166</v>
      </c>
      <c r="L1198" t="s">
        <v>0</v>
      </c>
      <c r="M1198" t="s">
        <v>178</v>
      </c>
      <c r="N1198">
        <v>3266.0169999999998</v>
      </c>
      <c r="O1198">
        <v>1885.6670999999999</v>
      </c>
      <c r="P1198">
        <v>47631.13</v>
      </c>
      <c r="Q1198">
        <v>110912.94</v>
      </c>
      <c r="R1198">
        <v>12331.15263291</v>
      </c>
      <c r="S1198">
        <v>20737.67174967</v>
      </c>
      <c r="T1198">
        <v>369.95263290999998</v>
      </c>
      <c r="U1198">
        <v>95.1</v>
      </c>
      <c r="V1198">
        <v>12443.71</v>
      </c>
      <c r="W1198" t="s">
        <v>0</v>
      </c>
      <c r="X1198" t="s">
        <v>271</v>
      </c>
      <c r="Y1198" t="s">
        <v>4100</v>
      </c>
      <c r="AA1198" t="s">
        <v>4101</v>
      </c>
      <c r="AB1198" t="s">
        <v>181</v>
      </c>
    </row>
    <row r="1199" spans="1:28" x14ac:dyDescent="0.25">
      <c r="A1199" t="s">
        <v>3827</v>
      </c>
      <c r="B1199" t="s">
        <v>3828</v>
      </c>
      <c r="C1199" t="s">
        <v>646</v>
      </c>
      <c r="D1199" t="s">
        <v>3779</v>
      </c>
      <c r="E1199" t="s">
        <v>647</v>
      </c>
      <c r="F1199" t="s">
        <v>3780</v>
      </c>
      <c r="G1199" t="s">
        <v>769</v>
      </c>
      <c r="H1199" t="s">
        <v>713</v>
      </c>
      <c r="I1199" t="s">
        <v>3829</v>
      </c>
      <c r="J1199" t="s">
        <v>3830</v>
      </c>
      <c r="K1199" t="s">
        <v>166</v>
      </c>
      <c r="L1199" t="s">
        <v>0</v>
      </c>
      <c r="M1199" t="s">
        <v>178</v>
      </c>
      <c r="N1199">
        <v>121</v>
      </c>
      <c r="O1199">
        <v>102</v>
      </c>
      <c r="P1199">
        <v>3249.18</v>
      </c>
      <c r="Q1199">
        <v>12276.65</v>
      </c>
      <c r="R1199">
        <v>3576.34</v>
      </c>
      <c r="S1199">
        <v>1267.5656699000001</v>
      </c>
      <c r="T1199">
        <v>0</v>
      </c>
      <c r="U1199">
        <v>0</v>
      </c>
      <c r="V1199">
        <v>3576.34</v>
      </c>
      <c r="W1199" t="s">
        <v>3831</v>
      </c>
      <c r="X1199" t="s">
        <v>271</v>
      </c>
      <c r="Y1199" t="s">
        <v>3832</v>
      </c>
      <c r="AA1199" t="s">
        <v>3833</v>
      </c>
      <c r="AB1199" t="s">
        <v>181</v>
      </c>
    </row>
    <row r="1200" spans="1:28" x14ac:dyDescent="0.25">
      <c r="A1200" t="s">
        <v>4113</v>
      </c>
      <c r="B1200" t="s">
        <v>4114</v>
      </c>
      <c r="C1200" t="s">
        <v>646</v>
      </c>
      <c r="D1200" t="s">
        <v>3779</v>
      </c>
      <c r="E1200" t="s">
        <v>647</v>
      </c>
      <c r="F1200" t="s">
        <v>3780</v>
      </c>
      <c r="G1200" t="s">
        <v>769</v>
      </c>
      <c r="H1200" t="s">
        <v>797</v>
      </c>
      <c r="I1200" t="s">
        <v>1913</v>
      </c>
      <c r="J1200" t="s">
        <v>1914</v>
      </c>
      <c r="K1200" t="s">
        <v>166</v>
      </c>
      <c r="L1200" t="s">
        <v>0</v>
      </c>
      <c r="M1200" t="s">
        <v>178</v>
      </c>
      <c r="N1200">
        <v>193.5</v>
      </c>
      <c r="O1200">
        <v>114</v>
      </c>
      <c r="P1200">
        <v>1937.8</v>
      </c>
      <c r="Q1200">
        <v>6899.46</v>
      </c>
      <c r="R1200">
        <v>1679.2402839700001</v>
      </c>
      <c r="S1200">
        <v>991.01663912000004</v>
      </c>
      <c r="T1200">
        <v>0.11028397</v>
      </c>
      <c r="U1200">
        <v>0</v>
      </c>
      <c r="V1200">
        <v>1679.13</v>
      </c>
      <c r="W1200" t="s">
        <v>1915</v>
      </c>
      <c r="X1200" t="s">
        <v>269</v>
      </c>
      <c r="Y1200" t="s">
        <v>4115</v>
      </c>
      <c r="AA1200" t="s">
        <v>4116</v>
      </c>
      <c r="AB1200" t="s">
        <v>181</v>
      </c>
    </row>
    <row r="1201" spans="1:28" x14ac:dyDescent="0.25">
      <c r="A1201" t="s">
        <v>3992</v>
      </c>
      <c r="B1201" t="s">
        <v>3993</v>
      </c>
      <c r="C1201" t="s">
        <v>646</v>
      </c>
      <c r="D1201" t="s">
        <v>3779</v>
      </c>
      <c r="E1201" t="s">
        <v>647</v>
      </c>
      <c r="F1201" t="s">
        <v>3780</v>
      </c>
      <c r="G1201" t="s">
        <v>769</v>
      </c>
      <c r="H1201" t="s">
        <v>679</v>
      </c>
      <c r="I1201" t="s">
        <v>3994</v>
      </c>
      <c r="J1201" t="s">
        <v>3995</v>
      </c>
      <c r="K1201" t="s">
        <v>166</v>
      </c>
      <c r="L1201" t="s">
        <v>0</v>
      </c>
      <c r="M1201" t="s">
        <v>178</v>
      </c>
      <c r="N1201">
        <v>41</v>
      </c>
      <c r="O1201">
        <v>13</v>
      </c>
      <c r="P1201">
        <v>462.49</v>
      </c>
      <c r="Q1201">
        <v>1444.36</v>
      </c>
      <c r="R1201">
        <v>-5.3300093999999998</v>
      </c>
      <c r="S1201">
        <v>407.58675411000002</v>
      </c>
      <c r="T1201">
        <v>-0.22000939999999999</v>
      </c>
      <c r="U1201">
        <v>0</v>
      </c>
      <c r="V1201">
        <v>-5.1100000000000003</v>
      </c>
      <c r="W1201" t="s">
        <v>250</v>
      </c>
      <c r="X1201" t="s">
        <v>269</v>
      </c>
      <c r="Y1201" t="s">
        <v>3996</v>
      </c>
      <c r="AA1201" t="s">
        <v>3997</v>
      </c>
      <c r="AB1201" t="s">
        <v>181</v>
      </c>
    </row>
    <row r="1202" spans="1:28" x14ac:dyDescent="0.25">
      <c r="A1202" t="s">
        <v>3909</v>
      </c>
      <c r="B1202" t="s">
        <v>3910</v>
      </c>
      <c r="C1202" t="s">
        <v>646</v>
      </c>
      <c r="D1202" t="s">
        <v>3779</v>
      </c>
      <c r="E1202" t="s">
        <v>647</v>
      </c>
      <c r="F1202" t="s">
        <v>666</v>
      </c>
      <c r="G1202" t="s">
        <v>666</v>
      </c>
      <c r="H1202" t="s">
        <v>703</v>
      </c>
      <c r="I1202" t="s">
        <v>3911</v>
      </c>
      <c r="J1202" t="s">
        <v>355</v>
      </c>
      <c r="K1202" t="s">
        <v>166</v>
      </c>
      <c r="L1202" t="s">
        <v>0</v>
      </c>
      <c r="M1202" t="s">
        <v>178</v>
      </c>
      <c r="N1202">
        <v>602</v>
      </c>
      <c r="O1202">
        <v>254</v>
      </c>
      <c r="P1202">
        <v>6276.2</v>
      </c>
      <c r="Q1202">
        <v>19143.89</v>
      </c>
      <c r="R1202">
        <v>5406.01</v>
      </c>
      <c r="S1202">
        <v>1627.2692191900001</v>
      </c>
      <c r="T1202">
        <v>0</v>
      </c>
      <c r="U1202">
        <v>0</v>
      </c>
      <c r="V1202">
        <v>5406.01</v>
      </c>
      <c r="W1202" t="s">
        <v>0</v>
      </c>
      <c r="X1202" t="s">
        <v>271</v>
      </c>
      <c r="Y1202" t="s">
        <v>3912</v>
      </c>
      <c r="AA1202" t="s">
        <v>3894</v>
      </c>
      <c r="AB1202" t="s">
        <v>181</v>
      </c>
    </row>
    <row r="1203" spans="1:28" x14ac:dyDescent="0.25">
      <c r="A1203" t="s">
        <v>3933</v>
      </c>
      <c r="B1203" t="s">
        <v>3934</v>
      </c>
      <c r="C1203" t="s">
        <v>646</v>
      </c>
      <c r="D1203" t="s">
        <v>3779</v>
      </c>
      <c r="E1203" t="s">
        <v>647</v>
      </c>
      <c r="F1203" t="s">
        <v>3780</v>
      </c>
      <c r="G1203" t="s">
        <v>769</v>
      </c>
      <c r="H1203" t="s">
        <v>770</v>
      </c>
      <c r="I1203" t="s">
        <v>3935</v>
      </c>
      <c r="J1203" t="s">
        <v>1214</v>
      </c>
      <c r="K1203" t="s">
        <v>166</v>
      </c>
      <c r="L1203" t="s">
        <v>0</v>
      </c>
      <c r="M1203" t="s">
        <v>178</v>
      </c>
      <c r="N1203">
        <v>319</v>
      </c>
      <c r="O1203">
        <v>3</v>
      </c>
      <c r="P1203">
        <v>11802</v>
      </c>
      <c r="Q1203">
        <v>7672.51</v>
      </c>
      <c r="R1203">
        <v>268.36</v>
      </c>
      <c r="S1203">
        <v>845.92797151000002</v>
      </c>
      <c r="T1203">
        <v>0</v>
      </c>
      <c r="U1203">
        <v>0</v>
      </c>
      <c r="V1203">
        <v>268.36</v>
      </c>
      <c r="W1203" t="s">
        <v>0</v>
      </c>
      <c r="X1203" t="s">
        <v>271</v>
      </c>
      <c r="Y1203" t="s">
        <v>3936</v>
      </c>
      <c r="AA1203" t="s">
        <v>3937</v>
      </c>
      <c r="AB1203" t="s">
        <v>181</v>
      </c>
    </row>
    <row r="1204" spans="1:28" x14ac:dyDescent="0.25">
      <c r="A1204" t="s">
        <v>3933</v>
      </c>
      <c r="B1204" t="s">
        <v>3934</v>
      </c>
      <c r="C1204" t="s">
        <v>646</v>
      </c>
      <c r="D1204" t="s">
        <v>3779</v>
      </c>
      <c r="E1204" t="s">
        <v>647</v>
      </c>
      <c r="F1204" t="s">
        <v>3780</v>
      </c>
      <c r="G1204" t="s">
        <v>769</v>
      </c>
      <c r="H1204" t="s">
        <v>672</v>
      </c>
      <c r="I1204" t="s">
        <v>3935</v>
      </c>
      <c r="J1204" t="s">
        <v>1214</v>
      </c>
      <c r="K1204" t="s">
        <v>166</v>
      </c>
      <c r="L1204" t="s">
        <v>0</v>
      </c>
      <c r="M1204" t="s">
        <v>178</v>
      </c>
      <c r="N1204">
        <v>228</v>
      </c>
      <c r="O1204">
        <v>108</v>
      </c>
      <c r="P1204">
        <v>4494.1000000000004</v>
      </c>
      <c r="Q1204">
        <v>9034.59</v>
      </c>
      <c r="R1204">
        <v>1126.59620163</v>
      </c>
      <c r="S1204">
        <v>1307.1141727300001</v>
      </c>
      <c r="T1204">
        <v>-0.11379837</v>
      </c>
      <c r="U1204">
        <v>0</v>
      </c>
      <c r="V1204">
        <v>1126.71</v>
      </c>
      <c r="W1204" t="s">
        <v>0</v>
      </c>
      <c r="X1204" t="s">
        <v>271</v>
      </c>
      <c r="Y1204" t="s">
        <v>3936</v>
      </c>
      <c r="AA1204" t="s">
        <v>3937</v>
      </c>
      <c r="AB1204" t="s">
        <v>181</v>
      </c>
    </row>
    <row r="1205" spans="1:28" x14ac:dyDescent="0.25">
      <c r="A1205" t="s">
        <v>4330</v>
      </c>
      <c r="B1205" t="s">
        <v>4331</v>
      </c>
      <c r="C1205" t="s">
        <v>646</v>
      </c>
      <c r="D1205" t="s">
        <v>3779</v>
      </c>
      <c r="E1205" t="s">
        <v>647</v>
      </c>
      <c r="F1205" t="s">
        <v>666</v>
      </c>
      <c r="G1205" t="s">
        <v>666</v>
      </c>
      <c r="H1205" t="s">
        <v>703</v>
      </c>
      <c r="I1205" t="s">
        <v>1513</v>
      </c>
      <c r="J1205" t="s">
        <v>333</v>
      </c>
      <c r="K1205" t="s">
        <v>166</v>
      </c>
      <c r="L1205" t="s">
        <v>0</v>
      </c>
      <c r="M1205" t="s">
        <v>178</v>
      </c>
      <c r="N1205">
        <v>3746.2</v>
      </c>
      <c r="O1205">
        <v>1397</v>
      </c>
      <c r="P1205">
        <v>62276.69</v>
      </c>
      <c r="Q1205">
        <v>111603.79</v>
      </c>
      <c r="R1205">
        <v>6907.6879705800002</v>
      </c>
      <c r="S1205">
        <v>14468.209471050001</v>
      </c>
      <c r="T1205">
        <v>524.65797057999998</v>
      </c>
      <c r="U1205">
        <v>1058.92</v>
      </c>
      <c r="V1205">
        <v>7974.95</v>
      </c>
      <c r="W1205" t="s">
        <v>616</v>
      </c>
      <c r="X1205" t="s">
        <v>271</v>
      </c>
      <c r="Y1205" t="s">
        <v>4332</v>
      </c>
      <c r="AA1205" t="s">
        <v>2421</v>
      </c>
      <c r="AB1205" t="s">
        <v>181</v>
      </c>
    </row>
    <row r="1206" spans="1:28" x14ac:dyDescent="0.25">
      <c r="A1206" t="s">
        <v>4240</v>
      </c>
      <c r="B1206" t="s">
        <v>4241</v>
      </c>
      <c r="C1206" t="s">
        <v>646</v>
      </c>
      <c r="D1206" t="s">
        <v>3779</v>
      </c>
      <c r="E1206" t="s">
        <v>647</v>
      </c>
      <c r="F1206" t="s">
        <v>666</v>
      </c>
      <c r="G1206" t="s">
        <v>666</v>
      </c>
      <c r="H1206" t="s">
        <v>672</v>
      </c>
      <c r="I1206" t="s">
        <v>880</v>
      </c>
      <c r="J1206" t="s">
        <v>881</v>
      </c>
      <c r="K1206" t="s">
        <v>166</v>
      </c>
      <c r="L1206" t="s">
        <v>0</v>
      </c>
      <c r="M1206" t="s">
        <v>178</v>
      </c>
      <c r="N1206">
        <v>167</v>
      </c>
      <c r="O1206">
        <v>158</v>
      </c>
      <c r="P1206">
        <v>3967</v>
      </c>
      <c r="Q1206">
        <v>4421.6000000000004</v>
      </c>
      <c r="R1206">
        <v>491.54583880000001</v>
      </c>
      <c r="S1206">
        <v>903.93678727999998</v>
      </c>
      <c r="T1206">
        <v>0.3458388</v>
      </c>
      <c r="U1206">
        <v>0</v>
      </c>
      <c r="V1206">
        <v>491.2</v>
      </c>
      <c r="W1206" t="s">
        <v>0</v>
      </c>
      <c r="X1206" t="s">
        <v>271</v>
      </c>
      <c r="Y1206" t="s">
        <v>4242</v>
      </c>
      <c r="AA1206" t="s">
        <v>4243</v>
      </c>
      <c r="AB1206" t="s">
        <v>181</v>
      </c>
    </row>
    <row r="1207" spans="1:28" x14ac:dyDescent="0.25">
      <c r="A1207" t="s">
        <v>4109</v>
      </c>
      <c r="B1207" t="s">
        <v>4110</v>
      </c>
      <c r="C1207" t="s">
        <v>646</v>
      </c>
      <c r="D1207" t="s">
        <v>3779</v>
      </c>
      <c r="E1207" t="s">
        <v>647</v>
      </c>
      <c r="F1207" t="s">
        <v>3780</v>
      </c>
      <c r="G1207" t="s">
        <v>769</v>
      </c>
      <c r="H1207" t="s">
        <v>683</v>
      </c>
      <c r="I1207" t="s">
        <v>1046</v>
      </c>
      <c r="J1207" t="s">
        <v>971</v>
      </c>
      <c r="K1207" t="s">
        <v>166</v>
      </c>
      <c r="L1207" t="s">
        <v>0</v>
      </c>
      <c r="M1207" t="s">
        <v>178</v>
      </c>
      <c r="N1207">
        <v>133</v>
      </c>
      <c r="O1207">
        <v>81</v>
      </c>
      <c r="P1207">
        <v>1804.38</v>
      </c>
      <c r="Q1207">
        <v>5868.25</v>
      </c>
      <c r="R1207">
        <v>1053.6500000000001</v>
      </c>
      <c r="S1207">
        <v>1228.92670434</v>
      </c>
      <c r="T1207">
        <v>0</v>
      </c>
      <c r="U1207">
        <v>0</v>
      </c>
      <c r="V1207">
        <v>1053.6500000000001</v>
      </c>
      <c r="W1207" t="s">
        <v>972</v>
      </c>
      <c r="X1207" t="s">
        <v>269</v>
      </c>
      <c r="Y1207" t="s">
        <v>4111</v>
      </c>
      <c r="AA1207" t="s">
        <v>4112</v>
      </c>
      <c r="AB1207" t="s">
        <v>181</v>
      </c>
    </row>
    <row r="1208" spans="1:28" x14ac:dyDescent="0.25">
      <c r="A1208" t="s">
        <v>3810</v>
      </c>
      <c r="B1208" t="s">
        <v>3811</v>
      </c>
      <c r="C1208" t="s">
        <v>646</v>
      </c>
      <c r="D1208" t="s">
        <v>3779</v>
      </c>
      <c r="E1208" t="s">
        <v>647</v>
      </c>
      <c r="F1208" t="s">
        <v>3780</v>
      </c>
      <c r="G1208" t="s">
        <v>769</v>
      </c>
      <c r="H1208" t="s">
        <v>962</v>
      </c>
      <c r="I1208" t="s">
        <v>771</v>
      </c>
      <c r="J1208" t="s">
        <v>319</v>
      </c>
      <c r="K1208" t="s">
        <v>166</v>
      </c>
      <c r="L1208" t="s">
        <v>0</v>
      </c>
      <c r="M1208" t="s">
        <v>178</v>
      </c>
      <c r="N1208">
        <v>875</v>
      </c>
      <c r="O1208">
        <v>694</v>
      </c>
      <c r="P1208">
        <v>15065.12</v>
      </c>
      <c r="Q1208">
        <v>56687.199999999997</v>
      </c>
      <c r="R1208">
        <v>2903.6022145299999</v>
      </c>
      <c r="S1208">
        <v>7143.7463338400003</v>
      </c>
      <c r="T1208">
        <v>6.2214529999999997E-2</v>
      </c>
      <c r="U1208">
        <v>0</v>
      </c>
      <c r="V1208">
        <v>2903.54</v>
      </c>
      <c r="W1208" t="s">
        <v>0</v>
      </c>
      <c r="X1208" t="s">
        <v>271</v>
      </c>
      <c r="Y1208" t="s">
        <v>3812</v>
      </c>
      <c r="AA1208" t="s">
        <v>3813</v>
      </c>
      <c r="AB1208" t="s">
        <v>181</v>
      </c>
    </row>
    <row r="1209" spans="1:28" x14ac:dyDescent="0.25">
      <c r="A1209" t="s">
        <v>4035</v>
      </c>
      <c r="B1209" t="s">
        <v>4036</v>
      </c>
      <c r="C1209" t="s">
        <v>646</v>
      </c>
      <c r="D1209" t="s">
        <v>3779</v>
      </c>
      <c r="E1209" t="s">
        <v>647</v>
      </c>
      <c r="F1209" t="s">
        <v>3780</v>
      </c>
      <c r="G1209" t="s">
        <v>769</v>
      </c>
      <c r="H1209" t="s">
        <v>713</v>
      </c>
      <c r="I1209" t="s">
        <v>3464</v>
      </c>
      <c r="J1209" t="s">
        <v>688</v>
      </c>
      <c r="K1209" t="s">
        <v>166</v>
      </c>
      <c r="L1209" t="s">
        <v>0</v>
      </c>
      <c r="M1209" t="s">
        <v>178</v>
      </c>
      <c r="N1209">
        <v>292</v>
      </c>
      <c r="O1209">
        <v>2</v>
      </c>
      <c r="P1209">
        <v>4123.47</v>
      </c>
      <c r="Q1209">
        <v>9764.56</v>
      </c>
      <c r="R1209">
        <v>1184.4420143899999</v>
      </c>
      <c r="S1209">
        <v>322.33192974999997</v>
      </c>
      <c r="T1209">
        <v>27.342014389999999</v>
      </c>
      <c r="U1209">
        <v>0</v>
      </c>
      <c r="V1209">
        <v>1166.97</v>
      </c>
      <c r="W1209" t="s">
        <v>0</v>
      </c>
      <c r="X1209" t="s">
        <v>271</v>
      </c>
      <c r="Y1209" t="s">
        <v>4037</v>
      </c>
      <c r="AA1209" t="s">
        <v>4038</v>
      </c>
      <c r="AB1209" t="s">
        <v>181</v>
      </c>
    </row>
    <row r="1210" spans="1:28" x14ac:dyDescent="0.25">
      <c r="A1210" t="s">
        <v>3842</v>
      </c>
      <c r="B1210" t="s">
        <v>3843</v>
      </c>
      <c r="C1210" t="s">
        <v>646</v>
      </c>
      <c r="D1210" t="s">
        <v>3779</v>
      </c>
      <c r="E1210" t="s">
        <v>647</v>
      </c>
      <c r="F1210" t="s">
        <v>3780</v>
      </c>
      <c r="G1210" t="s">
        <v>769</v>
      </c>
      <c r="H1210" t="s">
        <v>730</v>
      </c>
      <c r="I1210" t="s">
        <v>3844</v>
      </c>
      <c r="J1210" t="s">
        <v>3845</v>
      </c>
      <c r="K1210" t="s">
        <v>166</v>
      </c>
      <c r="L1210" t="s">
        <v>0</v>
      </c>
      <c r="M1210" t="s">
        <v>178</v>
      </c>
      <c r="N1210">
        <v>63</v>
      </c>
      <c r="O1210">
        <v>0</v>
      </c>
      <c r="P1210">
        <v>2124.8000000000002</v>
      </c>
      <c r="Q1210">
        <v>5815.85</v>
      </c>
      <c r="R1210">
        <v>709.97132789</v>
      </c>
      <c r="S1210">
        <v>-0.45306575999999998</v>
      </c>
      <c r="T1210">
        <v>4631.1613278900004</v>
      </c>
      <c r="U1210">
        <v>0</v>
      </c>
      <c r="V1210">
        <v>801.61</v>
      </c>
      <c r="W1210" t="s">
        <v>3846</v>
      </c>
      <c r="X1210" t="s">
        <v>271</v>
      </c>
      <c r="Y1210" t="s">
        <v>3847</v>
      </c>
      <c r="AA1210" t="s">
        <v>3848</v>
      </c>
      <c r="AB1210" t="s">
        <v>181</v>
      </c>
    </row>
    <row r="1211" spans="1:28" x14ac:dyDescent="0.25">
      <c r="A1211" t="s">
        <v>4086</v>
      </c>
      <c r="B1211" t="s">
        <v>4087</v>
      </c>
      <c r="C1211" t="s">
        <v>646</v>
      </c>
      <c r="D1211" t="s">
        <v>3779</v>
      </c>
      <c r="E1211" t="s">
        <v>647</v>
      </c>
      <c r="F1211" t="s">
        <v>3780</v>
      </c>
      <c r="G1211" t="s">
        <v>769</v>
      </c>
      <c r="H1211" t="s">
        <v>672</v>
      </c>
      <c r="I1211" t="s">
        <v>4088</v>
      </c>
      <c r="J1211" t="s">
        <v>480</v>
      </c>
      <c r="K1211" t="s">
        <v>166</v>
      </c>
      <c r="L1211" t="s">
        <v>0</v>
      </c>
      <c r="M1211" t="s">
        <v>178</v>
      </c>
      <c r="N1211">
        <v>411</v>
      </c>
      <c r="O1211">
        <v>143</v>
      </c>
      <c r="P1211">
        <v>9286</v>
      </c>
      <c r="Q1211">
        <v>19259.240000000002</v>
      </c>
      <c r="R1211">
        <v>3596.4411184700002</v>
      </c>
      <c r="S1211">
        <v>3207.7825808399998</v>
      </c>
      <c r="T1211">
        <v>0.46111847</v>
      </c>
      <c r="U1211">
        <v>0</v>
      </c>
      <c r="V1211">
        <v>3595.98</v>
      </c>
      <c r="W1211" t="s">
        <v>4089</v>
      </c>
      <c r="X1211" t="s">
        <v>271</v>
      </c>
      <c r="Y1211" t="s">
        <v>4090</v>
      </c>
      <c r="AA1211" t="s">
        <v>4091</v>
      </c>
      <c r="AB1211" t="s">
        <v>181</v>
      </c>
    </row>
    <row r="1212" spans="1:28" x14ac:dyDescent="0.25">
      <c r="A1212" t="s">
        <v>3865</v>
      </c>
      <c r="B1212" t="s">
        <v>3866</v>
      </c>
      <c r="C1212" t="s">
        <v>646</v>
      </c>
      <c r="D1212" t="s">
        <v>3779</v>
      </c>
      <c r="E1212" t="s">
        <v>647</v>
      </c>
      <c r="F1212" t="s">
        <v>3780</v>
      </c>
      <c r="G1212" t="s">
        <v>769</v>
      </c>
      <c r="H1212" t="s">
        <v>730</v>
      </c>
      <c r="I1212" t="s">
        <v>3867</v>
      </c>
      <c r="J1212" t="s">
        <v>881</v>
      </c>
      <c r="K1212" t="s">
        <v>166</v>
      </c>
      <c r="L1212" t="s">
        <v>0</v>
      </c>
      <c r="M1212" t="s">
        <v>178</v>
      </c>
      <c r="N1212">
        <v>64</v>
      </c>
      <c r="O1212">
        <v>23</v>
      </c>
      <c r="P1212">
        <v>2216.9</v>
      </c>
      <c r="Q1212">
        <v>6298.71</v>
      </c>
      <c r="R1212">
        <v>729.40130492000003</v>
      </c>
      <c r="S1212">
        <v>130.74421153</v>
      </c>
      <c r="T1212">
        <v>2766.95130492</v>
      </c>
      <c r="U1212">
        <v>0</v>
      </c>
      <c r="V1212">
        <v>737.87</v>
      </c>
      <c r="W1212" t="s">
        <v>0</v>
      </c>
      <c r="X1212" t="s">
        <v>271</v>
      </c>
      <c r="Y1212" t="s">
        <v>3868</v>
      </c>
      <c r="AA1212" t="s">
        <v>3869</v>
      </c>
      <c r="AB1212" t="s">
        <v>181</v>
      </c>
    </row>
    <row r="1213" spans="1:28" x14ac:dyDescent="0.25">
      <c r="A1213" t="s">
        <v>4060</v>
      </c>
      <c r="B1213" t="s">
        <v>4061</v>
      </c>
      <c r="C1213" t="s">
        <v>646</v>
      </c>
      <c r="D1213" t="s">
        <v>3779</v>
      </c>
      <c r="E1213" t="s">
        <v>647</v>
      </c>
      <c r="F1213" t="s">
        <v>648</v>
      </c>
      <c r="G1213" t="s">
        <v>648</v>
      </c>
      <c r="H1213" t="s">
        <v>649</v>
      </c>
      <c r="I1213" t="s">
        <v>1114</v>
      </c>
      <c r="J1213" t="s">
        <v>1115</v>
      </c>
      <c r="K1213" t="s">
        <v>166</v>
      </c>
      <c r="L1213" t="s">
        <v>0</v>
      </c>
      <c r="M1213" t="s">
        <v>178</v>
      </c>
      <c r="N1213">
        <v>1344</v>
      </c>
      <c r="O1213">
        <v>158</v>
      </c>
      <c r="P1213">
        <v>13312</v>
      </c>
      <c r="Q1213">
        <v>35715.64</v>
      </c>
      <c r="R1213">
        <v>-1008.41</v>
      </c>
      <c r="S1213">
        <v>3265.7655416500002</v>
      </c>
      <c r="T1213">
        <v>2370</v>
      </c>
      <c r="U1213">
        <v>637.04999999999995</v>
      </c>
      <c r="V1213">
        <v>-371.36</v>
      </c>
      <c r="W1213" t="s">
        <v>0</v>
      </c>
      <c r="X1213" t="s">
        <v>271</v>
      </c>
      <c r="Y1213" t="s">
        <v>4062</v>
      </c>
      <c r="AA1213" t="s">
        <v>4063</v>
      </c>
      <c r="AB1213" t="s">
        <v>181</v>
      </c>
    </row>
    <row r="1214" spans="1:28" x14ac:dyDescent="0.25">
      <c r="A1214" t="s">
        <v>4256</v>
      </c>
      <c r="B1214" t="s">
        <v>4257</v>
      </c>
      <c r="C1214" t="s">
        <v>646</v>
      </c>
      <c r="D1214" t="s">
        <v>3779</v>
      </c>
      <c r="E1214" t="s">
        <v>647</v>
      </c>
      <c r="F1214" t="s">
        <v>3780</v>
      </c>
      <c r="G1214" t="s">
        <v>769</v>
      </c>
      <c r="H1214" t="s">
        <v>679</v>
      </c>
      <c r="I1214" t="s">
        <v>2284</v>
      </c>
      <c r="J1214" t="s">
        <v>2285</v>
      </c>
      <c r="K1214" t="s">
        <v>166</v>
      </c>
      <c r="L1214" t="s">
        <v>0</v>
      </c>
      <c r="M1214" t="s">
        <v>178</v>
      </c>
      <c r="N1214">
        <v>252.26669999999999</v>
      </c>
      <c r="O1214">
        <v>221</v>
      </c>
      <c r="P1214">
        <v>2003.93</v>
      </c>
      <c r="Q1214">
        <v>8282.93</v>
      </c>
      <c r="R1214">
        <v>2436.6081897899999</v>
      </c>
      <c r="S1214">
        <v>2013.7785526299999</v>
      </c>
      <c r="T1214">
        <v>196.90818978999999</v>
      </c>
      <c r="U1214">
        <v>0</v>
      </c>
      <c r="V1214">
        <v>2447.42</v>
      </c>
      <c r="W1214" t="s">
        <v>453</v>
      </c>
      <c r="X1214" t="s">
        <v>271</v>
      </c>
      <c r="Y1214" t="s">
        <v>4258</v>
      </c>
      <c r="AA1214" t="s">
        <v>4259</v>
      </c>
      <c r="AB1214" t="s">
        <v>181</v>
      </c>
    </row>
    <row r="1215" spans="1:28" x14ac:dyDescent="0.25">
      <c r="A1215" t="s">
        <v>3944</v>
      </c>
      <c r="B1215" t="s">
        <v>3945</v>
      </c>
      <c r="C1215" t="s">
        <v>646</v>
      </c>
      <c r="D1215" t="s">
        <v>3779</v>
      </c>
      <c r="E1215" t="s">
        <v>647</v>
      </c>
      <c r="F1215" t="s">
        <v>3780</v>
      </c>
      <c r="G1215" t="s">
        <v>769</v>
      </c>
      <c r="H1215" t="s">
        <v>649</v>
      </c>
      <c r="I1215" t="s">
        <v>798</v>
      </c>
      <c r="J1215" t="s">
        <v>524</v>
      </c>
      <c r="K1215" t="s">
        <v>166</v>
      </c>
      <c r="L1215" t="s">
        <v>0</v>
      </c>
      <c r="M1215" t="s">
        <v>178</v>
      </c>
      <c r="N1215">
        <v>119</v>
      </c>
      <c r="O1215">
        <v>111</v>
      </c>
      <c r="P1215">
        <v>1532.73</v>
      </c>
      <c r="Q1215">
        <v>6038.91</v>
      </c>
      <c r="R1215">
        <v>913.56</v>
      </c>
      <c r="S1215">
        <v>859.44865921999997</v>
      </c>
      <c r="T1215">
        <v>0</v>
      </c>
      <c r="U1215">
        <v>0</v>
      </c>
      <c r="V1215">
        <v>913.56</v>
      </c>
      <c r="W1215" t="s">
        <v>258</v>
      </c>
      <c r="X1215" t="s">
        <v>271</v>
      </c>
      <c r="Y1215" t="s">
        <v>3946</v>
      </c>
      <c r="AA1215" t="s">
        <v>3947</v>
      </c>
      <c r="AB1215" t="s">
        <v>181</v>
      </c>
    </row>
    <row r="1216" spans="1:28" x14ac:dyDescent="0.25">
      <c r="A1216" t="s">
        <v>4189</v>
      </c>
      <c r="B1216" t="s">
        <v>4190</v>
      </c>
      <c r="C1216" t="s">
        <v>646</v>
      </c>
      <c r="D1216" t="s">
        <v>3779</v>
      </c>
      <c r="E1216" t="s">
        <v>647</v>
      </c>
      <c r="F1216" t="s">
        <v>666</v>
      </c>
      <c r="G1216" t="s">
        <v>666</v>
      </c>
      <c r="H1216" t="s">
        <v>703</v>
      </c>
      <c r="I1216" t="s">
        <v>4191</v>
      </c>
      <c r="J1216" t="s">
        <v>355</v>
      </c>
      <c r="K1216" t="s">
        <v>166</v>
      </c>
      <c r="L1216" t="s">
        <v>0</v>
      </c>
      <c r="M1216" t="s">
        <v>178</v>
      </c>
      <c r="N1216">
        <v>328</v>
      </c>
      <c r="O1216">
        <v>149</v>
      </c>
      <c r="P1216">
        <v>3497.21</v>
      </c>
      <c r="Q1216">
        <v>10308.93</v>
      </c>
      <c r="R1216">
        <v>2930.43</v>
      </c>
      <c r="S1216">
        <v>853.41193733</v>
      </c>
      <c r="T1216">
        <v>0</v>
      </c>
      <c r="U1216">
        <v>0</v>
      </c>
      <c r="V1216">
        <v>2930.43</v>
      </c>
      <c r="W1216" t="s">
        <v>0</v>
      </c>
      <c r="X1216" t="s">
        <v>271</v>
      </c>
      <c r="Y1216" t="s">
        <v>4192</v>
      </c>
      <c r="AA1216" t="s">
        <v>4193</v>
      </c>
      <c r="AB1216" t="s">
        <v>181</v>
      </c>
    </row>
    <row r="1217" spans="1:28" x14ac:dyDescent="0.25">
      <c r="A1217" t="s">
        <v>4280</v>
      </c>
      <c r="B1217" t="s">
        <v>4281</v>
      </c>
      <c r="C1217" t="s">
        <v>646</v>
      </c>
      <c r="D1217" t="s">
        <v>3779</v>
      </c>
      <c r="E1217" t="s">
        <v>647</v>
      </c>
      <c r="F1217" t="s">
        <v>3780</v>
      </c>
      <c r="G1217" t="s">
        <v>769</v>
      </c>
      <c r="H1217" t="s">
        <v>962</v>
      </c>
      <c r="I1217" t="s">
        <v>1872</v>
      </c>
      <c r="J1217" t="s">
        <v>1873</v>
      </c>
      <c r="K1217" t="s">
        <v>166</v>
      </c>
      <c r="L1217" t="s">
        <v>0</v>
      </c>
      <c r="M1217" t="s">
        <v>178</v>
      </c>
      <c r="N1217">
        <v>60</v>
      </c>
      <c r="O1217">
        <v>37</v>
      </c>
      <c r="P1217">
        <v>958.24</v>
      </c>
      <c r="Q1217">
        <v>4665.6099999999997</v>
      </c>
      <c r="R1217">
        <v>788.15</v>
      </c>
      <c r="S1217">
        <v>315.92453049</v>
      </c>
      <c r="T1217">
        <v>0</v>
      </c>
      <c r="U1217">
        <v>0</v>
      </c>
      <c r="V1217">
        <v>788.15</v>
      </c>
      <c r="W1217" t="s">
        <v>1874</v>
      </c>
      <c r="X1217" t="s">
        <v>271</v>
      </c>
      <c r="Y1217" t="s">
        <v>4282</v>
      </c>
      <c r="AA1217" t="s">
        <v>4283</v>
      </c>
      <c r="AB1217" t="s">
        <v>181</v>
      </c>
    </row>
    <row r="1218" spans="1:28" x14ac:dyDescent="0.25">
      <c r="A1218" t="s">
        <v>4370</v>
      </c>
      <c r="B1218" t="s">
        <v>4371</v>
      </c>
      <c r="C1218" t="s">
        <v>646</v>
      </c>
      <c r="D1218" t="s">
        <v>3779</v>
      </c>
      <c r="E1218" t="s">
        <v>647</v>
      </c>
      <c r="F1218" t="s">
        <v>666</v>
      </c>
      <c r="G1218" t="s">
        <v>666</v>
      </c>
      <c r="H1218" t="s">
        <v>797</v>
      </c>
      <c r="I1218" t="s">
        <v>4372</v>
      </c>
      <c r="J1218" t="s">
        <v>355</v>
      </c>
      <c r="K1218" t="s">
        <v>166</v>
      </c>
      <c r="L1218" t="s">
        <v>0</v>
      </c>
      <c r="M1218" t="s">
        <v>178</v>
      </c>
      <c r="N1218">
        <v>188</v>
      </c>
      <c r="O1218">
        <v>9</v>
      </c>
      <c r="P1218">
        <v>1880</v>
      </c>
      <c r="Q1218">
        <v>7306.39</v>
      </c>
      <c r="R1218">
        <v>1995.2846567199999</v>
      </c>
      <c r="S1218">
        <v>274.10000000000002</v>
      </c>
      <c r="T1218">
        <v>0.29465671999999998</v>
      </c>
      <c r="U1218">
        <v>0</v>
      </c>
      <c r="V1218">
        <v>1994.99</v>
      </c>
      <c r="W1218" t="s">
        <v>0</v>
      </c>
      <c r="X1218" t="s">
        <v>271</v>
      </c>
      <c r="Y1218" t="s">
        <v>4373</v>
      </c>
      <c r="AA1218" t="s">
        <v>3894</v>
      </c>
      <c r="AB1218" t="s">
        <v>181</v>
      </c>
    </row>
    <row r="1219" spans="1:28" x14ac:dyDescent="0.25">
      <c r="A1219" t="s">
        <v>4167</v>
      </c>
      <c r="B1219" t="s">
        <v>4168</v>
      </c>
      <c r="C1219" t="s">
        <v>646</v>
      </c>
      <c r="D1219" t="s">
        <v>3779</v>
      </c>
      <c r="E1219" t="s">
        <v>647</v>
      </c>
      <c r="F1219" t="s">
        <v>3780</v>
      </c>
      <c r="G1219" t="s">
        <v>769</v>
      </c>
      <c r="H1219" t="s">
        <v>713</v>
      </c>
      <c r="I1219" t="s">
        <v>4169</v>
      </c>
      <c r="J1219" t="s">
        <v>662</v>
      </c>
      <c r="K1219" t="s">
        <v>166</v>
      </c>
      <c r="L1219" t="s">
        <v>0</v>
      </c>
      <c r="M1219" t="s">
        <v>178</v>
      </c>
      <c r="N1219">
        <v>1360</v>
      </c>
      <c r="O1219">
        <v>950</v>
      </c>
      <c r="P1219">
        <v>33713.21</v>
      </c>
      <c r="Q1219">
        <v>12459.77</v>
      </c>
      <c r="R1219">
        <v>2546.4891475999998</v>
      </c>
      <c r="S1219">
        <v>1289.73605843</v>
      </c>
      <c r="T1219">
        <v>121.3591476</v>
      </c>
      <c r="U1219">
        <v>0</v>
      </c>
      <c r="V1219">
        <v>2425.13</v>
      </c>
      <c r="W1219" t="s">
        <v>586</v>
      </c>
      <c r="X1219" t="s">
        <v>271</v>
      </c>
      <c r="Y1219" t="s">
        <v>4170</v>
      </c>
      <c r="AA1219" t="s">
        <v>4171</v>
      </c>
      <c r="AB1219" t="s">
        <v>181</v>
      </c>
    </row>
    <row r="1220" spans="1:28" x14ac:dyDescent="0.25">
      <c r="A1220" t="s">
        <v>4248</v>
      </c>
      <c r="B1220" t="s">
        <v>4249</v>
      </c>
      <c r="C1220" t="s">
        <v>646</v>
      </c>
      <c r="D1220" t="s">
        <v>3779</v>
      </c>
      <c r="E1220" t="s">
        <v>647</v>
      </c>
      <c r="F1220" t="s">
        <v>3780</v>
      </c>
      <c r="G1220" t="s">
        <v>769</v>
      </c>
      <c r="H1220" t="s">
        <v>713</v>
      </c>
      <c r="I1220" t="s">
        <v>1913</v>
      </c>
      <c r="J1220" t="s">
        <v>1914</v>
      </c>
      <c r="K1220" t="s">
        <v>166</v>
      </c>
      <c r="L1220" t="s">
        <v>0</v>
      </c>
      <c r="M1220" t="s">
        <v>178</v>
      </c>
      <c r="N1220">
        <v>21</v>
      </c>
      <c r="O1220">
        <v>18</v>
      </c>
      <c r="P1220">
        <v>343.31</v>
      </c>
      <c r="Q1220">
        <v>538.67999999999995</v>
      </c>
      <c r="R1220">
        <v>57.89</v>
      </c>
      <c r="S1220">
        <v>170.65852035</v>
      </c>
      <c r="T1220">
        <v>0</v>
      </c>
      <c r="U1220">
        <v>0</v>
      </c>
      <c r="V1220">
        <v>57.89</v>
      </c>
      <c r="W1220" t="s">
        <v>1915</v>
      </c>
      <c r="X1220" t="s">
        <v>269</v>
      </c>
      <c r="Y1220" t="s">
        <v>4250</v>
      </c>
      <c r="AA1220" t="s">
        <v>4251</v>
      </c>
      <c r="AB1220" t="s">
        <v>181</v>
      </c>
    </row>
    <row r="1221" spans="1:28" x14ac:dyDescent="0.25">
      <c r="A1221" t="s">
        <v>3834</v>
      </c>
      <c r="B1221" t="s">
        <v>3835</v>
      </c>
      <c r="C1221" t="s">
        <v>646</v>
      </c>
      <c r="D1221" t="s">
        <v>3779</v>
      </c>
      <c r="E1221" t="s">
        <v>647</v>
      </c>
      <c r="F1221" t="s">
        <v>3780</v>
      </c>
      <c r="G1221" t="s">
        <v>769</v>
      </c>
      <c r="H1221" t="s">
        <v>909</v>
      </c>
      <c r="I1221" t="s">
        <v>1251</v>
      </c>
      <c r="J1221" t="s">
        <v>821</v>
      </c>
      <c r="K1221" t="s">
        <v>166</v>
      </c>
      <c r="L1221" t="s">
        <v>0</v>
      </c>
      <c r="M1221" t="s">
        <v>178</v>
      </c>
      <c r="N1221">
        <v>72</v>
      </c>
      <c r="O1221">
        <v>72</v>
      </c>
      <c r="P1221">
        <v>2472</v>
      </c>
      <c r="Q1221">
        <v>2445.87</v>
      </c>
      <c r="R1221">
        <v>1117.68</v>
      </c>
      <c r="S1221">
        <v>292.47932226</v>
      </c>
      <c r="T1221">
        <v>0</v>
      </c>
      <c r="U1221">
        <v>0</v>
      </c>
      <c r="V1221">
        <v>1117.68</v>
      </c>
      <c r="W1221" t="s">
        <v>822</v>
      </c>
      <c r="X1221" t="s">
        <v>269</v>
      </c>
      <c r="Y1221" t="s">
        <v>3836</v>
      </c>
      <c r="AA1221" t="s">
        <v>3837</v>
      </c>
      <c r="AB1221" t="s">
        <v>181</v>
      </c>
    </row>
    <row r="1222" spans="1:28" x14ac:dyDescent="0.25">
      <c r="A1222" t="s">
        <v>3788</v>
      </c>
      <c r="B1222" t="s">
        <v>3789</v>
      </c>
      <c r="C1222" t="s">
        <v>646</v>
      </c>
      <c r="D1222" t="s">
        <v>3779</v>
      </c>
      <c r="E1222" t="s">
        <v>647</v>
      </c>
      <c r="F1222" t="s">
        <v>3780</v>
      </c>
      <c r="G1222" t="s">
        <v>769</v>
      </c>
      <c r="H1222" t="s">
        <v>679</v>
      </c>
      <c r="I1222" t="s">
        <v>3790</v>
      </c>
      <c r="J1222" t="s">
        <v>599</v>
      </c>
      <c r="K1222" t="s">
        <v>166</v>
      </c>
      <c r="L1222" t="s">
        <v>0</v>
      </c>
      <c r="M1222" t="s">
        <v>178</v>
      </c>
      <c r="N1222">
        <v>633.73329999999999</v>
      </c>
      <c r="O1222">
        <v>392.32499999999999</v>
      </c>
      <c r="P1222">
        <v>8729.1200000000008</v>
      </c>
      <c r="Q1222">
        <v>24433.15</v>
      </c>
      <c r="R1222">
        <v>1540.50049377</v>
      </c>
      <c r="S1222">
        <v>6007.0240598399996</v>
      </c>
      <c r="T1222">
        <v>349.12049377</v>
      </c>
      <c r="U1222">
        <v>606.4</v>
      </c>
      <c r="V1222">
        <v>2164.64</v>
      </c>
      <c r="W1222" t="s">
        <v>598</v>
      </c>
      <c r="X1222" t="s">
        <v>271</v>
      </c>
      <c r="Y1222" t="s">
        <v>3791</v>
      </c>
      <c r="AA1222" t="s">
        <v>3792</v>
      </c>
      <c r="AB1222" t="s">
        <v>181</v>
      </c>
    </row>
    <row r="1223" spans="1:28" x14ac:dyDescent="0.25">
      <c r="A1223" t="s">
        <v>3838</v>
      </c>
      <c r="B1223" t="s">
        <v>3839</v>
      </c>
      <c r="C1223" t="s">
        <v>646</v>
      </c>
      <c r="D1223" t="s">
        <v>3779</v>
      </c>
      <c r="E1223" t="s">
        <v>647</v>
      </c>
      <c r="F1223" t="s">
        <v>3780</v>
      </c>
      <c r="G1223" t="s">
        <v>769</v>
      </c>
      <c r="H1223" t="s">
        <v>649</v>
      </c>
      <c r="I1223" t="s">
        <v>906</v>
      </c>
      <c r="J1223" t="s">
        <v>907</v>
      </c>
      <c r="K1223" t="s">
        <v>166</v>
      </c>
      <c r="L1223" t="s">
        <v>0</v>
      </c>
      <c r="M1223" t="s">
        <v>178</v>
      </c>
      <c r="N1223">
        <v>364</v>
      </c>
      <c r="O1223">
        <v>322</v>
      </c>
      <c r="P1223">
        <v>9122.5400000000009</v>
      </c>
      <c r="Q1223">
        <v>22907.63</v>
      </c>
      <c r="R1223">
        <v>2268.66</v>
      </c>
      <c r="S1223">
        <v>1463.7120316400001</v>
      </c>
      <c r="T1223">
        <v>0</v>
      </c>
      <c r="U1223">
        <v>0</v>
      </c>
      <c r="V1223">
        <v>2268.66</v>
      </c>
      <c r="W1223" t="s">
        <v>272</v>
      </c>
      <c r="X1223" t="s">
        <v>269</v>
      </c>
      <c r="Y1223" t="s">
        <v>3840</v>
      </c>
      <c r="AA1223" t="s">
        <v>3841</v>
      </c>
      <c r="AB1223" t="s">
        <v>181</v>
      </c>
    </row>
    <row r="1224" spans="1:28" x14ac:dyDescent="0.25">
      <c r="A1224" t="s">
        <v>3801</v>
      </c>
      <c r="B1224" t="s">
        <v>3802</v>
      </c>
      <c r="C1224" t="s">
        <v>646</v>
      </c>
      <c r="D1224" t="s">
        <v>3779</v>
      </c>
      <c r="E1224" t="s">
        <v>647</v>
      </c>
      <c r="F1224" t="s">
        <v>666</v>
      </c>
      <c r="G1224" t="s">
        <v>666</v>
      </c>
      <c r="H1224" t="s">
        <v>761</v>
      </c>
      <c r="I1224" t="s">
        <v>3803</v>
      </c>
      <c r="J1224" t="s">
        <v>2577</v>
      </c>
      <c r="K1224" t="s">
        <v>166</v>
      </c>
      <c r="L1224" t="s">
        <v>0</v>
      </c>
      <c r="M1224" t="s">
        <v>178</v>
      </c>
      <c r="N1224">
        <v>95</v>
      </c>
      <c r="O1224">
        <v>23</v>
      </c>
      <c r="P1224">
        <v>2195.25</v>
      </c>
      <c r="Q1224">
        <v>4258.3</v>
      </c>
      <c r="R1224">
        <v>1282.23</v>
      </c>
      <c r="S1224">
        <v>315.83775065999998</v>
      </c>
      <c r="T1224">
        <v>0</v>
      </c>
      <c r="U1224">
        <v>0</v>
      </c>
      <c r="V1224">
        <v>1282.23</v>
      </c>
      <c r="W1224" t="s">
        <v>2578</v>
      </c>
      <c r="X1224" t="s">
        <v>271</v>
      </c>
      <c r="Y1224" t="s">
        <v>3804</v>
      </c>
      <c r="AA1224" t="s">
        <v>3805</v>
      </c>
      <c r="AB1224" t="s">
        <v>181</v>
      </c>
    </row>
    <row r="1225" spans="1:28" x14ac:dyDescent="0.25">
      <c r="A1225" t="s">
        <v>3895</v>
      </c>
      <c r="B1225" t="s">
        <v>3896</v>
      </c>
      <c r="C1225" t="s">
        <v>646</v>
      </c>
      <c r="D1225" t="s">
        <v>3779</v>
      </c>
      <c r="E1225" t="s">
        <v>647</v>
      </c>
      <c r="F1225" t="s">
        <v>3780</v>
      </c>
      <c r="G1225" t="s">
        <v>769</v>
      </c>
      <c r="H1225" t="s">
        <v>717</v>
      </c>
      <c r="I1225" t="s">
        <v>3897</v>
      </c>
      <c r="J1225" t="s">
        <v>437</v>
      </c>
      <c r="K1225" t="s">
        <v>166</v>
      </c>
      <c r="L1225" t="s">
        <v>0</v>
      </c>
      <c r="M1225" t="s">
        <v>178</v>
      </c>
      <c r="N1225">
        <v>613</v>
      </c>
      <c r="O1225">
        <v>475</v>
      </c>
      <c r="P1225">
        <v>8925</v>
      </c>
      <c r="Q1225">
        <v>28136.87</v>
      </c>
      <c r="R1225">
        <v>1504.34</v>
      </c>
      <c r="S1225">
        <v>4567.1780737400004</v>
      </c>
      <c r="T1225">
        <v>0</v>
      </c>
      <c r="U1225">
        <v>48.8</v>
      </c>
      <c r="V1225">
        <v>1553.14</v>
      </c>
      <c r="W1225" t="s">
        <v>510</v>
      </c>
      <c r="X1225" t="s">
        <v>271</v>
      </c>
      <c r="Y1225" t="s">
        <v>3898</v>
      </c>
      <c r="AA1225" t="s">
        <v>3899</v>
      </c>
      <c r="AB1225" t="s">
        <v>181</v>
      </c>
    </row>
    <row r="1226" spans="1:28" x14ac:dyDescent="0.25">
      <c r="A1226" t="s">
        <v>4035</v>
      </c>
      <c r="B1226" t="s">
        <v>4036</v>
      </c>
      <c r="C1226" t="s">
        <v>646</v>
      </c>
      <c r="D1226" t="s">
        <v>3779</v>
      </c>
      <c r="E1226" t="s">
        <v>647</v>
      </c>
      <c r="F1226" t="s">
        <v>3780</v>
      </c>
      <c r="G1226" t="s">
        <v>769</v>
      </c>
      <c r="H1226" t="s">
        <v>761</v>
      </c>
      <c r="I1226" t="s">
        <v>3464</v>
      </c>
      <c r="J1226" t="s">
        <v>688</v>
      </c>
      <c r="K1226" t="s">
        <v>166</v>
      </c>
      <c r="L1226" t="s">
        <v>0</v>
      </c>
      <c r="M1226" t="s">
        <v>178</v>
      </c>
      <c r="N1226">
        <v>61</v>
      </c>
      <c r="O1226">
        <v>50</v>
      </c>
      <c r="P1226">
        <v>2419.39</v>
      </c>
      <c r="Q1226">
        <v>1855.19</v>
      </c>
      <c r="R1226">
        <v>373.07</v>
      </c>
      <c r="S1226">
        <v>337.04814706000002</v>
      </c>
      <c r="T1226">
        <v>0</v>
      </c>
      <c r="U1226">
        <v>0</v>
      </c>
      <c r="V1226">
        <v>373.07</v>
      </c>
      <c r="W1226" t="s">
        <v>0</v>
      </c>
      <c r="X1226" t="s">
        <v>271</v>
      </c>
      <c r="Y1226" t="s">
        <v>4037</v>
      </c>
      <c r="AA1226" t="s">
        <v>4038</v>
      </c>
      <c r="AB1226" t="s">
        <v>181</v>
      </c>
    </row>
    <row r="1227" spans="1:28" x14ac:dyDescent="0.25">
      <c r="A1227" t="s">
        <v>3853</v>
      </c>
      <c r="B1227" t="s">
        <v>3854</v>
      </c>
      <c r="C1227" t="s">
        <v>646</v>
      </c>
      <c r="D1227" t="s">
        <v>3779</v>
      </c>
      <c r="E1227" t="s">
        <v>647</v>
      </c>
      <c r="F1227" t="s">
        <v>3780</v>
      </c>
      <c r="G1227" t="s">
        <v>769</v>
      </c>
      <c r="H1227" t="s">
        <v>1171</v>
      </c>
      <c r="I1227" t="s">
        <v>746</v>
      </c>
      <c r="J1227" t="s">
        <v>504</v>
      </c>
      <c r="K1227" t="s">
        <v>166</v>
      </c>
      <c r="L1227" t="s">
        <v>0</v>
      </c>
      <c r="M1227" t="s">
        <v>178</v>
      </c>
      <c r="N1227">
        <v>73</v>
      </c>
      <c r="O1227">
        <v>10</v>
      </c>
      <c r="P1227">
        <v>2051.84</v>
      </c>
      <c r="Q1227">
        <v>14688.43</v>
      </c>
      <c r="R1227">
        <v>1687.6887020500001</v>
      </c>
      <c r="S1227">
        <v>134.40416694999999</v>
      </c>
      <c r="T1227">
        <v>0.26870205000000003</v>
      </c>
      <c r="U1227">
        <v>0</v>
      </c>
      <c r="V1227">
        <v>1687.42</v>
      </c>
      <c r="W1227" t="s">
        <v>503</v>
      </c>
      <c r="X1227" t="s">
        <v>271</v>
      </c>
      <c r="Y1227" t="s">
        <v>3855</v>
      </c>
      <c r="AA1227" t="s">
        <v>3856</v>
      </c>
      <c r="AB1227" t="s">
        <v>181</v>
      </c>
    </row>
    <row r="1228" spans="1:28" x14ac:dyDescent="0.25">
      <c r="A1228" t="s">
        <v>3849</v>
      </c>
      <c r="B1228" t="s">
        <v>3850</v>
      </c>
      <c r="C1228" t="s">
        <v>646</v>
      </c>
      <c r="D1228" t="s">
        <v>3779</v>
      </c>
      <c r="E1228" t="s">
        <v>647</v>
      </c>
      <c r="F1228" t="s">
        <v>3780</v>
      </c>
      <c r="G1228" t="s">
        <v>769</v>
      </c>
      <c r="H1228" t="s">
        <v>856</v>
      </c>
      <c r="I1228" t="s">
        <v>1184</v>
      </c>
      <c r="J1228" t="s">
        <v>1185</v>
      </c>
      <c r="K1228" t="s">
        <v>166</v>
      </c>
      <c r="L1228" t="s">
        <v>0</v>
      </c>
      <c r="M1228" t="s">
        <v>178</v>
      </c>
      <c r="N1228">
        <v>4</v>
      </c>
      <c r="O1228">
        <v>4</v>
      </c>
      <c r="P1228">
        <v>96.84</v>
      </c>
      <c r="Q1228">
        <v>842.39</v>
      </c>
      <c r="R1228">
        <v>92.92</v>
      </c>
      <c r="S1228">
        <v>26.146799999999999</v>
      </c>
      <c r="T1228">
        <v>0</v>
      </c>
      <c r="U1228">
        <v>0</v>
      </c>
      <c r="V1228">
        <v>92.92</v>
      </c>
      <c r="W1228" t="s">
        <v>1186</v>
      </c>
      <c r="X1228" t="s">
        <v>271</v>
      </c>
      <c r="Y1228" t="s">
        <v>3851</v>
      </c>
      <c r="AA1228" t="s">
        <v>3852</v>
      </c>
      <c r="AB1228" t="s">
        <v>181</v>
      </c>
    </row>
    <row r="1229" spans="1:28" x14ac:dyDescent="0.25">
      <c r="A1229" t="s">
        <v>4162</v>
      </c>
      <c r="B1229" t="s">
        <v>4163</v>
      </c>
      <c r="C1229" t="s">
        <v>646</v>
      </c>
      <c r="D1229" t="s">
        <v>3779</v>
      </c>
      <c r="E1229" t="s">
        <v>647</v>
      </c>
      <c r="F1229" t="s">
        <v>3780</v>
      </c>
      <c r="G1229" t="s">
        <v>769</v>
      </c>
      <c r="H1229" t="s">
        <v>757</v>
      </c>
      <c r="I1229" t="s">
        <v>4164</v>
      </c>
      <c r="J1229" t="s">
        <v>985</v>
      </c>
      <c r="K1229" t="s">
        <v>166</v>
      </c>
      <c r="L1229" t="s">
        <v>0</v>
      </c>
      <c r="M1229" t="s">
        <v>178</v>
      </c>
      <c r="N1229">
        <v>392.3</v>
      </c>
      <c r="O1229">
        <v>391.3</v>
      </c>
      <c r="P1229">
        <v>9443.0499999999993</v>
      </c>
      <c r="Q1229">
        <v>9876.2199999999993</v>
      </c>
      <c r="R1229">
        <v>104.62</v>
      </c>
      <c r="S1229">
        <v>2593.4782857099999</v>
      </c>
      <c r="T1229">
        <v>0</v>
      </c>
      <c r="U1229">
        <v>0</v>
      </c>
      <c r="V1229">
        <v>104.62</v>
      </c>
      <c r="W1229" t="s">
        <v>986</v>
      </c>
      <c r="X1229" t="s">
        <v>271</v>
      </c>
      <c r="Y1229" t="s">
        <v>4165</v>
      </c>
      <c r="AA1229" t="s">
        <v>4166</v>
      </c>
      <c r="AB1229" t="s">
        <v>181</v>
      </c>
    </row>
    <row r="1230" spans="1:28" x14ac:dyDescent="0.25">
      <c r="A1230" t="s">
        <v>4232</v>
      </c>
      <c r="B1230" t="s">
        <v>4233</v>
      </c>
      <c r="C1230" t="s">
        <v>646</v>
      </c>
      <c r="D1230" t="s">
        <v>3779</v>
      </c>
      <c r="E1230" t="s">
        <v>647</v>
      </c>
      <c r="F1230" t="s">
        <v>3780</v>
      </c>
      <c r="G1230" t="s">
        <v>769</v>
      </c>
      <c r="H1230" t="s">
        <v>679</v>
      </c>
      <c r="I1230" t="s">
        <v>1296</v>
      </c>
      <c r="J1230" t="s">
        <v>996</v>
      </c>
      <c r="K1230" t="s">
        <v>166</v>
      </c>
      <c r="L1230" t="s">
        <v>0</v>
      </c>
      <c r="M1230" t="s">
        <v>178</v>
      </c>
      <c r="N1230">
        <v>79.400000000000006</v>
      </c>
      <c r="O1230">
        <v>47</v>
      </c>
      <c r="P1230">
        <v>761.21</v>
      </c>
      <c r="Q1230">
        <v>1593.84</v>
      </c>
      <c r="R1230">
        <v>-342.28355606999997</v>
      </c>
      <c r="S1230">
        <v>958.70680209</v>
      </c>
      <c r="T1230">
        <v>-2.4535560699999999</v>
      </c>
      <c r="U1230">
        <v>0</v>
      </c>
      <c r="V1230">
        <v>-339.83</v>
      </c>
      <c r="W1230" t="s">
        <v>1683</v>
      </c>
      <c r="X1230" t="s">
        <v>271</v>
      </c>
      <c r="Y1230" t="s">
        <v>4234</v>
      </c>
      <c r="AA1230" t="s">
        <v>4235</v>
      </c>
      <c r="AB1230" t="s">
        <v>181</v>
      </c>
    </row>
    <row r="1231" spans="1:28" x14ac:dyDescent="0.25">
      <c r="A1231" t="s">
        <v>3819</v>
      </c>
      <c r="B1231" t="s">
        <v>3820</v>
      </c>
      <c r="C1231" t="s">
        <v>646</v>
      </c>
      <c r="D1231" t="s">
        <v>3779</v>
      </c>
      <c r="E1231" t="s">
        <v>647</v>
      </c>
      <c r="F1231" t="s">
        <v>3780</v>
      </c>
      <c r="G1231" t="s">
        <v>769</v>
      </c>
      <c r="H1231" t="s">
        <v>962</v>
      </c>
      <c r="I1231" t="s">
        <v>798</v>
      </c>
      <c r="J1231" t="s">
        <v>524</v>
      </c>
      <c r="K1231" t="s">
        <v>166</v>
      </c>
      <c r="L1231" t="s">
        <v>0</v>
      </c>
      <c r="M1231" t="s">
        <v>178</v>
      </c>
      <c r="N1231">
        <v>424</v>
      </c>
      <c r="O1231">
        <v>386</v>
      </c>
      <c r="P1231">
        <v>6970.41</v>
      </c>
      <c r="Q1231">
        <v>29789.95</v>
      </c>
      <c r="R1231">
        <v>5687.9144389700004</v>
      </c>
      <c r="S1231">
        <v>3699.8513619800001</v>
      </c>
      <c r="T1231">
        <v>4.4438970000000001E-2</v>
      </c>
      <c r="U1231">
        <v>0</v>
      </c>
      <c r="V1231">
        <v>5687.87</v>
      </c>
      <c r="W1231" t="s">
        <v>258</v>
      </c>
      <c r="X1231" t="s">
        <v>271</v>
      </c>
      <c r="Y1231" t="s">
        <v>3821</v>
      </c>
      <c r="AA1231" t="s">
        <v>3822</v>
      </c>
      <c r="AB1231" t="s">
        <v>181</v>
      </c>
    </row>
    <row r="1232" spans="1:28" x14ac:dyDescent="0.25">
      <c r="A1232" t="s">
        <v>4172</v>
      </c>
      <c r="B1232" t="s">
        <v>4173</v>
      </c>
      <c r="C1232" t="s">
        <v>646</v>
      </c>
      <c r="D1232" t="s">
        <v>3779</v>
      </c>
      <c r="E1232" t="s">
        <v>647</v>
      </c>
      <c r="F1232" t="s">
        <v>3780</v>
      </c>
      <c r="G1232" t="s">
        <v>769</v>
      </c>
      <c r="H1232" t="s">
        <v>717</v>
      </c>
      <c r="I1232" t="s">
        <v>1801</v>
      </c>
      <c r="J1232" t="s">
        <v>437</v>
      </c>
      <c r="K1232" t="s">
        <v>166</v>
      </c>
      <c r="L1232" t="s">
        <v>0</v>
      </c>
      <c r="M1232" t="s">
        <v>178</v>
      </c>
      <c r="N1232">
        <v>30</v>
      </c>
      <c r="O1232">
        <v>8</v>
      </c>
      <c r="P1232">
        <v>432</v>
      </c>
      <c r="Q1232">
        <v>1372.55</v>
      </c>
      <c r="R1232">
        <v>174.55</v>
      </c>
      <c r="S1232">
        <v>12</v>
      </c>
      <c r="T1232">
        <v>0</v>
      </c>
      <c r="U1232">
        <v>0</v>
      </c>
      <c r="V1232">
        <v>174.55</v>
      </c>
      <c r="W1232" t="s">
        <v>510</v>
      </c>
      <c r="X1232" t="s">
        <v>271</v>
      </c>
      <c r="Y1232" t="s">
        <v>4174</v>
      </c>
      <c r="Z1232" t="s">
        <v>4175</v>
      </c>
      <c r="AA1232" t="s">
        <v>4176</v>
      </c>
      <c r="AB1232" t="s">
        <v>181</v>
      </c>
    </row>
    <row r="1233" spans="1:28" x14ac:dyDescent="0.25">
      <c r="A1233" t="s">
        <v>4211</v>
      </c>
      <c r="B1233" t="s">
        <v>4212</v>
      </c>
      <c r="C1233" t="s">
        <v>646</v>
      </c>
      <c r="D1233" t="s">
        <v>3779</v>
      </c>
      <c r="E1233" t="s">
        <v>647</v>
      </c>
      <c r="F1233" t="s">
        <v>3780</v>
      </c>
      <c r="G1233" t="s">
        <v>769</v>
      </c>
      <c r="H1233" t="s">
        <v>1045</v>
      </c>
      <c r="I1233" t="s">
        <v>4213</v>
      </c>
      <c r="J1233" t="s">
        <v>437</v>
      </c>
      <c r="K1233" t="s">
        <v>166</v>
      </c>
      <c r="L1233" t="s">
        <v>0</v>
      </c>
      <c r="M1233" t="s">
        <v>178</v>
      </c>
      <c r="N1233">
        <v>26</v>
      </c>
      <c r="O1233">
        <v>22</v>
      </c>
      <c r="P1233">
        <v>258.60000000000002</v>
      </c>
      <c r="Q1233">
        <v>2138.4</v>
      </c>
      <c r="R1233">
        <v>242.82</v>
      </c>
      <c r="S1233">
        <v>106.38275486000001</v>
      </c>
      <c r="T1233">
        <v>0</v>
      </c>
      <c r="U1233">
        <v>0</v>
      </c>
      <c r="V1233">
        <v>242.82</v>
      </c>
      <c r="W1233" t="s">
        <v>510</v>
      </c>
      <c r="X1233" t="s">
        <v>271</v>
      </c>
      <c r="Y1233" t="s">
        <v>4214</v>
      </c>
      <c r="Z1233" t="s">
        <v>4175</v>
      </c>
      <c r="AA1233" t="s">
        <v>4215</v>
      </c>
      <c r="AB1233" t="s">
        <v>181</v>
      </c>
    </row>
    <row r="1234" spans="1:28" x14ac:dyDescent="0.25">
      <c r="A1234" t="s">
        <v>4211</v>
      </c>
      <c r="B1234" t="s">
        <v>4212</v>
      </c>
      <c r="C1234" t="s">
        <v>646</v>
      </c>
      <c r="D1234" t="s">
        <v>3779</v>
      </c>
      <c r="E1234" t="s">
        <v>647</v>
      </c>
      <c r="F1234" t="s">
        <v>3780</v>
      </c>
      <c r="G1234" t="s">
        <v>769</v>
      </c>
      <c r="H1234" t="s">
        <v>708</v>
      </c>
      <c r="I1234" t="s">
        <v>4213</v>
      </c>
      <c r="J1234" t="s">
        <v>437</v>
      </c>
      <c r="K1234" t="s">
        <v>166</v>
      </c>
      <c r="L1234" t="s">
        <v>0</v>
      </c>
      <c r="M1234" t="s">
        <v>178</v>
      </c>
      <c r="N1234">
        <v>27.333300000000001</v>
      </c>
      <c r="O1234">
        <v>11</v>
      </c>
      <c r="P1234">
        <v>139.97</v>
      </c>
      <c r="Q1234">
        <v>694.68</v>
      </c>
      <c r="R1234">
        <v>96.12</v>
      </c>
      <c r="S1234">
        <v>128.79105454</v>
      </c>
      <c r="T1234">
        <v>0</v>
      </c>
      <c r="U1234">
        <v>0</v>
      </c>
      <c r="V1234">
        <v>96.12</v>
      </c>
      <c r="W1234" t="s">
        <v>510</v>
      </c>
      <c r="X1234" t="s">
        <v>271</v>
      </c>
      <c r="Y1234" t="s">
        <v>4214</v>
      </c>
      <c r="Z1234" t="s">
        <v>4175</v>
      </c>
      <c r="AA1234" t="s">
        <v>4215</v>
      </c>
      <c r="AB1234" t="s">
        <v>181</v>
      </c>
    </row>
    <row r="1235" spans="1:28" x14ac:dyDescent="0.25">
      <c r="A1235" t="s">
        <v>4201</v>
      </c>
      <c r="B1235" t="s">
        <v>4202</v>
      </c>
      <c r="C1235" t="s">
        <v>646</v>
      </c>
      <c r="D1235" t="s">
        <v>3779</v>
      </c>
      <c r="E1235" t="s">
        <v>647</v>
      </c>
      <c r="F1235" t="s">
        <v>3780</v>
      </c>
      <c r="G1235" t="s">
        <v>769</v>
      </c>
      <c r="H1235" t="s">
        <v>802</v>
      </c>
      <c r="I1235" t="s">
        <v>4203</v>
      </c>
      <c r="J1235" t="s">
        <v>688</v>
      </c>
      <c r="K1235" t="s">
        <v>166</v>
      </c>
      <c r="L1235" t="s">
        <v>0</v>
      </c>
      <c r="M1235" t="s">
        <v>178</v>
      </c>
      <c r="N1235">
        <v>8.25</v>
      </c>
      <c r="O1235">
        <v>7.25</v>
      </c>
      <c r="P1235">
        <v>88</v>
      </c>
      <c r="Q1235">
        <v>292.44</v>
      </c>
      <c r="R1235">
        <v>43.82</v>
      </c>
      <c r="S1235">
        <v>33.65628066</v>
      </c>
      <c r="T1235">
        <v>0</v>
      </c>
      <c r="U1235">
        <v>0</v>
      </c>
      <c r="V1235">
        <v>43.82</v>
      </c>
      <c r="W1235" t="s">
        <v>0</v>
      </c>
      <c r="X1235" t="s">
        <v>271</v>
      </c>
      <c r="Y1235" t="s">
        <v>4204</v>
      </c>
      <c r="AA1235" t="s">
        <v>4205</v>
      </c>
      <c r="AB1235" t="s">
        <v>181</v>
      </c>
    </row>
    <row r="1236" spans="1:28" x14ac:dyDescent="0.25">
      <c r="A1236" t="s">
        <v>4092</v>
      </c>
      <c r="B1236" t="s">
        <v>4093</v>
      </c>
      <c r="C1236" t="s">
        <v>646</v>
      </c>
      <c r="D1236" t="s">
        <v>3779</v>
      </c>
      <c r="E1236" t="s">
        <v>647</v>
      </c>
      <c r="F1236" t="s">
        <v>3780</v>
      </c>
      <c r="G1236" t="s">
        <v>769</v>
      </c>
      <c r="H1236" t="s">
        <v>649</v>
      </c>
      <c r="I1236" t="s">
        <v>4094</v>
      </c>
      <c r="J1236" t="s">
        <v>370</v>
      </c>
      <c r="K1236" t="s">
        <v>166</v>
      </c>
      <c r="L1236" t="s">
        <v>0</v>
      </c>
      <c r="M1236" t="s">
        <v>178</v>
      </c>
      <c r="N1236">
        <v>85</v>
      </c>
      <c r="O1236">
        <v>25</v>
      </c>
      <c r="P1236">
        <v>1730.45</v>
      </c>
      <c r="Q1236">
        <v>5722.8</v>
      </c>
      <c r="R1236">
        <v>811.58</v>
      </c>
      <c r="S1236">
        <v>219.52291607999999</v>
      </c>
      <c r="T1236">
        <v>0</v>
      </c>
      <c r="U1236">
        <v>0</v>
      </c>
      <c r="V1236">
        <v>811.58</v>
      </c>
      <c r="W1236" t="s">
        <v>314</v>
      </c>
      <c r="X1236" t="s">
        <v>271</v>
      </c>
      <c r="Y1236" t="s">
        <v>4095</v>
      </c>
      <c r="Z1236" t="s">
        <v>4096</v>
      </c>
      <c r="AA1236" t="s">
        <v>4097</v>
      </c>
      <c r="AB1236" t="s">
        <v>181</v>
      </c>
    </row>
    <row r="1237" spans="1:28" x14ac:dyDescent="0.25">
      <c r="A1237" t="s">
        <v>4006</v>
      </c>
      <c r="B1237" t="s">
        <v>4007</v>
      </c>
      <c r="C1237" t="s">
        <v>646</v>
      </c>
      <c r="D1237" t="s">
        <v>3779</v>
      </c>
      <c r="E1237" t="s">
        <v>647</v>
      </c>
      <c r="F1237" t="s">
        <v>3780</v>
      </c>
      <c r="G1237" t="s">
        <v>769</v>
      </c>
      <c r="H1237" t="s">
        <v>802</v>
      </c>
      <c r="I1237" t="s">
        <v>4008</v>
      </c>
      <c r="J1237" t="s">
        <v>688</v>
      </c>
      <c r="K1237" t="s">
        <v>166</v>
      </c>
      <c r="L1237" t="s">
        <v>0</v>
      </c>
      <c r="M1237" t="s">
        <v>178</v>
      </c>
      <c r="N1237">
        <v>9.3332999999999995</v>
      </c>
      <c r="O1237">
        <v>9</v>
      </c>
      <c r="P1237">
        <v>110</v>
      </c>
      <c r="Q1237">
        <v>317.47000000000003</v>
      </c>
      <c r="R1237">
        <v>52.07</v>
      </c>
      <c r="S1237">
        <v>39.295668329999998</v>
      </c>
      <c r="T1237">
        <v>0</v>
      </c>
      <c r="U1237">
        <v>0</v>
      </c>
      <c r="V1237">
        <v>52.07</v>
      </c>
      <c r="W1237" t="s">
        <v>0</v>
      </c>
      <c r="X1237" t="s">
        <v>271</v>
      </c>
      <c r="Y1237" t="s">
        <v>4009</v>
      </c>
      <c r="AA1237" t="s">
        <v>4010</v>
      </c>
      <c r="AB1237" t="s">
        <v>181</v>
      </c>
    </row>
    <row r="1238" spans="1:28" x14ac:dyDescent="0.25">
      <c r="A1238" t="s">
        <v>3870</v>
      </c>
      <c r="B1238" t="s">
        <v>3871</v>
      </c>
      <c r="C1238" t="s">
        <v>646</v>
      </c>
      <c r="D1238" t="s">
        <v>3779</v>
      </c>
      <c r="E1238" t="s">
        <v>647</v>
      </c>
      <c r="F1238" t="s">
        <v>666</v>
      </c>
      <c r="G1238" t="s">
        <v>666</v>
      </c>
      <c r="H1238" t="s">
        <v>962</v>
      </c>
      <c r="I1238" t="s">
        <v>3872</v>
      </c>
      <c r="J1238" t="s">
        <v>355</v>
      </c>
      <c r="K1238" t="s">
        <v>166</v>
      </c>
      <c r="L1238" t="s">
        <v>0</v>
      </c>
      <c r="M1238" t="s">
        <v>178</v>
      </c>
      <c r="N1238">
        <v>4</v>
      </c>
      <c r="O1238">
        <v>4</v>
      </c>
      <c r="P1238">
        <v>40</v>
      </c>
      <c r="Q1238">
        <v>201.12</v>
      </c>
      <c r="R1238">
        <v>53.94</v>
      </c>
      <c r="S1238">
        <v>10</v>
      </c>
      <c r="T1238">
        <v>0</v>
      </c>
      <c r="U1238">
        <v>0</v>
      </c>
      <c r="V1238">
        <v>53.94</v>
      </c>
      <c r="W1238" t="s">
        <v>0</v>
      </c>
      <c r="X1238" t="s">
        <v>271</v>
      </c>
      <c r="Y1238" t="s">
        <v>3873</v>
      </c>
      <c r="AA1238" t="s">
        <v>3874</v>
      </c>
      <c r="AB1238" t="s">
        <v>181</v>
      </c>
    </row>
    <row r="1239" spans="1:28" x14ac:dyDescent="0.25">
      <c r="A1239" t="s">
        <v>3973</v>
      </c>
      <c r="B1239" t="s">
        <v>3974</v>
      </c>
      <c r="C1239" t="s">
        <v>646</v>
      </c>
      <c r="D1239" t="s">
        <v>3779</v>
      </c>
      <c r="E1239" t="s">
        <v>647</v>
      </c>
      <c r="F1239" t="s">
        <v>3780</v>
      </c>
      <c r="G1239" t="s">
        <v>769</v>
      </c>
      <c r="H1239" t="s">
        <v>649</v>
      </c>
      <c r="I1239" t="s">
        <v>880</v>
      </c>
      <c r="J1239" t="s">
        <v>881</v>
      </c>
      <c r="K1239" t="s">
        <v>166</v>
      </c>
      <c r="L1239" t="s">
        <v>0</v>
      </c>
      <c r="M1239" t="s">
        <v>178</v>
      </c>
      <c r="N1239">
        <v>127</v>
      </c>
      <c r="O1239">
        <v>81</v>
      </c>
      <c r="P1239">
        <v>3272.99</v>
      </c>
      <c r="Q1239">
        <v>6711.18</v>
      </c>
      <c r="R1239">
        <v>444.06</v>
      </c>
      <c r="S1239">
        <v>449.67331985999999</v>
      </c>
      <c r="T1239">
        <v>0</v>
      </c>
      <c r="U1239">
        <v>0</v>
      </c>
      <c r="V1239">
        <v>444.06</v>
      </c>
      <c r="W1239" t="s">
        <v>0</v>
      </c>
      <c r="X1239" t="s">
        <v>271</v>
      </c>
      <c r="Y1239" t="s">
        <v>3975</v>
      </c>
      <c r="AA1239" t="s">
        <v>3976</v>
      </c>
      <c r="AB1239" t="s">
        <v>181</v>
      </c>
    </row>
    <row r="1240" spans="1:28" x14ac:dyDescent="0.25">
      <c r="A1240" t="s">
        <v>4022</v>
      </c>
      <c r="B1240" t="s">
        <v>4023</v>
      </c>
      <c r="C1240" t="s">
        <v>646</v>
      </c>
      <c r="D1240" t="s">
        <v>3779</v>
      </c>
      <c r="E1240" t="s">
        <v>647</v>
      </c>
      <c r="F1240" t="s">
        <v>3780</v>
      </c>
      <c r="G1240" t="s">
        <v>769</v>
      </c>
      <c r="H1240" t="s">
        <v>1515</v>
      </c>
      <c r="I1240" t="s">
        <v>4024</v>
      </c>
      <c r="J1240" t="s">
        <v>447</v>
      </c>
      <c r="K1240" t="s">
        <v>166</v>
      </c>
      <c r="L1240" t="s">
        <v>0</v>
      </c>
      <c r="M1240" t="s">
        <v>178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 t="s">
        <v>446</v>
      </c>
      <c r="X1240" t="s">
        <v>271</v>
      </c>
      <c r="Y1240" t="s">
        <v>4025</v>
      </c>
      <c r="AA1240" t="s">
        <v>4026</v>
      </c>
      <c r="AB1240" t="s">
        <v>181</v>
      </c>
    </row>
    <row r="1241" spans="1:28" x14ac:dyDescent="0.25">
      <c r="A1241" t="s">
        <v>4342</v>
      </c>
      <c r="B1241" t="s">
        <v>4343</v>
      </c>
      <c r="C1241" t="s">
        <v>646</v>
      </c>
      <c r="D1241" t="s">
        <v>3779</v>
      </c>
      <c r="E1241" t="s">
        <v>647</v>
      </c>
      <c r="F1241" t="s">
        <v>666</v>
      </c>
      <c r="G1241" t="s">
        <v>666</v>
      </c>
      <c r="H1241" t="s">
        <v>1159</v>
      </c>
      <c r="I1241" t="s">
        <v>4344</v>
      </c>
      <c r="J1241" t="s">
        <v>355</v>
      </c>
      <c r="K1241" t="s">
        <v>166</v>
      </c>
      <c r="L1241" t="s">
        <v>0</v>
      </c>
      <c r="M1241" t="s">
        <v>178</v>
      </c>
      <c r="N1241">
        <v>18</v>
      </c>
      <c r="O1241">
        <v>0</v>
      </c>
      <c r="P1241">
        <v>189</v>
      </c>
      <c r="Q1241">
        <v>1236.52</v>
      </c>
      <c r="R1241">
        <v>284.68</v>
      </c>
      <c r="S1241">
        <v>45.582433719999997</v>
      </c>
      <c r="T1241">
        <v>0</v>
      </c>
      <c r="U1241">
        <v>0</v>
      </c>
      <c r="V1241">
        <v>284.68</v>
      </c>
      <c r="W1241" t="s">
        <v>0</v>
      </c>
      <c r="X1241" t="s">
        <v>271</v>
      </c>
      <c r="Y1241" t="s">
        <v>4345</v>
      </c>
      <c r="AA1241" t="s">
        <v>3894</v>
      </c>
      <c r="AB1241" t="s">
        <v>181</v>
      </c>
    </row>
    <row r="1242" spans="1:28" x14ac:dyDescent="0.25">
      <c r="A1242" t="s">
        <v>4357</v>
      </c>
      <c r="B1242" t="s">
        <v>4358</v>
      </c>
      <c r="C1242" t="s">
        <v>646</v>
      </c>
      <c r="D1242" t="s">
        <v>3779</v>
      </c>
      <c r="E1242" t="s">
        <v>647</v>
      </c>
      <c r="F1242" t="s">
        <v>3780</v>
      </c>
      <c r="G1242" t="s">
        <v>769</v>
      </c>
      <c r="H1242" t="s">
        <v>962</v>
      </c>
      <c r="I1242" t="s">
        <v>1599</v>
      </c>
      <c r="J1242" t="s">
        <v>1600</v>
      </c>
      <c r="K1242" t="s">
        <v>166</v>
      </c>
      <c r="L1242" t="s">
        <v>0</v>
      </c>
      <c r="M1242" t="s">
        <v>178</v>
      </c>
      <c r="N1242">
        <v>116</v>
      </c>
      <c r="O1242">
        <v>51</v>
      </c>
      <c r="P1242">
        <v>2268</v>
      </c>
      <c r="Q1242">
        <v>8784.7000000000007</v>
      </c>
      <c r="R1242">
        <v>2096.4088877999998</v>
      </c>
      <c r="S1242">
        <v>742.46447676000003</v>
      </c>
      <c r="T1242">
        <v>8.8877999999999995E-3</v>
      </c>
      <c r="U1242">
        <v>0</v>
      </c>
      <c r="V1242">
        <v>2096.4</v>
      </c>
      <c r="W1242" t="s">
        <v>1601</v>
      </c>
      <c r="X1242" t="s">
        <v>269</v>
      </c>
      <c r="Y1242" t="s">
        <v>4359</v>
      </c>
      <c r="AA1242" t="s">
        <v>4360</v>
      </c>
      <c r="AB1242" t="s">
        <v>181</v>
      </c>
    </row>
    <row r="1243" spans="1:28" x14ac:dyDescent="0.25">
      <c r="A1243" t="s">
        <v>4194</v>
      </c>
      <c r="B1243" t="s">
        <v>4195</v>
      </c>
      <c r="C1243" t="s">
        <v>646</v>
      </c>
      <c r="D1243" t="s">
        <v>3779</v>
      </c>
      <c r="E1243" t="s">
        <v>647</v>
      </c>
      <c r="F1243" t="s">
        <v>3780</v>
      </c>
      <c r="G1243" t="s">
        <v>769</v>
      </c>
      <c r="H1243" t="s">
        <v>1171</v>
      </c>
      <c r="I1243" t="s">
        <v>1190</v>
      </c>
      <c r="J1243" t="s">
        <v>1191</v>
      </c>
      <c r="K1243" t="s">
        <v>166</v>
      </c>
      <c r="L1243" t="s">
        <v>0</v>
      </c>
      <c r="M1243" t="s">
        <v>178</v>
      </c>
      <c r="N1243">
        <v>9</v>
      </c>
      <c r="O1243">
        <v>9</v>
      </c>
      <c r="P1243">
        <v>504.8</v>
      </c>
      <c r="Q1243">
        <v>770.17</v>
      </c>
      <c r="R1243">
        <v>60.89</v>
      </c>
      <c r="S1243">
        <v>41.7467817</v>
      </c>
      <c r="T1243">
        <v>0</v>
      </c>
      <c r="U1243">
        <v>0</v>
      </c>
      <c r="V1243">
        <v>60.89</v>
      </c>
      <c r="W1243" t="s">
        <v>282</v>
      </c>
      <c r="X1243" t="s">
        <v>271</v>
      </c>
      <c r="Y1243" t="s">
        <v>4059</v>
      </c>
      <c r="AA1243" t="s">
        <v>2171</v>
      </c>
      <c r="AB1243" t="s">
        <v>181</v>
      </c>
    </row>
    <row r="1244" spans="1:28" x14ac:dyDescent="0.25">
      <c r="A1244" t="s">
        <v>3917</v>
      </c>
      <c r="B1244" t="s">
        <v>3918</v>
      </c>
      <c r="C1244" t="s">
        <v>646</v>
      </c>
      <c r="D1244" t="s">
        <v>3779</v>
      </c>
      <c r="E1244" t="s">
        <v>647</v>
      </c>
      <c r="F1244" t="s">
        <v>3780</v>
      </c>
      <c r="G1244" t="s">
        <v>769</v>
      </c>
      <c r="H1244" t="s">
        <v>1045</v>
      </c>
      <c r="I1244" t="s">
        <v>1083</v>
      </c>
      <c r="J1244" t="s">
        <v>731</v>
      </c>
      <c r="K1244" t="s">
        <v>166</v>
      </c>
      <c r="L1244" t="s">
        <v>0</v>
      </c>
      <c r="M1244" t="s">
        <v>178</v>
      </c>
      <c r="N1244">
        <v>31</v>
      </c>
      <c r="O1244">
        <v>15</v>
      </c>
      <c r="P1244">
        <v>421.9</v>
      </c>
      <c r="Q1244">
        <v>8231.74</v>
      </c>
      <c r="R1244">
        <v>61.84</v>
      </c>
      <c r="S1244">
        <v>71.700573199999994</v>
      </c>
      <c r="T1244">
        <v>0</v>
      </c>
      <c r="U1244">
        <v>0</v>
      </c>
      <c r="V1244">
        <v>61.84</v>
      </c>
      <c r="W1244" t="s">
        <v>0</v>
      </c>
      <c r="X1244" t="s">
        <v>271</v>
      </c>
      <c r="Y1244" t="s">
        <v>3919</v>
      </c>
      <c r="AA1244" t="s">
        <v>3920</v>
      </c>
      <c r="AB1244" t="s">
        <v>181</v>
      </c>
    </row>
    <row r="1245" spans="1:28" x14ac:dyDescent="0.25">
      <c r="A1245" t="s">
        <v>4064</v>
      </c>
      <c r="B1245" t="s">
        <v>4065</v>
      </c>
      <c r="C1245" t="s">
        <v>646</v>
      </c>
      <c r="D1245" t="s">
        <v>3779</v>
      </c>
      <c r="E1245" t="s">
        <v>647</v>
      </c>
      <c r="F1245" t="s">
        <v>3780</v>
      </c>
      <c r="G1245" t="s">
        <v>769</v>
      </c>
      <c r="H1245" t="s">
        <v>797</v>
      </c>
      <c r="I1245" t="s">
        <v>2469</v>
      </c>
      <c r="J1245" t="s">
        <v>2470</v>
      </c>
      <c r="K1245" t="s">
        <v>166</v>
      </c>
      <c r="L1245" t="s">
        <v>0</v>
      </c>
      <c r="M1245" t="s">
        <v>178</v>
      </c>
      <c r="N1245">
        <v>12</v>
      </c>
      <c r="O1245">
        <v>7</v>
      </c>
      <c r="P1245">
        <v>120</v>
      </c>
      <c r="Q1245">
        <v>360.83</v>
      </c>
      <c r="R1245">
        <v>83.22</v>
      </c>
      <c r="S1245">
        <v>67.55</v>
      </c>
      <c r="T1245">
        <v>0</v>
      </c>
      <c r="U1245">
        <v>0</v>
      </c>
      <c r="V1245">
        <v>83.22</v>
      </c>
      <c r="W1245" t="s">
        <v>4066</v>
      </c>
      <c r="X1245" t="s">
        <v>271</v>
      </c>
      <c r="Y1245" t="s">
        <v>4067</v>
      </c>
      <c r="AA1245" t="s">
        <v>4068</v>
      </c>
      <c r="AB1245" t="s">
        <v>181</v>
      </c>
    </row>
    <row r="1246" spans="1:28" x14ac:dyDescent="0.25">
      <c r="A1246" t="s">
        <v>4346</v>
      </c>
      <c r="B1246" t="s">
        <v>257</v>
      </c>
      <c r="C1246" t="s">
        <v>646</v>
      </c>
      <c r="D1246" t="s">
        <v>3779</v>
      </c>
      <c r="E1246" t="s">
        <v>647</v>
      </c>
      <c r="F1246" t="s">
        <v>3780</v>
      </c>
      <c r="G1246" t="s">
        <v>769</v>
      </c>
      <c r="H1246" t="s">
        <v>802</v>
      </c>
      <c r="I1246" t="s">
        <v>746</v>
      </c>
      <c r="J1246" t="s">
        <v>504</v>
      </c>
      <c r="K1246" t="s">
        <v>166</v>
      </c>
      <c r="L1246" t="s">
        <v>0</v>
      </c>
      <c r="M1246" t="s">
        <v>178</v>
      </c>
      <c r="N1246">
        <v>1</v>
      </c>
      <c r="O1246">
        <v>1</v>
      </c>
      <c r="P1246">
        <v>15</v>
      </c>
      <c r="Q1246">
        <v>47.01</v>
      </c>
      <c r="R1246">
        <v>4.16</v>
      </c>
      <c r="S1246">
        <v>6.1896816100000001</v>
      </c>
      <c r="T1246">
        <v>0</v>
      </c>
      <c r="U1246">
        <v>0</v>
      </c>
      <c r="V1246">
        <v>4.16</v>
      </c>
      <c r="W1246" t="s">
        <v>503</v>
      </c>
      <c r="X1246" t="s">
        <v>271</v>
      </c>
      <c r="Y1246" t="s">
        <v>4347</v>
      </c>
      <c r="AA1246" t="s">
        <v>4348</v>
      </c>
      <c r="AB1246" t="s">
        <v>181</v>
      </c>
    </row>
    <row r="1247" spans="1:28" x14ac:dyDescent="0.25">
      <c r="A1247" t="s">
        <v>4184</v>
      </c>
      <c r="B1247" t="s">
        <v>4185</v>
      </c>
      <c r="C1247" t="s">
        <v>646</v>
      </c>
      <c r="D1247" t="s">
        <v>3779</v>
      </c>
      <c r="E1247" t="s">
        <v>647</v>
      </c>
      <c r="F1247" t="s">
        <v>3780</v>
      </c>
      <c r="G1247" t="s">
        <v>769</v>
      </c>
      <c r="H1247" t="s">
        <v>770</v>
      </c>
      <c r="I1247" t="s">
        <v>4186</v>
      </c>
      <c r="J1247" t="s">
        <v>1164</v>
      </c>
      <c r="K1247" t="s">
        <v>166</v>
      </c>
      <c r="L1247" t="s">
        <v>0</v>
      </c>
      <c r="M1247" t="s">
        <v>178</v>
      </c>
      <c r="N1247">
        <v>3609</v>
      </c>
      <c r="O1247">
        <v>1725</v>
      </c>
      <c r="P1247">
        <v>70747.649999999994</v>
      </c>
      <c r="Q1247">
        <v>82344.03</v>
      </c>
      <c r="R1247">
        <v>7362</v>
      </c>
      <c r="S1247">
        <v>10519.73203175</v>
      </c>
      <c r="T1247">
        <v>0</v>
      </c>
      <c r="U1247">
        <v>1288.57</v>
      </c>
      <c r="V1247">
        <v>8650.57</v>
      </c>
      <c r="W1247" t="s">
        <v>1165</v>
      </c>
      <c r="X1247" t="s">
        <v>271</v>
      </c>
      <c r="Y1247" t="s">
        <v>4187</v>
      </c>
      <c r="AA1247" t="s">
        <v>4188</v>
      </c>
      <c r="AB1247" t="s">
        <v>181</v>
      </c>
    </row>
    <row r="1248" spans="1:28" x14ac:dyDescent="0.25">
      <c r="A1248" t="s">
        <v>3998</v>
      </c>
      <c r="B1248" t="s">
        <v>3999</v>
      </c>
      <c r="C1248" t="s">
        <v>646</v>
      </c>
      <c r="D1248" t="s">
        <v>3779</v>
      </c>
      <c r="E1248" t="s">
        <v>647</v>
      </c>
      <c r="F1248" t="s">
        <v>3780</v>
      </c>
      <c r="G1248" t="s">
        <v>769</v>
      </c>
      <c r="H1248" t="s">
        <v>802</v>
      </c>
      <c r="I1248" t="s">
        <v>1636</v>
      </c>
      <c r="J1248" t="s">
        <v>1637</v>
      </c>
      <c r="K1248" t="s">
        <v>166</v>
      </c>
      <c r="L1248" t="s">
        <v>0</v>
      </c>
      <c r="M1248" t="s">
        <v>178</v>
      </c>
      <c r="N1248">
        <v>85.499899999999997</v>
      </c>
      <c r="O1248">
        <v>55.499899999999997</v>
      </c>
      <c r="P1248">
        <v>1092.69</v>
      </c>
      <c r="Q1248">
        <v>3490.79</v>
      </c>
      <c r="R1248">
        <v>472.14</v>
      </c>
      <c r="S1248">
        <v>287.55342997000002</v>
      </c>
      <c r="T1248">
        <v>0</v>
      </c>
      <c r="U1248">
        <v>0</v>
      </c>
      <c r="V1248">
        <v>472.14</v>
      </c>
      <c r="W1248" t="s">
        <v>1638</v>
      </c>
      <c r="X1248" t="s">
        <v>271</v>
      </c>
      <c r="Y1248" t="s">
        <v>4000</v>
      </c>
      <c r="AA1248" t="s">
        <v>4001</v>
      </c>
      <c r="AB1248" t="s">
        <v>181</v>
      </c>
    </row>
    <row r="1249" spans="1:28" x14ac:dyDescent="0.25">
      <c r="A1249" t="s">
        <v>4353</v>
      </c>
      <c r="B1249" t="s">
        <v>4354</v>
      </c>
      <c r="C1249" t="s">
        <v>646</v>
      </c>
      <c r="D1249" t="s">
        <v>3779</v>
      </c>
      <c r="E1249" t="s">
        <v>647</v>
      </c>
      <c r="F1249" t="s">
        <v>3780</v>
      </c>
      <c r="G1249" t="s">
        <v>769</v>
      </c>
      <c r="H1249" t="s">
        <v>1171</v>
      </c>
      <c r="I1249" t="s">
        <v>1160</v>
      </c>
      <c r="J1249" t="s">
        <v>336</v>
      </c>
      <c r="K1249" t="s">
        <v>166</v>
      </c>
      <c r="L1249" t="s">
        <v>0</v>
      </c>
      <c r="M1249" t="s">
        <v>178</v>
      </c>
      <c r="N1249">
        <v>125</v>
      </c>
      <c r="O1249">
        <v>14</v>
      </c>
      <c r="P1249">
        <v>4404.25</v>
      </c>
      <c r="Q1249">
        <v>29870.54</v>
      </c>
      <c r="R1249">
        <v>4875.7963759000004</v>
      </c>
      <c r="S1249">
        <v>328.03874694000001</v>
      </c>
      <c r="T1249">
        <v>1.0763758999999999</v>
      </c>
      <c r="U1249">
        <v>0</v>
      </c>
      <c r="V1249">
        <v>4874.72</v>
      </c>
      <c r="W1249" t="s">
        <v>461</v>
      </c>
      <c r="X1249" t="s">
        <v>271</v>
      </c>
      <c r="Y1249" t="s">
        <v>4355</v>
      </c>
      <c r="AA1249" t="s">
        <v>4356</v>
      </c>
      <c r="AB1249" t="s">
        <v>181</v>
      </c>
    </row>
    <row r="1250" spans="1:28" x14ac:dyDescent="0.25">
      <c r="A1250" t="s">
        <v>4196</v>
      </c>
      <c r="B1250" t="s">
        <v>4197</v>
      </c>
      <c r="C1250" t="s">
        <v>646</v>
      </c>
      <c r="D1250" t="s">
        <v>3779</v>
      </c>
      <c r="E1250" t="s">
        <v>647</v>
      </c>
      <c r="F1250" t="s">
        <v>3780</v>
      </c>
      <c r="G1250" t="s">
        <v>769</v>
      </c>
      <c r="H1250" t="s">
        <v>909</v>
      </c>
      <c r="I1250" t="s">
        <v>4198</v>
      </c>
      <c r="J1250" t="s">
        <v>870</v>
      </c>
      <c r="K1250" t="s">
        <v>166</v>
      </c>
      <c r="L1250" t="s">
        <v>0</v>
      </c>
      <c r="M1250" t="s">
        <v>178</v>
      </c>
      <c r="N1250">
        <v>103</v>
      </c>
      <c r="O1250">
        <v>103</v>
      </c>
      <c r="P1250">
        <v>3333.51</v>
      </c>
      <c r="Q1250">
        <v>3948.3</v>
      </c>
      <c r="R1250">
        <v>256.8967725</v>
      </c>
      <c r="S1250">
        <v>1259.8100944600001</v>
      </c>
      <c r="T1250">
        <v>0.19677249999999999</v>
      </c>
      <c r="U1250">
        <v>0</v>
      </c>
      <c r="V1250">
        <v>256.7</v>
      </c>
      <c r="W1250" t="s">
        <v>871</v>
      </c>
      <c r="X1250" t="s">
        <v>271</v>
      </c>
      <c r="Y1250" t="s">
        <v>4199</v>
      </c>
      <c r="AA1250" t="s">
        <v>4200</v>
      </c>
      <c r="AB1250" t="s">
        <v>181</v>
      </c>
    </row>
    <row r="1251" spans="1:28" x14ac:dyDescent="0.25">
      <c r="A1251" t="s">
        <v>3944</v>
      </c>
      <c r="B1251" t="s">
        <v>3945</v>
      </c>
      <c r="C1251" t="s">
        <v>646</v>
      </c>
      <c r="D1251" t="s">
        <v>3779</v>
      </c>
      <c r="E1251" t="s">
        <v>647</v>
      </c>
      <c r="F1251" t="s">
        <v>3780</v>
      </c>
      <c r="G1251" t="s">
        <v>769</v>
      </c>
      <c r="H1251" t="s">
        <v>909</v>
      </c>
      <c r="I1251" t="s">
        <v>798</v>
      </c>
      <c r="J1251" t="s">
        <v>524</v>
      </c>
      <c r="K1251" t="s">
        <v>166</v>
      </c>
      <c r="L1251" t="s">
        <v>0</v>
      </c>
      <c r="M1251" t="s">
        <v>178</v>
      </c>
      <c r="N1251">
        <v>329</v>
      </c>
      <c r="O1251">
        <v>323</v>
      </c>
      <c r="P1251">
        <v>9878.75</v>
      </c>
      <c r="Q1251">
        <v>14164.92</v>
      </c>
      <c r="R1251">
        <v>1337.12</v>
      </c>
      <c r="S1251">
        <v>4101.76149945</v>
      </c>
      <c r="T1251">
        <v>0</v>
      </c>
      <c r="U1251">
        <v>0</v>
      </c>
      <c r="V1251">
        <v>1337.12</v>
      </c>
      <c r="W1251" t="s">
        <v>258</v>
      </c>
      <c r="X1251" t="s">
        <v>271</v>
      </c>
      <c r="Y1251" t="s">
        <v>3946</v>
      </c>
      <c r="AA1251" t="s">
        <v>3947</v>
      </c>
      <c r="AB1251" t="s">
        <v>181</v>
      </c>
    </row>
    <row r="1252" spans="1:28" x14ac:dyDescent="0.25">
      <c r="A1252" t="s">
        <v>3933</v>
      </c>
      <c r="B1252" t="s">
        <v>3934</v>
      </c>
      <c r="C1252" t="s">
        <v>646</v>
      </c>
      <c r="D1252" t="s">
        <v>3779</v>
      </c>
      <c r="E1252" t="s">
        <v>647</v>
      </c>
      <c r="F1252" t="s">
        <v>3780</v>
      </c>
      <c r="G1252" t="s">
        <v>769</v>
      </c>
      <c r="H1252" t="s">
        <v>713</v>
      </c>
      <c r="I1252" t="s">
        <v>3935</v>
      </c>
      <c r="J1252" t="s">
        <v>1214</v>
      </c>
      <c r="K1252" t="s">
        <v>166</v>
      </c>
      <c r="L1252" t="s">
        <v>0</v>
      </c>
      <c r="M1252" t="s">
        <v>178</v>
      </c>
      <c r="N1252">
        <v>139</v>
      </c>
      <c r="O1252">
        <v>14</v>
      </c>
      <c r="P1252">
        <v>2750.21</v>
      </c>
      <c r="Q1252">
        <v>3384.94</v>
      </c>
      <c r="R1252">
        <v>579.76177208000001</v>
      </c>
      <c r="S1252">
        <v>289.81529246000002</v>
      </c>
      <c r="T1252">
        <v>-0.39822792000000001</v>
      </c>
      <c r="U1252">
        <v>0</v>
      </c>
      <c r="V1252">
        <v>580.16</v>
      </c>
      <c r="W1252" t="s">
        <v>0</v>
      </c>
      <c r="X1252" t="s">
        <v>271</v>
      </c>
      <c r="Y1252" t="s">
        <v>3936</v>
      </c>
      <c r="AA1252" t="s">
        <v>3937</v>
      </c>
      <c r="AB1252" t="s">
        <v>181</v>
      </c>
    </row>
    <row r="1253" spans="1:28" x14ac:dyDescent="0.25">
      <c r="A1253" t="s">
        <v>4123</v>
      </c>
      <c r="B1253" t="s">
        <v>4124</v>
      </c>
      <c r="C1253" t="s">
        <v>646</v>
      </c>
      <c r="D1253" t="s">
        <v>3779</v>
      </c>
      <c r="E1253" t="s">
        <v>647</v>
      </c>
      <c r="F1253" t="s">
        <v>3780</v>
      </c>
      <c r="G1253" t="s">
        <v>769</v>
      </c>
      <c r="H1253" t="s">
        <v>713</v>
      </c>
      <c r="I1253" t="s">
        <v>746</v>
      </c>
      <c r="J1253" t="s">
        <v>504</v>
      </c>
      <c r="K1253" t="s">
        <v>166</v>
      </c>
      <c r="L1253" t="s">
        <v>0</v>
      </c>
      <c r="M1253" t="s">
        <v>178</v>
      </c>
      <c r="N1253">
        <v>655</v>
      </c>
      <c r="O1253">
        <v>418</v>
      </c>
      <c r="P1253">
        <v>16699.39</v>
      </c>
      <c r="Q1253">
        <v>7987.88</v>
      </c>
      <c r="R1253">
        <v>643.78686580999999</v>
      </c>
      <c r="S1253">
        <v>578.24203722000004</v>
      </c>
      <c r="T1253">
        <v>36.276865809999997</v>
      </c>
      <c r="U1253">
        <v>0</v>
      </c>
      <c r="V1253">
        <v>629.29</v>
      </c>
      <c r="W1253" t="s">
        <v>503</v>
      </c>
      <c r="X1253" t="s">
        <v>271</v>
      </c>
      <c r="Y1253" t="s">
        <v>4125</v>
      </c>
      <c r="AA1253" t="s">
        <v>4126</v>
      </c>
      <c r="AB1253" t="s">
        <v>181</v>
      </c>
    </row>
    <row r="1254" spans="1:28" x14ac:dyDescent="0.25">
      <c r="A1254" t="s">
        <v>4219</v>
      </c>
      <c r="B1254" t="s">
        <v>4220</v>
      </c>
      <c r="C1254" t="s">
        <v>646</v>
      </c>
      <c r="D1254" t="s">
        <v>3779</v>
      </c>
      <c r="E1254" t="s">
        <v>647</v>
      </c>
      <c r="F1254" t="s">
        <v>3780</v>
      </c>
      <c r="G1254" t="s">
        <v>769</v>
      </c>
      <c r="H1254" t="s">
        <v>703</v>
      </c>
      <c r="I1254" t="s">
        <v>1208</v>
      </c>
      <c r="J1254" t="s">
        <v>1209</v>
      </c>
      <c r="K1254" t="s">
        <v>166</v>
      </c>
      <c r="L1254" t="s">
        <v>0</v>
      </c>
      <c r="M1254" t="s">
        <v>178</v>
      </c>
      <c r="N1254">
        <v>664.75</v>
      </c>
      <c r="O1254">
        <v>438.5</v>
      </c>
      <c r="P1254">
        <v>9276.4699999999993</v>
      </c>
      <c r="Q1254">
        <v>25041.54</v>
      </c>
      <c r="R1254">
        <v>5790.7390022</v>
      </c>
      <c r="S1254">
        <v>3450.75062084</v>
      </c>
      <c r="T1254">
        <v>0.2090022</v>
      </c>
      <c r="U1254">
        <v>0</v>
      </c>
      <c r="V1254">
        <v>5790.53</v>
      </c>
      <c r="W1254" t="s">
        <v>1210</v>
      </c>
      <c r="X1254" t="s">
        <v>271</v>
      </c>
      <c r="Y1254" t="s">
        <v>4221</v>
      </c>
      <c r="AA1254" t="s">
        <v>4222</v>
      </c>
      <c r="AB1254" t="s">
        <v>181</v>
      </c>
    </row>
    <row r="1255" spans="1:28" x14ac:dyDescent="0.25">
      <c r="A1255" t="s">
        <v>4098</v>
      </c>
      <c r="B1255" t="s">
        <v>4099</v>
      </c>
      <c r="C1255" t="s">
        <v>646</v>
      </c>
      <c r="D1255" t="s">
        <v>3779</v>
      </c>
      <c r="E1255" t="s">
        <v>647</v>
      </c>
      <c r="F1255" t="s">
        <v>666</v>
      </c>
      <c r="G1255" t="s">
        <v>666</v>
      </c>
      <c r="H1255" t="s">
        <v>856</v>
      </c>
      <c r="I1255" t="s">
        <v>765</v>
      </c>
      <c r="J1255" t="s">
        <v>436</v>
      </c>
      <c r="K1255" t="s">
        <v>166</v>
      </c>
      <c r="L1255" t="s">
        <v>0</v>
      </c>
      <c r="M1255" t="s">
        <v>178</v>
      </c>
      <c r="N1255">
        <v>156</v>
      </c>
      <c r="O1255">
        <v>42</v>
      </c>
      <c r="P1255">
        <v>2149.12</v>
      </c>
      <c r="Q1255">
        <v>17566.099999999999</v>
      </c>
      <c r="R1255">
        <v>1128.96</v>
      </c>
      <c r="S1255">
        <v>517.29277475000004</v>
      </c>
      <c r="T1255">
        <v>0</v>
      </c>
      <c r="U1255">
        <v>0</v>
      </c>
      <c r="V1255">
        <v>1128.96</v>
      </c>
      <c r="W1255" t="s">
        <v>0</v>
      </c>
      <c r="X1255" t="s">
        <v>271</v>
      </c>
      <c r="Y1255" t="s">
        <v>4100</v>
      </c>
      <c r="AA1255" t="s">
        <v>4101</v>
      </c>
      <c r="AB1255" t="s">
        <v>181</v>
      </c>
    </row>
    <row r="1256" spans="1:28" x14ac:dyDescent="0.25">
      <c r="A1256" t="s">
        <v>4288</v>
      </c>
      <c r="B1256" t="s">
        <v>4289</v>
      </c>
      <c r="C1256" t="s">
        <v>646</v>
      </c>
      <c r="D1256" t="s">
        <v>3779</v>
      </c>
      <c r="E1256" t="s">
        <v>647</v>
      </c>
      <c r="F1256" t="s">
        <v>3780</v>
      </c>
      <c r="G1256" t="s">
        <v>769</v>
      </c>
      <c r="H1256" t="s">
        <v>802</v>
      </c>
      <c r="I1256" t="s">
        <v>1453</v>
      </c>
      <c r="J1256" t="s">
        <v>1454</v>
      </c>
      <c r="K1256" t="s">
        <v>166</v>
      </c>
      <c r="L1256" t="s">
        <v>0</v>
      </c>
      <c r="M1256" t="s">
        <v>178</v>
      </c>
      <c r="N1256">
        <v>64.791600000000003</v>
      </c>
      <c r="O1256">
        <v>64.416600000000003</v>
      </c>
      <c r="P1256">
        <v>936.23</v>
      </c>
      <c r="Q1256">
        <v>3125.01</v>
      </c>
      <c r="R1256">
        <v>636.41999999999996</v>
      </c>
      <c r="S1256">
        <v>363.97811089999999</v>
      </c>
      <c r="T1256">
        <v>0</v>
      </c>
      <c r="U1256">
        <v>0</v>
      </c>
      <c r="V1256">
        <v>636.41999999999996</v>
      </c>
      <c r="W1256" t="s">
        <v>1455</v>
      </c>
      <c r="X1256" t="s">
        <v>271</v>
      </c>
      <c r="Y1256" t="s">
        <v>4290</v>
      </c>
      <c r="AA1256" t="s">
        <v>4291</v>
      </c>
      <c r="AB1256" t="s">
        <v>181</v>
      </c>
    </row>
    <row r="1257" spans="1:28" x14ac:dyDescent="0.25">
      <c r="A1257" t="s">
        <v>3861</v>
      </c>
      <c r="B1257" t="s">
        <v>3862</v>
      </c>
      <c r="C1257" t="s">
        <v>646</v>
      </c>
      <c r="D1257" t="s">
        <v>3779</v>
      </c>
      <c r="E1257" t="s">
        <v>647</v>
      </c>
      <c r="F1257" t="s">
        <v>3780</v>
      </c>
      <c r="G1257" t="s">
        <v>769</v>
      </c>
      <c r="H1257" t="s">
        <v>708</v>
      </c>
      <c r="I1257" t="s">
        <v>2065</v>
      </c>
      <c r="J1257" t="s">
        <v>2066</v>
      </c>
      <c r="K1257" t="s">
        <v>166</v>
      </c>
      <c r="L1257" t="s">
        <v>0</v>
      </c>
      <c r="M1257" t="s">
        <v>178</v>
      </c>
      <c r="N1257">
        <v>2</v>
      </c>
      <c r="O1257">
        <v>2</v>
      </c>
      <c r="P1257">
        <v>32</v>
      </c>
      <c r="Q1257">
        <v>99.06</v>
      </c>
      <c r="R1257">
        <v>-1.22</v>
      </c>
      <c r="S1257">
        <v>37.880000000000003</v>
      </c>
      <c r="T1257">
        <v>0</v>
      </c>
      <c r="U1257">
        <v>0</v>
      </c>
      <c r="V1257">
        <v>-1.22</v>
      </c>
      <c r="W1257" t="s">
        <v>2067</v>
      </c>
      <c r="X1257" t="s">
        <v>271</v>
      </c>
      <c r="Y1257" t="s">
        <v>3863</v>
      </c>
      <c r="AA1257" t="s">
        <v>3864</v>
      </c>
      <c r="AB1257" t="s">
        <v>181</v>
      </c>
    </row>
    <row r="1258" spans="1:28" x14ac:dyDescent="0.25">
      <c r="A1258" t="s">
        <v>4342</v>
      </c>
      <c r="B1258" t="s">
        <v>4343</v>
      </c>
      <c r="C1258" t="s">
        <v>646</v>
      </c>
      <c r="D1258" t="s">
        <v>3779</v>
      </c>
      <c r="E1258" t="s">
        <v>647</v>
      </c>
      <c r="F1258" t="s">
        <v>666</v>
      </c>
      <c r="G1258" t="s">
        <v>666</v>
      </c>
      <c r="H1258" t="s">
        <v>679</v>
      </c>
      <c r="I1258" t="s">
        <v>4344</v>
      </c>
      <c r="J1258" t="s">
        <v>355</v>
      </c>
      <c r="K1258" t="s">
        <v>166</v>
      </c>
      <c r="L1258" t="s">
        <v>0</v>
      </c>
      <c r="M1258" t="s">
        <v>178</v>
      </c>
      <c r="N1258">
        <v>253</v>
      </c>
      <c r="O1258">
        <v>203</v>
      </c>
      <c r="P1258">
        <v>4237.71</v>
      </c>
      <c r="Q1258">
        <v>14023.44</v>
      </c>
      <c r="R1258">
        <v>-251.22409494999999</v>
      </c>
      <c r="S1258">
        <v>7755.9131883999999</v>
      </c>
      <c r="T1258">
        <v>-19.134094950000001</v>
      </c>
      <c r="U1258">
        <v>0</v>
      </c>
      <c r="V1258">
        <v>-232.09</v>
      </c>
      <c r="W1258" t="s">
        <v>0</v>
      </c>
      <c r="X1258" t="s">
        <v>271</v>
      </c>
      <c r="Y1258" t="s">
        <v>4345</v>
      </c>
      <c r="AA1258" t="s">
        <v>3894</v>
      </c>
      <c r="AB1258" t="s">
        <v>181</v>
      </c>
    </row>
    <row r="1259" spans="1:28" x14ac:dyDescent="0.25">
      <c r="A1259" t="s">
        <v>4232</v>
      </c>
      <c r="B1259" t="s">
        <v>4233</v>
      </c>
      <c r="C1259" t="s">
        <v>646</v>
      </c>
      <c r="D1259" t="s">
        <v>3779</v>
      </c>
      <c r="E1259" t="s">
        <v>647</v>
      </c>
      <c r="F1259" t="s">
        <v>3780</v>
      </c>
      <c r="G1259" t="s">
        <v>769</v>
      </c>
      <c r="H1259" t="s">
        <v>761</v>
      </c>
      <c r="I1259" t="s">
        <v>1296</v>
      </c>
      <c r="J1259" t="s">
        <v>996</v>
      </c>
      <c r="K1259" t="s">
        <v>166</v>
      </c>
      <c r="L1259" t="s">
        <v>0</v>
      </c>
      <c r="M1259" t="s">
        <v>178</v>
      </c>
      <c r="N1259">
        <v>188</v>
      </c>
      <c r="O1259">
        <v>187</v>
      </c>
      <c r="P1259">
        <v>7741.51</v>
      </c>
      <c r="Q1259">
        <v>5257.77</v>
      </c>
      <c r="R1259">
        <v>499.09</v>
      </c>
      <c r="S1259">
        <v>1204.7793870800001</v>
      </c>
      <c r="T1259">
        <v>0</v>
      </c>
      <c r="U1259">
        <v>0</v>
      </c>
      <c r="V1259">
        <v>499.09</v>
      </c>
      <c r="W1259" t="s">
        <v>1683</v>
      </c>
      <c r="X1259" t="s">
        <v>271</v>
      </c>
      <c r="Y1259" t="s">
        <v>4234</v>
      </c>
      <c r="AA1259" t="s">
        <v>4235</v>
      </c>
      <c r="AB1259" t="s">
        <v>181</v>
      </c>
    </row>
    <row r="1260" spans="1:28" x14ac:dyDescent="0.25">
      <c r="A1260" t="s">
        <v>4057</v>
      </c>
      <c r="B1260" t="s">
        <v>4058</v>
      </c>
      <c r="C1260" t="s">
        <v>646</v>
      </c>
      <c r="D1260" t="s">
        <v>3779</v>
      </c>
      <c r="E1260" t="s">
        <v>647</v>
      </c>
      <c r="F1260" t="s">
        <v>3780</v>
      </c>
      <c r="G1260" t="s">
        <v>769</v>
      </c>
      <c r="H1260" t="s">
        <v>761</v>
      </c>
      <c r="I1260" t="s">
        <v>1190</v>
      </c>
      <c r="J1260" t="s">
        <v>1191</v>
      </c>
      <c r="K1260" t="s">
        <v>166</v>
      </c>
      <c r="L1260" t="s">
        <v>0</v>
      </c>
      <c r="M1260" t="s">
        <v>178</v>
      </c>
      <c r="N1260">
        <v>153</v>
      </c>
      <c r="O1260">
        <v>97</v>
      </c>
      <c r="P1260">
        <v>5013.6099999999997</v>
      </c>
      <c r="Q1260">
        <v>3995.65</v>
      </c>
      <c r="R1260">
        <v>228.89</v>
      </c>
      <c r="S1260">
        <v>794.32179683000004</v>
      </c>
      <c r="T1260">
        <v>0</v>
      </c>
      <c r="U1260">
        <v>0</v>
      </c>
      <c r="V1260">
        <v>228.89</v>
      </c>
      <c r="W1260" t="s">
        <v>282</v>
      </c>
      <c r="X1260" t="s">
        <v>271</v>
      </c>
      <c r="Y1260" t="s">
        <v>4059</v>
      </c>
      <c r="AA1260" t="s">
        <v>2171</v>
      </c>
      <c r="AB1260" t="s">
        <v>181</v>
      </c>
    </row>
    <row r="1261" spans="1:28" x14ac:dyDescent="0.25">
      <c r="A1261" t="s">
        <v>4201</v>
      </c>
      <c r="B1261" t="s">
        <v>4202</v>
      </c>
      <c r="C1261" t="s">
        <v>646</v>
      </c>
      <c r="D1261" t="s">
        <v>3779</v>
      </c>
      <c r="E1261" t="s">
        <v>647</v>
      </c>
      <c r="F1261" t="s">
        <v>3780</v>
      </c>
      <c r="G1261" t="s">
        <v>769</v>
      </c>
      <c r="H1261" t="s">
        <v>649</v>
      </c>
      <c r="I1261" t="s">
        <v>4203</v>
      </c>
      <c r="J1261" t="s">
        <v>688</v>
      </c>
      <c r="K1261" t="s">
        <v>166</v>
      </c>
      <c r="L1261" t="s">
        <v>0</v>
      </c>
      <c r="M1261" t="s">
        <v>178</v>
      </c>
      <c r="N1261">
        <v>159</v>
      </c>
      <c r="O1261">
        <v>129</v>
      </c>
      <c r="P1261">
        <v>2117.42</v>
      </c>
      <c r="Q1261">
        <v>6807.75</v>
      </c>
      <c r="R1261">
        <v>949.92</v>
      </c>
      <c r="S1261">
        <v>753.38144765000004</v>
      </c>
      <c r="T1261">
        <v>0</v>
      </c>
      <c r="U1261">
        <v>0</v>
      </c>
      <c r="V1261">
        <v>949.92</v>
      </c>
      <c r="W1261" t="s">
        <v>0</v>
      </c>
      <c r="X1261" t="s">
        <v>271</v>
      </c>
      <c r="Y1261" t="s">
        <v>4204</v>
      </c>
      <c r="AA1261" t="s">
        <v>4205</v>
      </c>
      <c r="AB1261" t="s">
        <v>181</v>
      </c>
    </row>
    <row r="1262" spans="1:28" x14ac:dyDescent="0.25">
      <c r="A1262" t="s">
        <v>4284</v>
      </c>
      <c r="B1262" t="s">
        <v>4285</v>
      </c>
      <c r="C1262" t="s">
        <v>646</v>
      </c>
      <c r="D1262" t="s">
        <v>3779</v>
      </c>
      <c r="E1262" t="s">
        <v>647</v>
      </c>
      <c r="F1262" t="s">
        <v>3780</v>
      </c>
      <c r="G1262" t="s">
        <v>769</v>
      </c>
      <c r="H1262" t="s">
        <v>649</v>
      </c>
      <c r="I1262" t="s">
        <v>778</v>
      </c>
      <c r="J1262" t="s">
        <v>428</v>
      </c>
      <c r="K1262" t="s">
        <v>166</v>
      </c>
      <c r="L1262" t="s">
        <v>0</v>
      </c>
      <c r="M1262" t="s">
        <v>178</v>
      </c>
      <c r="N1262">
        <v>290</v>
      </c>
      <c r="O1262">
        <v>213</v>
      </c>
      <c r="P1262">
        <v>6917.35</v>
      </c>
      <c r="Q1262">
        <v>22075.14</v>
      </c>
      <c r="R1262">
        <v>5084.1899999999996</v>
      </c>
      <c r="S1262">
        <v>1054.8645397099999</v>
      </c>
      <c r="T1262">
        <v>0</v>
      </c>
      <c r="U1262">
        <v>0</v>
      </c>
      <c r="V1262">
        <v>5084.1899999999996</v>
      </c>
      <c r="W1262" t="s">
        <v>1977</v>
      </c>
      <c r="X1262" t="s">
        <v>271</v>
      </c>
      <c r="Y1262" t="s">
        <v>4286</v>
      </c>
      <c r="AA1262" t="s">
        <v>4287</v>
      </c>
      <c r="AB1262" t="s">
        <v>181</v>
      </c>
    </row>
    <row r="1263" spans="1:28" x14ac:dyDescent="0.25">
      <c r="A1263" t="s">
        <v>3900</v>
      </c>
      <c r="B1263" t="s">
        <v>3901</v>
      </c>
      <c r="C1263" t="s">
        <v>646</v>
      </c>
      <c r="D1263" t="s">
        <v>3779</v>
      </c>
      <c r="E1263" t="s">
        <v>647</v>
      </c>
      <c r="F1263" t="s">
        <v>3780</v>
      </c>
      <c r="G1263" t="s">
        <v>769</v>
      </c>
      <c r="H1263" t="s">
        <v>679</v>
      </c>
      <c r="I1263" t="s">
        <v>3902</v>
      </c>
      <c r="J1263" t="s">
        <v>1225</v>
      </c>
      <c r="K1263" t="s">
        <v>166</v>
      </c>
      <c r="L1263" t="s">
        <v>0</v>
      </c>
      <c r="M1263" t="s">
        <v>178</v>
      </c>
      <c r="N1263">
        <v>60</v>
      </c>
      <c r="O1263">
        <v>53</v>
      </c>
      <c r="P1263">
        <v>802.02</v>
      </c>
      <c r="Q1263">
        <v>2390.29</v>
      </c>
      <c r="R1263">
        <v>-235.00905872999999</v>
      </c>
      <c r="S1263">
        <v>1110.5265801200001</v>
      </c>
      <c r="T1263">
        <v>-1.7990587300000001</v>
      </c>
      <c r="U1263">
        <v>0</v>
      </c>
      <c r="V1263">
        <v>-233.21</v>
      </c>
      <c r="W1263" t="s">
        <v>0</v>
      </c>
      <c r="X1263" t="s">
        <v>271</v>
      </c>
      <c r="Y1263" t="s">
        <v>3903</v>
      </c>
      <c r="AA1263" t="s">
        <v>3904</v>
      </c>
      <c r="AB1263" t="s">
        <v>181</v>
      </c>
    </row>
    <row r="1264" spans="1:28" x14ac:dyDescent="0.25">
      <c r="A1264" t="s">
        <v>4139</v>
      </c>
      <c r="B1264" t="s">
        <v>4140</v>
      </c>
      <c r="C1264" t="s">
        <v>646</v>
      </c>
      <c r="D1264" t="s">
        <v>3779</v>
      </c>
      <c r="E1264" t="s">
        <v>647</v>
      </c>
      <c r="F1264" t="s">
        <v>3780</v>
      </c>
      <c r="G1264" t="s">
        <v>769</v>
      </c>
      <c r="H1264" t="s">
        <v>679</v>
      </c>
      <c r="I1264" t="s">
        <v>778</v>
      </c>
      <c r="J1264" t="s">
        <v>428</v>
      </c>
      <c r="K1264" t="s">
        <v>166</v>
      </c>
      <c r="L1264" t="s">
        <v>0</v>
      </c>
      <c r="M1264" t="s">
        <v>178</v>
      </c>
      <c r="N1264">
        <v>12</v>
      </c>
      <c r="O1264">
        <v>4</v>
      </c>
      <c r="P1264">
        <v>38.880000000000003</v>
      </c>
      <c r="Q1264">
        <v>663.87</v>
      </c>
      <c r="R1264">
        <v>101.3</v>
      </c>
      <c r="S1264">
        <v>81.765274539999993</v>
      </c>
      <c r="T1264">
        <v>0</v>
      </c>
      <c r="U1264">
        <v>0</v>
      </c>
      <c r="V1264">
        <v>101.3</v>
      </c>
      <c r="W1264" t="s">
        <v>547</v>
      </c>
      <c r="X1264" t="s">
        <v>271</v>
      </c>
      <c r="Y1264" t="s">
        <v>4141</v>
      </c>
      <c r="AA1264" t="s">
        <v>4142</v>
      </c>
      <c r="AB1264" t="s">
        <v>181</v>
      </c>
    </row>
    <row r="1265" spans="1:28" x14ac:dyDescent="0.25">
      <c r="A1265" t="s">
        <v>4240</v>
      </c>
      <c r="B1265" t="s">
        <v>4241</v>
      </c>
      <c r="C1265" t="s">
        <v>646</v>
      </c>
      <c r="D1265" t="s">
        <v>3779</v>
      </c>
      <c r="E1265" t="s">
        <v>647</v>
      </c>
      <c r="F1265" t="s">
        <v>666</v>
      </c>
      <c r="G1265" t="s">
        <v>666</v>
      </c>
      <c r="H1265" t="s">
        <v>730</v>
      </c>
      <c r="I1265" t="s">
        <v>880</v>
      </c>
      <c r="J1265" t="s">
        <v>881</v>
      </c>
      <c r="K1265" t="s">
        <v>166</v>
      </c>
      <c r="L1265" t="s">
        <v>0</v>
      </c>
      <c r="M1265" t="s">
        <v>178</v>
      </c>
      <c r="N1265">
        <v>4</v>
      </c>
      <c r="O1265">
        <v>4</v>
      </c>
      <c r="P1265">
        <v>199.23</v>
      </c>
      <c r="Q1265">
        <v>88.77</v>
      </c>
      <c r="R1265">
        <v>10.62</v>
      </c>
      <c r="S1265">
        <v>16.98140742</v>
      </c>
      <c r="T1265">
        <v>0</v>
      </c>
      <c r="U1265">
        <v>0</v>
      </c>
      <c r="V1265">
        <v>10.62</v>
      </c>
      <c r="W1265" t="s">
        <v>0</v>
      </c>
      <c r="X1265" t="s">
        <v>271</v>
      </c>
      <c r="Y1265" t="s">
        <v>4242</v>
      </c>
      <c r="AA1265" t="s">
        <v>4243</v>
      </c>
      <c r="AB1265" t="s">
        <v>181</v>
      </c>
    </row>
    <row r="1266" spans="1:28" x14ac:dyDescent="0.25">
      <c r="A1266" t="s">
        <v>4236</v>
      </c>
      <c r="B1266" t="s">
        <v>4237</v>
      </c>
      <c r="C1266" t="s">
        <v>646</v>
      </c>
      <c r="D1266" t="s">
        <v>3779</v>
      </c>
      <c r="E1266" t="s">
        <v>647</v>
      </c>
      <c r="F1266" t="s">
        <v>3780</v>
      </c>
      <c r="G1266" t="s">
        <v>769</v>
      </c>
      <c r="H1266" t="s">
        <v>962</v>
      </c>
      <c r="I1266" t="s">
        <v>1546</v>
      </c>
      <c r="J1266" t="s">
        <v>1547</v>
      </c>
      <c r="K1266" t="s">
        <v>166</v>
      </c>
      <c r="L1266" t="s">
        <v>0</v>
      </c>
      <c r="M1266" t="s">
        <v>178</v>
      </c>
      <c r="N1266">
        <v>78</v>
      </c>
      <c r="O1266">
        <v>77</v>
      </c>
      <c r="P1266">
        <v>1165</v>
      </c>
      <c r="Q1266">
        <v>3434.03</v>
      </c>
      <c r="R1266">
        <v>328.49</v>
      </c>
      <c r="S1266">
        <v>499.21467675000002</v>
      </c>
      <c r="T1266">
        <v>0</v>
      </c>
      <c r="U1266">
        <v>0</v>
      </c>
      <c r="V1266">
        <v>328.49</v>
      </c>
      <c r="W1266" t="s">
        <v>1548</v>
      </c>
      <c r="X1266" t="s">
        <v>271</v>
      </c>
      <c r="Y1266" t="s">
        <v>4238</v>
      </c>
      <c r="AA1266" t="s">
        <v>4239</v>
      </c>
      <c r="AB1266" t="s">
        <v>181</v>
      </c>
    </row>
    <row r="1267" spans="1:28" x14ac:dyDescent="0.25">
      <c r="A1267" t="s">
        <v>4252</v>
      </c>
      <c r="B1267" t="s">
        <v>4253</v>
      </c>
      <c r="C1267" t="s">
        <v>646</v>
      </c>
      <c r="D1267" t="s">
        <v>3779</v>
      </c>
      <c r="E1267" t="s">
        <v>647</v>
      </c>
      <c r="F1267" t="s">
        <v>3780</v>
      </c>
      <c r="G1267" t="s">
        <v>769</v>
      </c>
      <c r="H1267" t="s">
        <v>757</v>
      </c>
      <c r="I1267" t="s">
        <v>1046</v>
      </c>
      <c r="J1267" t="s">
        <v>971</v>
      </c>
      <c r="K1267" t="s">
        <v>166</v>
      </c>
      <c r="L1267" t="s">
        <v>0</v>
      </c>
      <c r="M1267" t="s">
        <v>178</v>
      </c>
      <c r="N1267">
        <v>155</v>
      </c>
      <c r="O1267">
        <v>143</v>
      </c>
      <c r="P1267">
        <v>3305.4</v>
      </c>
      <c r="Q1267">
        <v>3594.91</v>
      </c>
      <c r="R1267">
        <v>389.56</v>
      </c>
      <c r="S1267">
        <v>566.86689988000001</v>
      </c>
      <c r="T1267">
        <v>0</v>
      </c>
      <c r="U1267">
        <v>0</v>
      </c>
      <c r="V1267">
        <v>389.56</v>
      </c>
      <c r="W1267" t="s">
        <v>972</v>
      </c>
      <c r="X1267" t="s">
        <v>269</v>
      </c>
      <c r="Y1267" t="s">
        <v>4254</v>
      </c>
      <c r="AA1267" t="s">
        <v>4255</v>
      </c>
      <c r="AB1267" t="s">
        <v>181</v>
      </c>
    </row>
    <row r="1268" spans="1:28" x14ac:dyDescent="0.25">
      <c r="A1268" t="s">
        <v>4370</v>
      </c>
      <c r="B1268" t="s">
        <v>4371</v>
      </c>
      <c r="C1268" t="s">
        <v>646</v>
      </c>
      <c r="D1268" t="s">
        <v>3779</v>
      </c>
      <c r="E1268" t="s">
        <v>647</v>
      </c>
      <c r="F1268" t="s">
        <v>666</v>
      </c>
      <c r="G1268" t="s">
        <v>666</v>
      </c>
      <c r="H1268" t="s">
        <v>757</v>
      </c>
      <c r="I1268" t="s">
        <v>4372</v>
      </c>
      <c r="J1268" t="s">
        <v>355</v>
      </c>
      <c r="K1268" t="s">
        <v>166</v>
      </c>
      <c r="L1268" t="s">
        <v>0</v>
      </c>
      <c r="M1268" t="s">
        <v>178</v>
      </c>
      <c r="N1268">
        <v>175</v>
      </c>
      <c r="O1268">
        <v>22</v>
      </c>
      <c r="P1268">
        <v>1038.51</v>
      </c>
      <c r="Q1268">
        <v>4210.8100000000004</v>
      </c>
      <c r="R1268">
        <v>1089.8</v>
      </c>
      <c r="S1268">
        <v>826.00957748999997</v>
      </c>
      <c r="T1268">
        <v>0</v>
      </c>
      <c r="U1268">
        <v>0</v>
      </c>
      <c r="V1268">
        <v>1089.8</v>
      </c>
      <c r="W1268" t="s">
        <v>0</v>
      </c>
      <c r="X1268" t="s">
        <v>271</v>
      </c>
      <c r="Y1268" t="s">
        <v>4373</v>
      </c>
      <c r="AA1268" t="s">
        <v>3894</v>
      </c>
      <c r="AB1268" t="s">
        <v>181</v>
      </c>
    </row>
    <row r="1269" spans="1:28" x14ac:dyDescent="0.25">
      <c r="A1269" t="s">
        <v>4349</v>
      </c>
      <c r="B1269" t="s">
        <v>4350</v>
      </c>
      <c r="C1269" t="s">
        <v>646</v>
      </c>
      <c r="D1269" t="s">
        <v>3779</v>
      </c>
      <c r="E1269" t="s">
        <v>647</v>
      </c>
      <c r="F1269" t="s">
        <v>3780</v>
      </c>
      <c r="G1269" t="s">
        <v>769</v>
      </c>
      <c r="H1269" t="s">
        <v>713</v>
      </c>
      <c r="I1269" t="s">
        <v>2242</v>
      </c>
      <c r="J1269" t="s">
        <v>2243</v>
      </c>
      <c r="K1269" t="s">
        <v>166</v>
      </c>
      <c r="L1269" t="s">
        <v>0</v>
      </c>
      <c r="M1269" t="s">
        <v>178</v>
      </c>
      <c r="N1269">
        <v>9</v>
      </c>
      <c r="O1269">
        <v>5</v>
      </c>
      <c r="P1269">
        <v>26.1</v>
      </c>
      <c r="Q1269">
        <v>522.71</v>
      </c>
      <c r="R1269">
        <v>270.95999999999998</v>
      </c>
      <c r="S1269">
        <v>53.531294010000003</v>
      </c>
      <c r="T1269">
        <v>0</v>
      </c>
      <c r="U1269">
        <v>0</v>
      </c>
      <c r="V1269">
        <v>270.95999999999998</v>
      </c>
      <c r="W1269" t="s">
        <v>1601</v>
      </c>
      <c r="X1269" t="s">
        <v>269</v>
      </c>
      <c r="Y1269" t="s">
        <v>4351</v>
      </c>
      <c r="AA1269" t="s">
        <v>4352</v>
      </c>
      <c r="AB1269" t="s">
        <v>181</v>
      </c>
    </row>
    <row r="1270" spans="1:28" x14ac:dyDescent="0.25">
      <c r="A1270" t="s">
        <v>3956</v>
      </c>
      <c r="B1270" t="s">
        <v>3957</v>
      </c>
      <c r="C1270" t="s">
        <v>646</v>
      </c>
      <c r="D1270" t="s">
        <v>3779</v>
      </c>
      <c r="E1270" t="s">
        <v>647</v>
      </c>
      <c r="F1270" t="s">
        <v>666</v>
      </c>
      <c r="G1270" t="s">
        <v>666</v>
      </c>
      <c r="H1270" t="s">
        <v>730</v>
      </c>
      <c r="I1270" t="s">
        <v>1068</v>
      </c>
      <c r="J1270" t="s">
        <v>501</v>
      </c>
      <c r="K1270" t="s">
        <v>166</v>
      </c>
      <c r="L1270" t="s">
        <v>0</v>
      </c>
      <c r="M1270" t="s">
        <v>178</v>
      </c>
      <c r="N1270">
        <v>14</v>
      </c>
      <c r="O1270">
        <v>14</v>
      </c>
      <c r="P1270">
        <v>503</v>
      </c>
      <c r="Q1270">
        <v>1888.9</v>
      </c>
      <c r="R1270">
        <v>441.01</v>
      </c>
      <c r="S1270">
        <v>236.99562033000001</v>
      </c>
      <c r="T1270">
        <v>0</v>
      </c>
      <c r="U1270">
        <v>0</v>
      </c>
      <c r="V1270">
        <v>441.01</v>
      </c>
      <c r="W1270" t="s">
        <v>500</v>
      </c>
      <c r="X1270" t="s">
        <v>271</v>
      </c>
      <c r="Y1270" t="s">
        <v>3958</v>
      </c>
      <c r="AA1270" t="s">
        <v>3959</v>
      </c>
      <c r="AB1270" t="s">
        <v>181</v>
      </c>
    </row>
    <row r="1271" spans="1:28" x14ac:dyDescent="0.25">
      <c r="A1271" t="s">
        <v>4092</v>
      </c>
      <c r="B1271" t="s">
        <v>4093</v>
      </c>
      <c r="C1271" t="s">
        <v>646</v>
      </c>
      <c r="D1271" t="s">
        <v>3779</v>
      </c>
      <c r="E1271" t="s">
        <v>647</v>
      </c>
      <c r="F1271" t="s">
        <v>3780</v>
      </c>
      <c r="G1271" t="s">
        <v>769</v>
      </c>
      <c r="H1271" t="s">
        <v>1175</v>
      </c>
      <c r="I1271" t="s">
        <v>4094</v>
      </c>
      <c r="J1271" t="s">
        <v>370</v>
      </c>
      <c r="K1271" t="s">
        <v>166</v>
      </c>
      <c r="L1271" t="s">
        <v>0</v>
      </c>
      <c r="M1271" t="s">
        <v>178</v>
      </c>
      <c r="N1271">
        <v>3</v>
      </c>
      <c r="O1271">
        <v>3</v>
      </c>
      <c r="P1271">
        <v>42</v>
      </c>
      <c r="Q1271">
        <v>64.77</v>
      </c>
      <c r="R1271">
        <v>7.65</v>
      </c>
      <c r="S1271">
        <v>11.782373339999999</v>
      </c>
      <c r="T1271">
        <v>0</v>
      </c>
      <c r="U1271">
        <v>0</v>
      </c>
      <c r="V1271">
        <v>7.65</v>
      </c>
      <c r="W1271" t="s">
        <v>314</v>
      </c>
      <c r="X1271" t="s">
        <v>271</v>
      </c>
      <c r="Y1271" t="s">
        <v>4095</v>
      </c>
      <c r="Z1271" t="s">
        <v>4096</v>
      </c>
      <c r="AA1271" t="s">
        <v>4097</v>
      </c>
      <c r="AB1271" t="s">
        <v>181</v>
      </c>
    </row>
    <row r="1272" spans="1:28" x14ac:dyDescent="0.25">
      <c r="A1272" t="s">
        <v>4069</v>
      </c>
      <c r="B1272" t="s">
        <v>4070</v>
      </c>
      <c r="C1272" t="s">
        <v>646</v>
      </c>
      <c r="D1272" t="s">
        <v>3779</v>
      </c>
      <c r="E1272" t="s">
        <v>647</v>
      </c>
      <c r="F1272" t="s">
        <v>3780</v>
      </c>
      <c r="G1272" t="s">
        <v>769</v>
      </c>
      <c r="H1272" t="s">
        <v>1171</v>
      </c>
      <c r="I1272" t="s">
        <v>4071</v>
      </c>
      <c r="J1272" t="s">
        <v>785</v>
      </c>
      <c r="K1272" t="s">
        <v>166</v>
      </c>
      <c r="L1272" t="s">
        <v>0</v>
      </c>
      <c r="M1272" t="s">
        <v>178</v>
      </c>
      <c r="N1272">
        <v>9</v>
      </c>
      <c r="O1272">
        <v>5</v>
      </c>
      <c r="P1272">
        <v>359.25</v>
      </c>
      <c r="Q1272">
        <v>3197.2</v>
      </c>
      <c r="R1272">
        <v>182.0189718</v>
      </c>
      <c r="S1272">
        <v>26.472396079999999</v>
      </c>
      <c r="T1272">
        <v>0.5389718</v>
      </c>
      <c r="U1272">
        <v>0</v>
      </c>
      <c r="V1272">
        <v>181.48</v>
      </c>
      <c r="W1272" t="s">
        <v>0</v>
      </c>
      <c r="X1272" t="s">
        <v>271</v>
      </c>
      <c r="Y1272" t="s">
        <v>4072</v>
      </c>
      <c r="AA1272" t="s">
        <v>4073</v>
      </c>
      <c r="AB1272" t="s">
        <v>181</v>
      </c>
    </row>
    <row r="1273" spans="1:28" x14ac:dyDescent="0.25">
      <c r="A1273" t="s">
        <v>3905</v>
      </c>
      <c r="B1273" t="s">
        <v>3906</v>
      </c>
      <c r="C1273" t="s">
        <v>646</v>
      </c>
      <c r="D1273" t="s">
        <v>3779</v>
      </c>
      <c r="E1273" t="s">
        <v>647</v>
      </c>
      <c r="F1273" t="s">
        <v>3780</v>
      </c>
      <c r="G1273" t="s">
        <v>769</v>
      </c>
      <c r="H1273" t="s">
        <v>909</v>
      </c>
      <c r="I1273" t="s">
        <v>3753</v>
      </c>
      <c r="J1273" t="s">
        <v>489</v>
      </c>
      <c r="K1273" t="s">
        <v>166</v>
      </c>
      <c r="L1273" t="s">
        <v>0</v>
      </c>
      <c r="M1273" t="s">
        <v>178</v>
      </c>
      <c r="N1273">
        <v>75</v>
      </c>
      <c r="O1273">
        <v>74</v>
      </c>
      <c r="P1273">
        <v>2502.7199999999998</v>
      </c>
      <c r="Q1273">
        <v>3126.14</v>
      </c>
      <c r="R1273">
        <v>791.31354499999998</v>
      </c>
      <c r="S1273">
        <v>592.83989578000001</v>
      </c>
      <c r="T1273">
        <v>0.39354499999999998</v>
      </c>
      <c r="U1273">
        <v>0</v>
      </c>
      <c r="V1273">
        <v>790.92</v>
      </c>
      <c r="W1273" t="s">
        <v>488</v>
      </c>
      <c r="X1273" t="s">
        <v>271</v>
      </c>
      <c r="Y1273" t="s">
        <v>3907</v>
      </c>
      <c r="AA1273" t="s">
        <v>3908</v>
      </c>
      <c r="AB1273" t="s">
        <v>181</v>
      </c>
    </row>
    <row r="1274" spans="1:28" x14ac:dyDescent="0.25">
      <c r="A1274" t="s">
        <v>4349</v>
      </c>
      <c r="B1274" t="s">
        <v>4350</v>
      </c>
      <c r="C1274" t="s">
        <v>646</v>
      </c>
      <c r="D1274" t="s">
        <v>3779</v>
      </c>
      <c r="E1274" t="s">
        <v>647</v>
      </c>
      <c r="F1274" t="s">
        <v>3780</v>
      </c>
      <c r="G1274" t="s">
        <v>769</v>
      </c>
      <c r="H1274" t="s">
        <v>1515</v>
      </c>
      <c r="I1274" t="s">
        <v>2242</v>
      </c>
      <c r="J1274" t="s">
        <v>2243</v>
      </c>
      <c r="K1274" t="s">
        <v>166</v>
      </c>
      <c r="L1274" t="s">
        <v>0</v>
      </c>
      <c r="M1274" t="s">
        <v>178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 t="s">
        <v>1601</v>
      </c>
      <c r="X1274" t="s">
        <v>269</v>
      </c>
      <c r="Y1274" t="s">
        <v>4351</v>
      </c>
      <c r="AA1274" t="s">
        <v>4352</v>
      </c>
      <c r="AB1274" t="s">
        <v>181</v>
      </c>
    </row>
    <row r="1275" spans="1:28" x14ac:dyDescent="0.25">
      <c r="A1275" t="s">
        <v>4143</v>
      </c>
      <c r="B1275" t="s">
        <v>4144</v>
      </c>
      <c r="C1275" t="s">
        <v>646</v>
      </c>
      <c r="D1275" t="s">
        <v>3779</v>
      </c>
      <c r="E1275" t="s">
        <v>647</v>
      </c>
      <c r="F1275" t="s">
        <v>3780</v>
      </c>
      <c r="G1275" t="s">
        <v>769</v>
      </c>
      <c r="H1275" t="s">
        <v>730</v>
      </c>
      <c r="I1275" t="s">
        <v>1828</v>
      </c>
      <c r="J1275" t="s">
        <v>1829</v>
      </c>
      <c r="K1275" t="s">
        <v>166</v>
      </c>
      <c r="L1275" t="s">
        <v>0</v>
      </c>
      <c r="M1275" t="s">
        <v>178</v>
      </c>
      <c r="N1275">
        <v>1</v>
      </c>
      <c r="O1275">
        <v>1</v>
      </c>
      <c r="P1275">
        <v>58</v>
      </c>
      <c r="Q1275">
        <v>15.18</v>
      </c>
      <c r="R1275">
        <v>3.51</v>
      </c>
      <c r="S1275">
        <v>4.4212839700000002</v>
      </c>
      <c r="T1275">
        <v>0</v>
      </c>
      <c r="U1275">
        <v>0</v>
      </c>
      <c r="V1275">
        <v>3.51</v>
      </c>
      <c r="W1275" t="s">
        <v>1361</v>
      </c>
      <c r="X1275" t="s">
        <v>271</v>
      </c>
      <c r="Y1275" t="s">
        <v>4145</v>
      </c>
      <c r="AA1275" t="s">
        <v>4146</v>
      </c>
      <c r="AB1275" t="s">
        <v>181</v>
      </c>
    </row>
    <row r="1276" spans="1:28" x14ac:dyDescent="0.25">
      <c r="A1276" t="s">
        <v>3892</v>
      </c>
      <c r="B1276" t="s">
        <v>3893</v>
      </c>
      <c r="C1276" t="s">
        <v>646</v>
      </c>
      <c r="D1276" t="s">
        <v>3779</v>
      </c>
      <c r="E1276" t="s">
        <v>647</v>
      </c>
      <c r="F1276" t="s">
        <v>666</v>
      </c>
      <c r="G1276" t="s">
        <v>666</v>
      </c>
      <c r="H1276" t="s">
        <v>909</v>
      </c>
      <c r="I1276" t="s">
        <v>2102</v>
      </c>
      <c r="J1276" t="s">
        <v>355</v>
      </c>
      <c r="K1276" t="s">
        <v>166</v>
      </c>
      <c r="L1276" t="s">
        <v>0</v>
      </c>
      <c r="M1276" t="s">
        <v>178</v>
      </c>
      <c r="N1276">
        <v>3</v>
      </c>
      <c r="O1276">
        <v>3</v>
      </c>
      <c r="P1276">
        <v>19.14</v>
      </c>
      <c r="Q1276">
        <v>91.95</v>
      </c>
      <c r="R1276">
        <v>33.414378130000003</v>
      </c>
      <c r="S1276">
        <v>31.332822740000001</v>
      </c>
      <c r="T1276">
        <v>5.4378129999999997E-2</v>
      </c>
      <c r="U1276">
        <v>0</v>
      </c>
      <c r="V1276">
        <v>33.36</v>
      </c>
      <c r="W1276" t="s">
        <v>0</v>
      </c>
      <c r="X1276" t="s">
        <v>271</v>
      </c>
      <c r="Y1276" t="s">
        <v>2103</v>
      </c>
      <c r="AA1276" t="s">
        <v>3894</v>
      </c>
      <c r="AB1276" t="s">
        <v>181</v>
      </c>
    </row>
    <row r="1277" spans="1:28" x14ac:dyDescent="0.25">
      <c r="A1277" t="s">
        <v>4326</v>
      </c>
      <c r="B1277" t="s">
        <v>4327</v>
      </c>
      <c r="C1277" t="s">
        <v>646</v>
      </c>
      <c r="D1277" t="s">
        <v>3779</v>
      </c>
      <c r="E1277" t="s">
        <v>647</v>
      </c>
      <c r="F1277" t="s">
        <v>3780</v>
      </c>
      <c r="G1277" t="s">
        <v>769</v>
      </c>
      <c r="H1277" t="s">
        <v>962</v>
      </c>
      <c r="I1277" t="s">
        <v>936</v>
      </c>
      <c r="J1277" t="s">
        <v>582</v>
      </c>
      <c r="K1277" t="s">
        <v>166</v>
      </c>
      <c r="L1277" t="s">
        <v>0</v>
      </c>
      <c r="M1277" t="s">
        <v>178</v>
      </c>
      <c r="N1277">
        <v>40</v>
      </c>
      <c r="O1277">
        <v>40</v>
      </c>
      <c r="P1277">
        <v>1291.4100000000001</v>
      </c>
      <c r="Q1277">
        <v>3376.19</v>
      </c>
      <c r="R1277">
        <v>423.48444389999997</v>
      </c>
      <c r="S1277">
        <v>845.63018465000005</v>
      </c>
      <c r="T1277">
        <v>4.4438999999999998E-3</v>
      </c>
      <c r="U1277">
        <v>0.01</v>
      </c>
      <c r="V1277">
        <v>423.49</v>
      </c>
      <c r="W1277" t="s">
        <v>361</v>
      </c>
      <c r="X1277" t="s">
        <v>271</v>
      </c>
      <c r="Y1277" t="s">
        <v>4328</v>
      </c>
      <c r="AA1277" t="s">
        <v>4329</v>
      </c>
      <c r="AB1277" t="s">
        <v>181</v>
      </c>
    </row>
    <row r="1278" spans="1:28" x14ac:dyDescent="0.25">
      <c r="A1278" t="s">
        <v>3925</v>
      </c>
      <c r="B1278" t="s">
        <v>3926</v>
      </c>
      <c r="C1278" t="s">
        <v>646</v>
      </c>
      <c r="D1278" t="s">
        <v>3779</v>
      </c>
      <c r="E1278" t="s">
        <v>647</v>
      </c>
      <c r="F1278" t="s">
        <v>3780</v>
      </c>
      <c r="G1278" t="s">
        <v>769</v>
      </c>
      <c r="H1278" t="s">
        <v>856</v>
      </c>
      <c r="I1278" t="s">
        <v>2284</v>
      </c>
      <c r="J1278" t="s">
        <v>2285</v>
      </c>
      <c r="K1278" t="s">
        <v>166</v>
      </c>
      <c r="L1278" t="s">
        <v>0</v>
      </c>
      <c r="M1278" t="s">
        <v>178</v>
      </c>
      <c r="N1278">
        <v>8</v>
      </c>
      <c r="O1278">
        <v>7</v>
      </c>
      <c r="P1278">
        <v>146.30000000000001</v>
      </c>
      <c r="Q1278">
        <v>1931.92</v>
      </c>
      <c r="R1278">
        <v>31.55</v>
      </c>
      <c r="S1278">
        <v>36.500999999999998</v>
      </c>
      <c r="T1278">
        <v>0</v>
      </c>
      <c r="U1278">
        <v>0</v>
      </c>
      <c r="V1278">
        <v>31.55</v>
      </c>
      <c r="W1278" t="s">
        <v>453</v>
      </c>
      <c r="X1278" t="s">
        <v>271</v>
      </c>
      <c r="Y1278" t="s">
        <v>3927</v>
      </c>
      <c r="AA1278" t="s">
        <v>3928</v>
      </c>
      <c r="AB1278" t="s">
        <v>181</v>
      </c>
    </row>
    <row r="1279" spans="1:28" x14ac:dyDescent="0.25">
      <c r="A1279" t="s">
        <v>4074</v>
      </c>
      <c r="B1279" t="s">
        <v>4075</v>
      </c>
      <c r="C1279" t="s">
        <v>646</v>
      </c>
      <c r="D1279" t="s">
        <v>3779</v>
      </c>
      <c r="E1279" t="s">
        <v>647</v>
      </c>
      <c r="F1279" t="s">
        <v>3780</v>
      </c>
      <c r="G1279" t="s">
        <v>769</v>
      </c>
      <c r="H1279" t="s">
        <v>717</v>
      </c>
      <c r="I1279" t="s">
        <v>1284</v>
      </c>
      <c r="J1279" t="s">
        <v>1285</v>
      </c>
      <c r="K1279" t="s">
        <v>166</v>
      </c>
      <c r="L1279" t="s">
        <v>0</v>
      </c>
      <c r="M1279" t="s">
        <v>178</v>
      </c>
      <c r="N1279">
        <v>1</v>
      </c>
      <c r="O1279">
        <v>1</v>
      </c>
      <c r="P1279">
        <v>10</v>
      </c>
      <c r="Q1279">
        <v>37.85</v>
      </c>
      <c r="R1279">
        <v>12.45</v>
      </c>
      <c r="S1279">
        <v>2.00203789</v>
      </c>
      <c r="T1279">
        <v>0</v>
      </c>
      <c r="U1279">
        <v>0</v>
      </c>
      <c r="V1279">
        <v>12.45</v>
      </c>
      <c r="W1279" t="s">
        <v>1286</v>
      </c>
      <c r="X1279" t="s">
        <v>269</v>
      </c>
      <c r="Y1279" t="s">
        <v>4076</v>
      </c>
      <c r="AA1279" t="s">
        <v>4077</v>
      </c>
      <c r="AB1279" t="s">
        <v>181</v>
      </c>
    </row>
    <row r="1280" spans="1:28" x14ac:dyDescent="0.25">
      <c r="A1280" t="s">
        <v>4127</v>
      </c>
      <c r="B1280" t="s">
        <v>4128</v>
      </c>
      <c r="C1280" t="s">
        <v>646</v>
      </c>
      <c r="D1280" t="s">
        <v>3779</v>
      </c>
      <c r="E1280" t="s">
        <v>647</v>
      </c>
      <c r="F1280" t="s">
        <v>3780</v>
      </c>
      <c r="G1280" t="s">
        <v>769</v>
      </c>
      <c r="H1280" t="s">
        <v>797</v>
      </c>
      <c r="I1280" t="s">
        <v>4129</v>
      </c>
      <c r="J1280" t="s">
        <v>2057</v>
      </c>
      <c r="K1280" t="s">
        <v>166</v>
      </c>
      <c r="L1280" t="s">
        <v>0</v>
      </c>
      <c r="M1280" t="s">
        <v>178</v>
      </c>
      <c r="N1280">
        <v>39</v>
      </c>
      <c r="O1280">
        <v>5</v>
      </c>
      <c r="P1280">
        <v>421.5</v>
      </c>
      <c r="Q1280">
        <v>1357.5</v>
      </c>
      <c r="R1280">
        <v>155.07</v>
      </c>
      <c r="S1280">
        <v>86.798397460000004</v>
      </c>
      <c r="T1280">
        <v>0</v>
      </c>
      <c r="U1280">
        <v>0</v>
      </c>
      <c r="V1280">
        <v>155.07</v>
      </c>
      <c r="W1280" t="s">
        <v>2058</v>
      </c>
      <c r="X1280" t="s">
        <v>271</v>
      </c>
      <c r="Y1280" t="s">
        <v>4130</v>
      </c>
      <c r="AA1280" t="s">
        <v>4131</v>
      </c>
      <c r="AB1280" t="s">
        <v>181</v>
      </c>
    </row>
    <row r="1281" spans="1:28" x14ac:dyDescent="0.25">
      <c r="A1281" t="s">
        <v>3944</v>
      </c>
      <c r="B1281" t="s">
        <v>3945</v>
      </c>
      <c r="C1281" t="s">
        <v>646</v>
      </c>
      <c r="D1281" t="s">
        <v>3779</v>
      </c>
      <c r="E1281" t="s">
        <v>647</v>
      </c>
      <c r="F1281" t="s">
        <v>3780</v>
      </c>
      <c r="G1281" t="s">
        <v>769</v>
      </c>
      <c r="H1281" t="s">
        <v>703</v>
      </c>
      <c r="I1281" t="s">
        <v>798</v>
      </c>
      <c r="J1281" t="s">
        <v>524</v>
      </c>
      <c r="K1281" t="s">
        <v>166</v>
      </c>
      <c r="L1281" t="s">
        <v>0</v>
      </c>
      <c r="M1281" t="s">
        <v>178</v>
      </c>
      <c r="N1281">
        <v>1088.4917</v>
      </c>
      <c r="O1281">
        <v>526.83339999999998</v>
      </c>
      <c r="P1281">
        <v>23762.2</v>
      </c>
      <c r="Q1281">
        <v>47444.09</v>
      </c>
      <c r="R1281">
        <v>9205.0309958599992</v>
      </c>
      <c r="S1281">
        <v>7653.7146250799997</v>
      </c>
      <c r="T1281">
        <v>2.0995860000000002E-2</v>
      </c>
      <c r="U1281">
        <v>0</v>
      </c>
      <c r="V1281">
        <v>9205.01</v>
      </c>
      <c r="W1281" t="s">
        <v>258</v>
      </c>
      <c r="X1281" t="s">
        <v>271</v>
      </c>
      <c r="Y1281" t="s">
        <v>3946</v>
      </c>
      <c r="AA1281" t="s">
        <v>3947</v>
      </c>
      <c r="AB1281" t="s">
        <v>181</v>
      </c>
    </row>
    <row r="1282" spans="1:28" x14ac:dyDescent="0.25">
      <c r="A1282" t="s">
        <v>4357</v>
      </c>
      <c r="B1282" t="s">
        <v>4358</v>
      </c>
      <c r="C1282" t="s">
        <v>646</v>
      </c>
      <c r="D1282" t="s">
        <v>3779</v>
      </c>
      <c r="E1282" t="s">
        <v>647</v>
      </c>
      <c r="F1282" t="s">
        <v>3780</v>
      </c>
      <c r="G1282" t="s">
        <v>769</v>
      </c>
      <c r="H1282" t="s">
        <v>672</v>
      </c>
      <c r="I1282" t="s">
        <v>1599</v>
      </c>
      <c r="J1282" t="s">
        <v>1600</v>
      </c>
      <c r="K1282" t="s">
        <v>166</v>
      </c>
      <c r="L1282" t="s">
        <v>0</v>
      </c>
      <c r="M1282" t="s">
        <v>178</v>
      </c>
      <c r="N1282">
        <v>586</v>
      </c>
      <c r="O1282">
        <v>243</v>
      </c>
      <c r="P1282">
        <v>11779.51</v>
      </c>
      <c r="Q1282">
        <v>27982.35</v>
      </c>
      <c r="R1282">
        <v>6632.4625211299999</v>
      </c>
      <c r="S1282">
        <v>2193.1741744699998</v>
      </c>
      <c r="T1282">
        <v>-2.5374788700000002</v>
      </c>
      <c r="U1282">
        <v>0</v>
      </c>
      <c r="V1282">
        <v>6635</v>
      </c>
      <c r="W1282" t="s">
        <v>1601</v>
      </c>
      <c r="X1282" t="s">
        <v>269</v>
      </c>
      <c r="Y1282" t="s">
        <v>4359</v>
      </c>
      <c r="AA1282" t="s">
        <v>4360</v>
      </c>
      <c r="AB1282" t="s">
        <v>181</v>
      </c>
    </row>
    <row r="1283" spans="1:28" x14ac:dyDescent="0.25">
      <c r="A1283" t="s">
        <v>3895</v>
      </c>
      <c r="B1283" t="s">
        <v>3896</v>
      </c>
      <c r="C1283" t="s">
        <v>646</v>
      </c>
      <c r="D1283" t="s">
        <v>3779</v>
      </c>
      <c r="E1283" t="s">
        <v>647</v>
      </c>
      <c r="F1283" t="s">
        <v>3780</v>
      </c>
      <c r="G1283" t="s">
        <v>769</v>
      </c>
      <c r="H1283" t="s">
        <v>802</v>
      </c>
      <c r="I1283" t="s">
        <v>3897</v>
      </c>
      <c r="J1283" t="s">
        <v>437</v>
      </c>
      <c r="K1283" t="s">
        <v>166</v>
      </c>
      <c r="L1283" t="s">
        <v>0</v>
      </c>
      <c r="M1283" t="s">
        <v>178</v>
      </c>
      <c r="N1283">
        <v>993.8329</v>
      </c>
      <c r="O1283">
        <v>788.41600000000005</v>
      </c>
      <c r="P1283">
        <v>17239.39</v>
      </c>
      <c r="Q1283">
        <v>46684.1</v>
      </c>
      <c r="R1283">
        <v>2327.79</v>
      </c>
      <c r="S1283">
        <v>4959.7444202799998</v>
      </c>
      <c r="T1283">
        <v>0</v>
      </c>
      <c r="U1283">
        <v>680</v>
      </c>
      <c r="V1283">
        <v>3007.79</v>
      </c>
      <c r="W1283" t="s">
        <v>510</v>
      </c>
      <c r="X1283" t="s">
        <v>271</v>
      </c>
      <c r="Y1283" t="s">
        <v>3898</v>
      </c>
      <c r="AA1283" t="s">
        <v>3899</v>
      </c>
      <c r="AB1283" t="s">
        <v>181</v>
      </c>
    </row>
    <row r="1284" spans="1:28" x14ac:dyDescent="0.25">
      <c r="A1284" t="s">
        <v>3992</v>
      </c>
      <c r="B1284" t="s">
        <v>3993</v>
      </c>
      <c r="C1284" t="s">
        <v>646</v>
      </c>
      <c r="D1284" t="s">
        <v>3779</v>
      </c>
      <c r="E1284" t="s">
        <v>647</v>
      </c>
      <c r="F1284" t="s">
        <v>3780</v>
      </c>
      <c r="G1284" t="s">
        <v>769</v>
      </c>
      <c r="H1284" t="s">
        <v>683</v>
      </c>
      <c r="I1284" t="s">
        <v>3994</v>
      </c>
      <c r="J1284" t="s">
        <v>3995</v>
      </c>
      <c r="K1284" t="s">
        <v>166</v>
      </c>
      <c r="L1284" t="s">
        <v>0</v>
      </c>
      <c r="M1284" t="s">
        <v>178</v>
      </c>
      <c r="N1284">
        <v>290</v>
      </c>
      <c r="O1284">
        <v>171</v>
      </c>
      <c r="P1284">
        <v>6388.16</v>
      </c>
      <c r="Q1284">
        <v>7779.34</v>
      </c>
      <c r="R1284">
        <v>-63.980474950000001</v>
      </c>
      <c r="S1284">
        <v>2071.0282801200001</v>
      </c>
      <c r="T1284">
        <v>196.79952505</v>
      </c>
      <c r="U1284">
        <v>0</v>
      </c>
      <c r="V1284">
        <v>-63.98</v>
      </c>
      <c r="W1284" t="s">
        <v>250</v>
      </c>
      <c r="X1284" t="s">
        <v>269</v>
      </c>
      <c r="Y1284" t="s">
        <v>3996</v>
      </c>
      <c r="AA1284" t="s">
        <v>3997</v>
      </c>
      <c r="AB1284" t="s">
        <v>181</v>
      </c>
    </row>
    <row r="1285" spans="1:28" x14ac:dyDescent="0.25">
      <c r="A1285" t="s">
        <v>3973</v>
      </c>
      <c r="B1285" t="s">
        <v>3974</v>
      </c>
      <c r="C1285" t="s">
        <v>646</v>
      </c>
      <c r="D1285" t="s">
        <v>3779</v>
      </c>
      <c r="E1285" t="s">
        <v>647</v>
      </c>
      <c r="F1285" t="s">
        <v>3780</v>
      </c>
      <c r="G1285" t="s">
        <v>769</v>
      </c>
      <c r="H1285" t="s">
        <v>909</v>
      </c>
      <c r="I1285" t="s">
        <v>880</v>
      </c>
      <c r="J1285" t="s">
        <v>881</v>
      </c>
      <c r="K1285" t="s">
        <v>166</v>
      </c>
      <c r="L1285" t="s">
        <v>0</v>
      </c>
      <c r="M1285" t="s">
        <v>178</v>
      </c>
      <c r="N1285">
        <v>136</v>
      </c>
      <c r="O1285">
        <v>88</v>
      </c>
      <c r="P1285">
        <v>4581.5</v>
      </c>
      <c r="Q1285">
        <v>4036.36</v>
      </c>
      <c r="R1285">
        <v>462.61437812999998</v>
      </c>
      <c r="S1285">
        <v>604.81540209000002</v>
      </c>
      <c r="T1285">
        <v>5.4378129999999997E-2</v>
      </c>
      <c r="U1285">
        <v>0</v>
      </c>
      <c r="V1285">
        <v>462.56</v>
      </c>
      <c r="W1285" t="s">
        <v>0</v>
      </c>
      <c r="X1285" t="s">
        <v>271</v>
      </c>
      <c r="Y1285" t="s">
        <v>3975</v>
      </c>
      <c r="AA1285" t="s">
        <v>3976</v>
      </c>
      <c r="AB1285" t="s">
        <v>181</v>
      </c>
    </row>
    <row r="1286" spans="1:28" x14ac:dyDescent="0.25">
      <c r="A1286" t="s">
        <v>4113</v>
      </c>
      <c r="B1286" t="s">
        <v>4114</v>
      </c>
      <c r="C1286" t="s">
        <v>646</v>
      </c>
      <c r="D1286" t="s">
        <v>3779</v>
      </c>
      <c r="E1286" t="s">
        <v>647</v>
      </c>
      <c r="F1286" t="s">
        <v>3780</v>
      </c>
      <c r="G1286" t="s">
        <v>769</v>
      </c>
      <c r="H1286" t="s">
        <v>770</v>
      </c>
      <c r="I1286" t="s">
        <v>1913</v>
      </c>
      <c r="J1286" t="s">
        <v>1914</v>
      </c>
      <c r="K1286" t="s">
        <v>166</v>
      </c>
      <c r="L1286" t="s">
        <v>0</v>
      </c>
      <c r="M1286" t="s">
        <v>178</v>
      </c>
      <c r="N1286">
        <v>1070.25</v>
      </c>
      <c r="O1286">
        <v>760.25</v>
      </c>
      <c r="P1286">
        <v>23134.71</v>
      </c>
      <c r="Q1286">
        <v>28269.62</v>
      </c>
      <c r="R1286">
        <v>6588.28</v>
      </c>
      <c r="S1286">
        <v>3264.9808498399998</v>
      </c>
      <c r="T1286">
        <v>0</v>
      </c>
      <c r="U1286">
        <v>0</v>
      </c>
      <c r="V1286">
        <v>6588.28</v>
      </c>
      <c r="W1286" t="s">
        <v>1915</v>
      </c>
      <c r="X1286" t="s">
        <v>269</v>
      </c>
      <c r="Y1286" t="s">
        <v>4115</v>
      </c>
      <c r="AA1286" t="s">
        <v>4116</v>
      </c>
      <c r="AB1286" t="s">
        <v>181</v>
      </c>
    </row>
    <row r="1287" spans="1:28" x14ac:dyDescent="0.25">
      <c r="A1287" t="s">
        <v>4098</v>
      </c>
      <c r="B1287" t="s">
        <v>4099</v>
      </c>
      <c r="C1287" t="s">
        <v>646</v>
      </c>
      <c r="D1287" t="s">
        <v>3779</v>
      </c>
      <c r="E1287" t="s">
        <v>647</v>
      </c>
      <c r="F1287" t="s">
        <v>666</v>
      </c>
      <c r="G1287" t="s">
        <v>666</v>
      </c>
      <c r="H1287" t="s">
        <v>909</v>
      </c>
      <c r="I1287" t="s">
        <v>765</v>
      </c>
      <c r="J1287" t="s">
        <v>436</v>
      </c>
      <c r="K1287" t="s">
        <v>166</v>
      </c>
      <c r="L1287" t="s">
        <v>0</v>
      </c>
      <c r="M1287" t="s">
        <v>178</v>
      </c>
      <c r="N1287">
        <v>546</v>
      </c>
      <c r="O1287">
        <v>542.75</v>
      </c>
      <c r="P1287">
        <v>16123.26</v>
      </c>
      <c r="Q1287">
        <v>19773.400000000001</v>
      </c>
      <c r="R1287">
        <v>1906.35863159</v>
      </c>
      <c r="S1287">
        <v>5260.1454360500002</v>
      </c>
      <c r="T1287">
        <v>3.9486315900000002</v>
      </c>
      <c r="U1287">
        <v>0</v>
      </c>
      <c r="V1287">
        <v>1903.66</v>
      </c>
      <c r="W1287" t="s">
        <v>0</v>
      </c>
      <c r="X1287" t="s">
        <v>271</v>
      </c>
      <c r="Y1287" t="s">
        <v>4100</v>
      </c>
      <c r="AA1287" t="s">
        <v>4101</v>
      </c>
      <c r="AB1287" t="s">
        <v>181</v>
      </c>
    </row>
    <row r="1288" spans="1:28" x14ac:dyDescent="0.25">
      <c r="A1288" t="s">
        <v>3888</v>
      </c>
      <c r="B1288" t="s">
        <v>3889</v>
      </c>
      <c r="C1288" t="s">
        <v>646</v>
      </c>
      <c r="D1288" t="s">
        <v>3779</v>
      </c>
      <c r="E1288" t="s">
        <v>647</v>
      </c>
      <c r="F1288" t="s">
        <v>3780</v>
      </c>
      <c r="G1288" t="s">
        <v>769</v>
      </c>
      <c r="H1288" t="s">
        <v>757</v>
      </c>
      <c r="I1288" t="s">
        <v>1368</v>
      </c>
      <c r="J1288" t="s">
        <v>1369</v>
      </c>
      <c r="K1288" t="s">
        <v>166</v>
      </c>
      <c r="L1288" t="s">
        <v>0</v>
      </c>
      <c r="M1288" t="s">
        <v>178</v>
      </c>
      <c r="N1288">
        <v>56</v>
      </c>
      <c r="O1288">
        <v>55</v>
      </c>
      <c r="P1288">
        <v>1124.6099999999999</v>
      </c>
      <c r="Q1288">
        <v>1391.89</v>
      </c>
      <c r="R1288">
        <v>45.48</v>
      </c>
      <c r="S1288">
        <v>216.56430316000001</v>
      </c>
      <c r="T1288">
        <v>0</v>
      </c>
      <c r="U1288">
        <v>0</v>
      </c>
      <c r="V1288">
        <v>45.48</v>
      </c>
      <c r="W1288" t="s">
        <v>1370</v>
      </c>
      <c r="X1288" t="s">
        <v>271</v>
      </c>
      <c r="Y1288" t="s">
        <v>3890</v>
      </c>
      <c r="AA1288" t="s">
        <v>3891</v>
      </c>
      <c r="AB1288" t="s">
        <v>181</v>
      </c>
    </row>
    <row r="1289" spans="1:28" x14ac:dyDescent="0.25">
      <c r="A1289" t="s">
        <v>4342</v>
      </c>
      <c r="B1289" t="s">
        <v>4343</v>
      </c>
      <c r="C1289" t="s">
        <v>646</v>
      </c>
      <c r="D1289" t="s">
        <v>3779</v>
      </c>
      <c r="E1289" t="s">
        <v>647</v>
      </c>
      <c r="F1289" t="s">
        <v>666</v>
      </c>
      <c r="G1289" t="s">
        <v>666</v>
      </c>
      <c r="H1289" t="s">
        <v>730</v>
      </c>
      <c r="I1289" t="s">
        <v>4344</v>
      </c>
      <c r="J1289" t="s">
        <v>355</v>
      </c>
      <c r="K1289" t="s">
        <v>166</v>
      </c>
      <c r="L1289" t="s">
        <v>0</v>
      </c>
      <c r="M1289" t="s">
        <v>178</v>
      </c>
      <c r="N1289">
        <v>22</v>
      </c>
      <c r="O1289">
        <v>22</v>
      </c>
      <c r="P1289">
        <v>379.89</v>
      </c>
      <c r="Q1289">
        <v>1030.83</v>
      </c>
      <c r="R1289">
        <v>344.5</v>
      </c>
      <c r="S1289">
        <v>109.70853519000001</v>
      </c>
      <c r="T1289">
        <v>0</v>
      </c>
      <c r="U1289">
        <v>0</v>
      </c>
      <c r="V1289">
        <v>344.5</v>
      </c>
      <c r="W1289" t="s">
        <v>0</v>
      </c>
      <c r="X1289" t="s">
        <v>271</v>
      </c>
      <c r="Y1289" t="s">
        <v>4345</v>
      </c>
      <c r="AA1289" t="s">
        <v>3894</v>
      </c>
      <c r="AB1289" t="s">
        <v>181</v>
      </c>
    </row>
    <row r="1290" spans="1:28" x14ac:dyDescent="0.25">
      <c r="A1290" t="s">
        <v>3929</v>
      </c>
      <c r="B1290" t="s">
        <v>3930</v>
      </c>
      <c r="C1290" t="s">
        <v>646</v>
      </c>
      <c r="D1290" t="s">
        <v>3779</v>
      </c>
      <c r="E1290" t="s">
        <v>647</v>
      </c>
      <c r="F1290" t="s">
        <v>3780</v>
      </c>
      <c r="G1290" t="s">
        <v>769</v>
      </c>
      <c r="H1290" t="s">
        <v>962</v>
      </c>
      <c r="I1290" t="s">
        <v>3649</v>
      </c>
      <c r="J1290" t="s">
        <v>1567</v>
      </c>
      <c r="K1290" t="s">
        <v>166</v>
      </c>
      <c r="L1290" t="s">
        <v>0</v>
      </c>
      <c r="M1290" t="s">
        <v>178</v>
      </c>
      <c r="N1290">
        <v>154</v>
      </c>
      <c r="O1290">
        <v>111</v>
      </c>
      <c r="P1290">
        <v>3077.83</v>
      </c>
      <c r="Q1290">
        <v>11542.41</v>
      </c>
      <c r="R1290">
        <v>1254.2022194799999</v>
      </c>
      <c r="S1290">
        <v>1181.5071800000001</v>
      </c>
      <c r="T1290">
        <v>2.221948E-2</v>
      </c>
      <c r="U1290">
        <v>0</v>
      </c>
      <c r="V1290">
        <v>1254.18</v>
      </c>
      <c r="W1290" t="s">
        <v>556</v>
      </c>
      <c r="X1290" t="s">
        <v>271</v>
      </c>
      <c r="Y1290" t="s">
        <v>3931</v>
      </c>
      <c r="AA1290" t="s">
        <v>3932</v>
      </c>
      <c r="AB1290" t="s">
        <v>181</v>
      </c>
    </row>
    <row r="1291" spans="1:28" x14ac:dyDescent="0.25">
      <c r="A1291" t="s">
        <v>4172</v>
      </c>
      <c r="B1291" t="s">
        <v>4173</v>
      </c>
      <c r="C1291" t="s">
        <v>646</v>
      </c>
      <c r="D1291" t="s">
        <v>3779</v>
      </c>
      <c r="E1291" t="s">
        <v>647</v>
      </c>
      <c r="F1291" t="s">
        <v>3780</v>
      </c>
      <c r="G1291" t="s">
        <v>769</v>
      </c>
      <c r="H1291" t="s">
        <v>962</v>
      </c>
      <c r="I1291" t="s">
        <v>1801</v>
      </c>
      <c r="J1291" t="s">
        <v>437</v>
      </c>
      <c r="K1291" t="s">
        <v>166</v>
      </c>
      <c r="L1291" t="s">
        <v>0</v>
      </c>
      <c r="M1291" t="s">
        <v>178</v>
      </c>
      <c r="N1291">
        <v>180</v>
      </c>
      <c r="O1291">
        <v>157</v>
      </c>
      <c r="P1291">
        <v>2961.62</v>
      </c>
      <c r="Q1291">
        <v>8892.7099999999991</v>
      </c>
      <c r="R1291">
        <v>970.11</v>
      </c>
      <c r="S1291">
        <v>1002.52081699</v>
      </c>
      <c r="T1291">
        <v>0</v>
      </c>
      <c r="U1291">
        <v>0</v>
      </c>
      <c r="V1291">
        <v>970.11</v>
      </c>
      <c r="W1291" t="s">
        <v>510</v>
      </c>
      <c r="X1291" t="s">
        <v>271</v>
      </c>
      <c r="Y1291" t="s">
        <v>4174</v>
      </c>
      <c r="Z1291" t="s">
        <v>4175</v>
      </c>
      <c r="AA1291" t="s">
        <v>4176</v>
      </c>
      <c r="AB1291" t="s">
        <v>181</v>
      </c>
    </row>
    <row r="1292" spans="1:28" x14ac:dyDescent="0.25">
      <c r="A1292" t="s">
        <v>3933</v>
      </c>
      <c r="B1292" t="s">
        <v>3934</v>
      </c>
      <c r="C1292" t="s">
        <v>646</v>
      </c>
      <c r="D1292" t="s">
        <v>3779</v>
      </c>
      <c r="E1292" t="s">
        <v>647</v>
      </c>
      <c r="F1292" t="s">
        <v>3780</v>
      </c>
      <c r="G1292" t="s">
        <v>769</v>
      </c>
      <c r="H1292" t="s">
        <v>649</v>
      </c>
      <c r="I1292" t="s">
        <v>3935</v>
      </c>
      <c r="J1292" t="s">
        <v>1214</v>
      </c>
      <c r="K1292" t="s">
        <v>166</v>
      </c>
      <c r="L1292" t="s">
        <v>0</v>
      </c>
      <c r="M1292" t="s">
        <v>178</v>
      </c>
      <c r="N1292">
        <v>199</v>
      </c>
      <c r="O1292">
        <v>84</v>
      </c>
      <c r="P1292">
        <v>3280.26</v>
      </c>
      <c r="Q1292">
        <v>12241.72</v>
      </c>
      <c r="R1292">
        <v>1636.9862277300001</v>
      </c>
      <c r="S1292">
        <v>591.31533151999997</v>
      </c>
      <c r="T1292">
        <v>6.2277299999999999E-3</v>
      </c>
      <c r="U1292">
        <v>0</v>
      </c>
      <c r="V1292">
        <v>1636.98</v>
      </c>
      <c r="W1292" t="s">
        <v>0</v>
      </c>
      <c r="X1292" t="s">
        <v>271</v>
      </c>
      <c r="Y1292" t="s">
        <v>3936</v>
      </c>
      <c r="AA1292" t="s">
        <v>3937</v>
      </c>
      <c r="AB1292" t="s">
        <v>181</v>
      </c>
    </row>
    <row r="1293" spans="1:28" x14ac:dyDescent="0.25">
      <c r="A1293" t="s">
        <v>4256</v>
      </c>
      <c r="B1293" t="s">
        <v>4257</v>
      </c>
      <c r="C1293" t="s">
        <v>646</v>
      </c>
      <c r="D1293" t="s">
        <v>3779</v>
      </c>
      <c r="E1293" t="s">
        <v>647</v>
      </c>
      <c r="F1293" t="s">
        <v>3780</v>
      </c>
      <c r="G1293" t="s">
        <v>769</v>
      </c>
      <c r="H1293" t="s">
        <v>672</v>
      </c>
      <c r="I1293" t="s">
        <v>2284</v>
      </c>
      <c r="J1293" t="s">
        <v>2285</v>
      </c>
      <c r="K1293" t="s">
        <v>166</v>
      </c>
      <c r="L1293" t="s">
        <v>0</v>
      </c>
      <c r="M1293" t="s">
        <v>178</v>
      </c>
      <c r="N1293">
        <v>41</v>
      </c>
      <c r="O1293">
        <v>41</v>
      </c>
      <c r="P1293">
        <v>811.4</v>
      </c>
      <c r="Q1293">
        <v>1522.77</v>
      </c>
      <c r="R1293">
        <v>240.75540673</v>
      </c>
      <c r="S1293">
        <v>403.93959728999999</v>
      </c>
      <c r="T1293">
        <v>5.5406730000000001E-2</v>
      </c>
      <c r="U1293">
        <v>0</v>
      </c>
      <c r="V1293">
        <v>240.7</v>
      </c>
      <c r="W1293" t="s">
        <v>453</v>
      </c>
      <c r="X1293" t="s">
        <v>271</v>
      </c>
      <c r="Y1293" t="s">
        <v>4258</v>
      </c>
      <c r="AA1293" t="s">
        <v>4259</v>
      </c>
      <c r="AB1293" t="s">
        <v>181</v>
      </c>
    </row>
    <row r="1294" spans="1:28" x14ac:dyDescent="0.25">
      <c r="A1294" t="s">
        <v>4284</v>
      </c>
      <c r="B1294" t="s">
        <v>4285</v>
      </c>
      <c r="C1294" t="s">
        <v>646</v>
      </c>
      <c r="D1294" t="s">
        <v>3779</v>
      </c>
      <c r="E1294" t="s">
        <v>647</v>
      </c>
      <c r="F1294" t="s">
        <v>3780</v>
      </c>
      <c r="G1294" t="s">
        <v>769</v>
      </c>
      <c r="H1294" t="s">
        <v>761</v>
      </c>
      <c r="I1294" t="s">
        <v>778</v>
      </c>
      <c r="J1294" t="s">
        <v>428</v>
      </c>
      <c r="K1294" t="s">
        <v>166</v>
      </c>
      <c r="L1294" t="s">
        <v>0</v>
      </c>
      <c r="M1294" t="s">
        <v>178</v>
      </c>
      <c r="N1294">
        <v>48</v>
      </c>
      <c r="O1294">
        <v>47</v>
      </c>
      <c r="P1294">
        <v>1543.42</v>
      </c>
      <c r="Q1294">
        <v>2167.52</v>
      </c>
      <c r="R1294">
        <v>741.19</v>
      </c>
      <c r="S1294">
        <v>353.91427664000003</v>
      </c>
      <c r="T1294">
        <v>0</v>
      </c>
      <c r="U1294">
        <v>0</v>
      </c>
      <c r="V1294">
        <v>741.19</v>
      </c>
      <c r="W1294" t="s">
        <v>1977</v>
      </c>
      <c r="X1294" t="s">
        <v>271</v>
      </c>
      <c r="Y1294" t="s">
        <v>4286</v>
      </c>
      <c r="AA1294" t="s">
        <v>4287</v>
      </c>
      <c r="AB1294" t="s">
        <v>181</v>
      </c>
    </row>
    <row r="1295" spans="1:28" x14ac:dyDescent="0.25">
      <c r="A1295" t="s">
        <v>4316</v>
      </c>
      <c r="B1295" t="s">
        <v>4317</v>
      </c>
      <c r="C1295" t="s">
        <v>646</v>
      </c>
      <c r="D1295" t="s">
        <v>3779</v>
      </c>
      <c r="E1295" t="s">
        <v>647</v>
      </c>
      <c r="F1295" t="s">
        <v>3780</v>
      </c>
      <c r="G1295" t="s">
        <v>769</v>
      </c>
      <c r="H1295" t="s">
        <v>649</v>
      </c>
      <c r="I1295" t="s">
        <v>1290</v>
      </c>
      <c r="J1295" t="s">
        <v>1291</v>
      </c>
      <c r="K1295" t="s">
        <v>166</v>
      </c>
      <c r="L1295" t="s">
        <v>0</v>
      </c>
      <c r="M1295" t="s">
        <v>178</v>
      </c>
      <c r="N1295">
        <v>170</v>
      </c>
      <c r="O1295">
        <v>83</v>
      </c>
      <c r="P1295">
        <v>3048.48</v>
      </c>
      <c r="Q1295">
        <v>10054.06</v>
      </c>
      <c r="R1295">
        <v>1900.61</v>
      </c>
      <c r="S1295">
        <v>963.47625947999995</v>
      </c>
      <c r="T1295">
        <v>0</v>
      </c>
      <c r="U1295">
        <v>0</v>
      </c>
      <c r="V1295">
        <v>1900.61</v>
      </c>
      <c r="W1295" t="s">
        <v>1292</v>
      </c>
      <c r="X1295" t="s">
        <v>271</v>
      </c>
      <c r="Y1295" t="s">
        <v>4318</v>
      </c>
      <c r="AA1295" t="s">
        <v>4319</v>
      </c>
      <c r="AB1295" t="s">
        <v>181</v>
      </c>
    </row>
    <row r="1296" spans="1:28" x14ac:dyDescent="0.25">
      <c r="A1296" t="s">
        <v>4027</v>
      </c>
      <c r="B1296" t="s">
        <v>4028</v>
      </c>
      <c r="C1296" t="s">
        <v>646</v>
      </c>
      <c r="D1296" t="s">
        <v>3779</v>
      </c>
      <c r="E1296" t="s">
        <v>647</v>
      </c>
      <c r="F1296" t="s">
        <v>3780</v>
      </c>
      <c r="G1296" t="s">
        <v>769</v>
      </c>
      <c r="H1296" t="s">
        <v>717</v>
      </c>
      <c r="I1296" t="s">
        <v>1251</v>
      </c>
      <c r="J1296" t="s">
        <v>821</v>
      </c>
      <c r="K1296" t="s">
        <v>166</v>
      </c>
      <c r="L1296" t="s">
        <v>0</v>
      </c>
      <c r="M1296" t="s">
        <v>178</v>
      </c>
      <c r="N1296">
        <v>96</v>
      </c>
      <c r="O1296">
        <v>87</v>
      </c>
      <c r="P1296">
        <v>6385.1</v>
      </c>
      <c r="Q1296">
        <v>14974.39</v>
      </c>
      <c r="R1296">
        <v>1052.9100000000001</v>
      </c>
      <c r="S1296">
        <v>1387.15065164</v>
      </c>
      <c r="T1296">
        <v>0</v>
      </c>
      <c r="U1296">
        <v>0</v>
      </c>
      <c r="V1296">
        <v>1052.9100000000001</v>
      </c>
      <c r="W1296" t="s">
        <v>822</v>
      </c>
      <c r="X1296" t="s">
        <v>269</v>
      </c>
      <c r="Y1296" t="s">
        <v>4029</v>
      </c>
      <c r="AA1296" t="s">
        <v>4030</v>
      </c>
      <c r="AB1296" t="s">
        <v>181</v>
      </c>
    </row>
    <row r="1297" spans="1:28" x14ac:dyDescent="0.25">
      <c r="A1297" t="s">
        <v>4284</v>
      </c>
      <c r="B1297" t="s">
        <v>4285</v>
      </c>
      <c r="C1297" t="s">
        <v>646</v>
      </c>
      <c r="D1297" t="s">
        <v>3779</v>
      </c>
      <c r="E1297" t="s">
        <v>647</v>
      </c>
      <c r="F1297" t="s">
        <v>3780</v>
      </c>
      <c r="G1297" t="s">
        <v>769</v>
      </c>
      <c r="H1297" t="s">
        <v>797</v>
      </c>
      <c r="I1297" t="s">
        <v>778</v>
      </c>
      <c r="J1297" t="s">
        <v>428</v>
      </c>
      <c r="K1297" t="s">
        <v>166</v>
      </c>
      <c r="L1297" t="s">
        <v>0</v>
      </c>
      <c r="M1297" t="s">
        <v>178</v>
      </c>
      <c r="N1297">
        <v>168</v>
      </c>
      <c r="O1297">
        <v>76</v>
      </c>
      <c r="P1297">
        <v>1749.89</v>
      </c>
      <c r="Q1297">
        <v>8181.78</v>
      </c>
      <c r="R1297">
        <v>2620.2980301299999</v>
      </c>
      <c r="S1297">
        <v>591.73263222000003</v>
      </c>
      <c r="T1297">
        <v>6.8030129999999994E-2</v>
      </c>
      <c r="U1297">
        <v>0</v>
      </c>
      <c r="V1297">
        <v>2620.23</v>
      </c>
      <c r="W1297" t="s">
        <v>1977</v>
      </c>
      <c r="X1297" t="s">
        <v>271</v>
      </c>
      <c r="Y1297" t="s">
        <v>4286</v>
      </c>
      <c r="AA1297" t="s">
        <v>4287</v>
      </c>
      <c r="AB1297" t="s">
        <v>181</v>
      </c>
    </row>
    <row r="1298" spans="1:28" x14ac:dyDescent="0.25">
      <c r="A1298" t="s">
        <v>3905</v>
      </c>
      <c r="B1298" t="s">
        <v>3906</v>
      </c>
      <c r="C1298" t="s">
        <v>646</v>
      </c>
      <c r="D1298" t="s">
        <v>3779</v>
      </c>
      <c r="E1298" t="s">
        <v>647</v>
      </c>
      <c r="F1298" t="s">
        <v>3780</v>
      </c>
      <c r="G1298" t="s">
        <v>769</v>
      </c>
      <c r="H1298" t="s">
        <v>797</v>
      </c>
      <c r="I1298" t="s">
        <v>3753</v>
      </c>
      <c r="J1298" t="s">
        <v>489</v>
      </c>
      <c r="K1298" t="s">
        <v>166</v>
      </c>
      <c r="L1298" t="s">
        <v>0</v>
      </c>
      <c r="M1298" t="s">
        <v>178</v>
      </c>
      <c r="N1298">
        <v>30</v>
      </c>
      <c r="O1298">
        <v>14</v>
      </c>
      <c r="P1298">
        <v>292</v>
      </c>
      <c r="Q1298">
        <v>1201.53</v>
      </c>
      <c r="R1298">
        <v>260.82</v>
      </c>
      <c r="S1298">
        <v>105.05608313</v>
      </c>
      <c r="T1298">
        <v>0</v>
      </c>
      <c r="U1298">
        <v>0</v>
      </c>
      <c r="V1298">
        <v>260.82</v>
      </c>
      <c r="W1298" t="s">
        <v>488</v>
      </c>
      <c r="X1298" t="s">
        <v>271</v>
      </c>
      <c r="Y1298" t="s">
        <v>3907</v>
      </c>
      <c r="AA1298" t="s">
        <v>3908</v>
      </c>
      <c r="AB1298" t="s">
        <v>181</v>
      </c>
    </row>
    <row r="1299" spans="1:28" x14ac:dyDescent="0.25">
      <c r="A1299" t="s">
        <v>4167</v>
      </c>
      <c r="B1299" t="s">
        <v>4168</v>
      </c>
      <c r="C1299" t="s">
        <v>646</v>
      </c>
      <c r="D1299" t="s">
        <v>3779</v>
      </c>
      <c r="E1299" t="s">
        <v>647</v>
      </c>
      <c r="F1299" t="s">
        <v>3780</v>
      </c>
      <c r="G1299" t="s">
        <v>769</v>
      </c>
      <c r="H1299" t="s">
        <v>770</v>
      </c>
      <c r="I1299" t="s">
        <v>4169</v>
      </c>
      <c r="J1299" t="s">
        <v>662</v>
      </c>
      <c r="K1299" t="s">
        <v>166</v>
      </c>
      <c r="L1299" t="s">
        <v>0</v>
      </c>
      <c r="M1299" t="s">
        <v>178</v>
      </c>
      <c r="N1299">
        <v>353</v>
      </c>
      <c r="O1299">
        <v>139</v>
      </c>
      <c r="P1299">
        <v>12317.5</v>
      </c>
      <c r="Q1299">
        <v>8551.69</v>
      </c>
      <c r="R1299">
        <v>128.19</v>
      </c>
      <c r="S1299">
        <v>1100.3253164800001</v>
      </c>
      <c r="T1299">
        <v>0</v>
      </c>
      <c r="U1299">
        <v>709</v>
      </c>
      <c r="V1299">
        <v>837.19</v>
      </c>
      <c r="W1299" t="s">
        <v>586</v>
      </c>
      <c r="X1299" t="s">
        <v>271</v>
      </c>
      <c r="Y1299" t="s">
        <v>4170</v>
      </c>
      <c r="AA1299" t="s">
        <v>4171</v>
      </c>
      <c r="AB1299" t="s">
        <v>181</v>
      </c>
    </row>
    <row r="1300" spans="1:28" x14ac:dyDescent="0.25">
      <c r="A1300" t="s">
        <v>4353</v>
      </c>
      <c r="B1300" t="s">
        <v>4354</v>
      </c>
      <c r="C1300" t="s">
        <v>646</v>
      </c>
      <c r="D1300" t="s">
        <v>3779</v>
      </c>
      <c r="E1300" t="s">
        <v>647</v>
      </c>
      <c r="F1300" t="s">
        <v>3780</v>
      </c>
      <c r="G1300" t="s">
        <v>769</v>
      </c>
      <c r="H1300" t="s">
        <v>770</v>
      </c>
      <c r="I1300" t="s">
        <v>1160</v>
      </c>
      <c r="J1300" t="s">
        <v>336</v>
      </c>
      <c r="K1300" t="s">
        <v>166</v>
      </c>
      <c r="L1300" t="s">
        <v>0</v>
      </c>
      <c r="M1300" t="s">
        <v>178</v>
      </c>
      <c r="N1300">
        <v>1174.2</v>
      </c>
      <c r="O1300">
        <v>151.19999999999999</v>
      </c>
      <c r="P1300">
        <v>31389.69</v>
      </c>
      <c r="Q1300">
        <v>21420.02</v>
      </c>
      <c r="R1300">
        <v>3224.05</v>
      </c>
      <c r="S1300">
        <v>2757.1729869400001</v>
      </c>
      <c r="T1300">
        <v>35.700000000000003</v>
      </c>
      <c r="U1300">
        <v>1153.8800000000001</v>
      </c>
      <c r="V1300">
        <v>4377.93</v>
      </c>
      <c r="W1300" t="s">
        <v>461</v>
      </c>
      <c r="X1300" t="s">
        <v>271</v>
      </c>
      <c r="Y1300" t="s">
        <v>4355</v>
      </c>
      <c r="AA1300" t="s">
        <v>4356</v>
      </c>
      <c r="AB1300" t="s">
        <v>181</v>
      </c>
    </row>
    <row r="1301" spans="1:28" x14ac:dyDescent="0.25">
      <c r="A1301" t="s">
        <v>4015</v>
      </c>
      <c r="B1301" t="s">
        <v>4016</v>
      </c>
      <c r="C1301" t="s">
        <v>646</v>
      </c>
      <c r="D1301" t="s">
        <v>3779</v>
      </c>
      <c r="E1301" t="s">
        <v>647</v>
      </c>
      <c r="F1301" t="s">
        <v>3780</v>
      </c>
      <c r="G1301" t="s">
        <v>769</v>
      </c>
      <c r="H1301" t="s">
        <v>679</v>
      </c>
      <c r="I1301" t="s">
        <v>4017</v>
      </c>
      <c r="J1301" t="s">
        <v>4018</v>
      </c>
      <c r="K1301" t="s">
        <v>166</v>
      </c>
      <c r="L1301" t="s">
        <v>0</v>
      </c>
      <c r="M1301" t="s">
        <v>178</v>
      </c>
      <c r="N1301">
        <v>56.8</v>
      </c>
      <c r="O1301">
        <v>53.4</v>
      </c>
      <c r="P1301">
        <v>529.92999999999995</v>
      </c>
      <c r="Q1301">
        <v>1631.92</v>
      </c>
      <c r="R1301">
        <v>28.5586801</v>
      </c>
      <c r="S1301">
        <v>803.46383199000002</v>
      </c>
      <c r="T1301">
        <v>-5.2413198999999997</v>
      </c>
      <c r="U1301">
        <v>0</v>
      </c>
      <c r="V1301">
        <v>33.799999999999997</v>
      </c>
      <c r="W1301" t="s">
        <v>4019</v>
      </c>
      <c r="X1301" t="s">
        <v>271</v>
      </c>
      <c r="Y1301" t="s">
        <v>4020</v>
      </c>
      <c r="AA1301" t="s">
        <v>4021</v>
      </c>
      <c r="AB1301" t="s">
        <v>181</v>
      </c>
    </row>
    <row r="1302" spans="1:28" x14ac:dyDescent="0.25">
      <c r="A1302" t="s">
        <v>3861</v>
      </c>
      <c r="B1302" t="s">
        <v>3862</v>
      </c>
      <c r="C1302" t="s">
        <v>646</v>
      </c>
      <c r="D1302" t="s">
        <v>3779</v>
      </c>
      <c r="E1302" t="s">
        <v>647</v>
      </c>
      <c r="F1302" t="s">
        <v>3780</v>
      </c>
      <c r="G1302" t="s">
        <v>769</v>
      </c>
      <c r="H1302" t="s">
        <v>770</v>
      </c>
      <c r="I1302" t="s">
        <v>2065</v>
      </c>
      <c r="J1302" t="s">
        <v>2066</v>
      </c>
      <c r="K1302" t="s">
        <v>166</v>
      </c>
      <c r="L1302" t="s">
        <v>0</v>
      </c>
      <c r="M1302" t="s">
        <v>178</v>
      </c>
      <c r="N1302">
        <v>888.5</v>
      </c>
      <c r="O1302">
        <v>636.5</v>
      </c>
      <c r="P1302">
        <v>13917.7</v>
      </c>
      <c r="Q1302">
        <v>18906.759999999998</v>
      </c>
      <c r="R1302">
        <v>2773.55</v>
      </c>
      <c r="S1302">
        <v>2740.96238842</v>
      </c>
      <c r="T1302">
        <v>0</v>
      </c>
      <c r="U1302">
        <v>0</v>
      </c>
      <c r="V1302">
        <v>2773.55</v>
      </c>
      <c r="W1302" t="s">
        <v>2067</v>
      </c>
      <c r="X1302" t="s">
        <v>271</v>
      </c>
      <c r="Y1302" t="s">
        <v>3863</v>
      </c>
      <c r="AA1302" t="s">
        <v>3864</v>
      </c>
      <c r="AB1302" t="s">
        <v>181</v>
      </c>
    </row>
    <row r="1303" spans="1:28" x14ac:dyDescent="0.25">
      <c r="A1303" t="s">
        <v>4155</v>
      </c>
      <c r="B1303" t="s">
        <v>4156</v>
      </c>
      <c r="C1303" t="s">
        <v>646</v>
      </c>
      <c r="D1303" t="s">
        <v>3779</v>
      </c>
      <c r="E1303" t="s">
        <v>647</v>
      </c>
      <c r="F1303" t="s">
        <v>3780</v>
      </c>
      <c r="G1303" t="s">
        <v>769</v>
      </c>
      <c r="H1303" t="s">
        <v>713</v>
      </c>
      <c r="I1303" t="s">
        <v>885</v>
      </c>
      <c r="J1303" t="s">
        <v>324</v>
      </c>
      <c r="K1303" t="s">
        <v>166</v>
      </c>
      <c r="L1303" t="s">
        <v>0</v>
      </c>
      <c r="M1303" t="s">
        <v>178</v>
      </c>
      <c r="N1303">
        <v>130</v>
      </c>
      <c r="O1303">
        <v>106</v>
      </c>
      <c r="P1303">
        <v>4608.3500000000004</v>
      </c>
      <c r="Q1303">
        <v>1400.01</v>
      </c>
      <c r="R1303">
        <v>-43.55757964</v>
      </c>
      <c r="S1303">
        <v>290.40401596999999</v>
      </c>
      <c r="T1303">
        <v>0.88242036000000001</v>
      </c>
      <c r="U1303">
        <v>133.62</v>
      </c>
      <c r="V1303">
        <v>89.18</v>
      </c>
      <c r="W1303" t="s">
        <v>519</v>
      </c>
      <c r="X1303" t="s">
        <v>271</v>
      </c>
      <c r="Y1303" t="s">
        <v>4157</v>
      </c>
      <c r="AA1303" t="s">
        <v>4158</v>
      </c>
      <c r="AB1303" t="s">
        <v>181</v>
      </c>
    </row>
    <row r="1304" spans="1:28" x14ac:dyDescent="0.25">
      <c r="A1304" t="s">
        <v>3992</v>
      </c>
      <c r="B1304" t="s">
        <v>3993</v>
      </c>
      <c r="C1304" t="s">
        <v>646</v>
      </c>
      <c r="D1304" t="s">
        <v>3779</v>
      </c>
      <c r="E1304" t="s">
        <v>647</v>
      </c>
      <c r="F1304" t="s">
        <v>3780</v>
      </c>
      <c r="G1304" t="s">
        <v>769</v>
      </c>
      <c r="H1304" t="s">
        <v>757</v>
      </c>
      <c r="I1304" t="s">
        <v>3994</v>
      </c>
      <c r="J1304" t="s">
        <v>3995</v>
      </c>
      <c r="K1304" t="s">
        <v>166</v>
      </c>
      <c r="L1304" t="s">
        <v>0</v>
      </c>
      <c r="M1304" t="s">
        <v>178</v>
      </c>
      <c r="N1304">
        <v>154</v>
      </c>
      <c r="O1304">
        <v>109</v>
      </c>
      <c r="P1304">
        <v>3505.4</v>
      </c>
      <c r="Q1304">
        <v>5056.9799999999996</v>
      </c>
      <c r="R1304">
        <v>-197.85905996</v>
      </c>
      <c r="S1304">
        <v>951.99534094000001</v>
      </c>
      <c r="T1304">
        <v>14.24094004</v>
      </c>
      <c r="U1304">
        <v>76.760000000000005</v>
      </c>
      <c r="V1304">
        <v>-121.34</v>
      </c>
      <c r="W1304" t="s">
        <v>250</v>
      </c>
      <c r="X1304" t="s">
        <v>269</v>
      </c>
      <c r="Y1304" t="s">
        <v>3996</v>
      </c>
      <c r="AA1304" t="s">
        <v>3997</v>
      </c>
      <c r="AB1304" t="s">
        <v>181</v>
      </c>
    </row>
    <row r="1305" spans="1:28" x14ac:dyDescent="0.25">
      <c r="A1305" t="s">
        <v>3992</v>
      </c>
      <c r="B1305" t="s">
        <v>3993</v>
      </c>
      <c r="C1305" t="s">
        <v>646</v>
      </c>
      <c r="D1305" t="s">
        <v>3779</v>
      </c>
      <c r="E1305" t="s">
        <v>647</v>
      </c>
      <c r="F1305" t="s">
        <v>3780</v>
      </c>
      <c r="G1305" t="s">
        <v>769</v>
      </c>
      <c r="H1305" t="s">
        <v>761</v>
      </c>
      <c r="I1305" t="s">
        <v>3994</v>
      </c>
      <c r="J1305" t="s">
        <v>3995</v>
      </c>
      <c r="K1305" t="s">
        <v>166</v>
      </c>
      <c r="L1305" t="s">
        <v>0</v>
      </c>
      <c r="M1305" t="s">
        <v>178</v>
      </c>
      <c r="N1305">
        <v>19</v>
      </c>
      <c r="O1305">
        <v>13</v>
      </c>
      <c r="P1305">
        <v>735.51</v>
      </c>
      <c r="Q1305">
        <v>580.02</v>
      </c>
      <c r="R1305">
        <v>54.17</v>
      </c>
      <c r="S1305">
        <v>96.473119159999996</v>
      </c>
      <c r="T1305">
        <v>0</v>
      </c>
      <c r="U1305">
        <v>0</v>
      </c>
      <c r="V1305">
        <v>54.17</v>
      </c>
      <c r="W1305" t="s">
        <v>250</v>
      </c>
      <c r="X1305" t="s">
        <v>269</v>
      </c>
      <c r="Y1305" t="s">
        <v>3996</v>
      </c>
      <c r="AA1305" t="s">
        <v>3997</v>
      </c>
      <c r="AB1305" t="s">
        <v>181</v>
      </c>
    </row>
    <row r="1306" spans="1:28" x14ac:dyDescent="0.25">
      <c r="A1306" t="s">
        <v>3944</v>
      </c>
      <c r="B1306" t="s">
        <v>3945</v>
      </c>
      <c r="C1306" t="s">
        <v>646</v>
      </c>
      <c r="D1306" t="s">
        <v>3779</v>
      </c>
      <c r="E1306" t="s">
        <v>647</v>
      </c>
      <c r="F1306" t="s">
        <v>3780</v>
      </c>
      <c r="G1306" t="s">
        <v>769</v>
      </c>
      <c r="H1306" t="s">
        <v>1171</v>
      </c>
      <c r="I1306" t="s">
        <v>798</v>
      </c>
      <c r="J1306" t="s">
        <v>524</v>
      </c>
      <c r="K1306" t="s">
        <v>166</v>
      </c>
      <c r="L1306" t="s">
        <v>0</v>
      </c>
      <c r="M1306" t="s">
        <v>178</v>
      </c>
      <c r="N1306">
        <v>181</v>
      </c>
      <c r="O1306">
        <v>173</v>
      </c>
      <c r="P1306">
        <v>4203.03</v>
      </c>
      <c r="Q1306">
        <v>49171.19</v>
      </c>
      <c r="R1306">
        <v>7082.6697606899997</v>
      </c>
      <c r="S1306">
        <v>271.54696829</v>
      </c>
      <c r="T1306">
        <v>9.7097606899999995</v>
      </c>
      <c r="U1306">
        <v>0</v>
      </c>
      <c r="V1306">
        <v>7072.96</v>
      </c>
      <c r="W1306" t="s">
        <v>258</v>
      </c>
      <c r="X1306" t="s">
        <v>271</v>
      </c>
      <c r="Y1306" t="s">
        <v>3946</v>
      </c>
      <c r="AA1306" t="s">
        <v>3947</v>
      </c>
      <c r="AB1306" t="s">
        <v>181</v>
      </c>
    </row>
    <row r="1307" spans="1:28" x14ac:dyDescent="0.25">
      <c r="A1307" t="s">
        <v>3933</v>
      </c>
      <c r="B1307" t="s">
        <v>3934</v>
      </c>
      <c r="C1307" t="s">
        <v>646</v>
      </c>
      <c r="D1307" t="s">
        <v>3779</v>
      </c>
      <c r="E1307" t="s">
        <v>647</v>
      </c>
      <c r="F1307" t="s">
        <v>3780</v>
      </c>
      <c r="G1307" t="s">
        <v>769</v>
      </c>
      <c r="H1307" t="s">
        <v>761</v>
      </c>
      <c r="I1307" t="s">
        <v>3935</v>
      </c>
      <c r="J1307" t="s">
        <v>1214</v>
      </c>
      <c r="K1307" t="s">
        <v>166</v>
      </c>
      <c r="L1307" t="s">
        <v>0</v>
      </c>
      <c r="M1307" t="s">
        <v>178</v>
      </c>
      <c r="N1307">
        <v>100</v>
      </c>
      <c r="O1307">
        <v>66</v>
      </c>
      <c r="P1307">
        <v>2828.1</v>
      </c>
      <c r="Q1307">
        <v>4095.49</v>
      </c>
      <c r="R1307">
        <v>725.57</v>
      </c>
      <c r="S1307">
        <v>639.01577554999994</v>
      </c>
      <c r="T1307">
        <v>0</v>
      </c>
      <c r="U1307">
        <v>0</v>
      </c>
      <c r="V1307">
        <v>725.57</v>
      </c>
      <c r="W1307" t="s">
        <v>0</v>
      </c>
      <c r="X1307" t="s">
        <v>271</v>
      </c>
      <c r="Y1307" t="s">
        <v>3936</v>
      </c>
      <c r="AA1307" t="s">
        <v>3937</v>
      </c>
      <c r="AB1307" t="s">
        <v>181</v>
      </c>
    </row>
    <row r="1308" spans="1:28" x14ac:dyDescent="0.25">
      <c r="A1308" t="s">
        <v>3861</v>
      </c>
      <c r="B1308" t="s">
        <v>3862</v>
      </c>
      <c r="C1308" t="s">
        <v>646</v>
      </c>
      <c r="D1308" t="s">
        <v>3779</v>
      </c>
      <c r="E1308" t="s">
        <v>647</v>
      </c>
      <c r="F1308" t="s">
        <v>3780</v>
      </c>
      <c r="G1308" t="s">
        <v>769</v>
      </c>
      <c r="H1308" t="s">
        <v>1045</v>
      </c>
      <c r="I1308" t="s">
        <v>2065</v>
      </c>
      <c r="J1308" t="s">
        <v>2066</v>
      </c>
      <c r="K1308" t="s">
        <v>166</v>
      </c>
      <c r="L1308" t="s">
        <v>0</v>
      </c>
      <c r="M1308" t="s">
        <v>178</v>
      </c>
      <c r="N1308">
        <v>71</v>
      </c>
      <c r="O1308">
        <v>28</v>
      </c>
      <c r="P1308">
        <v>922.05</v>
      </c>
      <c r="Q1308">
        <v>6406.33</v>
      </c>
      <c r="R1308">
        <v>770.98</v>
      </c>
      <c r="S1308">
        <v>154.43350000000001</v>
      </c>
      <c r="T1308">
        <v>0</v>
      </c>
      <c r="U1308">
        <v>0</v>
      </c>
      <c r="V1308">
        <v>770.98</v>
      </c>
      <c r="W1308" t="s">
        <v>2067</v>
      </c>
      <c r="X1308" t="s">
        <v>271</v>
      </c>
      <c r="Y1308" t="s">
        <v>3863</v>
      </c>
      <c r="AA1308" t="s">
        <v>3864</v>
      </c>
      <c r="AB1308" t="s">
        <v>181</v>
      </c>
    </row>
    <row r="1309" spans="1:28" x14ac:dyDescent="0.25">
      <c r="A1309" t="s">
        <v>4143</v>
      </c>
      <c r="B1309" t="s">
        <v>4144</v>
      </c>
      <c r="C1309" t="s">
        <v>646</v>
      </c>
      <c r="D1309" t="s">
        <v>3779</v>
      </c>
      <c r="E1309" t="s">
        <v>647</v>
      </c>
      <c r="F1309" t="s">
        <v>3780</v>
      </c>
      <c r="G1309" t="s">
        <v>769</v>
      </c>
      <c r="H1309" t="s">
        <v>649</v>
      </c>
      <c r="I1309" t="s">
        <v>1828</v>
      </c>
      <c r="J1309" t="s">
        <v>1829</v>
      </c>
      <c r="K1309" t="s">
        <v>166</v>
      </c>
      <c r="L1309" t="s">
        <v>0</v>
      </c>
      <c r="M1309" t="s">
        <v>178</v>
      </c>
      <c r="N1309">
        <v>80</v>
      </c>
      <c r="O1309">
        <v>8</v>
      </c>
      <c r="P1309">
        <v>2512.7600000000002</v>
      </c>
      <c r="Q1309">
        <v>9001.4500000000007</v>
      </c>
      <c r="R1309">
        <v>2640.34</v>
      </c>
      <c r="S1309">
        <v>168.44702423000001</v>
      </c>
      <c r="T1309">
        <v>0</v>
      </c>
      <c r="U1309">
        <v>0</v>
      </c>
      <c r="V1309">
        <v>2640.34</v>
      </c>
      <c r="W1309" t="s">
        <v>1361</v>
      </c>
      <c r="X1309" t="s">
        <v>271</v>
      </c>
      <c r="Y1309" t="s">
        <v>4145</v>
      </c>
      <c r="AA1309" t="s">
        <v>4146</v>
      </c>
      <c r="AB1309" t="s">
        <v>181</v>
      </c>
    </row>
    <row r="1310" spans="1:28" x14ac:dyDescent="0.25">
      <c r="A1310" t="s">
        <v>4201</v>
      </c>
      <c r="B1310" t="s">
        <v>4202</v>
      </c>
      <c r="C1310" t="s">
        <v>646</v>
      </c>
      <c r="D1310" t="s">
        <v>3779</v>
      </c>
      <c r="E1310" t="s">
        <v>647</v>
      </c>
      <c r="F1310" t="s">
        <v>3780</v>
      </c>
      <c r="G1310" t="s">
        <v>769</v>
      </c>
      <c r="H1310" t="s">
        <v>679</v>
      </c>
      <c r="I1310" t="s">
        <v>4203</v>
      </c>
      <c r="J1310" t="s">
        <v>688</v>
      </c>
      <c r="K1310" t="s">
        <v>166</v>
      </c>
      <c r="L1310" t="s">
        <v>0</v>
      </c>
      <c r="M1310" t="s">
        <v>178</v>
      </c>
      <c r="N1310">
        <v>2</v>
      </c>
      <c r="O1310">
        <v>0</v>
      </c>
      <c r="P1310">
        <v>8.5500000000000007</v>
      </c>
      <c r="Q1310">
        <v>47.65</v>
      </c>
      <c r="R1310">
        <v>7.74</v>
      </c>
      <c r="S1310">
        <v>1.9955000000000001</v>
      </c>
      <c r="T1310">
        <v>0</v>
      </c>
      <c r="U1310">
        <v>0</v>
      </c>
      <c r="V1310">
        <v>7.74</v>
      </c>
      <c r="W1310" t="s">
        <v>0</v>
      </c>
      <c r="X1310" t="s">
        <v>271</v>
      </c>
      <c r="Y1310" t="s">
        <v>4204</v>
      </c>
      <c r="AA1310" t="s">
        <v>4205</v>
      </c>
      <c r="AB1310" t="s">
        <v>181</v>
      </c>
    </row>
    <row r="1311" spans="1:28" x14ac:dyDescent="0.25">
      <c r="A1311" t="s">
        <v>3883</v>
      </c>
      <c r="B1311" t="s">
        <v>3884</v>
      </c>
      <c r="C1311" t="s">
        <v>646</v>
      </c>
      <c r="D1311" t="s">
        <v>3779</v>
      </c>
      <c r="E1311" t="s">
        <v>647</v>
      </c>
      <c r="F1311" t="s">
        <v>3780</v>
      </c>
      <c r="G1311" t="s">
        <v>769</v>
      </c>
      <c r="H1311" t="s">
        <v>649</v>
      </c>
      <c r="I1311" t="s">
        <v>3885</v>
      </c>
      <c r="J1311" t="s">
        <v>1861</v>
      </c>
      <c r="K1311" t="s">
        <v>166</v>
      </c>
      <c r="L1311" t="s">
        <v>0</v>
      </c>
      <c r="M1311" t="s">
        <v>178</v>
      </c>
      <c r="N1311">
        <v>262</v>
      </c>
      <c r="O1311">
        <v>250</v>
      </c>
      <c r="P1311">
        <v>5139.03</v>
      </c>
      <c r="Q1311">
        <v>15600.61</v>
      </c>
      <c r="R1311">
        <v>498.54</v>
      </c>
      <c r="S1311">
        <v>782.88298705</v>
      </c>
      <c r="T1311">
        <v>0</v>
      </c>
      <c r="U1311">
        <v>0</v>
      </c>
      <c r="V1311">
        <v>498.54</v>
      </c>
      <c r="W1311" t="s">
        <v>1862</v>
      </c>
      <c r="X1311" t="s">
        <v>271</v>
      </c>
      <c r="Y1311" t="s">
        <v>3886</v>
      </c>
      <c r="AA1311" t="s">
        <v>3887</v>
      </c>
      <c r="AB1311" t="s">
        <v>181</v>
      </c>
    </row>
    <row r="1312" spans="1:28" x14ac:dyDescent="0.25">
      <c r="A1312" t="s">
        <v>3888</v>
      </c>
      <c r="B1312" t="s">
        <v>3889</v>
      </c>
      <c r="C1312" t="s">
        <v>646</v>
      </c>
      <c r="D1312" t="s">
        <v>3779</v>
      </c>
      <c r="E1312" t="s">
        <v>647</v>
      </c>
      <c r="F1312" t="s">
        <v>3780</v>
      </c>
      <c r="G1312" t="s">
        <v>769</v>
      </c>
      <c r="H1312" t="s">
        <v>1159</v>
      </c>
      <c r="I1312" t="s">
        <v>1368</v>
      </c>
      <c r="J1312" t="s">
        <v>1369</v>
      </c>
      <c r="K1312" t="s">
        <v>166</v>
      </c>
      <c r="L1312" t="s">
        <v>0</v>
      </c>
      <c r="M1312" t="s">
        <v>178</v>
      </c>
      <c r="N1312">
        <v>3</v>
      </c>
      <c r="O1312">
        <v>3</v>
      </c>
      <c r="P1312">
        <v>28.68</v>
      </c>
      <c r="Q1312">
        <v>139.29</v>
      </c>
      <c r="R1312">
        <v>21.36</v>
      </c>
      <c r="S1312">
        <v>28.4679</v>
      </c>
      <c r="T1312">
        <v>0</v>
      </c>
      <c r="U1312">
        <v>0</v>
      </c>
      <c r="V1312">
        <v>21.36</v>
      </c>
      <c r="W1312" t="s">
        <v>1370</v>
      </c>
      <c r="X1312" t="s">
        <v>271</v>
      </c>
      <c r="Y1312" t="s">
        <v>3890</v>
      </c>
      <c r="AA1312" t="s">
        <v>3891</v>
      </c>
      <c r="AB1312" t="s">
        <v>181</v>
      </c>
    </row>
    <row r="1313" spans="1:28" x14ac:dyDescent="0.25">
      <c r="A1313" t="s">
        <v>4151</v>
      </c>
      <c r="B1313" t="s">
        <v>4152</v>
      </c>
      <c r="C1313" t="s">
        <v>646</v>
      </c>
      <c r="D1313" t="s">
        <v>3779</v>
      </c>
      <c r="E1313" t="s">
        <v>647</v>
      </c>
      <c r="F1313" t="s">
        <v>666</v>
      </c>
      <c r="G1313" t="s">
        <v>666</v>
      </c>
      <c r="H1313" t="s">
        <v>856</v>
      </c>
      <c r="I1313" t="s">
        <v>765</v>
      </c>
      <c r="J1313" t="s">
        <v>436</v>
      </c>
      <c r="K1313" t="s">
        <v>166</v>
      </c>
      <c r="L1313" t="s">
        <v>0</v>
      </c>
      <c r="M1313" t="s">
        <v>178</v>
      </c>
      <c r="N1313">
        <v>6</v>
      </c>
      <c r="O1313">
        <v>0</v>
      </c>
      <c r="P1313">
        <v>120</v>
      </c>
      <c r="Q1313">
        <v>641.66</v>
      </c>
      <c r="R1313">
        <v>120.28</v>
      </c>
      <c r="S1313">
        <v>37.770400000000002</v>
      </c>
      <c r="T1313">
        <v>0</v>
      </c>
      <c r="U1313">
        <v>0</v>
      </c>
      <c r="V1313">
        <v>120.28</v>
      </c>
      <c r="W1313" t="s">
        <v>0</v>
      </c>
      <c r="X1313" t="s">
        <v>271</v>
      </c>
      <c r="Y1313" t="s">
        <v>4153</v>
      </c>
      <c r="AA1313" t="s">
        <v>4154</v>
      </c>
      <c r="AB1313" t="s">
        <v>181</v>
      </c>
    </row>
    <row r="1314" spans="1:28" x14ac:dyDescent="0.25">
      <c r="A1314" t="s">
        <v>4320</v>
      </c>
      <c r="B1314" t="s">
        <v>4321</v>
      </c>
      <c r="C1314" t="s">
        <v>646</v>
      </c>
      <c r="D1314" t="s">
        <v>3779</v>
      </c>
      <c r="E1314" t="s">
        <v>647</v>
      </c>
      <c r="F1314" t="s">
        <v>3780</v>
      </c>
      <c r="G1314" t="s">
        <v>769</v>
      </c>
      <c r="H1314" t="s">
        <v>717</v>
      </c>
      <c r="I1314" t="s">
        <v>1010</v>
      </c>
      <c r="J1314" t="s">
        <v>1011</v>
      </c>
      <c r="K1314" t="s">
        <v>166</v>
      </c>
      <c r="L1314" t="s">
        <v>0</v>
      </c>
      <c r="M1314" t="s">
        <v>178</v>
      </c>
      <c r="N1314">
        <v>20</v>
      </c>
      <c r="O1314">
        <v>20</v>
      </c>
      <c r="P1314">
        <v>200</v>
      </c>
      <c r="Q1314">
        <v>834.66</v>
      </c>
      <c r="R1314">
        <v>119.46868318999999</v>
      </c>
      <c r="S1314">
        <v>47.984818320000002</v>
      </c>
      <c r="T1314">
        <v>1.8683189999999999E-2</v>
      </c>
      <c r="U1314">
        <v>0</v>
      </c>
      <c r="V1314">
        <v>119.45</v>
      </c>
      <c r="W1314" t="s">
        <v>0</v>
      </c>
      <c r="X1314" t="s">
        <v>271</v>
      </c>
      <c r="Y1314" t="s">
        <v>4322</v>
      </c>
      <c r="AA1314" t="s">
        <v>4323</v>
      </c>
      <c r="AB1314" t="s">
        <v>181</v>
      </c>
    </row>
    <row r="1315" spans="1:28" x14ac:dyDescent="0.25">
      <c r="A1315" t="s">
        <v>4113</v>
      </c>
      <c r="B1315" t="s">
        <v>4114</v>
      </c>
      <c r="C1315" t="s">
        <v>646</v>
      </c>
      <c r="D1315" t="s">
        <v>3779</v>
      </c>
      <c r="E1315" t="s">
        <v>647</v>
      </c>
      <c r="F1315" t="s">
        <v>3780</v>
      </c>
      <c r="G1315" t="s">
        <v>769</v>
      </c>
      <c r="H1315" t="s">
        <v>1159</v>
      </c>
      <c r="I1315" t="s">
        <v>1913</v>
      </c>
      <c r="J1315" t="s">
        <v>1914</v>
      </c>
      <c r="K1315" t="s">
        <v>166</v>
      </c>
      <c r="L1315" t="s">
        <v>0</v>
      </c>
      <c r="M1315" t="s">
        <v>178</v>
      </c>
      <c r="N1315">
        <v>1</v>
      </c>
      <c r="O1315">
        <v>1</v>
      </c>
      <c r="P1315">
        <v>10</v>
      </c>
      <c r="Q1315">
        <v>56.64</v>
      </c>
      <c r="R1315">
        <v>11.88</v>
      </c>
      <c r="S1315">
        <v>11.09568926</v>
      </c>
      <c r="T1315">
        <v>0</v>
      </c>
      <c r="U1315">
        <v>0</v>
      </c>
      <c r="V1315">
        <v>11.88</v>
      </c>
      <c r="W1315" t="s">
        <v>1915</v>
      </c>
      <c r="X1315" t="s">
        <v>269</v>
      </c>
      <c r="Y1315" t="s">
        <v>4115</v>
      </c>
      <c r="AA1315" t="s">
        <v>4116</v>
      </c>
      <c r="AB1315" t="s">
        <v>181</v>
      </c>
    </row>
    <row r="1316" spans="1:28" x14ac:dyDescent="0.25">
      <c r="A1316" t="s">
        <v>3842</v>
      </c>
      <c r="B1316" t="s">
        <v>3843</v>
      </c>
      <c r="C1316" t="s">
        <v>646</v>
      </c>
      <c r="D1316" t="s">
        <v>3779</v>
      </c>
      <c r="E1316" t="s">
        <v>647</v>
      </c>
      <c r="F1316" t="s">
        <v>3780</v>
      </c>
      <c r="G1316" t="s">
        <v>769</v>
      </c>
      <c r="H1316" t="s">
        <v>703</v>
      </c>
      <c r="I1316" t="s">
        <v>3844</v>
      </c>
      <c r="J1316" t="s">
        <v>3845</v>
      </c>
      <c r="K1316" t="s">
        <v>166</v>
      </c>
      <c r="L1316" t="s">
        <v>0</v>
      </c>
      <c r="M1316" t="s">
        <v>178</v>
      </c>
      <c r="N1316">
        <v>1703.9170999999999</v>
      </c>
      <c r="O1316">
        <v>523.00040000000001</v>
      </c>
      <c r="P1316">
        <v>32814.410000000003</v>
      </c>
      <c r="Q1316">
        <v>61669.25</v>
      </c>
      <c r="R1316">
        <v>5943.0282924900002</v>
      </c>
      <c r="S1316">
        <v>8365.6553641499995</v>
      </c>
      <c r="T1316">
        <v>61.218292490000003</v>
      </c>
      <c r="U1316">
        <v>602</v>
      </c>
      <c r="V1316">
        <v>6539.31</v>
      </c>
      <c r="W1316" t="s">
        <v>3846</v>
      </c>
      <c r="X1316" t="s">
        <v>271</v>
      </c>
      <c r="Y1316" t="s">
        <v>3847</v>
      </c>
      <c r="AA1316" t="s">
        <v>3848</v>
      </c>
      <c r="AB1316" t="s">
        <v>181</v>
      </c>
    </row>
    <row r="1317" spans="1:28" x14ac:dyDescent="0.25">
      <c r="A1317" t="s">
        <v>4333</v>
      </c>
      <c r="B1317" t="s">
        <v>4334</v>
      </c>
      <c r="C1317" t="s">
        <v>646</v>
      </c>
      <c r="D1317" t="s">
        <v>3779</v>
      </c>
      <c r="E1317" t="s">
        <v>647</v>
      </c>
      <c r="F1317" t="s">
        <v>666</v>
      </c>
      <c r="G1317" t="s">
        <v>666</v>
      </c>
      <c r="H1317" t="s">
        <v>797</v>
      </c>
      <c r="I1317" t="s">
        <v>3649</v>
      </c>
      <c r="J1317" t="s">
        <v>1567</v>
      </c>
      <c r="K1317" t="s">
        <v>166</v>
      </c>
      <c r="L1317" t="s">
        <v>0</v>
      </c>
      <c r="M1317" t="s">
        <v>178</v>
      </c>
      <c r="N1317">
        <v>235</v>
      </c>
      <c r="O1317">
        <v>192</v>
      </c>
      <c r="P1317">
        <v>2848.37</v>
      </c>
      <c r="Q1317">
        <v>7181.45</v>
      </c>
      <c r="R1317">
        <v>787.35616851999998</v>
      </c>
      <c r="S1317">
        <v>1657.3611261000001</v>
      </c>
      <c r="T1317">
        <v>-3.83148E-3</v>
      </c>
      <c r="U1317">
        <v>0</v>
      </c>
      <c r="V1317">
        <v>787.36</v>
      </c>
      <c r="W1317" t="s">
        <v>556</v>
      </c>
      <c r="X1317" t="s">
        <v>271</v>
      </c>
      <c r="Y1317" t="s">
        <v>4335</v>
      </c>
      <c r="AA1317" t="s">
        <v>4336</v>
      </c>
      <c r="AB1317" t="s">
        <v>181</v>
      </c>
    </row>
    <row r="1318" spans="1:28" x14ac:dyDescent="0.25">
      <c r="A1318" t="s">
        <v>4039</v>
      </c>
      <c r="B1318" t="s">
        <v>4040</v>
      </c>
      <c r="C1318" t="s">
        <v>646</v>
      </c>
      <c r="D1318" t="s">
        <v>3779</v>
      </c>
      <c r="E1318" t="s">
        <v>647</v>
      </c>
      <c r="F1318" t="s">
        <v>3780</v>
      </c>
      <c r="G1318" t="s">
        <v>769</v>
      </c>
      <c r="H1318" t="s">
        <v>770</v>
      </c>
      <c r="I1318" t="s">
        <v>1595</v>
      </c>
      <c r="J1318" t="s">
        <v>544</v>
      </c>
      <c r="K1318" t="s">
        <v>166</v>
      </c>
      <c r="L1318" t="s">
        <v>0</v>
      </c>
      <c r="M1318" t="s">
        <v>178</v>
      </c>
      <c r="N1318">
        <v>504</v>
      </c>
      <c r="O1318">
        <v>171</v>
      </c>
      <c r="P1318">
        <v>5368.5</v>
      </c>
      <c r="Q1318">
        <v>10304.11</v>
      </c>
      <c r="R1318">
        <v>312.27999999999997</v>
      </c>
      <c r="S1318">
        <v>1216.2943691099999</v>
      </c>
      <c r="T1318">
        <v>0</v>
      </c>
      <c r="U1318">
        <v>0</v>
      </c>
      <c r="V1318">
        <v>312.27999999999997</v>
      </c>
      <c r="W1318" t="s">
        <v>239</v>
      </c>
      <c r="X1318" t="s">
        <v>271</v>
      </c>
      <c r="Y1318" t="s">
        <v>4041</v>
      </c>
      <c r="AA1318" t="s">
        <v>4042</v>
      </c>
      <c r="AB1318" t="s">
        <v>181</v>
      </c>
    </row>
    <row r="1319" spans="1:28" x14ac:dyDescent="0.25">
      <c r="A1319" t="s">
        <v>3956</v>
      </c>
      <c r="B1319" t="s">
        <v>3957</v>
      </c>
      <c r="C1319" t="s">
        <v>646</v>
      </c>
      <c r="D1319" t="s">
        <v>3779</v>
      </c>
      <c r="E1319" t="s">
        <v>647</v>
      </c>
      <c r="F1319" t="s">
        <v>666</v>
      </c>
      <c r="G1319" t="s">
        <v>666</v>
      </c>
      <c r="H1319" t="s">
        <v>708</v>
      </c>
      <c r="I1319" t="s">
        <v>1068</v>
      </c>
      <c r="J1319" t="s">
        <v>501</v>
      </c>
      <c r="K1319" t="s">
        <v>166</v>
      </c>
      <c r="L1319" t="s">
        <v>0</v>
      </c>
      <c r="M1319" t="s">
        <v>178</v>
      </c>
      <c r="N1319">
        <v>1783</v>
      </c>
      <c r="O1319">
        <v>0</v>
      </c>
      <c r="P1319">
        <v>35948</v>
      </c>
      <c r="Q1319">
        <v>15182.45</v>
      </c>
      <c r="R1319">
        <v>1747.65</v>
      </c>
      <c r="S1319">
        <v>0</v>
      </c>
      <c r="T1319">
        <v>0</v>
      </c>
      <c r="U1319">
        <v>0</v>
      </c>
      <c r="V1319">
        <v>1747.65</v>
      </c>
      <c r="W1319" t="s">
        <v>500</v>
      </c>
      <c r="X1319" t="s">
        <v>271</v>
      </c>
      <c r="Y1319" t="s">
        <v>3958</v>
      </c>
      <c r="AA1319" t="s">
        <v>3959</v>
      </c>
      <c r="AB1319" t="s">
        <v>181</v>
      </c>
    </row>
    <row r="1320" spans="1:28" x14ac:dyDescent="0.25">
      <c r="A1320" t="s">
        <v>3788</v>
      </c>
      <c r="B1320" t="s">
        <v>3789</v>
      </c>
      <c r="C1320" t="s">
        <v>646</v>
      </c>
      <c r="D1320" t="s">
        <v>3779</v>
      </c>
      <c r="E1320" t="s">
        <v>647</v>
      </c>
      <c r="F1320" t="s">
        <v>3780</v>
      </c>
      <c r="G1320" t="s">
        <v>769</v>
      </c>
      <c r="H1320" t="s">
        <v>770</v>
      </c>
      <c r="I1320" t="s">
        <v>3790</v>
      </c>
      <c r="J1320" t="s">
        <v>599</v>
      </c>
      <c r="K1320" t="s">
        <v>166</v>
      </c>
      <c r="L1320" t="s">
        <v>0</v>
      </c>
      <c r="M1320" t="s">
        <v>178</v>
      </c>
      <c r="N1320">
        <v>1787.35</v>
      </c>
      <c r="O1320">
        <v>945.35</v>
      </c>
      <c r="P1320">
        <v>30896.17</v>
      </c>
      <c r="Q1320">
        <v>39279.96</v>
      </c>
      <c r="R1320">
        <v>3782.08</v>
      </c>
      <c r="S1320">
        <v>5178.2687116200004</v>
      </c>
      <c r="T1320">
        <v>0</v>
      </c>
      <c r="U1320">
        <v>326.23</v>
      </c>
      <c r="V1320">
        <v>4108.3100000000004</v>
      </c>
      <c r="W1320" t="s">
        <v>598</v>
      </c>
      <c r="X1320" t="s">
        <v>271</v>
      </c>
      <c r="Y1320" t="s">
        <v>3791</v>
      </c>
      <c r="AA1320" t="s">
        <v>3792</v>
      </c>
      <c r="AB1320" t="s">
        <v>181</v>
      </c>
    </row>
    <row r="1321" spans="1:28" x14ac:dyDescent="0.25">
      <c r="A1321" t="s">
        <v>4184</v>
      </c>
      <c r="B1321" t="s">
        <v>4185</v>
      </c>
      <c r="C1321" t="s">
        <v>646</v>
      </c>
      <c r="D1321" t="s">
        <v>3779</v>
      </c>
      <c r="E1321" t="s">
        <v>647</v>
      </c>
      <c r="F1321" t="s">
        <v>3780</v>
      </c>
      <c r="G1321" t="s">
        <v>769</v>
      </c>
      <c r="H1321" t="s">
        <v>679</v>
      </c>
      <c r="I1321" t="s">
        <v>4186</v>
      </c>
      <c r="J1321" t="s">
        <v>1164</v>
      </c>
      <c r="K1321" t="s">
        <v>166</v>
      </c>
      <c r="L1321" t="s">
        <v>0</v>
      </c>
      <c r="M1321" t="s">
        <v>178</v>
      </c>
      <c r="N1321">
        <v>642.01670000000001</v>
      </c>
      <c r="O1321">
        <v>558.25</v>
      </c>
      <c r="P1321">
        <v>6260.63</v>
      </c>
      <c r="Q1321">
        <v>18116.669999999998</v>
      </c>
      <c r="R1321">
        <v>-69.523002140000003</v>
      </c>
      <c r="S1321">
        <v>6839.7541292599999</v>
      </c>
      <c r="T1321">
        <v>76.996997859999993</v>
      </c>
      <c r="U1321">
        <v>1732.69</v>
      </c>
      <c r="V1321">
        <v>1680.67</v>
      </c>
      <c r="W1321" t="s">
        <v>1165</v>
      </c>
      <c r="X1321" t="s">
        <v>271</v>
      </c>
      <c r="Y1321" t="s">
        <v>4187</v>
      </c>
      <c r="AA1321" t="s">
        <v>4188</v>
      </c>
      <c r="AB1321" t="s">
        <v>181</v>
      </c>
    </row>
    <row r="1322" spans="1:28" x14ac:dyDescent="0.25">
      <c r="A1322" t="s">
        <v>3842</v>
      </c>
      <c r="B1322" t="s">
        <v>3843</v>
      </c>
      <c r="C1322" t="s">
        <v>646</v>
      </c>
      <c r="D1322" t="s">
        <v>3779</v>
      </c>
      <c r="E1322" t="s">
        <v>647</v>
      </c>
      <c r="F1322" t="s">
        <v>3780</v>
      </c>
      <c r="G1322" t="s">
        <v>769</v>
      </c>
      <c r="H1322" t="s">
        <v>672</v>
      </c>
      <c r="I1322" t="s">
        <v>3844</v>
      </c>
      <c r="J1322" t="s">
        <v>3845</v>
      </c>
      <c r="K1322" t="s">
        <v>166</v>
      </c>
      <c r="L1322" t="s">
        <v>0</v>
      </c>
      <c r="M1322" t="s">
        <v>178</v>
      </c>
      <c r="N1322">
        <v>857</v>
      </c>
      <c r="O1322">
        <v>388</v>
      </c>
      <c r="P1322">
        <v>17346.47</v>
      </c>
      <c r="Q1322">
        <v>33435.589999999997</v>
      </c>
      <c r="R1322">
        <v>3815.09695732</v>
      </c>
      <c r="S1322">
        <v>5272.9787252100004</v>
      </c>
      <c r="T1322">
        <v>483.20695732000001</v>
      </c>
      <c r="U1322">
        <v>14</v>
      </c>
      <c r="V1322">
        <v>3834.32</v>
      </c>
      <c r="W1322" t="s">
        <v>3846</v>
      </c>
      <c r="X1322" t="s">
        <v>271</v>
      </c>
      <c r="Y1322" t="s">
        <v>3847</v>
      </c>
      <c r="AA1322" t="s">
        <v>3848</v>
      </c>
      <c r="AB1322" t="s">
        <v>181</v>
      </c>
    </row>
    <row r="1323" spans="1:28" x14ac:dyDescent="0.25">
      <c r="A1323" t="s">
        <v>3977</v>
      </c>
      <c r="B1323" t="s">
        <v>3978</v>
      </c>
      <c r="C1323" t="s">
        <v>646</v>
      </c>
      <c r="D1323" t="s">
        <v>3779</v>
      </c>
      <c r="E1323" t="s">
        <v>647</v>
      </c>
      <c r="F1323" t="s">
        <v>3780</v>
      </c>
      <c r="G1323" t="s">
        <v>769</v>
      </c>
      <c r="H1323" t="s">
        <v>672</v>
      </c>
      <c r="I1323" t="s">
        <v>1489</v>
      </c>
      <c r="J1323" t="s">
        <v>816</v>
      </c>
      <c r="K1323" t="s">
        <v>166</v>
      </c>
      <c r="L1323" t="s">
        <v>0</v>
      </c>
      <c r="M1323" t="s">
        <v>178</v>
      </c>
      <c r="N1323">
        <v>146</v>
      </c>
      <c r="O1323">
        <v>102</v>
      </c>
      <c r="P1323">
        <v>2381.17</v>
      </c>
      <c r="Q1323">
        <v>7367.57</v>
      </c>
      <c r="R1323">
        <v>1664.85242928</v>
      </c>
      <c r="S1323">
        <v>1373.3275556000001</v>
      </c>
      <c r="T1323">
        <v>0.17242927999999999</v>
      </c>
      <c r="U1323">
        <v>0</v>
      </c>
      <c r="V1323">
        <v>1664.68</v>
      </c>
      <c r="W1323" t="s">
        <v>817</v>
      </c>
      <c r="X1323" t="s">
        <v>271</v>
      </c>
      <c r="Y1323" t="s">
        <v>3979</v>
      </c>
      <c r="AA1323" t="s">
        <v>3980</v>
      </c>
      <c r="AB1323" t="s">
        <v>181</v>
      </c>
    </row>
    <row r="1324" spans="1:28" x14ac:dyDescent="0.25">
      <c r="A1324" t="s">
        <v>3981</v>
      </c>
      <c r="B1324" t="s">
        <v>3982</v>
      </c>
      <c r="C1324" t="s">
        <v>646</v>
      </c>
      <c r="D1324" t="s">
        <v>3779</v>
      </c>
      <c r="E1324" t="s">
        <v>647</v>
      </c>
      <c r="F1324" t="s">
        <v>3780</v>
      </c>
      <c r="G1324" t="s">
        <v>769</v>
      </c>
      <c r="H1324" t="s">
        <v>683</v>
      </c>
      <c r="I1324" t="s">
        <v>2384</v>
      </c>
      <c r="J1324" t="s">
        <v>447</v>
      </c>
      <c r="K1324" t="s">
        <v>166</v>
      </c>
      <c r="L1324" t="s">
        <v>0</v>
      </c>
      <c r="M1324" t="s">
        <v>178</v>
      </c>
      <c r="N1324">
        <v>1112.7777000000001</v>
      </c>
      <c r="O1324">
        <v>365.08330000000001</v>
      </c>
      <c r="P1324">
        <v>15818.82</v>
      </c>
      <c r="Q1324">
        <v>44155.95</v>
      </c>
      <c r="R1324">
        <v>3206.99117505</v>
      </c>
      <c r="S1324">
        <v>5655.2675655700004</v>
      </c>
      <c r="T1324">
        <v>254.25117505</v>
      </c>
      <c r="U1324">
        <v>116.5</v>
      </c>
      <c r="V1324">
        <v>3323.19</v>
      </c>
      <c r="W1324" t="s">
        <v>446</v>
      </c>
      <c r="X1324" t="s">
        <v>271</v>
      </c>
      <c r="Y1324" t="s">
        <v>3983</v>
      </c>
      <c r="AA1324" t="s">
        <v>3984</v>
      </c>
      <c r="AB1324" t="s">
        <v>181</v>
      </c>
    </row>
    <row r="1325" spans="1:28" x14ac:dyDescent="0.25">
      <c r="A1325" t="s">
        <v>4304</v>
      </c>
      <c r="B1325" t="s">
        <v>4305</v>
      </c>
      <c r="C1325" t="s">
        <v>646</v>
      </c>
      <c r="D1325" t="s">
        <v>3779</v>
      </c>
      <c r="E1325" t="s">
        <v>647</v>
      </c>
      <c r="F1325" t="s">
        <v>648</v>
      </c>
      <c r="G1325" t="s">
        <v>648</v>
      </c>
      <c r="H1325" t="s">
        <v>713</v>
      </c>
      <c r="I1325" t="s">
        <v>4306</v>
      </c>
      <c r="J1325" t="s">
        <v>436</v>
      </c>
      <c r="K1325" t="s">
        <v>166</v>
      </c>
      <c r="L1325" t="s">
        <v>0</v>
      </c>
      <c r="M1325" t="s">
        <v>178</v>
      </c>
      <c r="N1325">
        <v>1765</v>
      </c>
      <c r="O1325">
        <v>12</v>
      </c>
      <c r="P1325">
        <v>49573.22</v>
      </c>
      <c r="Q1325">
        <v>19877.93</v>
      </c>
      <c r="R1325">
        <v>2543.9764682499999</v>
      </c>
      <c r="S1325">
        <v>971.32680743000003</v>
      </c>
      <c r="T1325">
        <v>574.72646825000004</v>
      </c>
      <c r="U1325">
        <v>0</v>
      </c>
      <c r="V1325">
        <v>2518.0500000000002</v>
      </c>
      <c r="W1325" t="s">
        <v>0</v>
      </c>
      <c r="X1325" t="s">
        <v>271</v>
      </c>
      <c r="Y1325" t="s">
        <v>4307</v>
      </c>
      <c r="AA1325" t="s">
        <v>4101</v>
      </c>
      <c r="AB1325" t="s">
        <v>181</v>
      </c>
    </row>
    <row r="1326" spans="1:28" x14ac:dyDescent="0.25">
      <c r="A1326" t="s">
        <v>4078</v>
      </c>
      <c r="B1326" t="s">
        <v>4079</v>
      </c>
      <c r="C1326" t="s">
        <v>646</v>
      </c>
      <c r="D1326" t="s">
        <v>3779</v>
      </c>
      <c r="E1326" t="s">
        <v>647</v>
      </c>
      <c r="F1326" t="s">
        <v>3780</v>
      </c>
      <c r="G1326" t="s">
        <v>769</v>
      </c>
      <c r="H1326" t="s">
        <v>962</v>
      </c>
      <c r="I1326" t="s">
        <v>885</v>
      </c>
      <c r="J1326" t="s">
        <v>324</v>
      </c>
      <c r="K1326" t="s">
        <v>166</v>
      </c>
      <c r="L1326" t="s">
        <v>0</v>
      </c>
      <c r="M1326" t="s">
        <v>178</v>
      </c>
      <c r="N1326">
        <v>20</v>
      </c>
      <c r="O1326">
        <v>12</v>
      </c>
      <c r="P1326">
        <v>317.2</v>
      </c>
      <c r="Q1326">
        <v>990.19</v>
      </c>
      <c r="R1326">
        <v>89.38</v>
      </c>
      <c r="S1326">
        <v>86.509746440000001</v>
      </c>
      <c r="T1326">
        <v>0</v>
      </c>
      <c r="U1326">
        <v>0</v>
      </c>
      <c r="V1326">
        <v>89.38</v>
      </c>
      <c r="W1326" t="s">
        <v>519</v>
      </c>
      <c r="X1326" t="s">
        <v>271</v>
      </c>
      <c r="Y1326" t="s">
        <v>4080</v>
      </c>
      <c r="AA1326" t="s">
        <v>4081</v>
      </c>
      <c r="AB1326" t="s">
        <v>181</v>
      </c>
    </row>
    <row r="1327" spans="1:28" x14ac:dyDescent="0.25">
      <c r="A1327" t="s">
        <v>4109</v>
      </c>
      <c r="B1327" t="s">
        <v>4110</v>
      </c>
      <c r="C1327" t="s">
        <v>646</v>
      </c>
      <c r="D1327" t="s">
        <v>3779</v>
      </c>
      <c r="E1327" t="s">
        <v>647</v>
      </c>
      <c r="F1327" t="s">
        <v>3780</v>
      </c>
      <c r="G1327" t="s">
        <v>769</v>
      </c>
      <c r="H1327" t="s">
        <v>730</v>
      </c>
      <c r="I1327" t="s">
        <v>1046</v>
      </c>
      <c r="J1327" t="s">
        <v>971</v>
      </c>
      <c r="K1327" t="s">
        <v>166</v>
      </c>
      <c r="L1327" t="s">
        <v>0</v>
      </c>
      <c r="M1327" t="s">
        <v>178</v>
      </c>
      <c r="N1327">
        <v>8</v>
      </c>
      <c r="O1327">
        <v>6</v>
      </c>
      <c r="P1327">
        <v>139.27000000000001</v>
      </c>
      <c r="Q1327">
        <v>229.24</v>
      </c>
      <c r="R1327">
        <v>40.729999999999997</v>
      </c>
      <c r="S1327">
        <v>27.539132800000001</v>
      </c>
      <c r="T1327">
        <v>0</v>
      </c>
      <c r="U1327">
        <v>0</v>
      </c>
      <c r="V1327">
        <v>40.729999999999997</v>
      </c>
      <c r="W1327" t="s">
        <v>972</v>
      </c>
      <c r="X1327" t="s">
        <v>269</v>
      </c>
      <c r="Y1327" t="s">
        <v>4111</v>
      </c>
      <c r="AA1327" t="s">
        <v>4112</v>
      </c>
      <c r="AB1327" t="s">
        <v>181</v>
      </c>
    </row>
    <row r="1328" spans="1:28" x14ac:dyDescent="0.25">
      <c r="A1328" t="s">
        <v>3853</v>
      </c>
      <c r="B1328" t="s">
        <v>3854</v>
      </c>
      <c r="C1328" t="s">
        <v>646</v>
      </c>
      <c r="D1328" t="s">
        <v>3779</v>
      </c>
      <c r="E1328" t="s">
        <v>647</v>
      </c>
      <c r="F1328" t="s">
        <v>3780</v>
      </c>
      <c r="G1328" t="s">
        <v>769</v>
      </c>
      <c r="H1328" t="s">
        <v>672</v>
      </c>
      <c r="I1328" t="s">
        <v>746</v>
      </c>
      <c r="J1328" t="s">
        <v>504</v>
      </c>
      <c r="K1328" t="s">
        <v>166</v>
      </c>
      <c r="L1328" t="s">
        <v>0</v>
      </c>
      <c r="M1328" t="s">
        <v>178</v>
      </c>
      <c r="N1328">
        <v>52</v>
      </c>
      <c r="O1328">
        <v>50</v>
      </c>
      <c r="P1328">
        <v>624.83000000000004</v>
      </c>
      <c r="Q1328">
        <v>2439.12</v>
      </c>
      <c r="R1328">
        <v>479.91929489</v>
      </c>
      <c r="S1328">
        <v>621.59597099999996</v>
      </c>
      <c r="T1328">
        <v>9.2948900000000001E-3</v>
      </c>
      <c r="U1328">
        <v>0</v>
      </c>
      <c r="V1328">
        <v>479.91</v>
      </c>
      <c r="W1328" t="s">
        <v>503</v>
      </c>
      <c r="X1328" t="s">
        <v>271</v>
      </c>
      <c r="Y1328" t="s">
        <v>3855</v>
      </c>
      <c r="AA1328" t="s">
        <v>3856</v>
      </c>
      <c r="AB1328" t="s">
        <v>181</v>
      </c>
    </row>
    <row r="1329" spans="1:28" x14ac:dyDescent="0.25">
      <c r="A1329" t="s">
        <v>3819</v>
      </c>
      <c r="B1329" t="s">
        <v>3820</v>
      </c>
      <c r="C1329" t="s">
        <v>646</v>
      </c>
      <c r="D1329" t="s">
        <v>3779</v>
      </c>
      <c r="E1329" t="s">
        <v>647</v>
      </c>
      <c r="F1329" t="s">
        <v>3780</v>
      </c>
      <c r="G1329" t="s">
        <v>769</v>
      </c>
      <c r="H1329" t="s">
        <v>1171</v>
      </c>
      <c r="I1329" t="s">
        <v>798</v>
      </c>
      <c r="J1329" t="s">
        <v>524</v>
      </c>
      <c r="K1329" t="s">
        <v>166</v>
      </c>
      <c r="L1329" t="s">
        <v>0</v>
      </c>
      <c r="M1329" t="s">
        <v>178</v>
      </c>
      <c r="N1329">
        <v>282</v>
      </c>
      <c r="O1329">
        <v>272</v>
      </c>
      <c r="P1329">
        <v>6513.22</v>
      </c>
      <c r="Q1329">
        <v>79288.710000000006</v>
      </c>
      <c r="R1329">
        <v>14723.4</v>
      </c>
      <c r="S1329">
        <v>316.78803572999999</v>
      </c>
      <c r="T1329">
        <v>0</v>
      </c>
      <c r="U1329">
        <v>0</v>
      </c>
      <c r="V1329">
        <v>14723.4</v>
      </c>
      <c r="W1329" t="s">
        <v>258</v>
      </c>
      <c r="X1329" t="s">
        <v>271</v>
      </c>
      <c r="Y1329" t="s">
        <v>3821</v>
      </c>
      <c r="AA1329" t="s">
        <v>3822</v>
      </c>
      <c r="AB1329" t="s">
        <v>181</v>
      </c>
    </row>
    <row r="1330" spans="1:28" x14ac:dyDescent="0.25">
      <c r="A1330" t="s">
        <v>4361</v>
      </c>
      <c r="B1330" t="s">
        <v>4362</v>
      </c>
      <c r="C1330" t="s">
        <v>646</v>
      </c>
      <c r="D1330" t="s">
        <v>3779</v>
      </c>
      <c r="E1330" t="s">
        <v>647</v>
      </c>
      <c r="F1330" t="s">
        <v>3780</v>
      </c>
      <c r="G1330" t="s">
        <v>769</v>
      </c>
      <c r="H1330" t="s">
        <v>683</v>
      </c>
      <c r="I1330" t="s">
        <v>1712</v>
      </c>
      <c r="J1330" t="s">
        <v>335</v>
      </c>
      <c r="K1330" t="s">
        <v>166</v>
      </c>
      <c r="L1330" t="s">
        <v>0</v>
      </c>
      <c r="M1330" t="s">
        <v>178</v>
      </c>
      <c r="N1330">
        <v>103</v>
      </c>
      <c r="O1330">
        <v>98</v>
      </c>
      <c r="P1330">
        <v>2313.6</v>
      </c>
      <c r="Q1330">
        <v>3814.94</v>
      </c>
      <c r="R1330">
        <v>736.84</v>
      </c>
      <c r="S1330">
        <v>913.96771414</v>
      </c>
      <c r="T1330">
        <v>0</v>
      </c>
      <c r="U1330">
        <v>0</v>
      </c>
      <c r="V1330">
        <v>736.84</v>
      </c>
      <c r="W1330" t="s">
        <v>572</v>
      </c>
      <c r="X1330" t="s">
        <v>271</v>
      </c>
      <c r="Y1330" t="s">
        <v>4363</v>
      </c>
      <c r="AA1330" t="s">
        <v>4364</v>
      </c>
      <c r="AB1330" t="s">
        <v>181</v>
      </c>
    </row>
    <row r="1331" spans="1:28" x14ac:dyDescent="0.25">
      <c r="A1331" t="s">
        <v>4098</v>
      </c>
      <c r="B1331" t="s">
        <v>4099</v>
      </c>
      <c r="C1331" t="s">
        <v>646</v>
      </c>
      <c r="D1331" t="s">
        <v>3779</v>
      </c>
      <c r="E1331" t="s">
        <v>647</v>
      </c>
      <c r="F1331" t="s">
        <v>666</v>
      </c>
      <c r="G1331" t="s">
        <v>666</v>
      </c>
      <c r="H1331" t="s">
        <v>649</v>
      </c>
      <c r="I1331" t="s">
        <v>765</v>
      </c>
      <c r="J1331" t="s">
        <v>436</v>
      </c>
      <c r="K1331" t="s">
        <v>166</v>
      </c>
      <c r="L1331" t="s">
        <v>0</v>
      </c>
      <c r="M1331" t="s">
        <v>178</v>
      </c>
      <c r="N1331">
        <v>1301</v>
      </c>
      <c r="O1331">
        <v>1029</v>
      </c>
      <c r="P1331">
        <v>33920.120000000003</v>
      </c>
      <c r="Q1331">
        <v>78957.38</v>
      </c>
      <c r="R1331">
        <v>5893.94</v>
      </c>
      <c r="S1331">
        <v>4841.3800161299996</v>
      </c>
      <c r="T1331">
        <v>35.39</v>
      </c>
      <c r="U1331">
        <v>0</v>
      </c>
      <c r="V1331">
        <v>5893.91</v>
      </c>
      <c r="W1331" t="s">
        <v>0</v>
      </c>
      <c r="X1331" t="s">
        <v>271</v>
      </c>
      <c r="Y1331" t="s">
        <v>4100</v>
      </c>
      <c r="AA1331" t="s">
        <v>4101</v>
      </c>
      <c r="AB1331" t="s">
        <v>181</v>
      </c>
    </row>
    <row r="1332" spans="1:28" x14ac:dyDescent="0.25">
      <c r="A1332" t="s">
        <v>3973</v>
      </c>
      <c r="B1332" t="s">
        <v>3974</v>
      </c>
      <c r="C1332" t="s">
        <v>646</v>
      </c>
      <c r="D1332" t="s">
        <v>3779</v>
      </c>
      <c r="E1332" t="s">
        <v>647</v>
      </c>
      <c r="F1332" t="s">
        <v>3780</v>
      </c>
      <c r="G1332" t="s">
        <v>769</v>
      </c>
      <c r="H1332" t="s">
        <v>1045</v>
      </c>
      <c r="I1332" t="s">
        <v>880</v>
      </c>
      <c r="J1332" t="s">
        <v>881</v>
      </c>
      <c r="K1332" t="s">
        <v>166</v>
      </c>
      <c r="L1332" t="s">
        <v>0</v>
      </c>
      <c r="M1332" t="s">
        <v>178</v>
      </c>
      <c r="N1332">
        <v>102.8</v>
      </c>
      <c r="O1332">
        <v>44.5</v>
      </c>
      <c r="P1332">
        <v>1767.2</v>
      </c>
      <c r="Q1332">
        <v>24355.83</v>
      </c>
      <c r="R1332">
        <v>356.3</v>
      </c>
      <c r="S1332">
        <v>506.00358090999998</v>
      </c>
      <c r="T1332">
        <v>7.8</v>
      </c>
      <c r="U1332">
        <v>333.3</v>
      </c>
      <c r="V1332">
        <v>689.6</v>
      </c>
      <c r="W1332" t="s">
        <v>0</v>
      </c>
      <c r="X1332" t="s">
        <v>271</v>
      </c>
      <c r="Y1332" t="s">
        <v>3975</v>
      </c>
      <c r="AA1332" t="s">
        <v>3976</v>
      </c>
      <c r="AB1332" t="s">
        <v>181</v>
      </c>
    </row>
    <row r="1333" spans="1:28" x14ac:dyDescent="0.25">
      <c r="A1333" t="s">
        <v>4280</v>
      </c>
      <c r="B1333" t="s">
        <v>4281</v>
      </c>
      <c r="C1333" t="s">
        <v>646</v>
      </c>
      <c r="D1333" t="s">
        <v>3779</v>
      </c>
      <c r="E1333" t="s">
        <v>647</v>
      </c>
      <c r="F1333" t="s">
        <v>3780</v>
      </c>
      <c r="G1333" t="s">
        <v>769</v>
      </c>
      <c r="H1333" t="s">
        <v>757</v>
      </c>
      <c r="I1333" t="s">
        <v>1872</v>
      </c>
      <c r="J1333" t="s">
        <v>1873</v>
      </c>
      <c r="K1333" t="s">
        <v>166</v>
      </c>
      <c r="L1333" t="s">
        <v>0</v>
      </c>
      <c r="M1333" t="s">
        <v>178</v>
      </c>
      <c r="N1333">
        <v>478.55549999999999</v>
      </c>
      <c r="O1333">
        <v>351.55549999999999</v>
      </c>
      <c r="P1333">
        <v>10882.55</v>
      </c>
      <c r="Q1333">
        <v>23389.43</v>
      </c>
      <c r="R1333">
        <v>4600.2700000000004</v>
      </c>
      <c r="S1333">
        <v>3749.9786365999998</v>
      </c>
      <c r="T1333">
        <v>0</v>
      </c>
      <c r="U1333">
        <v>0</v>
      </c>
      <c r="V1333">
        <v>4600.2700000000004</v>
      </c>
      <c r="W1333" t="s">
        <v>1874</v>
      </c>
      <c r="X1333" t="s">
        <v>271</v>
      </c>
      <c r="Y1333" t="s">
        <v>4282</v>
      </c>
      <c r="AA1333" t="s">
        <v>4283</v>
      </c>
      <c r="AB1333" t="s">
        <v>181</v>
      </c>
    </row>
    <row r="1334" spans="1:28" x14ac:dyDescent="0.25">
      <c r="A1334" t="s">
        <v>4265</v>
      </c>
      <c r="B1334" t="s">
        <v>4266</v>
      </c>
      <c r="C1334" t="s">
        <v>646</v>
      </c>
      <c r="D1334" t="s">
        <v>3779</v>
      </c>
      <c r="E1334" t="s">
        <v>647</v>
      </c>
      <c r="F1334" t="s">
        <v>666</v>
      </c>
      <c r="G1334" t="s">
        <v>666</v>
      </c>
      <c r="H1334" t="s">
        <v>962</v>
      </c>
      <c r="I1334" t="s">
        <v>4267</v>
      </c>
      <c r="J1334" t="s">
        <v>326</v>
      </c>
      <c r="K1334" t="s">
        <v>166</v>
      </c>
      <c r="L1334" t="s">
        <v>0</v>
      </c>
      <c r="M1334" t="s">
        <v>178</v>
      </c>
      <c r="N1334">
        <v>159</v>
      </c>
      <c r="O1334">
        <v>104</v>
      </c>
      <c r="P1334">
        <v>3516.41</v>
      </c>
      <c r="Q1334">
        <v>9769.81</v>
      </c>
      <c r="R1334">
        <v>1218.2288877999999</v>
      </c>
      <c r="S1334">
        <v>1125.15193692</v>
      </c>
      <c r="T1334">
        <v>8.8877999999999995E-3</v>
      </c>
      <c r="U1334">
        <v>0</v>
      </c>
      <c r="V1334">
        <v>1218.22</v>
      </c>
      <c r="W1334" t="s">
        <v>450</v>
      </c>
      <c r="X1334" t="s">
        <v>271</v>
      </c>
      <c r="Y1334" t="s">
        <v>4268</v>
      </c>
      <c r="AA1334" t="s">
        <v>4269</v>
      </c>
      <c r="AB1334" t="s">
        <v>181</v>
      </c>
    </row>
    <row r="1335" spans="1:28" x14ac:dyDescent="0.25">
      <c r="A1335" t="s">
        <v>4143</v>
      </c>
      <c r="B1335" t="s">
        <v>4144</v>
      </c>
      <c r="C1335" t="s">
        <v>646</v>
      </c>
      <c r="D1335" t="s">
        <v>3779</v>
      </c>
      <c r="E1335" t="s">
        <v>647</v>
      </c>
      <c r="F1335" t="s">
        <v>3780</v>
      </c>
      <c r="G1335" t="s">
        <v>769</v>
      </c>
      <c r="H1335" t="s">
        <v>802</v>
      </c>
      <c r="I1335" t="s">
        <v>1828</v>
      </c>
      <c r="J1335" t="s">
        <v>1829</v>
      </c>
      <c r="K1335" t="s">
        <v>166</v>
      </c>
      <c r="L1335" t="s">
        <v>0</v>
      </c>
      <c r="M1335" t="s">
        <v>178</v>
      </c>
      <c r="N1335">
        <v>4.25</v>
      </c>
      <c r="O1335">
        <v>4.25</v>
      </c>
      <c r="P1335">
        <v>106</v>
      </c>
      <c r="Q1335">
        <v>311.63</v>
      </c>
      <c r="R1335">
        <v>95.3</v>
      </c>
      <c r="S1335">
        <v>27.285096280000001</v>
      </c>
      <c r="T1335">
        <v>0</v>
      </c>
      <c r="U1335">
        <v>0</v>
      </c>
      <c r="V1335">
        <v>95.3</v>
      </c>
      <c r="W1335" t="s">
        <v>1361</v>
      </c>
      <c r="X1335" t="s">
        <v>271</v>
      </c>
      <c r="Y1335" t="s">
        <v>4145</v>
      </c>
      <c r="AA1335" t="s">
        <v>4146</v>
      </c>
      <c r="AB1335" t="s">
        <v>181</v>
      </c>
    </row>
    <row r="1336" spans="1:28" x14ac:dyDescent="0.25">
      <c r="A1336" t="s">
        <v>3806</v>
      </c>
      <c r="B1336" t="s">
        <v>3807</v>
      </c>
      <c r="C1336" t="s">
        <v>646</v>
      </c>
      <c r="D1336" t="s">
        <v>3779</v>
      </c>
      <c r="E1336" t="s">
        <v>647</v>
      </c>
      <c r="F1336" t="s">
        <v>3780</v>
      </c>
      <c r="G1336" t="s">
        <v>769</v>
      </c>
      <c r="H1336" t="s">
        <v>717</v>
      </c>
      <c r="I1336" t="s">
        <v>2071</v>
      </c>
      <c r="J1336" t="s">
        <v>1664</v>
      </c>
      <c r="K1336" t="s">
        <v>166</v>
      </c>
      <c r="L1336" t="s">
        <v>0</v>
      </c>
      <c r="M1336" t="s">
        <v>178</v>
      </c>
      <c r="N1336">
        <v>74</v>
      </c>
      <c r="O1336">
        <v>70</v>
      </c>
      <c r="P1336">
        <v>1118</v>
      </c>
      <c r="Q1336">
        <v>3704.02</v>
      </c>
      <c r="R1336">
        <v>443.97</v>
      </c>
      <c r="S1336">
        <v>679.33118406999995</v>
      </c>
      <c r="T1336">
        <v>0</v>
      </c>
      <c r="U1336">
        <v>0</v>
      </c>
      <c r="V1336">
        <v>443.97</v>
      </c>
      <c r="W1336" t="s">
        <v>1665</v>
      </c>
      <c r="X1336" t="s">
        <v>271</v>
      </c>
      <c r="Y1336" t="s">
        <v>3808</v>
      </c>
      <c r="AA1336" t="s">
        <v>3809</v>
      </c>
      <c r="AB1336" t="s">
        <v>181</v>
      </c>
    </row>
    <row r="1337" spans="1:28" x14ac:dyDescent="0.25">
      <c r="A1337" t="s">
        <v>3948</v>
      </c>
      <c r="B1337" t="s">
        <v>3949</v>
      </c>
      <c r="C1337" t="s">
        <v>646</v>
      </c>
      <c r="D1337" t="s">
        <v>3779</v>
      </c>
      <c r="E1337" t="s">
        <v>647</v>
      </c>
      <c r="F1337" t="s">
        <v>3780</v>
      </c>
      <c r="G1337" t="s">
        <v>769</v>
      </c>
      <c r="H1337" t="s">
        <v>683</v>
      </c>
      <c r="I1337" t="s">
        <v>2250</v>
      </c>
      <c r="J1337" t="s">
        <v>358</v>
      </c>
      <c r="K1337" t="s">
        <v>166</v>
      </c>
      <c r="L1337" t="s">
        <v>0</v>
      </c>
      <c r="M1337" t="s">
        <v>178</v>
      </c>
      <c r="N1337">
        <v>262</v>
      </c>
      <c r="O1337">
        <v>6</v>
      </c>
      <c r="P1337">
        <v>3325.81</v>
      </c>
      <c r="Q1337">
        <v>14111.01</v>
      </c>
      <c r="R1337">
        <v>4109.9514902299998</v>
      </c>
      <c r="S1337">
        <v>662.13486158000001</v>
      </c>
      <c r="T1337">
        <v>1.4902299999999999E-3</v>
      </c>
      <c r="U1337">
        <v>0</v>
      </c>
      <c r="V1337">
        <v>4109.95</v>
      </c>
      <c r="W1337" t="s">
        <v>357</v>
      </c>
      <c r="X1337" t="s">
        <v>271</v>
      </c>
      <c r="Y1337" t="s">
        <v>3950</v>
      </c>
      <c r="AA1337" t="s">
        <v>3951</v>
      </c>
      <c r="AB1337" t="s">
        <v>181</v>
      </c>
    </row>
    <row r="1338" spans="1:28" x14ac:dyDescent="0.25">
      <c r="A1338" t="s">
        <v>4139</v>
      </c>
      <c r="B1338" t="s">
        <v>4140</v>
      </c>
      <c r="C1338" t="s">
        <v>646</v>
      </c>
      <c r="D1338" t="s">
        <v>3779</v>
      </c>
      <c r="E1338" t="s">
        <v>647</v>
      </c>
      <c r="F1338" t="s">
        <v>3780</v>
      </c>
      <c r="G1338" t="s">
        <v>769</v>
      </c>
      <c r="H1338" t="s">
        <v>1171</v>
      </c>
      <c r="I1338" t="s">
        <v>778</v>
      </c>
      <c r="J1338" t="s">
        <v>428</v>
      </c>
      <c r="K1338" t="s">
        <v>166</v>
      </c>
      <c r="L1338" t="s">
        <v>0</v>
      </c>
      <c r="M1338" t="s">
        <v>178</v>
      </c>
      <c r="N1338">
        <v>2</v>
      </c>
      <c r="O1338">
        <v>2</v>
      </c>
      <c r="P1338">
        <v>20</v>
      </c>
      <c r="Q1338">
        <v>190.58</v>
      </c>
      <c r="R1338">
        <v>36.270000000000003</v>
      </c>
      <c r="S1338">
        <v>3.4</v>
      </c>
      <c r="T1338">
        <v>0</v>
      </c>
      <c r="U1338">
        <v>0</v>
      </c>
      <c r="V1338">
        <v>36.270000000000003</v>
      </c>
      <c r="W1338" t="s">
        <v>547</v>
      </c>
      <c r="X1338" t="s">
        <v>271</v>
      </c>
      <c r="Y1338" t="s">
        <v>4141</v>
      </c>
      <c r="AA1338" t="s">
        <v>4142</v>
      </c>
      <c r="AB1338" t="s">
        <v>181</v>
      </c>
    </row>
    <row r="1339" spans="1:28" x14ac:dyDescent="0.25">
      <c r="A1339" t="s">
        <v>4312</v>
      </c>
      <c r="B1339" t="s">
        <v>4313</v>
      </c>
      <c r="C1339" t="s">
        <v>646</v>
      </c>
      <c r="D1339" t="s">
        <v>3779</v>
      </c>
      <c r="E1339" t="s">
        <v>647</v>
      </c>
      <c r="F1339" t="s">
        <v>3780</v>
      </c>
      <c r="G1339" t="s">
        <v>769</v>
      </c>
      <c r="H1339" t="s">
        <v>683</v>
      </c>
      <c r="I1339" t="s">
        <v>4314</v>
      </c>
      <c r="J1339" t="s">
        <v>319</v>
      </c>
      <c r="K1339" t="s">
        <v>166</v>
      </c>
      <c r="L1339" t="s">
        <v>0</v>
      </c>
      <c r="M1339" t="s">
        <v>178</v>
      </c>
      <c r="N1339">
        <v>125</v>
      </c>
      <c r="O1339">
        <v>115</v>
      </c>
      <c r="P1339">
        <v>1496.85</v>
      </c>
      <c r="Q1339">
        <v>4558.63</v>
      </c>
      <c r="R1339">
        <v>465.92</v>
      </c>
      <c r="S1339">
        <v>578.06526925000003</v>
      </c>
      <c r="T1339">
        <v>0</v>
      </c>
      <c r="U1339">
        <v>0</v>
      </c>
      <c r="V1339">
        <v>465.92</v>
      </c>
      <c r="W1339" t="s">
        <v>0</v>
      </c>
      <c r="X1339" t="s">
        <v>271</v>
      </c>
      <c r="Y1339" t="s">
        <v>4315</v>
      </c>
      <c r="AA1339" t="s">
        <v>3466</v>
      </c>
      <c r="AB1339" t="s">
        <v>181</v>
      </c>
    </row>
    <row r="1340" spans="1:28" x14ac:dyDescent="0.25">
      <c r="A1340" t="s">
        <v>4248</v>
      </c>
      <c r="B1340" t="s">
        <v>4249</v>
      </c>
      <c r="C1340" t="s">
        <v>646</v>
      </c>
      <c r="D1340" t="s">
        <v>3779</v>
      </c>
      <c r="E1340" t="s">
        <v>647</v>
      </c>
      <c r="F1340" t="s">
        <v>3780</v>
      </c>
      <c r="G1340" t="s">
        <v>769</v>
      </c>
      <c r="H1340" t="s">
        <v>679</v>
      </c>
      <c r="I1340" t="s">
        <v>1913</v>
      </c>
      <c r="J1340" t="s">
        <v>1914</v>
      </c>
      <c r="K1340" t="s">
        <v>166</v>
      </c>
      <c r="L1340" t="s">
        <v>0</v>
      </c>
      <c r="M1340" t="s">
        <v>178</v>
      </c>
      <c r="N1340">
        <v>141</v>
      </c>
      <c r="O1340">
        <v>112</v>
      </c>
      <c r="P1340">
        <v>2268.41</v>
      </c>
      <c r="Q1340">
        <v>7548.36</v>
      </c>
      <c r="R1340">
        <v>35.463441199999998</v>
      </c>
      <c r="S1340">
        <v>2436.4112558299998</v>
      </c>
      <c r="T1340">
        <v>-0.87655879999999997</v>
      </c>
      <c r="U1340">
        <v>0</v>
      </c>
      <c r="V1340">
        <v>36.340000000000003</v>
      </c>
      <c r="W1340" t="s">
        <v>1915</v>
      </c>
      <c r="X1340" t="s">
        <v>269</v>
      </c>
      <c r="Y1340" t="s">
        <v>4250</v>
      </c>
      <c r="AA1340" t="s">
        <v>4251</v>
      </c>
      <c r="AB1340" t="s">
        <v>181</v>
      </c>
    </row>
    <row r="1341" spans="1:28" x14ac:dyDescent="0.25">
      <c r="A1341" t="s">
        <v>4232</v>
      </c>
      <c r="B1341" t="s">
        <v>4233</v>
      </c>
      <c r="C1341" t="s">
        <v>646</v>
      </c>
      <c r="D1341" t="s">
        <v>3779</v>
      </c>
      <c r="E1341" t="s">
        <v>647</v>
      </c>
      <c r="F1341" t="s">
        <v>3780</v>
      </c>
      <c r="G1341" t="s">
        <v>769</v>
      </c>
      <c r="H1341" t="s">
        <v>713</v>
      </c>
      <c r="I1341" t="s">
        <v>1296</v>
      </c>
      <c r="J1341" t="s">
        <v>996</v>
      </c>
      <c r="K1341" t="s">
        <v>166</v>
      </c>
      <c r="L1341" t="s">
        <v>0</v>
      </c>
      <c r="M1341" t="s">
        <v>178</v>
      </c>
      <c r="N1341">
        <v>40.333399999999997</v>
      </c>
      <c r="O1341">
        <v>23.166699999999999</v>
      </c>
      <c r="P1341">
        <v>670.39</v>
      </c>
      <c r="Q1341">
        <v>892.06</v>
      </c>
      <c r="R1341">
        <v>112.72035194999999</v>
      </c>
      <c r="S1341">
        <v>220.74442433999999</v>
      </c>
      <c r="T1341">
        <v>3.0351949999999999E-2</v>
      </c>
      <c r="U1341">
        <v>0</v>
      </c>
      <c r="V1341">
        <v>112.69</v>
      </c>
      <c r="W1341" t="s">
        <v>1683</v>
      </c>
      <c r="X1341" t="s">
        <v>271</v>
      </c>
      <c r="Y1341" t="s">
        <v>4234</v>
      </c>
      <c r="AA1341" t="s">
        <v>4235</v>
      </c>
      <c r="AB1341" t="s">
        <v>181</v>
      </c>
    </row>
    <row r="1342" spans="1:28" x14ac:dyDescent="0.25">
      <c r="A1342" t="s">
        <v>4172</v>
      </c>
      <c r="B1342" t="s">
        <v>4173</v>
      </c>
      <c r="C1342" t="s">
        <v>646</v>
      </c>
      <c r="D1342" t="s">
        <v>3779</v>
      </c>
      <c r="E1342" t="s">
        <v>647</v>
      </c>
      <c r="F1342" t="s">
        <v>3780</v>
      </c>
      <c r="G1342" t="s">
        <v>769</v>
      </c>
      <c r="H1342" t="s">
        <v>761</v>
      </c>
      <c r="I1342" t="s">
        <v>1801</v>
      </c>
      <c r="J1342" t="s">
        <v>437</v>
      </c>
      <c r="K1342" t="s">
        <v>166</v>
      </c>
      <c r="L1342" t="s">
        <v>0</v>
      </c>
      <c r="M1342" t="s">
        <v>178</v>
      </c>
      <c r="N1342">
        <v>14.5001</v>
      </c>
      <c r="O1342">
        <v>7</v>
      </c>
      <c r="P1342">
        <v>346.64</v>
      </c>
      <c r="Q1342">
        <v>487.34</v>
      </c>
      <c r="R1342">
        <v>84.05</v>
      </c>
      <c r="S1342">
        <v>95.068474080000001</v>
      </c>
      <c r="T1342">
        <v>0</v>
      </c>
      <c r="U1342">
        <v>0</v>
      </c>
      <c r="V1342">
        <v>84.05</v>
      </c>
      <c r="W1342" t="s">
        <v>510</v>
      </c>
      <c r="X1342" t="s">
        <v>271</v>
      </c>
      <c r="Y1342" t="s">
        <v>4174</v>
      </c>
      <c r="Z1342" t="s">
        <v>4175</v>
      </c>
      <c r="AA1342" t="s">
        <v>4176</v>
      </c>
      <c r="AB1342" t="s">
        <v>181</v>
      </c>
    </row>
    <row r="1343" spans="1:28" x14ac:dyDescent="0.25">
      <c r="A1343" t="s">
        <v>3877</v>
      </c>
      <c r="B1343" t="s">
        <v>3878</v>
      </c>
      <c r="C1343" t="s">
        <v>646</v>
      </c>
      <c r="D1343" t="s">
        <v>3779</v>
      </c>
      <c r="E1343" t="s">
        <v>647</v>
      </c>
      <c r="F1343" t="s">
        <v>648</v>
      </c>
      <c r="G1343" t="s">
        <v>648</v>
      </c>
      <c r="H1343" t="s">
        <v>797</v>
      </c>
      <c r="I1343" t="s">
        <v>3879</v>
      </c>
      <c r="J1343" t="s">
        <v>3880</v>
      </c>
      <c r="K1343" t="s">
        <v>166</v>
      </c>
      <c r="L1343" t="s">
        <v>0</v>
      </c>
      <c r="M1343" t="s">
        <v>178</v>
      </c>
      <c r="N1343">
        <v>15</v>
      </c>
      <c r="O1343">
        <v>1</v>
      </c>
      <c r="P1343">
        <v>151.53</v>
      </c>
      <c r="Q1343">
        <v>566.79999999999995</v>
      </c>
      <c r="R1343">
        <v>59.84</v>
      </c>
      <c r="S1343">
        <v>26.32043543</v>
      </c>
      <c r="T1343">
        <v>0</v>
      </c>
      <c r="U1343">
        <v>0</v>
      </c>
      <c r="V1343">
        <v>59.84</v>
      </c>
      <c r="W1343" t="s">
        <v>1079</v>
      </c>
      <c r="X1343" t="s">
        <v>271</v>
      </c>
      <c r="Y1343" t="s">
        <v>3881</v>
      </c>
      <c r="AA1343" t="s">
        <v>3882</v>
      </c>
      <c r="AB1343" t="s">
        <v>181</v>
      </c>
    </row>
    <row r="1344" spans="1:28" x14ac:dyDescent="0.25">
      <c r="A1344" t="s">
        <v>3960</v>
      </c>
      <c r="B1344" t="s">
        <v>3961</v>
      </c>
      <c r="C1344" t="s">
        <v>646</v>
      </c>
      <c r="D1344" t="s">
        <v>3779</v>
      </c>
      <c r="E1344" t="s">
        <v>647</v>
      </c>
      <c r="F1344" t="s">
        <v>666</v>
      </c>
      <c r="G1344" t="s">
        <v>666</v>
      </c>
      <c r="H1344" t="s">
        <v>672</v>
      </c>
      <c r="I1344" t="s">
        <v>3962</v>
      </c>
      <c r="J1344" t="s">
        <v>575</v>
      </c>
      <c r="K1344" t="s">
        <v>166</v>
      </c>
      <c r="L1344" t="s">
        <v>0</v>
      </c>
      <c r="M1344" t="s">
        <v>178</v>
      </c>
      <c r="N1344">
        <v>1065</v>
      </c>
      <c r="O1344">
        <v>473</v>
      </c>
      <c r="P1344">
        <v>24180</v>
      </c>
      <c r="Q1344">
        <v>19730.03</v>
      </c>
      <c r="R1344">
        <v>-2661.67</v>
      </c>
      <c r="S1344">
        <v>6126.9302557199999</v>
      </c>
      <c r="T1344">
        <v>0</v>
      </c>
      <c r="U1344">
        <v>0</v>
      </c>
      <c r="V1344">
        <v>-2661.67</v>
      </c>
      <c r="W1344" t="s">
        <v>0</v>
      </c>
      <c r="X1344" t="s">
        <v>271</v>
      </c>
      <c r="Y1344" t="s">
        <v>3963</v>
      </c>
      <c r="AA1344" t="s">
        <v>3964</v>
      </c>
      <c r="AB1344" t="s">
        <v>181</v>
      </c>
    </row>
    <row r="1345" spans="1:28" x14ac:dyDescent="0.25">
      <c r="A1345" t="s">
        <v>4333</v>
      </c>
      <c r="B1345" t="s">
        <v>4334</v>
      </c>
      <c r="C1345" t="s">
        <v>646</v>
      </c>
      <c r="D1345" t="s">
        <v>3779</v>
      </c>
      <c r="E1345" t="s">
        <v>647</v>
      </c>
      <c r="F1345" t="s">
        <v>666</v>
      </c>
      <c r="G1345" t="s">
        <v>666</v>
      </c>
      <c r="H1345" t="s">
        <v>717</v>
      </c>
      <c r="I1345" t="s">
        <v>3649</v>
      </c>
      <c r="J1345" t="s">
        <v>1567</v>
      </c>
      <c r="K1345" t="s">
        <v>166</v>
      </c>
      <c r="L1345" t="s">
        <v>0</v>
      </c>
      <c r="M1345" t="s">
        <v>178</v>
      </c>
      <c r="N1345">
        <v>312</v>
      </c>
      <c r="O1345">
        <v>70</v>
      </c>
      <c r="P1345">
        <v>7182.53</v>
      </c>
      <c r="Q1345">
        <v>20522.32</v>
      </c>
      <c r="R1345">
        <v>1120.82466778</v>
      </c>
      <c r="S1345">
        <v>1375.99253107</v>
      </c>
      <c r="T1345">
        <v>1.62466778</v>
      </c>
      <c r="U1345">
        <v>0</v>
      </c>
      <c r="V1345">
        <v>1119.2</v>
      </c>
      <c r="W1345" t="s">
        <v>556</v>
      </c>
      <c r="X1345" t="s">
        <v>271</v>
      </c>
      <c r="Y1345" t="s">
        <v>4335</v>
      </c>
      <c r="AA1345" t="s">
        <v>4336</v>
      </c>
      <c r="AB1345" t="s">
        <v>181</v>
      </c>
    </row>
    <row r="1346" spans="1:28" x14ac:dyDescent="0.25">
      <c r="A1346" t="s">
        <v>3900</v>
      </c>
      <c r="B1346" t="s">
        <v>3901</v>
      </c>
      <c r="C1346" t="s">
        <v>646</v>
      </c>
      <c r="D1346" t="s">
        <v>3779</v>
      </c>
      <c r="E1346" t="s">
        <v>647</v>
      </c>
      <c r="F1346" t="s">
        <v>3780</v>
      </c>
      <c r="G1346" t="s">
        <v>769</v>
      </c>
      <c r="H1346" t="s">
        <v>761</v>
      </c>
      <c r="I1346" t="s">
        <v>3902</v>
      </c>
      <c r="J1346" t="s">
        <v>1225</v>
      </c>
      <c r="K1346" t="s">
        <v>166</v>
      </c>
      <c r="L1346" t="s">
        <v>0</v>
      </c>
      <c r="M1346" t="s">
        <v>178</v>
      </c>
      <c r="N1346">
        <v>22</v>
      </c>
      <c r="O1346">
        <v>22</v>
      </c>
      <c r="P1346">
        <v>951.38</v>
      </c>
      <c r="Q1346">
        <v>541.12</v>
      </c>
      <c r="R1346">
        <v>53.51</v>
      </c>
      <c r="S1346">
        <v>125.23084851</v>
      </c>
      <c r="T1346">
        <v>0</v>
      </c>
      <c r="U1346">
        <v>0</v>
      </c>
      <c r="V1346">
        <v>53.51</v>
      </c>
      <c r="W1346" t="s">
        <v>0</v>
      </c>
      <c r="X1346" t="s">
        <v>271</v>
      </c>
      <c r="Y1346" t="s">
        <v>3903</v>
      </c>
      <c r="AA1346" t="s">
        <v>3904</v>
      </c>
      <c r="AB1346" t="s">
        <v>181</v>
      </c>
    </row>
    <row r="1347" spans="1:28" x14ac:dyDescent="0.25">
      <c r="A1347" t="s">
        <v>4201</v>
      </c>
      <c r="B1347" t="s">
        <v>4202</v>
      </c>
      <c r="C1347" t="s">
        <v>646</v>
      </c>
      <c r="D1347" t="s">
        <v>3779</v>
      </c>
      <c r="E1347" t="s">
        <v>647</v>
      </c>
      <c r="F1347" t="s">
        <v>3780</v>
      </c>
      <c r="G1347" t="s">
        <v>769</v>
      </c>
      <c r="H1347" t="s">
        <v>909</v>
      </c>
      <c r="I1347" t="s">
        <v>4203</v>
      </c>
      <c r="J1347" t="s">
        <v>688</v>
      </c>
      <c r="K1347" t="s">
        <v>166</v>
      </c>
      <c r="L1347" t="s">
        <v>0</v>
      </c>
      <c r="M1347" t="s">
        <v>178</v>
      </c>
      <c r="N1347">
        <v>128</v>
      </c>
      <c r="O1347">
        <v>128</v>
      </c>
      <c r="P1347">
        <v>4394.1400000000003</v>
      </c>
      <c r="Q1347">
        <v>3104.47</v>
      </c>
      <c r="R1347">
        <v>407.26437813000001</v>
      </c>
      <c r="S1347">
        <v>655.66030394999996</v>
      </c>
      <c r="T1347">
        <v>5.4378129999999997E-2</v>
      </c>
      <c r="U1347">
        <v>0</v>
      </c>
      <c r="V1347">
        <v>407.21</v>
      </c>
      <c r="W1347" t="s">
        <v>0</v>
      </c>
      <c r="X1347" t="s">
        <v>271</v>
      </c>
      <c r="Y1347" t="s">
        <v>4204</v>
      </c>
      <c r="AA1347" t="s">
        <v>4205</v>
      </c>
      <c r="AB1347" t="s">
        <v>181</v>
      </c>
    </row>
    <row r="1348" spans="1:28" x14ac:dyDescent="0.25">
      <c r="A1348" t="s">
        <v>4256</v>
      </c>
      <c r="B1348" t="s">
        <v>4257</v>
      </c>
      <c r="C1348" t="s">
        <v>646</v>
      </c>
      <c r="D1348" t="s">
        <v>3779</v>
      </c>
      <c r="E1348" t="s">
        <v>647</v>
      </c>
      <c r="F1348" t="s">
        <v>3780</v>
      </c>
      <c r="G1348" t="s">
        <v>769</v>
      </c>
      <c r="H1348" t="s">
        <v>909</v>
      </c>
      <c r="I1348" t="s">
        <v>2284</v>
      </c>
      <c r="J1348" t="s">
        <v>2285</v>
      </c>
      <c r="K1348" t="s">
        <v>166</v>
      </c>
      <c r="L1348" t="s">
        <v>0</v>
      </c>
      <c r="M1348" t="s">
        <v>178</v>
      </c>
      <c r="N1348">
        <v>254.2</v>
      </c>
      <c r="O1348">
        <v>252</v>
      </c>
      <c r="P1348">
        <v>8416.02</v>
      </c>
      <c r="Q1348">
        <v>7443.36</v>
      </c>
      <c r="R1348">
        <v>2069.0279231300001</v>
      </c>
      <c r="S1348">
        <v>1068.2207120200001</v>
      </c>
      <c r="T1348">
        <v>0.44792313</v>
      </c>
      <c r="U1348">
        <v>0</v>
      </c>
      <c r="V1348">
        <v>2068.58</v>
      </c>
      <c r="W1348" t="s">
        <v>453</v>
      </c>
      <c r="X1348" t="s">
        <v>271</v>
      </c>
      <c r="Y1348" t="s">
        <v>4258</v>
      </c>
      <c r="AA1348" t="s">
        <v>4259</v>
      </c>
      <c r="AB1348" t="s">
        <v>181</v>
      </c>
    </row>
    <row r="1349" spans="1:28" x14ac:dyDescent="0.25">
      <c r="A1349" t="s">
        <v>4064</v>
      </c>
      <c r="B1349" t="s">
        <v>4065</v>
      </c>
      <c r="C1349" t="s">
        <v>646</v>
      </c>
      <c r="D1349" t="s">
        <v>3779</v>
      </c>
      <c r="E1349" t="s">
        <v>647</v>
      </c>
      <c r="F1349" t="s">
        <v>3780</v>
      </c>
      <c r="G1349" t="s">
        <v>769</v>
      </c>
      <c r="H1349" t="s">
        <v>757</v>
      </c>
      <c r="I1349" t="s">
        <v>2469</v>
      </c>
      <c r="J1349" t="s">
        <v>2470</v>
      </c>
      <c r="K1349" t="s">
        <v>166</v>
      </c>
      <c r="L1349" t="s">
        <v>0</v>
      </c>
      <c r="M1349" t="s">
        <v>178</v>
      </c>
      <c r="N1349">
        <v>162</v>
      </c>
      <c r="O1349">
        <v>162</v>
      </c>
      <c r="P1349">
        <v>2997.56</v>
      </c>
      <c r="Q1349">
        <v>5348.92</v>
      </c>
      <c r="R1349">
        <v>15.95</v>
      </c>
      <c r="S1349">
        <v>527.42052463000005</v>
      </c>
      <c r="T1349">
        <v>0</v>
      </c>
      <c r="U1349">
        <v>168.49</v>
      </c>
      <c r="V1349">
        <v>184.44</v>
      </c>
      <c r="W1349" t="s">
        <v>4066</v>
      </c>
      <c r="X1349" t="s">
        <v>271</v>
      </c>
      <c r="Y1349" t="s">
        <v>4067</v>
      </c>
      <c r="AA1349" t="s">
        <v>4068</v>
      </c>
      <c r="AB1349" t="s">
        <v>181</v>
      </c>
    </row>
    <row r="1350" spans="1:28" x14ac:dyDescent="0.25">
      <c r="A1350" t="s">
        <v>4292</v>
      </c>
      <c r="B1350" t="s">
        <v>4293</v>
      </c>
      <c r="C1350" t="s">
        <v>646</v>
      </c>
      <c r="D1350" t="s">
        <v>3779</v>
      </c>
      <c r="E1350" t="s">
        <v>647</v>
      </c>
      <c r="F1350" t="s">
        <v>3780</v>
      </c>
      <c r="G1350" t="s">
        <v>769</v>
      </c>
      <c r="H1350" t="s">
        <v>679</v>
      </c>
      <c r="I1350" t="s">
        <v>4294</v>
      </c>
      <c r="J1350" t="s">
        <v>4295</v>
      </c>
      <c r="K1350" t="s">
        <v>166</v>
      </c>
      <c r="L1350" t="s">
        <v>0</v>
      </c>
      <c r="M1350" t="s">
        <v>178</v>
      </c>
      <c r="N1350">
        <v>18</v>
      </c>
      <c r="O1350">
        <v>14</v>
      </c>
      <c r="P1350">
        <v>233.94</v>
      </c>
      <c r="Q1350">
        <v>1158.6300000000001</v>
      </c>
      <c r="R1350">
        <v>219.25370846999999</v>
      </c>
      <c r="S1350">
        <v>242.63418801</v>
      </c>
      <c r="T1350">
        <v>-0.26629153</v>
      </c>
      <c r="U1350">
        <v>0</v>
      </c>
      <c r="V1350">
        <v>219.52</v>
      </c>
      <c r="W1350" t="s">
        <v>0</v>
      </c>
      <c r="X1350" t="s">
        <v>271</v>
      </c>
      <c r="Y1350" t="s">
        <v>4296</v>
      </c>
      <c r="AA1350" t="s">
        <v>4297</v>
      </c>
      <c r="AB1350" t="s">
        <v>181</v>
      </c>
    </row>
    <row r="1351" spans="1:28" x14ac:dyDescent="0.25">
      <c r="A1351" t="s">
        <v>4280</v>
      </c>
      <c r="B1351" t="s">
        <v>4281</v>
      </c>
      <c r="C1351" t="s">
        <v>646</v>
      </c>
      <c r="D1351" t="s">
        <v>3779</v>
      </c>
      <c r="E1351" t="s">
        <v>647</v>
      </c>
      <c r="F1351" t="s">
        <v>3780</v>
      </c>
      <c r="G1351" t="s">
        <v>769</v>
      </c>
      <c r="H1351" t="s">
        <v>1171</v>
      </c>
      <c r="I1351" t="s">
        <v>1872</v>
      </c>
      <c r="J1351" t="s">
        <v>1873</v>
      </c>
      <c r="K1351" t="s">
        <v>166</v>
      </c>
      <c r="L1351" t="s">
        <v>0</v>
      </c>
      <c r="M1351" t="s">
        <v>178</v>
      </c>
      <c r="N1351">
        <v>39</v>
      </c>
      <c r="O1351">
        <v>29</v>
      </c>
      <c r="P1351">
        <v>671.8</v>
      </c>
      <c r="Q1351">
        <v>7266.41</v>
      </c>
      <c r="R1351">
        <v>1216.4422123100001</v>
      </c>
      <c r="S1351">
        <v>14.16405715</v>
      </c>
      <c r="T1351">
        <v>1.6122123100000001</v>
      </c>
      <c r="U1351">
        <v>0</v>
      </c>
      <c r="V1351">
        <v>1214.83</v>
      </c>
      <c r="W1351" t="s">
        <v>1874</v>
      </c>
      <c r="X1351" t="s">
        <v>271</v>
      </c>
      <c r="Y1351" t="s">
        <v>4282</v>
      </c>
      <c r="AA1351" t="s">
        <v>4283</v>
      </c>
      <c r="AB1351" t="s">
        <v>181</v>
      </c>
    </row>
    <row r="1352" spans="1:28" x14ac:dyDescent="0.25">
      <c r="A1352" t="s">
        <v>4035</v>
      </c>
      <c r="B1352" t="s">
        <v>4036</v>
      </c>
      <c r="C1352" t="s">
        <v>646</v>
      </c>
      <c r="D1352" t="s">
        <v>3779</v>
      </c>
      <c r="E1352" t="s">
        <v>647</v>
      </c>
      <c r="F1352" t="s">
        <v>3780</v>
      </c>
      <c r="G1352" t="s">
        <v>769</v>
      </c>
      <c r="H1352" t="s">
        <v>1171</v>
      </c>
      <c r="I1352" t="s">
        <v>3464</v>
      </c>
      <c r="J1352" t="s">
        <v>688</v>
      </c>
      <c r="K1352" t="s">
        <v>166</v>
      </c>
      <c r="L1352" t="s">
        <v>0</v>
      </c>
      <c r="M1352" t="s">
        <v>178</v>
      </c>
      <c r="N1352">
        <v>12</v>
      </c>
      <c r="O1352">
        <v>8</v>
      </c>
      <c r="P1352">
        <v>207.5</v>
      </c>
      <c r="Q1352">
        <v>853.34</v>
      </c>
      <c r="R1352">
        <v>95.23</v>
      </c>
      <c r="S1352">
        <v>43.168776450000003</v>
      </c>
      <c r="T1352">
        <v>0</v>
      </c>
      <c r="U1352">
        <v>0</v>
      </c>
      <c r="V1352">
        <v>95.23</v>
      </c>
      <c r="W1352" t="s">
        <v>0</v>
      </c>
      <c r="X1352" t="s">
        <v>271</v>
      </c>
      <c r="Y1352" t="s">
        <v>4037</v>
      </c>
      <c r="AA1352" t="s">
        <v>4038</v>
      </c>
      <c r="AB1352" t="s">
        <v>181</v>
      </c>
    </row>
    <row r="1353" spans="1:28" x14ac:dyDescent="0.25">
      <c r="A1353" t="s">
        <v>4051</v>
      </c>
      <c r="B1353" t="s">
        <v>4052</v>
      </c>
      <c r="C1353" t="s">
        <v>646</v>
      </c>
      <c r="D1353" t="s">
        <v>3779</v>
      </c>
      <c r="E1353" t="s">
        <v>647</v>
      </c>
      <c r="F1353" t="s">
        <v>3780</v>
      </c>
      <c r="G1353" t="s">
        <v>769</v>
      </c>
      <c r="H1353" t="s">
        <v>856</v>
      </c>
      <c r="I1353" t="s">
        <v>4053</v>
      </c>
      <c r="J1353" t="s">
        <v>4054</v>
      </c>
      <c r="K1353" t="s">
        <v>166</v>
      </c>
      <c r="L1353" t="s">
        <v>0</v>
      </c>
      <c r="M1353" t="s">
        <v>178</v>
      </c>
      <c r="N1353">
        <v>82</v>
      </c>
      <c r="O1353">
        <v>3</v>
      </c>
      <c r="P1353">
        <v>1017.42</v>
      </c>
      <c r="Q1353">
        <v>3610.71</v>
      </c>
      <c r="R1353">
        <v>554.36</v>
      </c>
      <c r="S1353">
        <v>143.52053000000001</v>
      </c>
      <c r="T1353">
        <v>0</v>
      </c>
      <c r="U1353">
        <v>0</v>
      </c>
      <c r="V1353">
        <v>554.36</v>
      </c>
      <c r="W1353" t="s">
        <v>2488</v>
      </c>
      <c r="X1353" t="s">
        <v>269</v>
      </c>
      <c r="Y1353" t="s">
        <v>4055</v>
      </c>
      <c r="AA1353" t="s">
        <v>4056</v>
      </c>
      <c r="AB1353" t="s">
        <v>181</v>
      </c>
    </row>
    <row r="1354" spans="1:28" x14ac:dyDescent="0.25">
      <c r="A1354" t="s">
        <v>4304</v>
      </c>
      <c r="B1354" t="s">
        <v>4305</v>
      </c>
      <c r="C1354" t="s">
        <v>646</v>
      </c>
      <c r="D1354" t="s">
        <v>3779</v>
      </c>
      <c r="E1354" t="s">
        <v>647</v>
      </c>
      <c r="F1354" t="s">
        <v>648</v>
      </c>
      <c r="G1354" t="s">
        <v>648</v>
      </c>
      <c r="H1354" t="s">
        <v>1171</v>
      </c>
      <c r="I1354" t="s">
        <v>4306</v>
      </c>
      <c r="J1354" t="s">
        <v>436</v>
      </c>
      <c r="K1354" t="s">
        <v>166</v>
      </c>
      <c r="L1354" t="s">
        <v>0</v>
      </c>
      <c r="M1354" t="s">
        <v>178</v>
      </c>
      <c r="N1354">
        <v>0</v>
      </c>
      <c r="O1354">
        <v>0</v>
      </c>
      <c r="P1354">
        <v>3</v>
      </c>
      <c r="Q1354">
        <v>18.63</v>
      </c>
      <c r="R1354">
        <v>0.82</v>
      </c>
      <c r="S1354">
        <v>0.27792947000000001</v>
      </c>
      <c r="T1354">
        <v>0</v>
      </c>
      <c r="U1354">
        <v>0</v>
      </c>
      <c r="V1354">
        <v>0.82</v>
      </c>
      <c r="W1354" t="s">
        <v>0</v>
      </c>
      <c r="X1354" t="s">
        <v>271</v>
      </c>
      <c r="Y1354" t="s">
        <v>4307</v>
      </c>
      <c r="AA1354" t="s">
        <v>4101</v>
      </c>
      <c r="AB1354" t="s">
        <v>181</v>
      </c>
    </row>
    <row r="1355" spans="1:28" x14ac:dyDescent="0.25">
      <c r="A1355" t="s">
        <v>4119</v>
      </c>
      <c r="B1355" t="s">
        <v>4120</v>
      </c>
      <c r="C1355" t="s">
        <v>646</v>
      </c>
      <c r="D1355" t="s">
        <v>3779</v>
      </c>
      <c r="E1355" t="s">
        <v>647</v>
      </c>
      <c r="F1355" t="s">
        <v>3780</v>
      </c>
      <c r="G1355" t="s">
        <v>769</v>
      </c>
      <c r="H1355" t="s">
        <v>856</v>
      </c>
      <c r="I1355" t="s">
        <v>1374</v>
      </c>
      <c r="J1355" t="s">
        <v>441</v>
      </c>
      <c r="K1355" t="s">
        <v>166</v>
      </c>
      <c r="L1355" t="s">
        <v>0</v>
      </c>
      <c r="M1355" t="s">
        <v>178</v>
      </c>
      <c r="N1355">
        <v>7</v>
      </c>
      <c r="O1355">
        <v>0</v>
      </c>
      <c r="P1355">
        <v>140</v>
      </c>
      <c r="Q1355">
        <v>720.27</v>
      </c>
      <c r="R1355">
        <v>113.35</v>
      </c>
      <c r="S1355">
        <v>42.398800000000001</v>
      </c>
      <c r="T1355">
        <v>0</v>
      </c>
      <c r="U1355">
        <v>0</v>
      </c>
      <c r="V1355">
        <v>113.35</v>
      </c>
      <c r="W1355" t="s">
        <v>440</v>
      </c>
      <c r="X1355" t="s">
        <v>271</v>
      </c>
      <c r="Y1355" t="s">
        <v>4121</v>
      </c>
      <c r="AA1355" t="s">
        <v>4122</v>
      </c>
      <c r="AB1355" t="s">
        <v>181</v>
      </c>
    </row>
    <row r="1356" spans="1:28" x14ac:dyDescent="0.25">
      <c r="A1356" t="s">
        <v>4361</v>
      </c>
      <c r="B1356" t="s">
        <v>4362</v>
      </c>
      <c r="C1356" t="s">
        <v>646</v>
      </c>
      <c r="D1356" t="s">
        <v>3779</v>
      </c>
      <c r="E1356" t="s">
        <v>647</v>
      </c>
      <c r="F1356" t="s">
        <v>3780</v>
      </c>
      <c r="G1356" t="s">
        <v>769</v>
      </c>
      <c r="H1356" t="s">
        <v>761</v>
      </c>
      <c r="I1356" t="s">
        <v>1712</v>
      </c>
      <c r="J1356" t="s">
        <v>335</v>
      </c>
      <c r="K1356" t="s">
        <v>166</v>
      </c>
      <c r="L1356" t="s">
        <v>0</v>
      </c>
      <c r="M1356" t="s">
        <v>178</v>
      </c>
      <c r="N1356">
        <v>6</v>
      </c>
      <c r="O1356">
        <v>6</v>
      </c>
      <c r="P1356">
        <v>60</v>
      </c>
      <c r="Q1356">
        <v>177.29</v>
      </c>
      <c r="R1356">
        <v>24.65</v>
      </c>
      <c r="S1356">
        <v>49.498203879999998</v>
      </c>
      <c r="T1356">
        <v>0</v>
      </c>
      <c r="U1356">
        <v>0</v>
      </c>
      <c r="V1356">
        <v>24.65</v>
      </c>
      <c r="W1356" t="s">
        <v>572</v>
      </c>
      <c r="X1356" t="s">
        <v>271</v>
      </c>
      <c r="Y1356" t="s">
        <v>4363</v>
      </c>
      <c r="AA1356" t="s">
        <v>4364</v>
      </c>
      <c r="AB1356" t="s">
        <v>181</v>
      </c>
    </row>
    <row r="1357" spans="1:28" x14ac:dyDescent="0.25">
      <c r="A1357" t="s">
        <v>3895</v>
      </c>
      <c r="B1357" t="s">
        <v>3896</v>
      </c>
      <c r="C1357" t="s">
        <v>646</v>
      </c>
      <c r="D1357" t="s">
        <v>3779</v>
      </c>
      <c r="E1357" t="s">
        <v>647</v>
      </c>
      <c r="F1357" t="s">
        <v>3780</v>
      </c>
      <c r="G1357" t="s">
        <v>769</v>
      </c>
      <c r="H1357" t="s">
        <v>1159</v>
      </c>
      <c r="I1357" t="s">
        <v>3897</v>
      </c>
      <c r="J1357" t="s">
        <v>437</v>
      </c>
      <c r="K1357" t="s">
        <v>166</v>
      </c>
      <c r="L1357" t="s">
        <v>0</v>
      </c>
      <c r="M1357" t="s">
        <v>178</v>
      </c>
      <c r="N1357">
        <v>1</v>
      </c>
      <c r="O1357">
        <v>0</v>
      </c>
      <c r="P1357">
        <v>10</v>
      </c>
      <c r="Q1357">
        <v>102.05</v>
      </c>
      <c r="R1357">
        <v>2.0499999999999998</v>
      </c>
      <c r="S1357">
        <v>5.5122294800000002</v>
      </c>
      <c r="T1357">
        <v>0</v>
      </c>
      <c r="U1357">
        <v>0</v>
      </c>
      <c r="V1357">
        <v>2.0499999999999998</v>
      </c>
      <c r="W1357" t="s">
        <v>510</v>
      </c>
      <c r="X1357" t="s">
        <v>271</v>
      </c>
      <c r="Y1357" t="s">
        <v>3898</v>
      </c>
      <c r="AA1357" t="s">
        <v>3899</v>
      </c>
      <c r="AB1357" t="s">
        <v>181</v>
      </c>
    </row>
    <row r="1358" spans="1:28" x14ac:dyDescent="0.25">
      <c r="A1358" t="s">
        <v>4252</v>
      </c>
      <c r="B1358" t="s">
        <v>4253</v>
      </c>
      <c r="C1358" t="s">
        <v>646</v>
      </c>
      <c r="D1358" t="s">
        <v>3779</v>
      </c>
      <c r="E1358" t="s">
        <v>647</v>
      </c>
      <c r="F1358" t="s">
        <v>3780</v>
      </c>
      <c r="G1358" t="s">
        <v>769</v>
      </c>
      <c r="H1358" t="s">
        <v>1515</v>
      </c>
      <c r="I1358" t="s">
        <v>1046</v>
      </c>
      <c r="J1358" t="s">
        <v>971</v>
      </c>
      <c r="K1358" t="s">
        <v>166</v>
      </c>
      <c r="L1358" t="s">
        <v>0</v>
      </c>
      <c r="M1358" t="s">
        <v>178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 t="s">
        <v>972</v>
      </c>
      <c r="X1358" t="s">
        <v>269</v>
      </c>
      <c r="Y1358" t="s">
        <v>4254</v>
      </c>
      <c r="AA1358" t="s">
        <v>4255</v>
      </c>
      <c r="AB1358" t="s">
        <v>181</v>
      </c>
    </row>
    <row r="1359" spans="1:28" x14ac:dyDescent="0.25">
      <c r="A1359" t="s">
        <v>4298</v>
      </c>
      <c r="B1359" t="s">
        <v>4299</v>
      </c>
      <c r="C1359" t="s">
        <v>646</v>
      </c>
      <c r="D1359" t="s">
        <v>3779</v>
      </c>
      <c r="E1359" t="s">
        <v>647</v>
      </c>
      <c r="F1359" t="s">
        <v>666</v>
      </c>
      <c r="G1359" t="s">
        <v>666</v>
      </c>
      <c r="H1359" t="s">
        <v>1515</v>
      </c>
      <c r="I1359" t="s">
        <v>4300</v>
      </c>
      <c r="J1359" t="s">
        <v>511</v>
      </c>
      <c r="K1359" t="s">
        <v>166</v>
      </c>
      <c r="L1359" t="s">
        <v>0</v>
      </c>
      <c r="M1359" t="s">
        <v>178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 t="s">
        <v>510</v>
      </c>
      <c r="X1359" t="s">
        <v>271</v>
      </c>
      <c r="Y1359" t="s">
        <v>4301</v>
      </c>
      <c r="Z1359" t="s">
        <v>4302</v>
      </c>
      <c r="AA1359" t="s">
        <v>4303</v>
      </c>
      <c r="AB1359" t="s">
        <v>181</v>
      </c>
    </row>
    <row r="1360" spans="1:28" x14ac:dyDescent="0.25">
      <c r="A1360" t="s">
        <v>3960</v>
      </c>
      <c r="B1360" t="s">
        <v>3961</v>
      </c>
      <c r="C1360" t="s">
        <v>646</v>
      </c>
      <c r="D1360" t="s">
        <v>3779</v>
      </c>
      <c r="E1360" t="s">
        <v>647</v>
      </c>
      <c r="F1360" t="s">
        <v>666</v>
      </c>
      <c r="G1360" t="s">
        <v>666</v>
      </c>
      <c r="H1360" t="s">
        <v>1515</v>
      </c>
      <c r="I1360" t="s">
        <v>3962</v>
      </c>
      <c r="J1360" t="s">
        <v>575</v>
      </c>
      <c r="K1360" t="s">
        <v>166</v>
      </c>
      <c r="L1360" t="s">
        <v>0</v>
      </c>
      <c r="M1360" t="s">
        <v>178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 t="s">
        <v>0</v>
      </c>
      <c r="X1360" t="s">
        <v>271</v>
      </c>
      <c r="Y1360" t="s">
        <v>3963</v>
      </c>
      <c r="AA1360" t="s">
        <v>3964</v>
      </c>
      <c r="AB1360" t="s">
        <v>181</v>
      </c>
    </row>
    <row r="1361" spans="1:28" x14ac:dyDescent="0.25">
      <c r="A1361" t="s">
        <v>3938</v>
      </c>
      <c r="B1361" t="s">
        <v>3939</v>
      </c>
      <c r="C1361" t="s">
        <v>646</v>
      </c>
      <c r="D1361" t="s">
        <v>3779</v>
      </c>
      <c r="E1361" t="s">
        <v>647</v>
      </c>
      <c r="F1361" t="s">
        <v>3780</v>
      </c>
      <c r="G1361" t="s">
        <v>769</v>
      </c>
      <c r="H1361" t="s">
        <v>1515</v>
      </c>
      <c r="I1361" t="s">
        <v>3940</v>
      </c>
      <c r="J1361" t="s">
        <v>3941</v>
      </c>
      <c r="K1361" t="s">
        <v>166</v>
      </c>
      <c r="L1361" t="s">
        <v>0</v>
      </c>
      <c r="M1361" t="s">
        <v>178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 t="s">
        <v>0</v>
      </c>
      <c r="X1361" t="s">
        <v>271</v>
      </c>
      <c r="Y1361" t="s">
        <v>3942</v>
      </c>
      <c r="AA1361" t="s">
        <v>3943</v>
      </c>
      <c r="AB1361" t="s">
        <v>181</v>
      </c>
    </row>
    <row r="1362" spans="1:28" x14ac:dyDescent="0.25">
      <c r="A1362" t="s">
        <v>4308</v>
      </c>
      <c r="B1362" t="s">
        <v>4309</v>
      </c>
      <c r="C1362" t="s">
        <v>646</v>
      </c>
      <c r="D1362" t="s">
        <v>3779</v>
      </c>
      <c r="E1362" t="s">
        <v>647</v>
      </c>
      <c r="F1362" t="s">
        <v>3780</v>
      </c>
      <c r="G1362" t="s">
        <v>769</v>
      </c>
      <c r="H1362" t="s">
        <v>1515</v>
      </c>
      <c r="I1362" t="s">
        <v>1184</v>
      </c>
      <c r="J1362" t="s">
        <v>1185</v>
      </c>
      <c r="K1362" t="s">
        <v>166</v>
      </c>
      <c r="L1362" t="s">
        <v>0</v>
      </c>
      <c r="M1362" t="s">
        <v>178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 t="s">
        <v>1186</v>
      </c>
      <c r="X1362" t="s">
        <v>271</v>
      </c>
      <c r="Y1362" t="s">
        <v>4310</v>
      </c>
      <c r="AA1362" t="s">
        <v>4311</v>
      </c>
      <c r="AB1362" t="s">
        <v>181</v>
      </c>
    </row>
    <row r="1363" spans="1:28" x14ac:dyDescent="0.25">
      <c r="A1363" t="s">
        <v>4252</v>
      </c>
      <c r="B1363" t="s">
        <v>4253</v>
      </c>
      <c r="C1363" t="s">
        <v>646</v>
      </c>
      <c r="D1363" t="s">
        <v>3779</v>
      </c>
      <c r="E1363" t="s">
        <v>647</v>
      </c>
      <c r="F1363" t="s">
        <v>3780</v>
      </c>
      <c r="G1363" t="s">
        <v>769</v>
      </c>
      <c r="H1363" t="s">
        <v>802</v>
      </c>
      <c r="I1363" t="s">
        <v>1046</v>
      </c>
      <c r="J1363" t="s">
        <v>971</v>
      </c>
      <c r="K1363" t="s">
        <v>166</v>
      </c>
      <c r="L1363" t="s">
        <v>0</v>
      </c>
      <c r="M1363" t="s">
        <v>178</v>
      </c>
      <c r="N1363">
        <v>186</v>
      </c>
      <c r="O1363">
        <v>186</v>
      </c>
      <c r="P1363">
        <v>3720</v>
      </c>
      <c r="Q1363">
        <v>9089.39</v>
      </c>
      <c r="R1363">
        <v>1362.97</v>
      </c>
      <c r="S1363">
        <v>1138.8765738300001</v>
      </c>
      <c r="T1363">
        <v>0</v>
      </c>
      <c r="U1363">
        <v>0</v>
      </c>
      <c r="V1363">
        <v>1362.97</v>
      </c>
      <c r="W1363" t="s">
        <v>972</v>
      </c>
      <c r="X1363" t="s">
        <v>269</v>
      </c>
      <c r="Y1363" t="s">
        <v>4254</v>
      </c>
      <c r="AA1363" t="s">
        <v>4255</v>
      </c>
      <c r="AB1363" t="s">
        <v>181</v>
      </c>
    </row>
    <row r="1364" spans="1:28" x14ac:dyDescent="0.25">
      <c r="A1364" t="s">
        <v>4288</v>
      </c>
      <c r="B1364" t="s">
        <v>4289</v>
      </c>
      <c r="C1364" t="s">
        <v>646</v>
      </c>
      <c r="D1364" t="s">
        <v>3779</v>
      </c>
      <c r="E1364" t="s">
        <v>647</v>
      </c>
      <c r="F1364" t="s">
        <v>3780</v>
      </c>
      <c r="G1364" t="s">
        <v>769</v>
      </c>
      <c r="H1364" t="s">
        <v>856</v>
      </c>
      <c r="I1364" t="s">
        <v>1453</v>
      </c>
      <c r="J1364" t="s">
        <v>1454</v>
      </c>
      <c r="K1364" t="s">
        <v>166</v>
      </c>
      <c r="L1364" t="s">
        <v>0</v>
      </c>
      <c r="M1364" t="s">
        <v>178</v>
      </c>
      <c r="N1364">
        <v>1</v>
      </c>
      <c r="O1364">
        <v>1</v>
      </c>
      <c r="P1364">
        <v>20.9</v>
      </c>
      <c r="Q1364">
        <v>133.76</v>
      </c>
      <c r="R1364">
        <v>34.479999999999997</v>
      </c>
      <c r="S1364">
        <v>7.7329999999999997</v>
      </c>
      <c r="T1364">
        <v>0</v>
      </c>
      <c r="U1364">
        <v>0</v>
      </c>
      <c r="V1364">
        <v>34.479999999999997</v>
      </c>
      <c r="W1364" t="s">
        <v>1455</v>
      </c>
      <c r="X1364" t="s">
        <v>271</v>
      </c>
      <c r="Y1364" t="s">
        <v>4290</v>
      </c>
      <c r="AA1364" t="s">
        <v>4291</v>
      </c>
      <c r="AB1364" t="s">
        <v>181</v>
      </c>
    </row>
    <row r="1365" spans="1:28" x14ac:dyDescent="0.25">
      <c r="A1365" t="s">
        <v>4027</v>
      </c>
      <c r="B1365" t="s">
        <v>4028</v>
      </c>
      <c r="C1365" t="s">
        <v>646</v>
      </c>
      <c r="D1365" t="s">
        <v>3779</v>
      </c>
      <c r="E1365" t="s">
        <v>647</v>
      </c>
      <c r="F1365" t="s">
        <v>3780</v>
      </c>
      <c r="G1365" t="s">
        <v>769</v>
      </c>
      <c r="H1365" t="s">
        <v>909</v>
      </c>
      <c r="I1365" t="s">
        <v>1251</v>
      </c>
      <c r="J1365" t="s">
        <v>821</v>
      </c>
      <c r="K1365" t="s">
        <v>166</v>
      </c>
      <c r="L1365" t="s">
        <v>0</v>
      </c>
      <c r="M1365" t="s">
        <v>178</v>
      </c>
      <c r="N1365">
        <v>91</v>
      </c>
      <c r="O1365">
        <v>91</v>
      </c>
      <c r="P1365">
        <v>1872</v>
      </c>
      <c r="Q1365">
        <v>1711.82</v>
      </c>
      <c r="R1365">
        <v>106.23739888</v>
      </c>
      <c r="S1365">
        <v>501.17363810000001</v>
      </c>
      <c r="T1365">
        <v>5.3173988799999998</v>
      </c>
      <c r="U1365">
        <v>0</v>
      </c>
      <c r="V1365">
        <v>100.92</v>
      </c>
      <c r="W1365" t="s">
        <v>822</v>
      </c>
      <c r="X1365" t="s">
        <v>269</v>
      </c>
      <c r="Y1365" t="s">
        <v>4029</v>
      </c>
      <c r="AA1365" t="s">
        <v>4030</v>
      </c>
      <c r="AB1365" t="s">
        <v>181</v>
      </c>
    </row>
    <row r="1366" spans="1:28" x14ac:dyDescent="0.25">
      <c r="A1366" t="s">
        <v>3797</v>
      </c>
      <c r="B1366" t="s">
        <v>3798</v>
      </c>
      <c r="C1366" t="s">
        <v>646</v>
      </c>
      <c r="D1366" t="s">
        <v>3779</v>
      </c>
      <c r="E1366" t="s">
        <v>647</v>
      </c>
      <c r="F1366" t="s">
        <v>3780</v>
      </c>
      <c r="G1366" t="s">
        <v>769</v>
      </c>
      <c r="H1366" t="s">
        <v>708</v>
      </c>
      <c r="I1366" t="s">
        <v>725</v>
      </c>
      <c r="J1366" t="s">
        <v>726</v>
      </c>
      <c r="K1366" t="s">
        <v>166</v>
      </c>
      <c r="L1366" t="s">
        <v>0</v>
      </c>
      <c r="M1366" t="s">
        <v>178</v>
      </c>
      <c r="N1366">
        <v>620.08309999999994</v>
      </c>
      <c r="O1366">
        <v>327.0831</v>
      </c>
      <c r="P1366">
        <v>4537.8900000000003</v>
      </c>
      <c r="Q1366">
        <v>15304.23</v>
      </c>
      <c r="R1366">
        <v>-1237.01865754</v>
      </c>
      <c r="S1366">
        <v>3880.9148415499999</v>
      </c>
      <c r="T1366">
        <v>4.4013424600000004</v>
      </c>
      <c r="U1366">
        <v>3048.32</v>
      </c>
      <c r="V1366">
        <v>1811.73</v>
      </c>
      <c r="W1366" t="s">
        <v>0</v>
      </c>
      <c r="X1366" t="s">
        <v>271</v>
      </c>
      <c r="Y1366" t="s">
        <v>3799</v>
      </c>
      <c r="AA1366" t="s">
        <v>3800</v>
      </c>
      <c r="AB1366" t="s">
        <v>181</v>
      </c>
    </row>
    <row r="1367" spans="1:28" x14ac:dyDescent="0.25">
      <c r="A1367" t="s">
        <v>4244</v>
      </c>
      <c r="B1367" t="s">
        <v>4245</v>
      </c>
      <c r="C1367" t="s">
        <v>646</v>
      </c>
      <c r="D1367" t="s">
        <v>3779</v>
      </c>
      <c r="E1367" t="s">
        <v>647</v>
      </c>
      <c r="F1367" t="s">
        <v>3780</v>
      </c>
      <c r="G1367" t="s">
        <v>769</v>
      </c>
      <c r="H1367" t="s">
        <v>708</v>
      </c>
      <c r="I1367" t="s">
        <v>1251</v>
      </c>
      <c r="J1367" t="s">
        <v>821</v>
      </c>
      <c r="K1367" t="s">
        <v>166</v>
      </c>
      <c r="L1367" t="s">
        <v>0</v>
      </c>
      <c r="M1367" t="s">
        <v>178</v>
      </c>
      <c r="N1367">
        <v>36.500100000000003</v>
      </c>
      <c r="O1367">
        <v>27.5001</v>
      </c>
      <c r="P1367">
        <v>151.36000000000001</v>
      </c>
      <c r="Q1367">
        <v>760.17</v>
      </c>
      <c r="R1367">
        <v>111.59</v>
      </c>
      <c r="S1367">
        <v>177.97862076000001</v>
      </c>
      <c r="T1367">
        <v>0</v>
      </c>
      <c r="U1367">
        <v>0</v>
      </c>
      <c r="V1367">
        <v>111.59</v>
      </c>
      <c r="W1367" t="s">
        <v>822</v>
      </c>
      <c r="X1367" t="s">
        <v>269</v>
      </c>
      <c r="Y1367" t="s">
        <v>4246</v>
      </c>
      <c r="AA1367" t="s">
        <v>4247</v>
      </c>
      <c r="AB1367" t="s">
        <v>181</v>
      </c>
    </row>
    <row r="1368" spans="1:28" x14ac:dyDescent="0.25">
      <c r="A1368" t="s">
        <v>4002</v>
      </c>
      <c r="B1368" t="s">
        <v>4003</v>
      </c>
      <c r="C1368" t="s">
        <v>646</v>
      </c>
      <c r="D1368" t="s">
        <v>3779</v>
      </c>
      <c r="E1368" t="s">
        <v>647</v>
      </c>
      <c r="F1368" t="s">
        <v>3780</v>
      </c>
      <c r="G1368" t="s">
        <v>769</v>
      </c>
      <c r="H1368" t="s">
        <v>703</v>
      </c>
      <c r="I1368" t="s">
        <v>2635</v>
      </c>
      <c r="J1368" t="s">
        <v>2636</v>
      </c>
      <c r="K1368" t="s">
        <v>166</v>
      </c>
      <c r="L1368" t="s">
        <v>0</v>
      </c>
      <c r="M1368" t="s">
        <v>178</v>
      </c>
      <c r="N1368">
        <v>588.93370000000004</v>
      </c>
      <c r="O1368">
        <v>263.75029999999998</v>
      </c>
      <c r="P1368">
        <v>10589.27</v>
      </c>
      <c r="Q1368">
        <v>23153.19</v>
      </c>
      <c r="R1368">
        <v>6037.6661744399998</v>
      </c>
      <c r="S1368">
        <v>3602.73914169</v>
      </c>
      <c r="T1368">
        <v>-1.3825560000000001E-2</v>
      </c>
      <c r="U1368">
        <v>0</v>
      </c>
      <c r="V1368">
        <v>6037.68</v>
      </c>
      <c r="W1368" t="s">
        <v>1609</v>
      </c>
      <c r="X1368" t="s">
        <v>271</v>
      </c>
      <c r="Y1368" t="s">
        <v>4004</v>
      </c>
      <c r="AA1368" t="s">
        <v>4005</v>
      </c>
      <c r="AB1368" t="s">
        <v>181</v>
      </c>
    </row>
    <row r="1369" spans="1:28" x14ac:dyDescent="0.25">
      <c r="A1369" t="s">
        <v>4337</v>
      </c>
      <c r="B1369" t="s">
        <v>4338</v>
      </c>
      <c r="C1369" t="s">
        <v>646</v>
      </c>
      <c r="D1369" t="s">
        <v>3779</v>
      </c>
      <c r="E1369" t="s">
        <v>647</v>
      </c>
      <c r="F1369" t="s">
        <v>3780</v>
      </c>
      <c r="G1369" t="s">
        <v>769</v>
      </c>
      <c r="H1369" t="s">
        <v>962</v>
      </c>
      <c r="I1369" t="s">
        <v>4339</v>
      </c>
      <c r="J1369" t="s">
        <v>821</v>
      </c>
      <c r="K1369" t="s">
        <v>166</v>
      </c>
      <c r="L1369" t="s">
        <v>0</v>
      </c>
      <c r="M1369" t="s">
        <v>178</v>
      </c>
      <c r="N1369">
        <v>49</v>
      </c>
      <c r="O1369">
        <v>10</v>
      </c>
      <c r="P1369">
        <v>814.68</v>
      </c>
      <c r="Q1369">
        <v>3716.86</v>
      </c>
      <c r="R1369">
        <v>691.61156770000002</v>
      </c>
      <c r="S1369">
        <v>125.56201996999999</v>
      </c>
      <c r="T1369">
        <v>1.5677E-3</v>
      </c>
      <c r="U1369">
        <v>0</v>
      </c>
      <c r="V1369">
        <v>691.61</v>
      </c>
      <c r="W1369" t="s">
        <v>822</v>
      </c>
      <c r="X1369" t="s">
        <v>269</v>
      </c>
      <c r="Y1369" t="s">
        <v>4340</v>
      </c>
      <c r="AA1369" t="s">
        <v>4341</v>
      </c>
      <c r="AB1369" t="s">
        <v>181</v>
      </c>
    </row>
    <row r="1370" spans="1:28" x14ac:dyDescent="0.25">
      <c r="A1370" t="s">
        <v>3810</v>
      </c>
      <c r="B1370" t="s">
        <v>3811</v>
      </c>
      <c r="C1370" t="s">
        <v>646</v>
      </c>
      <c r="D1370" t="s">
        <v>3779</v>
      </c>
      <c r="E1370" t="s">
        <v>647</v>
      </c>
      <c r="F1370" t="s">
        <v>3780</v>
      </c>
      <c r="G1370" t="s">
        <v>769</v>
      </c>
      <c r="H1370" t="s">
        <v>761</v>
      </c>
      <c r="I1370" t="s">
        <v>771</v>
      </c>
      <c r="J1370" t="s">
        <v>319</v>
      </c>
      <c r="K1370" t="s">
        <v>166</v>
      </c>
      <c r="L1370" t="s">
        <v>0</v>
      </c>
      <c r="M1370" t="s">
        <v>178</v>
      </c>
      <c r="N1370">
        <v>1702.6667</v>
      </c>
      <c r="O1370">
        <v>1287.6667</v>
      </c>
      <c r="P1370">
        <v>54126.63</v>
      </c>
      <c r="Q1370">
        <v>51212.49</v>
      </c>
      <c r="R1370">
        <v>4465.5285922200001</v>
      </c>
      <c r="S1370">
        <v>8798.1136735300006</v>
      </c>
      <c r="T1370">
        <v>5.8485922199999996</v>
      </c>
      <c r="U1370">
        <v>0</v>
      </c>
      <c r="V1370">
        <v>4459.68</v>
      </c>
      <c r="W1370" t="s">
        <v>0</v>
      </c>
      <c r="X1370" t="s">
        <v>271</v>
      </c>
      <c r="Y1370" t="s">
        <v>3812</v>
      </c>
      <c r="AA1370" t="s">
        <v>3813</v>
      </c>
      <c r="AB1370" t="s">
        <v>181</v>
      </c>
    </row>
    <row r="1371" spans="1:28" x14ac:dyDescent="0.25">
      <c r="A1371" t="s">
        <v>4159</v>
      </c>
      <c r="B1371" t="s">
        <v>257</v>
      </c>
      <c r="C1371" t="s">
        <v>646</v>
      </c>
      <c r="D1371" t="s">
        <v>3779</v>
      </c>
      <c r="E1371" t="s">
        <v>647</v>
      </c>
      <c r="F1371" t="s">
        <v>3780</v>
      </c>
      <c r="G1371" t="s">
        <v>769</v>
      </c>
      <c r="H1371" t="s">
        <v>909</v>
      </c>
      <c r="I1371" t="s">
        <v>673</v>
      </c>
      <c r="J1371" t="s">
        <v>674</v>
      </c>
      <c r="K1371" t="s">
        <v>166</v>
      </c>
      <c r="L1371" t="s">
        <v>0</v>
      </c>
      <c r="M1371" t="s">
        <v>178</v>
      </c>
      <c r="N1371">
        <v>3</v>
      </c>
      <c r="O1371">
        <v>3</v>
      </c>
      <c r="P1371">
        <v>20.92</v>
      </c>
      <c r="Q1371">
        <v>71.599999999999994</v>
      </c>
      <c r="R1371">
        <v>16.71</v>
      </c>
      <c r="S1371">
        <v>28.002726670000001</v>
      </c>
      <c r="T1371">
        <v>0</v>
      </c>
      <c r="U1371">
        <v>0</v>
      </c>
      <c r="V1371">
        <v>16.71</v>
      </c>
      <c r="W1371" t="s">
        <v>675</v>
      </c>
      <c r="X1371" t="s">
        <v>271</v>
      </c>
      <c r="Y1371" t="s">
        <v>4160</v>
      </c>
      <c r="AA1371" t="s">
        <v>4161</v>
      </c>
      <c r="AB1371" t="s">
        <v>181</v>
      </c>
    </row>
    <row r="1372" spans="1:28" x14ac:dyDescent="0.25">
      <c r="A1372" t="s">
        <v>4320</v>
      </c>
      <c r="B1372" t="s">
        <v>4321</v>
      </c>
      <c r="C1372" t="s">
        <v>646</v>
      </c>
      <c r="D1372" t="s">
        <v>3779</v>
      </c>
      <c r="E1372" t="s">
        <v>647</v>
      </c>
      <c r="F1372" t="s">
        <v>3780</v>
      </c>
      <c r="G1372" t="s">
        <v>769</v>
      </c>
      <c r="H1372" t="s">
        <v>802</v>
      </c>
      <c r="I1372" t="s">
        <v>1010</v>
      </c>
      <c r="J1372" t="s">
        <v>1011</v>
      </c>
      <c r="K1372" t="s">
        <v>166</v>
      </c>
      <c r="L1372" t="s">
        <v>0</v>
      </c>
      <c r="M1372" t="s">
        <v>178</v>
      </c>
      <c r="N1372">
        <v>14</v>
      </c>
      <c r="O1372">
        <v>0</v>
      </c>
      <c r="P1372">
        <v>280</v>
      </c>
      <c r="Q1372">
        <v>1130.67</v>
      </c>
      <c r="R1372">
        <v>136.6</v>
      </c>
      <c r="S1372">
        <v>0</v>
      </c>
      <c r="T1372">
        <v>0</v>
      </c>
      <c r="U1372">
        <v>0</v>
      </c>
      <c r="V1372">
        <v>136.6</v>
      </c>
      <c r="W1372" t="s">
        <v>0</v>
      </c>
      <c r="X1372" t="s">
        <v>271</v>
      </c>
      <c r="Y1372" t="s">
        <v>4322</v>
      </c>
      <c r="AA1372" t="s">
        <v>4323</v>
      </c>
      <c r="AB1372" t="s">
        <v>181</v>
      </c>
    </row>
    <row r="1373" spans="1:28" x14ac:dyDescent="0.25">
      <c r="A1373" t="s">
        <v>3861</v>
      </c>
      <c r="B1373" t="s">
        <v>3862</v>
      </c>
      <c r="C1373" t="s">
        <v>646</v>
      </c>
      <c r="D1373" t="s">
        <v>3779</v>
      </c>
      <c r="E1373" t="s">
        <v>647</v>
      </c>
      <c r="F1373" t="s">
        <v>3780</v>
      </c>
      <c r="G1373" t="s">
        <v>769</v>
      </c>
      <c r="H1373" t="s">
        <v>713</v>
      </c>
      <c r="I1373" t="s">
        <v>2065</v>
      </c>
      <c r="J1373" t="s">
        <v>2066</v>
      </c>
      <c r="K1373" t="s">
        <v>166</v>
      </c>
      <c r="L1373" t="s">
        <v>0</v>
      </c>
      <c r="M1373" t="s">
        <v>178</v>
      </c>
      <c r="N1373">
        <v>35</v>
      </c>
      <c r="O1373">
        <v>16</v>
      </c>
      <c r="P1373">
        <v>1141.2</v>
      </c>
      <c r="Q1373">
        <v>1098.1300000000001</v>
      </c>
      <c r="R1373">
        <v>272.64</v>
      </c>
      <c r="S1373">
        <v>91.560734190000005</v>
      </c>
      <c r="T1373">
        <v>0</v>
      </c>
      <c r="U1373">
        <v>0</v>
      </c>
      <c r="V1373">
        <v>272.64</v>
      </c>
      <c r="W1373" t="s">
        <v>2067</v>
      </c>
      <c r="X1373" t="s">
        <v>271</v>
      </c>
      <c r="Y1373" t="s">
        <v>3863</v>
      </c>
      <c r="AA1373" t="s">
        <v>3864</v>
      </c>
      <c r="AB1373" t="s">
        <v>181</v>
      </c>
    </row>
    <row r="1374" spans="1:28" x14ac:dyDescent="0.25">
      <c r="A1374" t="s">
        <v>4265</v>
      </c>
      <c r="B1374" t="s">
        <v>4266</v>
      </c>
      <c r="C1374" t="s">
        <v>646</v>
      </c>
      <c r="D1374" t="s">
        <v>3779</v>
      </c>
      <c r="E1374" t="s">
        <v>647</v>
      </c>
      <c r="F1374" t="s">
        <v>666</v>
      </c>
      <c r="G1374" t="s">
        <v>666</v>
      </c>
      <c r="H1374" t="s">
        <v>672</v>
      </c>
      <c r="I1374" t="s">
        <v>4267</v>
      </c>
      <c r="J1374" t="s">
        <v>326</v>
      </c>
      <c r="K1374" t="s">
        <v>166</v>
      </c>
      <c r="L1374" t="s">
        <v>0</v>
      </c>
      <c r="M1374" t="s">
        <v>178</v>
      </c>
      <c r="N1374">
        <v>242</v>
      </c>
      <c r="O1374">
        <v>115</v>
      </c>
      <c r="P1374">
        <v>5963.04</v>
      </c>
      <c r="Q1374">
        <v>10018.370000000001</v>
      </c>
      <c r="R1374">
        <v>610.11874158000001</v>
      </c>
      <c r="S1374">
        <v>1527.5188823200001</v>
      </c>
      <c r="T1374">
        <v>0.15874157999999999</v>
      </c>
      <c r="U1374">
        <v>0</v>
      </c>
      <c r="V1374">
        <v>609.96</v>
      </c>
      <c r="W1374" t="s">
        <v>450</v>
      </c>
      <c r="X1374" t="s">
        <v>271</v>
      </c>
      <c r="Y1374" t="s">
        <v>4268</v>
      </c>
      <c r="AA1374" t="s">
        <v>4269</v>
      </c>
      <c r="AB1374" t="s">
        <v>181</v>
      </c>
    </row>
    <row r="1375" spans="1:28" x14ac:dyDescent="0.25">
      <c r="A1375" t="s">
        <v>4139</v>
      </c>
      <c r="B1375" t="s">
        <v>4140</v>
      </c>
      <c r="C1375" t="s">
        <v>646</v>
      </c>
      <c r="D1375" t="s">
        <v>3779</v>
      </c>
      <c r="E1375" t="s">
        <v>647</v>
      </c>
      <c r="F1375" t="s">
        <v>3780</v>
      </c>
      <c r="G1375" t="s">
        <v>769</v>
      </c>
      <c r="H1375" t="s">
        <v>672</v>
      </c>
      <c r="I1375" t="s">
        <v>778</v>
      </c>
      <c r="J1375" t="s">
        <v>428</v>
      </c>
      <c r="K1375" t="s">
        <v>166</v>
      </c>
      <c r="L1375" t="s">
        <v>0</v>
      </c>
      <c r="M1375" t="s">
        <v>178</v>
      </c>
      <c r="N1375">
        <v>108</v>
      </c>
      <c r="O1375">
        <v>30</v>
      </c>
      <c r="P1375">
        <v>2077.79</v>
      </c>
      <c r="Q1375">
        <v>5757.28</v>
      </c>
      <c r="R1375">
        <v>964.62048998</v>
      </c>
      <c r="S1375">
        <v>761.96686240999998</v>
      </c>
      <c r="T1375">
        <v>0.10048998000000001</v>
      </c>
      <c r="U1375">
        <v>0</v>
      </c>
      <c r="V1375">
        <v>964.52</v>
      </c>
      <c r="W1375" t="s">
        <v>547</v>
      </c>
      <c r="X1375" t="s">
        <v>271</v>
      </c>
      <c r="Y1375" t="s">
        <v>4141</v>
      </c>
      <c r="AA1375" t="s">
        <v>4142</v>
      </c>
      <c r="AB1375" t="s">
        <v>181</v>
      </c>
    </row>
    <row r="1376" spans="1:28" x14ac:dyDescent="0.25">
      <c r="A1376" t="s">
        <v>4320</v>
      </c>
      <c r="B1376" t="s">
        <v>4321</v>
      </c>
      <c r="C1376" t="s">
        <v>646</v>
      </c>
      <c r="D1376" t="s">
        <v>3779</v>
      </c>
      <c r="E1376" t="s">
        <v>647</v>
      </c>
      <c r="F1376" t="s">
        <v>3780</v>
      </c>
      <c r="G1376" t="s">
        <v>769</v>
      </c>
      <c r="H1376" t="s">
        <v>713</v>
      </c>
      <c r="I1376" t="s">
        <v>1010</v>
      </c>
      <c r="J1376" t="s">
        <v>1011</v>
      </c>
      <c r="K1376" t="s">
        <v>166</v>
      </c>
      <c r="L1376" t="s">
        <v>0</v>
      </c>
      <c r="M1376" t="s">
        <v>178</v>
      </c>
      <c r="N1376">
        <v>471</v>
      </c>
      <c r="O1376">
        <v>181</v>
      </c>
      <c r="P1376">
        <v>10218.58</v>
      </c>
      <c r="Q1376">
        <v>33668.230000000003</v>
      </c>
      <c r="R1376">
        <v>1974.0701379499999</v>
      </c>
      <c r="S1376">
        <v>2958.6219754600002</v>
      </c>
      <c r="T1376">
        <v>1.43013795</v>
      </c>
      <c r="U1376">
        <v>0</v>
      </c>
      <c r="V1376">
        <v>1972.64</v>
      </c>
      <c r="W1376" t="s">
        <v>0</v>
      </c>
      <c r="X1376" t="s">
        <v>271</v>
      </c>
      <c r="Y1376" t="s">
        <v>4322</v>
      </c>
      <c r="AA1376" t="s">
        <v>4323</v>
      </c>
      <c r="AB1376" t="s">
        <v>181</v>
      </c>
    </row>
    <row r="1377" spans="1:28" x14ac:dyDescent="0.25">
      <c r="A1377" t="s">
        <v>4078</v>
      </c>
      <c r="B1377" t="s">
        <v>4079</v>
      </c>
      <c r="C1377" t="s">
        <v>646</v>
      </c>
      <c r="D1377" t="s">
        <v>3779</v>
      </c>
      <c r="E1377" t="s">
        <v>647</v>
      </c>
      <c r="F1377" t="s">
        <v>3780</v>
      </c>
      <c r="G1377" t="s">
        <v>769</v>
      </c>
      <c r="H1377" t="s">
        <v>1045</v>
      </c>
      <c r="I1377" t="s">
        <v>885</v>
      </c>
      <c r="J1377" t="s">
        <v>324</v>
      </c>
      <c r="K1377" t="s">
        <v>166</v>
      </c>
      <c r="L1377" t="s">
        <v>0</v>
      </c>
      <c r="M1377" t="s">
        <v>178</v>
      </c>
      <c r="N1377">
        <v>41.6</v>
      </c>
      <c r="O1377">
        <v>15.1</v>
      </c>
      <c r="P1377">
        <v>471.1</v>
      </c>
      <c r="Q1377">
        <v>2761.24</v>
      </c>
      <c r="R1377">
        <v>107.55</v>
      </c>
      <c r="S1377">
        <v>177.05977924000001</v>
      </c>
      <c r="T1377">
        <v>0</v>
      </c>
      <c r="U1377">
        <v>0</v>
      </c>
      <c r="V1377">
        <v>107.55</v>
      </c>
      <c r="W1377" t="s">
        <v>519</v>
      </c>
      <c r="X1377" t="s">
        <v>271</v>
      </c>
      <c r="Y1377" t="s">
        <v>4080</v>
      </c>
      <c r="AA1377" t="s">
        <v>4081</v>
      </c>
      <c r="AB1377" t="s">
        <v>181</v>
      </c>
    </row>
    <row r="1378" spans="1:28" x14ac:dyDescent="0.25">
      <c r="A1378" t="s">
        <v>3783</v>
      </c>
      <c r="B1378" t="s">
        <v>3784</v>
      </c>
      <c r="C1378" t="s">
        <v>646</v>
      </c>
      <c r="D1378" t="s">
        <v>3779</v>
      </c>
      <c r="E1378" t="s">
        <v>647</v>
      </c>
      <c r="F1378" t="s">
        <v>666</v>
      </c>
      <c r="G1378" t="s">
        <v>666</v>
      </c>
      <c r="H1378" t="s">
        <v>717</v>
      </c>
      <c r="I1378" t="s">
        <v>3785</v>
      </c>
      <c r="J1378" t="s">
        <v>432</v>
      </c>
      <c r="K1378" t="s">
        <v>166</v>
      </c>
      <c r="L1378" t="s">
        <v>0</v>
      </c>
      <c r="M1378" t="s">
        <v>178</v>
      </c>
      <c r="N1378">
        <v>49</v>
      </c>
      <c r="O1378">
        <v>24</v>
      </c>
      <c r="P1378">
        <v>672.98</v>
      </c>
      <c r="Q1378">
        <v>5002.22</v>
      </c>
      <c r="R1378">
        <v>691.53140785999994</v>
      </c>
      <c r="S1378">
        <v>73.091291080000005</v>
      </c>
      <c r="T1378">
        <v>1.1014078599999999</v>
      </c>
      <c r="U1378">
        <v>0</v>
      </c>
      <c r="V1378">
        <v>690.43</v>
      </c>
      <c r="W1378" t="s">
        <v>0</v>
      </c>
      <c r="X1378" t="s">
        <v>271</v>
      </c>
      <c r="Y1378" t="s">
        <v>3786</v>
      </c>
      <c r="AA1378" t="s">
        <v>3787</v>
      </c>
      <c r="AB1378" t="s">
        <v>181</v>
      </c>
    </row>
    <row r="1379" spans="1:28" x14ac:dyDescent="0.25">
      <c r="A1379" t="s">
        <v>4179</v>
      </c>
      <c r="B1379" t="s">
        <v>4180</v>
      </c>
      <c r="C1379" t="s">
        <v>646</v>
      </c>
      <c r="D1379" t="s">
        <v>3779</v>
      </c>
      <c r="E1379" t="s">
        <v>647</v>
      </c>
      <c r="F1379" t="s">
        <v>3780</v>
      </c>
      <c r="G1379" t="s">
        <v>769</v>
      </c>
      <c r="H1379" t="s">
        <v>649</v>
      </c>
      <c r="I1379" t="s">
        <v>4181</v>
      </c>
      <c r="J1379" t="s">
        <v>816</v>
      </c>
      <c r="K1379" t="s">
        <v>166</v>
      </c>
      <c r="L1379" t="s">
        <v>0</v>
      </c>
      <c r="M1379" t="s">
        <v>178</v>
      </c>
      <c r="N1379">
        <v>150</v>
      </c>
      <c r="O1379">
        <v>130</v>
      </c>
      <c r="P1379">
        <v>2100.5</v>
      </c>
      <c r="Q1379">
        <v>8025</v>
      </c>
      <c r="R1379">
        <v>1295.5624554599999</v>
      </c>
      <c r="S1379">
        <v>854.15008677000003</v>
      </c>
      <c r="T1379">
        <v>1.245546E-2</v>
      </c>
      <c r="U1379">
        <v>0</v>
      </c>
      <c r="V1379">
        <v>1295.55</v>
      </c>
      <c r="W1379" t="s">
        <v>1490</v>
      </c>
      <c r="X1379" t="s">
        <v>271</v>
      </c>
      <c r="Y1379" t="s">
        <v>4182</v>
      </c>
      <c r="AA1379" t="s">
        <v>4183</v>
      </c>
      <c r="AB1379" t="s">
        <v>181</v>
      </c>
    </row>
    <row r="1380" spans="1:28" x14ac:dyDescent="0.25">
      <c r="A1380" t="s">
        <v>4031</v>
      </c>
      <c r="B1380" t="s">
        <v>4032</v>
      </c>
      <c r="C1380" t="s">
        <v>646</v>
      </c>
      <c r="D1380" t="s">
        <v>3779</v>
      </c>
      <c r="E1380" t="s">
        <v>647</v>
      </c>
      <c r="F1380" t="s">
        <v>3780</v>
      </c>
      <c r="G1380" t="s">
        <v>769</v>
      </c>
      <c r="H1380" t="s">
        <v>717</v>
      </c>
      <c r="I1380" t="s">
        <v>1513</v>
      </c>
      <c r="J1380" t="s">
        <v>333</v>
      </c>
      <c r="K1380" t="s">
        <v>166</v>
      </c>
      <c r="L1380" t="s">
        <v>0</v>
      </c>
      <c r="M1380" t="s">
        <v>178</v>
      </c>
      <c r="N1380">
        <v>704</v>
      </c>
      <c r="O1380">
        <v>98</v>
      </c>
      <c r="P1380">
        <v>12118.79</v>
      </c>
      <c r="Q1380">
        <v>34537.449999999997</v>
      </c>
      <c r="R1380">
        <v>1263.8535102599999</v>
      </c>
      <c r="S1380">
        <v>776.29810624000004</v>
      </c>
      <c r="T1380">
        <v>1.34351026</v>
      </c>
      <c r="U1380">
        <v>230</v>
      </c>
      <c r="V1380">
        <v>1492.51</v>
      </c>
      <c r="W1380" t="s">
        <v>718</v>
      </c>
      <c r="X1380" t="s">
        <v>271</v>
      </c>
      <c r="Y1380" t="s">
        <v>4033</v>
      </c>
      <c r="AA1380" t="s">
        <v>4034</v>
      </c>
      <c r="AB1380" t="s">
        <v>181</v>
      </c>
    </row>
    <row r="1381" spans="1:28" x14ac:dyDescent="0.25">
      <c r="A1381" t="s">
        <v>4031</v>
      </c>
      <c r="B1381" t="s">
        <v>4032</v>
      </c>
      <c r="C1381" t="s">
        <v>646</v>
      </c>
      <c r="D1381" t="s">
        <v>3779</v>
      </c>
      <c r="E1381" t="s">
        <v>647</v>
      </c>
      <c r="F1381" t="s">
        <v>3780</v>
      </c>
      <c r="G1381" t="s">
        <v>769</v>
      </c>
      <c r="H1381" t="s">
        <v>1045</v>
      </c>
      <c r="I1381" t="s">
        <v>1513</v>
      </c>
      <c r="J1381" t="s">
        <v>333</v>
      </c>
      <c r="K1381" t="s">
        <v>166</v>
      </c>
      <c r="L1381" t="s">
        <v>0</v>
      </c>
      <c r="M1381" t="s">
        <v>178</v>
      </c>
      <c r="N1381">
        <v>171.5</v>
      </c>
      <c r="O1381">
        <v>158.5</v>
      </c>
      <c r="P1381">
        <v>1723</v>
      </c>
      <c r="Q1381">
        <v>7847.71</v>
      </c>
      <c r="R1381">
        <v>407.74</v>
      </c>
      <c r="S1381">
        <v>859.86610782000002</v>
      </c>
      <c r="T1381">
        <v>0</v>
      </c>
      <c r="U1381">
        <v>89.86</v>
      </c>
      <c r="V1381">
        <v>497.6</v>
      </c>
      <c r="W1381" t="s">
        <v>718</v>
      </c>
      <c r="X1381" t="s">
        <v>271</v>
      </c>
      <c r="Y1381" t="s">
        <v>4033</v>
      </c>
      <c r="AA1381" t="s">
        <v>4034</v>
      </c>
      <c r="AB1381" t="s">
        <v>181</v>
      </c>
    </row>
    <row r="1382" spans="1:28" x14ac:dyDescent="0.25">
      <c r="A1382" t="s">
        <v>4155</v>
      </c>
      <c r="B1382" t="s">
        <v>4156</v>
      </c>
      <c r="C1382" t="s">
        <v>646</v>
      </c>
      <c r="D1382" t="s">
        <v>3779</v>
      </c>
      <c r="E1382" t="s">
        <v>647</v>
      </c>
      <c r="F1382" t="s">
        <v>3780</v>
      </c>
      <c r="G1382" t="s">
        <v>769</v>
      </c>
      <c r="H1382" t="s">
        <v>761</v>
      </c>
      <c r="I1382" t="s">
        <v>885</v>
      </c>
      <c r="J1382" t="s">
        <v>324</v>
      </c>
      <c r="K1382" t="s">
        <v>166</v>
      </c>
      <c r="L1382" t="s">
        <v>0</v>
      </c>
      <c r="M1382" t="s">
        <v>178</v>
      </c>
      <c r="N1382">
        <v>134</v>
      </c>
      <c r="O1382">
        <v>80</v>
      </c>
      <c r="P1382">
        <v>5356.11</v>
      </c>
      <c r="Q1382">
        <v>4261.9799999999996</v>
      </c>
      <c r="R1382">
        <v>739.25</v>
      </c>
      <c r="S1382">
        <v>734.48059925999996</v>
      </c>
      <c r="T1382">
        <v>0</v>
      </c>
      <c r="U1382">
        <v>0</v>
      </c>
      <c r="V1382">
        <v>739.25</v>
      </c>
      <c r="W1382" t="s">
        <v>519</v>
      </c>
      <c r="X1382" t="s">
        <v>271</v>
      </c>
      <c r="Y1382" t="s">
        <v>4157</v>
      </c>
      <c r="AA1382" t="s">
        <v>4158</v>
      </c>
      <c r="AB1382" t="s">
        <v>181</v>
      </c>
    </row>
    <row r="1383" spans="1:28" x14ac:dyDescent="0.25">
      <c r="A1383" t="s">
        <v>3810</v>
      </c>
      <c r="B1383" t="s">
        <v>3811</v>
      </c>
      <c r="C1383" t="s">
        <v>646</v>
      </c>
      <c r="D1383" t="s">
        <v>3779</v>
      </c>
      <c r="E1383" t="s">
        <v>647</v>
      </c>
      <c r="F1383" t="s">
        <v>3780</v>
      </c>
      <c r="G1383" t="s">
        <v>769</v>
      </c>
      <c r="H1383" t="s">
        <v>909</v>
      </c>
      <c r="I1383" t="s">
        <v>771</v>
      </c>
      <c r="J1383" t="s">
        <v>319</v>
      </c>
      <c r="K1383" t="s">
        <v>166</v>
      </c>
      <c r="L1383" t="s">
        <v>0</v>
      </c>
      <c r="M1383" t="s">
        <v>178</v>
      </c>
      <c r="N1383">
        <v>1729.0833</v>
      </c>
      <c r="O1383">
        <v>1467.0833</v>
      </c>
      <c r="P1383">
        <v>44525.45</v>
      </c>
      <c r="Q1383">
        <v>81344.990000000005</v>
      </c>
      <c r="R1383">
        <v>7401.3086771400003</v>
      </c>
      <c r="S1383">
        <v>20448.043468759999</v>
      </c>
      <c r="T1383">
        <v>7.9186771399999998</v>
      </c>
      <c r="U1383">
        <v>370.77</v>
      </c>
      <c r="V1383">
        <v>7764.16</v>
      </c>
      <c r="W1383" t="s">
        <v>0</v>
      </c>
      <c r="X1383" t="s">
        <v>271</v>
      </c>
      <c r="Y1383" t="s">
        <v>3812</v>
      </c>
      <c r="AA1383" t="s">
        <v>3813</v>
      </c>
      <c r="AB1383" t="s">
        <v>181</v>
      </c>
    </row>
    <row r="1384" spans="1:28" x14ac:dyDescent="0.25">
      <c r="A1384" t="s">
        <v>3900</v>
      </c>
      <c r="B1384" t="s">
        <v>3901</v>
      </c>
      <c r="C1384" t="s">
        <v>646</v>
      </c>
      <c r="D1384" t="s">
        <v>3779</v>
      </c>
      <c r="E1384" t="s">
        <v>647</v>
      </c>
      <c r="F1384" t="s">
        <v>3780</v>
      </c>
      <c r="G1384" t="s">
        <v>769</v>
      </c>
      <c r="H1384" t="s">
        <v>708</v>
      </c>
      <c r="I1384" t="s">
        <v>3902</v>
      </c>
      <c r="J1384" t="s">
        <v>1225</v>
      </c>
      <c r="K1384" t="s">
        <v>166</v>
      </c>
      <c r="L1384" t="s">
        <v>0</v>
      </c>
      <c r="M1384" t="s">
        <v>178</v>
      </c>
      <c r="N1384">
        <v>3</v>
      </c>
      <c r="O1384">
        <v>3</v>
      </c>
      <c r="P1384">
        <v>117</v>
      </c>
      <c r="Q1384">
        <v>183.45</v>
      </c>
      <c r="R1384">
        <v>32.79</v>
      </c>
      <c r="S1384">
        <v>66.933538249999998</v>
      </c>
      <c r="T1384">
        <v>0</v>
      </c>
      <c r="U1384">
        <v>0</v>
      </c>
      <c r="V1384">
        <v>32.79</v>
      </c>
      <c r="W1384" t="s">
        <v>0</v>
      </c>
      <c r="X1384" t="s">
        <v>271</v>
      </c>
      <c r="Y1384" t="s">
        <v>3903</v>
      </c>
      <c r="AA1384" t="s">
        <v>3904</v>
      </c>
      <c r="AB1384" t="s">
        <v>181</v>
      </c>
    </row>
    <row r="1385" spans="1:28" x14ac:dyDescent="0.25">
      <c r="A1385" t="s">
        <v>3810</v>
      </c>
      <c r="B1385" t="s">
        <v>3811</v>
      </c>
      <c r="C1385" t="s">
        <v>646</v>
      </c>
      <c r="D1385" t="s">
        <v>3779</v>
      </c>
      <c r="E1385" t="s">
        <v>647</v>
      </c>
      <c r="F1385" t="s">
        <v>3780</v>
      </c>
      <c r="G1385" t="s">
        <v>769</v>
      </c>
      <c r="H1385" t="s">
        <v>770</v>
      </c>
      <c r="I1385" t="s">
        <v>771</v>
      </c>
      <c r="J1385" t="s">
        <v>319</v>
      </c>
      <c r="K1385" t="s">
        <v>166</v>
      </c>
      <c r="L1385" t="s">
        <v>0</v>
      </c>
      <c r="M1385" t="s">
        <v>178</v>
      </c>
      <c r="N1385">
        <v>814</v>
      </c>
      <c r="O1385">
        <v>224</v>
      </c>
      <c r="P1385">
        <v>7313</v>
      </c>
      <c r="Q1385">
        <v>15561.22</v>
      </c>
      <c r="R1385">
        <v>2252.2600000000002</v>
      </c>
      <c r="S1385">
        <v>2407.6004892000001</v>
      </c>
      <c r="T1385">
        <v>0</v>
      </c>
      <c r="U1385">
        <v>0</v>
      </c>
      <c r="V1385">
        <v>2252.2600000000002</v>
      </c>
      <c r="W1385" t="s">
        <v>0</v>
      </c>
      <c r="X1385" t="s">
        <v>271</v>
      </c>
      <c r="Y1385" t="s">
        <v>3812</v>
      </c>
      <c r="AA1385" t="s">
        <v>3813</v>
      </c>
      <c r="AB1385" t="s">
        <v>181</v>
      </c>
    </row>
    <row r="1386" spans="1:28" x14ac:dyDescent="0.25">
      <c r="A1386" t="s">
        <v>4201</v>
      </c>
      <c r="B1386" t="s">
        <v>4202</v>
      </c>
      <c r="C1386" t="s">
        <v>646</v>
      </c>
      <c r="D1386" t="s">
        <v>3779</v>
      </c>
      <c r="E1386" t="s">
        <v>647</v>
      </c>
      <c r="F1386" t="s">
        <v>3780</v>
      </c>
      <c r="G1386" t="s">
        <v>769</v>
      </c>
      <c r="H1386" t="s">
        <v>770</v>
      </c>
      <c r="I1386" t="s">
        <v>4203</v>
      </c>
      <c r="J1386" t="s">
        <v>688</v>
      </c>
      <c r="K1386" t="s">
        <v>166</v>
      </c>
      <c r="L1386" t="s">
        <v>0</v>
      </c>
      <c r="M1386" t="s">
        <v>178</v>
      </c>
      <c r="N1386">
        <v>40</v>
      </c>
      <c r="O1386">
        <v>1</v>
      </c>
      <c r="P1386">
        <v>819.5</v>
      </c>
      <c r="Q1386">
        <v>879.19</v>
      </c>
      <c r="R1386">
        <v>133</v>
      </c>
      <c r="S1386">
        <v>34.15</v>
      </c>
      <c r="T1386">
        <v>0</v>
      </c>
      <c r="U1386">
        <v>0</v>
      </c>
      <c r="V1386">
        <v>133</v>
      </c>
      <c r="W1386" t="s">
        <v>0</v>
      </c>
      <c r="X1386" t="s">
        <v>271</v>
      </c>
      <c r="Y1386" t="s">
        <v>4204</v>
      </c>
      <c r="AA1386" t="s">
        <v>4205</v>
      </c>
      <c r="AB1386" t="s">
        <v>181</v>
      </c>
    </row>
    <row r="1387" spans="1:28" x14ac:dyDescent="0.25">
      <c r="A1387" t="s">
        <v>3883</v>
      </c>
      <c r="B1387" t="s">
        <v>3884</v>
      </c>
      <c r="C1387" t="s">
        <v>646</v>
      </c>
      <c r="D1387" t="s">
        <v>3779</v>
      </c>
      <c r="E1387" t="s">
        <v>647</v>
      </c>
      <c r="F1387" t="s">
        <v>3780</v>
      </c>
      <c r="G1387" t="s">
        <v>769</v>
      </c>
      <c r="H1387" t="s">
        <v>683</v>
      </c>
      <c r="I1387" t="s">
        <v>3885</v>
      </c>
      <c r="J1387" t="s">
        <v>1861</v>
      </c>
      <c r="K1387" t="s">
        <v>166</v>
      </c>
      <c r="L1387" t="s">
        <v>0</v>
      </c>
      <c r="M1387" t="s">
        <v>178</v>
      </c>
      <c r="N1387">
        <v>397</v>
      </c>
      <c r="O1387">
        <v>393</v>
      </c>
      <c r="P1387">
        <v>9467.1</v>
      </c>
      <c r="Q1387">
        <v>10701.65</v>
      </c>
      <c r="R1387">
        <v>-322.55</v>
      </c>
      <c r="S1387">
        <v>4097.5567996999998</v>
      </c>
      <c r="T1387">
        <v>0</v>
      </c>
      <c r="U1387">
        <v>0</v>
      </c>
      <c r="V1387">
        <v>-322.55</v>
      </c>
      <c r="W1387" t="s">
        <v>1862</v>
      </c>
      <c r="X1387" t="s">
        <v>271</v>
      </c>
      <c r="Y1387" t="s">
        <v>3886</v>
      </c>
      <c r="AA1387" t="s">
        <v>3887</v>
      </c>
      <c r="AB1387" t="s">
        <v>181</v>
      </c>
    </row>
    <row r="1388" spans="1:28" x14ac:dyDescent="0.25">
      <c r="A1388" t="s">
        <v>4015</v>
      </c>
      <c r="B1388" t="s">
        <v>4016</v>
      </c>
      <c r="C1388" t="s">
        <v>646</v>
      </c>
      <c r="D1388" t="s">
        <v>3779</v>
      </c>
      <c r="E1388" t="s">
        <v>647</v>
      </c>
      <c r="F1388" t="s">
        <v>3780</v>
      </c>
      <c r="G1388" t="s">
        <v>769</v>
      </c>
      <c r="H1388" t="s">
        <v>770</v>
      </c>
      <c r="I1388" t="s">
        <v>4017</v>
      </c>
      <c r="J1388" t="s">
        <v>4018</v>
      </c>
      <c r="K1388" t="s">
        <v>166</v>
      </c>
      <c r="L1388" t="s">
        <v>0</v>
      </c>
      <c r="M1388" t="s">
        <v>178</v>
      </c>
      <c r="N1388">
        <v>11</v>
      </c>
      <c r="O1388">
        <v>7</v>
      </c>
      <c r="P1388">
        <v>129</v>
      </c>
      <c r="Q1388">
        <v>266.26</v>
      </c>
      <c r="R1388">
        <v>28.59</v>
      </c>
      <c r="S1388">
        <v>31.312150089999999</v>
      </c>
      <c r="T1388">
        <v>0</v>
      </c>
      <c r="U1388">
        <v>0</v>
      </c>
      <c r="V1388">
        <v>28.59</v>
      </c>
      <c r="W1388" t="s">
        <v>4019</v>
      </c>
      <c r="X1388" t="s">
        <v>271</v>
      </c>
      <c r="Y1388" t="s">
        <v>4020</v>
      </c>
      <c r="AA1388" t="s">
        <v>4021</v>
      </c>
      <c r="AB1388" t="s">
        <v>181</v>
      </c>
    </row>
    <row r="1389" spans="1:28" x14ac:dyDescent="0.25">
      <c r="A1389" t="s">
        <v>3842</v>
      </c>
      <c r="B1389" t="s">
        <v>3843</v>
      </c>
      <c r="C1389" t="s">
        <v>646</v>
      </c>
      <c r="D1389" t="s">
        <v>3779</v>
      </c>
      <c r="E1389" t="s">
        <v>647</v>
      </c>
      <c r="F1389" t="s">
        <v>3780</v>
      </c>
      <c r="G1389" t="s">
        <v>769</v>
      </c>
      <c r="H1389" t="s">
        <v>797</v>
      </c>
      <c r="I1389" t="s">
        <v>3844</v>
      </c>
      <c r="J1389" t="s">
        <v>3845</v>
      </c>
      <c r="K1389" t="s">
        <v>166</v>
      </c>
      <c r="L1389" t="s">
        <v>0</v>
      </c>
      <c r="M1389" t="s">
        <v>178</v>
      </c>
      <c r="N1389">
        <v>13</v>
      </c>
      <c r="O1389">
        <v>1</v>
      </c>
      <c r="P1389">
        <v>130</v>
      </c>
      <c r="Q1389">
        <v>403.33</v>
      </c>
      <c r="R1389">
        <v>154.69999999999999</v>
      </c>
      <c r="S1389">
        <v>22.233888220000001</v>
      </c>
      <c r="T1389">
        <v>0</v>
      </c>
      <c r="U1389">
        <v>0</v>
      </c>
      <c r="V1389">
        <v>154.69999999999999</v>
      </c>
      <c r="W1389" t="s">
        <v>3846</v>
      </c>
      <c r="X1389" t="s">
        <v>271</v>
      </c>
      <c r="Y1389" t="s">
        <v>3847</v>
      </c>
      <c r="AA1389" t="s">
        <v>3848</v>
      </c>
      <c r="AB1389" t="s">
        <v>181</v>
      </c>
    </row>
    <row r="1390" spans="1:28" x14ac:dyDescent="0.25">
      <c r="A1390" t="s">
        <v>4069</v>
      </c>
      <c r="B1390" t="s">
        <v>4070</v>
      </c>
      <c r="C1390" t="s">
        <v>646</v>
      </c>
      <c r="D1390" t="s">
        <v>3779</v>
      </c>
      <c r="E1390" t="s">
        <v>647</v>
      </c>
      <c r="F1390" t="s">
        <v>3780</v>
      </c>
      <c r="G1390" t="s">
        <v>769</v>
      </c>
      <c r="H1390" t="s">
        <v>757</v>
      </c>
      <c r="I1390" t="s">
        <v>4071</v>
      </c>
      <c r="J1390" t="s">
        <v>785</v>
      </c>
      <c r="K1390" t="s">
        <v>166</v>
      </c>
      <c r="L1390" t="s">
        <v>0</v>
      </c>
      <c r="M1390" t="s">
        <v>178</v>
      </c>
      <c r="N1390">
        <v>68</v>
      </c>
      <c r="O1390">
        <v>68</v>
      </c>
      <c r="P1390">
        <v>1670.03</v>
      </c>
      <c r="Q1390">
        <v>4927.71</v>
      </c>
      <c r="R1390">
        <v>158.78</v>
      </c>
      <c r="S1390">
        <v>377.09522177000002</v>
      </c>
      <c r="T1390">
        <v>0</v>
      </c>
      <c r="U1390">
        <v>0</v>
      </c>
      <c r="V1390">
        <v>158.78</v>
      </c>
      <c r="W1390" t="s">
        <v>0</v>
      </c>
      <c r="X1390" t="s">
        <v>271</v>
      </c>
      <c r="Y1390" t="s">
        <v>4072</v>
      </c>
      <c r="AA1390" t="s">
        <v>4073</v>
      </c>
      <c r="AB1390" t="s">
        <v>181</v>
      </c>
    </row>
    <row r="1391" spans="1:28" x14ac:dyDescent="0.25">
      <c r="A1391" t="s">
        <v>4320</v>
      </c>
      <c r="B1391" t="s">
        <v>4321</v>
      </c>
      <c r="C1391" t="s">
        <v>646</v>
      </c>
      <c r="D1391" t="s">
        <v>3779</v>
      </c>
      <c r="E1391" t="s">
        <v>647</v>
      </c>
      <c r="F1391" t="s">
        <v>3780</v>
      </c>
      <c r="G1391" t="s">
        <v>769</v>
      </c>
      <c r="H1391" t="s">
        <v>962</v>
      </c>
      <c r="I1391" t="s">
        <v>1010</v>
      </c>
      <c r="J1391" t="s">
        <v>1011</v>
      </c>
      <c r="K1391" t="s">
        <v>166</v>
      </c>
      <c r="L1391" t="s">
        <v>0</v>
      </c>
      <c r="M1391" t="s">
        <v>178</v>
      </c>
      <c r="N1391">
        <v>573</v>
      </c>
      <c r="O1391">
        <v>568</v>
      </c>
      <c r="P1391">
        <v>9125.9599999999991</v>
      </c>
      <c r="Q1391">
        <v>27928.92</v>
      </c>
      <c r="R1391">
        <v>3415.1077706400001</v>
      </c>
      <c r="S1391">
        <v>4404.5887476300004</v>
      </c>
      <c r="T1391">
        <v>5.7770639999999998E-2</v>
      </c>
      <c r="U1391">
        <v>0</v>
      </c>
      <c r="V1391">
        <v>3415.05</v>
      </c>
      <c r="W1391" t="s">
        <v>0</v>
      </c>
      <c r="X1391" t="s">
        <v>271</v>
      </c>
      <c r="Y1391" t="s">
        <v>4322</v>
      </c>
      <c r="AA1391" t="s">
        <v>4323</v>
      </c>
      <c r="AB1391" t="s">
        <v>181</v>
      </c>
    </row>
    <row r="1392" spans="1:28" x14ac:dyDescent="0.25">
      <c r="A1392" t="s">
        <v>4109</v>
      </c>
      <c r="B1392" t="s">
        <v>4110</v>
      </c>
      <c r="C1392" t="s">
        <v>646</v>
      </c>
      <c r="D1392" t="s">
        <v>3779</v>
      </c>
      <c r="E1392" t="s">
        <v>647</v>
      </c>
      <c r="F1392" t="s">
        <v>3780</v>
      </c>
      <c r="G1392" t="s">
        <v>769</v>
      </c>
      <c r="H1392" t="s">
        <v>856</v>
      </c>
      <c r="I1392" t="s">
        <v>1046</v>
      </c>
      <c r="J1392" t="s">
        <v>971</v>
      </c>
      <c r="K1392" t="s">
        <v>166</v>
      </c>
      <c r="L1392" t="s">
        <v>0</v>
      </c>
      <c r="M1392" t="s">
        <v>178</v>
      </c>
      <c r="N1392">
        <v>6</v>
      </c>
      <c r="O1392">
        <v>5</v>
      </c>
      <c r="P1392">
        <v>111.92</v>
      </c>
      <c r="Q1392">
        <v>1202.23</v>
      </c>
      <c r="R1392">
        <v>125.26</v>
      </c>
      <c r="S1392">
        <v>31.769667999999999</v>
      </c>
      <c r="T1392">
        <v>0</v>
      </c>
      <c r="U1392">
        <v>0</v>
      </c>
      <c r="V1392">
        <v>125.26</v>
      </c>
      <c r="W1392" t="s">
        <v>972</v>
      </c>
      <c r="X1392" t="s">
        <v>269</v>
      </c>
      <c r="Y1392" t="s">
        <v>4111</v>
      </c>
      <c r="AA1392" t="s">
        <v>4112</v>
      </c>
      <c r="AB1392" t="s">
        <v>181</v>
      </c>
    </row>
    <row r="1393" spans="1:28" x14ac:dyDescent="0.25">
      <c r="A1393" t="s">
        <v>3909</v>
      </c>
      <c r="B1393" t="s">
        <v>3910</v>
      </c>
      <c r="C1393" t="s">
        <v>646</v>
      </c>
      <c r="D1393" t="s">
        <v>3779</v>
      </c>
      <c r="E1393" t="s">
        <v>647</v>
      </c>
      <c r="F1393" t="s">
        <v>666</v>
      </c>
      <c r="G1393" t="s">
        <v>666</v>
      </c>
      <c r="H1393" t="s">
        <v>713</v>
      </c>
      <c r="I1393" t="s">
        <v>3911</v>
      </c>
      <c r="J1393" t="s">
        <v>355</v>
      </c>
      <c r="K1393" t="s">
        <v>166</v>
      </c>
      <c r="L1393" t="s">
        <v>0</v>
      </c>
      <c r="M1393" t="s">
        <v>178</v>
      </c>
      <c r="N1393">
        <v>896</v>
      </c>
      <c r="O1393">
        <v>1</v>
      </c>
      <c r="P1393">
        <v>25871.87</v>
      </c>
      <c r="Q1393">
        <v>10330.75</v>
      </c>
      <c r="R1393">
        <v>3366.8</v>
      </c>
      <c r="S1393">
        <v>42.395101390000001</v>
      </c>
      <c r="T1393">
        <v>0</v>
      </c>
      <c r="U1393">
        <v>0</v>
      </c>
      <c r="V1393">
        <v>3366.8</v>
      </c>
      <c r="W1393" t="s">
        <v>0</v>
      </c>
      <c r="X1393" t="s">
        <v>271</v>
      </c>
      <c r="Y1393" t="s">
        <v>3912</v>
      </c>
      <c r="AA1393" t="s">
        <v>3894</v>
      </c>
      <c r="AB1393" t="s">
        <v>181</v>
      </c>
    </row>
    <row r="1394" spans="1:28" x14ac:dyDescent="0.25">
      <c r="A1394" t="s">
        <v>3783</v>
      </c>
      <c r="B1394" t="s">
        <v>3784</v>
      </c>
      <c r="C1394" t="s">
        <v>646</v>
      </c>
      <c r="D1394" t="s">
        <v>3779</v>
      </c>
      <c r="E1394" t="s">
        <v>647</v>
      </c>
      <c r="F1394" t="s">
        <v>666</v>
      </c>
      <c r="G1394" t="s">
        <v>666</v>
      </c>
      <c r="H1394" t="s">
        <v>1159</v>
      </c>
      <c r="I1394" t="s">
        <v>3785</v>
      </c>
      <c r="J1394" t="s">
        <v>432</v>
      </c>
      <c r="K1394" t="s">
        <v>166</v>
      </c>
      <c r="L1394" t="s">
        <v>0</v>
      </c>
      <c r="M1394" t="s">
        <v>178</v>
      </c>
      <c r="N1394">
        <v>2</v>
      </c>
      <c r="O1394">
        <v>2</v>
      </c>
      <c r="P1394">
        <v>19.12</v>
      </c>
      <c r="Q1394">
        <v>96.68</v>
      </c>
      <c r="R1394">
        <v>18.059999999999999</v>
      </c>
      <c r="S1394">
        <v>26.9786</v>
      </c>
      <c r="T1394">
        <v>0</v>
      </c>
      <c r="U1394">
        <v>0</v>
      </c>
      <c r="V1394">
        <v>18.059999999999999</v>
      </c>
      <c r="W1394" t="s">
        <v>0</v>
      </c>
      <c r="X1394" t="s">
        <v>271</v>
      </c>
      <c r="Y1394" t="s">
        <v>3786</v>
      </c>
      <c r="AA1394" t="s">
        <v>3787</v>
      </c>
      <c r="AB1394" t="s">
        <v>181</v>
      </c>
    </row>
    <row r="1395" spans="1:28" x14ac:dyDescent="0.25">
      <c r="A1395" t="s">
        <v>4228</v>
      </c>
      <c r="B1395" t="s">
        <v>4229</v>
      </c>
      <c r="C1395" t="s">
        <v>646</v>
      </c>
      <c r="D1395" t="s">
        <v>3779</v>
      </c>
      <c r="E1395" t="s">
        <v>647</v>
      </c>
      <c r="F1395" t="s">
        <v>3780</v>
      </c>
      <c r="G1395" t="s">
        <v>769</v>
      </c>
      <c r="H1395" t="s">
        <v>1171</v>
      </c>
      <c r="I1395" t="s">
        <v>1971</v>
      </c>
      <c r="J1395" t="s">
        <v>1972</v>
      </c>
      <c r="K1395" t="s">
        <v>166</v>
      </c>
      <c r="L1395" t="s">
        <v>0</v>
      </c>
      <c r="M1395" t="s">
        <v>178</v>
      </c>
      <c r="N1395">
        <v>14</v>
      </c>
      <c r="O1395">
        <v>13</v>
      </c>
      <c r="P1395">
        <v>280.8</v>
      </c>
      <c r="Q1395">
        <v>2806.27</v>
      </c>
      <c r="R1395">
        <v>202.20410906999999</v>
      </c>
      <c r="S1395">
        <v>8.8099405700000002</v>
      </c>
      <c r="T1395">
        <v>0.82410907</v>
      </c>
      <c r="U1395">
        <v>0</v>
      </c>
      <c r="V1395">
        <v>201.38</v>
      </c>
      <c r="W1395" t="s">
        <v>1973</v>
      </c>
      <c r="X1395" t="s">
        <v>271</v>
      </c>
      <c r="Y1395" t="s">
        <v>4230</v>
      </c>
      <c r="AA1395" t="s">
        <v>4231</v>
      </c>
      <c r="AB1395" t="s">
        <v>181</v>
      </c>
    </row>
    <row r="1396" spans="1:28" x14ac:dyDescent="0.25">
      <c r="A1396" t="s">
        <v>3981</v>
      </c>
      <c r="B1396" t="s">
        <v>3982</v>
      </c>
      <c r="C1396" t="s">
        <v>646</v>
      </c>
      <c r="D1396" t="s">
        <v>3779</v>
      </c>
      <c r="E1396" t="s">
        <v>647</v>
      </c>
      <c r="F1396" t="s">
        <v>3780</v>
      </c>
      <c r="G1396" t="s">
        <v>769</v>
      </c>
      <c r="H1396" t="s">
        <v>1515</v>
      </c>
      <c r="I1396" t="s">
        <v>2384</v>
      </c>
      <c r="J1396" t="s">
        <v>447</v>
      </c>
      <c r="K1396" t="s">
        <v>166</v>
      </c>
      <c r="L1396" t="s">
        <v>0</v>
      </c>
      <c r="M1396" t="s">
        <v>178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 t="s">
        <v>446</v>
      </c>
      <c r="X1396" t="s">
        <v>271</v>
      </c>
      <c r="Y1396" t="s">
        <v>3983</v>
      </c>
      <c r="AA1396" t="s">
        <v>3984</v>
      </c>
      <c r="AB1396" t="s">
        <v>181</v>
      </c>
    </row>
    <row r="1397" spans="1:28" x14ac:dyDescent="0.25">
      <c r="A1397" t="s">
        <v>3909</v>
      </c>
      <c r="B1397" t="s">
        <v>3910</v>
      </c>
      <c r="C1397" t="s">
        <v>646</v>
      </c>
      <c r="D1397" t="s">
        <v>3779</v>
      </c>
      <c r="E1397" t="s">
        <v>647</v>
      </c>
      <c r="F1397" t="s">
        <v>666</v>
      </c>
      <c r="G1397" t="s">
        <v>666</v>
      </c>
      <c r="H1397" t="s">
        <v>1515</v>
      </c>
      <c r="I1397" t="s">
        <v>3911</v>
      </c>
      <c r="J1397" t="s">
        <v>355</v>
      </c>
      <c r="K1397" t="s">
        <v>166</v>
      </c>
      <c r="L1397" t="s">
        <v>0</v>
      </c>
      <c r="M1397" t="s">
        <v>178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 t="s">
        <v>0</v>
      </c>
      <c r="X1397" t="s">
        <v>271</v>
      </c>
      <c r="Y1397" t="s">
        <v>3912</v>
      </c>
      <c r="AA1397" t="s">
        <v>3894</v>
      </c>
      <c r="AB1397" t="s">
        <v>181</v>
      </c>
    </row>
    <row r="1398" spans="1:28" x14ac:dyDescent="0.25">
      <c r="A1398" t="s">
        <v>3960</v>
      </c>
      <c r="B1398" t="s">
        <v>3961</v>
      </c>
      <c r="C1398" t="s">
        <v>646</v>
      </c>
      <c r="D1398" t="s">
        <v>3779</v>
      </c>
      <c r="E1398" t="s">
        <v>647</v>
      </c>
      <c r="F1398" t="s">
        <v>666</v>
      </c>
      <c r="G1398" t="s">
        <v>666</v>
      </c>
      <c r="H1398" t="s">
        <v>649</v>
      </c>
      <c r="I1398" t="s">
        <v>3962</v>
      </c>
      <c r="J1398" t="s">
        <v>575</v>
      </c>
      <c r="K1398" t="s">
        <v>166</v>
      </c>
      <c r="L1398" t="s">
        <v>0</v>
      </c>
      <c r="M1398" t="s">
        <v>178</v>
      </c>
      <c r="N1398">
        <v>959</v>
      </c>
      <c r="O1398">
        <v>90</v>
      </c>
      <c r="P1398">
        <v>19771</v>
      </c>
      <c r="Q1398">
        <v>27165.3</v>
      </c>
      <c r="R1398">
        <v>4603.74</v>
      </c>
      <c r="S1398">
        <v>1178.4926126</v>
      </c>
      <c r="T1398">
        <v>0</v>
      </c>
      <c r="U1398">
        <v>0</v>
      </c>
      <c r="V1398">
        <v>4603.74</v>
      </c>
      <c r="W1398" t="s">
        <v>0</v>
      </c>
      <c r="X1398" t="s">
        <v>271</v>
      </c>
      <c r="Y1398" t="s">
        <v>3963</v>
      </c>
      <c r="AA1398" t="s">
        <v>3964</v>
      </c>
      <c r="AB1398" t="s">
        <v>181</v>
      </c>
    </row>
    <row r="1399" spans="1:28" x14ac:dyDescent="0.25">
      <c r="A1399" t="s">
        <v>4043</v>
      </c>
      <c r="B1399" t="s">
        <v>4044</v>
      </c>
      <c r="C1399" t="s">
        <v>646</v>
      </c>
      <c r="D1399" t="s">
        <v>3779</v>
      </c>
      <c r="E1399" t="s">
        <v>647</v>
      </c>
      <c r="F1399" t="s">
        <v>666</v>
      </c>
      <c r="G1399" t="s">
        <v>666</v>
      </c>
      <c r="H1399" t="s">
        <v>1171</v>
      </c>
      <c r="I1399" t="s">
        <v>1431</v>
      </c>
      <c r="J1399" t="s">
        <v>1432</v>
      </c>
      <c r="K1399" t="s">
        <v>166</v>
      </c>
      <c r="L1399" t="s">
        <v>0</v>
      </c>
      <c r="M1399" t="s">
        <v>178</v>
      </c>
      <c r="N1399">
        <v>69</v>
      </c>
      <c r="O1399">
        <v>38</v>
      </c>
      <c r="P1399">
        <v>2194.6999999999998</v>
      </c>
      <c r="Q1399">
        <v>17451.669999999998</v>
      </c>
      <c r="R1399">
        <v>1500.23995027</v>
      </c>
      <c r="S1399">
        <v>179.21485109</v>
      </c>
      <c r="T1399">
        <v>1.6599502699999999</v>
      </c>
      <c r="U1399">
        <v>0</v>
      </c>
      <c r="V1399">
        <v>1498.58</v>
      </c>
      <c r="W1399" t="s">
        <v>1433</v>
      </c>
      <c r="X1399" t="s">
        <v>271</v>
      </c>
      <c r="Y1399" t="s">
        <v>4045</v>
      </c>
      <c r="AA1399" t="s">
        <v>4046</v>
      </c>
      <c r="AB1399" t="s">
        <v>181</v>
      </c>
    </row>
    <row r="1400" spans="1:28" x14ac:dyDescent="0.25">
      <c r="A1400" t="s">
        <v>4002</v>
      </c>
      <c r="B1400" t="s">
        <v>4003</v>
      </c>
      <c r="C1400" t="s">
        <v>646</v>
      </c>
      <c r="D1400" t="s">
        <v>3779</v>
      </c>
      <c r="E1400" t="s">
        <v>647</v>
      </c>
      <c r="F1400" t="s">
        <v>3780</v>
      </c>
      <c r="G1400" t="s">
        <v>769</v>
      </c>
      <c r="H1400" t="s">
        <v>1171</v>
      </c>
      <c r="I1400" t="s">
        <v>2635</v>
      </c>
      <c r="J1400" t="s">
        <v>2636</v>
      </c>
      <c r="K1400" t="s">
        <v>166</v>
      </c>
      <c r="L1400" t="s">
        <v>0</v>
      </c>
      <c r="M1400" t="s">
        <v>178</v>
      </c>
      <c r="N1400">
        <v>209</v>
      </c>
      <c r="O1400">
        <v>17</v>
      </c>
      <c r="P1400">
        <v>6170.36</v>
      </c>
      <c r="Q1400">
        <v>28073.72</v>
      </c>
      <c r="R1400">
        <v>1432.8678933399999</v>
      </c>
      <c r="S1400">
        <v>168.45311778000001</v>
      </c>
      <c r="T1400">
        <v>336.60789333999998</v>
      </c>
      <c r="U1400">
        <v>0</v>
      </c>
      <c r="V1400">
        <v>1440.64</v>
      </c>
      <c r="W1400" t="s">
        <v>1609</v>
      </c>
      <c r="X1400" t="s">
        <v>271</v>
      </c>
      <c r="Y1400" t="s">
        <v>4004</v>
      </c>
      <c r="AA1400" t="s">
        <v>4005</v>
      </c>
      <c r="AB1400" t="s">
        <v>181</v>
      </c>
    </row>
    <row r="1401" spans="1:28" x14ac:dyDescent="0.25">
      <c r="A1401" t="s">
        <v>4244</v>
      </c>
      <c r="B1401" t="s">
        <v>4245</v>
      </c>
      <c r="C1401" t="s">
        <v>646</v>
      </c>
      <c r="D1401" t="s">
        <v>3779</v>
      </c>
      <c r="E1401" t="s">
        <v>647</v>
      </c>
      <c r="F1401" t="s">
        <v>3780</v>
      </c>
      <c r="G1401" t="s">
        <v>769</v>
      </c>
      <c r="H1401" t="s">
        <v>909</v>
      </c>
      <c r="I1401" t="s">
        <v>1251</v>
      </c>
      <c r="J1401" t="s">
        <v>821</v>
      </c>
      <c r="K1401" t="s">
        <v>166</v>
      </c>
      <c r="L1401" t="s">
        <v>0</v>
      </c>
      <c r="M1401" t="s">
        <v>178</v>
      </c>
      <c r="N1401">
        <v>97</v>
      </c>
      <c r="O1401">
        <v>94</v>
      </c>
      <c r="P1401">
        <v>3239.84</v>
      </c>
      <c r="Q1401">
        <v>3199.74</v>
      </c>
      <c r="R1401">
        <v>514.96437813</v>
      </c>
      <c r="S1401">
        <v>667.96762019000005</v>
      </c>
      <c r="T1401">
        <v>5.4378129999999997E-2</v>
      </c>
      <c r="U1401">
        <v>0</v>
      </c>
      <c r="V1401">
        <v>514.91</v>
      </c>
      <c r="W1401" t="s">
        <v>822</v>
      </c>
      <c r="X1401" t="s">
        <v>269</v>
      </c>
      <c r="Y1401" t="s">
        <v>4246</v>
      </c>
      <c r="AA1401" t="s">
        <v>4247</v>
      </c>
      <c r="AB1401" t="s">
        <v>181</v>
      </c>
    </row>
    <row r="1402" spans="1:28" x14ac:dyDescent="0.25">
      <c r="A1402" t="s">
        <v>4147</v>
      </c>
      <c r="B1402" t="s">
        <v>4148</v>
      </c>
      <c r="C1402" t="s">
        <v>646</v>
      </c>
      <c r="D1402" t="s">
        <v>3779</v>
      </c>
      <c r="E1402" t="s">
        <v>647</v>
      </c>
      <c r="F1402" t="s">
        <v>3780</v>
      </c>
      <c r="G1402" t="s">
        <v>769</v>
      </c>
      <c r="H1402" t="s">
        <v>1045</v>
      </c>
      <c r="I1402" t="s">
        <v>1301</v>
      </c>
      <c r="J1402" t="s">
        <v>1302</v>
      </c>
      <c r="K1402" t="s">
        <v>166</v>
      </c>
      <c r="L1402" t="s">
        <v>0</v>
      </c>
      <c r="M1402" t="s">
        <v>178</v>
      </c>
      <c r="N1402">
        <v>124</v>
      </c>
      <c r="O1402">
        <v>49</v>
      </c>
      <c r="P1402">
        <v>2137.25</v>
      </c>
      <c r="Q1402">
        <v>11415.83</v>
      </c>
      <c r="R1402">
        <v>1616.65</v>
      </c>
      <c r="S1402">
        <v>370.49331237000001</v>
      </c>
      <c r="T1402">
        <v>0</v>
      </c>
      <c r="U1402">
        <v>0</v>
      </c>
      <c r="V1402">
        <v>1616.65</v>
      </c>
      <c r="W1402" t="s">
        <v>1303</v>
      </c>
      <c r="X1402" t="s">
        <v>269</v>
      </c>
      <c r="Y1402" t="s">
        <v>4149</v>
      </c>
      <c r="AA1402" t="s">
        <v>4150</v>
      </c>
      <c r="AB1402" t="s">
        <v>181</v>
      </c>
    </row>
    <row r="1403" spans="1:28" x14ac:dyDescent="0.25">
      <c r="A1403" t="s">
        <v>4051</v>
      </c>
      <c r="B1403" t="s">
        <v>4052</v>
      </c>
      <c r="C1403" t="s">
        <v>646</v>
      </c>
      <c r="D1403" t="s">
        <v>3779</v>
      </c>
      <c r="E1403" t="s">
        <v>647</v>
      </c>
      <c r="F1403" t="s">
        <v>3780</v>
      </c>
      <c r="G1403" t="s">
        <v>769</v>
      </c>
      <c r="H1403" t="s">
        <v>708</v>
      </c>
      <c r="I1403" t="s">
        <v>4053</v>
      </c>
      <c r="J1403" t="s">
        <v>4054</v>
      </c>
      <c r="K1403" t="s">
        <v>166</v>
      </c>
      <c r="L1403" t="s">
        <v>0</v>
      </c>
      <c r="M1403" t="s">
        <v>178</v>
      </c>
      <c r="N1403">
        <v>256</v>
      </c>
      <c r="O1403">
        <v>37</v>
      </c>
      <c r="P1403">
        <v>1851.94</v>
      </c>
      <c r="Q1403">
        <v>8201.2999999999993</v>
      </c>
      <c r="R1403">
        <v>1021.48</v>
      </c>
      <c r="S1403">
        <v>525.43942829000002</v>
      </c>
      <c r="T1403">
        <v>0</v>
      </c>
      <c r="U1403">
        <v>0</v>
      </c>
      <c r="V1403">
        <v>1021.48</v>
      </c>
      <c r="W1403" t="s">
        <v>2488</v>
      </c>
      <c r="X1403" t="s">
        <v>269</v>
      </c>
      <c r="Y1403" t="s">
        <v>4055</v>
      </c>
      <c r="AA1403" t="s">
        <v>4056</v>
      </c>
      <c r="AB1403" t="s">
        <v>181</v>
      </c>
    </row>
    <row r="1404" spans="1:28" x14ac:dyDescent="0.25">
      <c r="A1404" t="s">
        <v>3944</v>
      </c>
      <c r="B1404" t="s">
        <v>3945</v>
      </c>
      <c r="C1404" t="s">
        <v>646</v>
      </c>
      <c r="D1404" t="s">
        <v>3779</v>
      </c>
      <c r="E1404" t="s">
        <v>647</v>
      </c>
      <c r="F1404" t="s">
        <v>3780</v>
      </c>
      <c r="G1404" t="s">
        <v>769</v>
      </c>
      <c r="H1404" t="s">
        <v>1045</v>
      </c>
      <c r="I1404" t="s">
        <v>798</v>
      </c>
      <c r="J1404" t="s">
        <v>524</v>
      </c>
      <c r="K1404" t="s">
        <v>166</v>
      </c>
      <c r="L1404" t="s">
        <v>0</v>
      </c>
      <c r="M1404" t="s">
        <v>178</v>
      </c>
      <c r="N1404">
        <v>54</v>
      </c>
      <c r="O1404">
        <v>48</v>
      </c>
      <c r="P1404">
        <v>566</v>
      </c>
      <c r="Q1404">
        <v>6066.04</v>
      </c>
      <c r="R1404">
        <v>611.84</v>
      </c>
      <c r="S1404">
        <v>299.10975124999999</v>
      </c>
      <c r="T1404">
        <v>0</v>
      </c>
      <c r="U1404">
        <v>0</v>
      </c>
      <c r="V1404">
        <v>611.84</v>
      </c>
      <c r="W1404" t="s">
        <v>258</v>
      </c>
      <c r="X1404" t="s">
        <v>271</v>
      </c>
      <c r="Y1404" t="s">
        <v>3946</v>
      </c>
      <c r="AA1404" t="s">
        <v>3947</v>
      </c>
      <c r="AB1404" t="s">
        <v>181</v>
      </c>
    </row>
    <row r="1405" spans="1:28" x14ac:dyDescent="0.25">
      <c r="A1405" t="s">
        <v>3969</v>
      </c>
      <c r="B1405" t="s">
        <v>3970</v>
      </c>
      <c r="C1405" t="s">
        <v>646</v>
      </c>
      <c r="D1405" t="s">
        <v>3779</v>
      </c>
      <c r="E1405" t="s">
        <v>647</v>
      </c>
      <c r="F1405" t="s">
        <v>3780</v>
      </c>
      <c r="G1405" t="s">
        <v>769</v>
      </c>
      <c r="H1405" t="s">
        <v>909</v>
      </c>
      <c r="I1405" t="s">
        <v>1518</v>
      </c>
      <c r="J1405" t="s">
        <v>1519</v>
      </c>
      <c r="K1405" t="s">
        <v>166</v>
      </c>
      <c r="L1405" t="s">
        <v>0</v>
      </c>
      <c r="M1405" t="s">
        <v>178</v>
      </c>
      <c r="N1405">
        <v>19</v>
      </c>
      <c r="O1405">
        <v>13</v>
      </c>
      <c r="P1405">
        <v>338.6</v>
      </c>
      <c r="Q1405">
        <v>597</v>
      </c>
      <c r="R1405">
        <v>122.93303089</v>
      </c>
      <c r="S1405">
        <v>128.94157483000001</v>
      </c>
      <c r="T1405">
        <v>0.50303089000000001</v>
      </c>
      <c r="U1405">
        <v>0</v>
      </c>
      <c r="V1405">
        <v>122.43</v>
      </c>
      <c r="W1405" t="s">
        <v>1485</v>
      </c>
      <c r="X1405" t="s">
        <v>271</v>
      </c>
      <c r="Y1405" t="s">
        <v>3971</v>
      </c>
      <c r="AA1405" t="s">
        <v>3972</v>
      </c>
      <c r="AB1405" t="s">
        <v>181</v>
      </c>
    </row>
    <row r="1406" spans="1:28" x14ac:dyDescent="0.25">
      <c r="A1406" t="s">
        <v>4353</v>
      </c>
      <c r="B1406" t="s">
        <v>4354</v>
      </c>
      <c r="C1406" t="s">
        <v>646</v>
      </c>
      <c r="D1406" t="s">
        <v>3779</v>
      </c>
      <c r="E1406" t="s">
        <v>647</v>
      </c>
      <c r="F1406" t="s">
        <v>3780</v>
      </c>
      <c r="G1406" t="s">
        <v>769</v>
      </c>
      <c r="H1406" t="s">
        <v>962</v>
      </c>
      <c r="I1406" t="s">
        <v>1160</v>
      </c>
      <c r="J1406" t="s">
        <v>336</v>
      </c>
      <c r="K1406" t="s">
        <v>166</v>
      </c>
      <c r="L1406" t="s">
        <v>0</v>
      </c>
      <c r="M1406" t="s">
        <v>178</v>
      </c>
      <c r="N1406">
        <v>128</v>
      </c>
      <c r="O1406">
        <v>5</v>
      </c>
      <c r="P1406">
        <v>4153.26</v>
      </c>
      <c r="Q1406">
        <v>10423.73</v>
      </c>
      <c r="R1406">
        <v>1406.22870205</v>
      </c>
      <c r="S1406">
        <v>303.58293715999997</v>
      </c>
      <c r="T1406">
        <v>0.26870205000000003</v>
      </c>
      <c r="U1406">
        <v>0</v>
      </c>
      <c r="V1406">
        <v>1405.96</v>
      </c>
      <c r="W1406" t="s">
        <v>461</v>
      </c>
      <c r="X1406" t="s">
        <v>271</v>
      </c>
      <c r="Y1406" t="s">
        <v>4355</v>
      </c>
      <c r="AA1406" t="s">
        <v>4356</v>
      </c>
      <c r="AB1406" t="s">
        <v>181</v>
      </c>
    </row>
    <row r="1407" spans="1:28" x14ac:dyDescent="0.25">
      <c r="A1407" t="s">
        <v>4189</v>
      </c>
      <c r="B1407" t="s">
        <v>4190</v>
      </c>
      <c r="C1407" t="s">
        <v>646</v>
      </c>
      <c r="D1407" t="s">
        <v>3779</v>
      </c>
      <c r="E1407" t="s">
        <v>647</v>
      </c>
      <c r="F1407" t="s">
        <v>666</v>
      </c>
      <c r="G1407" t="s">
        <v>666</v>
      </c>
      <c r="H1407" t="s">
        <v>679</v>
      </c>
      <c r="I1407" t="s">
        <v>4191</v>
      </c>
      <c r="J1407" t="s">
        <v>355</v>
      </c>
      <c r="K1407" t="s">
        <v>166</v>
      </c>
      <c r="L1407" t="s">
        <v>0</v>
      </c>
      <c r="M1407" t="s">
        <v>178</v>
      </c>
      <c r="N1407">
        <v>233</v>
      </c>
      <c r="O1407">
        <v>189</v>
      </c>
      <c r="P1407">
        <v>3921.86</v>
      </c>
      <c r="Q1407">
        <v>12917.83</v>
      </c>
      <c r="R1407">
        <v>-128.24664064999999</v>
      </c>
      <c r="S1407">
        <v>7156.9948905499996</v>
      </c>
      <c r="T1407">
        <v>-19.686640650000001</v>
      </c>
      <c r="U1407">
        <v>0</v>
      </c>
      <c r="V1407">
        <v>-108.56</v>
      </c>
      <c r="W1407" t="s">
        <v>0</v>
      </c>
      <c r="X1407" t="s">
        <v>271</v>
      </c>
      <c r="Y1407" t="s">
        <v>4192</v>
      </c>
      <c r="AA1407" t="s">
        <v>4193</v>
      </c>
      <c r="AB1407" t="s">
        <v>181</v>
      </c>
    </row>
    <row r="1408" spans="1:28" x14ac:dyDescent="0.25">
      <c r="A1408" t="s">
        <v>4172</v>
      </c>
      <c r="B1408" t="s">
        <v>4173</v>
      </c>
      <c r="C1408" t="s">
        <v>646</v>
      </c>
      <c r="D1408" t="s">
        <v>3779</v>
      </c>
      <c r="E1408" t="s">
        <v>647</v>
      </c>
      <c r="F1408" t="s">
        <v>3780</v>
      </c>
      <c r="G1408" t="s">
        <v>769</v>
      </c>
      <c r="H1408" t="s">
        <v>797</v>
      </c>
      <c r="I1408" t="s">
        <v>1801</v>
      </c>
      <c r="J1408" t="s">
        <v>437</v>
      </c>
      <c r="K1408" t="s">
        <v>166</v>
      </c>
      <c r="L1408" t="s">
        <v>0</v>
      </c>
      <c r="M1408" t="s">
        <v>178</v>
      </c>
      <c r="N1408">
        <v>98</v>
      </c>
      <c r="O1408">
        <v>86</v>
      </c>
      <c r="P1408">
        <v>1148.45</v>
      </c>
      <c r="Q1408">
        <v>2798.76</v>
      </c>
      <c r="R1408">
        <v>397.32</v>
      </c>
      <c r="S1408">
        <v>761.93056017000004</v>
      </c>
      <c r="T1408">
        <v>0</v>
      </c>
      <c r="U1408">
        <v>0</v>
      </c>
      <c r="V1408">
        <v>397.32</v>
      </c>
      <c r="W1408" t="s">
        <v>510</v>
      </c>
      <c r="X1408" t="s">
        <v>271</v>
      </c>
      <c r="Y1408" t="s">
        <v>4174</v>
      </c>
      <c r="Z1408" t="s">
        <v>4175</v>
      </c>
      <c r="AA1408" t="s">
        <v>4176</v>
      </c>
      <c r="AB1408" t="s">
        <v>181</v>
      </c>
    </row>
    <row r="1409" spans="1:28" x14ac:dyDescent="0.25">
      <c r="A1409" t="s">
        <v>4248</v>
      </c>
      <c r="B1409" t="s">
        <v>4249</v>
      </c>
      <c r="C1409" t="s">
        <v>646</v>
      </c>
      <c r="D1409" t="s">
        <v>3779</v>
      </c>
      <c r="E1409" t="s">
        <v>647</v>
      </c>
      <c r="F1409" t="s">
        <v>3780</v>
      </c>
      <c r="G1409" t="s">
        <v>769</v>
      </c>
      <c r="H1409" t="s">
        <v>797</v>
      </c>
      <c r="I1409" t="s">
        <v>1913</v>
      </c>
      <c r="J1409" t="s">
        <v>1914</v>
      </c>
      <c r="K1409" t="s">
        <v>166</v>
      </c>
      <c r="L1409" t="s">
        <v>0</v>
      </c>
      <c r="M1409" t="s">
        <v>178</v>
      </c>
      <c r="N1409">
        <v>75</v>
      </c>
      <c r="O1409">
        <v>15</v>
      </c>
      <c r="P1409">
        <v>867.5</v>
      </c>
      <c r="Q1409">
        <v>2463.52</v>
      </c>
      <c r="R1409">
        <v>219.79806832</v>
      </c>
      <c r="S1409">
        <v>154.15100000000001</v>
      </c>
      <c r="T1409">
        <v>-1.9316800000000001E-3</v>
      </c>
      <c r="U1409">
        <v>0</v>
      </c>
      <c r="V1409">
        <v>219.8</v>
      </c>
      <c r="W1409" t="s">
        <v>1915</v>
      </c>
      <c r="X1409" t="s">
        <v>269</v>
      </c>
      <c r="Y1409" t="s">
        <v>4250</v>
      </c>
      <c r="AA1409" t="s">
        <v>4251</v>
      </c>
      <c r="AB1409" t="s">
        <v>181</v>
      </c>
    </row>
    <row r="1410" spans="1:28" x14ac:dyDescent="0.25">
      <c r="A1410" t="s">
        <v>3952</v>
      </c>
      <c r="B1410" t="s">
        <v>3953</v>
      </c>
      <c r="C1410" t="s">
        <v>646</v>
      </c>
      <c r="D1410" t="s">
        <v>3779</v>
      </c>
      <c r="E1410" t="s">
        <v>647</v>
      </c>
      <c r="F1410" t="s">
        <v>666</v>
      </c>
      <c r="G1410" t="s">
        <v>666</v>
      </c>
      <c r="H1410" t="s">
        <v>797</v>
      </c>
      <c r="I1410" t="s">
        <v>2032</v>
      </c>
      <c r="J1410" t="s">
        <v>311</v>
      </c>
      <c r="K1410" t="s">
        <v>166</v>
      </c>
      <c r="L1410" t="s">
        <v>0</v>
      </c>
      <c r="M1410" t="s">
        <v>178</v>
      </c>
      <c r="N1410">
        <v>418</v>
      </c>
      <c r="O1410">
        <v>216</v>
      </c>
      <c r="P1410">
        <v>4384.3</v>
      </c>
      <c r="Q1410">
        <v>12541.37</v>
      </c>
      <c r="R1410">
        <v>724.18390950000003</v>
      </c>
      <c r="S1410">
        <v>1803.4984502299999</v>
      </c>
      <c r="T1410">
        <v>28.153909500000001</v>
      </c>
      <c r="U1410">
        <v>90.9</v>
      </c>
      <c r="V1410">
        <v>814.93</v>
      </c>
      <c r="W1410" t="s">
        <v>312</v>
      </c>
      <c r="X1410" t="s">
        <v>271</v>
      </c>
      <c r="Y1410" t="s">
        <v>3954</v>
      </c>
      <c r="AA1410" t="s">
        <v>3955</v>
      </c>
      <c r="AB1410" t="s">
        <v>181</v>
      </c>
    </row>
    <row r="1411" spans="1:28" x14ac:dyDescent="0.25">
      <c r="A1411" t="s">
        <v>4330</v>
      </c>
      <c r="B1411" t="s">
        <v>4331</v>
      </c>
      <c r="C1411" t="s">
        <v>646</v>
      </c>
      <c r="D1411" t="s">
        <v>3779</v>
      </c>
      <c r="E1411" t="s">
        <v>647</v>
      </c>
      <c r="F1411" t="s">
        <v>666</v>
      </c>
      <c r="G1411" t="s">
        <v>666</v>
      </c>
      <c r="H1411" t="s">
        <v>713</v>
      </c>
      <c r="I1411" t="s">
        <v>1513</v>
      </c>
      <c r="J1411" t="s">
        <v>333</v>
      </c>
      <c r="K1411" t="s">
        <v>166</v>
      </c>
      <c r="L1411" t="s">
        <v>0</v>
      </c>
      <c r="M1411" t="s">
        <v>178</v>
      </c>
      <c r="N1411">
        <v>203</v>
      </c>
      <c r="O1411">
        <v>124</v>
      </c>
      <c r="P1411">
        <v>1628.57</v>
      </c>
      <c r="Q1411">
        <v>7559.12</v>
      </c>
      <c r="R1411">
        <v>682.25</v>
      </c>
      <c r="S1411">
        <v>3121.81456604</v>
      </c>
      <c r="T1411">
        <v>0</v>
      </c>
      <c r="U1411">
        <v>0</v>
      </c>
      <c r="V1411">
        <v>682.25</v>
      </c>
      <c r="W1411" t="s">
        <v>616</v>
      </c>
      <c r="X1411" t="s">
        <v>271</v>
      </c>
      <c r="Y1411" t="s">
        <v>4332</v>
      </c>
      <c r="AA1411" t="s">
        <v>2421</v>
      </c>
      <c r="AB1411" t="s">
        <v>181</v>
      </c>
    </row>
    <row r="1412" spans="1:28" x14ac:dyDescent="0.25">
      <c r="A1412" t="s">
        <v>3865</v>
      </c>
      <c r="B1412" t="s">
        <v>3866</v>
      </c>
      <c r="C1412" t="s">
        <v>646</v>
      </c>
      <c r="D1412" t="s">
        <v>3779</v>
      </c>
      <c r="E1412" t="s">
        <v>647</v>
      </c>
      <c r="F1412" t="s">
        <v>3780</v>
      </c>
      <c r="G1412" t="s">
        <v>769</v>
      </c>
      <c r="H1412" t="s">
        <v>679</v>
      </c>
      <c r="I1412" t="s">
        <v>3867</v>
      </c>
      <c r="J1412" t="s">
        <v>881</v>
      </c>
      <c r="K1412" t="s">
        <v>166</v>
      </c>
      <c r="L1412" t="s">
        <v>0</v>
      </c>
      <c r="M1412" t="s">
        <v>178</v>
      </c>
      <c r="N1412">
        <v>105</v>
      </c>
      <c r="O1412">
        <v>84</v>
      </c>
      <c r="P1412">
        <v>1704.8</v>
      </c>
      <c r="Q1412">
        <v>5645.17</v>
      </c>
      <c r="R1412">
        <v>-18.485874890000002</v>
      </c>
      <c r="S1412">
        <v>3041.5946340800001</v>
      </c>
      <c r="T1412">
        <v>-0.63587488999999997</v>
      </c>
      <c r="U1412">
        <v>0</v>
      </c>
      <c r="V1412">
        <v>-17.850000000000001</v>
      </c>
      <c r="W1412" t="s">
        <v>0</v>
      </c>
      <c r="X1412" t="s">
        <v>271</v>
      </c>
      <c r="Y1412" t="s">
        <v>3868</v>
      </c>
      <c r="AA1412" t="s">
        <v>3869</v>
      </c>
      <c r="AB1412" t="s">
        <v>181</v>
      </c>
    </row>
    <row r="1413" spans="1:28" x14ac:dyDescent="0.25">
      <c r="A1413" t="s">
        <v>3985</v>
      </c>
      <c r="B1413" t="s">
        <v>3986</v>
      </c>
      <c r="C1413" t="s">
        <v>646</v>
      </c>
      <c r="D1413" t="s">
        <v>3779</v>
      </c>
      <c r="E1413" t="s">
        <v>647</v>
      </c>
      <c r="F1413" t="s">
        <v>3780</v>
      </c>
      <c r="G1413" t="s">
        <v>769</v>
      </c>
      <c r="H1413" t="s">
        <v>1045</v>
      </c>
      <c r="I1413" t="s">
        <v>3987</v>
      </c>
      <c r="J1413" t="s">
        <v>3988</v>
      </c>
      <c r="K1413" t="s">
        <v>166</v>
      </c>
      <c r="L1413" t="s">
        <v>0</v>
      </c>
      <c r="M1413" t="s">
        <v>178</v>
      </c>
      <c r="N1413">
        <v>90.0167</v>
      </c>
      <c r="O1413">
        <v>70.0167</v>
      </c>
      <c r="P1413">
        <v>1098.7</v>
      </c>
      <c r="Q1413">
        <v>13397.66</v>
      </c>
      <c r="R1413">
        <v>1557.21</v>
      </c>
      <c r="S1413">
        <v>588.01913520999994</v>
      </c>
      <c r="T1413">
        <v>0</v>
      </c>
      <c r="U1413">
        <v>0</v>
      </c>
      <c r="V1413">
        <v>1557.21</v>
      </c>
      <c r="W1413" t="s">
        <v>3989</v>
      </c>
      <c r="X1413" t="s">
        <v>271</v>
      </c>
      <c r="Y1413" t="s">
        <v>3990</v>
      </c>
      <c r="AA1413" t="s">
        <v>3991</v>
      </c>
      <c r="AB1413" t="s">
        <v>181</v>
      </c>
    </row>
    <row r="1414" spans="1:28" x14ac:dyDescent="0.25">
      <c r="A1414" t="s">
        <v>4064</v>
      </c>
      <c r="B1414" t="s">
        <v>4065</v>
      </c>
      <c r="C1414" t="s">
        <v>646</v>
      </c>
      <c r="D1414" t="s">
        <v>3779</v>
      </c>
      <c r="E1414" t="s">
        <v>647</v>
      </c>
      <c r="F1414" t="s">
        <v>3780</v>
      </c>
      <c r="G1414" t="s">
        <v>769</v>
      </c>
      <c r="H1414" t="s">
        <v>713</v>
      </c>
      <c r="I1414" t="s">
        <v>2469</v>
      </c>
      <c r="J1414" t="s">
        <v>2470</v>
      </c>
      <c r="K1414" t="s">
        <v>166</v>
      </c>
      <c r="L1414" t="s">
        <v>0</v>
      </c>
      <c r="M1414" t="s">
        <v>178</v>
      </c>
      <c r="N1414">
        <v>14</v>
      </c>
      <c r="O1414">
        <v>1</v>
      </c>
      <c r="P1414">
        <v>314.2</v>
      </c>
      <c r="Q1414">
        <v>339.76</v>
      </c>
      <c r="R1414">
        <v>67.58</v>
      </c>
      <c r="S1414">
        <v>30.386354440000002</v>
      </c>
      <c r="T1414">
        <v>0</v>
      </c>
      <c r="U1414">
        <v>0</v>
      </c>
      <c r="V1414">
        <v>67.58</v>
      </c>
      <c r="W1414" t="s">
        <v>4066</v>
      </c>
      <c r="X1414" t="s">
        <v>271</v>
      </c>
      <c r="Y1414" t="s">
        <v>4067</v>
      </c>
      <c r="AA1414" t="s">
        <v>4068</v>
      </c>
      <c r="AB1414" t="s">
        <v>181</v>
      </c>
    </row>
    <row r="1415" spans="1:28" x14ac:dyDescent="0.25">
      <c r="A1415" t="s">
        <v>3861</v>
      </c>
      <c r="B1415" t="s">
        <v>3862</v>
      </c>
      <c r="C1415" t="s">
        <v>646</v>
      </c>
      <c r="D1415" t="s">
        <v>3779</v>
      </c>
      <c r="E1415" t="s">
        <v>647</v>
      </c>
      <c r="F1415" t="s">
        <v>3780</v>
      </c>
      <c r="G1415" t="s">
        <v>769</v>
      </c>
      <c r="H1415" t="s">
        <v>717</v>
      </c>
      <c r="I1415" t="s">
        <v>2065</v>
      </c>
      <c r="J1415" t="s">
        <v>2066</v>
      </c>
      <c r="K1415" t="s">
        <v>166</v>
      </c>
      <c r="L1415" t="s">
        <v>0</v>
      </c>
      <c r="M1415" t="s">
        <v>178</v>
      </c>
      <c r="N1415">
        <v>72</v>
      </c>
      <c r="O1415">
        <v>65</v>
      </c>
      <c r="P1415">
        <v>2680.1</v>
      </c>
      <c r="Q1415">
        <v>9074.56</v>
      </c>
      <c r="R1415">
        <v>1456.01718828</v>
      </c>
      <c r="S1415">
        <v>307.30404869</v>
      </c>
      <c r="T1415">
        <v>8.7188280000000007E-2</v>
      </c>
      <c r="U1415">
        <v>0</v>
      </c>
      <c r="V1415">
        <v>1455.93</v>
      </c>
      <c r="W1415" t="s">
        <v>2067</v>
      </c>
      <c r="X1415" t="s">
        <v>271</v>
      </c>
      <c r="Y1415" t="s">
        <v>3863</v>
      </c>
      <c r="AA1415" t="s">
        <v>3864</v>
      </c>
      <c r="AB1415" t="s">
        <v>181</v>
      </c>
    </row>
    <row r="1416" spans="1:28" x14ac:dyDescent="0.25">
      <c r="A1416" t="s">
        <v>3895</v>
      </c>
      <c r="B1416" t="s">
        <v>3896</v>
      </c>
      <c r="C1416" t="s">
        <v>646</v>
      </c>
      <c r="D1416" t="s">
        <v>3779</v>
      </c>
      <c r="E1416" t="s">
        <v>647</v>
      </c>
      <c r="F1416" t="s">
        <v>3780</v>
      </c>
      <c r="G1416" t="s">
        <v>769</v>
      </c>
      <c r="H1416" t="s">
        <v>770</v>
      </c>
      <c r="I1416" t="s">
        <v>3897</v>
      </c>
      <c r="J1416" t="s">
        <v>437</v>
      </c>
      <c r="K1416" t="s">
        <v>166</v>
      </c>
      <c r="L1416" t="s">
        <v>0</v>
      </c>
      <c r="M1416" t="s">
        <v>178</v>
      </c>
      <c r="N1416">
        <v>31</v>
      </c>
      <c r="O1416">
        <v>19</v>
      </c>
      <c r="P1416">
        <v>1143</v>
      </c>
      <c r="Q1416">
        <v>841.09</v>
      </c>
      <c r="R1416">
        <v>93.38</v>
      </c>
      <c r="S1416">
        <v>82.395007820000004</v>
      </c>
      <c r="T1416">
        <v>0</v>
      </c>
      <c r="U1416">
        <v>0</v>
      </c>
      <c r="V1416">
        <v>93.38</v>
      </c>
      <c r="W1416" t="s">
        <v>510</v>
      </c>
      <c r="X1416" t="s">
        <v>271</v>
      </c>
      <c r="Y1416" t="s">
        <v>3898</v>
      </c>
      <c r="AA1416" t="s">
        <v>3899</v>
      </c>
      <c r="AB1416" t="s">
        <v>181</v>
      </c>
    </row>
    <row r="1417" spans="1:28" x14ac:dyDescent="0.25">
      <c r="A1417" t="s">
        <v>4074</v>
      </c>
      <c r="B1417" t="s">
        <v>4075</v>
      </c>
      <c r="C1417" t="s">
        <v>646</v>
      </c>
      <c r="D1417" t="s">
        <v>3779</v>
      </c>
      <c r="E1417" t="s">
        <v>647</v>
      </c>
      <c r="F1417" t="s">
        <v>3780</v>
      </c>
      <c r="G1417" t="s">
        <v>769</v>
      </c>
      <c r="H1417" t="s">
        <v>649</v>
      </c>
      <c r="I1417" t="s">
        <v>1284</v>
      </c>
      <c r="J1417" t="s">
        <v>1285</v>
      </c>
      <c r="K1417" t="s">
        <v>166</v>
      </c>
      <c r="L1417" t="s">
        <v>0</v>
      </c>
      <c r="M1417" t="s">
        <v>178</v>
      </c>
      <c r="N1417">
        <v>149</v>
      </c>
      <c r="O1417">
        <v>141</v>
      </c>
      <c r="P1417">
        <v>1776</v>
      </c>
      <c r="Q1417">
        <v>7170.09</v>
      </c>
      <c r="R1417">
        <v>1702.09</v>
      </c>
      <c r="S1417">
        <v>899.93794233000006</v>
      </c>
      <c r="T1417">
        <v>0</v>
      </c>
      <c r="U1417">
        <v>0</v>
      </c>
      <c r="V1417">
        <v>1702.09</v>
      </c>
      <c r="W1417" t="s">
        <v>1286</v>
      </c>
      <c r="X1417" t="s">
        <v>269</v>
      </c>
      <c r="Y1417" t="s">
        <v>4076</v>
      </c>
      <c r="AA1417" t="s">
        <v>4077</v>
      </c>
      <c r="AB1417" t="s">
        <v>181</v>
      </c>
    </row>
    <row r="1418" spans="1:28" x14ac:dyDescent="0.25">
      <c r="A1418" t="s">
        <v>4069</v>
      </c>
      <c r="B1418" t="s">
        <v>4070</v>
      </c>
      <c r="C1418" t="s">
        <v>646</v>
      </c>
      <c r="D1418" t="s">
        <v>3779</v>
      </c>
      <c r="E1418" t="s">
        <v>647</v>
      </c>
      <c r="F1418" t="s">
        <v>3780</v>
      </c>
      <c r="G1418" t="s">
        <v>769</v>
      </c>
      <c r="H1418" t="s">
        <v>679</v>
      </c>
      <c r="I1418" t="s">
        <v>4071</v>
      </c>
      <c r="J1418" t="s">
        <v>785</v>
      </c>
      <c r="K1418" t="s">
        <v>166</v>
      </c>
      <c r="L1418" t="s">
        <v>0</v>
      </c>
      <c r="M1418" t="s">
        <v>178</v>
      </c>
      <c r="N1418">
        <v>98.166700000000006</v>
      </c>
      <c r="O1418">
        <v>56.166699999999999</v>
      </c>
      <c r="P1418">
        <v>1246.94</v>
      </c>
      <c r="Q1418">
        <v>4477.68</v>
      </c>
      <c r="R1418">
        <v>209.37852789999999</v>
      </c>
      <c r="S1418">
        <v>1247.88582159</v>
      </c>
      <c r="T1418">
        <v>-4.3814720999999999</v>
      </c>
      <c r="U1418">
        <v>0</v>
      </c>
      <c r="V1418">
        <v>213.76</v>
      </c>
      <c r="W1418" t="s">
        <v>0</v>
      </c>
      <c r="X1418" t="s">
        <v>271</v>
      </c>
      <c r="Y1418" t="s">
        <v>4072</v>
      </c>
      <c r="AA1418" t="s">
        <v>4073</v>
      </c>
      <c r="AB1418" t="s">
        <v>181</v>
      </c>
    </row>
    <row r="1419" spans="1:28" x14ac:dyDescent="0.25">
      <c r="A1419" t="s">
        <v>3921</v>
      </c>
      <c r="B1419" t="s">
        <v>3922</v>
      </c>
      <c r="C1419" t="s">
        <v>646</v>
      </c>
      <c r="D1419" t="s">
        <v>3779</v>
      </c>
      <c r="E1419" t="s">
        <v>647</v>
      </c>
      <c r="F1419" t="s">
        <v>666</v>
      </c>
      <c r="G1419" t="s">
        <v>666</v>
      </c>
      <c r="H1419" t="s">
        <v>679</v>
      </c>
      <c r="I1419" t="s">
        <v>902</v>
      </c>
      <c r="J1419" t="s">
        <v>562</v>
      </c>
      <c r="K1419" t="s">
        <v>166</v>
      </c>
      <c r="L1419" t="s">
        <v>0</v>
      </c>
      <c r="M1419" t="s">
        <v>178</v>
      </c>
      <c r="N1419">
        <v>69</v>
      </c>
      <c r="O1419">
        <v>68</v>
      </c>
      <c r="P1419">
        <v>657.54</v>
      </c>
      <c r="Q1419">
        <v>2145.14</v>
      </c>
      <c r="R1419">
        <v>-341.41391482</v>
      </c>
      <c r="S1419">
        <v>1368.9557604700001</v>
      </c>
      <c r="T1419">
        <v>-5.6539148199999998</v>
      </c>
      <c r="U1419">
        <v>0</v>
      </c>
      <c r="V1419">
        <v>-335.76</v>
      </c>
      <c r="W1419" t="s">
        <v>0</v>
      </c>
      <c r="X1419" t="s">
        <v>271</v>
      </c>
      <c r="Y1419" t="s">
        <v>3923</v>
      </c>
      <c r="AA1419" t="s">
        <v>3924</v>
      </c>
      <c r="AB1419" t="s">
        <v>181</v>
      </c>
    </row>
    <row r="1420" spans="1:28" x14ac:dyDescent="0.25">
      <c r="A1420" t="s">
        <v>4102</v>
      </c>
      <c r="B1420" t="s">
        <v>4103</v>
      </c>
      <c r="C1420" t="s">
        <v>646</v>
      </c>
      <c r="D1420" t="s">
        <v>3779</v>
      </c>
      <c r="E1420" t="s">
        <v>647</v>
      </c>
      <c r="F1420" t="s">
        <v>3780</v>
      </c>
      <c r="G1420" t="s">
        <v>769</v>
      </c>
      <c r="H1420" t="s">
        <v>909</v>
      </c>
      <c r="I1420" t="s">
        <v>4104</v>
      </c>
      <c r="J1420" t="s">
        <v>4105</v>
      </c>
      <c r="K1420" t="s">
        <v>166</v>
      </c>
      <c r="L1420" t="s">
        <v>0</v>
      </c>
      <c r="M1420" t="s">
        <v>178</v>
      </c>
      <c r="N1420">
        <v>333.43329999999997</v>
      </c>
      <c r="O1420">
        <v>327.33330000000001</v>
      </c>
      <c r="P1420">
        <v>11243.82</v>
      </c>
      <c r="Q1420">
        <v>16853.48</v>
      </c>
      <c r="R1420">
        <v>3996.7295389400001</v>
      </c>
      <c r="S1420">
        <v>4199.7740223700002</v>
      </c>
      <c r="T1420">
        <v>0.40953894000000002</v>
      </c>
      <c r="U1420">
        <v>0</v>
      </c>
      <c r="V1420">
        <v>3996.32</v>
      </c>
      <c r="W1420" t="s">
        <v>4106</v>
      </c>
      <c r="X1420" t="s">
        <v>269</v>
      </c>
      <c r="Y1420" t="s">
        <v>4107</v>
      </c>
      <c r="AA1420" t="s">
        <v>4108</v>
      </c>
      <c r="AB1420" t="s">
        <v>181</v>
      </c>
    </row>
    <row r="1421" spans="1:28" x14ac:dyDescent="0.25">
      <c r="A1421" t="s">
        <v>4288</v>
      </c>
      <c r="B1421" t="s">
        <v>4289</v>
      </c>
      <c r="C1421" t="s">
        <v>646</v>
      </c>
      <c r="D1421" t="s">
        <v>3779</v>
      </c>
      <c r="E1421" t="s">
        <v>647</v>
      </c>
      <c r="F1421" t="s">
        <v>3780</v>
      </c>
      <c r="G1421" t="s">
        <v>769</v>
      </c>
      <c r="H1421" t="s">
        <v>649</v>
      </c>
      <c r="I1421" t="s">
        <v>1453</v>
      </c>
      <c r="J1421" t="s">
        <v>1454</v>
      </c>
      <c r="K1421" t="s">
        <v>166</v>
      </c>
      <c r="L1421" t="s">
        <v>0</v>
      </c>
      <c r="M1421" t="s">
        <v>178</v>
      </c>
      <c r="N1421">
        <v>64</v>
      </c>
      <c r="O1421">
        <v>62</v>
      </c>
      <c r="P1421">
        <v>847.27</v>
      </c>
      <c r="Q1421">
        <v>2916.11</v>
      </c>
      <c r="R1421">
        <v>578.29999999999995</v>
      </c>
      <c r="S1421">
        <v>284.55263879</v>
      </c>
      <c r="T1421">
        <v>0</v>
      </c>
      <c r="U1421">
        <v>0</v>
      </c>
      <c r="V1421">
        <v>578.29999999999995</v>
      </c>
      <c r="W1421" t="s">
        <v>1455</v>
      </c>
      <c r="X1421" t="s">
        <v>271</v>
      </c>
      <c r="Y1421" t="s">
        <v>4290</v>
      </c>
      <c r="AA1421" t="s">
        <v>4291</v>
      </c>
      <c r="AB1421" t="s">
        <v>181</v>
      </c>
    </row>
    <row r="1422" spans="1:28" x14ac:dyDescent="0.25">
      <c r="A1422" t="s">
        <v>4223</v>
      </c>
      <c r="B1422" t="s">
        <v>4224</v>
      </c>
      <c r="C1422" t="s">
        <v>646</v>
      </c>
      <c r="D1422" t="s">
        <v>3779</v>
      </c>
      <c r="E1422" t="s">
        <v>647</v>
      </c>
      <c r="F1422" t="s">
        <v>3780</v>
      </c>
      <c r="G1422" t="s">
        <v>769</v>
      </c>
      <c r="H1422" t="s">
        <v>683</v>
      </c>
      <c r="I1422" t="s">
        <v>4225</v>
      </c>
      <c r="J1422" t="s">
        <v>336</v>
      </c>
      <c r="K1422" t="s">
        <v>166</v>
      </c>
      <c r="L1422" t="s">
        <v>0</v>
      </c>
      <c r="M1422" t="s">
        <v>178</v>
      </c>
      <c r="N1422">
        <v>70.5</v>
      </c>
      <c r="O1422">
        <v>43.5</v>
      </c>
      <c r="P1422">
        <v>1364.25</v>
      </c>
      <c r="Q1422">
        <v>3213.23</v>
      </c>
      <c r="R1422">
        <v>1096.8150522799999</v>
      </c>
      <c r="S1422">
        <v>567.11982703000001</v>
      </c>
      <c r="T1422">
        <v>2.505228E-2</v>
      </c>
      <c r="U1422">
        <v>0</v>
      </c>
      <c r="V1422">
        <v>1096.79</v>
      </c>
      <c r="W1422" t="s">
        <v>461</v>
      </c>
      <c r="X1422" t="s">
        <v>271</v>
      </c>
      <c r="Y1422" t="s">
        <v>4226</v>
      </c>
      <c r="AA1422" t="s">
        <v>4227</v>
      </c>
      <c r="AB1422" t="s">
        <v>181</v>
      </c>
    </row>
    <row r="1423" spans="1:28" x14ac:dyDescent="0.25">
      <c r="A1423" t="s">
        <v>3992</v>
      </c>
      <c r="B1423" t="s">
        <v>3993</v>
      </c>
      <c r="C1423" t="s">
        <v>646</v>
      </c>
      <c r="D1423" t="s">
        <v>3779</v>
      </c>
      <c r="E1423" t="s">
        <v>647</v>
      </c>
      <c r="F1423" t="s">
        <v>3780</v>
      </c>
      <c r="G1423" t="s">
        <v>769</v>
      </c>
      <c r="H1423" t="s">
        <v>1159</v>
      </c>
      <c r="I1423" t="s">
        <v>3994</v>
      </c>
      <c r="J1423" t="s">
        <v>3995</v>
      </c>
      <c r="K1423" t="s">
        <v>166</v>
      </c>
      <c r="L1423" t="s">
        <v>0</v>
      </c>
      <c r="M1423" t="s">
        <v>178</v>
      </c>
      <c r="N1423">
        <v>1</v>
      </c>
      <c r="O1423">
        <v>1</v>
      </c>
      <c r="P1423">
        <v>9.56</v>
      </c>
      <c r="Q1423">
        <v>40.1</v>
      </c>
      <c r="R1423">
        <v>0.79</v>
      </c>
      <c r="S1423">
        <v>9.4893000000000001</v>
      </c>
      <c r="T1423">
        <v>0</v>
      </c>
      <c r="U1423">
        <v>0</v>
      </c>
      <c r="V1423">
        <v>0.79</v>
      </c>
      <c r="W1423" t="s">
        <v>250</v>
      </c>
      <c r="X1423" t="s">
        <v>269</v>
      </c>
      <c r="Y1423" t="s">
        <v>3996</v>
      </c>
      <c r="AA1423" t="s">
        <v>3997</v>
      </c>
      <c r="AB1423" t="s">
        <v>181</v>
      </c>
    </row>
    <row r="1424" spans="1:28" x14ac:dyDescent="0.25">
      <c r="A1424" t="s">
        <v>3801</v>
      </c>
      <c r="B1424" t="s">
        <v>3802</v>
      </c>
      <c r="C1424" t="s">
        <v>646</v>
      </c>
      <c r="D1424" t="s">
        <v>3779</v>
      </c>
      <c r="E1424" t="s">
        <v>647</v>
      </c>
      <c r="F1424" t="s">
        <v>666</v>
      </c>
      <c r="G1424" t="s">
        <v>666</v>
      </c>
      <c r="H1424" t="s">
        <v>717</v>
      </c>
      <c r="I1424" t="s">
        <v>3803</v>
      </c>
      <c r="J1424" t="s">
        <v>2577</v>
      </c>
      <c r="K1424" t="s">
        <v>166</v>
      </c>
      <c r="L1424" t="s">
        <v>0</v>
      </c>
      <c r="M1424" t="s">
        <v>178</v>
      </c>
      <c r="N1424">
        <v>77</v>
      </c>
      <c r="O1424">
        <v>77</v>
      </c>
      <c r="P1424">
        <v>1329.06</v>
      </c>
      <c r="Q1424">
        <v>7340.91</v>
      </c>
      <c r="R1424">
        <v>2281.0300000000002</v>
      </c>
      <c r="S1424">
        <v>358.77073703000002</v>
      </c>
      <c r="T1424">
        <v>0</v>
      </c>
      <c r="U1424">
        <v>0</v>
      </c>
      <c r="V1424">
        <v>2281.0300000000002</v>
      </c>
      <c r="W1424" t="s">
        <v>2578</v>
      </c>
      <c r="X1424" t="s">
        <v>271</v>
      </c>
      <c r="Y1424" t="s">
        <v>3804</v>
      </c>
      <c r="AA1424" t="s">
        <v>3805</v>
      </c>
      <c r="AB1424" t="s">
        <v>181</v>
      </c>
    </row>
    <row r="1425" spans="1:28" x14ac:dyDescent="0.25">
      <c r="A1425" t="s">
        <v>3827</v>
      </c>
      <c r="B1425" t="s">
        <v>3828</v>
      </c>
      <c r="C1425" t="s">
        <v>646</v>
      </c>
      <c r="D1425" t="s">
        <v>3779</v>
      </c>
      <c r="E1425" t="s">
        <v>647</v>
      </c>
      <c r="F1425" t="s">
        <v>3780</v>
      </c>
      <c r="G1425" t="s">
        <v>769</v>
      </c>
      <c r="H1425" t="s">
        <v>1515</v>
      </c>
      <c r="I1425" t="s">
        <v>3829</v>
      </c>
      <c r="J1425" t="s">
        <v>3830</v>
      </c>
      <c r="K1425" t="s">
        <v>166</v>
      </c>
      <c r="L1425" t="s">
        <v>0</v>
      </c>
      <c r="M1425" t="s">
        <v>178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 t="s">
        <v>3831</v>
      </c>
      <c r="X1425" t="s">
        <v>271</v>
      </c>
      <c r="Y1425" t="s">
        <v>3832</v>
      </c>
      <c r="AA1425" t="s">
        <v>3833</v>
      </c>
      <c r="AB1425" t="s">
        <v>181</v>
      </c>
    </row>
    <row r="1426" spans="1:28" x14ac:dyDescent="0.25">
      <c r="A1426" t="s">
        <v>4177</v>
      </c>
      <c r="B1426" t="s">
        <v>4178</v>
      </c>
      <c r="C1426" t="s">
        <v>646</v>
      </c>
      <c r="D1426" t="s">
        <v>3779</v>
      </c>
      <c r="E1426" t="s">
        <v>647</v>
      </c>
      <c r="F1426" t="s">
        <v>3780</v>
      </c>
      <c r="G1426" t="s">
        <v>769</v>
      </c>
      <c r="H1426" t="s">
        <v>1515</v>
      </c>
      <c r="I1426" t="s">
        <v>1190</v>
      </c>
      <c r="J1426" t="s">
        <v>1191</v>
      </c>
      <c r="K1426" t="s">
        <v>166</v>
      </c>
      <c r="L1426" t="s">
        <v>0</v>
      </c>
      <c r="M1426" t="s">
        <v>178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 t="s">
        <v>282</v>
      </c>
      <c r="X1426" t="s">
        <v>271</v>
      </c>
      <c r="Y1426" t="s">
        <v>4059</v>
      </c>
      <c r="AA1426" t="s">
        <v>2171</v>
      </c>
      <c r="AB1426" t="s">
        <v>181</v>
      </c>
    </row>
    <row r="1427" spans="1:28" x14ac:dyDescent="0.25">
      <c r="A1427" t="s">
        <v>3861</v>
      </c>
      <c r="B1427" t="s">
        <v>3862</v>
      </c>
      <c r="C1427" t="s">
        <v>646</v>
      </c>
      <c r="D1427" t="s">
        <v>3779</v>
      </c>
      <c r="E1427" t="s">
        <v>647</v>
      </c>
      <c r="F1427" t="s">
        <v>3780</v>
      </c>
      <c r="G1427" t="s">
        <v>769</v>
      </c>
      <c r="H1427" t="s">
        <v>1515</v>
      </c>
      <c r="I1427" t="s">
        <v>2065</v>
      </c>
      <c r="J1427" t="s">
        <v>2066</v>
      </c>
      <c r="K1427" t="s">
        <v>166</v>
      </c>
      <c r="L1427" t="s">
        <v>0</v>
      </c>
      <c r="M1427" t="s">
        <v>178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 t="s">
        <v>2067</v>
      </c>
      <c r="X1427" t="s">
        <v>271</v>
      </c>
      <c r="Y1427" t="s">
        <v>3863</v>
      </c>
      <c r="AA1427" t="s">
        <v>3864</v>
      </c>
      <c r="AB1427" t="s">
        <v>181</v>
      </c>
    </row>
    <row r="1428" spans="1:28" x14ac:dyDescent="0.25">
      <c r="A1428" t="s">
        <v>3875</v>
      </c>
      <c r="B1428" t="s">
        <v>3876</v>
      </c>
      <c r="C1428" t="s">
        <v>646</v>
      </c>
      <c r="D1428" t="s">
        <v>3779</v>
      </c>
      <c r="E1428" t="s">
        <v>647</v>
      </c>
      <c r="F1428" t="s">
        <v>3780</v>
      </c>
      <c r="G1428" t="s">
        <v>769</v>
      </c>
      <c r="H1428" t="s">
        <v>962</v>
      </c>
      <c r="I1428" t="s">
        <v>1190</v>
      </c>
      <c r="J1428" t="s">
        <v>1191</v>
      </c>
      <c r="K1428" t="s">
        <v>166</v>
      </c>
      <c r="L1428" t="s">
        <v>0</v>
      </c>
      <c r="M1428" t="s">
        <v>178</v>
      </c>
      <c r="N1428">
        <v>112</v>
      </c>
      <c r="O1428">
        <v>82</v>
      </c>
      <c r="P1428">
        <v>680.42</v>
      </c>
      <c r="Q1428">
        <v>4272.79</v>
      </c>
      <c r="R1428">
        <v>318.51443895</v>
      </c>
      <c r="S1428">
        <v>360.00676819</v>
      </c>
      <c r="T1428">
        <v>30.04443895</v>
      </c>
      <c r="U1428">
        <v>4.8499999999999996</v>
      </c>
      <c r="V1428">
        <v>333.26</v>
      </c>
      <c r="W1428" t="s">
        <v>282</v>
      </c>
      <c r="X1428" t="s">
        <v>271</v>
      </c>
      <c r="Y1428" t="s">
        <v>2170</v>
      </c>
      <c r="AA1428" t="s">
        <v>2171</v>
      </c>
      <c r="AB1428" t="s">
        <v>181</v>
      </c>
    </row>
    <row r="1429" spans="1:28" x14ac:dyDescent="0.25">
      <c r="A1429" t="s">
        <v>4189</v>
      </c>
      <c r="B1429" t="s">
        <v>4190</v>
      </c>
      <c r="C1429" t="s">
        <v>646</v>
      </c>
      <c r="D1429" t="s">
        <v>3779</v>
      </c>
      <c r="E1429" t="s">
        <v>647</v>
      </c>
      <c r="F1429" t="s">
        <v>666</v>
      </c>
      <c r="G1429" t="s">
        <v>666</v>
      </c>
      <c r="H1429" t="s">
        <v>717</v>
      </c>
      <c r="I1429" t="s">
        <v>4191</v>
      </c>
      <c r="J1429" t="s">
        <v>355</v>
      </c>
      <c r="K1429" t="s">
        <v>166</v>
      </c>
      <c r="L1429" t="s">
        <v>0</v>
      </c>
      <c r="M1429" t="s">
        <v>178</v>
      </c>
      <c r="N1429">
        <v>123</v>
      </c>
      <c r="O1429">
        <v>0</v>
      </c>
      <c r="P1429">
        <v>1635.9</v>
      </c>
      <c r="Q1429">
        <v>6099.64</v>
      </c>
      <c r="R1429">
        <v>1682.71</v>
      </c>
      <c r="S1429">
        <v>49.086047309999998</v>
      </c>
      <c r="T1429">
        <v>0</v>
      </c>
      <c r="U1429">
        <v>0</v>
      </c>
      <c r="V1429">
        <v>1682.71</v>
      </c>
      <c r="W1429" t="s">
        <v>0</v>
      </c>
      <c r="X1429" t="s">
        <v>271</v>
      </c>
      <c r="Y1429" t="s">
        <v>4192</v>
      </c>
      <c r="AA1429" t="s">
        <v>4193</v>
      </c>
      <c r="AB1429" t="s">
        <v>181</v>
      </c>
    </row>
    <row r="1430" spans="1:28" x14ac:dyDescent="0.25">
      <c r="A1430" t="s">
        <v>4324</v>
      </c>
      <c r="B1430" t="s">
        <v>224</v>
      </c>
      <c r="C1430" t="s">
        <v>646</v>
      </c>
      <c r="D1430" t="s">
        <v>3779</v>
      </c>
      <c r="E1430" t="s">
        <v>647</v>
      </c>
      <c r="F1430" t="s">
        <v>3780</v>
      </c>
      <c r="G1430" t="s">
        <v>769</v>
      </c>
      <c r="H1430" t="s">
        <v>679</v>
      </c>
      <c r="I1430" t="s">
        <v>4164</v>
      </c>
      <c r="J1430" t="s">
        <v>985</v>
      </c>
      <c r="K1430" t="s">
        <v>166</v>
      </c>
      <c r="L1430" t="s">
        <v>0</v>
      </c>
      <c r="M1430" t="s">
        <v>178</v>
      </c>
      <c r="N1430">
        <v>1</v>
      </c>
      <c r="O1430">
        <v>1</v>
      </c>
      <c r="P1430">
        <v>3.53</v>
      </c>
      <c r="Q1430">
        <v>24.67</v>
      </c>
      <c r="R1430">
        <v>-4.7300000000000004</v>
      </c>
      <c r="S1430">
        <v>20.09</v>
      </c>
      <c r="T1430">
        <v>0</v>
      </c>
      <c r="U1430">
        <v>0</v>
      </c>
      <c r="V1430">
        <v>-4.7300000000000004</v>
      </c>
      <c r="W1430" t="s">
        <v>986</v>
      </c>
      <c r="X1430" t="s">
        <v>271</v>
      </c>
      <c r="Y1430" t="s">
        <v>4165</v>
      </c>
      <c r="AA1430" t="s">
        <v>4325</v>
      </c>
      <c r="AB1430" t="s">
        <v>181</v>
      </c>
    </row>
    <row r="1431" spans="1:28" x14ac:dyDescent="0.25">
      <c r="A1431" t="s">
        <v>3870</v>
      </c>
      <c r="B1431" t="s">
        <v>3871</v>
      </c>
      <c r="C1431" t="s">
        <v>646</v>
      </c>
      <c r="D1431" t="s">
        <v>3779</v>
      </c>
      <c r="E1431" t="s">
        <v>647</v>
      </c>
      <c r="F1431" t="s">
        <v>666</v>
      </c>
      <c r="G1431" t="s">
        <v>666</v>
      </c>
      <c r="H1431" t="s">
        <v>649</v>
      </c>
      <c r="I1431" t="s">
        <v>3872</v>
      </c>
      <c r="J1431" t="s">
        <v>355</v>
      </c>
      <c r="K1431" t="s">
        <v>166</v>
      </c>
      <c r="L1431" t="s">
        <v>0</v>
      </c>
      <c r="M1431" t="s">
        <v>178</v>
      </c>
      <c r="N1431">
        <v>93</v>
      </c>
      <c r="O1431">
        <v>93</v>
      </c>
      <c r="P1431">
        <v>2120</v>
      </c>
      <c r="Q1431">
        <v>6702.32</v>
      </c>
      <c r="R1431">
        <v>474.1</v>
      </c>
      <c r="S1431">
        <v>305.63286991000001</v>
      </c>
      <c r="T1431">
        <v>0</v>
      </c>
      <c r="U1431">
        <v>0</v>
      </c>
      <c r="V1431">
        <v>474.1</v>
      </c>
      <c r="W1431" t="s">
        <v>0</v>
      </c>
      <c r="X1431" t="s">
        <v>271</v>
      </c>
      <c r="Y1431" t="s">
        <v>3873</v>
      </c>
      <c r="AA1431" t="s">
        <v>3874</v>
      </c>
      <c r="AB1431" t="s">
        <v>181</v>
      </c>
    </row>
    <row r="1432" spans="1:28" x14ac:dyDescent="0.25">
      <c r="A1432" t="s">
        <v>3909</v>
      </c>
      <c r="B1432" t="s">
        <v>3910</v>
      </c>
      <c r="C1432" t="s">
        <v>646</v>
      </c>
      <c r="D1432" t="s">
        <v>3779</v>
      </c>
      <c r="E1432" t="s">
        <v>647</v>
      </c>
      <c r="F1432" t="s">
        <v>666</v>
      </c>
      <c r="G1432" t="s">
        <v>666</v>
      </c>
      <c r="H1432" t="s">
        <v>770</v>
      </c>
      <c r="I1432" t="s">
        <v>3911</v>
      </c>
      <c r="J1432" t="s">
        <v>355</v>
      </c>
      <c r="K1432" t="s">
        <v>166</v>
      </c>
      <c r="L1432" t="s">
        <v>0</v>
      </c>
      <c r="M1432" t="s">
        <v>178</v>
      </c>
      <c r="N1432">
        <v>2</v>
      </c>
      <c r="O1432">
        <v>2</v>
      </c>
      <c r="P1432">
        <v>24</v>
      </c>
      <c r="Q1432">
        <v>37.14</v>
      </c>
      <c r="R1432">
        <v>1.93</v>
      </c>
      <c r="S1432">
        <v>6.7848646400000003</v>
      </c>
      <c r="T1432">
        <v>0</v>
      </c>
      <c r="U1432">
        <v>0</v>
      </c>
      <c r="V1432">
        <v>1.93</v>
      </c>
      <c r="W1432" t="s">
        <v>0</v>
      </c>
      <c r="X1432" t="s">
        <v>271</v>
      </c>
      <c r="Y1432" t="s">
        <v>3912</v>
      </c>
      <c r="AA1432" t="s">
        <v>3894</v>
      </c>
      <c r="AB1432" t="s">
        <v>181</v>
      </c>
    </row>
    <row r="1433" spans="1:28" x14ac:dyDescent="0.25">
      <c r="A1433" t="s">
        <v>4326</v>
      </c>
      <c r="B1433" t="s">
        <v>4327</v>
      </c>
      <c r="C1433" t="s">
        <v>646</v>
      </c>
      <c r="D1433" t="s">
        <v>3779</v>
      </c>
      <c r="E1433" t="s">
        <v>647</v>
      </c>
      <c r="F1433" t="s">
        <v>3780</v>
      </c>
      <c r="G1433" t="s">
        <v>769</v>
      </c>
      <c r="H1433" t="s">
        <v>757</v>
      </c>
      <c r="I1433" t="s">
        <v>936</v>
      </c>
      <c r="J1433" t="s">
        <v>582</v>
      </c>
      <c r="K1433" t="s">
        <v>166</v>
      </c>
      <c r="L1433" t="s">
        <v>0</v>
      </c>
      <c r="M1433" t="s">
        <v>178</v>
      </c>
      <c r="N1433">
        <v>1</v>
      </c>
      <c r="O1433">
        <v>1</v>
      </c>
      <c r="P1433">
        <v>24</v>
      </c>
      <c r="Q1433">
        <v>53.59</v>
      </c>
      <c r="R1433">
        <v>3.71</v>
      </c>
      <c r="S1433">
        <v>4.3618631900000002</v>
      </c>
      <c r="T1433">
        <v>0</v>
      </c>
      <c r="U1433">
        <v>0</v>
      </c>
      <c r="V1433">
        <v>3.71</v>
      </c>
      <c r="W1433" t="s">
        <v>361</v>
      </c>
      <c r="X1433" t="s">
        <v>271</v>
      </c>
      <c r="Y1433" t="s">
        <v>4328</v>
      </c>
      <c r="AA1433" t="s">
        <v>4329</v>
      </c>
      <c r="AB1433" t="s">
        <v>181</v>
      </c>
    </row>
    <row r="1434" spans="1:28" x14ac:dyDescent="0.25">
      <c r="A1434" t="s">
        <v>4236</v>
      </c>
      <c r="B1434" t="s">
        <v>4237</v>
      </c>
      <c r="C1434" t="s">
        <v>646</v>
      </c>
      <c r="D1434" t="s">
        <v>3779</v>
      </c>
      <c r="E1434" t="s">
        <v>647</v>
      </c>
      <c r="F1434" t="s">
        <v>3780</v>
      </c>
      <c r="G1434" t="s">
        <v>769</v>
      </c>
      <c r="H1434" t="s">
        <v>909</v>
      </c>
      <c r="I1434" t="s">
        <v>1546</v>
      </c>
      <c r="J1434" t="s">
        <v>1547</v>
      </c>
      <c r="K1434" t="s">
        <v>166</v>
      </c>
      <c r="L1434" t="s">
        <v>0</v>
      </c>
      <c r="M1434" t="s">
        <v>178</v>
      </c>
      <c r="N1434">
        <v>1</v>
      </c>
      <c r="O1434">
        <v>1</v>
      </c>
      <c r="P1434">
        <v>35</v>
      </c>
      <c r="Q1434">
        <v>27.14</v>
      </c>
      <c r="R1434">
        <v>0.51</v>
      </c>
      <c r="S1434">
        <v>6.1284685000000003</v>
      </c>
      <c r="T1434">
        <v>0</v>
      </c>
      <c r="U1434">
        <v>0</v>
      </c>
      <c r="V1434">
        <v>0.51</v>
      </c>
      <c r="W1434" t="s">
        <v>1548</v>
      </c>
      <c r="X1434" t="s">
        <v>271</v>
      </c>
      <c r="Y1434" t="s">
        <v>4238</v>
      </c>
      <c r="AA1434" t="s">
        <v>4239</v>
      </c>
      <c r="AB1434" t="s">
        <v>181</v>
      </c>
    </row>
    <row r="1435" spans="1:28" x14ac:dyDescent="0.25">
      <c r="A1435" t="s">
        <v>4102</v>
      </c>
      <c r="B1435" t="s">
        <v>4103</v>
      </c>
      <c r="C1435" t="s">
        <v>646</v>
      </c>
      <c r="D1435" t="s">
        <v>3779</v>
      </c>
      <c r="E1435" t="s">
        <v>647</v>
      </c>
      <c r="F1435" t="s">
        <v>3780</v>
      </c>
      <c r="G1435" t="s">
        <v>769</v>
      </c>
      <c r="H1435" t="s">
        <v>703</v>
      </c>
      <c r="I1435" t="s">
        <v>4104</v>
      </c>
      <c r="J1435" t="s">
        <v>4105</v>
      </c>
      <c r="K1435" t="s">
        <v>166</v>
      </c>
      <c r="L1435" t="s">
        <v>0</v>
      </c>
      <c r="M1435" t="s">
        <v>178</v>
      </c>
      <c r="N1435">
        <v>876.68359999999996</v>
      </c>
      <c r="O1435">
        <v>384.16680000000002</v>
      </c>
      <c r="P1435">
        <v>20612.03</v>
      </c>
      <c r="Q1435">
        <v>37144.519999999997</v>
      </c>
      <c r="R1435">
        <v>9177.2341329400006</v>
      </c>
      <c r="S1435">
        <v>5535.7888933599997</v>
      </c>
      <c r="T1435">
        <v>-3.1158670599999998</v>
      </c>
      <c r="U1435">
        <v>0</v>
      </c>
      <c r="V1435">
        <v>9180.35</v>
      </c>
      <c r="W1435" t="s">
        <v>4106</v>
      </c>
      <c r="X1435" t="s">
        <v>269</v>
      </c>
      <c r="Y1435" t="s">
        <v>4107</v>
      </c>
      <c r="AA1435" t="s">
        <v>4108</v>
      </c>
      <c r="AB1435" t="s">
        <v>181</v>
      </c>
    </row>
    <row r="1436" spans="1:28" x14ac:dyDescent="0.25">
      <c r="A1436" t="s">
        <v>4151</v>
      </c>
      <c r="B1436" t="s">
        <v>4152</v>
      </c>
      <c r="C1436" t="s">
        <v>646</v>
      </c>
      <c r="D1436" t="s">
        <v>3779</v>
      </c>
      <c r="E1436" t="s">
        <v>647</v>
      </c>
      <c r="F1436" t="s">
        <v>666</v>
      </c>
      <c r="G1436" t="s">
        <v>666</v>
      </c>
      <c r="H1436" t="s">
        <v>703</v>
      </c>
      <c r="I1436" t="s">
        <v>765</v>
      </c>
      <c r="J1436" t="s">
        <v>436</v>
      </c>
      <c r="K1436" t="s">
        <v>166</v>
      </c>
      <c r="L1436" t="s">
        <v>0</v>
      </c>
      <c r="M1436" t="s">
        <v>178</v>
      </c>
      <c r="N1436">
        <v>1114.2502999999999</v>
      </c>
      <c r="O1436">
        <v>542.50030000000004</v>
      </c>
      <c r="P1436">
        <v>22783.26</v>
      </c>
      <c r="Q1436">
        <v>50649.64</v>
      </c>
      <c r="R1436">
        <v>10188.539610940001</v>
      </c>
      <c r="S1436">
        <v>7286.5272283200002</v>
      </c>
      <c r="T1436">
        <v>1.7196109399999999</v>
      </c>
      <c r="U1436">
        <v>0</v>
      </c>
      <c r="V1436">
        <v>10186.82</v>
      </c>
      <c r="W1436" t="s">
        <v>0</v>
      </c>
      <c r="X1436" t="s">
        <v>271</v>
      </c>
      <c r="Y1436" t="s">
        <v>4153</v>
      </c>
      <c r="AA1436" t="s">
        <v>4154</v>
      </c>
      <c r="AB1436" t="s">
        <v>181</v>
      </c>
    </row>
    <row r="1437" spans="1:28" x14ac:dyDescent="0.25">
      <c r="A1437" t="s">
        <v>4011</v>
      </c>
      <c r="B1437" t="s">
        <v>4012</v>
      </c>
      <c r="C1437" t="s">
        <v>646</v>
      </c>
      <c r="D1437" t="s">
        <v>3779</v>
      </c>
      <c r="E1437" t="s">
        <v>647</v>
      </c>
      <c r="F1437" t="s">
        <v>3780</v>
      </c>
      <c r="G1437" t="s">
        <v>769</v>
      </c>
      <c r="H1437" t="s">
        <v>679</v>
      </c>
      <c r="I1437" t="s">
        <v>2142</v>
      </c>
      <c r="J1437" t="s">
        <v>1924</v>
      </c>
      <c r="K1437" t="s">
        <v>166</v>
      </c>
      <c r="L1437" t="s">
        <v>0</v>
      </c>
      <c r="M1437" t="s">
        <v>178</v>
      </c>
      <c r="N1437">
        <v>46</v>
      </c>
      <c r="O1437">
        <v>25</v>
      </c>
      <c r="P1437">
        <v>530.85</v>
      </c>
      <c r="Q1437">
        <v>1348.22</v>
      </c>
      <c r="R1437">
        <v>118.54027278</v>
      </c>
      <c r="S1437">
        <v>371.29356882000002</v>
      </c>
      <c r="T1437">
        <v>-0.78972721999999995</v>
      </c>
      <c r="U1437">
        <v>0</v>
      </c>
      <c r="V1437">
        <v>119.33</v>
      </c>
      <c r="W1437" t="s">
        <v>1925</v>
      </c>
      <c r="X1437" t="s">
        <v>271</v>
      </c>
      <c r="Y1437" t="s">
        <v>4013</v>
      </c>
      <c r="AA1437" t="s">
        <v>4014</v>
      </c>
      <c r="AB1437" t="s">
        <v>181</v>
      </c>
    </row>
    <row r="1438" spans="1:28" x14ac:dyDescent="0.25">
      <c r="A1438" t="s">
        <v>4179</v>
      </c>
      <c r="B1438" t="s">
        <v>4180</v>
      </c>
      <c r="C1438" t="s">
        <v>646</v>
      </c>
      <c r="D1438" t="s">
        <v>3779</v>
      </c>
      <c r="E1438" t="s">
        <v>647</v>
      </c>
      <c r="F1438" t="s">
        <v>3780</v>
      </c>
      <c r="G1438" t="s">
        <v>769</v>
      </c>
      <c r="H1438" t="s">
        <v>672</v>
      </c>
      <c r="I1438" t="s">
        <v>4181</v>
      </c>
      <c r="J1438" t="s">
        <v>816</v>
      </c>
      <c r="K1438" t="s">
        <v>166</v>
      </c>
      <c r="L1438" t="s">
        <v>0</v>
      </c>
      <c r="M1438" t="s">
        <v>178</v>
      </c>
      <c r="N1438">
        <v>170</v>
      </c>
      <c r="O1438">
        <v>52</v>
      </c>
      <c r="P1438">
        <v>4348.8</v>
      </c>
      <c r="Q1438">
        <v>6936.9</v>
      </c>
      <c r="R1438">
        <v>911.50278290999995</v>
      </c>
      <c r="S1438">
        <v>812.89584940999998</v>
      </c>
      <c r="T1438">
        <v>0.32278290999999998</v>
      </c>
      <c r="U1438">
        <v>0</v>
      </c>
      <c r="V1438">
        <v>911.18</v>
      </c>
      <c r="W1438" t="s">
        <v>1490</v>
      </c>
      <c r="X1438" t="s">
        <v>271</v>
      </c>
      <c r="Y1438" t="s">
        <v>4182</v>
      </c>
      <c r="AA1438" t="s">
        <v>4183</v>
      </c>
      <c r="AB1438" t="s">
        <v>181</v>
      </c>
    </row>
    <row r="1439" spans="1:28" x14ac:dyDescent="0.25">
      <c r="A1439" t="s">
        <v>4265</v>
      </c>
      <c r="B1439" t="s">
        <v>4266</v>
      </c>
      <c r="C1439" t="s">
        <v>646</v>
      </c>
      <c r="D1439" t="s">
        <v>3779</v>
      </c>
      <c r="E1439" t="s">
        <v>647</v>
      </c>
      <c r="F1439" t="s">
        <v>666</v>
      </c>
      <c r="G1439" t="s">
        <v>666</v>
      </c>
      <c r="H1439" t="s">
        <v>802</v>
      </c>
      <c r="I1439" t="s">
        <v>4267</v>
      </c>
      <c r="J1439" t="s">
        <v>326</v>
      </c>
      <c r="K1439" t="s">
        <v>166</v>
      </c>
      <c r="L1439" t="s">
        <v>0</v>
      </c>
      <c r="M1439" t="s">
        <v>178</v>
      </c>
      <c r="N1439">
        <v>196.99969999999999</v>
      </c>
      <c r="O1439">
        <v>167.99969999999999</v>
      </c>
      <c r="P1439">
        <v>2997.48</v>
      </c>
      <c r="Q1439">
        <v>8462.56</v>
      </c>
      <c r="R1439">
        <v>741.82</v>
      </c>
      <c r="S1439">
        <v>1011.82355088</v>
      </c>
      <c r="T1439">
        <v>0</v>
      </c>
      <c r="U1439">
        <v>198.45</v>
      </c>
      <c r="V1439">
        <v>940.27</v>
      </c>
      <c r="W1439" t="s">
        <v>450</v>
      </c>
      <c r="X1439" t="s">
        <v>271</v>
      </c>
      <c r="Y1439" t="s">
        <v>4268</v>
      </c>
      <c r="AA1439" t="s">
        <v>4269</v>
      </c>
      <c r="AB1439" t="s">
        <v>181</v>
      </c>
    </row>
    <row r="1440" spans="1:28" x14ac:dyDescent="0.25">
      <c r="A1440" t="s">
        <v>4275</v>
      </c>
      <c r="B1440" t="s">
        <v>4276</v>
      </c>
      <c r="C1440" t="s">
        <v>646</v>
      </c>
      <c r="D1440" t="s">
        <v>3779</v>
      </c>
      <c r="E1440" t="s">
        <v>647</v>
      </c>
      <c r="F1440" t="s">
        <v>3780</v>
      </c>
      <c r="G1440" t="s">
        <v>769</v>
      </c>
      <c r="H1440" t="s">
        <v>717</v>
      </c>
      <c r="I1440" t="s">
        <v>4277</v>
      </c>
      <c r="J1440" t="s">
        <v>562</v>
      </c>
      <c r="K1440" t="s">
        <v>166</v>
      </c>
      <c r="L1440" t="s">
        <v>0</v>
      </c>
      <c r="M1440" t="s">
        <v>178</v>
      </c>
      <c r="N1440">
        <v>63</v>
      </c>
      <c r="O1440">
        <v>53</v>
      </c>
      <c r="P1440">
        <v>781.95</v>
      </c>
      <c r="Q1440">
        <v>2297.81</v>
      </c>
      <c r="R1440">
        <v>232.79270581</v>
      </c>
      <c r="S1440">
        <v>69.472053829999993</v>
      </c>
      <c r="T1440">
        <v>0.83270580999999999</v>
      </c>
      <c r="U1440">
        <v>0</v>
      </c>
      <c r="V1440">
        <v>231.96</v>
      </c>
      <c r="W1440" t="s">
        <v>0</v>
      </c>
      <c r="X1440" t="s">
        <v>271</v>
      </c>
      <c r="Y1440" t="s">
        <v>4278</v>
      </c>
      <c r="AA1440" t="s">
        <v>4279</v>
      </c>
      <c r="AB1440" t="s">
        <v>181</v>
      </c>
    </row>
    <row r="1441" spans="1:28" x14ac:dyDescent="0.25">
      <c r="A1441" t="s">
        <v>4015</v>
      </c>
      <c r="B1441" t="s">
        <v>4016</v>
      </c>
      <c r="C1441" t="s">
        <v>646</v>
      </c>
      <c r="D1441" t="s">
        <v>3779</v>
      </c>
      <c r="E1441" t="s">
        <v>647</v>
      </c>
      <c r="F1441" t="s">
        <v>3780</v>
      </c>
      <c r="G1441" t="s">
        <v>769</v>
      </c>
      <c r="H1441" t="s">
        <v>713</v>
      </c>
      <c r="I1441" t="s">
        <v>4017</v>
      </c>
      <c r="J1441" t="s">
        <v>4018</v>
      </c>
      <c r="K1441" t="s">
        <v>166</v>
      </c>
      <c r="L1441" t="s">
        <v>0</v>
      </c>
      <c r="M1441" t="s">
        <v>178</v>
      </c>
      <c r="N1441">
        <v>239.66659999999999</v>
      </c>
      <c r="O1441">
        <v>110.6666</v>
      </c>
      <c r="P1441">
        <v>5349.72</v>
      </c>
      <c r="Q1441">
        <v>8817.93</v>
      </c>
      <c r="R1441">
        <v>1000.02870289</v>
      </c>
      <c r="S1441">
        <v>486.33207225000001</v>
      </c>
      <c r="T1441">
        <v>15.95870289</v>
      </c>
      <c r="U1441">
        <v>0</v>
      </c>
      <c r="V1441">
        <v>984.07</v>
      </c>
      <c r="W1441" t="s">
        <v>4019</v>
      </c>
      <c r="X1441" t="s">
        <v>271</v>
      </c>
      <c r="Y1441" t="s">
        <v>4020</v>
      </c>
      <c r="AA1441" t="s">
        <v>4021</v>
      </c>
      <c r="AB1441" t="s">
        <v>181</v>
      </c>
    </row>
    <row r="1442" spans="1:28" x14ac:dyDescent="0.25">
      <c r="A1442" t="s">
        <v>4039</v>
      </c>
      <c r="B1442" t="s">
        <v>4040</v>
      </c>
      <c r="C1442" t="s">
        <v>646</v>
      </c>
      <c r="D1442" t="s">
        <v>3779</v>
      </c>
      <c r="E1442" t="s">
        <v>647</v>
      </c>
      <c r="F1442" t="s">
        <v>3780</v>
      </c>
      <c r="G1442" t="s">
        <v>769</v>
      </c>
      <c r="H1442" t="s">
        <v>717</v>
      </c>
      <c r="I1442" t="s">
        <v>1595</v>
      </c>
      <c r="J1442" t="s">
        <v>544</v>
      </c>
      <c r="K1442" t="s">
        <v>166</v>
      </c>
      <c r="L1442" t="s">
        <v>0</v>
      </c>
      <c r="M1442" t="s">
        <v>178</v>
      </c>
      <c r="N1442">
        <v>185</v>
      </c>
      <c r="O1442">
        <v>183</v>
      </c>
      <c r="P1442">
        <v>2419.52</v>
      </c>
      <c r="Q1442">
        <v>9528.5400000000009</v>
      </c>
      <c r="R1442">
        <v>87.05</v>
      </c>
      <c r="S1442">
        <v>441.72475685000001</v>
      </c>
      <c r="T1442">
        <v>0</v>
      </c>
      <c r="U1442">
        <v>0</v>
      </c>
      <c r="V1442">
        <v>87.05</v>
      </c>
      <c r="W1442" t="s">
        <v>239</v>
      </c>
      <c r="X1442" t="s">
        <v>271</v>
      </c>
      <c r="Y1442" t="s">
        <v>4041</v>
      </c>
      <c r="AA1442" t="s">
        <v>4042</v>
      </c>
      <c r="AB1442" t="s">
        <v>181</v>
      </c>
    </row>
    <row r="1443" spans="1:28" x14ac:dyDescent="0.25">
      <c r="A1443" t="s">
        <v>4284</v>
      </c>
      <c r="B1443" t="s">
        <v>4285</v>
      </c>
      <c r="C1443" t="s">
        <v>646</v>
      </c>
      <c r="D1443" t="s">
        <v>3779</v>
      </c>
      <c r="E1443" t="s">
        <v>647</v>
      </c>
      <c r="F1443" t="s">
        <v>3780</v>
      </c>
      <c r="G1443" t="s">
        <v>769</v>
      </c>
      <c r="H1443" t="s">
        <v>909</v>
      </c>
      <c r="I1443" t="s">
        <v>778</v>
      </c>
      <c r="J1443" t="s">
        <v>428</v>
      </c>
      <c r="K1443" t="s">
        <v>166</v>
      </c>
      <c r="L1443" t="s">
        <v>0</v>
      </c>
      <c r="M1443" t="s">
        <v>178</v>
      </c>
      <c r="N1443">
        <v>159</v>
      </c>
      <c r="O1443">
        <v>151</v>
      </c>
      <c r="P1443">
        <v>4959.3500000000004</v>
      </c>
      <c r="Q1443">
        <v>6444.96</v>
      </c>
      <c r="R1443">
        <v>1844.25</v>
      </c>
      <c r="S1443">
        <v>964.71098024000003</v>
      </c>
      <c r="T1443">
        <v>0</v>
      </c>
      <c r="U1443">
        <v>0</v>
      </c>
      <c r="V1443">
        <v>1844.25</v>
      </c>
      <c r="W1443" t="s">
        <v>1977</v>
      </c>
      <c r="X1443" t="s">
        <v>271</v>
      </c>
      <c r="Y1443" t="s">
        <v>4286</v>
      </c>
      <c r="AA1443" t="s">
        <v>4287</v>
      </c>
      <c r="AB1443" t="s">
        <v>181</v>
      </c>
    </row>
    <row r="1444" spans="1:28" x14ac:dyDescent="0.25">
      <c r="A1444" t="s">
        <v>3956</v>
      </c>
      <c r="B1444" t="s">
        <v>3957</v>
      </c>
      <c r="C1444" t="s">
        <v>646</v>
      </c>
      <c r="D1444" t="s">
        <v>3779</v>
      </c>
      <c r="E1444" t="s">
        <v>647</v>
      </c>
      <c r="F1444" t="s">
        <v>666</v>
      </c>
      <c r="G1444" t="s">
        <v>666</v>
      </c>
      <c r="H1444" t="s">
        <v>703</v>
      </c>
      <c r="I1444" t="s">
        <v>1068</v>
      </c>
      <c r="J1444" t="s">
        <v>501</v>
      </c>
      <c r="K1444" t="s">
        <v>166</v>
      </c>
      <c r="L1444" t="s">
        <v>0</v>
      </c>
      <c r="M1444" t="s">
        <v>178</v>
      </c>
      <c r="N1444">
        <v>329</v>
      </c>
      <c r="O1444">
        <v>264</v>
      </c>
      <c r="P1444">
        <v>6145.42</v>
      </c>
      <c r="Q1444">
        <v>9457.02</v>
      </c>
      <c r="R1444">
        <v>2519.7199999999998</v>
      </c>
      <c r="S1444">
        <v>1902.0668132999999</v>
      </c>
      <c r="T1444">
        <v>0</v>
      </c>
      <c r="U1444">
        <v>0</v>
      </c>
      <c r="V1444">
        <v>2519.7199999999998</v>
      </c>
      <c r="W1444" t="s">
        <v>500</v>
      </c>
      <c r="X1444" t="s">
        <v>271</v>
      </c>
      <c r="Y1444" t="s">
        <v>3958</v>
      </c>
      <c r="AA1444" t="s">
        <v>3959</v>
      </c>
      <c r="AB1444" t="s">
        <v>181</v>
      </c>
    </row>
    <row r="1445" spans="1:28" x14ac:dyDescent="0.25">
      <c r="A1445" t="s">
        <v>4248</v>
      </c>
      <c r="B1445" t="s">
        <v>4249</v>
      </c>
      <c r="C1445" t="s">
        <v>646</v>
      </c>
      <c r="D1445" t="s">
        <v>3779</v>
      </c>
      <c r="E1445" t="s">
        <v>647</v>
      </c>
      <c r="F1445" t="s">
        <v>3780</v>
      </c>
      <c r="G1445" t="s">
        <v>769</v>
      </c>
      <c r="H1445" t="s">
        <v>909</v>
      </c>
      <c r="I1445" t="s">
        <v>1913</v>
      </c>
      <c r="J1445" t="s">
        <v>1914</v>
      </c>
      <c r="K1445" t="s">
        <v>166</v>
      </c>
      <c r="L1445" t="s">
        <v>0</v>
      </c>
      <c r="M1445" t="s">
        <v>178</v>
      </c>
      <c r="N1445">
        <v>92</v>
      </c>
      <c r="O1445">
        <v>59</v>
      </c>
      <c r="P1445">
        <v>3034.58</v>
      </c>
      <c r="Q1445">
        <v>4739.79</v>
      </c>
      <c r="R1445">
        <v>416.65</v>
      </c>
      <c r="S1445">
        <v>1007.54118823</v>
      </c>
      <c r="T1445">
        <v>0</v>
      </c>
      <c r="U1445">
        <v>0</v>
      </c>
      <c r="V1445">
        <v>416.65</v>
      </c>
      <c r="W1445" t="s">
        <v>1915</v>
      </c>
      <c r="X1445" t="s">
        <v>269</v>
      </c>
      <c r="Y1445" t="s">
        <v>4250</v>
      </c>
      <c r="AA1445" t="s">
        <v>4251</v>
      </c>
      <c r="AB1445" t="s">
        <v>181</v>
      </c>
    </row>
    <row r="1446" spans="1:28" x14ac:dyDescent="0.25">
      <c r="A1446" t="s">
        <v>4177</v>
      </c>
      <c r="B1446" t="s">
        <v>4178</v>
      </c>
      <c r="C1446" t="s">
        <v>646</v>
      </c>
      <c r="D1446" t="s">
        <v>3779</v>
      </c>
      <c r="E1446" t="s">
        <v>647</v>
      </c>
      <c r="F1446" t="s">
        <v>3780</v>
      </c>
      <c r="G1446" t="s">
        <v>769</v>
      </c>
      <c r="H1446" t="s">
        <v>730</v>
      </c>
      <c r="I1446" t="s">
        <v>1190</v>
      </c>
      <c r="J1446" t="s">
        <v>1191</v>
      </c>
      <c r="K1446" t="s">
        <v>166</v>
      </c>
      <c r="L1446" t="s">
        <v>0</v>
      </c>
      <c r="M1446" t="s">
        <v>178</v>
      </c>
      <c r="N1446">
        <v>415</v>
      </c>
      <c r="O1446">
        <v>322</v>
      </c>
      <c r="P1446">
        <v>7114.86</v>
      </c>
      <c r="Q1446">
        <v>26265.97</v>
      </c>
      <c r="R1446">
        <v>1344.42</v>
      </c>
      <c r="S1446">
        <v>3197.3964703699999</v>
      </c>
      <c r="T1446">
        <v>0</v>
      </c>
      <c r="U1446">
        <v>207.16</v>
      </c>
      <c r="V1446">
        <v>1551.58</v>
      </c>
      <c r="W1446" t="s">
        <v>282</v>
      </c>
      <c r="X1446" t="s">
        <v>271</v>
      </c>
      <c r="Y1446" t="s">
        <v>4059</v>
      </c>
      <c r="AA1446" t="s">
        <v>2171</v>
      </c>
      <c r="AB1446" t="s">
        <v>181</v>
      </c>
    </row>
    <row r="1447" spans="1:28" x14ac:dyDescent="0.25">
      <c r="A1447" t="s">
        <v>4159</v>
      </c>
      <c r="B1447" t="s">
        <v>257</v>
      </c>
      <c r="C1447" t="s">
        <v>646</v>
      </c>
      <c r="D1447" t="s">
        <v>3779</v>
      </c>
      <c r="E1447" t="s">
        <v>647</v>
      </c>
      <c r="F1447" t="s">
        <v>3780</v>
      </c>
      <c r="G1447" t="s">
        <v>769</v>
      </c>
      <c r="H1447" t="s">
        <v>683</v>
      </c>
      <c r="I1447" t="s">
        <v>673</v>
      </c>
      <c r="J1447" t="s">
        <v>674</v>
      </c>
      <c r="K1447" t="s">
        <v>166</v>
      </c>
      <c r="L1447" t="s">
        <v>0</v>
      </c>
      <c r="M1447" t="s">
        <v>178</v>
      </c>
      <c r="N1447">
        <v>260</v>
      </c>
      <c r="O1447">
        <v>93</v>
      </c>
      <c r="P1447">
        <v>4427.3599999999997</v>
      </c>
      <c r="Q1447">
        <v>14052.81</v>
      </c>
      <c r="R1447">
        <v>3565.1</v>
      </c>
      <c r="S1447">
        <v>916.54025841999999</v>
      </c>
      <c r="T1447">
        <v>0</v>
      </c>
      <c r="U1447">
        <v>0</v>
      </c>
      <c r="V1447">
        <v>3565.1</v>
      </c>
      <c r="W1447" t="s">
        <v>675</v>
      </c>
      <c r="X1447" t="s">
        <v>271</v>
      </c>
      <c r="Y1447" t="s">
        <v>4160</v>
      </c>
      <c r="AA1447" t="s">
        <v>4161</v>
      </c>
      <c r="AB1447" t="s">
        <v>181</v>
      </c>
    </row>
    <row r="1448" spans="1:28" x14ac:dyDescent="0.25">
      <c r="A1448" t="s">
        <v>4236</v>
      </c>
      <c r="B1448" t="s">
        <v>4237</v>
      </c>
      <c r="C1448" t="s">
        <v>646</v>
      </c>
      <c r="D1448" t="s">
        <v>3779</v>
      </c>
      <c r="E1448" t="s">
        <v>647</v>
      </c>
      <c r="F1448" t="s">
        <v>3780</v>
      </c>
      <c r="G1448" t="s">
        <v>769</v>
      </c>
      <c r="H1448" t="s">
        <v>770</v>
      </c>
      <c r="I1448" t="s">
        <v>1546</v>
      </c>
      <c r="J1448" t="s">
        <v>1547</v>
      </c>
      <c r="K1448" t="s">
        <v>166</v>
      </c>
      <c r="L1448" t="s">
        <v>0</v>
      </c>
      <c r="M1448" t="s">
        <v>178</v>
      </c>
      <c r="N1448">
        <v>160</v>
      </c>
      <c r="O1448">
        <v>159</v>
      </c>
      <c r="P1448">
        <v>3941</v>
      </c>
      <c r="Q1448">
        <v>2869.33</v>
      </c>
      <c r="R1448">
        <v>71.180000000000007</v>
      </c>
      <c r="S1448">
        <v>463.03219319999999</v>
      </c>
      <c r="T1448">
        <v>0</v>
      </c>
      <c r="U1448">
        <v>0</v>
      </c>
      <c r="V1448">
        <v>71.180000000000007</v>
      </c>
      <c r="W1448" t="s">
        <v>1548</v>
      </c>
      <c r="X1448" t="s">
        <v>271</v>
      </c>
      <c r="Y1448" t="s">
        <v>4238</v>
      </c>
      <c r="AA1448" t="s">
        <v>4239</v>
      </c>
      <c r="AB1448" t="s">
        <v>181</v>
      </c>
    </row>
    <row r="1449" spans="1:28" x14ac:dyDescent="0.25">
      <c r="A1449" t="s">
        <v>3973</v>
      </c>
      <c r="B1449" t="s">
        <v>3974</v>
      </c>
      <c r="C1449" t="s">
        <v>646</v>
      </c>
      <c r="D1449" t="s">
        <v>3779</v>
      </c>
      <c r="E1449" t="s">
        <v>647</v>
      </c>
      <c r="F1449" t="s">
        <v>3780</v>
      </c>
      <c r="G1449" t="s">
        <v>769</v>
      </c>
      <c r="H1449" t="s">
        <v>672</v>
      </c>
      <c r="I1449" t="s">
        <v>880</v>
      </c>
      <c r="J1449" t="s">
        <v>881</v>
      </c>
      <c r="K1449" t="s">
        <v>166</v>
      </c>
      <c r="L1449" t="s">
        <v>0</v>
      </c>
      <c r="M1449" t="s">
        <v>178</v>
      </c>
      <c r="N1449">
        <v>156</v>
      </c>
      <c r="O1449">
        <v>117</v>
      </c>
      <c r="P1449">
        <v>1159.4000000000001</v>
      </c>
      <c r="Q1449">
        <v>6983.77</v>
      </c>
      <c r="R1449">
        <v>-91.616944079999996</v>
      </c>
      <c r="S1449">
        <v>2650.4621505499999</v>
      </c>
      <c r="T1449">
        <v>2.3055920000000001E-2</v>
      </c>
      <c r="U1449">
        <v>653.11</v>
      </c>
      <c r="V1449">
        <v>561.47</v>
      </c>
      <c r="W1449" t="s">
        <v>0</v>
      </c>
      <c r="X1449" t="s">
        <v>271</v>
      </c>
      <c r="Y1449" t="s">
        <v>3975</v>
      </c>
      <c r="AA1449" t="s">
        <v>3976</v>
      </c>
      <c r="AB1449" t="s">
        <v>181</v>
      </c>
    </row>
    <row r="1450" spans="1:28" x14ac:dyDescent="0.25">
      <c r="A1450" t="s">
        <v>4047</v>
      </c>
      <c r="B1450" t="s">
        <v>4048</v>
      </c>
      <c r="C1450" t="s">
        <v>646</v>
      </c>
      <c r="D1450" t="s">
        <v>3779</v>
      </c>
      <c r="E1450" t="s">
        <v>647</v>
      </c>
      <c r="F1450" t="s">
        <v>666</v>
      </c>
      <c r="G1450" t="s">
        <v>666</v>
      </c>
      <c r="H1450" t="s">
        <v>802</v>
      </c>
      <c r="I1450" t="s">
        <v>2292</v>
      </c>
      <c r="J1450" t="s">
        <v>1847</v>
      </c>
      <c r="K1450" t="s">
        <v>166</v>
      </c>
      <c r="L1450" t="s">
        <v>0</v>
      </c>
      <c r="M1450" t="s">
        <v>178</v>
      </c>
      <c r="N1450">
        <v>319.166</v>
      </c>
      <c r="O1450">
        <v>293.166</v>
      </c>
      <c r="P1450">
        <v>5118.05</v>
      </c>
      <c r="Q1450">
        <v>18375.810000000001</v>
      </c>
      <c r="R1450">
        <v>5425.84</v>
      </c>
      <c r="S1450">
        <v>1609.0897603400001</v>
      </c>
      <c r="T1450">
        <v>0</v>
      </c>
      <c r="U1450">
        <v>0</v>
      </c>
      <c r="V1450">
        <v>5425.84</v>
      </c>
      <c r="W1450" t="s">
        <v>1848</v>
      </c>
      <c r="X1450" t="s">
        <v>269</v>
      </c>
      <c r="Y1450" t="s">
        <v>4049</v>
      </c>
      <c r="AA1450" t="s">
        <v>4050</v>
      </c>
      <c r="AB1450" t="s">
        <v>181</v>
      </c>
    </row>
    <row r="1451" spans="1:28" x14ac:dyDescent="0.25">
      <c r="A1451" t="s">
        <v>4109</v>
      </c>
      <c r="B1451" t="s">
        <v>4110</v>
      </c>
      <c r="C1451" t="s">
        <v>646</v>
      </c>
      <c r="D1451" t="s">
        <v>3779</v>
      </c>
      <c r="E1451" t="s">
        <v>647</v>
      </c>
      <c r="F1451" t="s">
        <v>3780</v>
      </c>
      <c r="G1451" t="s">
        <v>769</v>
      </c>
      <c r="H1451" t="s">
        <v>708</v>
      </c>
      <c r="I1451" t="s">
        <v>1046</v>
      </c>
      <c r="J1451" t="s">
        <v>971</v>
      </c>
      <c r="K1451" t="s">
        <v>166</v>
      </c>
      <c r="L1451" t="s">
        <v>0</v>
      </c>
      <c r="M1451" t="s">
        <v>178</v>
      </c>
      <c r="N1451">
        <v>81.333399999999997</v>
      </c>
      <c r="O1451">
        <v>53.333399999999997</v>
      </c>
      <c r="P1451">
        <v>758.61</v>
      </c>
      <c r="Q1451">
        <v>4498.38</v>
      </c>
      <c r="R1451">
        <v>388.07619319999998</v>
      </c>
      <c r="S1451">
        <v>471.87085617000002</v>
      </c>
      <c r="T1451">
        <v>6.1932000000000003E-3</v>
      </c>
      <c r="U1451">
        <v>0</v>
      </c>
      <c r="V1451">
        <v>388.07</v>
      </c>
      <c r="W1451" t="s">
        <v>972</v>
      </c>
      <c r="X1451" t="s">
        <v>269</v>
      </c>
      <c r="Y1451" t="s">
        <v>4111</v>
      </c>
      <c r="AA1451" t="s">
        <v>4112</v>
      </c>
      <c r="AB1451" t="s">
        <v>181</v>
      </c>
    </row>
    <row r="1452" spans="1:28" x14ac:dyDescent="0.25">
      <c r="A1452" t="s">
        <v>3875</v>
      </c>
      <c r="B1452" t="s">
        <v>3876</v>
      </c>
      <c r="C1452" t="s">
        <v>646</v>
      </c>
      <c r="D1452" t="s">
        <v>3779</v>
      </c>
      <c r="E1452" t="s">
        <v>647</v>
      </c>
      <c r="F1452" t="s">
        <v>3780</v>
      </c>
      <c r="G1452" t="s">
        <v>769</v>
      </c>
      <c r="H1452" t="s">
        <v>679</v>
      </c>
      <c r="I1452" t="s">
        <v>1190</v>
      </c>
      <c r="J1452" t="s">
        <v>1191</v>
      </c>
      <c r="K1452" t="s">
        <v>166</v>
      </c>
      <c r="L1452" t="s">
        <v>0</v>
      </c>
      <c r="M1452" t="s">
        <v>178</v>
      </c>
      <c r="N1452">
        <v>167</v>
      </c>
      <c r="O1452">
        <v>50</v>
      </c>
      <c r="P1452">
        <v>2527.9299999999998</v>
      </c>
      <c r="Q1452">
        <v>7322.97</v>
      </c>
      <c r="R1452">
        <v>172.25519614999999</v>
      </c>
      <c r="S1452">
        <v>1216.0593609499999</v>
      </c>
      <c r="T1452">
        <v>66.785196150000004</v>
      </c>
      <c r="U1452">
        <v>367.33</v>
      </c>
      <c r="V1452">
        <v>540.17999999999995</v>
      </c>
      <c r="W1452" t="s">
        <v>282</v>
      </c>
      <c r="X1452" t="s">
        <v>271</v>
      </c>
      <c r="Y1452" t="s">
        <v>2170</v>
      </c>
      <c r="AA1452" t="s">
        <v>2171</v>
      </c>
      <c r="AB1452" t="s">
        <v>181</v>
      </c>
    </row>
    <row r="1453" spans="1:28" x14ac:dyDescent="0.25">
      <c r="A1453" t="s">
        <v>4143</v>
      </c>
      <c r="B1453" t="s">
        <v>4144</v>
      </c>
      <c r="C1453" t="s">
        <v>646</v>
      </c>
      <c r="D1453" t="s">
        <v>3779</v>
      </c>
      <c r="E1453" t="s">
        <v>647</v>
      </c>
      <c r="F1453" t="s">
        <v>3780</v>
      </c>
      <c r="G1453" t="s">
        <v>769</v>
      </c>
      <c r="H1453" t="s">
        <v>761</v>
      </c>
      <c r="I1453" t="s">
        <v>1828</v>
      </c>
      <c r="J1453" t="s">
        <v>1829</v>
      </c>
      <c r="K1453" t="s">
        <v>166</v>
      </c>
      <c r="L1453" t="s">
        <v>0</v>
      </c>
      <c r="M1453" t="s">
        <v>178</v>
      </c>
      <c r="N1453">
        <v>18</v>
      </c>
      <c r="O1453">
        <v>2</v>
      </c>
      <c r="P1453">
        <v>105.43</v>
      </c>
      <c r="Q1453">
        <v>654.70000000000005</v>
      </c>
      <c r="R1453">
        <v>206.86</v>
      </c>
      <c r="S1453">
        <v>60.493963739999998</v>
      </c>
      <c r="T1453">
        <v>0</v>
      </c>
      <c r="U1453">
        <v>0</v>
      </c>
      <c r="V1453">
        <v>206.86</v>
      </c>
      <c r="W1453" t="s">
        <v>1361</v>
      </c>
      <c r="X1453" t="s">
        <v>271</v>
      </c>
      <c r="Y1453" t="s">
        <v>4145</v>
      </c>
      <c r="AA1453" t="s">
        <v>4146</v>
      </c>
      <c r="AB1453" t="s">
        <v>181</v>
      </c>
    </row>
    <row r="1454" spans="1:28" x14ac:dyDescent="0.25">
      <c r="A1454" t="s">
        <v>3806</v>
      </c>
      <c r="B1454" t="s">
        <v>3807</v>
      </c>
      <c r="C1454" t="s">
        <v>646</v>
      </c>
      <c r="D1454" t="s">
        <v>3779</v>
      </c>
      <c r="E1454" t="s">
        <v>647</v>
      </c>
      <c r="F1454" t="s">
        <v>3780</v>
      </c>
      <c r="G1454" t="s">
        <v>769</v>
      </c>
      <c r="H1454" t="s">
        <v>1045</v>
      </c>
      <c r="I1454" t="s">
        <v>2071</v>
      </c>
      <c r="J1454" t="s">
        <v>1664</v>
      </c>
      <c r="K1454" t="s">
        <v>166</v>
      </c>
      <c r="L1454" t="s">
        <v>0</v>
      </c>
      <c r="M1454" t="s">
        <v>178</v>
      </c>
      <c r="N1454">
        <v>152.66669999999999</v>
      </c>
      <c r="O1454">
        <v>62.666699999999999</v>
      </c>
      <c r="P1454">
        <v>1926.2</v>
      </c>
      <c r="Q1454">
        <v>19120.36</v>
      </c>
      <c r="R1454">
        <v>2628.88</v>
      </c>
      <c r="S1454">
        <v>511.28539757999999</v>
      </c>
      <c r="T1454">
        <v>0</v>
      </c>
      <c r="U1454">
        <v>0</v>
      </c>
      <c r="V1454">
        <v>2628.88</v>
      </c>
      <c r="W1454" t="s">
        <v>1665</v>
      </c>
      <c r="X1454" t="s">
        <v>271</v>
      </c>
      <c r="Y1454" t="s">
        <v>3808</v>
      </c>
      <c r="AA1454" t="s">
        <v>3809</v>
      </c>
      <c r="AB1454" t="s">
        <v>181</v>
      </c>
    </row>
    <row r="1455" spans="1:28" x14ac:dyDescent="0.25">
      <c r="A1455" t="s">
        <v>4308</v>
      </c>
      <c r="B1455" t="s">
        <v>4309</v>
      </c>
      <c r="C1455" t="s">
        <v>646</v>
      </c>
      <c r="D1455" t="s">
        <v>3779</v>
      </c>
      <c r="E1455" t="s">
        <v>647</v>
      </c>
      <c r="F1455" t="s">
        <v>3780</v>
      </c>
      <c r="G1455" t="s">
        <v>769</v>
      </c>
      <c r="H1455" t="s">
        <v>672</v>
      </c>
      <c r="I1455" t="s">
        <v>1184</v>
      </c>
      <c r="J1455" t="s">
        <v>1185</v>
      </c>
      <c r="K1455" t="s">
        <v>166</v>
      </c>
      <c r="L1455" t="s">
        <v>0</v>
      </c>
      <c r="M1455" t="s">
        <v>178</v>
      </c>
      <c r="N1455">
        <v>30</v>
      </c>
      <c r="O1455">
        <v>28</v>
      </c>
      <c r="P1455">
        <v>630</v>
      </c>
      <c r="Q1455">
        <v>1341.12</v>
      </c>
      <c r="R1455">
        <v>373.44897707000001</v>
      </c>
      <c r="S1455">
        <v>227.30673321</v>
      </c>
      <c r="T1455">
        <v>-0.12102293</v>
      </c>
      <c r="U1455">
        <v>0</v>
      </c>
      <c r="V1455">
        <v>373.57</v>
      </c>
      <c r="W1455" t="s">
        <v>1186</v>
      </c>
      <c r="X1455" t="s">
        <v>271</v>
      </c>
      <c r="Y1455" t="s">
        <v>4310</v>
      </c>
      <c r="AA1455" t="s">
        <v>4311</v>
      </c>
      <c r="AB1455" t="s">
        <v>181</v>
      </c>
    </row>
    <row r="1456" spans="1:28" x14ac:dyDescent="0.25">
      <c r="A1456" t="s">
        <v>3956</v>
      </c>
      <c r="B1456" t="s">
        <v>3957</v>
      </c>
      <c r="C1456" t="s">
        <v>646</v>
      </c>
      <c r="D1456" t="s">
        <v>3779</v>
      </c>
      <c r="E1456" t="s">
        <v>647</v>
      </c>
      <c r="F1456" t="s">
        <v>666</v>
      </c>
      <c r="G1456" t="s">
        <v>666</v>
      </c>
      <c r="H1456" t="s">
        <v>797</v>
      </c>
      <c r="I1456" t="s">
        <v>1068</v>
      </c>
      <c r="J1456" t="s">
        <v>501</v>
      </c>
      <c r="K1456" t="s">
        <v>166</v>
      </c>
      <c r="L1456" t="s">
        <v>0</v>
      </c>
      <c r="M1456" t="s">
        <v>178</v>
      </c>
      <c r="N1456">
        <v>115</v>
      </c>
      <c r="O1456">
        <v>115</v>
      </c>
      <c r="P1456">
        <v>1150</v>
      </c>
      <c r="Q1456">
        <v>3992.14</v>
      </c>
      <c r="R1456">
        <v>1033.0162277300001</v>
      </c>
      <c r="S1456">
        <v>833.45179331999998</v>
      </c>
      <c r="T1456">
        <v>6.2277299999999999E-3</v>
      </c>
      <c r="U1456">
        <v>0</v>
      </c>
      <c r="V1456">
        <v>1033.01</v>
      </c>
      <c r="W1456" t="s">
        <v>500</v>
      </c>
      <c r="X1456" t="s">
        <v>271</v>
      </c>
      <c r="Y1456" t="s">
        <v>3958</v>
      </c>
      <c r="AA1456" t="s">
        <v>3959</v>
      </c>
      <c r="AB1456" t="s">
        <v>181</v>
      </c>
    </row>
    <row r="1457" spans="1:28" x14ac:dyDescent="0.25">
      <c r="A1457" t="s">
        <v>4086</v>
      </c>
      <c r="B1457" t="s">
        <v>4087</v>
      </c>
      <c r="C1457" t="s">
        <v>646</v>
      </c>
      <c r="D1457" t="s">
        <v>3779</v>
      </c>
      <c r="E1457" t="s">
        <v>647</v>
      </c>
      <c r="F1457" t="s">
        <v>3780</v>
      </c>
      <c r="G1457" t="s">
        <v>769</v>
      </c>
      <c r="H1457" t="s">
        <v>717</v>
      </c>
      <c r="I1457" t="s">
        <v>4088</v>
      </c>
      <c r="J1457" t="s">
        <v>480</v>
      </c>
      <c r="K1457" t="s">
        <v>166</v>
      </c>
      <c r="L1457" t="s">
        <v>0</v>
      </c>
      <c r="M1457" t="s">
        <v>178</v>
      </c>
      <c r="N1457">
        <v>60</v>
      </c>
      <c r="O1457">
        <v>59</v>
      </c>
      <c r="P1457">
        <v>900</v>
      </c>
      <c r="Q1457">
        <v>3424.63</v>
      </c>
      <c r="R1457">
        <v>754.08</v>
      </c>
      <c r="S1457">
        <v>530.7477973</v>
      </c>
      <c r="T1457">
        <v>0</v>
      </c>
      <c r="U1457">
        <v>0</v>
      </c>
      <c r="V1457">
        <v>754.08</v>
      </c>
      <c r="W1457" t="s">
        <v>4089</v>
      </c>
      <c r="X1457" t="s">
        <v>271</v>
      </c>
      <c r="Y1457" t="s">
        <v>4090</v>
      </c>
      <c r="AA1457" t="s">
        <v>4091</v>
      </c>
      <c r="AB1457" t="s">
        <v>181</v>
      </c>
    </row>
    <row r="1458" spans="1:28" x14ac:dyDescent="0.25">
      <c r="A1458" t="s">
        <v>4031</v>
      </c>
      <c r="B1458" t="s">
        <v>4032</v>
      </c>
      <c r="C1458" t="s">
        <v>646</v>
      </c>
      <c r="D1458" t="s">
        <v>3779</v>
      </c>
      <c r="E1458" t="s">
        <v>647</v>
      </c>
      <c r="F1458" t="s">
        <v>3780</v>
      </c>
      <c r="G1458" t="s">
        <v>769</v>
      </c>
      <c r="H1458" t="s">
        <v>1171</v>
      </c>
      <c r="I1458" t="s">
        <v>1513</v>
      </c>
      <c r="J1458" t="s">
        <v>333</v>
      </c>
      <c r="K1458" t="s">
        <v>166</v>
      </c>
      <c r="L1458" t="s">
        <v>0</v>
      </c>
      <c r="M1458" t="s">
        <v>178</v>
      </c>
      <c r="N1458">
        <v>521</v>
      </c>
      <c r="O1458">
        <v>474</v>
      </c>
      <c r="P1458">
        <v>8793.67</v>
      </c>
      <c r="Q1458">
        <v>73593.39</v>
      </c>
      <c r="R1458">
        <v>1470.57770912</v>
      </c>
      <c r="S1458">
        <v>1150.1106928300001</v>
      </c>
      <c r="T1458">
        <v>19.90770912</v>
      </c>
      <c r="U1458">
        <v>514.65</v>
      </c>
      <c r="V1458">
        <v>1965.32</v>
      </c>
      <c r="W1458" t="s">
        <v>718</v>
      </c>
      <c r="X1458" t="s">
        <v>271</v>
      </c>
      <c r="Y1458" t="s">
        <v>4033</v>
      </c>
      <c r="AA1458" t="s">
        <v>4034</v>
      </c>
      <c r="AB1458" t="s">
        <v>181</v>
      </c>
    </row>
    <row r="1459" spans="1:28" x14ac:dyDescent="0.25">
      <c r="A1459" t="s">
        <v>3948</v>
      </c>
      <c r="B1459" t="s">
        <v>3949</v>
      </c>
      <c r="C1459" t="s">
        <v>646</v>
      </c>
      <c r="D1459" t="s">
        <v>3779</v>
      </c>
      <c r="E1459" t="s">
        <v>647</v>
      </c>
      <c r="F1459" t="s">
        <v>3780</v>
      </c>
      <c r="G1459" t="s">
        <v>769</v>
      </c>
      <c r="H1459" t="s">
        <v>797</v>
      </c>
      <c r="I1459" t="s">
        <v>2250</v>
      </c>
      <c r="J1459" t="s">
        <v>358</v>
      </c>
      <c r="K1459" t="s">
        <v>166</v>
      </c>
      <c r="L1459" t="s">
        <v>0</v>
      </c>
      <c r="M1459" t="s">
        <v>178</v>
      </c>
      <c r="N1459">
        <v>189</v>
      </c>
      <c r="O1459">
        <v>3</v>
      </c>
      <c r="P1459">
        <v>1891.25</v>
      </c>
      <c r="Q1459">
        <v>6752.78</v>
      </c>
      <c r="R1459">
        <v>1722.9671184199999</v>
      </c>
      <c r="S1459">
        <v>431.40203214000002</v>
      </c>
      <c r="T1459">
        <v>-2.8815799999999999E-3</v>
      </c>
      <c r="U1459">
        <v>0</v>
      </c>
      <c r="V1459">
        <v>1722.97</v>
      </c>
      <c r="W1459" t="s">
        <v>357</v>
      </c>
      <c r="X1459" t="s">
        <v>271</v>
      </c>
      <c r="Y1459" t="s">
        <v>3950</v>
      </c>
      <c r="AA1459" t="s">
        <v>3951</v>
      </c>
      <c r="AB1459" t="s">
        <v>181</v>
      </c>
    </row>
    <row r="1460" spans="1:28" x14ac:dyDescent="0.25">
      <c r="A1460" t="s">
        <v>3944</v>
      </c>
      <c r="B1460" t="s">
        <v>3945</v>
      </c>
      <c r="C1460" t="s">
        <v>646</v>
      </c>
      <c r="D1460" t="s">
        <v>3779</v>
      </c>
      <c r="E1460" t="s">
        <v>647</v>
      </c>
      <c r="F1460" t="s">
        <v>3780</v>
      </c>
      <c r="G1460" t="s">
        <v>769</v>
      </c>
      <c r="H1460" t="s">
        <v>757</v>
      </c>
      <c r="I1460" t="s">
        <v>798</v>
      </c>
      <c r="J1460" t="s">
        <v>524</v>
      </c>
      <c r="K1460" t="s">
        <v>166</v>
      </c>
      <c r="L1460" t="s">
        <v>0</v>
      </c>
      <c r="M1460" t="s">
        <v>178</v>
      </c>
      <c r="N1460">
        <v>21</v>
      </c>
      <c r="O1460">
        <v>19</v>
      </c>
      <c r="P1460">
        <v>448.89</v>
      </c>
      <c r="Q1460">
        <v>957.15</v>
      </c>
      <c r="R1460">
        <v>105.57</v>
      </c>
      <c r="S1460">
        <v>139.68098717999999</v>
      </c>
      <c r="T1460">
        <v>0</v>
      </c>
      <c r="U1460">
        <v>0</v>
      </c>
      <c r="V1460">
        <v>105.57</v>
      </c>
      <c r="W1460" t="s">
        <v>258</v>
      </c>
      <c r="X1460" t="s">
        <v>271</v>
      </c>
      <c r="Y1460" t="s">
        <v>3946</v>
      </c>
      <c r="AA1460" t="s">
        <v>3947</v>
      </c>
      <c r="AB1460" t="s">
        <v>181</v>
      </c>
    </row>
    <row r="1461" spans="1:28" x14ac:dyDescent="0.25">
      <c r="A1461" t="s">
        <v>3806</v>
      </c>
      <c r="B1461" t="s">
        <v>3807</v>
      </c>
      <c r="C1461" t="s">
        <v>646</v>
      </c>
      <c r="D1461" t="s">
        <v>3779</v>
      </c>
      <c r="E1461" t="s">
        <v>647</v>
      </c>
      <c r="F1461" t="s">
        <v>3780</v>
      </c>
      <c r="G1461" t="s">
        <v>769</v>
      </c>
      <c r="H1461" t="s">
        <v>730</v>
      </c>
      <c r="I1461" t="s">
        <v>2071</v>
      </c>
      <c r="J1461" t="s">
        <v>1664</v>
      </c>
      <c r="K1461" t="s">
        <v>166</v>
      </c>
      <c r="L1461" t="s">
        <v>0</v>
      </c>
      <c r="M1461" t="s">
        <v>178</v>
      </c>
      <c r="N1461">
        <v>66</v>
      </c>
      <c r="O1461">
        <v>15</v>
      </c>
      <c r="P1461">
        <v>1884.73</v>
      </c>
      <c r="Q1461">
        <v>5710.87</v>
      </c>
      <c r="R1461">
        <v>653.20903425999995</v>
      </c>
      <c r="S1461">
        <v>93.101483380000005</v>
      </c>
      <c r="T1461">
        <v>4631.3790342599996</v>
      </c>
      <c r="U1461">
        <v>0</v>
      </c>
      <c r="V1461">
        <v>664.02</v>
      </c>
      <c r="W1461" t="s">
        <v>1665</v>
      </c>
      <c r="X1461" t="s">
        <v>271</v>
      </c>
      <c r="Y1461" t="s">
        <v>3808</v>
      </c>
      <c r="AA1461" t="s">
        <v>3809</v>
      </c>
      <c r="AB1461" t="s">
        <v>181</v>
      </c>
    </row>
    <row r="1462" spans="1:28" x14ac:dyDescent="0.25">
      <c r="A1462" t="s">
        <v>3849</v>
      </c>
      <c r="B1462" t="s">
        <v>3850</v>
      </c>
      <c r="C1462" t="s">
        <v>646</v>
      </c>
      <c r="D1462" t="s">
        <v>3779</v>
      </c>
      <c r="E1462" t="s">
        <v>647</v>
      </c>
      <c r="F1462" t="s">
        <v>3780</v>
      </c>
      <c r="G1462" t="s">
        <v>769</v>
      </c>
      <c r="H1462" t="s">
        <v>679</v>
      </c>
      <c r="I1462" t="s">
        <v>1184</v>
      </c>
      <c r="J1462" t="s">
        <v>1185</v>
      </c>
      <c r="K1462" t="s">
        <v>166</v>
      </c>
      <c r="L1462" t="s">
        <v>0</v>
      </c>
      <c r="M1462" t="s">
        <v>178</v>
      </c>
      <c r="N1462">
        <v>86</v>
      </c>
      <c r="O1462">
        <v>51</v>
      </c>
      <c r="P1462">
        <v>1147.78</v>
      </c>
      <c r="Q1462">
        <v>3081.47</v>
      </c>
      <c r="R1462">
        <v>551.02907449999998</v>
      </c>
      <c r="S1462">
        <v>673.55029437999997</v>
      </c>
      <c r="T1462">
        <v>-1.0909255</v>
      </c>
      <c r="U1462">
        <v>0</v>
      </c>
      <c r="V1462">
        <v>552.12</v>
      </c>
      <c r="W1462" t="s">
        <v>1186</v>
      </c>
      <c r="X1462" t="s">
        <v>271</v>
      </c>
      <c r="Y1462" t="s">
        <v>3851</v>
      </c>
      <c r="AA1462" t="s">
        <v>3852</v>
      </c>
      <c r="AB1462" t="s">
        <v>181</v>
      </c>
    </row>
    <row r="1463" spans="1:28" x14ac:dyDescent="0.25">
      <c r="A1463" t="s">
        <v>3834</v>
      </c>
      <c r="B1463" t="s">
        <v>3835</v>
      </c>
      <c r="C1463" t="s">
        <v>646</v>
      </c>
      <c r="D1463" t="s">
        <v>3779</v>
      </c>
      <c r="E1463" t="s">
        <v>647</v>
      </c>
      <c r="F1463" t="s">
        <v>3780</v>
      </c>
      <c r="G1463" t="s">
        <v>769</v>
      </c>
      <c r="H1463" t="s">
        <v>1171</v>
      </c>
      <c r="I1463" t="s">
        <v>1251</v>
      </c>
      <c r="J1463" t="s">
        <v>821</v>
      </c>
      <c r="K1463" t="s">
        <v>166</v>
      </c>
      <c r="L1463" t="s">
        <v>0</v>
      </c>
      <c r="M1463" t="s">
        <v>178</v>
      </c>
      <c r="N1463">
        <v>19</v>
      </c>
      <c r="O1463">
        <v>2</v>
      </c>
      <c r="P1463">
        <v>1197.45</v>
      </c>
      <c r="Q1463">
        <v>7835.18</v>
      </c>
      <c r="R1463">
        <v>1509.44399552</v>
      </c>
      <c r="S1463">
        <v>116.6874117</v>
      </c>
      <c r="T1463">
        <v>3.9955199999999998E-3</v>
      </c>
      <c r="U1463">
        <v>0</v>
      </c>
      <c r="V1463">
        <v>1509.44</v>
      </c>
      <c r="W1463" t="s">
        <v>822</v>
      </c>
      <c r="X1463" t="s">
        <v>269</v>
      </c>
      <c r="Y1463" t="s">
        <v>3836</v>
      </c>
      <c r="AA1463" t="s">
        <v>3837</v>
      </c>
      <c r="AB1463" t="s">
        <v>181</v>
      </c>
    </row>
    <row r="1464" spans="1:28" x14ac:dyDescent="0.25">
      <c r="A1464" t="s">
        <v>4151</v>
      </c>
      <c r="B1464" t="s">
        <v>4152</v>
      </c>
      <c r="C1464" t="s">
        <v>646</v>
      </c>
      <c r="D1464" t="s">
        <v>3779</v>
      </c>
      <c r="E1464" t="s">
        <v>647</v>
      </c>
      <c r="F1464" t="s">
        <v>666</v>
      </c>
      <c r="G1464" t="s">
        <v>666</v>
      </c>
      <c r="H1464" t="s">
        <v>1171</v>
      </c>
      <c r="I1464" t="s">
        <v>765</v>
      </c>
      <c r="J1464" t="s">
        <v>436</v>
      </c>
      <c r="K1464" t="s">
        <v>166</v>
      </c>
      <c r="L1464" t="s">
        <v>0</v>
      </c>
      <c r="M1464" t="s">
        <v>178</v>
      </c>
      <c r="N1464">
        <v>113</v>
      </c>
      <c r="O1464">
        <v>53</v>
      </c>
      <c r="P1464">
        <v>5021.8100000000004</v>
      </c>
      <c r="Q1464">
        <v>33345.440000000002</v>
      </c>
      <c r="R1464">
        <v>8081.22</v>
      </c>
      <c r="S1464">
        <v>538.40021733000003</v>
      </c>
      <c r="T1464">
        <v>0</v>
      </c>
      <c r="U1464">
        <v>0</v>
      </c>
      <c r="V1464">
        <v>8081.22</v>
      </c>
      <c r="W1464" t="s">
        <v>0</v>
      </c>
      <c r="X1464" t="s">
        <v>271</v>
      </c>
      <c r="Y1464" t="s">
        <v>4153</v>
      </c>
      <c r="AA1464" t="s">
        <v>4154</v>
      </c>
      <c r="AB1464" t="s">
        <v>181</v>
      </c>
    </row>
    <row r="1465" spans="1:28" x14ac:dyDescent="0.25">
      <c r="A1465" t="s">
        <v>4051</v>
      </c>
      <c r="B1465" t="s">
        <v>4052</v>
      </c>
      <c r="C1465" t="s">
        <v>646</v>
      </c>
      <c r="D1465" t="s">
        <v>3779</v>
      </c>
      <c r="E1465" t="s">
        <v>647</v>
      </c>
      <c r="F1465" t="s">
        <v>3780</v>
      </c>
      <c r="G1465" t="s">
        <v>769</v>
      </c>
      <c r="H1465" t="s">
        <v>713</v>
      </c>
      <c r="I1465" t="s">
        <v>4053</v>
      </c>
      <c r="J1465" t="s">
        <v>4054</v>
      </c>
      <c r="K1465" t="s">
        <v>166</v>
      </c>
      <c r="L1465" t="s">
        <v>0</v>
      </c>
      <c r="M1465" t="s">
        <v>178</v>
      </c>
      <c r="N1465">
        <v>308</v>
      </c>
      <c r="O1465">
        <v>0</v>
      </c>
      <c r="P1465">
        <v>10639.6</v>
      </c>
      <c r="Q1465">
        <v>6388.68</v>
      </c>
      <c r="R1465">
        <v>361.79</v>
      </c>
      <c r="S1465">
        <v>447.53587596</v>
      </c>
      <c r="T1465">
        <v>491.79</v>
      </c>
      <c r="U1465">
        <v>0</v>
      </c>
      <c r="V1465">
        <v>376.83</v>
      </c>
      <c r="W1465" t="s">
        <v>2488</v>
      </c>
      <c r="X1465" t="s">
        <v>269</v>
      </c>
      <c r="Y1465" t="s">
        <v>4055</v>
      </c>
      <c r="AA1465" t="s">
        <v>4056</v>
      </c>
      <c r="AB1465" t="s">
        <v>181</v>
      </c>
    </row>
    <row r="1466" spans="1:28" x14ac:dyDescent="0.25">
      <c r="A1466" t="s">
        <v>3793</v>
      </c>
      <c r="B1466" t="s">
        <v>3794</v>
      </c>
      <c r="C1466" t="s">
        <v>646</v>
      </c>
      <c r="D1466" t="s">
        <v>3779</v>
      </c>
      <c r="E1466" t="s">
        <v>647</v>
      </c>
      <c r="F1466" t="s">
        <v>666</v>
      </c>
      <c r="G1466" t="s">
        <v>666</v>
      </c>
      <c r="H1466" t="s">
        <v>1159</v>
      </c>
      <c r="I1466" t="s">
        <v>1712</v>
      </c>
      <c r="J1466" t="s">
        <v>335</v>
      </c>
      <c r="K1466" t="s">
        <v>166</v>
      </c>
      <c r="L1466" t="s">
        <v>0</v>
      </c>
      <c r="M1466" t="s">
        <v>178</v>
      </c>
      <c r="N1466">
        <v>11</v>
      </c>
      <c r="O1466">
        <v>0</v>
      </c>
      <c r="P1466">
        <v>102.3</v>
      </c>
      <c r="Q1466">
        <v>646.9</v>
      </c>
      <c r="R1466">
        <v>153.99</v>
      </c>
      <c r="S1466">
        <v>25.502091579999998</v>
      </c>
      <c r="T1466">
        <v>0</v>
      </c>
      <c r="U1466">
        <v>0</v>
      </c>
      <c r="V1466">
        <v>153.99</v>
      </c>
      <c r="W1466" t="s">
        <v>572</v>
      </c>
      <c r="X1466" t="s">
        <v>271</v>
      </c>
      <c r="Y1466" t="s">
        <v>3795</v>
      </c>
      <c r="AA1466" t="s">
        <v>3796</v>
      </c>
      <c r="AB1466" t="s">
        <v>181</v>
      </c>
    </row>
    <row r="1467" spans="1:28" x14ac:dyDescent="0.25">
      <c r="A1467" t="s">
        <v>3857</v>
      </c>
      <c r="B1467" t="s">
        <v>3858</v>
      </c>
      <c r="C1467" t="s">
        <v>646</v>
      </c>
      <c r="D1467" t="s">
        <v>3779</v>
      </c>
      <c r="E1467" t="s">
        <v>647</v>
      </c>
      <c r="F1467" t="s">
        <v>3780</v>
      </c>
      <c r="G1467" t="s">
        <v>769</v>
      </c>
      <c r="H1467" t="s">
        <v>909</v>
      </c>
      <c r="I1467" t="s">
        <v>952</v>
      </c>
      <c r="J1467" t="s">
        <v>434</v>
      </c>
      <c r="K1467" t="s">
        <v>166</v>
      </c>
      <c r="L1467" t="s">
        <v>0</v>
      </c>
      <c r="M1467" t="s">
        <v>178</v>
      </c>
      <c r="N1467">
        <v>91</v>
      </c>
      <c r="O1467">
        <v>89</v>
      </c>
      <c r="P1467">
        <v>2813.26</v>
      </c>
      <c r="Q1467">
        <v>2650.34</v>
      </c>
      <c r="R1467">
        <v>325.52999999999997</v>
      </c>
      <c r="S1467">
        <v>550.74815506000004</v>
      </c>
      <c r="T1467">
        <v>0</v>
      </c>
      <c r="U1467">
        <v>0</v>
      </c>
      <c r="V1467">
        <v>325.52999999999997</v>
      </c>
      <c r="W1467" t="s">
        <v>466</v>
      </c>
      <c r="X1467" t="s">
        <v>271</v>
      </c>
      <c r="Y1467" t="s">
        <v>3859</v>
      </c>
      <c r="AA1467" t="s">
        <v>3860</v>
      </c>
      <c r="AB1467" t="s">
        <v>181</v>
      </c>
    </row>
    <row r="1468" spans="1:28" x14ac:dyDescent="0.25">
      <c r="A1468" t="s">
        <v>3909</v>
      </c>
      <c r="B1468" t="s">
        <v>3910</v>
      </c>
      <c r="C1468" t="s">
        <v>646</v>
      </c>
      <c r="D1468" t="s">
        <v>3779</v>
      </c>
      <c r="E1468" t="s">
        <v>647</v>
      </c>
      <c r="F1468" t="s">
        <v>666</v>
      </c>
      <c r="G1468" t="s">
        <v>666</v>
      </c>
      <c r="H1468" t="s">
        <v>708</v>
      </c>
      <c r="I1468" t="s">
        <v>3911</v>
      </c>
      <c r="J1468" t="s">
        <v>355</v>
      </c>
      <c r="K1468" t="s">
        <v>166</v>
      </c>
      <c r="L1468" t="s">
        <v>0</v>
      </c>
      <c r="M1468" t="s">
        <v>178</v>
      </c>
      <c r="N1468">
        <v>2.3334000000000001</v>
      </c>
      <c r="O1468">
        <v>2.3334000000000001</v>
      </c>
      <c r="P1468">
        <v>5.04</v>
      </c>
      <c r="Q1468">
        <v>97.77</v>
      </c>
      <c r="R1468">
        <v>38.69</v>
      </c>
      <c r="S1468">
        <v>47.331730659999998</v>
      </c>
      <c r="T1468">
        <v>0</v>
      </c>
      <c r="U1468">
        <v>0</v>
      </c>
      <c r="V1468">
        <v>38.69</v>
      </c>
      <c r="W1468" t="s">
        <v>0</v>
      </c>
      <c r="X1468" t="s">
        <v>271</v>
      </c>
      <c r="Y1468" t="s">
        <v>3912</v>
      </c>
      <c r="AA1468" t="s">
        <v>3894</v>
      </c>
      <c r="AB1468" t="s">
        <v>181</v>
      </c>
    </row>
    <row r="1469" spans="1:28" x14ac:dyDescent="0.25">
      <c r="A1469" t="s">
        <v>4370</v>
      </c>
      <c r="B1469" t="s">
        <v>4371</v>
      </c>
      <c r="C1469" t="s">
        <v>646</v>
      </c>
      <c r="D1469" t="s">
        <v>3779</v>
      </c>
      <c r="E1469" t="s">
        <v>647</v>
      </c>
      <c r="F1469" t="s">
        <v>666</v>
      </c>
      <c r="G1469" t="s">
        <v>666</v>
      </c>
      <c r="H1469" t="s">
        <v>708</v>
      </c>
      <c r="I1469" t="s">
        <v>4372</v>
      </c>
      <c r="J1469" t="s">
        <v>355</v>
      </c>
      <c r="K1469" t="s">
        <v>166</v>
      </c>
      <c r="L1469" t="s">
        <v>0</v>
      </c>
      <c r="M1469" t="s">
        <v>178</v>
      </c>
      <c r="N1469">
        <v>0.16669999999999999</v>
      </c>
      <c r="O1469">
        <v>0.16669999999999999</v>
      </c>
      <c r="P1469">
        <v>1.32</v>
      </c>
      <c r="Q1469">
        <v>29.63</v>
      </c>
      <c r="R1469">
        <v>15.05</v>
      </c>
      <c r="S1469">
        <v>11.9692676</v>
      </c>
      <c r="T1469">
        <v>0</v>
      </c>
      <c r="U1469">
        <v>0</v>
      </c>
      <c r="V1469">
        <v>15.05</v>
      </c>
      <c r="W1469" t="s">
        <v>0</v>
      </c>
      <c r="X1469" t="s">
        <v>271</v>
      </c>
      <c r="Y1469" t="s">
        <v>4373</v>
      </c>
      <c r="AA1469" t="s">
        <v>3894</v>
      </c>
      <c r="AB1469" t="s">
        <v>181</v>
      </c>
    </row>
    <row r="1470" spans="1:28" x14ac:dyDescent="0.25">
      <c r="A1470" t="s">
        <v>4196</v>
      </c>
      <c r="B1470" t="s">
        <v>4197</v>
      </c>
      <c r="C1470" t="s">
        <v>646</v>
      </c>
      <c r="D1470" t="s">
        <v>3779</v>
      </c>
      <c r="E1470" t="s">
        <v>647</v>
      </c>
      <c r="F1470" t="s">
        <v>3780</v>
      </c>
      <c r="G1470" t="s">
        <v>769</v>
      </c>
      <c r="H1470" t="s">
        <v>708</v>
      </c>
      <c r="I1470" t="s">
        <v>4198</v>
      </c>
      <c r="J1470" t="s">
        <v>870</v>
      </c>
      <c r="K1470" t="s">
        <v>166</v>
      </c>
      <c r="L1470" t="s">
        <v>0</v>
      </c>
      <c r="M1470" t="s">
        <v>178</v>
      </c>
      <c r="N1470">
        <v>20</v>
      </c>
      <c r="O1470">
        <v>20</v>
      </c>
      <c r="P1470">
        <v>50.53</v>
      </c>
      <c r="Q1470">
        <v>388.98</v>
      </c>
      <c r="R1470">
        <v>37.46</v>
      </c>
      <c r="S1470">
        <v>246.19834972999999</v>
      </c>
      <c r="T1470">
        <v>0</v>
      </c>
      <c r="U1470">
        <v>0</v>
      </c>
      <c r="V1470">
        <v>37.46</v>
      </c>
      <c r="W1470" t="s">
        <v>871</v>
      </c>
      <c r="X1470" t="s">
        <v>271</v>
      </c>
      <c r="Y1470" t="s">
        <v>4199</v>
      </c>
      <c r="AA1470" t="s">
        <v>4200</v>
      </c>
      <c r="AB1470" t="s">
        <v>181</v>
      </c>
    </row>
    <row r="1471" spans="1:28" x14ac:dyDescent="0.25">
      <c r="A1471" t="s">
        <v>3793</v>
      </c>
      <c r="B1471" t="s">
        <v>3794</v>
      </c>
      <c r="C1471" t="s">
        <v>646</v>
      </c>
      <c r="D1471" t="s">
        <v>3779</v>
      </c>
      <c r="E1471" t="s">
        <v>647</v>
      </c>
      <c r="F1471" t="s">
        <v>666</v>
      </c>
      <c r="G1471" t="s">
        <v>666</v>
      </c>
      <c r="H1471" t="s">
        <v>1045</v>
      </c>
      <c r="I1471" t="s">
        <v>1712</v>
      </c>
      <c r="J1471" t="s">
        <v>335</v>
      </c>
      <c r="K1471" t="s">
        <v>166</v>
      </c>
      <c r="L1471" t="s">
        <v>0</v>
      </c>
      <c r="M1471" t="s">
        <v>178</v>
      </c>
      <c r="N1471">
        <v>119.88330000000001</v>
      </c>
      <c r="O1471">
        <v>94.783299999999997</v>
      </c>
      <c r="P1471">
        <v>1133</v>
      </c>
      <c r="Q1471">
        <v>9701.18</v>
      </c>
      <c r="R1471">
        <v>1990.91</v>
      </c>
      <c r="S1471">
        <v>664.44402736999996</v>
      </c>
      <c r="T1471">
        <v>0</v>
      </c>
      <c r="U1471">
        <v>0</v>
      </c>
      <c r="V1471">
        <v>1990.91</v>
      </c>
      <c r="W1471" t="s">
        <v>572</v>
      </c>
      <c r="X1471" t="s">
        <v>271</v>
      </c>
      <c r="Y1471" t="s">
        <v>3795</v>
      </c>
      <c r="AA1471" t="s">
        <v>3796</v>
      </c>
      <c r="AB1471" t="s">
        <v>181</v>
      </c>
    </row>
    <row r="1472" spans="1:28" x14ac:dyDescent="0.25">
      <c r="A1472" t="s">
        <v>4252</v>
      </c>
      <c r="B1472" t="s">
        <v>4253</v>
      </c>
      <c r="C1472" t="s">
        <v>646</v>
      </c>
      <c r="D1472" t="s">
        <v>3779</v>
      </c>
      <c r="E1472" t="s">
        <v>647</v>
      </c>
      <c r="F1472" t="s">
        <v>3780</v>
      </c>
      <c r="G1472" t="s">
        <v>769</v>
      </c>
      <c r="H1472" t="s">
        <v>770</v>
      </c>
      <c r="I1472" t="s">
        <v>1046</v>
      </c>
      <c r="J1472" t="s">
        <v>971</v>
      </c>
      <c r="K1472" t="s">
        <v>166</v>
      </c>
      <c r="L1472" t="s">
        <v>0</v>
      </c>
      <c r="M1472" t="s">
        <v>178</v>
      </c>
      <c r="N1472">
        <v>49.75</v>
      </c>
      <c r="O1472">
        <v>26.75</v>
      </c>
      <c r="P1472">
        <v>1613.5</v>
      </c>
      <c r="Q1472">
        <v>1149.5999999999999</v>
      </c>
      <c r="R1472">
        <v>216.52</v>
      </c>
      <c r="S1472">
        <v>156.49231448</v>
      </c>
      <c r="T1472">
        <v>0</v>
      </c>
      <c r="U1472">
        <v>0</v>
      </c>
      <c r="V1472">
        <v>216.52</v>
      </c>
      <c r="W1472" t="s">
        <v>972</v>
      </c>
      <c r="X1472" t="s">
        <v>269</v>
      </c>
      <c r="Y1472" t="s">
        <v>4254</v>
      </c>
      <c r="AA1472" t="s">
        <v>4255</v>
      </c>
      <c r="AB1472" t="s">
        <v>181</v>
      </c>
    </row>
    <row r="1473" spans="1:28" x14ac:dyDescent="0.25">
      <c r="A1473" t="s">
        <v>3992</v>
      </c>
      <c r="B1473" t="s">
        <v>3993</v>
      </c>
      <c r="C1473" t="s">
        <v>646</v>
      </c>
      <c r="D1473" t="s">
        <v>3779</v>
      </c>
      <c r="E1473" t="s">
        <v>647</v>
      </c>
      <c r="F1473" t="s">
        <v>3780</v>
      </c>
      <c r="G1473" t="s">
        <v>769</v>
      </c>
      <c r="H1473" t="s">
        <v>713</v>
      </c>
      <c r="I1473" t="s">
        <v>3994</v>
      </c>
      <c r="J1473" t="s">
        <v>3995</v>
      </c>
      <c r="K1473" t="s">
        <v>166</v>
      </c>
      <c r="L1473" t="s">
        <v>0</v>
      </c>
      <c r="M1473" t="s">
        <v>178</v>
      </c>
      <c r="N1473">
        <v>11</v>
      </c>
      <c r="O1473">
        <v>6</v>
      </c>
      <c r="P1473">
        <v>235.13</v>
      </c>
      <c r="Q1473">
        <v>253.72</v>
      </c>
      <c r="R1473">
        <v>-2.95</v>
      </c>
      <c r="S1473">
        <v>60.032961210000003</v>
      </c>
      <c r="T1473">
        <v>0</v>
      </c>
      <c r="U1473">
        <v>0</v>
      </c>
      <c r="V1473">
        <v>-2.95</v>
      </c>
      <c r="W1473" t="s">
        <v>250</v>
      </c>
      <c r="X1473" t="s">
        <v>269</v>
      </c>
      <c r="Y1473" t="s">
        <v>3996</v>
      </c>
      <c r="AA1473" t="s">
        <v>3997</v>
      </c>
      <c r="AB1473" t="s">
        <v>181</v>
      </c>
    </row>
    <row r="1474" spans="1:28" x14ac:dyDescent="0.25">
      <c r="A1474" t="s">
        <v>4196</v>
      </c>
      <c r="B1474" t="s">
        <v>4197</v>
      </c>
      <c r="C1474" t="s">
        <v>646</v>
      </c>
      <c r="D1474" t="s">
        <v>3779</v>
      </c>
      <c r="E1474" t="s">
        <v>647</v>
      </c>
      <c r="F1474" t="s">
        <v>3780</v>
      </c>
      <c r="G1474" t="s">
        <v>769</v>
      </c>
      <c r="H1474" t="s">
        <v>962</v>
      </c>
      <c r="I1474" t="s">
        <v>4198</v>
      </c>
      <c r="J1474" t="s">
        <v>870</v>
      </c>
      <c r="K1474" t="s">
        <v>166</v>
      </c>
      <c r="L1474" t="s">
        <v>0</v>
      </c>
      <c r="M1474" t="s">
        <v>178</v>
      </c>
      <c r="N1474">
        <v>2</v>
      </c>
      <c r="O1474">
        <v>0</v>
      </c>
      <c r="P1474">
        <v>99.6</v>
      </c>
      <c r="Q1474">
        <v>203.26</v>
      </c>
      <c r="R1474">
        <v>40.65</v>
      </c>
      <c r="S1474">
        <v>5.6199217900000003</v>
      </c>
      <c r="T1474">
        <v>0</v>
      </c>
      <c r="U1474">
        <v>0</v>
      </c>
      <c r="V1474">
        <v>40.65</v>
      </c>
      <c r="W1474" t="s">
        <v>871</v>
      </c>
      <c r="X1474" t="s">
        <v>271</v>
      </c>
      <c r="Y1474" t="s">
        <v>4199</v>
      </c>
      <c r="AA1474" t="s">
        <v>4200</v>
      </c>
      <c r="AB1474" t="s">
        <v>181</v>
      </c>
    </row>
    <row r="1475" spans="1:28" x14ac:dyDescent="0.25">
      <c r="A1475" t="s">
        <v>3981</v>
      </c>
      <c r="B1475" t="s">
        <v>3982</v>
      </c>
      <c r="C1475" t="s">
        <v>646</v>
      </c>
      <c r="D1475" t="s">
        <v>3779</v>
      </c>
      <c r="E1475" t="s">
        <v>647</v>
      </c>
      <c r="F1475" t="s">
        <v>3780</v>
      </c>
      <c r="G1475" t="s">
        <v>769</v>
      </c>
      <c r="H1475" t="s">
        <v>856</v>
      </c>
      <c r="I1475" t="s">
        <v>2384</v>
      </c>
      <c r="J1475" t="s">
        <v>447</v>
      </c>
      <c r="K1475" t="s">
        <v>166</v>
      </c>
      <c r="L1475" t="s">
        <v>0</v>
      </c>
      <c r="M1475" t="s">
        <v>178</v>
      </c>
      <c r="N1475">
        <v>1</v>
      </c>
      <c r="O1475">
        <v>1</v>
      </c>
      <c r="P1475">
        <v>19.149999999999999</v>
      </c>
      <c r="Q1475">
        <v>270.97000000000003</v>
      </c>
      <c r="R1475">
        <v>16.27</v>
      </c>
      <c r="S1475">
        <v>5.1704999999999997</v>
      </c>
      <c r="T1475">
        <v>0</v>
      </c>
      <c r="U1475">
        <v>0</v>
      </c>
      <c r="V1475">
        <v>16.27</v>
      </c>
      <c r="W1475" t="s">
        <v>446</v>
      </c>
      <c r="X1475" t="s">
        <v>271</v>
      </c>
      <c r="Y1475" t="s">
        <v>3983</v>
      </c>
      <c r="AA1475" t="s">
        <v>3984</v>
      </c>
      <c r="AB1475" t="s">
        <v>181</v>
      </c>
    </row>
    <row r="1476" spans="1:28" x14ac:dyDescent="0.25">
      <c r="A1476" t="s">
        <v>4196</v>
      </c>
      <c r="B1476" t="s">
        <v>4197</v>
      </c>
      <c r="C1476" t="s">
        <v>646</v>
      </c>
      <c r="D1476" t="s">
        <v>3779</v>
      </c>
      <c r="E1476" t="s">
        <v>647</v>
      </c>
      <c r="F1476" t="s">
        <v>3780</v>
      </c>
      <c r="G1476" t="s">
        <v>769</v>
      </c>
      <c r="H1476" t="s">
        <v>1171</v>
      </c>
      <c r="I1476" t="s">
        <v>4198</v>
      </c>
      <c r="J1476" t="s">
        <v>870</v>
      </c>
      <c r="K1476" t="s">
        <v>166</v>
      </c>
      <c r="L1476" t="s">
        <v>0</v>
      </c>
      <c r="M1476" t="s">
        <v>178</v>
      </c>
      <c r="N1476">
        <v>82</v>
      </c>
      <c r="O1476">
        <v>0</v>
      </c>
      <c r="P1476">
        <v>2348.5700000000002</v>
      </c>
      <c r="Q1476">
        <v>10767.53</v>
      </c>
      <c r="R1476">
        <v>-270.73289753</v>
      </c>
      <c r="S1476">
        <v>378.97640157000001</v>
      </c>
      <c r="T1476">
        <v>1737.9271024699999</v>
      </c>
      <c r="U1476">
        <v>281.83</v>
      </c>
      <c r="V1476">
        <v>11.11</v>
      </c>
      <c r="W1476" t="s">
        <v>871</v>
      </c>
      <c r="X1476" t="s">
        <v>271</v>
      </c>
      <c r="Y1476" t="s">
        <v>4199</v>
      </c>
      <c r="AA1476" t="s">
        <v>4200</v>
      </c>
      <c r="AB1476" t="s">
        <v>181</v>
      </c>
    </row>
    <row r="1477" spans="1:28" x14ac:dyDescent="0.25">
      <c r="A1477" t="s">
        <v>4189</v>
      </c>
      <c r="B1477" t="s">
        <v>4190</v>
      </c>
      <c r="C1477" t="s">
        <v>646</v>
      </c>
      <c r="D1477" t="s">
        <v>3779</v>
      </c>
      <c r="E1477" t="s">
        <v>647</v>
      </c>
      <c r="F1477" t="s">
        <v>666</v>
      </c>
      <c r="G1477" t="s">
        <v>666</v>
      </c>
      <c r="H1477" t="s">
        <v>708</v>
      </c>
      <c r="I1477" t="s">
        <v>4191</v>
      </c>
      <c r="J1477" t="s">
        <v>355</v>
      </c>
      <c r="K1477" t="s">
        <v>166</v>
      </c>
      <c r="L1477" t="s">
        <v>0</v>
      </c>
      <c r="M1477" t="s">
        <v>178</v>
      </c>
      <c r="N1477">
        <v>1</v>
      </c>
      <c r="O1477">
        <v>1</v>
      </c>
      <c r="P1477">
        <v>1.2</v>
      </c>
      <c r="Q1477">
        <v>24.1</v>
      </c>
      <c r="R1477">
        <v>9.14</v>
      </c>
      <c r="S1477">
        <v>11.51</v>
      </c>
      <c r="T1477">
        <v>0</v>
      </c>
      <c r="U1477">
        <v>0</v>
      </c>
      <c r="V1477">
        <v>9.14</v>
      </c>
      <c r="W1477" t="s">
        <v>0</v>
      </c>
      <c r="X1477" t="s">
        <v>271</v>
      </c>
      <c r="Y1477" t="s">
        <v>4192</v>
      </c>
      <c r="AA1477" t="s">
        <v>4193</v>
      </c>
      <c r="AB1477" t="s">
        <v>181</v>
      </c>
    </row>
    <row r="1478" spans="1:28" x14ac:dyDescent="0.25">
      <c r="A1478" t="s">
        <v>4256</v>
      </c>
      <c r="B1478" t="s">
        <v>4257</v>
      </c>
      <c r="C1478" t="s">
        <v>646</v>
      </c>
      <c r="D1478" t="s">
        <v>3779</v>
      </c>
      <c r="E1478" t="s">
        <v>647</v>
      </c>
      <c r="F1478" t="s">
        <v>3780</v>
      </c>
      <c r="G1478" t="s">
        <v>769</v>
      </c>
      <c r="H1478" t="s">
        <v>1515</v>
      </c>
      <c r="I1478" t="s">
        <v>2284</v>
      </c>
      <c r="J1478" t="s">
        <v>2285</v>
      </c>
      <c r="K1478" t="s">
        <v>166</v>
      </c>
      <c r="L1478" t="s">
        <v>0</v>
      </c>
      <c r="M1478" t="s">
        <v>178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 t="s">
        <v>453</v>
      </c>
      <c r="X1478" t="s">
        <v>271</v>
      </c>
      <c r="Y1478" t="s">
        <v>4258</v>
      </c>
      <c r="AA1478" t="s">
        <v>4259</v>
      </c>
      <c r="AB1478" t="s">
        <v>181</v>
      </c>
    </row>
    <row r="1479" spans="1:28" x14ac:dyDescent="0.25">
      <c r="A1479" t="s">
        <v>4006</v>
      </c>
      <c r="B1479" t="s">
        <v>4007</v>
      </c>
      <c r="C1479" t="s">
        <v>646</v>
      </c>
      <c r="D1479" t="s">
        <v>3779</v>
      </c>
      <c r="E1479" t="s">
        <v>647</v>
      </c>
      <c r="F1479" t="s">
        <v>3780</v>
      </c>
      <c r="G1479" t="s">
        <v>769</v>
      </c>
      <c r="H1479" t="s">
        <v>761</v>
      </c>
      <c r="I1479" t="s">
        <v>4008</v>
      </c>
      <c r="J1479" t="s">
        <v>688</v>
      </c>
      <c r="K1479" t="s">
        <v>166</v>
      </c>
      <c r="L1479" t="s">
        <v>0</v>
      </c>
      <c r="M1479" t="s">
        <v>178</v>
      </c>
      <c r="N1479">
        <v>3</v>
      </c>
      <c r="O1479">
        <v>3</v>
      </c>
      <c r="P1479">
        <v>114.75</v>
      </c>
      <c r="Q1479">
        <v>54.11</v>
      </c>
      <c r="R1479">
        <v>-2.0099999999999998</v>
      </c>
      <c r="S1479">
        <v>13.971452879999999</v>
      </c>
      <c r="T1479">
        <v>0</v>
      </c>
      <c r="U1479">
        <v>0</v>
      </c>
      <c r="V1479">
        <v>-2.0099999999999998</v>
      </c>
      <c r="W1479" t="s">
        <v>0</v>
      </c>
      <c r="X1479" t="s">
        <v>271</v>
      </c>
      <c r="Y1479" t="s">
        <v>4009</v>
      </c>
      <c r="AA1479" t="s">
        <v>4010</v>
      </c>
      <c r="AB1479" t="s">
        <v>181</v>
      </c>
    </row>
    <row r="1480" spans="1:28" x14ac:dyDescent="0.25">
      <c r="A1480" t="s">
        <v>3948</v>
      </c>
      <c r="B1480" t="s">
        <v>3949</v>
      </c>
      <c r="C1480" t="s">
        <v>646</v>
      </c>
      <c r="D1480" t="s">
        <v>3779</v>
      </c>
      <c r="E1480" t="s">
        <v>647</v>
      </c>
      <c r="F1480" t="s">
        <v>3780</v>
      </c>
      <c r="G1480" t="s">
        <v>769</v>
      </c>
      <c r="H1480" t="s">
        <v>909</v>
      </c>
      <c r="I1480" t="s">
        <v>2250</v>
      </c>
      <c r="J1480" t="s">
        <v>358</v>
      </c>
      <c r="K1480" t="s">
        <v>166</v>
      </c>
      <c r="L1480" t="s">
        <v>0</v>
      </c>
      <c r="M1480" t="s">
        <v>178</v>
      </c>
      <c r="N1480">
        <v>12</v>
      </c>
      <c r="O1480">
        <v>12</v>
      </c>
      <c r="P1480">
        <v>76.56</v>
      </c>
      <c r="Q1480">
        <v>393.93</v>
      </c>
      <c r="R1480">
        <v>119.25792312999999</v>
      </c>
      <c r="S1480">
        <v>142.48197415999999</v>
      </c>
      <c r="T1480">
        <v>0.44792313</v>
      </c>
      <c r="U1480">
        <v>0</v>
      </c>
      <c r="V1480">
        <v>118.81</v>
      </c>
      <c r="W1480" t="s">
        <v>357</v>
      </c>
      <c r="X1480" t="s">
        <v>271</v>
      </c>
      <c r="Y1480" t="s">
        <v>3950</v>
      </c>
      <c r="AA1480" t="s">
        <v>3951</v>
      </c>
      <c r="AB1480" t="s">
        <v>181</v>
      </c>
    </row>
    <row r="1481" spans="1:28" x14ac:dyDescent="0.25">
      <c r="A1481" t="s">
        <v>4194</v>
      </c>
      <c r="B1481" t="s">
        <v>4195</v>
      </c>
      <c r="C1481" t="s">
        <v>646</v>
      </c>
      <c r="D1481" t="s">
        <v>3779</v>
      </c>
      <c r="E1481" t="s">
        <v>647</v>
      </c>
      <c r="F1481" t="s">
        <v>3780</v>
      </c>
      <c r="G1481" t="s">
        <v>769</v>
      </c>
      <c r="H1481" t="s">
        <v>679</v>
      </c>
      <c r="I1481" t="s">
        <v>1190</v>
      </c>
      <c r="J1481" t="s">
        <v>1191</v>
      </c>
      <c r="K1481" t="s">
        <v>166</v>
      </c>
      <c r="L1481" t="s">
        <v>0</v>
      </c>
      <c r="M1481" t="s">
        <v>178</v>
      </c>
      <c r="N1481">
        <v>20</v>
      </c>
      <c r="O1481">
        <v>20</v>
      </c>
      <c r="P1481">
        <v>592.53</v>
      </c>
      <c r="Q1481">
        <v>741.71</v>
      </c>
      <c r="R1481">
        <v>-132.92143673000001</v>
      </c>
      <c r="S1481">
        <v>245.75267638</v>
      </c>
      <c r="T1481">
        <v>0.14856327</v>
      </c>
      <c r="U1481">
        <v>184.72</v>
      </c>
      <c r="V1481">
        <v>51.65</v>
      </c>
      <c r="W1481" t="s">
        <v>282</v>
      </c>
      <c r="X1481" t="s">
        <v>271</v>
      </c>
      <c r="Y1481" t="s">
        <v>4059</v>
      </c>
      <c r="AA1481" t="s">
        <v>2171</v>
      </c>
      <c r="AB1481" t="s">
        <v>181</v>
      </c>
    </row>
    <row r="1482" spans="1:28" x14ac:dyDescent="0.25">
      <c r="A1482" t="s">
        <v>3973</v>
      </c>
      <c r="B1482" t="s">
        <v>3974</v>
      </c>
      <c r="C1482" t="s">
        <v>646</v>
      </c>
      <c r="D1482" t="s">
        <v>3779</v>
      </c>
      <c r="E1482" t="s">
        <v>647</v>
      </c>
      <c r="F1482" t="s">
        <v>3780</v>
      </c>
      <c r="G1482" t="s">
        <v>769</v>
      </c>
      <c r="H1482" t="s">
        <v>962</v>
      </c>
      <c r="I1482" t="s">
        <v>880</v>
      </c>
      <c r="J1482" t="s">
        <v>881</v>
      </c>
      <c r="K1482" t="s">
        <v>166</v>
      </c>
      <c r="L1482" t="s">
        <v>0</v>
      </c>
      <c r="M1482" t="s">
        <v>178</v>
      </c>
      <c r="N1482">
        <v>34</v>
      </c>
      <c r="O1482">
        <v>25</v>
      </c>
      <c r="P1482">
        <v>706.99</v>
      </c>
      <c r="Q1482">
        <v>2042.96</v>
      </c>
      <c r="R1482">
        <v>122.49</v>
      </c>
      <c r="S1482">
        <v>198.00931082</v>
      </c>
      <c r="T1482">
        <v>0</v>
      </c>
      <c r="U1482">
        <v>8.4</v>
      </c>
      <c r="V1482">
        <v>130.88999999999999</v>
      </c>
      <c r="W1482" t="s">
        <v>0</v>
      </c>
      <c r="X1482" t="s">
        <v>271</v>
      </c>
      <c r="Y1482" t="s">
        <v>3975</v>
      </c>
      <c r="AA1482" t="s">
        <v>3976</v>
      </c>
      <c r="AB1482" t="s">
        <v>181</v>
      </c>
    </row>
    <row r="1483" spans="1:28" x14ac:dyDescent="0.25">
      <c r="A1483" t="s">
        <v>4002</v>
      </c>
      <c r="B1483" t="s">
        <v>4003</v>
      </c>
      <c r="C1483" t="s">
        <v>646</v>
      </c>
      <c r="D1483" t="s">
        <v>3779</v>
      </c>
      <c r="E1483" t="s">
        <v>647</v>
      </c>
      <c r="F1483" t="s">
        <v>3780</v>
      </c>
      <c r="G1483" t="s">
        <v>769</v>
      </c>
      <c r="H1483" t="s">
        <v>649</v>
      </c>
      <c r="I1483" t="s">
        <v>2635</v>
      </c>
      <c r="J1483" t="s">
        <v>2636</v>
      </c>
      <c r="K1483" t="s">
        <v>166</v>
      </c>
      <c r="L1483" t="s">
        <v>0</v>
      </c>
      <c r="M1483" t="s">
        <v>178</v>
      </c>
      <c r="N1483">
        <v>308</v>
      </c>
      <c r="O1483">
        <v>229</v>
      </c>
      <c r="P1483">
        <v>6148.96</v>
      </c>
      <c r="Q1483">
        <v>18587.03</v>
      </c>
      <c r="R1483">
        <v>3565.93</v>
      </c>
      <c r="S1483">
        <v>1294.4930229500001</v>
      </c>
      <c r="T1483">
        <v>0</v>
      </c>
      <c r="U1483">
        <v>0</v>
      </c>
      <c r="V1483">
        <v>3565.93</v>
      </c>
      <c r="W1483" t="s">
        <v>1609</v>
      </c>
      <c r="X1483" t="s">
        <v>271</v>
      </c>
      <c r="Y1483" t="s">
        <v>4004</v>
      </c>
      <c r="AA1483" t="s">
        <v>4005</v>
      </c>
      <c r="AB1483" t="s">
        <v>181</v>
      </c>
    </row>
    <row r="1484" spans="1:28" x14ac:dyDescent="0.25">
      <c r="A1484" t="s">
        <v>4270</v>
      </c>
      <c r="B1484" t="s">
        <v>4271</v>
      </c>
      <c r="C1484" t="s">
        <v>646</v>
      </c>
      <c r="D1484" t="s">
        <v>3779</v>
      </c>
      <c r="E1484" t="s">
        <v>647</v>
      </c>
      <c r="F1484" t="s">
        <v>3780</v>
      </c>
      <c r="G1484" t="s">
        <v>769</v>
      </c>
      <c r="H1484" t="s">
        <v>713</v>
      </c>
      <c r="I1484" t="s">
        <v>4272</v>
      </c>
      <c r="J1484" t="s">
        <v>352</v>
      </c>
      <c r="K1484" t="s">
        <v>166</v>
      </c>
      <c r="L1484" t="s">
        <v>0</v>
      </c>
      <c r="M1484" t="s">
        <v>178</v>
      </c>
      <c r="N1484">
        <v>1161</v>
      </c>
      <c r="O1484">
        <v>17</v>
      </c>
      <c r="P1484">
        <v>25026.18</v>
      </c>
      <c r="Q1484">
        <v>20867.189999999999</v>
      </c>
      <c r="R1484">
        <v>1850.03753966</v>
      </c>
      <c r="S1484">
        <v>2031.13217343</v>
      </c>
      <c r="T1484">
        <v>47.817539660000001</v>
      </c>
      <c r="U1484">
        <v>0</v>
      </c>
      <c r="V1484">
        <v>1802.22</v>
      </c>
      <c r="W1484" t="s">
        <v>314</v>
      </c>
      <c r="X1484" t="s">
        <v>271</v>
      </c>
      <c r="Y1484" t="s">
        <v>4273</v>
      </c>
      <c r="AA1484" t="s">
        <v>4274</v>
      </c>
      <c r="AB1484" t="s">
        <v>181</v>
      </c>
    </row>
    <row r="1485" spans="1:28" x14ac:dyDescent="0.25">
      <c r="A1485" t="s">
        <v>4015</v>
      </c>
      <c r="B1485" t="s">
        <v>4016</v>
      </c>
      <c r="C1485" t="s">
        <v>646</v>
      </c>
      <c r="D1485" t="s">
        <v>3779</v>
      </c>
      <c r="E1485" t="s">
        <v>647</v>
      </c>
      <c r="F1485" t="s">
        <v>3780</v>
      </c>
      <c r="G1485" t="s">
        <v>769</v>
      </c>
      <c r="H1485" t="s">
        <v>703</v>
      </c>
      <c r="I1485" t="s">
        <v>4017</v>
      </c>
      <c r="J1485" t="s">
        <v>4018</v>
      </c>
      <c r="K1485" t="s">
        <v>166</v>
      </c>
      <c r="L1485" t="s">
        <v>0</v>
      </c>
      <c r="M1485" t="s">
        <v>178</v>
      </c>
      <c r="N1485">
        <v>337.00049999999999</v>
      </c>
      <c r="O1485">
        <v>155.00040000000001</v>
      </c>
      <c r="P1485">
        <v>5296.49</v>
      </c>
      <c r="Q1485">
        <v>12358.76</v>
      </c>
      <c r="R1485">
        <v>1817.3780746499999</v>
      </c>
      <c r="S1485">
        <v>2321.13130976</v>
      </c>
      <c r="T1485">
        <v>0.96807465000000004</v>
      </c>
      <c r="U1485">
        <v>0</v>
      </c>
      <c r="V1485">
        <v>1816.41</v>
      </c>
      <c r="W1485" t="s">
        <v>4019</v>
      </c>
      <c r="X1485" t="s">
        <v>271</v>
      </c>
      <c r="Y1485" t="s">
        <v>4020</v>
      </c>
      <c r="AA1485" t="s">
        <v>4021</v>
      </c>
      <c r="AB1485" t="s">
        <v>181</v>
      </c>
    </row>
    <row r="1486" spans="1:28" x14ac:dyDescent="0.25">
      <c r="A1486" t="s">
        <v>3883</v>
      </c>
      <c r="B1486" t="s">
        <v>3884</v>
      </c>
      <c r="C1486" t="s">
        <v>646</v>
      </c>
      <c r="D1486" t="s">
        <v>3779</v>
      </c>
      <c r="E1486" t="s">
        <v>647</v>
      </c>
      <c r="F1486" t="s">
        <v>3780</v>
      </c>
      <c r="G1486" t="s">
        <v>769</v>
      </c>
      <c r="H1486" t="s">
        <v>679</v>
      </c>
      <c r="I1486" t="s">
        <v>3885</v>
      </c>
      <c r="J1486" t="s">
        <v>1861</v>
      </c>
      <c r="K1486" t="s">
        <v>166</v>
      </c>
      <c r="L1486" t="s">
        <v>0</v>
      </c>
      <c r="M1486" t="s">
        <v>178</v>
      </c>
      <c r="N1486">
        <v>83</v>
      </c>
      <c r="O1486">
        <v>76</v>
      </c>
      <c r="P1486">
        <v>444.47</v>
      </c>
      <c r="Q1486">
        <v>1356.88</v>
      </c>
      <c r="R1486">
        <v>-200.52879351000001</v>
      </c>
      <c r="S1486">
        <v>848.89578729000004</v>
      </c>
      <c r="T1486">
        <v>-6.0787935099999997</v>
      </c>
      <c r="U1486">
        <v>0</v>
      </c>
      <c r="V1486">
        <v>-194.45</v>
      </c>
      <c r="W1486" t="s">
        <v>1862</v>
      </c>
      <c r="X1486" t="s">
        <v>271</v>
      </c>
      <c r="Y1486" t="s">
        <v>3886</v>
      </c>
      <c r="AA1486" t="s">
        <v>3887</v>
      </c>
      <c r="AB1486" t="s">
        <v>181</v>
      </c>
    </row>
    <row r="1487" spans="1:28" x14ac:dyDescent="0.25">
      <c r="A1487" t="s">
        <v>4284</v>
      </c>
      <c r="B1487" t="s">
        <v>4285</v>
      </c>
      <c r="C1487" t="s">
        <v>646</v>
      </c>
      <c r="D1487" t="s">
        <v>3779</v>
      </c>
      <c r="E1487" t="s">
        <v>647</v>
      </c>
      <c r="F1487" t="s">
        <v>3780</v>
      </c>
      <c r="G1487" t="s">
        <v>769</v>
      </c>
      <c r="H1487" t="s">
        <v>962</v>
      </c>
      <c r="I1487" t="s">
        <v>778</v>
      </c>
      <c r="J1487" t="s">
        <v>428</v>
      </c>
      <c r="K1487" t="s">
        <v>166</v>
      </c>
      <c r="L1487" t="s">
        <v>0</v>
      </c>
      <c r="M1487" t="s">
        <v>178</v>
      </c>
      <c r="N1487">
        <v>151</v>
      </c>
      <c r="O1487">
        <v>21</v>
      </c>
      <c r="P1487">
        <v>2546.63</v>
      </c>
      <c r="Q1487">
        <v>13524.91</v>
      </c>
      <c r="R1487">
        <v>3432.6761061500001</v>
      </c>
      <c r="S1487">
        <v>389.27435697999999</v>
      </c>
      <c r="T1487">
        <v>0.80610614999999997</v>
      </c>
      <c r="U1487">
        <v>0</v>
      </c>
      <c r="V1487">
        <v>3431.87</v>
      </c>
      <c r="W1487" t="s">
        <v>1977</v>
      </c>
      <c r="X1487" t="s">
        <v>271</v>
      </c>
      <c r="Y1487" t="s">
        <v>4286</v>
      </c>
      <c r="AA1487" t="s">
        <v>4287</v>
      </c>
      <c r="AB1487" t="s">
        <v>181</v>
      </c>
    </row>
    <row r="1488" spans="1:28" x14ac:dyDescent="0.25">
      <c r="A1488" t="s">
        <v>3938</v>
      </c>
      <c r="B1488" t="s">
        <v>3939</v>
      </c>
      <c r="C1488" t="s">
        <v>646</v>
      </c>
      <c r="D1488" t="s">
        <v>3779</v>
      </c>
      <c r="E1488" t="s">
        <v>647</v>
      </c>
      <c r="F1488" t="s">
        <v>3780</v>
      </c>
      <c r="G1488" t="s">
        <v>769</v>
      </c>
      <c r="H1488" t="s">
        <v>703</v>
      </c>
      <c r="I1488" t="s">
        <v>3940</v>
      </c>
      <c r="J1488" t="s">
        <v>3941</v>
      </c>
      <c r="K1488" t="s">
        <v>166</v>
      </c>
      <c r="L1488" t="s">
        <v>0</v>
      </c>
      <c r="M1488" t="s">
        <v>178</v>
      </c>
      <c r="N1488">
        <v>299.25</v>
      </c>
      <c r="O1488">
        <v>132</v>
      </c>
      <c r="P1488">
        <v>8292.76</v>
      </c>
      <c r="Q1488">
        <v>10314.15</v>
      </c>
      <c r="R1488">
        <v>1780.53</v>
      </c>
      <c r="S1488">
        <v>1328.7679001199999</v>
      </c>
      <c r="T1488">
        <v>0</v>
      </c>
      <c r="U1488">
        <v>0</v>
      </c>
      <c r="V1488">
        <v>1780.53</v>
      </c>
      <c r="W1488" t="s">
        <v>0</v>
      </c>
      <c r="X1488" t="s">
        <v>271</v>
      </c>
      <c r="Y1488" t="s">
        <v>3942</v>
      </c>
      <c r="AA1488" t="s">
        <v>3943</v>
      </c>
      <c r="AB1488" t="s">
        <v>181</v>
      </c>
    </row>
    <row r="1489" spans="1:28" x14ac:dyDescent="0.25">
      <c r="A1489" t="s">
        <v>4211</v>
      </c>
      <c r="B1489" t="s">
        <v>4212</v>
      </c>
      <c r="C1489" t="s">
        <v>646</v>
      </c>
      <c r="D1489" t="s">
        <v>3779</v>
      </c>
      <c r="E1489" t="s">
        <v>647</v>
      </c>
      <c r="F1489" t="s">
        <v>3780</v>
      </c>
      <c r="G1489" t="s">
        <v>769</v>
      </c>
      <c r="H1489" t="s">
        <v>713</v>
      </c>
      <c r="I1489" t="s">
        <v>4213</v>
      </c>
      <c r="J1489" t="s">
        <v>437</v>
      </c>
      <c r="K1489" t="s">
        <v>166</v>
      </c>
      <c r="L1489" t="s">
        <v>0</v>
      </c>
      <c r="M1489" t="s">
        <v>178</v>
      </c>
      <c r="N1489">
        <v>654.33330000000001</v>
      </c>
      <c r="O1489">
        <v>134.33330000000001</v>
      </c>
      <c r="P1489">
        <v>16858.240000000002</v>
      </c>
      <c r="Q1489">
        <v>14100.77</v>
      </c>
      <c r="R1489">
        <v>1403.6241675700001</v>
      </c>
      <c r="S1489">
        <v>722.71552124000004</v>
      </c>
      <c r="T1489">
        <v>41.274167570000003</v>
      </c>
      <c r="U1489">
        <v>0</v>
      </c>
      <c r="V1489">
        <v>1362.35</v>
      </c>
      <c r="W1489" t="s">
        <v>510</v>
      </c>
      <c r="X1489" t="s">
        <v>271</v>
      </c>
      <c r="Y1489" t="s">
        <v>4214</v>
      </c>
      <c r="Z1489" t="s">
        <v>4175</v>
      </c>
      <c r="AA1489" t="s">
        <v>4215</v>
      </c>
      <c r="AB1489" t="s">
        <v>181</v>
      </c>
    </row>
    <row r="1490" spans="1:28" x14ac:dyDescent="0.25">
      <c r="A1490" t="s">
        <v>4051</v>
      </c>
      <c r="B1490" t="s">
        <v>4052</v>
      </c>
      <c r="C1490" t="s">
        <v>646</v>
      </c>
      <c r="D1490" t="s">
        <v>3779</v>
      </c>
      <c r="E1490" t="s">
        <v>647</v>
      </c>
      <c r="F1490" t="s">
        <v>3780</v>
      </c>
      <c r="G1490" t="s">
        <v>769</v>
      </c>
      <c r="H1490" t="s">
        <v>649</v>
      </c>
      <c r="I1490" t="s">
        <v>4053</v>
      </c>
      <c r="J1490" t="s">
        <v>4054</v>
      </c>
      <c r="K1490" t="s">
        <v>166</v>
      </c>
      <c r="L1490" t="s">
        <v>0</v>
      </c>
      <c r="M1490" t="s">
        <v>178</v>
      </c>
      <c r="N1490">
        <v>316</v>
      </c>
      <c r="O1490">
        <v>273</v>
      </c>
      <c r="P1490">
        <v>6094.2</v>
      </c>
      <c r="Q1490">
        <v>16221.69</v>
      </c>
      <c r="R1490">
        <v>1067.9000000000001</v>
      </c>
      <c r="S1490">
        <v>3459.4608485600002</v>
      </c>
      <c r="T1490">
        <v>0</v>
      </c>
      <c r="U1490">
        <v>0</v>
      </c>
      <c r="V1490">
        <v>1067.9000000000001</v>
      </c>
      <c r="W1490" t="s">
        <v>2488</v>
      </c>
      <c r="X1490" t="s">
        <v>269</v>
      </c>
      <c r="Y1490" t="s">
        <v>4055</v>
      </c>
      <c r="AA1490" t="s">
        <v>4056</v>
      </c>
      <c r="AB1490" t="s">
        <v>181</v>
      </c>
    </row>
    <row r="1491" spans="1:28" x14ac:dyDescent="0.25">
      <c r="A1491" t="s">
        <v>4357</v>
      </c>
      <c r="B1491" t="s">
        <v>4358</v>
      </c>
      <c r="C1491" t="s">
        <v>646</v>
      </c>
      <c r="D1491" t="s">
        <v>3779</v>
      </c>
      <c r="E1491" t="s">
        <v>647</v>
      </c>
      <c r="F1491" t="s">
        <v>3780</v>
      </c>
      <c r="G1491" t="s">
        <v>769</v>
      </c>
      <c r="H1491" t="s">
        <v>649</v>
      </c>
      <c r="I1491" t="s">
        <v>1599</v>
      </c>
      <c r="J1491" t="s">
        <v>1600</v>
      </c>
      <c r="K1491" t="s">
        <v>166</v>
      </c>
      <c r="L1491" t="s">
        <v>0</v>
      </c>
      <c r="M1491" t="s">
        <v>178</v>
      </c>
      <c r="N1491">
        <v>95</v>
      </c>
      <c r="O1491">
        <v>22</v>
      </c>
      <c r="P1491">
        <v>1188.43</v>
      </c>
      <c r="Q1491">
        <v>4439.4799999999996</v>
      </c>
      <c r="R1491">
        <v>1012.17</v>
      </c>
      <c r="S1491">
        <v>261.03476577999999</v>
      </c>
      <c r="T1491">
        <v>0</v>
      </c>
      <c r="U1491">
        <v>0</v>
      </c>
      <c r="V1491">
        <v>1012.17</v>
      </c>
      <c r="W1491" t="s">
        <v>1601</v>
      </c>
      <c r="X1491" t="s">
        <v>269</v>
      </c>
      <c r="Y1491" t="s">
        <v>4359</v>
      </c>
      <c r="AA1491" t="s">
        <v>4360</v>
      </c>
      <c r="AB1491" t="s">
        <v>181</v>
      </c>
    </row>
    <row r="1492" spans="1:28" x14ac:dyDescent="0.25">
      <c r="A1492" t="s">
        <v>4211</v>
      </c>
      <c r="B1492" t="s">
        <v>4212</v>
      </c>
      <c r="C1492" t="s">
        <v>646</v>
      </c>
      <c r="D1492" t="s">
        <v>3779</v>
      </c>
      <c r="E1492" t="s">
        <v>647</v>
      </c>
      <c r="F1492" t="s">
        <v>3780</v>
      </c>
      <c r="G1492" t="s">
        <v>769</v>
      </c>
      <c r="H1492" t="s">
        <v>679</v>
      </c>
      <c r="I1492" t="s">
        <v>4213</v>
      </c>
      <c r="J1492" t="s">
        <v>437</v>
      </c>
      <c r="K1492" t="s">
        <v>166</v>
      </c>
      <c r="L1492" t="s">
        <v>0</v>
      </c>
      <c r="M1492" t="s">
        <v>178</v>
      </c>
      <c r="N1492">
        <v>104</v>
      </c>
      <c r="O1492">
        <v>95</v>
      </c>
      <c r="P1492">
        <v>1950.58</v>
      </c>
      <c r="Q1492">
        <v>4231.68</v>
      </c>
      <c r="R1492">
        <v>87.788969120000004</v>
      </c>
      <c r="S1492">
        <v>1343.10552426</v>
      </c>
      <c r="T1492">
        <v>-3.0710308799999999</v>
      </c>
      <c r="U1492">
        <v>0</v>
      </c>
      <c r="V1492">
        <v>90.86</v>
      </c>
      <c r="W1492" t="s">
        <v>510</v>
      </c>
      <c r="X1492" t="s">
        <v>271</v>
      </c>
      <c r="Y1492" t="s">
        <v>4214</v>
      </c>
      <c r="Z1492" t="s">
        <v>4175</v>
      </c>
      <c r="AA1492" t="s">
        <v>4215</v>
      </c>
      <c r="AB1492" t="s">
        <v>181</v>
      </c>
    </row>
    <row r="1493" spans="1:28" x14ac:dyDescent="0.25">
      <c r="A1493" t="s">
        <v>4022</v>
      </c>
      <c r="B1493" t="s">
        <v>4023</v>
      </c>
      <c r="C1493" t="s">
        <v>646</v>
      </c>
      <c r="D1493" t="s">
        <v>3779</v>
      </c>
      <c r="E1493" t="s">
        <v>647</v>
      </c>
      <c r="F1493" t="s">
        <v>3780</v>
      </c>
      <c r="G1493" t="s">
        <v>769</v>
      </c>
      <c r="H1493" t="s">
        <v>730</v>
      </c>
      <c r="I1493" t="s">
        <v>4024</v>
      </c>
      <c r="J1493" t="s">
        <v>447</v>
      </c>
      <c r="K1493" t="s">
        <v>166</v>
      </c>
      <c r="L1493" t="s">
        <v>0</v>
      </c>
      <c r="M1493" t="s">
        <v>178</v>
      </c>
      <c r="N1493">
        <v>44</v>
      </c>
      <c r="O1493">
        <v>0</v>
      </c>
      <c r="P1493">
        <v>1080.8499999999999</v>
      </c>
      <c r="Q1493">
        <v>5388.4</v>
      </c>
      <c r="R1493">
        <v>509.85973424000002</v>
      </c>
      <c r="S1493">
        <v>-0.15102192</v>
      </c>
      <c r="T1493">
        <v>3085.19973424</v>
      </c>
      <c r="U1493">
        <v>0</v>
      </c>
      <c r="V1493">
        <v>518.76</v>
      </c>
      <c r="W1493" t="s">
        <v>446</v>
      </c>
      <c r="X1493" t="s">
        <v>271</v>
      </c>
      <c r="Y1493" t="s">
        <v>4025</v>
      </c>
      <c r="AA1493" t="s">
        <v>4026</v>
      </c>
      <c r="AB1493" t="s">
        <v>181</v>
      </c>
    </row>
    <row r="1494" spans="1:28" x14ac:dyDescent="0.25">
      <c r="A1494" t="s">
        <v>3948</v>
      </c>
      <c r="B1494" t="s">
        <v>3949</v>
      </c>
      <c r="C1494" t="s">
        <v>646</v>
      </c>
      <c r="D1494" t="s">
        <v>3779</v>
      </c>
      <c r="E1494" t="s">
        <v>647</v>
      </c>
      <c r="F1494" t="s">
        <v>3780</v>
      </c>
      <c r="G1494" t="s">
        <v>769</v>
      </c>
      <c r="H1494" t="s">
        <v>703</v>
      </c>
      <c r="I1494" t="s">
        <v>2250</v>
      </c>
      <c r="J1494" t="s">
        <v>358</v>
      </c>
      <c r="K1494" t="s">
        <v>166</v>
      </c>
      <c r="L1494" t="s">
        <v>0</v>
      </c>
      <c r="M1494" t="s">
        <v>178</v>
      </c>
      <c r="N1494">
        <v>86</v>
      </c>
      <c r="O1494">
        <v>29</v>
      </c>
      <c r="P1494">
        <v>1118.03</v>
      </c>
      <c r="Q1494">
        <v>3327.44</v>
      </c>
      <c r="R1494">
        <v>959.52044923999995</v>
      </c>
      <c r="S1494">
        <v>415.43658893000003</v>
      </c>
      <c r="T1494">
        <v>-0.36955075999999998</v>
      </c>
      <c r="U1494">
        <v>0</v>
      </c>
      <c r="V1494">
        <v>959.89</v>
      </c>
      <c r="W1494" t="s">
        <v>357</v>
      </c>
      <c r="X1494" t="s">
        <v>271</v>
      </c>
      <c r="Y1494" t="s">
        <v>3950</v>
      </c>
      <c r="AA1494" t="s">
        <v>3951</v>
      </c>
      <c r="AB1494" t="s">
        <v>181</v>
      </c>
    </row>
    <row r="1495" spans="1:28" x14ac:dyDescent="0.25">
      <c r="A1495" t="s">
        <v>4027</v>
      </c>
      <c r="B1495" t="s">
        <v>4028</v>
      </c>
      <c r="C1495" t="s">
        <v>646</v>
      </c>
      <c r="D1495" t="s">
        <v>3779</v>
      </c>
      <c r="E1495" t="s">
        <v>647</v>
      </c>
      <c r="F1495" t="s">
        <v>3780</v>
      </c>
      <c r="G1495" t="s">
        <v>769</v>
      </c>
      <c r="H1495" t="s">
        <v>713</v>
      </c>
      <c r="I1495" t="s">
        <v>1251</v>
      </c>
      <c r="J1495" t="s">
        <v>821</v>
      </c>
      <c r="K1495" t="s">
        <v>166</v>
      </c>
      <c r="L1495" t="s">
        <v>0</v>
      </c>
      <c r="M1495" t="s">
        <v>178</v>
      </c>
      <c r="N1495">
        <v>244</v>
      </c>
      <c r="O1495">
        <v>4</v>
      </c>
      <c r="P1495">
        <v>4451.47</v>
      </c>
      <c r="Q1495">
        <v>7721.28</v>
      </c>
      <c r="R1495">
        <v>1496.15</v>
      </c>
      <c r="S1495">
        <v>207.28453074000001</v>
      </c>
      <c r="T1495">
        <v>0</v>
      </c>
      <c r="U1495">
        <v>0</v>
      </c>
      <c r="V1495">
        <v>1496.15</v>
      </c>
      <c r="W1495" t="s">
        <v>822</v>
      </c>
      <c r="X1495" t="s">
        <v>269</v>
      </c>
      <c r="Y1495" t="s">
        <v>4029</v>
      </c>
      <c r="AA1495" t="s">
        <v>4030</v>
      </c>
      <c r="AB1495" t="s">
        <v>181</v>
      </c>
    </row>
    <row r="1496" spans="1:28" x14ac:dyDescent="0.25">
      <c r="A1496" t="s">
        <v>3981</v>
      </c>
      <c r="B1496" t="s">
        <v>3982</v>
      </c>
      <c r="C1496" t="s">
        <v>646</v>
      </c>
      <c r="D1496" t="s">
        <v>3779</v>
      </c>
      <c r="E1496" t="s">
        <v>647</v>
      </c>
      <c r="F1496" t="s">
        <v>3780</v>
      </c>
      <c r="G1496" t="s">
        <v>769</v>
      </c>
      <c r="H1496" t="s">
        <v>649</v>
      </c>
      <c r="I1496" t="s">
        <v>2384</v>
      </c>
      <c r="J1496" t="s">
        <v>447</v>
      </c>
      <c r="K1496" t="s">
        <v>166</v>
      </c>
      <c r="L1496" t="s">
        <v>0</v>
      </c>
      <c r="M1496" t="s">
        <v>178</v>
      </c>
      <c r="N1496">
        <v>539</v>
      </c>
      <c r="O1496">
        <v>448</v>
      </c>
      <c r="P1496">
        <v>12303.73</v>
      </c>
      <c r="Q1496">
        <v>30097.040000000001</v>
      </c>
      <c r="R1496">
        <v>1046.8699999999999</v>
      </c>
      <c r="S1496">
        <v>1909.1829695700001</v>
      </c>
      <c r="T1496">
        <v>0</v>
      </c>
      <c r="U1496">
        <v>688.17</v>
      </c>
      <c r="V1496">
        <v>1739.5</v>
      </c>
      <c r="W1496" t="s">
        <v>446</v>
      </c>
      <c r="X1496" t="s">
        <v>271</v>
      </c>
      <c r="Y1496" t="s">
        <v>3983</v>
      </c>
      <c r="AA1496" t="s">
        <v>3984</v>
      </c>
      <c r="AB1496" t="s">
        <v>181</v>
      </c>
    </row>
    <row r="1497" spans="1:28" x14ac:dyDescent="0.25">
      <c r="A1497" t="s">
        <v>4320</v>
      </c>
      <c r="B1497" t="s">
        <v>4321</v>
      </c>
      <c r="C1497" t="s">
        <v>646</v>
      </c>
      <c r="D1497" t="s">
        <v>3779</v>
      </c>
      <c r="E1497" t="s">
        <v>647</v>
      </c>
      <c r="F1497" t="s">
        <v>3780</v>
      </c>
      <c r="G1497" t="s">
        <v>769</v>
      </c>
      <c r="H1497" t="s">
        <v>770</v>
      </c>
      <c r="I1497" t="s">
        <v>1010</v>
      </c>
      <c r="J1497" t="s">
        <v>1011</v>
      </c>
      <c r="K1497" t="s">
        <v>166</v>
      </c>
      <c r="L1497" t="s">
        <v>0</v>
      </c>
      <c r="M1497" t="s">
        <v>178</v>
      </c>
      <c r="N1497">
        <v>423</v>
      </c>
      <c r="O1497">
        <v>218</v>
      </c>
      <c r="P1497">
        <v>17321.75</v>
      </c>
      <c r="Q1497">
        <v>14261.48</v>
      </c>
      <c r="R1497">
        <v>4107.47</v>
      </c>
      <c r="S1497">
        <v>1109.1318641800001</v>
      </c>
      <c r="T1497">
        <v>0</v>
      </c>
      <c r="U1497">
        <v>0</v>
      </c>
      <c r="V1497">
        <v>4107.47</v>
      </c>
      <c r="W1497" t="s">
        <v>0</v>
      </c>
      <c r="X1497" t="s">
        <v>271</v>
      </c>
      <c r="Y1497" t="s">
        <v>4322</v>
      </c>
      <c r="AA1497" t="s">
        <v>4323</v>
      </c>
      <c r="AB1497" t="s">
        <v>181</v>
      </c>
    </row>
    <row r="1498" spans="1:28" x14ac:dyDescent="0.25">
      <c r="A1498" t="s">
        <v>3985</v>
      </c>
      <c r="B1498" t="s">
        <v>3986</v>
      </c>
      <c r="C1498" t="s">
        <v>646</v>
      </c>
      <c r="D1498" t="s">
        <v>3779</v>
      </c>
      <c r="E1498" t="s">
        <v>647</v>
      </c>
      <c r="F1498" t="s">
        <v>3780</v>
      </c>
      <c r="G1498" t="s">
        <v>769</v>
      </c>
      <c r="H1498" t="s">
        <v>708</v>
      </c>
      <c r="I1498" t="s">
        <v>3987</v>
      </c>
      <c r="J1498" t="s">
        <v>3988</v>
      </c>
      <c r="K1498" t="s">
        <v>166</v>
      </c>
      <c r="L1498" t="s">
        <v>0</v>
      </c>
      <c r="M1498" t="s">
        <v>178</v>
      </c>
      <c r="N1498">
        <v>219</v>
      </c>
      <c r="O1498">
        <v>42</v>
      </c>
      <c r="P1498">
        <v>1291.22</v>
      </c>
      <c r="Q1498">
        <v>19087.27</v>
      </c>
      <c r="R1498">
        <v>3158.1</v>
      </c>
      <c r="S1498">
        <v>985.27051583000002</v>
      </c>
      <c r="T1498">
        <v>0</v>
      </c>
      <c r="U1498">
        <v>0</v>
      </c>
      <c r="V1498">
        <v>3158.1</v>
      </c>
      <c r="W1498" t="s">
        <v>3989</v>
      </c>
      <c r="X1498" t="s">
        <v>271</v>
      </c>
      <c r="Y1498" t="s">
        <v>3990</v>
      </c>
      <c r="AA1498" t="s">
        <v>3991</v>
      </c>
      <c r="AB1498" t="s">
        <v>181</v>
      </c>
    </row>
    <row r="1499" spans="1:28" x14ac:dyDescent="0.25">
      <c r="A1499" t="s">
        <v>3853</v>
      </c>
      <c r="B1499" t="s">
        <v>3854</v>
      </c>
      <c r="C1499" t="s">
        <v>646</v>
      </c>
      <c r="D1499" t="s">
        <v>3779</v>
      </c>
      <c r="E1499" t="s">
        <v>647</v>
      </c>
      <c r="F1499" t="s">
        <v>3780</v>
      </c>
      <c r="G1499" t="s">
        <v>769</v>
      </c>
      <c r="H1499" t="s">
        <v>1045</v>
      </c>
      <c r="I1499" t="s">
        <v>746</v>
      </c>
      <c r="J1499" t="s">
        <v>504</v>
      </c>
      <c r="K1499" t="s">
        <v>166</v>
      </c>
      <c r="L1499" t="s">
        <v>0</v>
      </c>
      <c r="M1499" t="s">
        <v>178</v>
      </c>
      <c r="N1499">
        <v>252</v>
      </c>
      <c r="O1499">
        <v>9</v>
      </c>
      <c r="P1499">
        <v>3263.87</v>
      </c>
      <c r="Q1499">
        <v>14225.61</v>
      </c>
      <c r="R1499">
        <v>305.32</v>
      </c>
      <c r="S1499">
        <v>459.53503257</v>
      </c>
      <c r="T1499">
        <v>0</v>
      </c>
      <c r="U1499">
        <v>0</v>
      </c>
      <c r="V1499">
        <v>305.32</v>
      </c>
      <c r="W1499" t="s">
        <v>503</v>
      </c>
      <c r="X1499" t="s">
        <v>271</v>
      </c>
      <c r="Y1499" t="s">
        <v>3855</v>
      </c>
      <c r="AA1499" t="s">
        <v>3856</v>
      </c>
      <c r="AB1499" t="s">
        <v>181</v>
      </c>
    </row>
    <row r="1500" spans="1:28" x14ac:dyDescent="0.25">
      <c r="A1500" t="s">
        <v>3783</v>
      </c>
      <c r="B1500" t="s">
        <v>3784</v>
      </c>
      <c r="C1500" t="s">
        <v>646</v>
      </c>
      <c r="D1500" t="s">
        <v>3779</v>
      </c>
      <c r="E1500" t="s">
        <v>647</v>
      </c>
      <c r="F1500" t="s">
        <v>666</v>
      </c>
      <c r="G1500" t="s">
        <v>666</v>
      </c>
      <c r="H1500" t="s">
        <v>1171</v>
      </c>
      <c r="I1500" t="s">
        <v>3785</v>
      </c>
      <c r="J1500" t="s">
        <v>432</v>
      </c>
      <c r="K1500" t="s">
        <v>166</v>
      </c>
      <c r="L1500" t="s">
        <v>0</v>
      </c>
      <c r="M1500" t="s">
        <v>178</v>
      </c>
      <c r="N1500">
        <v>32</v>
      </c>
      <c r="O1500">
        <v>32</v>
      </c>
      <c r="P1500">
        <v>2372.9</v>
      </c>
      <c r="Q1500">
        <v>18764.73</v>
      </c>
      <c r="R1500">
        <v>1893.18</v>
      </c>
      <c r="S1500">
        <v>214.43827354999999</v>
      </c>
      <c r="T1500">
        <v>0</v>
      </c>
      <c r="U1500">
        <v>0</v>
      </c>
      <c r="V1500">
        <v>1893.18</v>
      </c>
      <c r="W1500" t="s">
        <v>0</v>
      </c>
      <c r="X1500" t="s">
        <v>271</v>
      </c>
      <c r="Y1500" t="s">
        <v>3786</v>
      </c>
      <c r="AA1500" t="s">
        <v>3787</v>
      </c>
      <c r="AB1500" t="s">
        <v>181</v>
      </c>
    </row>
    <row r="1501" spans="1:28" x14ac:dyDescent="0.25">
      <c r="A1501" t="s">
        <v>4244</v>
      </c>
      <c r="B1501" t="s">
        <v>4245</v>
      </c>
      <c r="C1501" t="s">
        <v>646</v>
      </c>
      <c r="D1501" t="s">
        <v>3779</v>
      </c>
      <c r="E1501" t="s">
        <v>647</v>
      </c>
      <c r="F1501" t="s">
        <v>3780</v>
      </c>
      <c r="G1501" t="s">
        <v>769</v>
      </c>
      <c r="H1501" t="s">
        <v>717</v>
      </c>
      <c r="I1501" t="s">
        <v>1251</v>
      </c>
      <c r="J1501" t="s">
        <v>821</v>
      </c>
      <c r="K1501" t="s">
        <v>166</v>
      </c>
      <c r="L1501" t="s">
        <v>0</v>
      </c>
      <c r="M1501" t="s">
        <v>178</v>
      </c>
      <c r="N1501">
        <v>53</v>
      </c>
      <c r="O1501">
        <v>29</v>
      </c>
      <c r="P1501">
        <v>893.2</v>
      </c>
      <c r="Q1501">
        <v>3352.06</v>
      </c>
      <c r="R1501">
        <v>811.93</v>
      </c>
      <c r="S1501">
        <v>267.30853861000003</v>
      </c>
      <c r="T1501">
        <v>0</v>
      </c>
      <c r="U1501">
        <v>0</v>
      </c>
      <c r="V1501">
        <v>811.93</v>
      </c>
      <c r="W1501" t="s">
        <v>822</v>
      </c>
      <c r="X1501" t="s">
        <v>269</v>
      </c>
      <c r="Y1501" t="s">
        <v>4246</v>
      </c>
      <c r="AA1501" t="s">
        <v>4247</v>
      </c>
      <c r="AB1501" t="s">
        <v>181</v>
      </c>
    </row>
    <row r="1502" spans="1:28" x14ac:dyDescent="0.25">
      <c r="A1502" t="s">
        <v>3929</v>
      </c>
      <c r="B1502" t="s">
        <v>3930</v>
      </c>
      <c r="C1502" t="s">
        <v>646</v>
      </c>
      <c r="D1502" t="s">
        <v>3779</v>
      </c>
      <c r="E1502" t="s">
        <v>647</v>
      </c>
      <c r="F1502" t="s">
        <v>3780</v>
      </c>
      <c r="G1502" t="s">
        <v>769</v>
      </c>
      <c r="H1502" t="s">
        <v>713</v>
      </c>
      <c r="I1502" t="s">
        <v>3649</v>
      </c>
      <c r="J1502" t="s">
        <v>1567</v>
      </c>
      <c r="K1502" t="s">
        <v>166</v>
      </c>
      <c r="L1502" t="s">
        <v>0</v>
      </c>
      <c r="M1502" t="s">
        <v>178</v>
      </c>
      <c r="N1502">
        <v>2237</v>
      </c>
      <c r="O1502">
        <v>34</v>
      </c>
      <c r="P1502">
        <v>56768.51</v>
      </c>
      <c r="Q1502">
        <v>26591.439999999999</v>
      </c>
      <c r="R1502">
        <v>626.55288112000005</v>
      </c>
      <c r="S1502">
        <v>1534.5050652499999</v>
      </c>
      <c r="T1502">
        <v>1.70288112</v>
      </c>
      <c r="U1502">
        <v>0</v>
      </c>
      <c r="V1502">
        <v>624.85</v>
      </c>
      <c r="W1502" t="s">
        <v>556</v>
      </c>
      <c r="X1502" t="s">
        <v>271</v>
      </c>
      <c r="Y1502" t="s">
        <v>3931</v>
      </c>
      <c r="AA1502" t="s">
        <v>3932</v>
      </c>
      <c r="AB1502" t="s">
        <v>181</v>
      </c>
    </row>
    <row r="1503" spans="1:28" x14ac:dyDescent="0.25">
      <c r="A1503" t="s">
        <v>4219</v>
      </c>
      <c r="B1503" t="s">
        <v>4220</v>
      </c>
      <c r="C1503" t="s">
        <v>646</v>
      </c>
      <c r="D1503" t="s">
        <v>3779</v>
      </c>
      <c r="E1503" t="s">
        <v>647</v>
      </c>
      <c r="F1503" t="s">
        <v>3780</v>
      </c>
      <c r="G1503" t="s">
        <v>769</v>
      </c>
      <c r="H1503" t="s">
        <v>1171</v>
      </c>
      <c r="I1503" t="s">
        <v>1208</v>
      </c>
      <c r="J1503" t="s">
        <v>1209</v>
      </c>
      <c r="K1503" t="s">
        <v>166</v>
      </c>
      <c r="L1503" t="s">
        <v>0</v>
      </c>
      <c r="M1503" t="s">
        <v>178</v>
      </c>
      <c r="N1503">
        <v>18</v>
      </c>
      <c r="O1503">
        <v>9</v>
      </c>
      <c r="P1503">
        <v>745.65</v>
      </c>
      <c r="Q1503">
        <v>6687.04</v>
      </c>
      <c r="R1503">
        <v>396.78351026000001</v>
      </c>
      <c r="S1503">
        <v>62.445595519999998</v>
      </c>
      <c r="T1503">
        <v>1.34351026</v>
      </c>
      <c r="U1503">
        <v>0</v>
      </c>
      <c r="V1503">
        <v>395.44</v>
      </c>
      <c r="W1503" t="s">
        <v>1210</v>
      </c>
      <c r="X1503" t="s">
        <v>271</v>
      </c>
      <c r="Y1503" t="s">
        <v>4221</v>
      </c>
      <c r="AA1503" t="s">
        <v>4222</v>
      </c>
      <c r="AB1503" t="s">
        <v>181</v>
      </c>
    </row>
    <row r="1504" spans="1:28" x14ac:dyDescent="0.25">
      <c r="A1504" t="s">
        <v>3797</v>
      </c>
      <c r="B1504" t="s">
        <v>3798</v>
      </c>
      <c r="C1504" t="s">
        <v>646</v>
      </c>
      <c r="D1504" t="s">
        <v>3779</v>
      </c>
      <c r="E1504" t="s">
        <v>647</v>
      </c>
      <c r="F1504" t="s">
        <v>3780</v>
      </c>
      <c r="G1504" t="s">
        <v>769</v>
      </c>
      <c r="H1504" t="s">
        <v>1045</v>
      </c>
      <c r="I1504" t="s">
        <v>725</v>
      </c>
      <c r="J1504" t="s">
        <v>726</v>
      </c>
      <c r="K1504" t="s">
        <v>166</v>
      </c>
      <c r="L1504" t="s">
        <v>0</v>
      </c>
      <c r="M1504" t="s">
        <v>178</v>
      </c>
      <c r="N1504">
        <v>236.2</v>
      </c>
      <c r="O1504">
        <v>77.2</v>
      </c>
      <c r="P1504">
        <v>2775.12</v>
      </c>
      <c r="Q1504">
        <v>17000.27</v>
      </c>
      <c r="R1504">
        <v>940.16</v>
      </c>
      <c r="S1504">
        <v>671.40848332999997</v>
      </c>
      <c r="T1504">
        <v>0</v>
      </c>
      <c r="U1504">
        <v>0</v>
      </c>
      <c r="V1504">
        <v>940.16</v>
      </c>
      <c r="W1504" t="s">
        <v>0</v>
      </c>
      <c r="X1504" t="s">
        <v>271</v>
      </c>
      <c r="Y1504" t="s">
        <v>3799</v>
      </c>
      <c r="AA1504" t="s">
        <v>3800</v>
      </c>
      <c r="AB1504" t="s">
        <v>181</v>
      </c>
    </row>
    <row r="1505" spans="1:28" x14ac:dyDescent="0.25">
      <c r="A1505" t="s">
        <v>4179</v>
      </c>
      <c r="B1505" t="s">
        <v>4180</v>
      </c>
      <c r="C1505" t="s">
        <v>646</v>
      </c>
      <c r="D1505" t="s">
        <v>3779</v>
      </c>
      <c r="E1505" t="s">
        <v>647</v>
      </c>
      <c r="F1505" t="s">
        <v>3780</v>
      </c>
      <c r="G1505" t="s">
        <v>769</v>
      </c>
      <c r="H1505" t="s">
        <v>679</v>
      </c>
      <c r="I1505" t="s">
        <v>4181</v>
      </c>
      <c r="J1505" t="s">
        <v>816</v>
      </c>
      <c r="K1505" t="s">
        <v>166</v>
      </c>
      <c r="L1505" t="s">
        <v>0</v>
      </c>
      <c r="M1505" t="s">
        <v>178</v>
      </c>
      <c r="N1505">
        <v>2</v>
      </c>
      <c r="O1505">
        <v>1</v>
      </c>
      <c r="P1505">
        <v>2.23</v>
      </c>
      <c r="Q1505">
        <v>62.17</v>
      </c>
      <c r="R1505">
        <v>10.02</v>
      </c>
      <c r="S1505">
        <v>14.39383488</v>
      </c>
      <c r="T1505">
        <v>0</v>
      </c>
      <c r="U1505">
        <v>0</v>
      </c>
      <c r="V1505">
        <v>10.02</v>
      </c>
      <c r="W1505" t="s">
        <v>1490</v>
      </c>
      <c r="X1505" t="s">
        <v>271</v>
      </c>
      <c r="Y1505" t="s">
        <v>4182</v>
      </c>
      <c r="AA1505" t="s">
        <v>4183</v>
      </c>
      <c r="AB1505" t="s">
        <v>181</v>
      </c>
    </row>
    <row r="1506" spans="1:28" x14ac:dyDescent="0.25">
      <c r="A1506" t="s">
        <v>4223</v>
      </c>
      <c r="B1506" t="s">
        <v>4224</v>
      </c>
      <c r="C1506" t="s">
        <v>646</v>
      </c>
      <c r="D1506" t="s">
        <v>3779</v>
      </c>
      <c r="E1506" t="s">
        <v>647</v>
      </c>
      <c r="F1506" t="s">
        <v>3780</v>
      </c>
      <c r="G1506" t="s">
        <v>769</v>
      </c>
      <c r="H1506" t="s">
        <v>797</v>
      </c>
      <c r="I1506" t="s">
        <v>4225</v>
      </c>
      <c r="J1506" t="s">
        <v>336</v>
      </c>
      <c r="K1506" t="s">
        <v>166</v>
      </c>
      <c r="L1506" t="s">
        <v>0</v>
      </c>
      <c r="M1506" t="s">
        <v>178</v>
      </c>
      <c r="N1506">
        <v>2</v>
      </c>
      <c r="O1506">
        <v>2</v>
      </c>
      <c r="P1506">
        <v>26.52</v>
      </c>
      <c r="Q1506">
        <v>174.77</v>
      </c>
      <c r="R1506">
        <v>2.12</v>
      </c>
      <c r="S1506">
        <v>12.12892606</v>
      </c>
      <c r="T1506">
        <v>0</v>
      </c>
      <c r="U1506">
        <v>0</v>
      </c>
      <c r="V1506">
        <v>2.12</v>
      </c>
      <c r="W1506" t="s">
        <v>461</v>
      </c>
      <c r="X1506" t="s">
        <v>271</v>
      </c>
      <c r="Y1506" t="s">
        <v>4226</v>
      </c>
      <c r="AA1506" t="s">
        <v>4227</v>
      </c>
      <c r="AB1506" t="s">
        <v>181</v>
      </c>
    </row>
    <row r="1507" spans="1:28" x14ac:dyDescent="0.25">
      <c r="A1507" t="s">
        <v>4232</v>
      </c>
      <c r="B1507" t="s">
        <v>4233</v>
      </c>
      <c r="C1507" t="s">
        <v>646</v>
      </c>
      <c r="D1507" t="s">
        <v>3779</v>
      </c>
      <c r="E1507" t="s">
        <v>647</v>
      </c>
      <c r="F1507" t="s">
        <v>3780</v>
      </c>
      <c r="G1507" t="s">
        <v>769</v>
      </c>
      <c r="H1507" t="s">
        <v>708</v>
      </c>
      <c r="I1507" t="s">
        <v>1296</v>
      </c>
      <c r="J1507" t="s">
        <v>996</v>
      </c>
      <c r="K1507" t="s">
        <v>166</v>
      </c>
      <c r="L1507" t="s">
        <v>0</v>
      </c>
      <c r="M1507" t="s">
        <v>178</v>
      </c>
      <c r="N1507">
        <v>4</v>
      </c>
      <c r="O1507">
        <v>3</v>
      </c>
      <c r="P1507">
        <v>62.85</v>
      </c>
      <c r="Q1507">
        <v>218.73</v>
      </c>
      <c r="R1507">
        <v>25.42</v>
      </c>
      <c r="S1507">
        <v>26.88992056</v>
      </c>
      <c r="T1507">
        <v>0</v>
      </c>
      <c r="U1507">
        <v>0</v>
      </c>
      <c r="V1507">
        <v>25.42</v>
      </c>
      <c r="W1507" t="s">
        <v>1683</v>
      </c>
      <c r="X1507" t="s">
        <v>271</v>
      </c>
      <c r="Y1507" t="s">
        <v>4234</v>
      </c>
      <c r="AA1507" t="s">
        <v>4235</v>
      </c>
      <c r="AB1507" t="s">
        <v>181</v>
      </c>
    </row>
    <row r="1508" spans="1:28" x14ac:dyDescent="0.25">
      <c r="A1508" t="s">
        <v>4119</v>
      </c>
      <c r="B1508" t="s">
        <v>4120</v>
      </c>
      <c r="C1508" t="s">
        <v>646</v>
      </c>
      <c r="D1508" t="s">
        <v>3779</v>
      </c>
      <c r="E1508" t="s">
        <v>647</v>
      </c>
      <c r="F1508" t="s">
        <v>3780</v>
      </c>
      <c r="G1508" t="s">
        <v>769</v>
      </c>
      <c r="H1508" t="s">
        <v>1515</v>
      </c>
      <c r="I1508" t="s">
        <v>1374</v>
      </c>
      <c r="J1508" t="s">
        <v>441</v>
      </c>
      <c r="K1508" t="s">
        <v>166</v>
      </c>
      <c r="L1508" t="s">
        <v>0</v>
      </c>
      <c r="M1508" t="s">
        <v>178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 t="s">
        <v>440</v>
      </c>
      <c r="X1508" t="s">
        <v>271</v>
      </c>
      <c r="Y1508" t="s">
        <v>4121</v>
      </c>
      <c r="AA1508" t="s">
        <v>4122</v>
      </c>
      <c r="AB1508" t="s">
        <v>181</v>
      </c>
    </row>
    <row r="1509" spans="1:28" x14ac:dyDescent="0.25">
      <c r="A1509" t="s">
        <v>4265</v>
      </c>
      <c r="B1509" t="s">
        <v>4266</v>
      </c>
      <c r="C1509" t="s">
        <v>646</v>
      </c>
      <c r="D1509" t="s">
        <v>3779</v>
      </c>
      <c r="E1509" t="s">
        <v>647</v>
      </c>
      <c r="F1509" t="s">
        <v>666</v>
      </c>
      <c r="G1509" t="s">
        <v>666</v>
      </c>
      <c r="H1509" t="s">
        <v>1515</v>
      </c>
      <c r="I1509" t="s">
        <v>4267</v>
      </c>
      <c r="J1509" t="s">
        <v>326</v>
      </c>
      <c r="K1509" t="s">
        <v>166</v>
      </c>
      <c r="L1509" t="s">
        <v>0</v>
      </c>
      <c r="M1509" t="s">
        <v>178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 t="s">
        <v>450</v>
      </c>
      <c r="X1509" t="s">
        <v>271</v>
      </c>
      <c r="Y1509" t="s">
        <v>4268</v>
      </c>
      <c r="AA1509" t="s">
        <v>4269</v>
      </c>
      <c r="AB1509" t="s">
        <v>181</v>
      </c>
    </row>
    <row r="1510" spans="1:28" x14ac:dyDescent="0.25">
      <c r="A1510" t="s">
        <v>4342</v>
      </c>
      <c r="B1510" t="s">
        <v>4343</v>
      </c>
      <c r="C1510" t="s">
        <v>646</v>
      </c>
      <c r="D1510" t="s">
        <v>3779</v>
      </c>
      <c r="E1510" t="s">
        <v>647</v>
      </c>
      <c r="F1510" t="s">
        <v>666</v>
      </c>
      <c r="G1510" t="s">
        <v>666</v>
      </c>
      <c r="H1510" t="s">
        <v>1515</v>
      </c>
      <c r="I1510" t="s">
        <v>4344</v>
      </c>
      <c r="J1510" t="s">
        <v>355</v>
      </c>
      <c r="K1510" t="s">
        <v>166</v>
      </c>
      <c r="L1510" t="s">
        <v>0</v>
      </c>
      <c r="M1510" t="s">
        <v>178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 t="s">
        <v>0</v>
      </c>
      <c r="X1510" t="s">
        <v>271</v>
      </c>
      <c r="Y1510" t="s">
        <v>4345</v>
      </c>
      <c r="AA1510" t="s">
        <v>3894</v>
      </c>
      <c r="AB1510" t="s">
        <v>181</v>
      </c>
    </row>
    <row r="1511" spans="1:28" x14ac:dyDescent="0.25">
      <c r="A1511" t="s">
        <v>4177</v>
      </c>
      <c r="B1511" t="s">
        <v>4178</v>
      </c>
      <c r="C1511" t="s">
        <v>646</v>
      </c>
      <c r="D1511" t="s">
        <v>3779</v>
      </c>
      <c r="E1511" t="s">
        <v>647</v>
      </c>
      <c r="F1511" t="s">
        <v>3780</v>
      </c>
      <c r="G1511" t="s">
        <v>769</v>
      </c>
      <c r="H1511" t="s">
        <v>679</v>
      </c>
      <c r="I1511" t="s">
        <v>1190</v>
      </c>
      <c r="J1511" t="s">
        <v>1191</v>
      </c>
      <c r="K1511" t="s">
        <v>166</v>
      </c>
      <c r="L1511" t="s">
        <v>0</v>
      </c>
      <c r="M1511" t="s">
        <v>178</v>
      </c>
      <c r="N1511">
        <v>1026</v>
      </c>
      <c r="O1511">
        <v>0</v>
      </c>
      <c r="P1511">
        <v>21159.97</v>
      </c>
      <c r="Q1511">
        <v>38919.949999999997</v>
      </c>
      <c r="R1511">
        <v>2140.4092215300002</v>
      </c>
      <c r="S1511">
        <v>2464.4128235100002</v>
      </c>
      <c r="T1511">
        <v>9532.4392215299995</v>
      </c>
      <c r="U1511">
        <v>4</v>
      </c>
      <c r="V1511">
        <v>2367.64</v>
      </c>
      <c r="W1511" t="s">
        <v>282</v>
      </c>
      <c r="X1511" t="s">
        <v>271</v>
      </c>
      <c r="Y1511" t="s">
        <v>4059</v>
      </c>
      <c r="AA1511" t="s">
        <v>2171</v>
      </c>
      <c r="AB1511" t="s">
        <v>181</v>
      </c>
    </row>
    <row r="1512" spans="1:28" x14ac:dyDescent="0.25">
      <c r="A1512" t="s">
        <v>3849</v>
      </c>
      <c r="B1512" t="s">
        <v>3850</v>
      </c>
      <c r="C1512" t="s">
        <v>646</v>
      </c>
      <c r="D1512" t="s">
        <v>3779</v>
      </c>
      <c r="E1512" t="s">
        <v>647</v>
      </c>
      <c r="F1512" t="s">
        <v>3780</v>
      </c>
      <c r="G1512" t="s">
        <v>769</v>
      </c>
      <c r="H1512" t="s">
        <v>770</v>
      </c>
      <c r="I1512" t="s">
        <v>1184</v>
      </c>
      <c r="J1512" t="s">
        <v>1185</v>
      </c>
      <c r="K1512" t="s">
        <v>166</v>
      </c>
      <c r="L1512" t="s">
        <v>0</v>
      </c>
      <c r="M1512" t="s">
        <v>178</v>
      </c>
      <c r="N1512">
        <v>590.25</v>
      </c>
      <c r="O1512">
        <v>393.25</v>
      </c>
      <c r="P1512">
        <v>14093.17</v>
      </c>
      <c r="Q1512">
        <v>11385.47</v>
      </c>
      <c r="R1512">
        <v>1499.14</v>
      </c>
      <c r="S1512">
        <v>1799.1928932999999</v>
      </c>
      <c r="T1512">
        <v>0</v>
      </c>
      <c r="U1512">
        <v>0</v>
      </c>
      <c r="V1512">
        <v>1499.14</v>
      </c>
      <c r="W1512" t="s">
        <v>1186</v>
      </c>
      <c r="X1512" t="s">
        <v>271</v>
      </c>
      <c r="Y1512" t="s">
        <v>3851</v>
      </c>
      <c r="AA1512" t="s">
        <v>3852</v>
      </c>
      <c r="AB1512" t="s">
        <v>181</v>
      </c>
    </row>
    <row r="1513" spans="1:28" x14ac:dyDescent="0.25">
      <c r="A1513" t="s">
        <v>3834</v>
      </c>
      <c r="B1513" t="s">
        <v>3835</v>
      </c>
      <c r="C1513" t="s">
        <v>646</v>
      </c>
      <c r="D1513" t="s">
        <v>3779</v>
      </c>
      <c r="E1513" t="s">
        <v>647</v>
      </c>
      <c r="F1513" t="s">
        <v>3780</v>
      </c>
      <c r="G1513" t="s">
        <v>769</v>
      </c>
      <c r="H1513" t="s">
        <v>703</v>
      </c>
      <c r="I1513" t="s">
        <v>1251</v>
      </c>
      <c r="J1513" t="s">
        <v>821</v>
      </c>
      <c r="K1513" t="s">
        <v>166</v>
      </c>
      <c r="L1513" t="s">
        <v>0</v>
      </c>
      <c r="M1513" t="s">
        <v>178</v>
      </c>
      <c r="N1513">
        <v>127.58329999999999</v>
      </c>
      <c r="O1513">
        <v>94.583299999999994</v>
      </c>
      <c r="P1513">
        <v>2734.53</v>
      </c>
      <c r="Q1513">
        <v>4607.6400000000003</v>
      </c>
      <c r="R1513">
        <v>1144.1029671900001</v>
      </c>
      <c r="S1513">
        <v>852.39603122000005</v>
      </c>
      <c r="T1513">
        <v>-1.7032809999999999E-2</v>
      </c>
      <c r="U1513">
        <v>0</v>
      </c>
      <c r="V1513">
        <v>1144.1199999999999</v>
      </c>
      <c r="W1513" t="s">
        <v>822</v>
      </c>
      <c r="X1513" t="s">
        <v>269</v>
      </c>
      <c r="Y1513" t="s">
        <v>3836</v>
      </c>
      <c r="AA1513" t="s">
        <v>3837</v>
      </c>
      <c r="AB1513" t="s">
        <v>181</v>
      </c>
    </row>
    <row r="1514" spans="1:28" x14ac:dyDescent="0.25">
      <c r="A1514" t="s">
        <v>4223</v>
      </c>
      <c r="B1514" t="s">
        <v>4224</v>
      </c>
      <c r="C1514" t="s">
        <v>646</v>
      </c>
      <c r="D1514" t="s">
        <v>3779</v>
      </c>
      <c r="E1514" t="s">
        <v>647</v>
      </c>
      <c r="F1514" t="s">
        <v>3780</v>
      </c>
      <c r="G1514" t="s">
        <v>769</v>
      </c>
      <c r="H1514" t="s">
        <v>672</v>
      </c>
      <c r="I1514" t="s">
        <v>4225</v>
      </c>
      <c r="J1514" t="s">
        <v>336</v>
      </c>
      <c r="K1514" t="s">
        <v>166</v>
      </c>
      <c r="L1514" t="s">
        <v>0</v>
      </c>
      <c r="M1514" t="s">
        <v>178</v>
      </c>
      <c r="N1514">
        <v>14</v>
      </c>
      <c r="O1514">
        <v>10</v>
      </c>
      <c r="P1514">
        <v>275.8</v>
      </c>
      <c r="Q1514">
        <v>663.55</v>
      </c>
      <c r="R1514">
        <v>152.88999999999999</v>
      </c>
      <c r="S1514">
        <v>111.37619074</v>
      </c>
      <c r="T1514">
        <v>0</v>
      </c>
      <c r="U1514">
        <v>0</v>
      </c>
      <c r="V1514">
        <v>152.88999999999999</v>
      </c>
      <c r="W1514" t="s">
        <v>461</v>
      </c>
      <c r="X1514" t="s">
        <v>271</v>
      </c>
      <c r="Y1514" t="s">
        <v>4226</v>
      </c>
      <c r="AA1514" t="s">
        <v>4227</v>
      </c>
      <c r="AB1514" t="s">
        <v>181</v>
      </c>
    </row>
    <row r="1515" spans="1:28" x14ac:dyDescent="0.25">
      <c r="A1515" t="s">
        <v>3827</v>
      </c>
      <c r="B1515" t="s">
        <v>3828</v>
      </c>
      <c r="C1515" t="s">
        <v>646</v>
      </c>
      <c r="D1515" t="s">
        <v>3779</v>
      </c>
      <c r="E1515" t="s">
        <v>647</v>
      </c>
      <c r="F1515" t="s">
        <v>3780</v>
      </c>
      <c r="G1515" t="s">
        <v>769</v>
      </c>
      <c r="H1515" t="s">
        <v>679</v>
      </c>
      <c r="I1515" t="s">
        <v>3829</v>
      </c>
      <c r="J1515" t="s">
        <v>3830</v>
      </c>
      <c r="K1515" t="s">
        <v>166</v>
      </c>
      <c r="L1515" t="s">
        <v>0</v>
      </c>
      <c r="M1515" t="s">
        <v>178</v>
      </c>
      <c r="N1515">
        <v>161</v>
      </c>
      <c r="O1515">
        <v>157</v>
      </c>
      <c r="P1515">
        <v>1952.98</v>
      </c>
      <c r="Q1515">
        <v>7331.54</v>
      </c>
      <c r="R1515">
        <v>2397.5134107600002</v>
      </c>
      <c r="S1515">
        <v>1770.3996886100001</v>
      </c>
      <c r="T1515">
        <v>-0.23658924000000001</v>
      </c>
      <c r="U1515">
        <v>0</v>
      </c>
      <c r="V1515">
        <v>2397.75</v>
      </c>
      <c r="W1515" t="s">
        <v>3831</v>
      </c>
      <c r="X1515" t="s">
        <v>271</v>
      </c>
      <c r="Y1515" t="s">
        <v>3832</v>
      </c>
      <c r="AA1515" t="s">
        <v>3833</v>
      </c>
      <c r="AB1515" t="s">
        <v>181</v>
      </c>
    </row>
    <row r="1516" spans="1:28" x14ac:dyDescent="0.25">
      <c r="A1516" t="s">
        <v>4320</v>
      </c>
      <c r="B1516" t="s">
        <v>4321</v>
      </c>
      <c r="C1516" t="s">
        <v>646</v>
      </c>
      <c r="D1516" t="s">
        <v>3779</v>
      </c>
      <c r="E1516" t="s">
        <v>647</v>
      </c>
      <c r="F1516" t="s">
        <v>3780</v>
      </c>
      <c r="G1516" t="s">
        <v>769</v>
      </c>
      <c r="H1516" t="s">
        <v>683</v>
      </c>
      <c r="I1516" t="s">
        <v>1010</v>
      </c>
      <c r="J1516" t="s">
        <v>1011</v>
      </c>
      <c r="K1516" t="s">
        <v>166</v>
      </c>
      <c r="L1516" t="s">
        <v>0</v>
      </c>
      <c r="M1516" t="s">
        <v>178</v>
      </c>
      <c r="N1516">
        <v>1251.8330000000001</v>
      </c>
      <c r="O1516">
        <v>466.83300000000003</v>
      </c>
      <c r="P1516">
        <v>17653.919999999998</v>
      </c>
      <c r="Q1516">
        <v>53697.39</v>
      </c>
      <c r="R1516">
        <v>7521.5999782299996</v>
      </c>
      <c r="S1516">
        <v>6285.6565386800003</v>
      </c>
      <c r="T1516">
        <v>-1.0021769999999999E-2</v>
      </c>
      <c r="U1516">
        <v>0</v>
      </c>
      <c r="V1516">
        <v>7521.61</v>
      </c>
      <c r="W1516" t="s">
        <v>0</v>
      </c>
      <c r="X1516" t="s">
        <v>271</v>
      </c>
      <c r="Y1516" t="s">
        <v>4322</v>
      </c>
      <c r="AA1516" t="s">
        <v>4323</v>
      </c>
      <c r="AB1516" t="s">
        <v>181</v>
      </c>
    </row>
    <row r="1517" spans="1:28" x14ac:dyDescent="0.25">
      <c r="A1517" t="s">
        <v>3865</v>
      </c>
      <c r="B1517" t="s">
        <v>3866</v>
      </c>
      <c r="C1517" t="s">
        <v>646</v>
      </c>
      <c r="D1517" t="s">
        <v>3779</v>
      </c>
      <c r="E1517" t="s">
        <v>647</v>
      </c>
      <c r="F1517" t="s">
        <v>3780</v>
      </c>
      <c r="G1517" t="s">
        <v>769</v>
      </c>
      <c r="H1517" t="s">
        <v>770</v>
      </c>
      <c r="I1517" t="s">
        <v>3867</v>
      </c>
      <c r="J1517" t="s">
        <v>881</v>
      </c>
      <c r="K1517" t="s">
        <v>166</v>
      </c>
      <c r="L1517" t="s">
        <v>0</v>
      </c>
      <c r="M1517" t="s">
        <v>178</v>
      </c>
      <c r="N1517">
        <v>520.5</v>
      </c>
      <c r="O1517">
        <v>221.5</v>
      </c>
      <c r="P1517">
        <v>9175</v>
      </c>
      <c r="Q1517">
        <v>12109.34</v>
      </c>
      <c r="R1517">
        <v>2191.5500000000002</v>
      </c>
      <c r="S1517">
        <v>1678.3176007699999</v>
      </c>
      <c r="T1517">
        <v>0</v>
      </c>
      <c r="U1517">
        <v>0</v>
      </c>
      <c r="V1517">
        <v>2191.5500000000002</v>
      </c>
      <c r="W1517" t="s">
        <v>0</v>
      </c>
      <c r="X1517" t="s">
        <v>271</v>
      </c>
      <c r="Y1517" t="s">
        <v>3868</v>
      </c>
      <c r="AA1517" t="s">
        <v>3869</v>
      </c>
      <c r="AB1517" t="s">
        <v>181</v>
      </c>
    </row>
    <row r="1518" spans="1:28" x14ac:dyDescent="0.25">
      <c r="A1518" t="s">
        <v>4151</v>
      </c>
      <c r="B1518" t="s">
        <v>4152</v>
      </c>
      <c r="C1518" t="s">
        <v>646</v>
      </c>
      <c r="D1518" t="s">
        <v>3779</v>
      </c>
      <c r="E1518" t="s">
        <v>647</v>
      </c>
      <c r="F1518" t="s">
        <v>666</v>
      </c>
      <c r="G1518" t="s">
        <v>666</v>
      </c>
      <c r="H1518" t="s">
        <v>649</v>
      </c>
      <c r="I1518" t="s">
        <v>765</v>
      </c>
      <c r="J1518" t="s">
        <v>436</v>
      </c>
      <c r="K1518" t="s">
        <v>166</v>
      </c>
      <c r="L1518" t="s">
        <v>0</v>
      </c>
      <c r="M1518" t="s">
        <v>178</v>
      </c>
      <c r="N1518">
        <v>206</v>
      </c>
      <c r="O1518">
        <v>174</v>
      </c>
      <c r="P1518">
        <v>6247.28</v>
      </c>
      <c r="Q1518">
        <v>12972.14</v>
      </c>
      <c r="R1518">
        <v>1727.2944439</v>
      </c>
      <c r="S1518">
        <v>992.99170703000004</v>
      </c>
      <c r="T1518">
        <v>4.4438999999999998E-3</v>
      </c>
      <c r="U1518">
        <v>0</v>
      </c>
      <c r="V1518">
        <v>1727.29</v>
      </c>
      <c r="W1518" t="s">
        <v>0</v>
      </c>
      <c r="X1518" t="s">
        <v>271</v>
      </c>
      <c r="Y1518" t="s">
        <v>4153</v>
      </c>
      <c r="AA1518" t="s">
        <v>4154</v>
      </c>
      <c r="AB1518" t="s">
        <v>181</v>
      </c>
    </row>
    <row r="1519" spans="1:28" x14ac:dyDescent="0.25">
      <c r="A1519" t="s">
        <v>3838</v>
      </c>
      <c r="B1519" t="s">
        <v>3839</v>
      </c>
      <c r="C1519" t="s">
        <v>646</v>
      </c>
      <c r="D1519" t="s">
        <v>3779</v>
      </c>
      <c r="E1519" t="s">
        <v>647</v>
      </c>
      <c r="F1519" t="s">
        <v>3780</v>
      </c>
      <c r="G1519" t="s">
        <v>769</v>
      </c>
      <c r="H1519" t="s">
        <v>730</v>
      </c>
      <c r="I1519" t="s">
        <v>906</v>
      </c>
      <c r="J1519" t="s">
        <v>907</v>
      </c>
      <c r="K1519" t="s">
        <v>166</v>
      </c>
      <c r="L1519" t="s">
        <v>0</v>
      </c>
      <c r="M1519" t="s">
        <v>178</v>
      </c>
      <c r="N1519">
        <v>62.833300000000001</v>
      </c>
      <c r="O1519">
        <v>57.833300000000001</v>
      </c>
      <c r="P1519">
        <v>1520.21</v>
      </c>
      <c r="Q1519">
        <v>4066.68</v>
      </c>
      <c r="R1519">
        <v>953.17007916</v>
      </c>
      <c r="S1519">
        <v>500.82477987999999</v>
      </c>
      <c r="T1519">
        <v>-0.58992084</v>
      </c>
      <c r="U1519">
        <v>0</v>
      </c>
      <c r="V1519">
        <v>953.76</v>
      </c>
      <c r="W1519" t="s">
        <v>272</v>
      </c>
      <c r="X1519" t="s">
        <v>269</v>
      </c>
      <c r="Y1519" t="s">
        <v>3840</v>
      </c>
      <c r="AA1519" t="s">
        <v>3841</v>
      </c>
      <c r="AB1519" t="s">
        <v>181</v>
      </c>
    </row>
    <row r="1520" spans="1:28" x14ac:dyDescent="0.25">
      <c r="A1520" t="s">
        <v>4308</v>
      </c>
      <c r="B1520" t="s">
        <v>4309</v>
      </c>
      <c r="C1520" t="s">
        <v>646</v>
      </c>
      <c r="D1520" t="s">
        <v>3779</v>
      </c>
      <c r="E1520" t="s">
        <v>647</v>
      </c>
      <c r="F1520" t="s">
        <v>3780</v>
      </c>
      <c r="G1520" t="s">
        <v>769</v>
      </c>
      <c r="H1520" t="s">
        <v>649</v>
      </c>
      <c r="I1520" t="s">
        <v>1184</v>
      </c>
      <c r="J1520" t="s">
        <v>1185</v>
      </c>
      <c r="K1520" t="s">
        <v>166</v>
      </c>
      <c r="L1520" t="s">
        <v>0</v>
      </c>
      <c r="M1520" t="s">
        <v>178</v>
      </c>
      <c r="N1520">
        <v>87</v>
      </c>
      <c r="O1520">
        <v>79</v>
      </c>
      <c r="P1520">
        <v>2522.31</v>
      </c>
      <c r="Q1520">
        <v>3881.56</v>
      </c>
      <c r="R1520">
        <v>439.71</v>
      </c>
      <c r="S1520">
        <v>350.00487948</v>
      </c>
      <c r="T1520">
        <v>0</v>
      </c>
      <c r="U1520">
        <v>0</v>
      </c>
      <c r="V1520">
        <v>439.71</v>
      </c>
      <c r="W1520" t="s">
        <v>1186</v>
      </c>
      <c r="X1520" t="s">
        <v>271</v>
      </c>
      <c r="Y1520" t="s">
        <v>4310</v>
      </c>
      <c r="AA1520" t="s">
        <v>4311</v>
      </c>
      <c r="AB1520" t="s">
        <v>181</v>
      </c>
    </row>
    <row r="1521" spans="1:28" x14ac:dyDescent="0.25">
      <c r="A1521" t="s">
        <v>4219</v>
      </c>
      <c r="B1521" t="s">
        <v>4220</v>
      </c>
      <c r="C1521" t="s">
        <v>646</v>
      </c>
      <c r="D1521" t="s">
        <v>3779</v>
      </c>
      <c r="E1521" t="s">
        <v>647</v>
      </c>
      <c r="F1521" t="s">
        <v>3780</v>
      </c>
      <c r="G1521" t="s">
        <v>769</v>
      </c>
      <c r="H1521" t="s">
        <v>802</v>
      </c>
      <c r="I1521" t="s">
        <v>1208</v>
      </c>
      <c r="J1521" t="s">
        <v>1209</v>
      </c>
      <c r="K1521" t="s">
        <v>166</v>
      </c>
      <c r="L1521" t="s">
        <v>0</v>
      </c>
      <c r="M1521" t="s">
        <v>178</v>
      </c>
      <c r="N1521">
        <v>66.25</v>
      </c>
      <c r="O1521">
        <v>66</v>
      </c>
      <c r="P1521">
        <v>579.6</v>
      </c>
      <c r="Q1521">
        <v>2764.98</v>
      </c>
      <c r="R1521">
        <v>994.78</v>
      </c>
      <c r="S1521">
        <v>215.59522021999999</v>
      </c>
      <c r="T1521">
        <v>0</v>
      </c>
      <c r="U1521">
        <v>0</v>
      </c>
      <c r="V1521">
        <v>994.78</v>
      </c>
      <c r="W1521" t="s">
        <v>1210</v>
      </c>
      <c r="X1521" t="s">
        <v>271</v>
      </c>
      <c r="Y1521" t="s">
        <v>4221</v>
      </c>
      <c r="AA1521" t="s">
        <v>4222</v>
      </c>
      <c r="AB1521" t="s">
        <v>181</v>
      </c>
    </row>
    <row r="1522" spans="1:28" x14ac:dyDescent="0.25">
      <c r="A1522" t="s">
        <v>3875</v>
      </c>
      <c r="B1522" t="s">
        <v>3876</v>
      </c>
      <c r="C1522" t="s">
        <v>646</v>
      </c>
      <c r="D1522" t="s">
        <v>3779</v>
      </c>
      <c r="E1522" t="s">
        <v>647</v>
      </c>
      <c r="F1522" t="s">
        <v>3780</v>
      </c>
      <c r="G1522" t="s">
        <v>769</v>
      </c>
      <c r="H1522" t="s">
        <v>683</v>
      </c>
      <c r="I1522" t="s">
        <v>1190</v>
      </c>
      <c r="J1522" t="s">
        <v>1191</v>
      </c>
      <c r="K1522" t="s">
        <v>166</v>
      </c>
      <c r="L1522" t="s">
        <v>0</v>
      </c>
      <c r="M1522" t="s">
        <v>178</v>
      </c>
      <c r="N1522">
        <v>1600</v>
      </c>
      <c r="O1522">
        <v>16</v>
      </c>
      <c r="P1522">
        <v>25533.55</v>
      </c>
      <c r="Q1522">
        <v>41125.71</v>
      </c>
      <c r="R1522">
        <v>1951.1961103799999</v>
      </c>
      <c r="S1522">
        <v>2628.96900194</v>
      </c>
      <c r="T1522">
        <v>12327.986110379999</v>
      </c>
      <c r="U1522">
        <v>419.26</v>
      </c>
      <c r="V1522">
        <v>2678.57</v>
      </c>
      <c r="W1522" t="s">
        <v>282</v>
      </c>
      <c r="X1522" t="s">
        <v>271</v>
      </c>
      <c r="Y1522" t="s">
        <v>2170</v>
      </c>
      <c r="AA1522" t="s">
        <v>2171</v>
      </c>
      <c r="AB1522" t="s">
        <v>181</v>
      </c>
    </row>
    <row r="1523" spans="1:28" x14ac:dyDescent="0.25">
      <c r="A1523" t="s">
        <v>4337</v>
      </c>
      <c r="B1523" t="s">
        <v>4338</v>
      </c>
      <c r="C1523" t="s">
        <v>646</v>
      </c>
      <c r="D1523" t="s">
        <v>3779</v>
      </c>
      <c r="E1523" t="s">
        <v>647</v>
      </c>
      <c r="F1523" t="s">
        <v>3780</v>
      </c>
      <c r="G1523" t="s">
        <v>769</v>
      </c>
      <c r="H1523" t="s">
        <v>672</v>
      </c>
      <c r="I1523" t="s">
        <v>4339</v>
      </c>
      <c r="J1523" t="s">
        <v>821</v>
      </c>
      <c r="K1523" t="s">
        <v>166</v>
      </c>
      <c r="L1523" t="s">
        <v>0</v>
      </c>
      <c r="M1523" t="s">
        <v>178</v>
      </c>
      <c r="N1523">
        <v>111</v>
      </c>
      <c r="O1523">
        <v>66</v>
      </c>
      <c r="P1523">
        <v>2258.23</v>
      </c>
      <c r="Q1523">
        <v>5220.92</v>
      </c>
      <c r="R1523">
        <v>794.45527960000004</v>
      </c>
      <c r="S1523">
        <v>804.72725923999997</v>
      </c>
      <c r="T1523">
        <v>0.1152796</v>
      </c>
      <c r="U1523">
        <v>0</v>
      </c>
      <c r="V1523">
        <v>794.34</v>
      </c>
      <c r="W1523" t="s">
        <v>822</v>
      </c>
      <c r="X1523" t="s">
        <v>269</v>
      </c>
      <c r="Y1523" t="s">
        <v>4340</v>
      </c>
      <c r="AA1523" t="s">
        <v>4341</v>
      </c>
      <c r="AB1523" t="s">
        <v>181</v>
      </c>
    </row>
    <row r="1524" spans="1:28" x14ac:dyDescent="0.25">
      <c r="A1524" t="s">
        <v>4123</v>
      </c>
      <c r="B1524" t="s">
        <v>4124</v>
      </c>
      <c r="C1524" t="s">
        <v>646</v>
      </c>
      <c r="D1524" t="s">
        <v>3779</v>
      </c>
      <c r="E1524" t="s">
        <v>647</v>
      </c>
      <c r="F1524" t="s">
        <v>3780</v>
      </c>
      <c r="G1524" t="s">
        <v>769</v>
      </c>
      <c r="H1524" t="s">
        <v>1045</v>
      </c>
      <c r="I1524" t="s">
        <v>746</v>
      </c>
      <c r="J1524" t="s">
        <v>504</v>
      </c>
      <c r="K1524" t="s">
        <v>166</v>
      </c>
      <c r="L1524" t="s">
        <v>0</v>
      </c>
      <c r="M1524" t="s">
        <v>178</v>
      </c>
      <c r="N1524">
        <v>42</v>
      </c>
      <c r="O1524">
        <v>41</v>
      </c>
      <c r="P1524">
        <v>429</v>
      </c>
      <c r="Q1524">
        <v>3200.53</v>
      </c>
      <c r="R1524">
        <v>267.61</v>
      </c>
      <c r="S1524">
        <v>221.26188139000001</v>
      </c>
      <c r="T1524">
        <v>0</v>
      </c>
      <c r="U1524">
        <v>0</v>
      </c>
      <c r="V1524">
        <v>267.61</v>
      </c>
      <c r="W1524" t="s">
        <v>503</v>
      </c>
      <c r="X1524" t="s">
        <v>271</v>
      </c>
      <c r="Y1524" t="s">
        <v>4125</v>
      </c>
      <c r="AA1524" t="s">
        <v>4126</v>
      </c>
      <c r="AB1524" t="s">
        <v>181</v>
      </c>
    </row>
    <row r="1525" spans="1:28" x14ac:dyDescent="0.25">
      <c r="A1525" t="s">
        <v>4002</v>
      </c>
      <c r="B1525" t="s">
        <v>4003</v>
      </c>
      <c r="C1525" t="s">
        <v>646</v>
      </c>
      <c r="D1525" t="s">
        <v>3779</v>
      </c>
      <c r="E1525" t="s">
        <v>647</v>
      </c>
      <c r="F1525" t="s">
        <v>3780</v>
      </c>
      <c r="G1525" t="s">
        <v>769</v>
      </c>
      <c r="H1525" t="s">
        <v>761</v>
      </c>
      <c r="I1525" t="s">
        <v>2635</v>
      </c>
      <c r="J1525" t="s">
        <v>2636</v>
      </c>
      <c r="K1525" t="s">
        <v>166</v>
      </c>
      <c r="L1525" t="s">
        <v>0</v>
      </c>
      <c r="M1525" t="s">
        <v>178</v>
      </c>
      <c r="N1525">
        <v>83</v>
      </c>
      <c r="O1525">
        <v>67</v>
      </c>
      <c r="P1525">
        <v>2613.02</v>
      </c>
      <c r="Q1525">
        <v>3262.21</v>
      </c>
      <c r="R1525">
        <v>971.36</v>
      </c>
      <c r="S1525">
        <v>638.10594710999999</v>
      </c>
      <c r="T1525">
        <v>0</v>
      </c>
      <c r="U1525">
        <v>0</v>
      </c>
      <c r="V1525">
        <v>971.36</v>
      </c>
      <c r="W1525" t="s">
        <v>1609</v>
      </c>
      <c r="X1525" t="s">
        <v>271</v>
      </c>
      <c r="Y1525" t="s">
        <v>4004</v>
      </c>
      <c r="AA1525" t="s">
        <v>4005</v>
      </c>
      <c r="AB1525" t="s">
        <v>181</v>
      </c>
    </row>
    <row r="1526" spans="1:28" x14ac:dyDescent="0.25">
      <c r="A1526" t="s">
        <v>4047</v>
      </c>
      <c r="B1526" t="s">
        <v>4048</v>
      </c>
      <c r="C1526" t="s">
        <v>646</v>
      </c>
      <c r="D1526" t="s">
        <v>3779</v>
      </c>
      <c r="E1526" t="s">
        <v>647</v>
      </c>
      <c r="F1526" t="s">
        <v>666</v>
      </c>
      <c r="G1526" t="s">
        <v>666</v>
      </c>
      <c r="H1526" t="s">
        <v>962</v>
      </c>
      <c r="I1526" t="s">
        <v>2292</v>
      </c>
      <c r="J1526" t="s">
        <v>1847</v>
      </c>
      <c r="K1526" t="s">
        <v>166</v>
      </c>
      <c r="L1526" t="s">
        <v>0</v>
      </c>
      <c r="M1526" t="s">
        <v>178</v>
      </c>
      <c r="N1526">
        <v>138</v>
      </c>
      <c r="O1526">
        <v>46</v>
      </c>
      <c r="P1526">
        <v>3045.53</v>
      </c>
      <c r="Q1526">
        <v>8847.07</v>
      </c>
      <c r="R1526">
        <v>1683.28</v>
      </c>
      <c r="S1526">
        <v>669.39026334000005</v>
      </c>
      <c r="T1526">
        <v>0</v>
      </c>
      <c r="U1526">
        <v>0</v>
      </c>
      <c r="V1526">
        <v>1683.28</v>
      </c>
      <c r="W1526" t="s">
        <v>1848</v>
      </c>
      <c r="X1526" t="s">
        <v>269</v>
      </c>
      <c r="Y1526" t="s">
        <v>4049</v>
      </c>
      <c r="AA1526" t="s">
        <v>4050</v>
      </c>
      <c r="AB1526" t="s">
        <v>181</v>
      </c>
    </row>
    <row r="1527" spans="1:28" x14ac:dyDescent="0.25">
      <c r="A1527" t="s">
        <v>3965</v>
      </c>
      <c r="B1527" t="s">
        <v>3966</v>
      </c>
      <c r="C1527" t="s">
        <v>646</v>
      </c>
      <c r="D1527" t="s">
        <v>3779</v>
      </c>
      <c r="E1527" t="s">
        <v>647</v>
      </c>
      <c r="F1527" t="s">
        <v>3780</v>
      </c>
      <c r="G1527" t="s">
        <v>769</v>
      </c>
      <c r="H1527" t="s">
        <v>683</v>
      </c>
      <c r="I1527" t="s">
        <v>2339</v>
      </c>
      <c r="J1527" t="s">
        <v>2165</v>
      </c>
      <c r="K1527" t="s">
        <v>166</v>
      </c>
      <c r="L1527" t="s">
        <v>0</v>
      </c>
      <c r="M1527" t="s">
        <v>178</v>
      </c>
      <c r="N1527">
        <v>121.5</v>
      </c>
      <c r="O1527">
        <v>108.5</v>
      </c>
      <c r="P1527">
        <v>2798.18</v>
      </c>
      <c r="Q1527">
        <v>3230.67</v>
      </c>
      <c r="R1527">
        <v>-148.11000000000001</v>
      </c>
      <c r="S1527">
        <v>1339.1804870200001</v>
      </c>
      <c r="T1527">
        <v>0</v>
      </c>
      <c r="U1527">
        <v>0</v>
      </c>
      <c r="V1527">
        <v>-148.11000000000001</v>
      </c>
      <c r="W1527" t="s">
        <v>2166</v>
      </c>
      <c r="X1527" t="s">
        <v>271</v>
      </c>
      <c r="Y1527" t="s">
        <v>3967</v>
      </c>
      <c r="AA1527" t="s">
        <v>3968</v>
      </c>
      <c r="AB1527" t="s">
        <v>181</v>
      </c>
    </row>
    <row r="1528" spans="1:28" x14ac:dyDescent="0.25">
      <c r="A1528" t="s">
        <v>3981</v>
      </c>
      <c r="B1528" t="s">
        <v>3982</v>
      </c>
      <c r="C1528" t="s">
        <v>646</v>
      </c>
      <c r="D1528" t="s">
        <v>3779</v>
      </c>
      <c r="E1528" t="s">
        <v>647</v>
      </c>
      <c r="F1528" t="s">
        <v>3780</v>
      </c>
      <c r="G1528" t="s">
        <v>769</v>
      </c>
      <c r="H1528" t="s">
        <v>909</v>
      </c>
      <c r="I1528" t="s">
        <v>2384</v>
      </c>
      <c r="J1528" t="s">
        <v>447</v>
      </c>
      <c r="K1528" t="s">
        <v>166</v>
      </c>
      <c r="L1528" t="s">
        <v>0</v>
      </c>
      <c r="M1528" t="s">
        <v>178</v>
      </c>
      <c r="N1528">
        <v>233.1</v>
      </c>
      <c r="O1528">
        <v>232</v>
      </c>
      <c r="P1528">
        <v>7959.49</v>
      </c>
      <c r="Q1528">
        <v>6033.09</v>
      </c>
      <c r="R1528">
        <v>471.29476947000001</v>
      </c>
      <c r="S1528">
        <v>1342.7374751100001</v>
      </c>
      <c r="T1528">
        <v>0.20476947000000001</v>
      </c>
      <c r="U1528">
        <v>6.26</v>
      </c>
      <c r="V1528">
        <v>477.35</v>
      </c>
      <c r="W1528" t="s">
        <v>446</v>
      </c>
      <c r="X1528" t="s">
        <v>271</v>
      </c>
      <c r="Y1528" t="s">
        <v>3983</v>
      </c>
      <c r="AA1528" t="s">
        <v>3984</v>
      </c>
      <c r="AB1528" t="s">
        <v>181</v>
      </c>
    </row>
    <row r="1529" spans="1:28" x14ac:dyDescent="0.25">
      <c r="A1529" t="s">
        <v>4211</v>
      </c>
      <c r="B1529" t="s">
        <v>4212</v>
      </c>
      <c r="C1529" t="s">
        <v>646</v>
      </c>
      <c r="D1529" t="s">
        <v>3779</v>
      </c>
      <c r="E1529" t="s">
        <v>647</v>
      </c>
      <c r="F1529" t="s">
        <v>3780</v>
      </c>
      <c r="G1529" t="s">
        <v>769</v>
      </c>
      <c r="H1529" t="s">
        <v>909</v>
      </c>
      <c r="I1529" t="s">
        <v>4213</v>
      </c>
      <c r="J1529" t="s">
        <v>437</v>
      </c>
      <c r="K1529" t="s">
        <v>166</v>
      </c>
      <c r="L1529" t="s">
        <v>0</v>
      </c>
      <c r="M1529" t="s">
        <v>178</v>
      </c>
      <c r="N1529">
        <v>114.75</v>
      </c>
      <c r="O1529">
        <v>92.75</v>
      </c>
      <c r="P1529">
        <v>3593.54</v>
      </c>
      <c r="Q1529">
        <v>3894.16</v>
      </c>
      <c r="R1529">
        <v>466.73594184000001</v>
      </c>
      <c r="S1529">
        <v>670.19404239000005</v>
      </c>
      <c r="T1529">
        <v>2.5941840000000001E-2</v>
      </c>
      <c r="U1529">
        <v>0</v>
      </c>
      <c r="V1529">
        <v>466.71</v>
      </c>
      <c r="W1529" t="s">
        <v>510</v>
      </c>
      <c r="X1529" t="s">
        <v>271</v>
      </c>
      <c r="Y1529" t="s">
        <v>4214</v>
      </c>
      <c r="Z1529" t="s">
        <v>4175</v>
      </c>
      <c r="AA1529" t="s">
        <v>4215</v>
      </c>
      <c r="AB1529" t="s">
        <v>181</v>
      </c>
    </row>
    <row r="1530" spans="1:28" x14ac:dyDescent="0.25">
      <c r="A1530" t="s">
        <v>4228</v>
      </c>
      <c r="B1530" t="s">
        <v>4229</v>
      </c>
      <c r="C1530" t="s">
        <v>646</v>
      </c>
      <c r="D1530" t="s">
        <v>3779</v>
      </c>
      <c r="E1530" t="s">
        <v>647</v>
      </c>
      <c r="F1530" t="s">
        <v>3780</v>
      </c>
      <c r="G1530" t="s">
        <v>769</v>
      </c>
      <c r="H1530" t="s">
        <v>1159</v>
      </c>
      <c r="I1530" t="s">
        <v>1971</v>
      </c>
      <c r="J1530" t="s">
        <v>1972</v>
      </c>
      <c r="K1530" t="s">
        <v>166</v>
      </c>
      <c r="L1530" t="s">
        <v>0</v>
      </c>
      <c r="M1530" t="s">
        <v>178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 t="s">
        <v>1973</v>
      </c>
      <c r="X1530" t="s">
        <v>271</v>
      </c>
      <c r="Y1530" t="s">
        <v>4230</v>
      </c>
      <c r="AA1530" t="s">
        <v>4231</v>
      </c>
      <c r="AB1530" t="s">
        <v>181</v>
      </c>
    </row>
    <row r="1531" spans="1:28" x14ac:dyDescent="0.25">
      <c r="A1531" t="s">
        <v>3973</v>
      </c>
      <c r="B1531" t="s">
        <v>3974</v>
      </c>
      <c r="C1531" t="s">
        <v>646</v>
      </c>
      <c r="D1531" t="s">
        <v>3779</v>
      </c>
      <c r="E1531" t="s">
        <v>647</v>
      </c>
      <c r="F1531" t="s">
        <v>3780</v>
      </c>
      <c r="G1531" t="s">
        <v>769</v>
      </c>
      <c r="H1531" t="s">
        <v>770</v>
      </c>
      <c r="I1531" t="s">
        <v>880</v>
      </c>
      <c r="J1531" t="s">
        <v>881</v>
      </c>
      <c r="K1531" t="s">
        <v>166</v>
      </c>
      <c r="L1531" t="s">
        <v>0</v>
      </c>
      <c r="M1531" t="s">
        <v>178</v>
      </c>
      <c r="N1531">
        <v>531.4</v>
      </c>
      <c r="O1531">
        <v>149.4</v>
      </c>
      <c r="P1531">
        <v>7989.7</v>
      </c>
      <c r="Q1531">
        <v>8454.33</v>
      </c>
      <c r="R1531">
        <v>-642.46869564999997</v>
      </c>
      <c r="S1531">
        <v>1452.9408311699999</v>
      </c>
      <c r="T1531">
        <v>57.881304350000001</v>
      </c>
      <c r="U1531">
        <v>506.45</v>
      </c>
      <c r="V1531">
        <v>126.39</v>
      </c>
      <c r="W1531" t="s">
        <v>0</v>
      </c>
      <c r="X1531" t="s">
        <v>271</v>
      </c>
      <c r="Y1531" t="s">
        <v>3975</v>
      </c>
      <c r="AA1531" t="s">
        <v>3976</v>
      </c>
      <c r="AB1531" t="s">
        <v>181</v>
      </c>
    </row>
    <row r="1532" spans="1:28" x14ac:dyDescent="0.25">
      <c r="A1532" t="s">
        <v>4102</v>
      </c>
      <c r="B1532" t="s">
        <v>4103</v>
      </c>
      <c r="C1532" t="s">
        <v>646</v>
      </c>
      <c r="D1532" t="s">
        <v>3779</v>
      </c>
      <c r="E1532" t="s">
        <v>647</v>
      </c>
      <c r="F1532" t="s">
        <v>3780</v>
      </c>
      <c r="G1532" t="s">
        <v>769</v>
      </c>
      <c r="H1532" t="s">
        <v>730</v>
      </c>
      <c r="I1532" t="s">
        <v>4104</v>
      </c>
      <c r="J1532" t="s">
        <v>4105</v>
      </c>
      <c r="K1532" t="s">
        <v>166</v>
      </c>
      <c r="L1532" t="s">
        <v>0</v>
      </c>
      <c r="M1532" t="s">
        <v>178</v>
      </c>
      <c r="N1532">
        <v>257</v>
      </c>
      <c r="O1532">
        <v>253</v>
      </c>
      <c r="P1532">
        <v>6205.3</v>
      </c>
      <c r="Q1532">
        <v>12872.4</v>
      </c>
      <c r="R1532">
        <v>3755.72</v>
      </c>
      <c r="S1532">
        <v>1609.0614539200001</v>
      </c>
      <c r="T1532">
        <v>0</v>
      </c>
      <c r="U1532">
        <v>0</v>
      </c>
      <c r="V1532">
        <v>3755.72</v>
      </c>
      <c r="W1532" t="s">
        <v>4106</v>
      </c>
      <c r="X1532" t="s">
        <v>269</v>
      </c>
      <c r="Y1532" t="s">
        <v>4107</v>
      </c>
      <c r="AA1532" t="s">
        <v>4108</v>
      </c>
      <c r="AB1532" t="s">
        <v>181</v>
      </c>
    </row>
    <row r="1533" spans="1:28" x14ac:dyDescent="0.25">
      <c r="A1533" t="s">
        <v>4060</v>
      </c>
      <c r="B1533" t="s">
        <v>4061</v>
      </c>
      <c r="C1533" t="s">
        <v>646</v>
      </c>
      <c r="D1533" t="s">
        <v>3779</v>
      </c>
      <c r="E1533" t="s">
        <v>647</v>
      </c>
      <c r="F1533" t="s">
        <v>648</v>
      </c>
      <c r="G1533" t="s">
        <v>648</v>
      </c>
      <c r="H1533" t="s">
        <v>683</v>
      </c>
      <c r="I1533" t="s">
        <v>1114</v>
      </c>
      <c r="J1533" t="s">
        <v>1115</v>
      </c>
      <c r="K1533" t="s">
        <v>166</v>
      </c>
      <c r="L1533" t="s">
        <v>0</v>
      </c>
      <c r="M1533" t="s">
        <v>178</v>
      </c>
      <c r="N1533">
        <v>3135</v>
      </c>
      <c r="O1533">
        <v>3070</v>
      </c>
      <c r="P1533">
        <v>71207.44</v>
      </c>
      <c r="Q1533">
        <v>63571.25</v>
      </c>
      <c r="R1533">
        <v>-7626.51</v>
      </c>
      <c r="S1533">
        <v>23808.469721820002</v>
      </c>
      <c r="T1533">
        <v>0</v>
      </c>
      <c r="U1533">
        <v>1735.3</v>
      </c>
      <c r="V1533">
        <v>-5891.21</v>
      </c>
      <c r="W1533" t="s">
        <v>0</v>
      </c>
      <c r="X1533" t="s">
        <v>271</v>
      </c>
      <c r="Y1533" t="s">
        <v>4062</v>
      </c>
      <c r="AA1533" t="s">
        <v>4063</v>
      </c>
      <c r="AB1533" t="s">
        <v>181</v>
      </c>
    </row>
    <row r="1534" spans="1:28" x14ac:dyDescent="0.25">
      <c r="A1534" t="s">
        <v>4159</v>
      </c>
      <c r="B1534" t="s">
        <v>257</v>
      </c>
      <c r="C1534" t="s">
        <v>646</v>
      </c>
      <c r="D1534" t="s">
        <v>3779</v>
      </c>
      <c r="E1534" t="s">
        <v>647</v>
      </c>
      <c r="F1534" t="s">
        <v>3780</v>
      </c>
      <c r="G1534" t="s">
        <v>769</v>
      </c>
      <c r="H1534" t="s">
        <v>672</v>
      </c>
      <c r="I1534" t="s">
        <v>673</v>
      </c>
      <c r="J1534" t="s">
        <v>674</v>
      </c>
      <c r="K1534" t="s">
        <v>166</v>
      </c>
      <c r="L1534" t="s">
        <v>0</v>
      </c>
      <c r="M1534" t="s">
        <v>178</v>
      </c>
      <c r="N1534">
        <v>181</v>
      </c>
      <c r="O1534">
        <v>49</v>
      </c>
      <c r="P1534">
        <v>3142.95</v>
      </c>
      <c r="Q1534">
        <v>11938.63</v>
      </c>
      <c r="R1534">
        <v>3100.88</v>
      </c>
      <c r="S1534">
        <v>134.89149899</v>
      </c>
      <c r="T1534">
        <v>0</v>
      </c>
      <c r="U1534">
        <v>0</v>
      </c>
      <c r="V1534">
        <v>3100.88</v>
      </c>
      <c r="W1534" t="s">
        <v>675</v>
      </c>
      <c r="X1534" t="s">
        <v>271</v>
      </c>
      <c r="Y1534" t="s">
        <v>4160</v>
      </c>
      <c r="AA1534" t="s">
        <v>4161</v>
      </c>
      <c r="AB1534" t="s">
        <v>181</v>
      </c>
    </row>
    <row r="1535" spans="1:28" x14ac:dyDescent="0.25">
      <c r="A1535" t="s">
        <v>4288</v>
      </c>
      <c r="B1535" t="s">
        <v>4289</v>
      </c>
      <c r="C1535" t="s">
        <v>646</v>
      </c>
      <c r="D1535" t="s">
        <v>3779</v>
      </c>
      <c r="E1535" t="s">
        <v>647</v>
      </c>
      <c r="F1535" t="s">
        <v>3780</v>
      </c>
      <c r="G1535" t="s">
        <v>769</v>
      </c>
      <c r="H1535" t="s">
        <v>761</v>
      </c>
      <c r="I1535" t="s">
        <v>1453</v>
      </c>
      <c r="J1535" t="s">
        <v>1454</v>
      </c>
      <c r="K1535" t="s">
        <v>166</v>
      </c>
      <c r="L1535" t="s">
        <v>0</v>
      </c>
      <c r="M1535" t="s">
        <v>178</v>
      </c>
      <c r="N1535">
        <v>38</v>
      </c>
      <c r="O1535">
        <v>32</v>
      </c>
      <c r="P1535">
        <v>1430.86</v>
      </c>
      <c r="Q1535">
        <v>1619.21</v>
      </c>
      <c r="R1535">
        <v>288.62</v>
      </c>
      <c r="S1535">
        <v>359.02542076999998</v>
      </c>
      <c r="T1535">
        <v>0</v>
      </c>
      <c r="U1535">
        <v>0</v>
      </c>
      <c r="V1535">
        <v>288.62</v>
      </c>
      <c r="W1535" t="s">
        <v>1455</v>
      </c>
      <c r="X1535" t="s">
        <v>271</v>
      </c>
      <c r="Y1535" t="s">
        <v>4290</v>
      </c>
      <c r="AA1535" t="s">
        <v>4291</v>
      </c>
      <c r="AB1535" t="s">
        <v>181</v>
      </c>
    </row>
    <row r="1536" spans="1:28" x14ac:dyDescent="0.25">
      <c r="A1536" t="s">
        <v>3960</v>
      </c>
      <c r="B1536" t="s">
        <v>3961</v>
      </c>
      <c r="C1536" t="s">
        <v>646</v>
      </c>
      <c r="D1536" t="s">
        <v>3779</v>
      </c>
      <c r="E1536" t="s">
        <v>647</v>
      </c>
      <c r="F1536" t="s">
        <v>666</v>
      </c>
      <c r="G1536" t="s">
        <v>666</v>
      </c>
      <c r="H1536" t="s">
        <v>703</v>
      </c>
      <c r="I1536" t="s">
        <v>3962</v>
      </c>
      <c r="J1536" t="s">
        <v>575</v>
      </c>
      <c r="K1536" t="s">
        <v>166</v>
      </c>
      <c r="L1536" t="s">
        <v>0</v>
      </c>
      <c r="M1536" t="s">
        <v>178</v>
      </c>
      <c r="N1536">
        <v>651.33330000000001</v>
      </c>
      <c r="O1536">
        <v>13</v>
      </c>
      <c r="P1536">
        <v>7115.04</v>
      </c>
      <c r="Q1536">
        <v>11461.37</v>
      </c>
      <c r="R1536">
        <v>984.79447067000001</v>
      </c>
      <c r="S1536">
        <v>698.58045562999996</v>
      </c>
      <c r="T1536">
        <v>4.4706700000000004E-3</v>
      </c>
      <c r="U1536">
        <v>0</v>
      </c>
      <c r="V1536">
        <v>984.79</v>
      </c>
      <c r="W1536" t="s">
        <v>0</v>
      </c>
      <c r="X1536" t="s">
        <v>271</v>
      </c>
      <c r="Y1536" t="s">
        <v>3963</v>
      </c>
      <c r="AA1536" t="s">
        <v>3964</v>
      </c>
      <c r="AB1536" t="s">
        <v>181</v>
      </c>
    </row>
    <row r="1537" spans="1:28" x14ac:dyDescent="0.25">
      <c r="A1537" t="s">
        <v>4143</v>
      </c>
      <c r="B1537" t="s">
        <v>4144</v>
      </c>
      <c r="C1537" t="s">
        <v>646</v>
      </c>
      <c r="D1537" t="s">
        <v>3779</v>
      </c>
      <c r="E1537" t="s">
        <v>647</v>
      </c>
      <c r="F1537" t="s">
        <v>3780</v>
      </c>
      <c r="G1537" t="s">
        <v>769</v>
      </c>
      <c r="H1537" t="s">
        <v>713</v>
      </c>
      <c r="I1537" t="s">
        <v>1828</v>
      </c>
      <c r="J1537" t="s">
        <v>1829</v>
      </c>
      <c r="K1537" t="s">
        <v>166</v>
      </c>
      <c r="L1537" t="s">
        <v>0</v>
      </c>
      <c r="M1537" t="s">
        <v>178</v>
      </c>
      <c r="N1537">
        <v>320.25</v>
      </c>
      <c r="O1537">
        <v>9.25</v>
      </c>
      <c r="P1537">
        <v>9688.02</v>
      </c>
      <c r="Q1537">
        <v>8056.37</v>
      </c>
      <c r="R1537">
        <v>872.08282987999996</v>
      </c>
      <c r="S1537">
        <v>450.57025535000002</v>
      </c>
      <c r="T1537">
        <v>25.57282988</v>
      </c>
      <c r="U1537">
        <v>0</v>
      </c>
      <c r="V1537">
        <v>846.51</v>
      </c>
      <c r="W1537" t="s">
        <v>1361</v>
      </c>
      <c r="X1537" t="s">
        <v>271</v>
      </c>
      <c r="Y1537" t="s">
        <v>4145</v>
      </c>
      <c r="AA1537" t="s">
        <v>4146</v>
      </c>
      <c r="AB1537" t="s">
        <v>181</v>
      </c>
    </row>
    <row r="1538" spans="1:28" x14ac:dyDescent="0.25">
      <c r="A1538" t="s">
        <v>4228</v>
      </c>
      <c r="B1538" t="s">
        <v>4229</v>
      </c>
      <c r="C1538" t="s">
        <v>646</v>
      </c>
      <c r="D1538" t="s">
        <v>3779</v>
      </c>
      <c r="E1538" t="s">
        <v>647</v>
      </c>
      <c r="F1538" t="s">
        <v>3780</v>
      </c>
      <c r="G1538" t="s">
        <v>769</v>
      </c>
      <c r="H1538" t="s">
        <v>717</v>
      </c>
      <c r="I1538" t="s">
        <v>1971</v>
      </c>
      <c r="J1538" t="s">
        <v>1972</v>
      </c>
      <c r="K1538" t="s">
        <v>166</v>
      </c>
      <c r="L1538" t="s">
        <v>0</v>
      </c>
      <c r="M1538" t="s">
        <v>178</v>
      </c>
      <c r="N1538">
        <v>130</v>
      </c>
      <c r="O1538">
        <v>92</v>
      </c>
      <c r="P1538">
        <v>5823.83</v>
      </c>
      <c r="Q1538">
        <v>18975.37</v>
      </c>
      <c r="R1538">
        <v>4365.4086831900004</v>
      </c>
      <c r="S1538">
        <v>1267.3778147</v>
      </c>
      <c r="T1538">
        <v>1.8683189999999999E-2</v>
      </c>
      <c r="U1538">
        <v>0</v>
      </c>
      <c r="V1538">
        <v>4365.3900000000003</v>
      </c>
      <c r="W1538" t="s">
        <v>1973</v>
      </c>
      <c r="X1538" t="s">
        <v>271</v>
      </c>
      <c r="Y1538" t="s">
        <v>4230</v>
      </c>
      <c r="AA1538" t="s">
        <v>4231</v>
      </c>
      <c r="AB1538" t="s">
        <v>181</v>
      </c>
    </row>
    <row r="1539" spans="1:28" x14ac:dyDescent="0.25">
      <c r="A1539" t="s">
        <v>4098</v>
      </c>
      <c r="B1539" t="s">
        <v>4099</v>
      </c>
      <c r="C1539" t="s">
        <v>646</v>
      </c>
      <c r="D1539" t="s">
        <v>3779</v>
      </c>
      <c r="E1539" t="s">
        <v>647</v>
      </c>
      <c r="F1539" t="s">
        <v>666</v>
      </c>
      <c r="G1539" t="s">
        <v>666</v>
      </c>
      <c r="H1539" t="s">
        <v>730</v>
      </c>
      <c r="I1539" t="s">
        <v>765</v>
      </c>
      <c r="J1539" t="s">
        <v>436</v>
      </c>
      <c r="K1539" t="s">
        <v>166</v>
      </c>
      <c r="L1539" t="s">
        <v>0</v>
      </c>
      <c r="M1539" t="s">
        <v>178</v>
      </c>
      <c r="N1539">
        <v>642</v>
      </c>
      <c r="O1539">
        <v>642</v>
      </c>
      <c r="P1539">
        <v>11903.92</v>
      </c>
      <c r="Q1539">
        <v>29429.200000000001</v>
      </c>
      <c r="R1539">
        <v>2975.76</v>
      </c>
      <c r="S1539">
        <v>4655.2974310099999</v>
      </c>
      <c r="T1539">
        <v>0</v>
      </c>
      <c r="U1539">
        <v>0</v>
      </c>
      <c r="V1539">
        <v>2975.76</v>
      </c>
      <c r="W1539" t="s">
        <v>0</v>
      </c>
      <c r="X1539" t="s">
        <v>271</v>
      </c>
      <c r="Y1539" t="s">
        <v>4100</v>
      </c>
      <c r="AA1539" t="s">
        <v>4101</v>
      </c>
      <c r="AB1539" t="s">
        <v>181</v>
      </c>
    </row>
    <row r="1540" spans="1:28" x14ac:dyDescent="0.25">
      <c r="A1540" t="s">
        <v>4002</v>
      </c>
      <c r="B1540" t="s">
        <v>4003</v>
      </c>
      <c r="C1540" t="s">
        <v>646</v>
      </c>
      <c r="D1540" t="s">
        <v>3779</v>
      </c>
      <c r="E1540" t="s">
        <v>647</v>
      </c>
      <c r="F1540" t="s">
        <v>3780</v>
      </c>
      <c r="G1540" t="s">
        <v>769</v>
      </c>
      <c r="H1540" t="s">
        <v>679</v>
      </c>
      <c r="I1540" t="s">
        <v>2635</v>
      </c>
      <c r="J1540" t="s">
        <v>2636</v>
      </c>
      <c r="K1540" t="s">
        <v>166</v>
      </c>
      <c r="L1540" t="s">
        <v>0</v>
      </c>
      <c r="M1540" t="s">
        <v>178</v>
      </c>
      <c r="N1540">
        <v>3.0832999999999999</v>
      </c>
      <c r="O1540">
        <v>8.3299999999999999E-2</v>
      </c>
      <c r="P1540">
        <v>15.61</v>
      </c>
      <c r="Q1540">
        <v>48.59</v>
      </c>
      <c r="R1540">
        <v>13.6</v>
      </c>
      <c r="S1540">
        <v>1.60072967</v>
      </c>
      <c r="T1540">
        <v>0</v>
      </c>
      <c r="U1540">
        <v>0</v>
      </c>
      <c r="V1540">
        <v>13.6</v>
      </c>
      <c r="W1540" t="s">
        <v>1609</v>
      </c>
      <c r="X1540" t="s">
        <v>271</v>
      </c>
      <c r="Y1540" t="s">
        <v>4004</v>
      </c>
      <c r="AA1540" t="s">
        <v>4005</v>
      </c>
      <c r="AB1540" t="s">
        <v>181</v>
      </c>
    </row>
    <row r="1541" spans="1:28" x14ac:dyDescent="0.25">
      <c r="A1541" t="s">
        <v>4132</v>
      </c>
      <c r="B1541" t="s">
        <v>4133</v>
      </c>
      <c r="C1541" t="s">
        <v>646</v>
      </c>
      <c r="D1541" t="s">
        <v>3779</v>
      </c>
      <c r="E1541" t="s">
        <v>647</v>
      </c>
      <c r="F1541" t="s">
        <v>666</v>
      </c>
      <c r="G1541" t="s">
        <v>666</v>
      </c>
      <c r="H1541" t="s">
        <v>730</v>
      </c>
      <c r="I1541" t="s">
        <v>3911</v>
      </c>
      <c r="J1541" t="s">
        <v>355</v>
      </c>
      <c r="K1541" t="s">
        <v>166</v>
      </c>
      <c r="L1541" t="s">
        <v>0</v>
      </c>
      <c r="M1541" t="s">
        <v>178</v>
      </c>
      <c r="N1541">
        <v>21</v>
      </c>
      <c r="O1541">
        <v>21</v>
      </c>
      <c r="P1541">
        <v>259.58</v>
      </c>
      <c r="Q1541">
        <v>1130.2</v>
      </c>
      <c r="R1541">
        <v>360.89</v>
      </c>
      <c r="S1541">
        <v>120.54472007</v>
      </c>
      <c r="T1541">
        <v>0</v>
      </c>
      <c r="U1541">
        <v>0</v>
      </c>
      <c r="V1541">
        <v>360.89</v>
      </c>
      <c r="W1541" t="s">
        <v>0</v>
      </c>
      <c r="X1541" t="s">
        <v>271</v>
      </c>
      <c r="Y1541" t="s">
        <v>4134</v>
      </c>
      <c r="AA1541" t="s">
        <v>3894</v>
      </c>
      <c r="AB1541" t="s">
        <v>181</v>
      </c>
    </row>
    <row r="1542" spans="1:28" x14ac:dyDescent="0.25">
      <c r="A1542" t="s">
        <v>3827</v>
      </c>
      <c r="B1542" t="s">
        <v>3828</v>
      </c>
      <c r="C1542" t="s">
        <v>646</v>
      </c>
      <c r="D1542" t="s">
        <v>3779</v>
      </c>
      <c r="E1542" t="s">
        <v>647</v>
      </c>
      <c r="F1542" t="s">
        <v>3780</v>
      </c>
      <c r="G1542" t="s">
        <v>769</v>
      </c>
      <c r="H1542" t="s">
        <v>683</v>
      </c>
      <c r="I1542" t="s">
        <v>3829</v>
      </c>
      <c r="J1542" t="s">
        <v>3830</v>
      </c>
      <c r="K1542" t="s">
        <v>166</v>
      </c>
      <c r="L1542" t="s">
        <v>0</v>
      </c>
      <c r="M1542" t="s">
        <v>178</v>
      </c>
      <c r="N1542">
        <v>219</v>
      </c>
      <c r="O1542">
        <v>195</v>
      </c>
      <c r="P1542">
        <v>1904</v>
      </c>
      <c r="Q1542">
        <v>9676.41</v>
      </c>
      <c r="R1542">
        <v>4641.6895170799999</v>
      </c>
      <c r="S1542">
        <v>1597.72177898</v>
      </c>
      <c r="T1542">
        <v>-4.8292000000000002E-4</v>
      </c>
      <c r="U1542">
        <v>0</v>
      </c>
      <c r="V1542">
        <v>4641.6899999999996</v>
      </c>
      <c r="W1542" t="s">
        <v>3831</v>
      </c>
      <c r="X1542" t="s">
        <v>271</v>
      </c>
      <c r="Y1542" t="s">
        <v>3832</v>
      </c>
      <c r="AA1542" t="s">
        <v>3833</v>
      </c>
      <c r="AB1542" t="s">
        <v>181</v>
      </c>
    </row>
    <row r="1543" spans="1:28" x14ac:dyDescent="0.25">
      <c r="A1543" t="s">
        <v>3865</v>
      </c>
      <c r="B1543" t="s">
        <v>3866</v>
      </c>
      <c r="C1543" t="s">
        <v>646</v>
      </c>
      <c r="D1543" t="s">
        <v>3779</v>
      </c>
      <c r="E1543" t="s">
        <v>647</v>
      </c>
      <c r="F1543" t="s">
        <v>3780</v>
      </c>
      <c r="G1543" t="s">
        <v>769</v>
      </c>
      <c r="H1543" t="s">
        <v>761</v>
      </c>
      <c r="I1543" t="s">
        <v>3867</v>
      </c>
      <c r="J1543" t="s">
        <v>881</v>
      </c>
      <c r="K1543" t="s">
        <v>166</v>
      </c>
      <c r="L1543" t="s">
        <v>0</v>
      </c>
      <c r="M1543" t="s">
        <v>178</v>
      </c>
      <c r="N1543">
        <v>13</v>
      </c>
      <c r="O1543">
        <v>13</v>
      </c>
      <c r="P1543">
        <v>494.92</v>
      </c>
      <c r="Q1543">
        <v>587.16999999999996</v>
      </c>
      <c r="R1543">
        <v>131.93</v>
      </c>
      <c r="S1543">
        <v>114.95219556000001</v>
      </c>
      <c r="T1543">
        <v>0</v>
      </c>
      <c r="U1543">
        <v>0</v>
      </c>
      <c r="V1543">
        <v>131.93</v>
      </c>
      <c r="W1543" t="s">
        <v>0</v>
      </c>
      <c r="X1543" t="s">
        <v>271</v>
      </c>
      <c r="Y1543" t="s">
        <v>3868</v>
      </c>
      <c r="AA1543" t="s">
        <v>3869</v>
      </c>
      <c r="AB1543" t="s">
        <v>181</v>
      </c>
    </row>
    <row r="1544" spans="1:28" x14ac:dyDescent="0.25">
      <c r="A1544" t="s">
        <v>3944</v>
      </c>
      <c r="B1544" t="s">
        <v>3945</v>
      </c>
      <c r="C1544" t="s">
        <v>646</v>
      </c>
      <c r="D1544" t="s">
        <v>3779</v>
      </c>
      <c r="E1544" t="s">
        <v>647</v>
      </c>
      <c r="F1544" t="s">
        <v>3780</v>
      </c>
      <c r="G1544" t="s">
        <v>769</v>
      </c>
      <c r="H1544" t="s">
        <v>802</v>
      </c>
      <c r="I1544" t="s">
        <v>798</v>
      </c>
      <c r="J1544" t="s">
        <v>524</v>
      </c>
      <c r="K1544" t="s">
        <v>166</v>
      </c>
      <c r="L1544" t="s">
        <v>0</v>
      </c>
      <c r="M1544" t="s">
        <v>178</v>
      </c>
      <c r="N1544">
        <v>26</v>
      </c>
      <c r="O1544">
        <v>1</v>
      </c>
      <c r="P1544">
        <v>122</v>
      </c>
      <c r="Q1544">
        <v>702.65</v>
      </c>
      <c r="R1544">
        <v>166.77</v>
      </c>
      <c r="S1544">
        <v>13.10771665</v>
      </c>
      <c r="T1544">
        <v>0</v>
      </c>
      <c r="U1544">
        <v>0</v>
      </c>
      <c r="V1544">
        <v>166.77</v>
      </c>
      <c r="W1544" t="s">
        <v>258</v>
      </c>
      <c r="X1544" t="s">
        <v>271</v>
      </c>
      <c r="Y1544" t="s">
        <v>3946</v>
      </c>
      <c r="AA1544" t="s">
        <v>3947</v>
      </c>
      <c r="AB1544" t="s">
        <v>181</v>
      </c>
    </row>
    <row r="1545" spans="1:28" x14ac:dyDescent="0.25">
      <c r="A1545" t="s">
        <v>4361</v>
      </c>
      <c r="B1545" t="s">
        <v>4362</v>
      </c>
      <c r="C1545" t="s">
        <v>646</v>
      </c>
      <c r="D1545" t="s">
        <v>3779</v>
      </c>
      <c r="E1545" t="s">
        <v>647</v>
      </c>
      <c r="F1545" t="s">
        <v>3780</v>
      </c>
      <c r="G1545" t="s">
        <v>769</v>
      </c>
      <c r="H1545" t="s">
        <v>730</v>
      </c>
      <c r="I1545" t="s">
        <v>1712</v>
      </c>
      <c r="J1545" t="s">
        <v>335</v>
      </c>
      <c r="K1545" t="s">
        <v>166</v>
      </c>
      <c r="L1545" t="s">
        <v>0</v>
      </c>
      <c r="M1545" t="s">
        <v>178</v>
      </c>
      <c r="N1545">
        <v>79</v>
      </c>
      <c r="O1545">
        <v>3</v>
      </c>
      <c r="P1545">
        <v>3099.62</v>
      </c>
      <c r="Q1545">
        <v>906.84</v>
      </c>
      <c r="R1545">
        <v>301</v>
      </c>
      <c r="S1545">
        <v>152.54532011000001</v>
      </c>
      <c r="T1545">
        <v>0</v>
      </c>
      <c r="U1545">
        <v>0</v>
      </c>
      <c r="V1545">
        <v>301</v>
      </c>
      <c r="W1545" t="s">
        <v>572</v>
      </c>
      <c r="X1545" t="s">
        <v>271</v>
      </c>
      <c r="Y1545" t="s">
        <v>4363</v>
      </c>
      <c r="AA1545" t="s">
        <v>4364</v>
      </c>
      <c r="AB1545" t="s">
        <v>181</v>
      </c>
    </row>
    <row r="1546" spans="1:28" x14ac:dyDescent="0.25">
      <c r="A1546" t="s">
        <v>4252</v>
      </c>
      <c r="B1546" t="s">
        <v>4253</v>
      </c>
      <c r="C1546" t="s">
        <v>646</v>
      </c>
      <c r="D1546" t="s">
        <v>3779</v>
      </c>
      <c r="E1546" t="s">
        <v>647</v>
      </c>
      <c r="F1546" t="s">
        <v>3780</v>
      </c>
      <c r="G1546" t="s">
        <v>769</v>
      </c>
      <c r="H1546" t="s">
        <v>1175</v>
      </c>
      <c r="I1546" t="s">
        <v>1046</v>
      </c>
      <c r="J1546" t="s">
        <v>971</v>
      </c>
      <c r="K1546" t="s">
        <v>166</v>
      </c>
      <c r="L1546" t="s">
        <v>0</v>
      </c>
      <c r="M1546" t="s">
        <v>178</v>
      </c>
      <c r="N1546">
        <v>10</v>
      </c>
      <c r="O1546">
        <v>10</v>
      </c>
      <c r="P1546">
        <v>150</v>
      </c>
      <c r="Q1546">
        <v>268.10000000000002</v>
      </c>
      <c r="R1546">
        <v>66.400000000000006</v>
      </c>
      <c r="S1546">
        <v>42</v>
      </c>
      <c r="T1546">
        <v>0</v>
      </c>
      <c r="U1546">
        <v>0</v>
      </c>
      <c r="V1546">
        <v>66.400000000000006</v>
      </c>
      <c r="W1546" t="s">
        <v>972</v>
      </c>
      <c r="X1546" t="s">
        <v>269</v>
      </c>
      <c r="Y1546" t="s">
        <v>4254</v>
      </c>
      <c r="AA1546" t="s">
        <v>4255</v>
      </c>
      <c r="AB1546" t="s">
        <v>181</v>
      </c>
    </row>
    <row r="1547" spans="1:28" x14ac:dyDescent="0.25">
      <c r="A1547" t="s">
        <v>4320</v>
      </c>
      <c r="B1547" t="s">
        <v>4321</v>
      </c>
      <c r="C1547" t="s">
        <v>646</v>
      </c>
      <c r="D1547" t="s">
        <v>3779</v>
      </c>
      <c r="E1547" t="s">
        <v>647</v>
      </c>
      <c r="F1547" t="s">
        <v>3780</v>
      </c>
      <c r="G1547" t="s">
        <v>769</v>
      </c>
      <c r="H1547" t="s">
        <v>730</v>
      </c>
      <c r="I1547" t="s">
        <v>1010</v>
      </c>
      <c r="J1547" t="s">
        <v>1011</v>
      </c>
      <c r="K1547" t="s">
        <v>166</v>
      </c>
      <c r="L1547" t="s">
        <v>0</v>
      </c>
      <c r="M1547" t="s">
        <v>178</v>
      </c>
      <c r="N1547">
        <v>54</v>
      </c>
      <c r="O1547">
        <v>0</v>
      </c>
      <c r="P1547">
        <v>2700</v>
      </c>
      <c r="Q1547">
        <v>466</v>
      </c>
      <c r="R1547">
        <v>92.96</v>
      </c>
      <c r="S1547">
        <v>16.230789699999999</v>
      </c>
      <c r="T1547">
        <v>0</v>
      </c>
      <c r="U1547">
        <v>0</v>
      </c>
      <c r="V1547">
        <v>92.96</v>
      </c>
      <c r="W1547" t="s">
        <v>0</v>
      </c>
      <c r="X1547" t="s">
        <v>271</v>
      </c>
      <c r="Y1547" t="s">
        <v>4322</v>
      </c>
      <c r="AA1547" t="s">
        <v>4323</v>
      </c>
      <c r="AB1547" t="s">
        <v>181</v>
      </c>
    </row>
    <row r="1548" spans="1:28" x14ac:dyDescent="0.25">
      <c r="A1548" t="s">
        <v>3865</v>
      </c>
      <c r="B1548" t="s">
        <v>3866</v>
      </c>
      <c r="C1548" t="s">
        <v>646</v>
      </c>
      <c r="D1548" t="s">
        <v>3779</v>
      </c>
      <c r="E1548" t="s">
        <v>647</v>
      </c>
      <c r="F1548" t="s">
        <v>3780</v>
      </c>
      <c r="G1548" t="s">
        <v>769</v>
      </c>
      <c r="H1548" t="s">
        <v>1515</v>
      </c>
      <c r="I1548" t="s">
        <v>3867</v>
      </c>
      <c r="J1548" t="s">
        <v>881</v>
      </c>
      <c r="K1548" t="s">
        <v>166</v>
      </c>
      <c r="L1548" t="s">
        <v>0</v>
      </c>
      <c r="M1548" t="s">
        <v>178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 t="s">
        <v>0</v>
      </c>
      <c r="X1548" t="s">
        <v>271</v>
      </c>
      <c r="Y1548" t="s">
        <v>3868</v>
      </c>
      <c r="AA1548" t="s">
        <v>3869</v>
      </c>
      <c r="AB1548" t="s">
        <v>181</v>
      </c>
    </row>
    <row r="1549" spans="1:28" x14ac:dyDescent="0.25">
      <c r="A1549" t="s">
        <v>4043</v>
      </c>
      <c r="B1549" t="s">
        <v>4044</v>
      </c>
      <c r="C1549" t="s">
        <v>646</v>
      </c>
      <c r="D1549" t="s">
        <v>3779</v>
      </c>
      <c r="E1549" t="s">
        <v>647</v>
      </c>
      <c r="F1549" t="s">
        <v>666</v>
      </c>
      <c r="G1549" t="s">
        <v>666</v>
      </c>
      <c r="H1549" t="s">
        <v>802</v>
      </c>
      <c r="I1549" t="s">
        <v>1431</v>
      </c>
      <c r="J1549" t="s">
        <v>1432</v>
      </c>
      <c r="K1549" t="s">
        <v>166</v>
      </c>
      <c r="L1549" t="s">
        <v>0</v>
      </c>
      <c r="M1549" t="s">
        <v>178</v>
      </c>
      <c r="N1549">
        <v>50.124899999999997</v>
      </c>
      <c r="O1549">
        <v>42.249899999999997</v>
      </c>
      <c r="P1549">
        <v>650.19000000000005</v>
      </c>
      <c r="Q1549">
        <v>2843.69</v>
      </c>
      <c r="R1549">
        <v>530.69000000000005</v>
      </c>
      <c r="S1549">
        <v>368.20928420000001</v>
      </c>
      <c r="T1549">
        <v>0</v>
      </c>
      <c r="U1549">
        <v>0</v>
      </c>
      <c r="V1549">
        <v>530.69000000000005</v>
      </c>
      <c r="W1549" t="s">
        <v>1433</v>
      </c>
      <c r="X1549" t="s">
        <v>271</v>
      </c>
      <c r="Y1549" t="s">
        <v>4045</v>
      </c>
      <c r="AA1549" t="s">
        <v>4046</v>
      </c>
      <c r="AB1549" t="s">
        <v>181</v>
      </c>
    </row>
    <row r="1550" spans="1:28" x14ac:dyDescent="0.25">
      <c r="A1550" t="s">
        <v>3842</v>
      </c>
      <c r="B1550" t="s">
        <v>3843</v>
      </c>
      <c r="C1550" t="s">
        <v>646</v>
      </c>
      <c r="D1550" t="s">
        <v>3779</v>
      </c>
      <c r="E1550" t="s">
        <v>647</v>
      </c>
      <c r="F1550" t="s">
        <v>3780</v>
      </c>
      <c r="G1550" t="s">
        <v>769</v>
      </c>
      <c r="H1550" t="s">
        <v>683</v>
      </c>
      <c r="I1550" t="s">
        <v>3844</v>
      </c>
      <c r="J1550" t="s">
        <v>3845</v>
      </c>
      <c r="K1550" t="s">
        <v>166</v>
      </c>
      <c r="L1550" t="s">
        <v>0</v>
      </c>
      <c r="M1550" t="s">
        <v>178</v>
      </c>
      <c r="N1550">
        <v>408</v>
      </c>
      <c r="O1550">
        <v>224</v>
      </c>
      <c r="P1550">
        <v>7129.27</v>
      </c>
      <c r="Q1550">
        <v>20239.98</v>
      </c>
      <c r="R1550">
        <v>3425.5078798700001</v>
      </c>
      <c r="S1550">
        <v>3054.7336617199999</v>
      </c>
      <c r="T1550">
        <v>0.31787987000000001</v>
      </c>
      <c r="U1550">
        <v>110</v>
      </c>
      <c r="V1550">
        <v>3535.19</v>
      </c>
      <c r="W1550" t="s">
        <v>3846</v>
      </c>
      <c r="X1550" t="s">
        <v>271</v>
      </c>
      <c r="Y1550" t="s">
        <v>3847</v>
      </c>
      <c r="AA1550" t="s">
        <v>3848</v>
      </c>
      <c r="AB1550" t="s">
        <v>181</v>
      </c>
    </row>
    <row r="1551" spans="1:28" x14ac:dyDescent="0.25">
      <c r="A1551" t="s">
        <v>4228</v>
      </c>
      <c r="B1551" t="s">
        <v>4229</v>
      </c>
      <c r="C1551" t="s">
        <v>646</v>
      </c>
      <c r="D1551" t="s">
        <v>3779</v>
      </c>
      <c r="E1551" t="s">
        <v>647</v>
      </c>
      <c r="F1551" t="s">
        <v>3780</v>
      </c>
      <c r="G1551" t="s">
        <v>769</v>
      </c>
      <c r="H1551" t="s">
        <v>649</v>
      </c>
      <c r="I1551" t="s">
        <v>1971</v>
      </c>
      <c r="J1551" t="s">
        <v>1972</v>
      </c>
      <c r="K1551" t="s">
        <v>166</v>
      </c>
      <c r="L1551" t="s">
        <v>0</v>
      </c>
      <c r="M1551" t="s">
        <v>178</v>
      </c>
      <c r="N1551">
        <v>734</v>
      </c>
      <c r="O1551">
        <v>680</v>
      </c>
      <c r="P1551">
        <v>15384.84</v>
      </c>
      <c r="Q1551">
        <v>43484.81</v>
      </c>
      <c r="R1551">
        <v>7482.91</v>
      </c>
      <c r="S1551">
        <v>3834.0280676100001</v>
      </c>
      <c r="T1551">
        <v>0</v>
      </c>
      <c r="U1551">
        <v>0</v>
      </c>
      <c r="V1551">
        <v>7482.91</v>
      </c>
      <c r="W1551" t="s">
        <v>1973</v>
      </c>
      <c r="X1551" t="s">
        <v>271</v>
      </c>
      <c r="Y1551" t="s">
        <v>4230</v>
      </c>
      <c r="AA1551" t="s">
        <v>4231</v>
      </c>
      <c r="AB1551" t="s">
        <v>181</v>
      </c>
    </row>
    <row r="1552" spans="1:28" x14ac:dyDescent="0.25">
      <c r="A1552" t="s">
        <v>4113</v>
      </c>
      <c r="B1552" t="s">
        <v>4114</v>
      </c>
      <c r="C1552" t="s">
        <v>646</v>
      </c>
      <c r="D1552" t="s">
        <v>3779</v>
      </c>
      <c r="E1552" t="s">
        <v>647</v>
      </c>
      <c r="F1552" t="s">
        <v>3780</v>
      </c>
      <c r="G1552" t="s">
        <v>769</v>
      </c>
      <c r="H1552" t="s">
        <v>962</v>
      </c>
      <c r="I1552" t="s">
        <v>1913</v>
      </c>
      <c r="J1552" t="s">
        <v>1914</v>
      </c>
      <c r="K1552" t="s">
        <v>166</v>
      </c>
      <c r="L1552" t="s">
        <v>0</v>
      </c>
      <c r="M1552" t="s">
        <v>178</v>
      </c>
      <c r="N1552">
        <v>132.25</v>
      </c>
      <c r="O1552">
        <v>76</v>
      </c>
      <c r="P1552">
        <v>2575.77</v>
      </c>
      <c r="Q1552">
        <v>9840.77</v>
      </c>
      <c r="R1552">
        <v>2433.0511072700001</v>
      </c>
      <c r="S1552">
        <v>621.04426113</v>
      </c>
      <c r="T1552">
        <v>3.1107269999999999E-2</v>
      </c>
      <c r="U1552">
        <v>0</v>
      </c>
      <c r="V1552">
        <v>2433.02</v>
      </c>
      <c r="W1552" t="s">
        <v>1915</v>
      </c>
      <c r="X1552" t="s">
        <v>269</v>
      </c>
      <c r="Y1552" t="s">
        <v>4115</v>
      </c>
      <c r="AA1552" t="s">
        <v>4116</v>
      </c>
      <c r="AB1552" t="s">
        <v>181</v>
      </c>
    </row>
    <row r="1553" spans="1:28" x14ac:dyDescent="0.25">
      <c r="A1553" t="s">
        <v>3797</v>
      </c>
      <c r="B1553" t="s">
        <v>3798</v>
      </c>
      <c r="C1553" t="s">
        <v>646</v>
      </c>
      <c r="D1553" t="s">
        <v>3779</v>
      </c>
      <c r="E1553" t="s">
        <v>647</v>
      </c>
      <c r="F1553" t="s">
        <v>3780</v>
      </c>
      <c r="G1553" t="s">
        <v>769</v>
      </c>
      <c r="H1553" t="s">
        <v>713</v>
      </c>
      <c r="I1553" t="s">
        <v>725</v>
      </c>
      <c r="J1553" t="s">
        <v>726</v>
      </c>
      <c r="K1553" t="s">
        <v>166</v>
      </c>
      <c r="L1553" t="s">
        <v>0</v>
      </c>
      <c r="M1553" t="s">
        <v>178</v>
      </c>
      <c r="N1553">
        <v>2033.5003999999999</v>
      </c>
      <c r="O1553">
        <v>1262.1670999999999</v>
      </c>
      <c r="P1553">
        <v>54409.79</v>
      </c>
      <c r="Q1553">
        <v>25201.8</v>
      </c>
      <c r="R1553">
        <v>3747.6190645000001</v>
      </c>
      <c r="S1553">
        <v>2110.9462444999999</v>
      </c>
      <c r="T1553">
        <v>212.97906449999999</v>
      </c>
      <c r="U1553">
        <v>17.12</v>
      </c>
      <c r="V1553">
        <v>3748.38</v>
      </c>
      <c r="W1553" t="s">
        <v>0</v>
      </c>
      <c r="X1553" t="s">
        <v>271</v>
      </c>
      <c r="Y1553" t="s">
        <v>3799</v>
      </c>
      <c r="AA1553" t="s">
        <v>3800</v>
      </c>
      <c r="AB1553" t="s">
        <v>181</v>
      </c>
    </row>
    <row r="1554" spans="1:28" x14ac:dyDescent="0.25">
      <c r="A1554" t="s">
        <v>4117</v>
      </c>
      <c r="B1554" t="s">
        <v>4118</v>
      </c>
      <c r="C1554" t="s">
        <v>646</v>
      </c>
      <c r="D1554" t="s">
        <v>3779</v>
      </c>
      <c r="E1554" t="s">
        <v>647</v>
      </c>
      <c r="F1554" t="s">
        <v>3780</v>
      </c>
      <c r="G1554" t="s">
        <v>769</v>
      </c>
      <c r="H1554" t="s">
        <v>770</v>
      </c>
      <c r="I1554" t="s">
        <v>1190</v>
      </c>
      <c r="J1554" t="s">
        <v>1191</v>
      </c>
      <c r="K1554" t="s">
        <v>166</v>
      </c>
      <c r="L1554" t="s">
        <v>0</v>
      </c>
      <c r="M1554" t="s">
        <v>178</v>
      </c>
      <c r="N1554">
        <v>507</v>
      </c>
      <c r="O1554">
        <v>317</v>
      </c>
      <c r="P1554">
        <v>9246</v>
      </c>
      <c r="Q1554">
        <v>12941.62</v>
      </c>
      <c r="R1554">
        <v>931.31</v>
      </c>
      <c r="S1554">
        <v>1045.34050888</v>
      </c>
      <c r="T1554">
        <v>0</v>
      </c>
      <c r="U1554">
        <v>0</v>
      </c>
      <c r="V1554">
        <v>931.31</v>
      </c>
      <c r="W1554" t="s">
        <v>282</v>
      </c>
      <c r="X1554" t="s">
        <v>271</v>
      </c>
      <c r="Y1554" t="s">
        <v>2170</v>
      </c>
      <c r="AA1554" t="s">
        <v>2171</v>
      </c>
      <c r="AB1554" t="s">
        <v>181</v>
      </c>
    </row>
    <row r="1555" spans="1:28" x14ac:dyDescent="0.25">
      <c r="A1555" t="s">
        <v>4022</v>
      </c>
      <c r="B1555" t="s">
        <v>4023</v>
      </c>
      <c r="C1555" t="s">
        <v>646</v>
      </c>
      <c r="D1555" t="s">
        <v>3779</v>
      </c>
      <c r="E1555" t="s">
        <v>647</v>
      </c>
      <c r="F1555" t="s">
        <v>3780</v>
      </c>
      <c r="G1555" t="s">
        <v>769</v>
      </c>
      <c r="H1555" t="s">
        <v>802</v>
      </c>
      <c r="I1555" t="s">
        <v>4024</v>
      </c>
      <c r="J1555" t="s">
        <v>447</v>
      </c>
      <c r="K1555" t="s">
        <v>166</v>
      </c>
      <c r="L1555" t="s">
        <v>0</v>
      </c>
      <c r="M1555" t="s">
        <v>178</v>
      </c>
      <c r="N1555">
        <v>190.61660000000001</v>
      </c>
      <c r="O1555">
        <v>139.16659999999999</v>
      </c>
      <c r="P1555">
        <v>2685.79</v>
      </c>
      <c r="Q1555">
        <v>10287.14</v>
      </c>
      <c r="R1555">
        <v>1762.19</v>
      </c>
      <c r="S1555">
        <v>863.26907836999999</v>
      </c>
      <c r="T1555">
        <v>0</v>
      </c>
      <c r="U1555">
        <v>0</v>
      </c>
      <c r="V1555">
        <v>1762.19</v>
      </c>
      <c r="W1555" t="s">
        <v>446</v>
      </c>
      <c r="X1555" t="s">
        <v>271</v>
      </c>
      <c r="Y1555" t="s">
        <v>4025</v>
      </c>
      <c r="AA1555" t="s">
        <v>4026</v>
      </c>
      <c r="AB1555" t="s">
        <v>181</v>
      </c>
    </row>
    <row r="1556" spans="1:28" x14ac:dyDescent="0.25">
      <c r="A1556" t="s">
        <v>3969</v>
      </c>
      <c r="B1556" t="s">
        <v>3970</v>
      </c>
      <c r="C1556" t="s">
        <v>646</v>
      </c>
      <c r="D1556" t="s">
        <v>3779</v>
      </c>
      <c r="E1556" t="s">
        <v>647</v>
      </c>
      <c r="F1556" t="s">
        <v>3780</v>
      </c>
      <c r="G1556" t="s">
        <v>769</v>
      </c>
      <c r="H1556" t="s">
        <v>802</v>
      </c>
      <c r="I1556" t="s">
        <v>1518</v>
      </c>
      <c r="J1556" t="s">
        <v>1519</v>
      </c>
      <c r="K1556" t="s">
        <v>166</v>
      </c>
      <c r="L1556" t="s">
        <v>0</v>
      </c>
      <c r="M1556" t="s">
        <v>178</v>
      </c>
      <c r="N1556">
        <v>23</v>
      </c>
      <c r="O1556">
        <v>17</v>
      </c>
      <c r="P1556">
        <v>334</v>
      </c>
      <c r="Q1556">
        <v>1198.48</v>
      </c>
      <c r="R1556">
        <v>395.23</v>
      </c>
      <c r="S1556">
        <v>86.05985948</v>
      </c>
      <c r="T1556">
        <v>0</v>
      </c>
      <c r="U1556">
        <v>0</v>
      </c>
      <c r="V1556">
        <v>395.23</v>
      </c>
      <c r="W1556" t="s">
        <v>1485</v>
      </c>
      <c r="X1556" t="s">
        <v>271</v>
      </c>
      <c r="Y1556" t="s">
        <v>3971</v>
      </c>
      <c r="AA1556" t="s">
        <v>3972</v>
      </c>
      <c r="AB1556" t="s">
        <v>181</v>
      </c>
    </row>
    <row r="1557" spans="1:28" x14ac:dyDescent="0.25">
      <c r="A1557" t="s">
        <v>4069</v>
      </c>
      <c r="B1557" t="s">
        <v>4070</v>
      </c>
      <c r="C1557" t="s">
        <v>646</v>
      </c>
      <c r="D1557" t="s">
        <v>3779</v>
      </c>
      <c r="E1557" t="s">
        <v>647</v>
      </c>
      <c r="F1557" t="s">
        <v>3780</v>
      </c>
      <c r="G1557" t="s">
        <v>769</v>
      </c>
      <c r="H1557" t="s">
        <v>802</v>
      </c>
      <c r="I1557" t="s">
        <v>4071</v>
      </c>
      <c r="J1557" t="s">
        <v>785</v>
      </c>
      <c r="K1557" t="s">
        <v>166</v>
      </c>
      <c r="L1557" t="s">
        <v>0</v>
      </c>
      <c r="M1557" t="s">
        <v>178</v>
      </c>
      <c r="N1557">
        <v>12.25</v>
      </c>
      <c r="O1557">
        <v>8.25</v>
      </c>
      <c r="P1557">
        <v>112.94</v>
      </c>
      <c r="Q1557">
        <v>521.34</v>
      </c>
      <c r="R1557">
        <v>38.950000000000003</v>
      </c>
      <c r="S1557">
        <v>65.088572170000006</v>
      </c>
      <c r="T1557">
        <v>0</v>
      </c>
      <c r="U1557">
        <v>0</v>
      </c>
      <c r="V1557">
        <v>38.950000000000003</v>
      </c>
      <c r="W1557" t="s">
        <v>0</v>
      </c>
      <c r="X1557" t="s">
        <v>271</v>
      </c>
      <c r="Y1557" t="s">
        <v>4072</v>
      </c>
      <c r="AA1557" t="s">
        <v>4073</v>
      </c>
      <c r="AB1557" t="s">
        <v>181</v>
      </c>
    </row>
    <row r="1558" spans="1:28" x14ac:dyDescent="0.25">
      <c r="A1558" t="s">
        <v>4151</v>
      </c>
      <c r="B1558" t="s">
        <v>4152</v>
      </c>
      <c r="C1558" t="s">
        <v>646</v>
      </c>
      <c r="D1558" t="s">
        <v>3779</v>
      </c>
      <c r="E1558" t="s">
        <v>647</v>
      </c>
      <c r="F1558" t="s">
        <v>666</v>
      </c>
      <c r="G1558" t="s">
        <v>666</v>
      </c>
      <c r="H1558" t="s">
        <v>730</v>
      </c>
      <c r="I1558" t="s">
        <v>765</v>
      </c>
      <c r="J1558" t="s">
        <v>436</v>
      </c>
      <c r="K1558" t="s">
        <v>166</v>
      </c>
      <c r="L1558" t="s">
        <v>0</v>
      </c>
      <c r="M1558" t="s">
        <v>178</v>
      </c>
      <c r="N1558">
        <v>112</v>
      </c>
      <c r="O1558">
        <v>74</v>
      </c>
      <c r="P1558">
        <v>4637.62</v>
      </c>
      <c r="Q1558">
        <v>6336.83</v>
      </c>
      <c r="R1558">
        <v>1159.0999999999999</v>
      </c>
      <c r="S1558">
        <v>406.79467136</v>
      </c>
      <c r="T1558">
        <v>0</v>
      </c>
      <c r="U1558">
        <v>0</v>
      </c>
      <c r="V1558">
        <v>1159.0999999999999</v>
      </c>
      <c r="W1558" t="s">
        <v>0</v>
      </c>
      <c r="X1558" t="s">
        <v>271</v>
      </c>
      <c r="Y1558" t="s">
        <v>4153</v>
      </c>
      <c r="AA1558" t="s">
        <v>4154</v>
      </c>
      <c r="AB1558" t="s">
        <v>181</v>
      </c>
    </row>
    <row r="1559" spans="1:28" x14ac:dyDescent="0.25">
      <c r="A1559" t="s">
        <v>4304</v>
      </c>
      <c r="B1559" t="s">
        <v>4305</v>
      </c>
      <c r="C1559" t="s">
        <v>646</v>
      </c>
      <c r="D1559" t="s">
        <v>3779</v>
      </c>
      <c r="E1559" t="s">
        <v>647</v>
      </c>
      <c r="F1559" t="s">
        <v>648</v>
      </c>
      <c r="G1559" t="s">
        <v>648</v>
      </c>
      <c r="H1559" t="s">
        <v>703</v>
      </c>
      <c r="I1559" t="s">
        <v>4306</v>
      </c>
      <c r="J1559" t="s">
        <v>436</v>
      </c>
      <c r="K1559" t="s">
        <v>166</v>
      </c>
      <c r="L1559" t="s">
        <v>0</v>
      </c>
      <c r="M1559" t="s">
        <v>178</v>
      </c>
      <c r="N1559">
        <v>93.25</v>
      </c>
      <c r="O1559">
        <v>19</v>
      </c>
      <c r="P1559">
        <v>805.18</v>
      </c>
      <c r="Q1559">
        <v>3031.87</v>
      </c>
      <c r="R1559">
        <v>336.17</v>
      </c>
      <c r="S1559">
        <v>545.47113550999995</v>
      </c>
      <c r="T1559">
        <v>0</v>
      </c>
      <c r="U1559">
        <v>0</v>
      </c>
      <c r="V1559">
        <v>336.17</v>
      </c>
      <c r="W1559" t="s">
        <v>0</v>
      </c>
      <c r="X1559" t="s">
        <v>271</v>
      </c>
      <c r="Y1559" t="s">
        <v>4307</v>
      </c>
      <c r="AA1559" t="s">
        <v>4101</v>
      </c>
      <c r="AB1559" t="s">
        <v>181</v>
      </c>
    </row>
    <row r="1560" spans="1:28" x14ac:dyDescent="0.25">
      <c r="A1560" t="s">
        <v>4119</v>
      </c>
      <c r="B1560" t="s">
        <v>4120</v>
      </c>
      <c r="C1560" t="s">
        <v>646</v>
      </c>
      <c r="D1560" t="s">
        <v>3779</v>
      </c>
      <c r="E1560" t="s">
        <v>647</v>
      </c>
      <c r="F1560" t="s">
        <v>3780</v>
      </c>
      <c r="G1560" t="s">
        <v>769</v>
      </c>
      <c r="H1560" t="s">
        <v>679</v>
      </c>
      <c r="I1560" t="s">
        <v>1374</v>
      </c>
      <c r="J1560" t="s">
        <v>441</v>
      </c>
      <c r="K1560" t="s">
        <v>166</v>
      </c>
      <c r="L1560" t="s">
        <v>0</v>
      </c>
      <c r="M1560" t="s">
        <v>178</v>
      </c>
      <c r="N1560">
        <v>127</v>
      </c>
      <c r="O1560">
        <v>86</v>
      </c>
      <c r="P1560">
        <v>2022.06</v>
      </c>
      <c r="Q1560">
        <v>4155.8999999999996</v>
      </c>
      <c r="R1560">
        <v>-2507.37326644</v>
      </c>
      <c r="S1560">
        <v>3476.6337271699999</v>
      </c>
      <c r="T1560">
        <v>-10.493266439999999</v>
      </c>
      <c r="U1560">
        <v>0</v>
      </c>
      <c r="V1560">
        <v>-2496.88</v>
      </c>
      <c r="W1560" t="s">
        <v>440</v>
      </c>
      <c r="X1560" t="s">
        <v>271</v>
      </c>
      <c r="Y1560" t="s">
        <v>4121</v>
      </c>
      <c r="AA1560" t="s">
        <v>4122</v>
      </c>
      <c r="AB1560" t="s">
        <v>181</v>
      </c>
    </row>
    <row r="1561" spans="1:28" x14ac:dyDescent="0.25">
      <c r="A1561" t="s">
        <v>4102</v>
      </c>
      <c r="B1561" t="s">
        <v>4103</v>
      </c>
      <c r="C1561" t="s">
        <v>646</v>
      </c>
      <c r="D1561" t="s">
        <v>3779</v>
      </c>
      <c r="E1561" t="s">
        <v>647</v>
      </c>
      <c r="F1561" t="s">
        <v>3780</v>
      </c>
      <c r="G1561" t="s">
        <v>769</v>
      </c>
      <c r="H1561" t="s">
        <v>1045</v>
      </c>
      <c r="I1561" t="s">
        <v>4104</v>
      </c>
      <c r="J1561" t="s">
        <v>4105</v>
      </c>
      <c r="K1561" t="s">
        <v>166</v>
      </c>
      <c r="L1561" t="s">
        <v>0</v>
      </c>
      <c r="M1561" t="s">
        <v>178</v>
      </c>
      <c r="N1561">
        <v>144.16669999999999</v>
      </c>
      <c r="O1561">
        <v>54.166699999999999</v>
      </c>
      <c r="P1561">
        <v>1574.2</v>
      </c>
      <c r="Q1561">
        <v>14472.25</v>
      </c>
      <c r="R1561">
        <v>1437.42</v>
      </c>
      <c r="S1561">
        <v>464.59344336999999</v>
      </c>
      <c r="T1561">
        <v>0</v>
      </c>
      <c r="U1561">
        <v>0</v>
      </c>
      <c r="V1561">
        <v>1437.42</v>
      </c>
      <c r="W1561" t="s">
        <v>4106</v>
      </c>
      <c r="X1561" t="s">
        <v>269</v>
      </c>
      <c r="Y1561" t="s">
        <v>4107</v>
      </c>
      <c r="AA1561" t="s">
        <v>4108</v>
      </c>
      <c r="AB1561" t="s">
        <v>181</v>
      </c>
    </row>
    <row r="1562" spans="1:28" x14ac:dyDescent="0.25">
      <c r="A1562" t="s">
        <v>4244</v>
      </c>
      <c r="B1562" t="s">
        <v>4245</v>
      </c>
      <c r="C1562" t="s">
        <v>646</v>
      </c>
      <c r="D1562" t="s">
        <v>3779</v>
      </c>
      <c r="E1562" t="s">
        <v>647</v>
      </c>
      <c r="F1562" t="s">
        <v>3780</v>
      </c>
      <c r="G1562" t="s">
        <v>769</v>
      </c>
      <c r="H1562" t="s">
        <v>649</v>
      </c>
      <c r="I1562" t="s">
        <v>1251</v>
      </c>
      <c r="J1562" t="s">
        <v>821</v>
      </c>
      <c r="K1562" t="s">
        <v>166</v>
      </c>
      <c r="L1562" t="s">
        <v>0</v>
      </c>
      <c r="M1562" t="s">
        <v>178</v>
      </c>
      <c r="N1562">
        <v>77</v>
      </c>
      <c r="O1562">
        <v>72</v>
      </c>
      <c r="P1562">
        <v>1663.39</v>
      </c>
      <c r="Q1562">
        <v>5281.58</v>
      </c>
      <c r="R1562">
        <v>832.74</v>
      </c>
      <c r="S1562">
        <v>318.26474056000001</v>
      </c>
      <c r="T1562">
        <v>0</v>
      </c>
      <c r="U1562">
        <v>0</v>
      </c>
      <c r="V1562">
        <v>832.74</v>
      </c>
      <c r="W1562" t="s">
        <v>822</v>
      </c>
      <c r="X1562" t="s">
        <v>269</v>
      </c>
      <c r="Y1562" t="s">
        <v>4246</v>
      </c>
      <c r="AA1562" t="s">
        <v>4247</v>
      </c>
      <c r="AB1562" t="s">
        <v>181</v>
      </c>
    </row>
    <row r="1563" spans="1:28" x14ac:dyDescent="0.25">
      <c r="A1563" t="s">
        <v>4316</v>
      </c>
      <c r="B1563" t="s">
        <v>4317</v>
      </c>
      <c r="C1563" t="s">
        <v>646</v>
      </c>
      <c r="D1563" t="s">
        <v>3779</v>
      </c>
      <c r="E1563" t="s">
        <v>647</v>
      </c>
      <c r="F1563" t="s">
        <v>3780</v>
      </c>
      <c r="G1563" t="s">
        <v>769</v>
      </c>
      <c r="H1563" t="s">
        <v>761</v>
      </c>
      <c r="I1563" t="s">
        <v>1290</v>
      </c>
      <c r="J1563" t="s">
        <v>1291</v>
      </c>
      <c r="K1563" t="s">
        <v>166</v>
      </c>
      <c r="L1563" t="s">
        <v>0</v>
      </c>
      <c r="M1563" t="s">
        <v>178</v>
      </c>
      <c r="N1563">
        <v>45</v>
      </c>
      <c r="O1563">
        <v>35</v>
      </c>
      <c r="P1563">
        <v>1562.8</v>
      </c>
      <c r="Q1563">
        <v>1754.8</v>
      </c>
      <c r="R1563">
        <v>547.02</v>
      </c>
      <c r="S1563">
        <v>254.82885872</v>
      </c>
      <c r="T1563">
        <v>0</v>
      </c>
      <c r="U1563">
        <v>0</v>
      </c>
      <c r="V1563">
        <v>547.02</v>
      </c>
      <c r="W1563" t="s">
        <v>1292</v>
      </c>
      <c r="X1563" t="s">
        <v>271</v>
      </c>
      <c r="Y1563" t="s">
        <v>4318</v>
      </c>
      <c r="AA1563" t="s">
        <v>4319</v>
      </c>
      <c r="AB1563" t="s">
        <v>181</v>
      </c>
    </row>
    <row r="1564" spans="1:28" x14ac:dyDescent="0.25">
      <c r="A1564" t="s">
        <v>3806</v>
      </c>
      <c r="B1564" t="s">
        <v>3807</v>
      </c>
      <c r="C1564" t="s">
        <v>646</v>
      </c>
      <c r="D1564" t="s">
        <v>3779</v>
      </c>
      <c r="E1564" t="s">
        <v>647</v>
      </c>
      <c r="F1564" t="s">
        <v>3780</v>
      </c>
      <c r="G1564" t="s">
        <v>769</v>
      </c>
      <c r="H1564" t="s">
        <v>909</v>
      </c>
      <c r="I1564" t="s">
        <v>2071</v>
      </c>
      <c r="J1564" t="s">
        <v>1664</v>
      </c>
      <c r="K1564" t="s">
        <v>166</v>
      </c>
      <c r="L1564" t="s">
        <v>0</v>
      </c>
      <c r="M1564" t="s">
        <v>178</v>
      </c>
      <c r="N1564">
        <v>99.1</v>
      </c>
      <c r="O1564">
        <v>99</v>
      </c>
      <c r="P1564">
        <v>3172.4</v>
      </c>
      <c r="Q1564">
        <v>4387.82</v>
      </c>
      <c r="R1564">
        <v>646.01269260000004</v>
      </c>
      <c r="S1564">
        <v>1078.6752474499999</v>
      </c>
      <c r="T1564">
        <v>0.65269259999999996</v>
      </c>
      <c r="U1564">
        <v>0</v>
      </c>
      <c r="V1564">
        <v>645.36</v>
      </c>
      <c r="W1564" t="s">
        <v>1665</v>
      </c>
      <c r="X1564" t="s">
        <v>271</v>
      </c>
      <c r="Y1564" t="s">
        <v>3808</v>
      </c>
      <c r="AA1564" t="s">
        <v>3809</v>
      </c>
      <c r="AB1564" t="s">
        <v>181</v>
      </c>
    </row>
    <row r="1565" spans="1:28" x14ac:dyDescent="0.25">
      <c r="A1565" t="s">
        <v>4039</v>
      </c>
      <c r="B1565" t="s">
        <v>4040</v>
      </c>
      <c r="C1565" t="s">
        <v>646</v>
      </c>
      <c r="D1565" t="s">
        <v>3779</v>
      </c>
      <c r="E1565" t="s">
        <v>647</v>
      </c>
      <c r="F1565" t="s">
        <v>3780</v>
      </c>
      <c r="G1565" t="s">
        <v>769</v>
      </c>
      <c r="H1565" t="s">
        <v>649</v>
      </c>
      <c r="I1565" t="s">
        <v>1595</v>
      </c>
      <c r="J1565" t="s">
        <v>544</v>
      </c>
      <c r="K1565" t="s">
        <v>166</v>
      </c>
      <c r="L1565" t="s">
        <v>0</v>
      </c>
      <c r="M1565" t="s">
        <v>178</v>
      </c>
      <c r="N1565">
        <v>355</v>
      </c>
      <c r="O1565">
        <v>339</v>
      </c>
      <c r="P1565">
        <v>4417.45</v>
      </c>
      <c r="Q1565">
        <v>13366.34</v>
      </c>
      <c r="R1565">
        <v>796</v>
      </c>
      <c r="S1565">
        <v>1820.3876968</v>
      </c>
      <c r="T1565">
        <v>0</v>
      </c>
      <c r="U1565">
        <v>0</v>
      </c>
      <c r="V1565">
        <v>796</v>
      </c>
      <c r="W1565" t="s">
        <v>239</v>
      </c>
      <c r="X1565" t="s">
        <v>271</v>
      </c>
      <c r="Y1565" t="s">
        <v>4041</v>
      </c>
      <c r="AA1565" t="s">
        <v>4042</v>
      </c>
      <c r="AB1565" t="s">
        <v>181</v>
      </c>
    </row>
    <row r="1566" spans="1:28" x14ac:dyDescent="0.25">
      <c r="A1566" t="s">
        <v>4337</v>
      </c>
      <c r="B1566" t="s">
        <v>4338</v>
      </c>
      <c r="C1566" t="s">
        <v>646</v>
      </c>
      <c r="D1566" t="s">
        <v>3779</v>
      </c>
      <c r="E1566" t="s">
        <v>647</v>
      </c>
      <c r="F1566" t="s">
        <v>3780</v>
      </c>
      <c r="G1566" t="s">
        <v>769</v>
      </c>
      <c r="H1566" t="s">
        <v>757</v>
      </c>
      <c r="I1566" t="s">
        <v>4339</v>
      </c>
      <c r="J1566" t="s">
        <v>821</v>
      </c>
      <c r="K1566" t="s">
        <v>166</v>
      </c>
      <c r="L1566" t="s">
        <v>0</v>
      </c>
      <c r="M1566" t="s">
        <v>178</v>
      </c>
      <c r="N1566">
        <v>116.35</v>
      </c>
      <c r="O1566">
        <v>77.349999999999994</v>
      </c>
      <c r="P1566">
        <v>2155.06</v>
      </c>
      <c r="Q1566">
        <v>5259.65</v>
      </c>
      <c r="R1566">
        <v>1092.78</v>
      </c>
      <c r="S1566">
        <v>781.01178695999999</v>
      </c>
      <c r="T1566">
        <v>0</v>
      </c>
      <c r="U1566">
        <v>0</v>
      </c>
      <c r="V1566">
        <v>1092.78</v>
      </c>
      <c r="W1566" t="s">
        <v>822</v>
      </c>
      <c r="X1566" t="s">
        <v>269</v>
      </c>
      <c r="Y1566" t="s">
        <v>4340</v>
      </c>
      <c r="AA1566" t="s">
        <v>4341</v>
      </c>
      <c r="AB1566" t="s">
        <v>181</v>
      </c>
    </row>
    <row r="1567" spans="1:28" x14ac:dyDescent="0.25">
      <c r="A1567" t="s">
        <v>3834</v>
      </c>
      <c r="B1567" t="s">
        <v>3835</v>
      </c>
      <c r="C1567" t="s">
        <v>646</v>
      </c>
      <c r="D1567" t="s">
        <v>3779</v>
      </c>
      <c r="E1567" t="s">
        <v>647</v>
      </c>
      <c r="F1567" t="s">
        <v>3780</v>
      </c>
      <c r="G1567" t="s">
        <v>769</v>
      </c>
      <c r="H1567" t="s">
        <v>730</v>
      </c>
      <c r="I1567" t="s">
        <v>1251</v>
      </c>
      <c r="J1567" t="s">
        <v>821</v>
      </c>
      <c r="K1567" t="s">
        <v>166</v>
      </c>
      <c r="L1567" t="s">
        <v>0</v>
      </c>
      <c r="M1567" t="s">
        <v>178</v>
      </c>
      <c r="N1567">
        <v>31</v>
      </c>
      <c r="O1567">
        <v>30</v>
      </c>
      <c r="P1567">
        <v>445.47</v>
      </c>
      <c r="Q1567">
        <v>1693.43</v>
      </c>
      <c r="R1567">
        <v>467.49</v>
      </c>
      <c r="S1567">
        <v>191.72399952000001</v>
      </c>
      <c r="T1567">
        <v>0</v>
      </c>
      <c r="U1567">
        <v>0</v>
      </c>
      <c r="V1567">
        <v>467.49</v>
      </c>
      <c r="W1567" t="s">
        <v>822</v>
      </c>
      <c r="X1567" t="s">
        <v>269</v>
      </c>
      <c r="Y1567" t="s">
        <v>3836</v>
      </c>
      <c r="AA1567" t="s">
        <v>3837</v>
      </c>
      <c r="AB1567" t="s">
        <v>181</v>
      </c>
    </row>
    <row r="1568" spans="1:28" x14ac:dyDescent="0.25">
      <c r="A1568" t="s">
        <v>3834</v>
      </c>
      <c r="B1568" t="s">
        <v>3835</v>
      </c>
      <c r="C1568" t="s">
        <v>646</v>
      </c>
      <c r="D1568" t="s">
        <v>3779</v>
      </c>
      <c r="E1568" t="s">
        <v>647</v>
      </c>
      <c r="F1568" t="s">
        <v>3780</v>
      </c>
      <c r="G1568" t="s">
        <v>769</v>
      </c>
      <c r="H1568" t="s">
        <v>761</v>
      </c>
      <c r="I1568" t="s">
        <v>1251</v>
      </c>
      <c r="J1568" t="s">
        <v>821</v>
      </c>
      <c r="K1568" t="s">
        <v>166</v>
      </c>
      <c r="L1568" t="s">
        <v>0</v>
      </c>
      <c r="M1568" t="s">
        <v>178</v>
      </c>
      <c r="N1568">
        <v>33</v>
      </c>
      <c r="O1568">
        <v>33</v>
      </c>
      <c r="P1568">
        <v>1451.48</v>
      </c>
      <c r="Q1568">
        <v>1049.58</v>
      </c>
      <c r="R1568">
        <v>312.20999999999998</v>
      </c>
      <c r="S1568">
        <v>186.24461102000001</v>
      </c>
      <c r="T1568">
        <v>0</v>
      </c>
      <c r="U1568">
        <v>0</v>
      </c>
      <c r="V1568">
        <v>312.20999999999998</v>
      </c>
      <c r="W1568" t="s">
        <v>822</v>
      </c>
      <c r="X1568" t="s">
        <v>269</v>
      </c>
      <c r="Y1568" t="s">
        <v>3836</v>
      </c>
      <c r="AA1568" t="s">
        <v>3837</v>
      </c>
      <c r="AB1568" t="s">
        <v>181</v>
      </c>
    </row>
    <row r="1569" spans="1:28" x14ac:dyDescent="0.25">
      <c r="A1569" t="s">
        <v>3888</v>
      </c>
      <c r="B1569" t="s">
        <v>3889</v>
      </c>
      <c r="C1569" t="s">
        <v>646</v>
      </c>
      <c r="D1569" t="s">
        <v>3779</v>
      </c>
      <c r="E1569" t="s">
        <v>647</v>
      </c>
      <c r="F1569" t="s">
        <v>3780</v>
      </c>
      <c r="G1569" t="s">
        <v>769</v>
      </c>
      <c r="H1569" t="s">
        <v>1171</v>
      </c>
      <c r="I1569" t="s">
        <v>1368</v>
      </c>
      <c r="J1569" t="s">
        <v>1369</v>
      </c>
      <c r="K1569" t="s">
        <v>166</v>
      </c>
      <c r="L1569" t="s">
        <v>0</v>
      </c>
      <c r="M1569" t="s">
        <v>178</v>
      </c>
      <c r="N1569">
        <v>259</v>
      </c>
      <c r="O1569">
        <v>0</v>
      </c>
      <c r="P1569">
        <v>14626.39</v>
      </c>
      <c r="Q1569">
        <v>90754.87</v>
      </c>
      <c r="R1569">
        <v>1047.45</v>
      </c>
      <c r="S1569">
        <v>1562.40040965</v>
      </c>
      <c r="T1569">
        <v>0</v>
      </c>
      <c r="U1569">
        <v>0</v>
      </c>
      <c r="V1569">
        <v>1047.45</v>
      </c>
      <c r="W1569" t="s">
        <v>1370</v>
      </c>
      <c r="X1569" t="s">
        <v>271</v>
      </c>
      <c r="Y1569" t="s">
        <v>3890</v>
      </c>
      <c r="AA1569" t="s">
        <v>3891</v>
      </c>
      <c r="AB1569" t="s">
        <v>181</v>
      </c>
    </row>
    <row r="1570" spans="1:28" x14ac:dyDescent="0.25">
      <c r="A1570" t="s">
        <v>4240</v>
      </c>
      <c r="B1570" t="s">
        <v>4241</v>
      </c>
      <c r="C1570" t="s">
        <v>646</v>
      </c>
      <c r="D1570" t="s">
        <v>3779</v>
      </c>
      <c r="E1570" t="s">
        <v>647</v>
      </c>
      <c r="F1570" t="s">
        <v>666</v>
      </c>
      <c r="G1570" t="s">
        <v>666</v>
      </c>
      <c r="H1570" t="s">
        <v>761</v>
      </c>
      <c r="I1570" t="s">
        <v>880</v>
      </c>
      <c r="J1570" t="s">
        <v>881</v>
      </c>
      <c r="K1570" t="s">
        <v>166</v>
      </c>
      <c r="L1570" t="s">
        <v>0</v>
      </c>
      <c r="M1570" t="s">
        <v>178</v>
      </c>
      <c r="N1570">
        <v>31</v>
      </c>
      <c r="O1570">
        <v>27</v>
      </c>
      <c r="P1570">
        <v>1102.78</v>
      </c>
      <c r="Q1570">
        <v>781.26</v>
      </c>
      <c r="R1570">
        <v>87.18</v>
      </c>
      <c r="S1570">
        <v>159.69470416999999</v>
      </c>
      <c r="T1570">
        <v>0</v>
      </c>
      <c r="U1570">
        <v>0</v>
      </c>
      <c r="V1570">
        <v>87.18</v>
      </c>
      <c r="W1570" t="s">
        <v>0</v>
      </c>
      <c r="X1570" t="s">
        <v>271</v>
      </c>
      <c r="Y1570" t="s">
        <v>4242</v>
      </c>
      <c r="AA1570" t="s">
        <v>4243</v>
      </c>
      <c r="AB1570" t="s">
        <v>181</v>
      </c>
    </row>
    <row r="1571" spans="1:28" x14ac:dyDescent="0.25">
      <c r="A1571" t="s">
        <v>3783</v>
      </c>
      <c r="B1571" t="s">
        <v>3784</v>
      </c>
      <c r="C1571" t="s">
        <v>646</v>
      </c>
      <c r="D1571" t="s">
        <v>3779</v>
      </c>
      <c r="E1571" t="s">
        <v>647</v>
      </c>
      <c r="F1571" t="s">
        <v>666</v>
      </c>
      <c r="G1571" t="s">
        <v>666</v>
      </c>
      <c r="H1571" t="s">
        <v>713</v>
      </c>
      <c r="I1571" t="s">
        <v>3785</v>
      </c>
      <c r="J1571" t="s">
        <v>432</v>
      </c>
      <c r="K1571" t="s">
        <v>166</v>
      </c>
      <c r="L1571" t="s">
        <v>0</v>
      </c>
      <c r="M1571" t="s">
        <v>178</v>
      </c>
      <c r="N1571">
        <v>32</v>
      </c>
      <c r="O1571">
        <v>32</v>
      </c>
      <c r="P1571">
        <v>768</v>
      </c>
      <c r="Q1571">
        <v>1118.8800000000001</v>
      </c>
      <c r="R1571">
        <v>345.48</v>
      </c>
      <c r="S1571">
        <v>43.996242760000001</v>
      </c>
      <c r="T1571">
        <v>0</v>
      </c>
      <c r="U1571">
        <v>0</v>
      </c>
      <c r="V1571">
        <v>345.48</v>
      </c>
      <c r="W1571" t="s">
        <v>0</v>
      </c>
      <c r="X1571" t="s">
        <v>271</v>
      </c>
      <c r="Y1571" t="s">
        <v>3786</v>
      </c>
      <c r="AA1571" t="s">
        <v>3787</v>
      </c>
      <c r="AB1571" t="s">
        <v>181</v>
      </c>
    </row>
    <row r="1572" spans="1:28" x14ac:dyDescent="0.25">
      <c r="A1572" t="s">
        <v>4232</v>
      </c>
      <c r="B1572" t="s">
        <v>4233</v>
      </c>
      <c r="C1572" t="s">
        <v>646</v>
      </c>
      <c r="D1572" t="s">
        <v>3779</v>
      </c>
      <c r="E1572" t="s">
        <v>647</v>
      </c>
      <c r="F1572" t="s">
        <v>3780</v>
      </c>
      <c r="G1572" t="s">
        <v>769</v>
      </c>
      <c r="H1572" t="s">
        <v>730</v>
      </c>
      <c r="I1572" t="s">
        <v>1296</v>
      </c>
      <c r="J1572" t="s">
        <v>996</v>
      </c>
      <c r="K1572" t="s">
        <v>166</v>
      </c>
      <c r="L1572" t="s">
        <v>0</v>
      </c>
      <c r="M1572" t="s">
        <v>178</v>
      </c>
      <c r="N1572">
        <v>16</v>
      </c>
      <c r="O1572">
        <v>14</v>
      </c>
      <c r="P1572">
        <v>810.61</v>
      </c>
      <c r="Q1572">
        <v>222.06</v>
      </c>
      <c r="R1572">
        <v>30.1</v>
      </c>
      <c r="S1572">
        <v>64.892101740000001</v>
      </c>
      <c r="T1572">
        <v>0</v>
      </c>
      <c r="U1572">
        <v>0</v>
      </c>
      <c r="V1572">
        <v>30.1</v>
      </c>
      <c r="W1572" t="s">
        <v>1683</v>
      </c>
      <c r="X1572" t="s">
        <v>271</v>
      </c>
      <c r="Y1572" t="s">
        <v>4234</v>
      </c>
      <c r="AA1572" t="s">
        <v>4235</v>
      </c>
      <c r="AB1572" t="s">
        <v>181</v>
      </c>
    </row>
    <row r="1573" spans="1:28" x14ac:dyDescent="0.25">
      <c r="A1573" t="s">
        <v>4256</v>
      </c>
      <c r="B1573" t="s">
        <v>4257</v>
      </c>
      <c r="C1573" t="s">
        <v>646</v>
      </c>
      <c r="D1573" t="s">
        <v>3779</v>
      </c>
      <c r="E1573" t="s">
        <v>647</v>
      </c>
      <c r="F1573" t="s">
        <v>3780</v>
      </c>
      <c r="G1573" t="s">
        <v>769</v>
      </c>
      <c r="H1573" t="s">
        <v>708</v>
      </c>
      <c r="I1573" t="s">
        <v>2284</v>
      </c>
      <c r="J1573" t="s">
        <v>2285</v>
      </c>
      <c r="K1573" t="s">
        <v>166</v>
      </c>
      <c r="L1573" t="s">
        <v>0</v>
      </c>
      <c r="M1573" t="s">
        <v>178</v>
      </c>
      <c r="N1573">
        <v>40.166699999999999</v>
      </c>
      <c r="O1573">
        <v>26.166699999999999</v>
      </c>
      <c r="P1573">
        <v>257.39999999999998</v>
      </c>
      <c r="Q1573">
        <v>1069.8</v>
      </c>
      <c r="R1573">
        <v>308.51</v>
      </c>
      <c r="S1573">
        <v>108.31302691</v>
      </c>
      <c r="T1573">
        <v>0</v>
      </c>
      <c r="U1573">
        <v>0</v>
      </c>
      <c r="V1573">
        <v>308.51</v>
      </c>
      <c r="W1573" t="s">
        <v>453</v>
      </c>
      <c r="X1573" t="s">
        <v>271</v>
      </c>
      <c r="Y1573" t="s">
        <v>4258</v>
      </c>
      <c r="AA1573" t="s">
        <v>4259</v>
      </c>
      <c r="AB1573" t="s">
        <v>181</v>
      </c>
    </row>
    <row r="1574" spans="1:28" x14ac:dyDescent="0.25">
      <c r="A1574" t="s">
        <v>4288</v>
      </c>
      <c r="B1574" t="s">
        <v>4289</v>
      </c>
      <c r="C1574" t="s">
        <v>646</v>
      </c>
      <c r="D1574" t="s">
        <v>3779</v>
      </c>
      <c r="E1574" t="s">
        <v>647</v>
      </c>
      <c r="F1574" t="s">
        <v>3780</v>
      </c>
      <c r="G1574" t="s">
        <v>769</v>
      </c>
      <c r="H1574" t="s">
        <v>909</v>
      </c>
      <c r="I1574" t="s">
        <v>1453</v>
      </c>
      <c r="J1574" t="s">
        <v>1454</v>
      </c>
      <c r="K1574" t="s">
        <v>166</v>
      </c>
      <c r="L1574" t="s">
        <v>0</v>
      </c>
      <c r="M1574" t="s">
        <v>178</v>
      </c>
      <c r="N1574">
        <v>69</v>
      </c>
      <c r="O1574">
        <v>69</v>
      </c>
      <c r="P1574">
        <v>1923.23</v>
      </c>
      <c r="Q1574">
        <v>2198.2199999999998</v>
      </c>
      <c r="R1574">
        <v>333.07476946999998</v>
      </c>
      <c r="S1574">
        <v>505.27267977999998</v>
      </c>
      <c r="T1574">
        <v>0.20476947000000001</v>
      </c>
      <c r="U1574">
        <v>0</v>
      </c>
      <c r="V1574">
        <v>332.87</v>
      </c>
      <c r="W1574" t="s">
        <v>1455</v>
      </c>
      <c r="X1574" t="s">
        <v>271</v>
      </c>
      <c r="Y1574" t="s">
        <v>4290</v>
      </c>
      <c r="AA1574" t="s">
        <v>4291</v>
      </c>
      <c r="AB1574" t="s">
        <v>181</v>
      </c>
    </row>
    <row r="1575" spans="1:28" x14ac:dyDescent="0.25">
      <c r="A1575" t="s">
        <v>4206</v>
      </c>
      <c r="B1575" t="s">
        <v>4207</v>
      </c>
      <c r="C1575" t="s">
        <v>646</v>
      </c>
      <c r="D1575" t="s">
        <v>3779</v>
      </c>
      <c r="E1575" t="s">
        <v>647</v>
      </c>
      <c r="F1575" t="s">
        <v>3780</v>
      </c>
      <c r="G1575" t="s">
        <v>769</v>
      </c>
      <c r="H1575" t="s">
        <v>909</v>
      </c>
      <c r="I1575" t="s">
        <v>4208</v>
      </c>
      <c r="J1575" t="s">
        <v>317</v>
      </c>
      <c r="K1575" t="s">
        <v>166</v>
      </c>
      <c r="L1575" t="s">
        <v>0</v>
      </c>
      <c r="M1575" t="s">
        <v>178</v>
      </c>
      <c r="N1575">
        <v>3</v>
      </c>
      <c r="O1575">
        <v>3</v>
      </c>
      <c r="P1575">
        <v>16.5</v>
      </c>
      <c r="Q1575">
        <v>83.28</v>
      </c>
      <c r="R1575">
        <v>27.903525729999998</v>
      </c>
      <c r="S1575">
        <v>33.456600000000002</v>
      </c>
      <c r="T1575">
        <v>0.31352573</v>
      </c>
      <c r="U1575">
        <v>0</v>
      </c>
      <c r="V1575">
        <v>27.59</v>
      </c>
      <c r="W1575" t="s">
        <v>340</v>
      </c>
      <c r="X1575" t="s">
        <v>271</v>
      </c>
      <c r="Y1575" t="s">
        <v>4209</v>
      </c>
      <c r="AA1575" t="s">
        <v>4210</v>
      </c>
      <c r="AB1575" t="s">
        <v>181</v>
      </c>
    </row>
    <row r="1576" spans="1:28" x14ac:dyDescent="0.25">
      <c r="A1576" t="s">
        <v>4275</v>
      </c>
      <c r="B1576" t="s">
        <v>4276</v>
      </c>
      <c r="C1576" t="s">
        <v>646</v>
      </c>
      <c r="D1576" t="s">
        <v>3779</v>
      </c>
      <c r="E1576" t="s">
        <v>647</v>
      </c>
      <c r="F1576" t="s">
        <v>3780</v>
      </c>
      <c r="G1576" t="s">
        <v>769</v>
      </c>
      <c r="H1576" t="s">
        <v>962</v>
      </c>
      <c r="I1576" t="s">
        <v>4277</v>
      </c>
      <c r="J1576" t="s">
        <v>562</v>
      </c>
      <c r="K1576" t="s">
        <v>166</v>
      </c>
      <c r="L1576" t="s">
        <v>0</v>
      </c>
      <c r="M1576" t="s">
        <v>178</v>
      </c>
      <c r="N1576">
        <v>8</v>
      </c>
      <c r="O1576">
        <v>2</v>
      </c>
      <c r="P1576">
        <v>319.39999999999998</v>
      </c>
      <c r="Q1576">
        <v>585.6</v>
      </c>
      <c r="R1576">
        <v>1.23</v>
      </c>
      <c r="S1576">
        <v>10.857073939999999</v>
      </c>
      <c r="T1576">
        <v>0</v>
      </c>
      <c r="U1576">
        <v>0</v>
      </c>
      <c r="V1576">
        <v>1.23</v>
      </c>
      <c r="W1576" t="s">
        <v>0</v>
      </c>
      <c r="X1576" t="s">
        <v>271</v>
      </c>
      <c r="Y1576" t="s">
        <v>4278</v>
      </c>
      <c r="AA1576" t="s">
        <v>4279</v>
      </c>
      <c r="AB1576" t="s">
        <v>181</v>
      </c>
    </row>
    <row r="1577" spans="1:28" x14ac:dyDescent="0.25">
      <c r="A1577" t="s">
        <v>4035</v>
      </c>
      <c r="B1577" t="s">
        <v>4036</v>
      </c>
      <c r="C1577" t="s">
        <v>646</v>
      </c>
      <c r="D1577" t="s">
        <v>3779</v>
      </c>
      <c r="E1577" t="s">
        <v>647</v>
      </c>
      <c r="F1577" t="s">
        <v>3780</v>
      </c>
      <c r="G1577" t="s">
        <v>769</v>
      </c>
      <c r="H1577" t="s">
        <v>802</v>
      </c>
      <c r="I1577" t="s">
        <v>3464</v>
      </c>
      <c r="J1577" t="s">
        <v>688</v>
      </c>
      <c r="K1577" t="s">
        <v>166</v>
      </c>
      <c r="L1577" t="s">
        <v>0</v>
      </c>
      <c r="M1577" t="s">
        <v>178</v>
      </c>
      <c r="N1577">
        <v>14.5</v>
      </c>
      <c r="O1577">
        <v>13.5</v>
      </c>
      <c r="P1577">
        <v>270</v>
      </c>
      <c r="Q1577">
        <v>802.5</v>
      </c>
      <c r="R1577">
        <v>200.72</v>
      </c>
      <c r="S1577">
        <v>81.040795149999994</v>
      </c>
      <c r="T1577">
        <v>0</v>
      </c>
      <c r="U1577">
        <v>0</v>
      </c>
      <c r="V1577">
        <v>200.72</v>
      </c>
      <c r="W1577" t="s">
        <v>0</v>
      </c>
      <c r="X1577" t="s">
        <v>271</v>
      </c>
      <c r="Y1577" t="s">
        <v>4037</v>
      </c>
      <c r="AA1577" t="s">
        <v>4038</v>
      </c>
      <c r="AB1577" t="s">
        <v>181</v>
      </c>
    </row>
    <row r="1578" spans="1:28" x14ac:dyDescent="0.25">
      <c r="A1578" t="s">
        <v>4139</v>
      </c>
      <c r="B1578" t="s">
        <v>4140</v>
      </c>
      <c r="C1578" t="s">
        <v>646</v>
      </c>
      <c r="D1578" t="s">
        <v>3779</v>
      </c>
      <c r="E1578" t="s">
        <v>647</v>
      </c>
      <c r="F1578" t="s">
        <v>3780</v>
      </c>
      <c r="G1578" t="s">
        <v>769</v>
      </c>
      <c r="H1578" t="s">
        <v>757</v>
      </c>
      <c r="I1578" t="s">
        <v>778</v>
      </c>
      <c r="J1578" t="s">
        <v>428</v>
      </c>
      <c r="K1578" t="s">
        <v>166</v>
      </c>
      <c r="L1578" t="s">
        <v>0</v>
      </c>
      <c r="M1578" t="s">
        <v>178</v>
      </c>
      <c r="N1578">
        <v>13.5</v>
      </c>
      <c r="O1578">
        <v>9.5</v>
      </c>
      <c r="P1578">
        <v>320.91000000000003</v>
      </c>
      <c r="Q1578">
        <v>366.8</v>
      </c>
      <c r="R1578">
        <v>57.08</v>
      </c>
      <c r="S1578">
        <v>97.694752879999996</v>
      </c>
      <c r="T1578">
        <v>0</v>
      </c>
      <c r="U1578">
        <v>0</v>
      </c>
      <c r="V1578">
        <v>57.08</v>
      </c>
      <c r="W1578" t="s">
        <v>547</v>
      </c>
      <c r="X1578" t="s">
        <v>271</v>
      </c>
      <c r="Y1578" t="s">
        <v>4141</v>
      </c>
      <c r="AA1578" t="s">
        <v>4142</v>
      </c>
      <c r="AB1578" t="s">
        <v>181</v>
      </c>
    </row>
    <row r="1579" spans="1:28" x14ac:dyDescent="0.25">
      <c r="A1579" t="s">
        <v>4228</v>
      </c>
      <c r="B1579" t="s">
        <v>4229</v>
      </c>
      <c r="C1579" t="s">
        <v>646</v>
      </c>
      <c r="D1579" t="s">
        <v>3779</v>
      </c>
      <c r="E1579" t="s">
        <v>647</v>
      </c>
      <c r="F1579" t="s">
        <v>3780</v>
      </c>
      <c r="G1579" t="s">
        <v>769</v>
      </c>
      <c r="H1579" t="s">
        <v>856</v>
      </c>
      <c r="I1579" t="s">
        <v>1971</v>
      </c>
      <c r="J1579" t="s">
        <v>1972</v>
      </c>
      <c r="K1579" t="s">
        <v>166</v>
      </c>
      <c r="L1579" t="s">
        <v>0</v>
      </c>
      <c r="M1579" t="s">
        <v>178</v>
      </c>
      <c r="N1579">
        <v>2</v>
      </c>
      <c r="O1579">
        <v>2</v>
      </c>
      <c r="P1579">
        <v>20.45</v>
      </c>
      <c r="Q1579">
        <v>198.77</v>
      </c>
      <c r="R1579">
        <v>17.79</v>
      </c>
      <c r="S1579">
        <v>5.5214999999999996</v>
      </c>
      <c r="T1579">
        <v>0</v>
      </c>
      <c r="U1579">
        <v>0</v>
      </c>
      <c r="V1579">
        <v>17.79</v>
      </c>
      <c r="W1579" t="s">
        <v>1973</v>
      </c>
      <c r="X1579" t="s">
        <v>271</v>
      </c>
      <c r="Y1579" t="s">
        <v>4230</v>
      </c>
      <c r="AA1579" t="s">
        <v>4231</v>
      </c>
      <c r="AB1579" t="s">
        <v>181</v>
      </c>
    </row>
    <row r="1580" spans="1:28" x14ac:dyDescent="0.25">
      <c r="A1580" t="s">
        <v>3909</v>
      </c>
      <c r="B1580" t="s">
        <v>3910</v>
      </c>
      <c r="C1580" t="s">
        <v>646</v>
      </c>
      <c r="D1580" t="s">
        <v>3779</v>
      </c>
      <c r="E1580" t="s">
        <v>647</v>
      </c>
      <c r="F1580" t="s">
        <v>666</v>
      </c>
      <c r="G1580" t="s">
        <v>666</v>
      </c>
      <c r="H1580" t="s">
        <v>802</v>
      </c>
      <c r="I1580" t="s">
        <v>3911</v>
      </c>
      <c r="J1580" t="s">
        <v>355</v>
      </c>
      <c r="K1580" t="s">
        <v>166</v>
      </c>
      <c r="L1580" t="s">
        <v>0</v>
      </c>
      <c r="M1580" t="s">
        <v>178</v>
      </c>
      <c r="N1580">
        <v>18</v>
      </c>
      <c r="O1580">
        <v>18</v>
      </c>
      <c r="P1580">
        <v>360</v>
      </c>
      <c r="Q1580">
        <v>855.21</v>
      </c>
      <c r="R1580">
        <v>182.74</v>
      </c>
      <c r="S1580">
        <v>95.126985919999996</v>
      </c>
      <c r="T1580">
        <v>0</v>
      </c>
      <c r="U1580">
        <v>0</v>
      </c>
      <c r="V1580">
        <v>182.74</v>
      </c>
      <c r="W1580" t="s">
        <v>0</v>
      </c>
      <c r="X1580" t="s">
        <v>271</v>
      </c>
      <c r="Y1580" t="s">
        <v>3912</v>
      </c>
      <c r="AA1580" t="s">
        <v>3894</v>
      </c>
      <c r="AB1580" t="s">
        <v>181</v>
      </c>
    </row>
    <row r="1581" spans="1:28" x14ac:dyDescent="0.25">
      <c r="A1581" t="s">
        <v>3981</v>
      </c>
      <c r="B1581" t="s">
        <v>3982</v>
      </c>
      <c r="C1581" t="s">
        <v>646</v>
      </c>
      <c r="D1581" t="s">
        <v>3779</v>
      </c>
      <c r="E1581" t="s">
        <v>647</v>
      </c>
      <c r="F1581" t="s">
        <v>3780</v>
      </c>
      <c r="G1581" t="s">
        <v>769</v>
      </c>
      <c r="H1581" t="s">
        <v>770</v>
      </c>
      <c r="I1581" t="s">
        <v>2384</v>
      </c>
      <c r="J1581" t="s">
        <v>447</v>
      </c>
      <c r="K1581" t="s">
        <v>166</v>
      </c>
      <c r="L1581" t="s">
        <v>0</v>
      </c>
      <c r="M1581" t="s">
        <v>178</v>
      </c>
      <c r="N1581">
        <v>3044.9</v>
      </c>
      <c r="O1581">
        <v>1822.4</v>
      </c>
      <c r="P1581">
        <v>58473.57</v>
      </c>
      <c r="Q1581">
        <v>67377.570000000007</v>
      </c>
      <c r="R1581">
        <v>6449.19</v>
      </c>
      <c r="S1581">
        <v>9031.2089928099995</v>
      </c>
      <c r="T1581">
        <v>0</v>
      </c>
      <c r="U1581">
        <v>951.59</v>
      </c>
      <c r="V1581">
        <v>7400.78</v>
      </c>
      <c r="W1581" t="s">
        <v>446</v>
      </c>
      <c r="X1581" t="s">
        <v>271</v>
      </c>
      <c r="Y1581" t="s">
        <v>3983</v>
      </c>
      <c r="AA1581" t="s">
        <v>3984</v>
      </c>
      <c r="AB1581" t="s">
        <v>181</v>
      </c>
    </row>
    <row r="1582" spans="1:28" x14ac:dyDescent="0.25">
      <c r="A1582" t="s">
        <v>4031</v>
      </c>
      <c r="B1582" t="s">
        <v>4032</v>
      </c>
      <c r="C1582" t="s">
        <v>646</v>
      </c>
      <c r="D1582" t="s">
        <v>3779</v>
      </c>
      <c r="E1582" t="s">
        <v>647</v>
      </c>
      <c r="F1582" t="s">
        <v>3780</v>
      </c>
      <c r="G1582" t="s">
        <v>769</v>
      </c>
      <c r="H1582" t="s">
        <v>713</v>
      </c>
      <c r="I1582" t="s">
        <v>1513</v>
      </c>
      <c r="J1582" t="s">
        <v>333</v>
      </c>
      <c r="K1582" t="s">
        <v>166</v>
      </c>
      <c r="L1582" t="s">
        <v>0</v>
      </c>
      <c r="M1582" t="s">
        <v>178</v>
      </c>
      <c r="N1582">
        <v>3223</v>
      </c>
      <c r="O1582">
        <v>251</v>
      </c>
      <c r="P1582">
        <v>63413.83</v>
      </c>
      <c r="Q1582">
        <v>104047.1</v>
      </c>
      <c r="R1582">
        <v>7774.3774609000002</v>
      </c>
      <c r="S1582">
        <v>2316.1171796899998</v>
      </c>
      <c r="T1582">
        <v>13965.8974609</v>
      </c>
      <c r="U1582">
        <v>89.07</v>
      </c>
      <c r="V1582">
        <v>7693.14</v>
      </c>
      <c r="W1582" t="s">
        <v>718</v>
      </c>
      <c r="X1582" t="s">
        <v>271</v>
      </c>
      <c r="Y1582" t="s">
        <v>4033</v>
      </c>
      <c r="AA1582" t="s">
        <v>4034</v>
      </c>
      <c r="AB1582" t="s">
        <v>181</v>
      </c>
    </row>
    <row r="1583" spans="1:28" x14ac:dyDescent="0.25">
      <c r="A1583" t="s">
        <v>3888</v>
      </c>
      <c r="B1583" t="s">
        <v>3889</v>
      </c>
      <c r="C1583" t="s">
        <v>646</v>
      </c>
      <c r="D1583" t="s">
        <v>3779</v>
      </c>
      <c r="E1583" t="s">
        <v>647</v>
      </c>
      <c r="F1583" t="s">
        <v>3780</v>
      </c>
      <c r="G1583" t="s">
        <v>769</v>
      </c>
      <c r="H1583" t="s">
        <v>672</v>
      </c>
      <c r="I1583" t="s">
        <v>1368</v>
      </c>
      <c r="J1583" t="s">
        <v>1369</v>
      </c>
      <c r="K1583" t="s">
        <v>166</v>
      </c>
      <c r="L1583" t="s">
        <v>0</v>
      </c>
      <c r="M1583" t="s">
        <v>178</v>
      </c>
      <c r="N1583">
        <v>30</v>
      </c>
      <c r="O1583">
        <v>6</v>
      </c>
      <c r="P1583">
        <v>526</v>
      </c>
      <c r="Q1583">
        <v>986.82</v>
      </c>
      <c r="R1583">
        <v>64.859167760000005</v>
      </c>
      <c r="S1583">
        <v>69.159857720000005</v>
      </c>
      <c r="T1583">
        <v>6.9167759999999995E-2</v>
      </c>
      <c r="U1583">
        <v>0</v>
      </c>
      <c r="V1583">
        <v>64.790000000000006</v>
      </c>
      <c r="W1583" t="s">
        <v>1370</v>
      </c>
      <c r="X1583" t="s">
        <v>271</v>
      </c>
      <c r="Y1583" t="s">
        <v>3890</v>
      </c>
      <c r="AA1583" t="s">
        <v>3891</v>
      </c>
      <c r="AB1583" t="s">
        <v>181</v>
      </c>
    </row>
    <row r="1584" spans="1:28" x14ac:dyDescent="0.25">
      <c r="A1584" t="s">
        <v>4333</v>
      </c>
      <c r="B1584" t="s">
        <v>4334</v>
      </c>
      <c r="C1584" t="s">
        <v>646</v>
      </c>
      <c r="D1584" t="s">
        <v>3779</v>
      </c>
      <c r="E1584" t="s">
        <v>647</v>
      </c>
      <c r="F1584" t="s">
        <v>666</v>
      </c>
      <c r="G1584" t="s">
        <v>666</v>
      </c>
      <c r="H1584" t="s">
        <v>679</v>
      </c>
      <c r="I1584" t="s">
        <v>3649</v>
      </c>
      <c r="J1584" t="s">
        <v>1567</v>
      </c>
      <c r="K1584" t="s">
        <v>166</v>
      </c>
      <c r="L1584" t="s">
        <v>0</v>
      </c>
      <c r="M1584" t="s">
        <v>178</v>
      </c>
      <c r="N1584">
        <v>551</v>
      </c>
      <c r="O1584">
        <v>288</v>
      </c>
      <c r="P1584">
        <v>7804.49</v>
      </c>
      <c r="Q1584">
        <v>26210.93</v>
      </c>
      <c r="R1584">
        <v>-1100.3737265499999</v>
      </c>
      <c r="S1584">
        <v>7020.0309662299996</v>
      </c>
      <c r="T1584">
        <v>649.71627345000002</v>
      </c>
      <c r="U1584">
        <v>3726.93</v>
      </c>
      <c r="V1584">
        <v>2765.18</v>
      </c>
      <c r="W1584" t="s">
        <v>556</v>
      </c>
      <c r="X1584" t="s">
        <v>271</v>
      </c>
      <c r="Y1584" t="s">
        <v>4335</v>
      </c>
      <c r="AA1584" t="s">
        <v>4336</v>
      </c>
      <c r="AB1584" t="s">
        <v>181</v>
      </c>
    </row>
    <row r="1585" spans="1:28" x14ac:dyDescent="0.25">
      <c r="A1585" t="s">
        <v>4333</v>
      </c>
      <c r="B1585" t="s">
        <v>4334</v>
      </c>
      <c r="C1585" t="s">
        <v>646</v>
      </c>
      <c r="D1585" t="s">
        <v>3779</v>
      </c>
      <c r="E1585" t="s">
        <v>647</v>
      </c>
      <c r="F1585" t="s">
        <v>666</v>
      </c>
      <c r="G1585" t="s">
        <v>666</v>
      </c>
      <c r="H1585" t="s">
        <v>802</v>
      </c>
      <c r="I1585" t="s">
        <v>3649</v>
      </c>
      <c r="J1585" t="s">
        <v>1567</v>
      </c>
      <c r="K1585" t="s">
        <v>166</v>
      </c>
      <c r="L1585" t="s">
        <v>0</v>
      </c>
      <c r="M1585" t="s">
        <v>178</v>
      </c>
      <c r="N1585">
        <v>137</v>
      </c>
      <c r="O1585">
        <v>127</v>
      </c>
      <c r="P1585">
        <v>1701.55</v>
      </c>
      <c r="Q1585">
        <v>5013.6899999999996</v>
      </c>
      <c r="R1585">
        <v>382.25</v>
      </c>
      <c r="S1585">
        <v>639.80327460000001</v>
      </c>
      <c r="T1585">
        <v>0</v>
      </c>
      <c r="U1585">
        <v>141.37</v>
      </c>
      <c r="V1585">
        <v>523.62</v>
      </c>
      <c r="W1585" t="s">
        <v>556</v>
      </c>
      <c r="X1585" t="s">
        <v>271</v>
      </c>
      <c r="Y1585" t="s">
        <v>4335</v>
      </c>
      <c r="AA1585" t="s">
        <v>4336</v>
      </c>
      <c r="AB1585" t="s">
        <v>181</v>
      </c>
    </row>
    <row r="1586" spans="1:28" x14ac:dyDescent="0.25">
      <c r="A1586" t="s">
        <v>4370</v>
      </c>
      <c r="B1586" t="s">
        <v>4371</v>
      </c>
      <c r="C1586" t="s">
        <v>646</v>
      </c>
      <c r="D1586" t="s">
        <v>3779</v>
      </c>
      <c r="E1586" t="s">
        <v>647</v>
      </c>
      <c r="F1586" t="s">
        <v>666</v>
      </c>
      <c r="G1586" t="s">
        <v>666</v>
      </c>
      <c r="H1586" t="s">
        <v>703</v>
      </c>
      <c r="I1586" t="s">
        <v>4372</v>
      </c>
      <c r="J1586" t="s">
        <v>355</v>
      </c>
      <c r="K1586" t="s">
        <v>166</v>
      </c>
      <c r="L1586" t="s">
        <v>0</v>
      </c>
      <c r="M1586" t="s">
        <v>178</v>
      </c>
      <c r="N1586">
        <v>395</v>
      </c>
      <c r="O1586">
        <v>196</v>
      </c>
      <c r="P1586">
        <v>4382.5200000000004</v>
      </c>
      <c r="Q1586">
        <v>12566.41</v>
      </c>
      <c r="R1586">
        <v>3552.15</v>
      </c>
      <c r="S1586">
        <v>1123.4811218</v>
      </c>
      <c r="T1586">
        <v>0</v>
      </c>
      <c r="U1586">
        <v>0</v>
      </c>
      <c r="V1586">
        <v>3552.15</v>
      </c>
      <c r="W1586" t="s">
        <v>0</v>
      </c>
      <c r="X1586" t="s">
        <v>271</v>
      </c>
      <c r="Y1586" t="s">
        <v>4373</v>
      </c>
      <c r="AA1586" t="s">
        <v>3894</v>
      </c>
      <c r="AB1586" t="s">
        <v>181</v>
      </c>
    </row>
    <row r="1587" spans="1:28" x14ac:dyDescent="0.25">
      <c r="A1587" t="s">
        <v>4349</v>
      </c>
      <c r="B1587" t="s">
        <v>4350</v>
      </c>
      <c r="C1587" t="s">
        <v>646</v>
      </c>
      <c r="D1587" t="s">
        <v>3779</v>
      </c>
      <c r="E1587" t="s">
        <v>647</v>
      </c>
      <c r="F1587" t="s">
        <v>3780</v>
      </c>
      <c r="G1587" t="s">
        <v>769</v>
      </c>
      <c r="H1587" t="s">
        <v>679</v>
      </c>
      <c r="I1587" t="s">
        <v>2242</v>
      </c>
      <c r="J1587" t="s">
        <v>2243</v>
      </c>
      <c r="K1587" t="s">
        <v>166</v>
      </c>
      <c r="L1587" t="s">
        <v>0</v>
      </c>
      <c r="M1587" t="s">
        <v>178</v>
      </c>
      <c r="N1587">
        <v>179</v>
      </c>
      <c r="O1587">
        <v>50</v>
      </c>
      <c r="P1587">
        <v>2514.4499999999998</v>
      </c>
      <c r="Q1587">
        <v>4568.34</v>
      </c>
      <c r="R1587">
        <v>911.03092532999995</v>
      </c>
      <c r="S1587">
        <v>647.46299816999999</v>
      </c>
      <c r="T1587">
        <v>591.15092532999995</v>
      </c>
      <c r="U1587">
        <v>0</v>
      </c>
      <c r="V1587">
        <v>921.33</v>
      </c>
      <c r="W1587" t="s">
        <v>1601</v>
      </c>
      <c r="X1587" t="s">
        <v>269</v>
      </c>
      <c r="Y1587" t="s">
        <v>4351</v>
      </c>
      <c r="AA1587" t="s">
        <v>4352</v>
      </c>
      <c r="AB1587" t="s">
        <v>181</v>
      </c>
    </row>
    <row r="1588" spans="1:28" x14ac:dyDescent="0.25">
      <c r="A1588" t="s">
        <v>3973</v>
      </c>
      <c r="B1588" t="s">
        <v>3974</v>
      </c>
      <c r="C1588" t="s">
        <v>646</v>
      </c>
      <c r="D1588" t="s">
        <v>3779</v>
      </c>
      <c r="E1588" t="s">
        <v>647</v>
      </c>
      <c r="F1588" t="s">
        <v>3780</v>
      </c>
      <c r="G1588" t="s">
        <v>769</v>
      </c>
      <c r="H1588" t="s">
        <v>761</v>
      </c>
      <c r="I1588" t="s">
        <v>880</v>
      </c>
      <c r="J1588" t="s">
        <v>881</v>
      </c>
      <c r="K1588" t="s">
        <v>166</v>
      </c>
      <c r="L1588" t="s">
        <v>0</v>
      </c>
      <c r="M1588" t="s">
        <v>178</v>
      </c>
      <c r="N1588">
        <v>71</v>
      </c>
      <c r="O1588">
        <v>47</v>
      </c>
      <c r="P1588">
        <v>1608.42</v>
      </c>
      <c r="Q1588">
        <v>2507.84</v>
      </c>
      <c r="R1588">
        <v>225.83552875999999</v>
      </c>
      <c r="S1588">
        <v>418.40389234000003</v>
      </c>
      <c r="T1588">
        <v>0.30552876000000001</v>
      </c>
      <c r="U1588">
        <v>32.549999999999997</v>
      </c>
      <c r="V1588">
        <v>258.08</v>
      </c>
      <c r="W1588" t="s">
        <v>0</v>
      </c>
      <c r="X1588" t="s">
        <v>271</v>
      </c>
      <c r="Y1588" t="s">
        <v>3975</v>
      </c>
      <c r="AA1588" t="s">
        <v>3976</v>
      </c>
      <c r="AB1588" t="s">
        <v>181</v>
      </c>
    </row>
    <row r="1589" spans="1:28" x14ac:dyDescent="0.25">
      <c r="A1589" t="s">
        <v>3806</v>
      </c>
      <c r="B1589" t="s">
        <v>3807</v>
      </c>
      <c r="C1589" t="s">
        <v>646</v>
      </c>
      <c r="D1589" t="s">
        <v>3779</v>
      </c>
      <c r="E1589" t="s">
        <v>647</v>
      </c>
      <c r="F1589" t="s">
        <v>3780</v>
      </c>
      <c r="G1589" t="s">
        <v>769</v>
      </c>
      <c r="H1589" t="s">
        <v>679</v>
      </c>
      <c r="I1589" t="s">
        <v>2071</v>
      </c>
      <c r="J1589" t="s">
        <v>1664</v>
      </c>
      <c r="K1589" t="s">
        <v>166</v>
      </c>
      <c r="L1589" t="s">
        <v>0</v>
      </c>
      <c r="M1589" t="s">
        <v>178</v>
      </c>
      <c r="N1589">
        <v>466</v>
      </c>
      <c r="O1589">
        <v>292</v>
      </c>
      <c r="P1589">
        <v>5666.92</v>
      </c>
      <c r="Q1589">
        <v>17708.41</v>
      </c>
      <c r="R1589">
        <v>1500.5801224700001</v>
      </c>
      <c r="S1589">
        <v>4161.2545186200005</v>
      </c>
      <c r="T1589">
        <v>539.83012246999999</v>
      </c>
      <c r="U1589">
        <v>0</v>
      </c>
      <c r="V1589">
        <v>1524.24</v>
      </c>
      <c r="W1589" t="s">
        <v>1665</v>
      </c>
      <c r="X1589" t="s">
        <v>271</v>
      </c>
      <c r="Y1589" t="s">
        <v>3808</v>
      </c>
      <c r="AA1589" t="s">
        <v>3809</v>
      </c>
      <c r="AB1589" t="s">
        <v>181</v>
      </c>
    </row>
    <row r="1590" spans="1:28" x14ac:dyDescent="0.25">
      <c r="A1590" t="s">
        <v>4092</v>
      </c>
      <c r="B1590" t="s">
        <v>4093</v>
      </c>
      <c r="C1590" t="s">
        <v>646</v>
      </c>
      <c r="D1590" t="s">
        <v>3779</v>
      </c>
      <c r="E1590" t="s">
        <v>647</v>
      </c>
      <c r="F1590" t="s">
        <v>3780</v>
      </c>
      <c r="G1590" t="s">
        <v>769</v>
      </c>
      <c r="H1590" t="s">
        <v>679</v>
      </c>
      <c r="I1590" t="s">
        <v>4094</v>
      </c>
      <c r="J1590" t="s">
        <v>370</v>
      </c>
      <c r="K1590" t="s">
        <v>166</v>
      </c>
      <c r="L1590" t="s">
        <v>0</v>
      </c>
      <c r="M1590" t="s">
        <v>178</v>
      </c>
      <c r="N1590">
        <v>128</v>
      </c>
      <c r="O1590">
        <v>96</v>
      </c>
      <c r="P1590">
        <v>1769.64</v>
      </c>
      <c r="Q1590">
        <v>5311.02</v>
      </c>
      <c r="R1590">
        <v>146.18661105999999</v>
      </c>
      <c r="S1590">
        <v>1924.6220896</v>
      </c>
      <c r="T1590">
        <v>-0.99338894</v>
      </c>
      <c r="U1590">
        <v>0</v>
      </c>
      <c r="V1590">
        <v>147.18</v>
      </c>
      <c r="W1590" t="s">
        <v>314</v>
      </c>
      <c r="X1590" t="s">
        <v>271</v>
      </c>
      <c r="Y1590" t="s">
        <v>4095</v>
      </c>
      <c r="Z1590" t="s">
        <v>4096</v>
      </c>
      <c r="AA1590" t="s">
        <v>4097</v>
      </c>
      <c r="AB1590" t="s">
        <v>181</v>
      </c>
    </row>
    <row r="1591" spans="1:28" x14ac:dyDescent="0.25">
      <c r="A1591" t="s">
        <v>3888</v>
      </c>
      <c r="B1591" t="s">
        <v>3889</v>
      </c>
      <c r="C1591" t="s">
        <v>646</v>
      </c>
      <c r="D1591" t="s">
        <v>3779</v>
      </c>
      <c r="E1591" t="s">
        <v>647</v>
      </c>
      <c r="F1591" t="s">
        <v>3780</v>
      </c>
      <c r="G1591" t="s">
        <v>769</v>
      </c>
      <c r="H1591" t="s">
        <v>703</v>
      </c>
      <c r="I1591" t="s">
        <v>1368</v>
      </c>
      <c r="J1591" t="s">
        <v>1369</v>
      </c>
      <c r="K1591" t="s">
        <v>166</v>
      </c>
      <c r="L1591" t="s">
        <v>0</v>
      </c>
      <c r="M1591" t="s">
        <v>178</v>
      </c>
      <c r="N1591">
        <v>109</v>
      </c>
      <c r="O1591">
        <v>33</v>
      </c>
      <c r="P1591">
        <v>2244.81</v>
      </c>
      <c r="Q1591">
        <v>2608.0300000000002</v>
      </c>
      <c r="R1591">
        <v>274.22278412999998</v>
      </c>
      <c r="S1591">
        <v>343.99256824999998</v>
      </c>
      <c r="T1591">
        <v>2.7841300000000001E-3</v>
      </c>
      <c r="U1591">
        <v>0</v>
      </c>
      <c r="V1591">
        <v>274.22000000000003</v>
      </c>
      <c r="W1591" t="s">
        <v>1370</v>
      </c>
      <c r="X1591" t="s">
        <v>271</v>
      </c>
      <c r="Y1591" t="s">
        <v>3890</v>
      </c>
      <c r="AA1591" t="s">
        <v>3891</v>
      </c>
      <c r="AB1591" t="s">
        <v>181</v>
      </c>
    </row>
    <row r="1592" spans="1:28" x14ac:dyDescent="0.25">
      <c r="A1592" t="s">
        <v>3797</v>
      </c>
      <c r="B1592" t="s">
        <v>3798</v>
      </c>
      <c r="C1592" t="s">
        <v>646</v>
      </c>
      <c r="D1592" t="s">
        <v>3779</v>
      </c>
      <c r="E1592" t="s">
        <v>647</v>
      </c>
      <c r="F1592" t="s">
        <v>3780</v>
      </c>
      <c r="G1592" t="s">
        <v>769</v>
      </c>
      <c r="H1592" t="s">
        <v>757</v>
      </c>
      <c r="I1592" t="s">
        <v>725</v>
      </c>
      <c r="J1592" t="s">
        <v>726</v>
      </c>
      <c r="K1592" t="s">
        <v>166</v>
      </c>
      <c r="L1592" t="s">
        <v>0</v>
      </c>
      <c r="M1592" t="s">
        <v>178</v>
      </c>
      <c r="N1592">
        <v>2081.5</v>
      </c>
      <c r="O1592">
        <v>1050.5</v>
      </c>
      <c r="P1592">
        <v>43459.92</v>
      </c>
      <c r="Q1592">
        <v>58687.05</v>
      </c>
      <c r="R1592">
        <v>1406.88497016</v>
      </c>
      <c r="S1592">
        <v>9602.2663222400006</v>
      </c>
      <c r="T1592">
        <v>7048.3949701600004</v>
      </c>
      <c r="U1592">
        <v>3493.25</v>
      </c>
      <c r="V1592">
        <v>5607.97</v>
      </c>
      <c r="W1592" t="s">
        <v>0</v>
      </c>
      <c r="X1592" t="s">
        <v>271</v>
      </c>
      <c r="Y1592" t="s">
        <v>3799</v>
      </c>
      <c r="AA1592" t="s">
        <v>3800</v>
      </c>
      <c r="AB1592" t="s">
        <v>181</v>
      </c>
    </row>
    <row r="1593" spans="1:28" x14ac:dyDescent="0.25">
      <c r="A1593" t="s">
        <v>4102</v>
      </c>
      <c r="B1593" t="s">
        <v>4103</v>
      </c>
      <c r="C1593" t="s">
        <v>646</v>
      </c>
      <c r="D1593" t="s">
        <v>3779</v>
      </c>
      <c r="E1593" t="s">
        <v>647</v>
      </c>
      <c r="F1593" t="s">
        <v>3780</v>
      </c>
      <c r="G1593" t="s">
        <v>769</v>
      </c>
      <c r="H1593" t="s">
        <v>649</v>
      </c>
      <c r="I1593" t="s">
        <v>4104</v>
      </c>
      <c r="J1593" t="s">
        <v>4105</v>
      </c>
      <c r="K1593" t="s">
        <v>166</v>
      </c>
      <c r="L1593" t="s">
        <v>0</v>
      </c>
      <c r="M1593" t="s">
        <v>178</v>
      </c>
      <c r="N1593">
        <v>904</v>
      </c>
      <c r="O1593">
        <v>743</v>
      </c>
      <c r="P1593">
        <v>11649.53</v>
      </c>
      <c r="Q1593">
        <v>40380.870000000003</v>
      </c>
      <c r="R1593">
        <v>4118.3900000000003</v>
      </c>
      <c r="S1593">
        <v>3193.66166604</v>
      </c>
      <c r="T1593">
        <v>0</v>
      </c>
      <c r="U1593">
        <v>0</v>
      </c>
      <c r="V1593">
        <v>4118.3900000000003</v>
      </c>
      <c r="W1593" t="s">
        <v>4106</v>
      </c>
      <c r="X1593" t="s">
        <v>269</v>
      </c>
      <c r="Y1593" t="s">
        <v>4107</v>
      </c>
      <c r="AA1593" t="s">
        <v>4108</v>
      </c>
      <c r="AB1593" t="s">
        <v>181</v>
      </c>
    </row>
    <row r="1594" spans="1:28" x14ac:dyDescent="0.25">
      <c r="A1594" t="s">
        <v>3888</v>
      </c>
      <c r="B1594" t="s">
        <v>3889</v>
      </c>
      <c r="C1594" t="s">
        <v>646</v>
      </c>
      <c r="D1594" t="s">
        <v>3779</v>
      </c>
      <c r="E1594" t="s">
        <v>647</v>
      </c>
      <c r="F1594" t="s">
        <v>3780</v>
      </c>
      <c r="G1594" t="s">
        <v>769</v>
      </c>
      <c r="H1594" t="s">
        <v>761</v>
      </c>
      <c r="I1594" t="s">
        <v>1368</v>
      </c>
      <c r="J1594" t="s">
        <v>1369</v>
      </c>
      <c r="K1594" t="s">
        <v>166</v>
      </c>
      <c r="L1594" t="s">
        <v>0</v>
      </c>
      <c r="M1594" t="s">
        <v>178</v>
      </c>
      <c r="N1594">
        <v>113</v>
      </c>
      <c r="O1594">
        <v>113</v>
      </c>
      <c r="P1594">
        <v>4002.48</v>
      </c>
      <c r="Q1594">
        <v>2661.57</v>
      </c>
      <c r="R1594">
        <v>82.51</v>
      </c>
      <c r="S1594">
        <v>462.45051493</v>
      </c>
      <c r="T1594">
        <v>0</v>
      </c>
      <c r="U1594">
        <v>0</v>
      </c>
      <c r="V1594">
        <v>82.51</v>
      </c>
      <c r="W1594" t="s">
        <v>1370</v>
      </c>
      <c r="X1594" t="s">
        <v>271</v>
      </c>
      <c r="Y1594" t="s">
        <v>3890</v>
      </c>
      <c r="AA1594" t="s">
        <v>3891</v>
      </c>
      <c r="AB1594" t="s">
        <v>181</v>
      </c>
    </row>
    <row r="1595" spans="1:28" x14ac:dyDescent="0.25">
      <c r="A1595" t="s">
        <v>4082</v>
      </c>
      <c r="B1595" t="s">
        <v>257</v>
      </c>
      <c r="C1595" t="s">
        <v>646</v>
      </c>
      <c r="D1595" t="s">
        <v>3779</v>
      </c>
      <c r="E1595" t="s">
        <v>647</v>
      </c>
      <c r="F1595" t="s">
        <v>3780</v>
      </c>
      <c r="G1595" t="s">
        <v>769</v>
      </c>
      <c r="H1595" t="s">
        <v>713</v>
      </c>
      <c r="I1595" t="s">
        <v>4083</v>
      </c>
      <c r="J1595" t="s">
        <v>1972</v>
      </c>
      <c r="K1595" t="s">
        <v>166</v>
      </c>
      <c r="L1595" t="s">
        <v>0</v>
      </c>
      <c r="M1595" t="s">
        <v>178</v>
      </c>
      <c r="N1595">
        <v>197</v>
      </c>
      <c r="O1595">
        <v>0</v>
      </c>
      <c r="P1595">
        <v>4647.8900000000003</v>
      </c>
      <c r="Q1595">
        <v>2001.13</v>
      </c>
      <c r="R1595">
        <v>269.58643996000001</v>
      </c>
      <c r="S1595">
        <v>74.095283570000007</v>
      </c>
      <c r="T1595">
        <v>0.20643996000000001</v>
      </c>
      <c r="U1595">
        <v>0</v>
      </c>
      <c r="V1595">
        <v>269.38</v>
      </c>
      <c r="W1595" t="s">
        <v>1973</v>
      </c>
      <c r="X1595" t="s">
        <v>271</v>
      </c>
      <c r="Y1595" t="s">
        <v>4084</v>
      </c>
      <c r="AA1595" t="s">
        <v>4085</v>
      </c>
      <c r="AB1595" t="s">
        <v>181</v>
      </c>
    </row>
    <row r="1596" spans="1:28" x14ac:dyDescent="0.25">
      <c r="A1596" t="s">
        <v>4147</v>
      </c>
      <c r="B1596" t="s">
        <v>4148</v>
      </c>
      <c r="C1596" t="s">
        <v>646</v>
      </c>
      <c r="D1596" t="s">
        <v>3779</v>
      </c>
      <c r="E1596" t="s">
        <v>647</v>
      </c>
      <c r="F1596" t="s">
        <v>3780</v>
      </c>
      <c r="G1596" t="s">
        <v>769</v>
      </c>
      <c r="H1596" t="s">
        <v>797</v>
      </c>
      <c r="I1596" t="s">
        <v>1301</v>
      </c>
      <c r="J1596" t="s">
        <v>1302</v>
      </c>
      <c r="K1596" t="s">
        <v>166</v>
      </c>
      <c r="L1596" t="s">
        <v>0</v>
      </c>
      <c r="M1596" t="s">
        <v>178</v>
      </c>
      <c r="N1596">
        <v>42</v>
      </c>
      <c r="O1596">
        <v>42</v>
      </c>
      <c r="P1596">
        <v>446</v>
      </c>
      <c r="Q1596">
        <v>1424.36</v>
      </c>
      <c r="R1596">
        <v>353.37245546999998</v>
      </c>
      <c r="S1596">
        <v>301.44819045000003</v>
      </c>
      <c r="T1596">
        <v>1.245547E-2</v>
      </c>
      <c r="U1596">
        <v>0</v>
      </c>
      <c r="V1596">
        <v>353.36</v>
      </c>
      <c r="W1596" t="s">
        <v>1303</v>
      </c>
      <c r="X1596" t="s">
        <v>269</v>
      </c>
      <c r="Y1596" t="s">
        <v>4149</v>
      </c>
      <c r="AA1596" t="s">
        <v>4150</v>
      </c>
      <c r="AB1596" t="s">
        <v>181</v>
      </c>
    </row>
    <row r="1597" spans="1:28" x14ac:dyDescent="0.25">
      <c r="A1597" t="s">
        <v>4179</v>
      </c>
      <c r="B1597" t="s">
        <v>4180</v>
      </c>
      <c r="C1597" t="s">
        <v>646</v>
      </c>
      <c r="D1597" t="s">
        <v>3779</v>
      </c>
      <c r="E1597" t="s">
        <v>647</v>
      </c>
      <c r="F1597" t="s">
        <v>3780</v>
      </c>
      <c r="G1597" t="s">
        <v>769</v>
      </c>
      <c r="H1597" t="s">
        <v>757</v>
      </c>
      <c r="I1597" t="s">
        <v>4181</v>
      </c>
      <c r="J1597" t="s">
        <v>816</v>
      </c>
      <c r="K1597" t="s">
        <v>166</v>
      </c>
      <c r="L1597" t="s">
        <v>0</v>
      </c>
      <c r="M1597" t="s">
        <v>178</v>
      </c>
      <c r="N1597">
        <v>198</v>
      </c>
      <c r="O1597">
        <v>161</v>
      </c>
      <c r="P1597">
        <v>4268.1099999999997</v>
      </c>
      <c r="Q1597">
        <v>7403.85</v>
      </c>
      <c r="R1597">
        <v>1606.56</v>
      </c>
      <c r="S1597">
        <v>963.42076395000004</v>
      </c>
      <c r="T1597">
        <v>0</v>
      </c>
      <c r="U1597">
        <v>0</v>
      </c>
      <c r="V1597">
        <v>1606.56</v>
      </c>
      <c r="W1597" t="s">
        <v>1490</v>
      </c>
      <c r="X1597" t="s">
        <v>271</v>
      </c>
      <c r="Y1597" t="s">
        <v>4182</v>
      </c>
      <c r="AA1597" t="s">
        <v>4183</v>
      </c>
      <c r="AB1597" t="s">
        <v>181</v>
      </c>
    </row>
    <row r="1598" spans="1:28" x14ac:dyDescent="0.25">
      <c r="A1598" t="s">
        <v>4102</v>
      </c>
      <c r="B1598" t="s">
        <v>4103</v>
      </c>
      <c r="C1598" t="s">
        <v>646</v>
      </c>
      <c r="D1598" t="s">
        <v>3779</v>
      </c>
      <c r="E1598" t="s">
        <v>647</v>
      </c>
      <c r="F1598" t="s">
        <v>3780</v>
      </c>
      <c r="G1598" t="s">
        <v>769</v>
      </c>
      <c r="H1598" t="s">
        <v>683</v>
      </c>
      <c r="I1598" t="s">
        <v>4104</v>
      </c>
      <c r="J1598" t="s">
        <v>4105</v>
      </c>
      <c r="K1598" t="s">
        <v>166</v>
      </c>
      <c r="L1598" t="s">
        <v>0</v>
      </c>
      <c r="M1598" t="s">
        <v>178</v>
      </c>
      <c r="N1598">
        <v>744</v>
      </c>
      <c r="O1598">
        <v>528</v>
      </c>
      <c r="P1598">
        <v>10649.9</v>
      </c>
      <c r="Q1598">
        <v>27416.07</v>
      </c>
      <c r="R1598">
        <v>5446.5538238299996</v>
      </c>
      <c r="S1598">
        <v>4849.1632838400001</v>
      </c>
      <c r="T1598">
        <v>3.6238238300000001</v>
      </c>
      <c r="U1598">
        <v>0</v>
      </c>
      <c r="V1598">
        <v>5442.93</v>
      </c>
      <c r="W1598" t="s">
        <v>4106</v>
      </c>
      <c r="X1598" t="s">
        <v>269</v>
      </c>
      <c r="Y1598" t="s">
        <v>4107</v>
      </c>
      <c r="AA1598" t="s">
        <v>4108</v>
      </c>
      <c r="AB1598" t="s">
        <v>181</v>
      </c>
    </row>
    <row r="1599" spans="1:28" x14ac:dyDescent="0.25">
      <c r="A1599" t="s">
        <v>4256</v>
      </c>
      <c r="B1599" t="s">
        <v>4257</v>
      </c>
      <c r="C1599" t="s">
        <v>646</v>
      </c>
      <c r="D1599" t="s">
        <v>3779</v>
      </c>
      <c r="E1599" t="s">
        <v>647</v>
      </c>
      <c r="F1599" t="s">
        <v>3780</v>
      </c>
      <c r="G1599" t="s">
        <v>769</v>
      </c>
      <c r="H1599" t="s">
        <v>856</v>
      </c>
      <c r="I1599" t="s">
        <v>2284</v>
      </c>
      <c r="J1599" t="s">
        <v>2285</v>
      </c>
      <c r="K1599" t="s">
        <v>166</v>
      </c>
      <c r="L1599" t="s">
        <v>0</v>
      </c>
      <c r="M1599" t="s">
        <v>178</v>
      </c>
      <c r="N1599">
        <v>95</v>
      </c>
      <c r="O1599">
        <v>30</v>
      </c>
      <c r="P1599">
        <v>2370.0300000000002</v>
      </c>
      <c r="Q1599">
        <v>13653.64</v>
      </c>
      <c r="R1599">
        <v>1925.13</v>
      </c>
      <c r="S1599">
        <v>201.29265599999999</v>
      </c>
      <c r="T1599">
        <v>0</v>
      </c>
      <c r="U1599">
        <v>0</v>
      </c>
      <c r="V1599">
        <v>1925.13</v>
      </c>
      <c r="W1599" t="s">
        <v>453</v>
      </c>
      <c r="X1599" t="s">
        <v>271</v>
      </c>
      <c r="Y1599" t="s">
        <v>4258</v>
      </c>
      <c r="AA1599" t="s">
        <v>4259</v>
      </c>
      <c r="AB1599" t="s">
        <v>181</v>
      </c>
    </row>
    <row r="1600" spans="1:28" x14ac:dyDescent="0.25">
      <c r="A1600" t="s">
        <v>4298</v>
      </c>
      <c r="B1600" t="s">
        <v>4299</v>
      </c>
      <c r="C1600" t="s">
        <v>646</v>
      </c>
      <c r="D1600" t="s">
        <v>3779</v>
      </c>
      <c r="E1600" t="s">
        <v>647</v>
      </c>
      <c r="F1600" t="s">
        <v>666</v>
      </c>
      <c r="G1600" t="s">
        <v>666</v>
      </c>
      <c r="H1600" t="s">
        <v>713</v>
      </c>
      <c r="I1600" t="s">
        <v>4300</v>
      </c>
      <c r="J1600" t="s">
        <v>511</v>
      </c>
      <c r="K1600" t="s">
        <v>166</v>
      </c>
      <c r="L1600" t="s">
        <v>0</v>
      </c>
      <c r="M1600" t="s">
        <v>178</v>
      </c>
      <c r="N1600">
        <v>422</v>
      </c>
      <c r="O1600">
        <v>225</v>
      </c>
      <c r="P1600">
        <v>10349.799999999999</v>
      </c>
      <c r="Q1600">
        <v>4346.13</v>
      </c>
      <c r="R1600">
        <v>228.20701503000001</v>
      </c>
      <c r="S1600">
        <v>569.17377150000004</v>
      </c>
      <c r="T1600">
        <v>-0.10298497</v>
      </c>
      <c r="U1600">
        <v>353.8</v>
      </c>
      <c r="V1600">
        <v>582.11</v>
      </c>
      <c r="W1600" t="s">
        <v>510</v>
      </c>
      <c r="X1600" t="s">
        <v>271</v>
      </c>
      <c r="Y1600" t="s">
        <v>4301</v>
      </c>
      <c r="Z1600" t="s">
        <v>4302</v>
      </c>
      <c r="AA1600" t="s">
        <v>4303</v>
      </c>
      <c r="AB1600" t="s">
        <v>181</v>
      </c>
    </row>
    <row r="1601" spans="1:28" x14ac:dyDescent="0.25">
      <c r="A1601" t="s">
        <v>4244</v>
      </c>
      <c r="B1601" t="s">
        <v>4245</v>
      </c>
      <c r="C1601" t="s">
        <v>646</v>
      </c>
      <c r="D1601" t="s">
        <v>3779</v>
      </c>
      <c r="E1601" t="s">
        <v>647</v>
      </c>
      <c r="F1601" t="s">
        <v>3780</v>
      </c>
      <c r="G1601" t="s">
        <v>769</v>
      </c>
      <c r="H1601" t="s">
        <v>679</v>
      </c>
      <c r="I1601" t="s">
        <v>1251</v>
      </c>
      <c r="J1601" t="s">
        <v>821</v>
      </c>
      <c r="K1601" t="s">
        <v>166</v>
      </c>
      <c r="L1601" t="s">
        <v>0</v>
      </c>
      <c r="M1601" t="s">
        <v>178</v>
      </c>
      <c r="N1601">
        <v>196.89169999999999</v>
      </c>
      <c r="O1601">
        <v>156.66669999999999</v>
      </c>
      <c r="P1601">
        <v>3044.15</v>
      </c>
      <c r="Q1601">
        <v>14290.44</v>
      </c>
      <c r="R1601">
        <v>2379.5917169999998</v>
      </c>
      <c r="S1601">
        <v>5627.4414627599999</v>
      </c>
      <c r="T1601">
        <v>-21.408283000000001</v>
      </c>
      <c r="U1601">
        <v>0</v>
      </c>
      <c r="V1601">
        <v>2401</v>
      </c>
      <c r="W1601" t="s">
        <v>822</v>
      </c>
      <c r="X1601" t="s">
        <v>269</v>
      </c>
      <c r="Y1601" t="s">
        <v>4246</v>
      </c>
      <c r="AA1601" t="s">
        <v>4247</v>
      </c>
      <c r="AB1601" t="s">
        <v>181</v>
      </c>
    </row>
    <row r="1602" spans="1:28" x14ac:dyDescent="0.25">
      <c r="A1602" t="s">
        <v>4236</v>
      </c>
      <c r="B1602" t="s">
        <v>4237</v>
      </c>
      <c r="C1602" t="s">
        <v>646</v>
      </c>
      <c r="D1602" t="s">
        <v>3779</v>
      </c>
      <c r="E1602" t="s">
        <v>647</v>
      </c>
      <c r="F1602" t="s">
        <v>3780</v>
      </c>
      <c r="G1602" t="s">
        <v>769</v>
      </c>
      <c r="H1602" t="s">
        <v>672</v>
      </c>
      <c r="I1602" t="s">
        <v>1546</v>
      </c>
      <c r="J1602" t="s">
        <v>1547</v>
      </c>
      <c r="K1602" t="s">
        <v>166</v>
      </c>
      <c r="L1602" t="s">
        <v>0</v>
      </c>
      <c r="M1602" t="s">
        <v>178</v>
      </c>
      <c r="N1602">
        <v>57</v>
      </c>
      <c r="O1602">
        <v>40</v>
      </c>
      <c r="P1602">
        <v>1229.8800000000001</v>
      </c>
      <c r="Q1602">
        <v>2805.09</v>
      </c>
      <c r="R1602">
        <v>178.85634684999999</v>
      </c>
      <c r="S1602">
        <v>584.70341814999995</v>
      </c>
      <c r="T1602">
        <v>0.10634685000000001</v>
      </c>
      <c r="U1602">
        <v>0</v>
      </c>
      <c r="V1602">
        <v>178.75</v>
      </c>
      <c r="W1602" t="s">
        <v>1548</v>
      </c>
      <c r="X1602" t="s">
        <v>271</v>
      </c>
      <c r="Y1602" t="s">
        <v>4238</v>
      </c>
      <c r="AA1602" t="s">
        <v>4239</v>
      </c>
      <c r="AB1602" t="s">
        <v>181</v>
      </c>
    </row>
    <row r="1603" spans="1:28" x14ac:dyDescent="0.25">
      <c r="A1603" t="s">
        <v>4280</v>
      </c>
      <c r="B1603" t="s">
        <v>4281</v>
      </c>
      <c r="C1603" t="s">
        <v>646</v>
      </c>
      <c r="D1603" t="s">
        <v>3779</v>
      </c>
      <c r="E1603" t="s">
        <v>647</v>
      </c>
      <c r="F1603" t="s">
        <v>3780</v>
      </c>
      <c r="G1603" t="s">
        <v>769</v>
      </c>
      <c r="H1603" t="s">
        <v>797</v>
      </c>
      <c r="I1603" t="s">
        <v>1872</v>
      </c>
      <c r="J1603" t="s">
        <v>1873</v>
      </c>
      <c r="K1603" t="s">
        <v>166</v>
      </c>
      <c r="L1603" t="s">
        <v>0</v>
      </c>
      <c r="M1603" t="s">
        <v>178</v>
      </c>
      <c r="N1603">
        <v>82</v>
      </c>
      <c r="O1603">
        <v>28</v>
      </c>
      <c r="P1603">
        <v>890.11</v>
      </c>
      <c r="Q1603">
        <v>2992.73</v>
      </c>
      <c r="R1603">
        <v>595.93688349000001</v>
      </c>
      <c r="S1603">
        <v>254.87050862999999</v>
      </c>
      <c r="T1603">
        <v>3.6883489999999998E-2</v>
      </c>
      <c r="U1603">
        <v>0</v>
      </c>
      <c r="V1603">
        <v>595.9</v>
      </c>
      <c r="W1603" t="s">
        <v>1874</v>
      </c>
      <c r="X1603" t="s">
        <v>271</v>
      </c>
      <c r="Y1603" t="s">
        <v>4282</v>
      </c>
      <c r="AA1603" t="s">
        <v>4283</v>
      </c>
      <c r="AB1603" t="s">
        <v>181</v>
      </c>
    </row>
    <row r="1604" spans="1:28" x14ac:dyDescent="0.25">
      <c r="A1604" t="s">
        <v>4179</v>
      </c>
      <c r="B1604" t="s">
        <v>4180</v>
      </c>
      <c r="C1604" t="s">
        <v>646</v>
      </c>
      <c r="D1604" t="s">
        <v>3779</v>
      </c>
      <c r="E1604" t="s">
        <v>647</v>
      </c>
      <c r="F1604" t="s">
        <v>3780</v>
      </c>
      <c r="G1604" t="s">
        <v>769</v>
      </c>
      <c r="H1604" t="s">
        <v>797</v>
      </c>
      <c r="I1604" t="s">
        <v>4181</v>
      </c>
      <c r="J1604" t="s">
        <v>816</v>
      </c>
      <c r="K1604" t="s">
        <v>166</v>
      </c>
      <c r="L1604" t="s">
        <v>0</v>
      </c>
      <c r="M1604" t="s">
        <v>178</v>
      </c>
      <c r="N1604">
        <v>27</v>
      </c>
      <c r="O1604">
        <v>6</v>
      </c>
      <c r="P1604">
        <v>271.51</v>
      </c>
      <c r="Q1604">
        <v>1444.26</v>
      </c>
      <c r="R1604">
        <v>326.64888780000001</v>
      </c>
      <c r="S1604">
        <v>33.945715929999999</v>
      </c>
      <c r="T1604">
        <v>8.8877999999999995E-3</v>
      </c>
      <c r="U1604">
        <v>0</v>
      </c>
      <c r="V1604">
        <v>326.64</v>
      </c>
      <c r="W1604" t="s">
        <v>1490</v>
      </c>
      <c r="X1604" t="s">
        <v>271</v>
      </c>
      <c r="Y1604" t="s">
        <v>4182</v>
      </c>
      <c r="AA1604" t="s">
        <v>4183</v>
      </c>
      <c r="AB1604" t="s">
        <v>181</v>
      </c>
    </row>
    <row r="1605" spans="1:28" x14ac:dyDescent="0.25">
      <c r="A1605" t="s">
        <v>4051</v>
      </c>
      <c r="B1605" t="s">
        <v>4052</v>
      </c>
      <c r="C1605" t="s">
        <v>646</v>
      </c>
      <c r="D1605" t="s">
        <v>3779</v>
      </c>
      <c r="E1605" t="s">
        <v>647</v>
      </c>
      <c r="F1605" t="s">
        <v>3780</v>
      </c>
      <c r="G1605" t="s">
        <v>769</v>
      </c>
      <c r="H1605" t="s">
        <v>962</v>
      </c>
      <c r="I1605" t="s">
        <v>4053</v>
      </c>
      <c r="J1605" t="s">
        <v>4054</v>
      </c>
      <c r="K1605" t="s">
        <v>166</v>
      </c>
      <c r="L1605" t="s">
        <v>0</v>
      </c>
      <c r="M1605" t="s">
        <v>178</v>
      </c>
      <c r="N1605">
        <v>1730</v>
      </c>
      <c r="O1605">
        <v>58</v>
      </c>
      <c r="P1605">
        <v>39385.82</v>
      </c>
      <c r="Q1605">
        <v>97484.95</v>
      </c>
      <c r="R1605">
        <v>6007.01</v>
      </c>
      <c r="S1605">
        <v>3168.9686562100001</v>
      </c>
      <c r="T1605">
        <v>0</v>
      </c>
      <c r="U1605">
        <v>0</v>
      </c>
      <c r="V1605">
        <v>6007.01</v>
      </c>
      <c r="W1605" t="s">
        <v>2488</v>
      </c>
      <c r="X1605" t="s">
        <v>269</v>
      </c>
      <c r="Y1605" t="s">
        <v>4055</v>
      </c>
      <c r="AA1605" t="s">
        <v>4056</v>
      </c>
      <c r="AB1605" t="s">
        <v>181</v>
      </c>
    </row>
    <row r="1606" spans="1:28" x14ac:dyDescent="0.25">
      <c r="A1606" t="s">
        <v>3861</v>
      </c>
      <c r="B1606" t="s">
        <v>3862</v>
      </c>
      <c r="C1606" t="s">
        <v>646</v>
      </c>
      <c r="D1606" t="s">
        <v>3779</v>
      </c>
      <c r="E1606" t="s">
        <v>647</v>
      </c>
      <c r="F1606" t="s">
        <v>3780</v>
      </c>
      <c r="G1606" t="s">
        <v>769</v>
      </c>
      <c r="H1606" t="s">
        <v>962</v>
      </c>
      <c r="I1606" t="s">
        <v>2065</v>
      </c>
      <c r="J1606" t="s">
        <v>2066</v>
      </c>
      <c r="K1606" t="s">
        <v>166</v>
      </c>
      <c r="L1606" t="s">
        <v>0</v>
      </c>
      <c r="M1606" t="s">
        <v>178</v>
      </c>
      <c r="N1606">
        <v>53</v>
      </c>
      <c r="O1606">
        <v>50</v>
      </c>
      <c r="P1606">
        <v>967.82</v>
      </c>
      <c r="Q1606">
        <v>3459.17</v>
      </c>
      <c r="R1606">
        <v>817.07888778999995</v>
      </c>
      <c r="S1606">
        <v>571.37373712999999</v>
      </c>
      <c r="T1606">
        <v>8.8877899999999996E-3</v>
      </c>
      <c r="U1606">
        <v>0</v>
      </c>
      <c r="V1606">
        <v>817.07</v>
      </c>
      <c r="W1606" t="s">
        <v>2067</v>
      </c>
      <c r="X1606" t="s">
        <v>271</v>
      </c>
      <c r="Y1606" t="s">
        <v>3863</v>
      </c>
      <c r="AA1606" t="s">
        <v>3864</v>
      </c>
      <c r="AB1606" t="s">
        <v>181</v>
      </c>
    </row>
    <row r="1607" spans="1:28" x14ac:dyDescent="0.25">
      <c r="A1607" t="s">
        <v>3849</v>
      </c>
      <c r="B1607" t="s">
        <v>3850</v>
      </c>
      <c r="C1607" t="s">
        <v>646</v>
      </c>
      <c r="D1607" t="s">
        <v>3779</v>
      </c>
      <c r="E1607" t="s">
        <v>647</v>
      </c>
      <c r="F1607" t="s">
        <v>3780</v>
      </c>
      <c r="G1607" t="s">
        <v>769</v>
      </c>
      <c r="H1607" t="s">
        <v>717</v>
      </c>
      <c r="I1607" t="s">
        <v>1184</v>
      </c>
      <c r="J1607" t="s">
        <v>1185</v>
      </c>
      <c r="K1607" t="s">
        <v>166</v>
      </c>
      <c r="L1607" t="s">
        <v>0</v>
      </c>
      <c r="M1607" t="s">
        <v>178</v>
      </c>
      <c r="N1607">
        <v>10</v>
      </c>
      <c r="O1607">
        <v>9</v>
      </c>
      <c r="P1607">
        <v>336.66</v>
      </c>
      <c r="Q1607">
        <v>945.57</v>
      </c>
      <c r="R1607">
        <v>169.82</v>
      </c>
      <c r="S1607">
        <v>80.256964679999996</v>
      </c>
      <c r="T1607">
        <v>0</v>
      </c>
      <c r="U1607">
        <v>0</v>
      </c>
      <c r="V1607">
        <v>169.82</v>
      </c>
      <c r="W1607" t="s">
        <v>1186</v>
      </c>
      <c r="X1607" t="s">
        <v>271</v>
      </c>
      <c r="Y1607" t="s">
        <v>3851</v>
      </c>
      <c r="AA1607" t="s">
        <v>3852</v>
      </c>
      <c r="AB1607" t="s">
        <v>181</v>
      </c>
    </row>
    <row r="1608" spans="1:28" x14ac:dyDescent="0.25">
      <c r="A1608" t="s">
        <v>3977</v>
      </c>
      <c r="B1608" t="s">
        <v>3978</v>
      </c>
      <c r="C1608" t="s">
        <v>646</v>
      </c>
      <c r="D1608" t="s">
        <v>3779</v>
      </c>
      <c r="E1608" t="s">
        <v>647</v>
      </c>
      <c r="F1608" t="s">
        <v>3780</v>
      </c>
      <c r="G1608" t="s">
        <v>769</v>
      </c>
      <c r="H1608" t="s">
        <v>856</v>
      </c>
      <c r="I1608" t="s">
        <v>1489</v>
      </c>
      <c r="J1608" t="s">
        <v>816</v>
      </c>
      <c r="K1608" t="s">
        <v>166</v>
      </c>
      <c r="L1608" t="s">
        <v>0</v>
      </c>
      <c r="M1608" t="s">
        <v>178</v>
      </c>
      <c r="N1608">
        <v>11</v>
      </c>
      <c r="O1608">
        <v>2</v>
      </c>
      <c r="P1608">
        <v>200</v>
      </c>
      <c r="Q1608">
        <v>1212.45</v>
      </c>
      <c r="R1608">
        <v>256.56</v>
      </c>
      <c r="S1608">
        <v>64.655600000000007</v>
      </c>
      <c r="T1608">
        <v>0</v>
      </c>
      <c r="U1608">
        <v>0</v>
      </c>
      <c r="V1608">
        <v>256.56</v>
      </c>
      <c r="W1608" t="s">
        <v>817</v>
      </c>
      <c r="X1608" t="s">
        <v>271</v>
      </c>
      <c r="Y1608" t="s">
        <v>3979</v>
      </c>
      <c r="AA1608" t="s">
        <v>3980</v>
      </c>
      <c r="AB1608" t="s">
        <v>181</v>
      </c>
    </row>
    <row r="1609" spans="1:28" x14ac:dyDescent="0.25">
      <c r="A1609" t="s">
        <v>4127</v>
      </c>
      <c r="B1609" t="s">
        <v>4128</v>
      </c>
      <c r="C1609" t="s">
        <v>646</v>
      </c>
      <c r="D1609" t="s">
        <v>3779</v>
      </c>
      <c r="E1609" t="s">
        <v>647</v>
      </c>
      <c r="F1609" t="s">
        <v>3780</v>
      </c>
      <c r="G1609" t="s">
        <v>769</v>
      </c>
      <c r="H1609" t="s">
        <v>856</v>
      </c>
      <c r="I1609" t="s">
        <v>4129</v>
      </c>
      <c r="J1609" t="s">
        <v>2057</v>
      </c>
      <c r="K1609" t="s">
        <v>166</v>
      </c>
      <c r="L1609" t="s">
        <v>0</v>
      </c>
      <c r="M1609" t="s">
        <v>178</v>
      </c>
      <c r="N1609">
        <v>4</v>
      </c>
      <c r="O1609">
        <v>2</v>
      </c>
      <c r="P1609">
        <v>58.9</v>
      </c>
      <c r="Q1609">
        <v>707.95</v>
      </c>
      <c r="R1609">
        <v>55.44</v>
      </c>
      <c r="S1609">
        <v>11.648</v>
      </c>
      <c r="T1609">
        <v>0</v>
      </c>
      <c r="U1609">
        <v>0</v>
      </c>
      <c r="V1609">
        <v>55.44</v>
      </c>
      <c r="W1609" t="s">
        <v>2058</v>
      </c>
      <c r="X1609" t="s">
        <v>271</v>
      </c>
      <c r="Y1609" t="s">
        <v>4130</v>
      </c>
      <c r="AA1609" t="s">
        <v>4131</v>
      </c>
      <c r="AB1609" t="s">
        <v>181</v>
      </c>
    </row>
    <row r="1610" spans="1:28" x14ac:dyDescent="0.25">
      <c r="A1610" t="s">
        <v>3900</v>
      </c>
      <c r="B1610" t="s">
        <v>3901</v>
      </c>
      <c r="C1610" t="s">
        <v>646</v>
      </c>
      <c r="D1610" t="s">
        <v>3779</v>
      </c>
      <c r="E1610" t="s">
        <v>647</v>
      </c>
      <c r="F1610" t="s">
        <v>3780</v>
      </c>
      <c r="G1610" t="s">
        <v>769</v>
      </c>
      <c r="H1610" t="s">
        <v>962</v>
      </c>
      <c r="I1610" t="s">
        <v>3902</v>
      </c>
      <c r="J1610" t="s">
        <v>1225</v>
      </c>
      <c r="K1610" t="s">
        <v>166</v>
      </c>
      <c r="L1610" t="s">
        <v>0</v>
      </c>
      <c r="M1610" t="s">
        <v>178</v>
      </c>
      <c r="N1610">
        <v>1</v>
      </c>
      <c r="O1610">
        <v>0</v>
      </c>
      <c r="P1610">
        <v>30</v>
      </c>
      <c r="Q1610">
        <v>56.06</v>
      </c>
      <c r="R1610">
        <v>11.06</v>
      </c>
      <c r="S1610">
        <v>4.5</v>
      </c>
      <c r="T1610">
        <v>0</v>
      </c>
      <c r="U1610">
        <v>0</v>
      </c>
      <c r="V1610">
        <v>11.06</v>
      </c>
      <c r="W1610" t="s">
        <v>0</v>
      </c>
      <c r="X1610" t="s">
        <v>271</v>
      </c>
      <c r="Y1610" t="s">
        <v>3903</v>
      </c>
      <c r="AA1610" t="s">
        <v>3904</v>
      </c>
      <c r="AB1610" t="s">
        <v>181</v>
      </c>
    </row>
    <row r="1611" spans="1:28" x14ac:dyDescent="0.25">
      <c r="A1611" t="s">
        <v>4326</v>
      </c>
      <c r="B1611" t="s">
        <v>4327</v>
      </c>
      <c r="C1611" t="s">
        <v>646</v>
      </c>
      <c r="D1611" t="s">
        <v>3779</v>
      </c>
      <c r="E1611" t="s">
        <v>647</v>
      </c>
      <c r="F1611" t="s">
        <v>3780</v>
      </c>
      <c r="G1611" t="s">
        <v>769</v>
      </c>
      <c r="H1611" t="s">
        <v>713</v>
      </c>
      <c r="I1611" t="s">
        <v>936</v>
      </c>
      <c r="J1611" t="s">
        <v>582</v>
      </c>
      <c r="K1611" t="s">
        <v>166</v>
      </c>
      <c r="L1611" t="s">
        <v>0</v>
      </c>
      <c r="M1611" t="s">
        <v>178</v>
      </c>
      <c r="N1611">
        <v>1</v>
      </c>
      <c r="O1611">
        <v>0</v>
      </c>
      <c r="P1611">
        <v>4</v>
      </c>
      <c r="Q1611">
        <v>15.18</v>
      </c>
      <c r="R1611">
        <v>0.74</v>
      </c>
      <c r="S1611">
        <v>1.5708</v>
      </c>
      <c r="T1611">
        <v>0</v>
      </c>
      <c r="U1611">
        <v>0</v>
      </c>
      <c r="V1611">
        <v>0.74</v>
      </c>
      <c r="W1611" t="s">
        <v>361</v>
      </c>
      <c r="X1611" t="s">
        <v>271</v>
      </c>
      <c r="Y1611" t="s">
        <v>4328</v>
      </c>
      <c r="AA1611" t="s">
        <v>4329</v>
      </c>
      <c r="AB1611" t="s">
        <v>181</v>
      </c>
    </row>
    <row r="1612" spans="1:28" x14ac:dyDescent="0.25">
      <c r="A1612" t="s">
        <v>4057</v>
      </c>
      <c r="B1612" t="s">
        <v>4058</v>
      </c>
      <c r="C1612" t="s">
        <v>646</v>
      </c>
      <c r="D1612" t="s">
        <v>3779</v>
      </c>
      <c r="E1612" t="s">
        <v>647</v>
      </c>
      <c r="F1612" t="s">
        <v>3780</v>
      </c>
      <c r="G1612" t="s">
        <v>769</v>
      </c>
      <c r="H1612" t="s">
        <v>703</v>
      </c>
      <c r="I1612" t="s">
        <v>1190</v>
      </c>
      <c r="J1612" t="s">
        <v>1191</v>
      </c>
      <c r="K1612" t="s">
        <v>166</v>
      </c>
      <c r="L1612" t="s">
        <v>0</v>
      </c>
      <c r="M1612" t="s">
        <v>178</v>
      </c>
      <c r="N1612">
        <v>2994.5</v>
      </c>
      <c r="O1612">
        <v>469.5</v>
      </c>
      <c r="P1612">
        <v>58317.11</v>
      </c>
      <c r="Q1612">
        <v>87923.81</v>
      </c>
      <c r="R1612">
        <v>4928.6169551800003</v>
      </c>
      <c r="S1612">
        <v>8303.84362874</v>
      </c>
      <c r="T1612">
        <v>3019.0369551799999</v>
      </c>
      <c r="U1612">
        <v>191.97</v>
      </c>
      <c r="V1612">
        <v>5650.24</v>
      </c>
      <c r="W1612" t="s">
        <v>282</v>
      </c>
      <c r="X1612" t="s">
        <v>271</v>
      </c>
      <c r="Y1612" t="s">
        <v>4059</v>
      </c>
      <c r="AA1612" t="s">
        <v>2171</v>
      </c>
      <c r="AB1612" t="s">
        <v>181</v>
      </c>
    </row>
    <row r="1613" spans="1:28" x14ac:dyDescent="0.25">
      <c r="A1613" t="s">
        <v>4308</v>
      </c>
      <c r="B1613" t="s">
        <v>4309</v>
      </c>
      <c r="C1613" t="s">
        <v>646</v>
      </c>
      <c r="D1613" t="s">
        <v>3779</v>
      </c>
      <c r="E1613" t="s">
        <v>647</v>
      </c>
      <c r="F1613" t="s">
        <v>3780</v>
      </c>
      <c r="G1613" t="s">
        <v>769</v>
      </c>
      <c r="H1613" t="s">
        <v>856</v>
      </c>
      <c r="I1613" t="s">
        <v>1184</v>
      </c>
      <c r="J1613" t="s">
        <v>1185</v>
      </c>
      <c r="K1613" t="s">
        <v>166</v>
      </c>
      <c r="L1613" t="s">
        <v>0</v>
      </c>
      <c r="M1613" t="s">
        <v>178</v>
      </c>
      <c r="N1613">
        <v>225</v>
      </c>
      <c r="O1613">
        <v>82</v>
      </c>
      <c r="P1613">
        <v>4164.4399999999996</v>
      </c>
      <c r="Q1613">
        <v>29680.04</v>
      </c>
      <c r="R1613">
        <v>3959.94</v>
      </c>
      <c r="S1613">
        <v>496.80498255999998</v>
      </c>
      <c r="T1613">
        <v>0</v>
      </c>
      <c r="U1613">
        <v>0</v>
      </c>
      <c r="V1613">
        <v>3959.94</v>
      </c>
      <c r="W1613" t="s">
        <v>1186</v>
      </c>
      <c r="X1613" t="s">
        <v>271</v>
      </c>
      <c r="Y1613" t="s">
        <v>4310</v>
      </c>
      <c r="AA1613" t="s">
        <v>4311</v>
      </c>
      <c r="AB1613" t="s">
        <v>181</v>
      </c>
    </row>
    <row r="1614" spans="1:28" x14ac:dyDescent="0.25">
      <c r="A1614" t="s">
        <v>4098</v>
      </c>
      <c r="B1614" t="s">
        <v>4099</v>
      </c>
      <c r="C1614" t="s">
        <v>646</v>
      </c>
      <c r="D1614" t="s">
        <v>3779</v>
      </c>
      <c r="E1614" t="s">
        <v>647</v>
      </c>
      <c r="F1614" t="s">
        <v>666</v>
      </c>
      <c r="G1614" t="s">
        <v>666</v>
      </c>
      <c r="H1614" t="s">
        <v>679</v>
      </c>
      <c r="I1614" t="s">
        <v>765</v>
      </c>
      <c r="J1614" t="s">
        <v>436</v>
      </c>
      <c r="K1614" t="s">
        <v>166</v>
      </c>
      <c r="L1614" t="s">
        <v>0</v>
      </c>
      <c r="M1614" t="s">
        <v>178</v>
      </c>
      <c r="N1614">
        <v>2394.6999999999998</v>
      </c>
      <c r="O1614">
        <v>1394.5</v>
      </c>
      <c r="P1614">
        <v>25057.99</v>
      </c>
      <c r="Q1614">
        <v>101195.82</v>
      </c>
      <c r="R1614">
        <v>-4383.3894346099996</v>
      </c>
      <c r="S1614">
        <v>35734.714993900001</v>
      </c>
      <c r="T1614">
        <v>1197.50056539</v>
      </c>
      <c r="U1614">
        <v>17300.080000000002</v>
      </c>
      <c r="V1614">
        <v>13401.06</v>
      </c>
      <c r="W1614" t="s">
        <v>0</v>
      </c>
      <c r="X1614" t="s">
        <v>271</v>
      </c>
      <c r="Y1614" t="s">
        <v>4100</v>
      </c>
      <c r="AA1614" t="s">
        <v>4101</v>
      </c>
      <c r="AB1614" t="s">
        <v>181</v>
      </c>
    </row>
    <row r="1615" spans="1:28" x14ac:dyDescent="0.25">
      <c r="A1615" t="s">
        <v>4143</v>
      </c>
      <c r="B1615" t="s">
        <v>4144</v>
      </c>
      <c r="C1615" t="s">
        <v>646</v>
      </c>
      <c r="D1615" t="s">
        <v>3779</v>
      </c>
      <c r="E1615" t="s">
        <v>647</v>
      </c>
      <c r="F1615" t="s">
        <v>3780</v>
      </c>
      <c r="G1615" t="s">
        <v>769</v>
      </c>
      <c r="H1615" t="s">
        <v>770</v>
      </c>
      <c r="I1615" t="s">
        <v>1828</v>
      </c>
      <c r="J1615" t="s">
        <v>1829</v>
      </c>
      <c r="K1615" t="s">
        <v>166</v>
      </c>
      <c r="L1615" t="s">
        <v>0</v>
      </c>
      <c r="M1615" t="s">
        <v>178</v>
      </c>
      <c r="N1615">
        <v>196</v>
      </c>
      <c r="O1615">
        <v>160</v>
      </c>
      <c r="P1615">
        <v>2053</v>
      </c>
      <c r="Q1615">
        <v>4950.26</v>
      </c>
      <c r="R1615">
        <v>1394.92</v>
      </c>
      <c r="S1615">
        <v>637.11073624999995</v>
      </c>
      <c r="T1615">
        <v>0</v>
      </c>
      <c r="U1615">
        <v>0</v>
      </c>
      <c r="V1615">
        <v>1394.92</v>
      </c>
      <c r="W1615" t="s">
        <v>1361</v>
      </c>
      <c r="X1615" t="s">
        <v>271</v>
      </c>
      <c r="Y1615" t="s">
        <v>4145</v>
      </c>
      <c r="AA1615" t="s">
        <v>4146</v>
      </c>
      <c r="AB1615" t="s">
        <v>181</v>
      </c>
    </row>
    <row r="1616" spans="1:28" x14ac:dyDescent="0.25">
      <c r="A1616" t="s">
        <v>4228</v>
      </c>
      <c r="B1616" t="s">
        <v>4229</v>
      </c>
      <c r="C1616" t="s">
        <v>646</v>
      </c>
      <c r="D1616" t="s">
        <v>3779</v>
      </c>
      <c r="E1616" t="s">
        <v>647</v>
      </c>
      <c r="F1616" t="s">
        <v>3780</v>
      </c>
      <c r="G1616" t="s">
        <v>769</v>
      </c>
      <c r="H1616" t="s">
        <v>770</v>
      </c>
      <c r="I1616" t="s">
        <v>1971</v>
      </c>
      <c r="J1616" t="s">
        <v>1972</v>
      </c>
      <c r="K1616" t="s">
        <v>166</v>
      </c>
      <c r="L1616" t="s">
        <v>0</v>
      </c>
      <c r="M1616" t="s">
        <v>178</v>
      </c>
      <c r="N1616">
        <v>1095.25</v>
      </c>
      <c r="O1616">
        <v>698.25</v>
      </c>
      <c r="P1616">
        <v>31472.799999999999</v>
      </c>
      <c r="Q1616">
        <v>31718.82</v>
      </c>
      <c r="R1616">
        <v>7732.09</v>
      </c>
      <c r="S1616">
        <v>3520.7316805300002</v>
      </c>
      <c r="T1616">
        <v>0</v>
      </c>
      <c r="U1616">
        <v>0</v>
      </c>
      <c r="V1616">
        <v>7732.09</v>
      </c>
      <c r="W1616" t="s">
        <v>1973</v>
      </c>
      <c r="X1616" t="s">
        <v>271</v>
      </c>
      <c r="Y1616" t="s">
        <v>4230</v>
      </c>
      <c r="AA1616" t="s">
        <v>4231</v>
      </c>
      <c r="AB1616" t="s">
        <v>181</v>
      </c>
    </row>
    <row r="1617" spans="1:28" x14ac:dyDescent="0.25">
      <c r="A1617" t="s">
        <v>4219</v>
      </c>
      <c r="B1617" t="s">
        <v>4220</v>
      </c>
      <c r="C1617" t="s">
        <v>646</v>
      </c>
      <c r="D1617" t="s">
        <v>3779</v>
      </c>
      <c r="E1617" t="s">
        <v>647</v>
      </c>
      <c r="F1617" t="s">
        <v>3780</v>
      </c>
      <c r="G1617" t="s">
        <v>769</v>
      </c>
      <c r="H1617" t="s">
        <v>770</v>
      </c>
      <c r="I1617" t="s">
        <v>1208</v>
      </c>
      <c r="J1617" t="s">
        <v>1209</v>
      </c>
      <c r="K1617" t="s">
        <v>166</v>
      </c>
      <c r="L1617" t="s">
        <v>0</v>
      </c>
      <c r="M1617" t="s">
        <v>178</v>
      </c>
      <c r="N1617">
        <v>950</v>
      </c>
      <c r="O1617">
        <v>789</v>
      </c>
      <c r="P1617">
        <v>29287</v>
      </c>
      <c r="Q1617">
        <v>24379.17</v>
      </c>
      <c r="R1617">
        <v>3085.6679888399999</v>
      </c>
      <c r="S1617">
        <v>2828.81909799</v>
      </c>
      <c r="T1617">
        <v>38.657988840000002</v>
      </c>
      <c r="U1617">
        <v>170.17</v>
      </c>
      <c r="V1617">
        <v>3255.68</v>
      </c>
      <c r="W1617" t="s">
        <v>1210</v>
      </c>
      <c r="X1617" t="s">
        <v>271</v>
      </c>
      <c r="Y1617" t="s">
        <v>4221</v>
      </c>
      <c r="AA1617" t="s">
        <v>4222</v>
      </c>
      <c r="AB1617" t="s">
        <v>181</v>
      </c>
    </row>
    <row r="1618" spans="1:28" x14ac:dyDescent="0.25">
      <c r="A1618" t="s">
        <v>4216</v>
      </c>
      <c r="B1618" t="s">
        <v>4217</v>
      </c>
      <c r="C1618" t="s">
        <v>646</v>
      </c>
      <c r="D1618" t="s">
        <v>3779</v>
      </c>
      <c r="E1618" t="s">
        <v>647</v>
      </c>
      <c r="F1618" t="s">
        <v>666</v>
      </c>
      <c r="G1618" t="s">
        <v>666</v>
      </c>
      <c r="H1618" t="s">
        <v>802</v>
      </c>
      <c r="I1618" t="s">
        <v>1636</v>
      </c>
      <c r="J1618" t="s">
        <v>1637</v>
      </c>
      <c r="K1618" t="s">
        <v>166</v>
      </c>
      <c r="L1618" t="s">
        <v>0</v>
      </c>
      <c r="M1618" t="s">
        <v>178</v>
      </c>
      <c r="N1618">
        <v>113.75</v>
      </c>
      <c r="O1618">
        <v>99.75</v>
      </c>
      <c r="P1618">
        <v>1888.9</v>
      </c>
      <c r="Q1618">
        <v>6163.32</v>
      </c>
      <c r="R1618">
        <v>540.79999999999995</v>
      </c>
      <c r="S1618">
        <v>786.95760349</v>
      </c>
      <c r="T1618">
        <v>0</v>
      </c>
      <c r="U1618">
        <v>0</v>
      </c>
      <c r="V1618">
        <v>540.79999999999995</v>
      </c>
      <c r="W1618" t="s">
        <v>1638</v>
      </c>
      <c r="X1618" t="s">
        <v>271</v>
      </c>
      <c r="Y1618" t="s">
        <v>1639</v>
      </c>
      <c r="AA1618" t="s">
        <v>4218</v>
      </c>
      <c r="AB1618" t="s">
        <v>181</v>
      </c>
    </row>
    <row r="1619" spans="1:28" x14ac:dyDescent="0.25">
      <c r="A1619" t="s">
        <v>4135</v>
      </c>
      <c r="B1619" t="s">
        <v>4136</v>
      </c>
      <c r="C1619" t="s">
        <v>646</v>
      </c>
      <c r="D1619" t="s">
        <v>3779</v>
      </c>
      <c r="E1619" t="s">
        <v>647</v>
      </c>
      <c r="F1619" t="s">
        <v>3780</v>
      </c>
      <c r="G1619" t="s">
        <v>769</v>
      </c>
      <c r="H1619" t="s">
        <v>909</v>
      </c>
      <c r="I1619" t="s">
        <v>1083</v>
      </c>
      <c r="J1619" t="s">
        <v>731</v>
      </c>
      <c r="K1619" t="s">
        <v>166</v>
      </c>
      <c r="L1619" t="s">
        <v>0</v>
      </c>
      <c r="M1619" t="s">
        <v>178</v>
      </c>
      <c r="N1619">
        <v>81.7</v>
      </c>
      <c r="O1619">
        <v>80</v>
      </c>
      <c r="P1619">
        <v>2864.6</v>
      </c>
      <c r="Q1619">
        <v>2819.01</v>
      </c>
      <c r="R1619">
        <v>799.67</v>
      </c>
      <c r="S1619">
        <v>392.94830217999998</v>
      </c>
      <c r="T1619">
        <v>0</v>
      </c>
      <c r="U1619">
        <v>0</v>
      </c>
      <c r="V1619">
        <v>799.67</v>
      </c>
      <c r="W1619" t="s">
        <v>0</v>
      </c>
      <c r="X1619" t="s">
        <v>271</v>
      </c>
      <c r="Y1619" t="s">
        <v>4137</v>
      </c>
      <c r="AA1619" t="s">
        <v>4138</v>
      </c>
      <c r="AB1619" t="s">
        <v>181</v>
      </c>
    </row>
    <row r="1620" spans="1:28" x14ac:dyDescent="0.25">
      <c r="A1620" t="s">
        <v>3788</v>
      </c>
      <c r="B1620" t="s">
        <v>3789</v>
      </c>
      <c r="C1620" t="s">
        <v>646</v>
      </c>
      <c r="D1620" t="s">
        <v>3779</v>
      </c>
      <c r="E1620" t="s">
        <v>647</v>
      </c>
      <c r="F1620" t="s">
        <v>3780</v>
      </c>
      <c r="G1620" t="s">
        <v>769</v>
      </c>
      <c r="H1620" t="s">
        <v>708</v>
      </c>
      <c r="I1620" t="s">
        <v>3790</v>
      </c>
      <c r="J1620" t="s">
        <v>599</v>
      </c>
      <c r="K1620" t="s">
        <v>166</v>
      </c>
      <c r="L1620" t="s">
        <v>0</v>
      </c>
      <c r="M1620" t="s">
        <v>178</v>
      </c>
      <c r="N1620">
        <v>189.5</v>
      </c>
      <c r="O1620">
        <v>108.5</v>
      </c>
      <c r="P1620">
        <v>1541.98</v>
      </c>
      <c r="Q1620">
        <v>4798.7</v>
      </c>
      <c r="R1620">
        <v>-183.10836884</v>
      </c>
      <c r="S1620">
        <v>1228.4677524199999</v>
      </c>
      <c r="T1620">
        <v>-0.15836884000000001</v>
      </c>
      <c r="U1620">
        <v>723.45</v>
      </c>
      <c r="V1620">
        <v>540.5</v>
      </c>
      <c r="W1620" t="s">
        <v>598</v>
      </c>
      <c r="X1620" t="s">
        <v>271</v>
      </c>
      <c r="Y1620" t="s">
        <v>3791</v>
      </c>
      <c r="AA1620" t="s">
        <v>3792</v>
      </c>
      <c r="AB1620" t="s">
        <v>181</v>
      </c>
    </row>
    <row r="1621" spans="1:28" x14ac:dyDescent="0.25">
      <c r="A1621" t="s">
        <v>3875</v>
      </c>
      <c r="B1621" t="s">
        <v>3876</v>
      </c>
      <c r="C1621" t="s">
        <v>646</v>
      </c>
      <c r="D1621" t="s">
        <v>3779</v>
      </c>
      <c r="E1621" t="s">
        <v>647</v>
      </c>
      <c r="F1621" t="s">
        <v>3780</v>
      </c>
      <c r="G1621" t="s">
        <v>769</v>
      </c>
      <c r="H1621" t="s">
        <v>703</v>
      </c>
      <c r="I1621" t="s">
        <v>1190</v>
      </c>
      <c r="J1621" t="s">
        <v>1191</v>
      </c>
      <c r="K1621" t="s">
        <v>166</v>
      </c>
      <c r="L1621" t="s">
        <v>0</v>
      </c>
      <c r="M1621" t="s">
        <v>178</v>
      </c>
      <c r="N1621">
        <v>891</v>
      </c>
      <c r="O1621">
        <v>46</v>
      </c>
      <c r="P1621">
        <v>17352.759999999998</v>
      </c>
      <c r="Q1621">
        <v>26119.73</v>
      </c>
      <c r="R1621">
        <v>1406.81285278</v>
      </c>
      <c r="S1621">
        <v>1437.87514141</v>
      </c>
      <c r="T1621">
        <v>913.44285277999995</v>
      </c>
      <c r="U1621">
        <v>60</v>
      </c>
      <c r="V1621">
        <v>1657.04</v>
      </c>
      <c r="W1621" t="s">
        <v>282</v>
      </c>
      <c r="X1621" t="s">
        <v>271</v>
      </c>
      <c r="Y1621" t="s">
        <v>2170</v>
      </c>
      <c r="AA1621" t="s">
        <v>2171</v>
      </c>
      <c r="AB1621" t="s">
        <v>181</v>
      </c>
    </row>
    <row r="1622" spans="1:28" x14ac:dyDescent="0.25">
      <c r="A1622" t="s">
        <v>4270</v>
      </c>
      <c r="B1622" t="s">
        <v>4271</v>
      </c>
      <c r="C1622" t="s">
        <v>646</v>
      </c>
      <c r="D1622" t="s">
        <v>3779</v>
      </c>
      <c r="E1622" t="s">
        <v>647</v>
      </c>
      <c r="F1622" t="s">
        <v>3780</v>
      </c>
      <c r="G1622" t="s">
        <v>769</v>
      </c>
      <c r="H1622" t="s">
        <v>717</v>
      </c>
      <c r="I1622" t="s">
        <v>4272</v>
      </c>
      <c r="J1622" t="s">
        <v>352</v>
      </c>
      <c r="K1622" t="s">
        <v>166</v>
      </c>
      <c r="L1622" t="s">
        <v>0</v>
      </c>
      <c r="M1622" t="s">
        <v>178</v>
      </c>
      <c r="N1622">
        <v>29</v>
      </c>
      <c r="O1622">
        <v>7</v>
      </c>
      <c r="P1622">
        <v>429.97</v>
      </c>
      <c r="Q1622">
        <v>1510.81</v>
      </c>
      <c r="R1622">
        <v>365.5</v>
      </c>
      <c r="S1622">
        <v>18.353832619999999</v>
      </c>
      <c r="T1622">
        <v>0</v>
      </c>
      <c r="U1622">
        <v>0</v>
      </c>
      <c r="V1622">
        <v>365.5</v>
      </c>
      <c r="W1622" t="s">
        <v>314</v>
      </c>
      <c r="X1622" t="s">
        <v>271</v>
      </c>
      <c r="Y1622" t="s">
        <v>4273</v>
      </c>
      <c r="AA1622" t="s">
        <v>4274</v>
      </c>
      <c r="AB1622" t="s">
        <v>181</v>
      </c>
    </row>
    <row r="1623" spans="1:28" x14ac:dyDescent="0.25">
      <c r="A1623" t="s">
        <v>3797</v>
      </c>
      <c r="B1623" t="s">
        <v>3798</v>
      </c>
      <c r="C1623" t="s">
        <v>646</v>
      </c>
      <c r="D1623" t="s">
        <v>3779</v>
      </c>
      <c r="E1623" t="s">
        <v>647</v>
      </c>
      <c r="F1623" t="s">
        <v>3780</v>
      </c>
      <c r="G1623" t="s">
        <v>769</v>
      </c>
      <c r="H1623" t="s">
        <v>717</v>
      </c>
      <c r="I1623" t="s">
        <v>725</v>
      </c>
      <c r="J1623" t="s">
        <v>726</v>
      </c>
      <c r="K1623" t="s">
        <v>166</v>
      </c>
      <c r="L1623" t="s">
        <v>0</v>
      </c>
      <c r="M1623" t="s">
        <v>178</v>
      </c>
      <c r="N1623">
        <v>326</v>
      </c>
      <c r="O1623">
        <v>97</v>
      </c>
      <c r="P1623">
        <v>5039.21</v>
      </c>
      <c r="Q1623">
        <v>15672.84</v>
      </c>
      <c r="R1623">
        <v>620.75740410000003</v>
      </c>
      <c r="S1623">
        <v>523.00914413999999</v>
      </c>
      <c r="T1623">
        <v>0.53740410000000005</v>
      </c>
      <c r="U1623">
        <v>0</v>
      </c>
      <c r="V1623">
        <v>620.22</v>
      </c>
      <c r="W1623" t="s">
        <v>0</v>
      </c>
      <c r="X1623" t="s">
        <v>271</v>
      </c>
      <c r="Y1623" t="s">
        <v>3799</v>
      </c>
      <c r="AA1623" t="s">
        <v>3800</v>
      </c>
      <c r="AB1623" t="s">
        <v>181</v>
      </c>
    </row>
    <row r="1624" spans="1:28" x14ac:dyDescent="0.25">
      <c r="A1624" t="s">
        <v>3810</v>
      </c>
      <c r="B1624" t="s">
        <v>3811</v>
      </c>
      <c r="C1624" t="s">
        <v>646</v>
      </c>
      <c r="D1624" t="s">
        <v>3779</v>
      </c>
      <c r="E1624" t="s">
        <v>647</v>
      </c>
      <c r="F1624" t="s">
        <v>3780</v>
      </c>
      <c r="G1624" t="s">
        <v>769</v>
      </c>
      <c r="H1624" t="s">
        <v>672</v>
      </c>
      <c r="I1624" t="s">
        <v>771</v>
      </c>
      <c r="J1624" t="s">
        <v>319</v>
      </c>
      <c r="K1624" t="s">
        <v>166</v>
      </c>
      <c r="L1624" t="s">
        <v>0</v>
      </c>
      <c r="M1624" t="s">
        <v>178</v>
      </c>
      <c r="N1624">
        <v>2022</v>
      </c>
      <c r="O1624">
        <v>1444</v>
      </c>
      <c r="P1624">
        <v>41645.839999999997</v>
      </c>
      <c r="Q1624">
        <v>54319.199999999997</v>
      </c>
      <c r="R1624">
        <v>5194.2928532799997</v>
      </c>
      <c r="S1624">
        <v>5246.6093333700001</v>
      </c>
      <c r="T1624">
        <v>1.22285328</v>
      </c>
      <c r="U1624">
        <v>0</v>
      </c>
      <c r="V1624">
        <v>5193.07</v>
      </c>
      <c r="W1624" t="s">
        <v>0</v>
      </c>
      <c r="X1624" t="s">
        <v>271</v>
      </c>
      <c r="Y1624" t="s">
        <v>3812</v>
      </c>
      <c r="AA1624" t="s">
        <v>3813</v>
      </c>
      <c r="AB1624" t="s">
        <v>181</v>
      </c>
    </row>
    <row r="1625" spans="1:28" x14ac:dyDescent="0.25">
      <c r="A1625" t="s">
        <v>3905</v>
      </c>
      <c r="B1625" t="s">
        <v>3906</v>
      </c>
      <c r="C1625" t="s">
        <v>646</v>
      </c>
      <c r="D1625" t="s">
        <v>3779</v>
      </c>
      <c r="E1625" t="s">
        <v>647</v>
      </c>
      <c r="F1625" t="s">
        <v>3780</v>
      </c>
      <c r="G1625" t="s">
        <v>769</v>
      </c>
      <c r="H1625" t="s">
        <v>713</v>
      </c>
      <c r="I1625" t="s">
        <v>3753</v>
      </c>
      <c r="J1625" t="s">
        <v>489</v>
      </c>
      <c r="K1625" t="s">
        <v>166</v>
      </c>
      <c r="L1625" t="s">
        <v>0</v>
      </c>
      <c r="M1625" t="s">
        <v>178</v>
      </c>
      <c r="N1625">
        <v>143</v>
      </c>
      <c r="O1625">
        <v>40</v>
      </c>
      <c r="P1625">
        <v>3353.99</v>
      </c>
      <c r="Q1625">
        <v>4209.33</v>
      </c>
      <c r="R1625">
        <v>928.13472029000002</v>
      </c>
      <c r="S1625">
        <v>300.77963512000002</v>
      </c>
      <c r="T1625">
        <v>8.5547202900000006</v>
      </c>
      <c r="U1625">
        <v>0</v>
      </c>
      <c r="V1625">
        <v>919.58</v>
      </c>
      <c r="W1625" t="s">
        <v>488</v>
      </c>
      <c r="X1625" t="s">
        <v>271</v>
      </c>
      <c r="Y1625" t="s">
        <v>3907</v>
      </c>
      <c r="AA1625" t="s">
        <v>3908</v>
      </c>
      <c r="AB1625" t="s">
        <v>181</v>
      </c>
    </row>
    <row r="1626" spans="1:28" x14ac:dyDescent="0.25">
      <c r="A1626" t="s">
        <v>3849</v>
      </c>
      <c r="B1626" t="s">
        <v>3850</v>
      </c>
      <c r="C1626" t="s">
        <v>646</v>
      </c>
      <c r="D1626" t="s">
        <v>3779</v>
      </c>
      <c r="E1626" t="s">
        <v>647</v>
      </c>
      <c r="F1626" t="s">
        <v>3780</v>
      </c>
      <c r="G1626" t="s">
        <v>769</v>
      </c>
      <c r="H1626" t="s">
        <v>683</v>
      </c>
      <c r="I1626" t="s">
        <v>1184</v>
      </c>
      <c r="J1626" t="s">
        <v>1185</v>
      </c>
      <c r="K1626" t="s">
        <v>166</v>
      </c>
      <c r="L1626" t="s">
        <v>0</v>
      </c>
      <c r="M1626" t="s">
        <v>178</v>
      </c>
      <c r="N1626">
        <v>104.125</v>
      </c>
      <c r="O1626">
        <v>89</v>
      </c>
      <c r="P1626">
        <v>2482.04</v>
      </c>
      <c r="Q1626">
        <v>3775.59</v>
      </c>
      <c r="R1626">
        <v>874.95</v>
      </c>
      <c r="S1626">
        <v>1046.0609193</v>
      </c>
      <c r="T1626">
        <v>0</v>
      </c>
      <c r="U1626">
        <v>0</v>
      </c>
      <c r="V1626">
        <v>874.95</v>
      </c>
      <c r="W1626" t="s">
        <v>1186</v>
      </c>
      <c r="X1626" t="s">
        <v>271</v>
      </c>
      <c r="Y1626" t="s">
        <v>3851</v>
      </c>
      <c r="AA1626" t="s">
        <v>3852</v>
      </c>
      <c r="AB1626" t="s">
        <v>181</v>
      </c>
    </row>
    <row r="1627" spans="1:28" x14ac:dyDescent="0.25">
      <c r="A1627" t="s">
        <v>4252</v>
      </c>
      <c r="B1627" t="s">
        <v>4253</v>
      </c>
      <c r="C1627" t="s">
        <v>646</v>
      </c>
      <c r="D1627" t="s">
        <v>3779</v>
      </c>
      <c r="E1627" t="s">
        <v>647</v>
      </c>
      <c r="F1627" t="s">
        <v>3780</v>
      </c>
      <c r="G1627" t="s">
        <v>769</v>
      </c>
      <c r="H1627" t="s">
        <v>713</v>
      </c>
      <c r="I1627" t="s">
        <v>1046</v>
      </c>
      <c r="J1627" t="s">
        <v>971</v>
      </c>
      <c r="K1627" t="s">
        <v>166</v>
      </c>
      <c r="L1627" t="s">
        <v>0</v>
      </c>
      <c r="M1627" t="s">
        <v>178</v>
      </c>
      <c r="N1627">
        <v>42</v>
      </c>
      <c r="O1627">
        <v>40</v>
      </c>
      <c r="P1627">
        <v>760.68</v>
      </c>
      <c r="Q1627">
        <v>3014.51</v>
      </c>
      <c r="R1627">
        <v>374.52708904999997</v>
      </c>
      <c r="S1627">
        <v>1291.93261884</v>
      </c>
      <c r="T1627">
        <v>0.47708905000000001</v>
      </c>
      <c r="U1627">
        <v>0</v>
      </c>
      <c r="V1627">
        <v>374.05</v>
      </c>
      <c r="W1627" t="s">
        <v>972</v>
      </c>
      <c r="X1627" t="s">
        <v>269</v>
      </c>
      <c r="Y1627" t="s">
        <v>4254</v>
      </c>
      <c r="AA1627" t="s">
        <v>4255</v>
      </c>
      <c r="AB1627" t="s">
        <v>181</v>
      </c>
    </row>
    <row r="1628" spans="1:28" x14ac:dyDescent="0.25">
      <c r="A1628" t="s">
        <v>3977</v>
      </c>
      <c r="B1628" t="s">
        <v>3978</v>
      </c>
      <c r="C1628" t="s">
        <v>646</v>
      </c>
      <c r="D1628" t="s">
        <v>3779</v>
      </c>
      <c r="E1628" t="s">
        <v>647</v>
      </c>
      <c r="F1628" t="s">
        <v>3780</v>
      </c>
      <c r="G1628" t="s">
        <v>769</v>
      </c>
      <c r="H1628" t="s">
        <v>1045</v>
      </c>
      <c r="I1628" t="s">
        <v>1489</v>
      </c>
      <c r="J1628" t="s">
        <v>816</v>
      </c>
      <c r="K1628" t="s">
        <v>166</v>
      </c>
      <c r="L1628" t="s">
        <v>0</v>
      </c>
      <c r="M1628" t="s">
        <v>178</v>
      </c>
      <c r="N1628">
        <v>56</v>
      </c>
      <c r="O1628">
        <v>51</v>
      </c>
      <c r="P1628">
        <v>603</v>
      </c>
      <c r="Q1628">
        <v>4405.2299999999996</v>
      </c>
      <c r="R1628">
        <v>734.8</v>
      </c>
      <c r="S1628">
        <v>283.30782393999999</v>
      </c>
      <c r="T1628">
        <v>0</v>
      </c>
      <c r="U1628">
        <v>0</v>
      </c>
      <c r="V1628">
        <v>734.8</v>
      </c>
      <c r="W1628" t="s">
        <v>817</v>
      </c>
      <c r="X1628" t="s">
        <v>271</v>
      </c>
      <c r="Y1628" t="s">
        <v>3979</v>
      </c>
      <c r="AA1628" t="s">
        <v>3980</v>
      </c>
      <c r="AB1628" t="s">
        <v>181</v>
      </c>
    </row>
    <row r="1629" spans="1:28" x14ac:dyDescent="0.25">
      <c r="A1629" t="s">
        <v>4275</v>
      </c>
      <c r="B1629" t="s">
        <v>4276</v>
      </c>
      <c r="C1629" t="s">
        <v>646</v>
      </c>
      <c r="D1629" t="s">
        <v>3779</v>
      </c>
      <c r="E1629" t="s">
        <v>647</v>
      </c>
      <c r="F1629" t="s">
        <v>3780</v>
      </c>
      <c r="G1629" t="s">
        <v>769</v>
      </c>
      <c r="H1629" t="s">
        <v>672</v>
      </c>
      <c r="I1629" t="s">
        <v>4277</v>
      </c>
      <c r="J1629" t="s">
        <v>562</v>
      </c>
      <c r="K1629" t="s">
        <v>166</v>
      </c>
      <c r="L1629" t="s">
        <v>0</v>
      </c>
      <c r="M1629" t="s">
        <v>178</v>
      </c>
      <c r="N1629">
        <v>93</v>
      </c>
      <c r="O1629">
        <v>5</v>
      </c>
      <c r="P1629">
        <v>2730</v>
      </c>
      <c r="Q1629">
        <v>2026.48</v>
      </c>
      <c r="R1629">
        <v>220.32</v>
      </c>
      <c r="S1629">
        <v>192.24699876</v>
      </c>
      <c r="T1629">
        <v>0</v>
      </c>
      <c r="U1629">
        <v>0</v>
      </c>
      <c r="V1629">
        <v>220.32</v>
      </c>
      <c r="W1629" t="s">
        <v>0</v>
      </c>
      <c r="X1629" t="s">
        <v>271</v>
      </c>
      <c r="Y1629" t="s">
        <v>4278</v>
      </c>
      <c r="AA1629" t="s">
        <v>4279</v>
      </c>
      <c r="AB1629" t="s">
        <v>181</v>
      </c>
    </row>
    <row r="1630" spans="1:28" x14ac:dyDescent="0.25">
      <c r="A1630" t="s">
        <v>4211</v>
      </c>
      <c r="B1630" t="s">
        <v>4212</v>
      </c>
      <c r="C1630" t="s">
        <v>646</v>
      </c>
      <c r="D1630" t="s">
        <v>3779</v>
      </c>
      <c r="E1630" t="s">
        <v>647</v>
      </c>
      <c r="F1630" t="s">
        <v>3780</v>
      </c>
      <c r="G1630" t="s">
        <v>769</v>
      </c>
      <c r="H1630" t="s">
        <v>962</v>
      </c>
      <c r="I1630" t="s">
        <v>4213</v>
      </c>
      <c r="J1630" t="s">
        <v>437</v>
      </c>
      <c r="K1630" t="s">
        <v>166</v>
      </c>
      <c r="L1630" t="s">
        <v>0</v>
      </c>
      <c r="M1630" t="s">
        <v>178</v>
      </c>
      <c r="N1630">
        <v>239</v>
      </c>
      <c r="O1630">
        <v>226</v>
      </c>
      <c r="P1630">
        <v>3604.46</v>
      </c>
      <c r="Q1630">
        <v>10203.209999999999</v>
      </c>
      <c r="R1630">
        <v>1197.1500000000001</v>
      </c>
      <c r="S1630">
        <v>1449.1453103900001</v>
      </c>
      <c r="T1630">
        <v>0</v>
      </c>
      <c r="U1630">
        <v>0</v>
      </c>
      <c r="V1630">
        <v>1197.1500000000001</v>
      </c>
      <c r="W1630" t="s">
        <v>510</v>
      </c>
      <c r="X1630" t="s">
        <v>271</v>
      </c>
      <c r="Y1630" t="s">
        <v>4214</v>
      </c>
      <c r="Z1630" t="s">
        <v>4175</v>
      </c>
      <c r="AA1630" t="s">
        <v>4215</v>
      </c>
      <c r="AB1630" t="s">
        <v>181</v>
      </c>
    </row>
    <row r="1631" spans="1:28" x14ac:dyDescent="0.25">
      <c r="A1631" t="s">
        <v>3933</v>
      </c>
      <c r="B1631" t="s">
        <v>3934</v>
      </c>
      <c r="C1631" t="s">
        <v>646</v>
      </c>
      <c r="D1631" t="s">
        <v>3779</v>
      </c>
      <c r="E1631" t="s">
        <v>647</v>
      </c>
      <c r="F1631" t="s">
        <v>3780</v>
      </c>
      <c r="G1631" t="s">
        <v>769</v>
      </c>
      <c r="H1631" t="s">
        <v>717</v>
      </c>
      <c r="I1631" t="s">
        <v>3935</v>
      </c>
      <c r="J1631" t="s">
        <v>1214</v>
      </c>
      <c r="K1631" t="s">
        <v>166</v>
      </c>
      <c r="L1631" t="s">
        <v>0</v>
      </c>
      <c r="M1631" t="s">
        <v>178</v>
      </c>
      <c r="N1631">
        <v>35</v>
      </c>
      <c r="O1631">
        <v>31</v>
      </c>
      <c r="P1631">
        <v>447.82</v>
      </c>
      <c r="Q1631">
        <v>3468.33</v>
      </c>
      <c r="R1631">
        <v>509.68</v>
      </c>
      <c r="S1631">
        <v>109.2511925</v>
      </c>
      <c r="T1631">
        <v>0</v>
      </c>
      <c r="U1631">
        <v>0</v>
      </c>
      <c r="V1631">
        <v>509.68</v>
      </c>
      <c r="W1631" t="s">
        <v>0</v>
      </c>
      <c r="X1631" t="s">
        <v>271</v>
      </c>
      <c r="Y1631" t="s">
        <v>3936</v>
      </c>
      <c r="AA1631" t="s">
        <v>3937</v>
      </c>
      <c r="AB1631" t="s">
        <v>181</v>
      </c>
    </row>
    <row r="1632" spans="1:28" x14ac:dyDescent="0.25">
      <c r="A1632" t="s">
        <v>4057</v>
      </c>
      <c r="B1632" t="s">
        <v>4058</v>
      </c>
      <c r="C1632" t="s">
        <v>646</v>
      </c>
      <c r="D1632" t="s">
        <v>3779</v>
      </c>
      <c r="E1632" t="s">
        <v>647</v>
      </c>
      <c r="F1632" t="s">
        <v>3780</v>
      </c>
      <c r="G1632" t="s">
        <v>769</v>
      </c>
      <c r="H1632" t="s">
        <v>1175</v>
      </c>
      <c r="I1632" t="s">
        <v>1190</v>
      </c>
      <c r="J1632" t="s">
        <v>1191</v>
      </c>
      <c r="K1632" t="s">
        <v>166</v>
      </c>
      <c r="L1632" t="s">
        <v>0</v>
      </c>
      <c r="M1632" t="s">
        <v>178</v>
      </c>
      <c r="N1632">
        <v>16</v>
      </c>
      <c r="O1632">
        <v>16</v>
      </c>
      <c r="P1632">
        <v>226</v>
      </c>
      <c r="Q1632">
        <v>336.88</v>
      </c>
      <c r="R1632">
        <v>15.04</v>
      </c>
      <c r="S1632">
        <v>63.28</v>
      </c>
      <c r="T1632">
        <v>0</v>
      </c>
      <c r="U1632">
        <v>3.84</v>
      </c>
      <c r="V1632">
        <v>24</v>
      </c>
      <c r="W1632" t="s">
        <v>282</v>
      </c>
      <c r="X1632" t="s">
        <v>271</v>
      </c>
      <c r="Y1632" t="s">
        <v>4059</v>
      </c>
      <c r="AA1632" t="s">
        <v>2171</v>
      </c>
      <c r="AB1632" t="s">
        <v>181</v>
      </c>
    </row>
    <row r="1633" spans="1:28" x14ac:dyDescent="0.25">
      <c r="A1633" t="s">
        <v>3917</v>
      </c>
      <c r="B1633" t="s">
        <v>3918</v>
      </c>
      <c r="C1633" t="s">
        <v>646</v>
      </c>
      <c r="D1633" t="s">
        <v>3779</v>
      </c>
      <c r="E1633" t="s">
        <v>647</v>
      </c>
      <c r="F1633" t="s">
        <v>3780</v>
      </c>
      <c r="G1633" t="s">
        <v>769</v>
      </c>
      <c r="H1633" t="s">
        <v>713</v>
      </c>
      <c r="I1633" t="s">
        <v>1083</v>
      </c>
      <c r="J1633" t="s">
        <v>731</v>
      </c>
      <c r="K1633" t="s">
        <v>166</v>
      </c>
      <c r="L1633" t="s">
        <v>0</v>
      </c>
      <c r="M1633" t="s">
        <v>178</v>
      </c>
      <c r="N1633">
        <v>76</v>
      </c>
      <c r="O1633">
        <v>27</v>
      </c>
      <c r="P1633">
        <v>2229.0300000000002</v>
      </c>
      <c r="Q1633">
        <v>1134.67</v>
      </c>
      <c r="R1633">
        <v>285.89319756999998</v>
      </c>
      <c r="S1633">
        <v>136.05802624</v>
      </c>
      <c r="T1633">
        <v>5.319757E-2</v>
      </c>
      <c r="U1633">
        <v>0</v>
      </c>
      <c r="V1633">
        <v>285.83999999999997</v>
      </c>
      <c r="W1633" t="s">
        <v>0</v>
      </c>
      <c r="X1633" t="s">
        <v>271</v>
      </c>
      <c r="Y1633" t="s">
        <v>3919</v>
      </c>
      <c r="AA1633" t="s">
        <v>3920</v>
      </c>
      <c r="AB1633" t="s">
        <v>181</v>
      </c>
    </row>
    <row r="1634" spans="1:28" x14ac:dyDescent="0.25">
      <c r="A1634" t="s">
        <v>4172</v>
      </c>
      <c r="B1634" t="s">
        <v>4173</v>
      </c>
      <c r="C1634" t="s">
        <v>646</v>
      </c>
      <c r="D1634" t="s">
        <v>3779</v>
      </c>
      <c r="E1634" t="s">
        <v>647</v>
      </c>
      <c r="F1634" t="s">
        <v>3780</v>
      </c>
      <c r="G1634" t="s">
        <v>769</v>
      </c>
      <c r="H1634" t="s">
        <v>649</v>
      </c>
      <c r="I1634" t="s">
        <v>1801</v>
      </c>
      <c r="J1634" t="s">
        <v>437</v>
      </c>
      <c r="K1634" t="s">
        <v>166</v>
      </c>
      <c r="L1634" t="s">
        <v>0</v>
      </c>
      <c r="M1634" t="s">
        <v>178</v>
      </c>
      <c r="N1634">
        <v>73</v>
      </c>
      <c r="O1634">
        <v>56</v>
      </c>
      <c r="P1634">
        <v>1299.8800000000001</v>
      </c>
      <c r="Q1634">
        <v>4175</v>
      </c>
      <c r="R1634">
        <v>486.42</v>
      </c>
      <c r="S1634">
        <v>305.64731704000002</v>
      </c>
      <c r="T1634">
        <v>0</v>
      </c>
      <c r="U1634">
        <v>0</v>
      </c>
      <c r="V1634">
        <v>486.42</v>
      </c>
      <c r="W1634" t="s">
        <v>510</v>
      </c>
      <c r="X1634" t="s">
        <v>271</v>
      </c>
      <c r="Y1634" t="s">
        <v>4174</v>
      </c>
      <c r="Z1634" t="s">
        <v>4175</v>
      </c>
      <c r="AA1634" t="s">
        <v>4176</v>
      </c>
      <c r="AB1634" t="s">
        <v>181</v>
      </c>
    </row>
    <row r="1635" spans="1:28" x14ac:dyDescent="0.25">
      <c r="A1635" t="s">
        <v>4275</v>
      </c>
      <c r="B1635" t="s">
        <v>4276</v>
      </c>
      <c r="C1635" t="s">
        <v>646</v>
      </c>
      <c r="D1635" t="s">
        <v>3779</v>
      </c>
      <c r="E1635" t="s">
        <v>647</v>
      </c>
      <c r="F1635" t="s">
        <v>3780</v>
      </c>
      <c r="G1635" t="s">
        <v>769</v>
      </c>
      <c r="H1635" t="s">
        <v>649</v>
      </c>
      <c r="I1635" t="s">
        <v>4277</v>
      </c>
      <c r="J1635" t="s">
        <v>562</v>
      </c>
      <c r="K1635" t="s">
        <v>166</v>
      </c>
      <c r="L1635" t="s">
        <v>0</v>
      </c>
      <c r="M1635" t="s">
        <v>178</v>
      </c>
      <c r="N1635">
        <v>17</v>
      </c>
      <c r="O1635">
        <v>15</v>
      </c>
      <c r="P1635">
        <v>705.63</v>
      </c>
      <c r="Q1635">
        <v>1036.7</v>
      </c>
      <c r="R1635">
        <v>79.09</v>
      </c>
      <c r="S1635">
        <v>66.628563080000006</v>
      </c>
      <c r="T1635">
        <v>0</v>
      </c>
      <c r="U1635">
        <v>0</v>
      </c>
      <c r="V1635">
        <v>79.09</v>
      </c>
      <c r="W1635" t="s">
        <v>0</v>
      </c>
      <c r="X1635" t="s">
        <v>271</v>
      </c>
      <c r="Y1635" t="s">
        <v>4278</v>
      </c>
      <c r="AA1635" t="s">
        <v>4279</v>
      </c>
      <c r="AB1635" t="s">
        <v>181</v>
      </c>
    </row>
    <row r="1636" spans="1:28" x14ac:dyDescent="0.25">
      <c r="A1636" t="s">
        <v>3948</v>
      </c>
      <c r="B1636" t="s">
        <v>3949</v>
      </c>
      <c r="C1636" t="s">
        <v>646</v>
      </c>
      <c r="D1636" t="s">
        <v>3779</v>
      </c>
      <c r="E1636" t="s">
        <v>647</v>
      </c>
      <c r="F1636" t="s">
        <v>3780</v>
      </c>
      <c r="G1636" t="s">
        <v>769</v>
      </c>
      <c r="H1636" t="s">
        <v>962</v>
      </c>
      <c r="I1636" t="s">
        <v>2250</v>
      </c>
      <c r="J1636" t="s">
        <v>358</v>
      </c>
      <c r="K1636" t="s">
        <v>166</v>
      </c>
      <c r="L1636" t="s">
        <v>0</v>
      </c>
      <c r="M1636" t="s">
        <v>178</v>
      </c>
      <c r="N1636">
        <v>4</v>
      </c>
      <c r="O1636">
        <v>2</v>
      </c>
      <c r="P1636">
        <v>29.62</v>
      </c>
      <c r="Q1636">
        <v>202</v>
      </c>
      <c r="R1636">
        <v>40.33</v>
      </c>
      <c r="S1636">
        <v>12.202403199999999</v>
      </c>
      <c r="T1636">
        <v>0</v>
      </c>
      <c r="U1636">
        <v>0</v>
      </c>
      <c r="V1636">
        <v>40.33</v>
      </c>
      <c r="W1636" t="s">
        <v>357</v>
      </c>
      <c r="X1636" t="s">
        <v>271</v>
      </c>
      <c r="Y1636" t="s">
        <v>3950</v>
      </c>
      <c r="AA1636" t="s">
        <v>3951</v>
      </c>
      <c r="AB1636" t="s">
        <v>181</v>
      </c>
    </row>
    <row r="1637" spans="1:28" x14ac:dyDescent="0.25">
      <c r="A1637" t="s">
        <v>3783</v>
      </c>
      <c r="B1637" t="s">
        <v>3784</v>
      </c>
      <c r="C1637" t="s">
        <v>646</v>
      </c>
      <c r="D1637" t="s">
        <v>3779</v>
      </c>
      <c r="E1637" t="s">
        <v>647</v>
      </c>
      <c r="F1637" t="s">
        <v>666</v>
      </c>
      <c r="G1637" t="s">
        <v>666</v>
      </c>
      <c r="H1637" t="s">
        <v>708</v>
      </c>
      <c r="I1637" t="s">
        <v>3785</v>
      </c>
      <c r="J1637" t="s">
        <v>432</v>
      </c>
      <c r="K1637" t="s">
        <v>166</v>
      </c>
      <c r="L1637" t="s">
        <v>0</v>
      </c>
      <c r="M1637" t="s">
        <v>178</v>
      </c>
      <c r="N1637">
        <v>150</v>
      </c>
      <c r="O1637">
        <v>150</v>
      </c>
      <c r="P1637">
        <v>5850</v>
      </c>
      <c r="Q1637">
        <v>6010.5</v>
      </c>
      <c r="R1637">
        <v>-1542.13</v>
      </c>
      <c r="S1637">
        <v>3357.1369826099999</v>
      </c>
      <c r="T1637">
        <v>0</v>
      </c>
      <c r="U1637">
        <v>0</v>
      </c>
      <c r="V1637">
        <v>-1542.13</v>
      </c>
      <c r="W1637" t="s">
        <v>0</v>
      </c>
      <c r="X1637" t="s">
        <v>271</v>
      </c>
      <c r="Y1637" t="s">
        <v>3786</v>
      </c>
      <c r="AA1637" t="s">
        <v>3787</v>
      </c>
      <c r="AB1637" t="s">
        <v>181</v>
      </c>
    </row>
    <row r="1638" spans="1:28" x14ac:dyDescent="0.25">
      <c r="A1638" t="s">
        <v>4086</v>
      </c>
      <c r="B1638" t="s">
        <v>4087</v>
      </c>
      <c r="C1638" t="s">
        <v>646</v>
      </c>
      <c r="D1638" t="s">
        <v>3779</v>
      </c>
      <c r="E1638" t="s">
        <v>647</v>
      </c>
      <c r="F1638" t="s">
        <v>3780</v>
      </c>
      <c r="G1638" t="s">
        <v>769</v>
      </c>
      <c r="H1638" t="s">
        <v>909</v>
      </c>
      <c r="I1638" t="s">
        <v>4088</v>
      </c>
      <c r="J1638" t="s">
        <v>480</v>
      </c>
      <c r="K1638" t="s">
        <v>166</v>
      </c>
      <c r="L1638" t="s">
        <v>0</v>
      </c>
      <c r="M1638" t="s">
        <v>178</v>
      </c>
      <c r="N1638">
        <v>169</v>
      </c>
      <c r="O1638">
        <v>169</v>
      </c>
      <c r="P1638">
        <v>5813.25</v>
      </c>
      <c r="Q1638">
        <v>4595.8100000000004</v>
      </c>
      <c r="R1638">
        <v>1177.1600000000001</v>
      </c>
      <c r="S1638">
        <v>617.99713573999998</v>
      </c>
      <c r="T1638">
        <v>0</v>
      </c>
      <c r="U1638">
        <v>0</v>
      </c>
      <c r="V1638">
        <v>1177.1600000000001</v>
      </c>
      <c r="W1638" t="s">
        <v>4089</v>
      </c>
      <c r="X1638" t="s">
        <v>271</v>
      </c>
      <c r="Y1638" t="s">
        <v>4090</v>
      </c>
      <c r="AA1638" t="s">
        <v>4091</v>
      </c>
      <c r="AB1638" t="s">
        <v>181</v>
      </c>
    </row>
    <row r="1639" spans="1:28" x14ac:dyDescent="0.25">
      <c r="A1639" t="s">
        <v>4082</v>
      </c>
      <c r="B1639" t="s">
        <v>257</v>
      </c>
      <c r="C1639" t="s">
        <v>646</v>
      </c>
      <c r="D1639" t="s">
        <v>3779</v>
      </c>
      <c r="E1639" t="s">
        <v>647</v>
      </c>
      <c r="F1639" t="s">
        <v>3780</v>
      </c>
      <c r="G1639" t="s">
        <v>769</v>
      </c>
      <c r="H1639" t="s">
        <v>730</v>
      </c>
      <c r="I1639" t="s">
        <v>4083</v>
      </c>
      <c r="J1639" t="s">
        <v>1972</v>
      </c>
      <c r="K1639" t="s">
        <v>166</v>
      </c>
      <c r="L1639" t="s">
        <v>0</v>
      </c>
      <c r="M1639" t="s">
        <v>178</v>
      </c>
      <c r="N1639">
        <v>2</v>
      </c>
      <c r="O1639">
        <v>2</v>
      </c>
      <c r="P1639">
        <v>26</v>
      </c>
      <c r="Q1639">
        <v>70.459999999999994</v>
      </c>
      <c r="R1639">
        <v>29.64</v>
      </c>
      <c r="S1639">
        <v>1.1300682399999999</v>
      </c>
      <c r="T1639">
        <v>0</v>
      </c>
      <c r="U1639">
        <v>0</v>
      </c>
      <c r="V1639">
        <v>29.64</v>
      </c>
      <c r="W1639" t="s">
        <v>1973</v>
      </c>
      <c r="X1639" t="s">
        <v>271</v>
      </c>
      <c r="Y1639" t="s">
        <v>4084</v>
      </c>
      <c r="AA1639" t="s">
        <v>4085</v>
      </c>
      <c r="AB1639" t="s">
        <v>181</v>
      </c>
    </row>
    <row r="1640" spans="1:28" x14ac:dyDescent="0.25">
      <c r="A1640" t="s">
        <v>4346</v>
      </c>
      <c r="B1640" t="s">
        <v>257</v>
      </c>
      <c r="C1640" t="s">
        <v>646</v>
      </c>
      <c r="D1640" t="s">
        <v>3779</v>
      </c>
      <c r="E1640" t="s">
        <v>647</v>
      </c>
      <c r="F1640" t="s">
        <v>3780</v>
      </c>
      <c r="G1640" t="s">
        <v>769</v>
      </c>
      <c r="H1640" t="s">
        <v>797</v>
      </c>
      <c r="I1640" t="s">
        <v>746</v>
      </c>
      <c r="J1640" t="s">
        <v>504</v>
      </c>
      <c r="K1640" t="s">
        <v>166</v>
      </c>
      <c r="L1640" t="s">
        <v>0</v>
      </c>
      <c r="M1640" t="s">
        <v>178</v>
      </c>
      <c r="N1640">
        <v>162</v>
      </c>
      <c r="O1640">
        <v>0</v>
      </c>
      <c r="P1640">
        <v>1620</v>
      </c>
      <c r="Q1640">
        <v>3651</v>
      </c>
      <c r="R1640">
        <v>313.19</v>
      </c>
      <c r="S1640">
        <v>115.00351046</v>
      </c>
      <c r="T1640">
        <v>0</v>
      </c>
      <c r="U1640">
        <v>0</v>
      </c>
      <c r="V1640">
        <v>313.19</v>
      </c>
      <c r="W1640" t="s">
        <v>503</v>
      </c>
      <c r="X1640" t="s">
        <v>271</v>
      </c>
      <c r="Y1640" t="s">
        <v>4347</v>
      </c>
      <c r="AA1640" t="s">
        <v>4348</v>
      </c>
      <c r="AB1640" t="s">
        <v>181</v>
      </c>
    </row>
    <row r="1641" spans="1:28" x14ac:dyDescent="0.25">
      <c r="A1641" t="s">
        <v>4015</v>
      </c>
      <c r="B1641" t="s">
        <v>4016</v>
      </c>
      <c r="C1641" t="s">
        <v>646</v>
      </c>
      <c r="D1641" t="s">
        <v>3779</v>
      </c>
      <c r="E1641" t="s">
        <v>647</v>
      </c>
      <c r="F1641" t="s">
        <v>3780</v>
      </c>
      <c r="G1641" t="s">
        <v>769</v>
      </c>
      <c r="H1641" t="s">
        <v>1159</v>
      </c>
      <c r="I1641" t="s">
        <v>4017</v>
      </c>
      <c r="J1641" t="s">
        <v>4018</v>
      </c>
      <c r="K1641" t="s">
        <v>166</v>
      </c>
      <c r="L1641" t="s">
        <v>0</v>
      </c>
      <c r="M1641" t="s">
        <v>178</v>
      </c>
      <c r="N1641">
        <v>1</v>
      </c>
      <c r="O1641">
        <v>0</v>
      </c>
      <c r="P1641">
        <v>10</v>
      </c>
      <c r="Q1641">
        <v>94.72</v>
      </c>
      <c r="R1641">
        <v>9.52</v>
      </c>
      <c r="S1641">
        <v>7.6680000000000001</v>
      </c>
      <c r="T1641">
        <v>0</v>
      </c>
      <c r="U1641">
        <v>0</v>
      </c>
      <c r="V1641">
        <v>9.52</v>
      </c>
      <c r="W1641" t="s">
        <v>4019</v>
      </c>
      <c r="X1641" t="s">
        <v>271</v>
      </c>
      <c r="Y1641" t="s">
        <v>4020</v>
      </c>
      <c r="AA1641" t="s">
        <v>4021</v>
      </c>
      <c r="AB1641" t="s">
        <v>181</v>
      </c>
    </row>
    <row r="1642" spans="1:28" x14ac:dyDescent="0.25">
      <c r="A1642" t="s">
        <v>4330</v>
      </c>
      <c r="B1642" t="s">
        <v>4331</v>
      </c>
      <c r="C1642" t="s">
        <v>646</v>
      </c>
      <c r="D1642" t="s">
        <v>3779</v>
      </c>
      <c r="E1642" t="s">
        <v>647</v>
      </c>
      <c r="F1642" t="s">
        <v>666</v>
      </c>
      <c r="G1642" t="s">
        <v>666</v>
      </c>
      <c r="H1642" t="s">
        <v>909</v>
      </c>
      <c r="I1642" t="s">
        <v>1513</v>
      </c>
      <c r="J1642" t="s">
        <v>333</v>
      </c>
      <c r="K1642" t="s">
        <v>166</v>
      </c>
      <c r="L1642" t="s">
        <v>0</v>
      </c>
      <c r="M1642" t="s">
        <v>178</v>
      </c>
      <c r="N1642">
        <v>74</v>
      </c>
      <c r="O1642">
        <v>52</v>
      </c>
      <c r="P1642">
        <v>980.39</v>
      </c>
      <c r="Q1642">
        <v>4416.03</v>
      </c>
      <c r="R1642">
        <v>194.74</v>
      </c>
      <c r="S1642">
        <v>921.67932783000003</v>
      </c>
      <c r="T1642">
        <v>0</v>
      </c>
      <c r="U1642">
        <v>0</v>
      </c>
      <c r="V1642">
        <v>194.74</v>
      </c>
      <c r="W1642" t="s">
        <v>616</v>
      </c>
      <c r="X1642" t="s">
        <v>271</v>
      </c>
      <c r="Y1642" t="s">
        <v>4332</v>
      </c>
      <c r="AA1642" t="s">
        <v>2421</v>
      </c>
      <c r="AB1642" t="s">
        <v>181</v>
      </c>
    </row>
    <row r="1643" spans="1:28" x14ac:dyDescent="0.25">
      <c r="A1643" t="s">
        <v>4223</v>
      </c>
      <c r="B1643" t="s">
        <v>4224</v>
      </c>
      <c r="C1643" t="s">
        <v>646</v>
      </c>
      <c r="D1643" t="s">
        <v>3779</v>
      </c>
      <c r="E1643" t="s">
        <v>647</v>
      </c>
      <c r="F1643" t="s">
        <v>3780</v>
      </c>
      <c r="G1643" t="s">
        <v>769</v>
      </c>
      <c r="H1643" t="s">
        <v>1515</v>
      </c>
      <c r="I1643" t="s">
        <v>4225</v>
      </c>
      <c r="J1643" t="s">
        <v>336</v>
      </c>
      <c r="K1643" t="s">
        <v>166</v>
      </c>
      <c r="L1643" t="s">
        <v>0</v>
      </c>
      <c r="M1643" t="s">
        <v>178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 t="s">
        <v>461</v>
      </c>
      <c r="X1643" t="s">
        <v>271</v>
      </c>
      <c r="Y1643" t="s">
        <v>4226</v>
      </c>
      <c r="AA1643" t="s">
        <v>4227</v>
      </c>
      <c r="AB1643" t="s">
        <v>181</v>
      </c>
    </row>
    <row r="1644" spans="1:28" x14ac:dyDescent="0.25">
      <c r="A1644" t="s">
        <v>4326</v>
      </c>
      <c r="B1644" t="s">
        <v>4327</v>
      </c>
      <c r="C1644" t="s">
        <v>646</v>
      </c>
      <c r="D1644" t="s">
        <v>3779</v>
      </c>
      <c r="E1644" t="s">
        <v>647</v>
      </c>
      <c r="F1644" t="s">
        <v>3780</v>
      </c>
      <c r="G1644" t="s">
        <v>769</v>
      </c>
      <c r="H1644" t="s">
        <v>1515</v>
      </c>
      <c r="I1644" t="s">
        <v>936</v>
      </c>
      <c r="J1644" t="s">
        <v>582</v>
      </c>
      <c r="K1644" t="s">
        <v>166</v>
      </c>
      <c r="L1644" t="s">
        <v>0</v>
      </c>
      <c r="M1644" t="s">
        <v>178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 t="s">
        <v>361</v>
      </c>
      <c r="X1644" t="s">
        <v>271</v>
      </c>
      <c r="Y1644" t="s">
        <v>4328</v>
      </c>
      <c r="AA1644" t="s">
        <v>4329</v>
      </c>
      <c r="AB1644" t="s">
        <v>181</v>
      </c>
    </row>
    <row r="1645" spans="1:28" x14ac:dyDescent="0.25">
      <c r="A1645" t="s">
        <v>4006</v>
      </c>
      <c r="B1645" t="s">
        <v>4007</v>
      </c>
      <c r="C1645" t="s">
        <v>646</v>
      </c>
      <c r="D1645" t="s">
        <v>3779</v>
      </c>
      <c r="E1645" t="s">
        <v>647</v>
      </c>
      <c r="F1645" t="s">
        <v>3780</v>
      </c>
      <c r="G1645" t="s">
        <v>769</v>
      </c>
      <c r="H1645" t="s">
        <v>797</v>
      </c>
      <c r="I1645" t="s">
        <v>4008</v>
      </c>
      <c r="J1645" t="s">
        <v>688</v>
      </c>
      <c r="K1645" t="s">
        <v>166</v>
      </c>
      <c r="L1645" t="s">
        <v>0</v>
      </c>
      <c r="M1645" t="s">
        <v>178</v>
      </c>
      <c r="N1645">
        <v>1</v>
      </c>
      <c r="O1645">
        <v>0</v>
      </c>
      <c r="P1645">
        <v>10</v>
      </c>
      <c r="Q1645">
        <v>27.19</v>
      </c>
      <c r="R1645">
        <v>3.29</v>
      </c>
      <c r="S1645">
        <v>0.7</v>
      </c>
      <c r="T1645">
        <v>0</v>
      </c>
      <c r="U1645">
        <v>0</v>
      </c>
      <c r="V1645">
        <v>3.29</v>
      </c>
      <c r="W1645" t="s">
        <v>0</v>
      </c>
      <c r="X1645" t="s">
        <v>271</v>
      </c>
      <c r="Y1645" t="s">
        <v>4009</v>
      </c>
      <c r="AA1645" t="s">
        <v>4010</v>
      </c>
      <c r="AB1645" t="s">
        <v>181</v>
      </c>
    </row>
    <row r="1646" spans="1:28" x14ac:dyDescent="0.25">
      <c r="A1646" t="s">
        <v>3814</v>
      </c>
      <c r="B1646" t="s">
        <v>3815</v>
      </c>
      <c r="C1646" t="s">
        <v>646</v>
      </c>
      <c r="D1646" t="s">
        <v>3779</v>
      </c>
      <c r="E1646" t="s">
        <v>647</v>
      </c>
      <c r="F1646" t="s">
        <v>3780</v>
      </c>
      <c r="G1646" t="s">
        <v>769</v>
      </c>
      <c r="H1646" t="s">
        <v>730</v>
      </c>
      <c r="I1646" t="s">
        <v>3816</v>
      </c>
      <c r="J1646" t="s">
        <v>548</v>
      </c>
      <c r="K1646" t="s">
        <v>166</v>
      </c>
      <c r="L1646" t="s">
        <v>0</v>
      </c>
      <c r="M1646" t="s">
        <v>178</v>
      </c>
      <c r="N1646">
        <v>54</v>
      </c>
      <c r="O1646">
        <v>12</v>
      </c>
      <c r="P1646">
        <v>1724.42</v>
      </c>
      <c r="Q1646">
        <v>3649.07</v>
      </c>
      <c r="R1646">
        <v>334.86368900999997</v>
      </c>
      <c r="S1646">
        <v>83.515687779999993</v>
      </c>
      <c r="T1646">
        <v>1499.52368901</v>
      </c>
      <c r="U1646">
        <v>3.6</v>
      </c>
      <c r="V1646">
        <v>179.19</v>
      </c>
      <c r="W1646" t="s">
        <v>241</v>
      </c>
      <c r="X1646" t="s">
        <v>271</v>
      </c>
      <c r="Y1646" t="s">
        <v>3817</v>
      </c>
      <c r="AA1646" t="s">
        <v>3818</v>
      </c>
      <c r="AB1646" t="s">
        <v>181</v>
      </c>
    </row>
    <row r="1647" spans="1:28" x14ac:dyDescent="0.25">
      <c r="A1647" t="s">
        <v>4127</v>
      </c>
      <c r="B1647" t="s">
        <v>4128</v>
      </c>
      <c r="C1647" t="s">
        <v>646</v>
      </c>
      <c r="D1647" t="s">
        <v>3779</v>
      </c>
      <c r="E1647" t="s">
        <v>647</v>
      </c>
      <c r="F1647" t="s">
        <v>3780</v>
      </c>
      <c r="G1647" t="s">
        <v>769</v>
      </c>
      <c r="H1647" t="s">
        <v>730</v>
      </c>
      <c r="I1647" t="s">
        <v>4129</v>
      </c>
      <c r="J1647" t="s">
        <v>2057</v>
      </c>
      <c r="K1647" t="s">
        <v>166</v>
      </c>
      <c r="L1647" t="s">
        <v>0</v>
      </c>
      <c r="M1647" t="s">
        <v>178</v>
      </c>
      <c r="N1647">
        <v>37</v>
      </c>
      <c r="O1647">
        <v>4</v>
      </c>
      <c r="P1647">
        <v>1350</v>
      </c>
      <c r="Q1647">
        <v>4156.78</v>
      </c>
      <c r="R1647">
        <v>610.98613872999999</v>
      </c>
      <c r="S1647">
        <v>19.452881489999999</v>
      </c>
      <c r="T1647">
        <v>1799.7961387299999</v>
      </c>
      <c r="U1647">
        <v>0</v>
      </c>
      <c r="V1647">
        <v>614.59</v>
      </c>
      <c r="W1647" t="s">
        <v>2058</v>
      </c>
      <c r="X1647" t="s">
        <v>271</v>
      </c>
      <c r="Y1647" t="s">
        <v>4130</v>
      </c>
      <c r="AA1647" t="s">
        <v>4131</v>
      </c>
      <c r="AB1647" t="s">
        <v>181</v>
      </c>
    </row>
    <row r="1648" spans="1:28" x14ac:dyDescent="0.25">
      <c r="A1648" t="s">
        <v>4184</v>
      </c>
      <c r="B1648" t="s">
        <v>4185</v>
      </c>
      <c r="C1648" t="s">
        <v>646</v>
      </c>
      <c r="D1648" t="s">
        <v>3779</v>
      </c>
      <c r="E1648" t="s">
        <v>647</v>
      </c>
      <c r="F1648" t="s">
        <v>3780</v>
      </c>
      <c r="G1648" t="s">
        <v>769</v>
      </c>
      <c r="H1648" t="s">
        <v>703</v>
      </c>
      <c r="I1648" t="s">
        <v>4186</v>
      </c>
      <c r="J1648" t="s">
        <v>1164</v>
      </c>
      <c r="K1648" t="s">
        <v>166</v>
      </c>
      <c r="L1648" t="s">
        <v>0</v>
      </c>
      <c r="M1648" t="s">
        <v>178</v>
      </c>
      <c r="N1648">
        <v>1142.6677999999999</v>
      </c>
      <c r="O1648">
        <v>665.0847</v>
      </c>
      <c r="P1648">
        <v>18751.810000000001</v>
      </c>
      <c r="Q1648">
        <v>34711.300000000003</v>
      </c>
      <c r="R1648">
        <v>2512.69035089</v>
      </c>
      <c r="S1648">
        <v>9346.2589408500007</v>
      </c>
      <c r="T1648">
        <v>28.530350890000001</v>
      </c>
      <c r="U1648">
        <v>1549.45</v>
      </c>
      <c r="V1648">
        <v>4061.61</v>
      </c>
      <c r="W1648" t="s">
        <v>1165</v>
      </c>
      <c r="X1648" t="s">
        <v>271</v>
      </c>
      <c r="Y1648" t="s">
        <v>4187</v>
      </c>
      <c r="AA1648" t="s">
        <v>4188</v>
      </c>
      <c r="AB1648" t="s">
        <v>181</v>
      </c>
    </row>
    <row r="1649" spans="1:28" x14ac:dyDescent="0.25">
      <c r="A1649" t="s">
        <v>4270</v>
      </c>
      <c r="B1649" t="s">
        <v>4271</v>
      </c>
      <c r="C1649" t="s">
        <v>646</v>
      </c>
      <c r="D1649" t="s">
        <v>3779</v>
      </c>
      <c r="E1649" t="s">
        <v>647</v>
      </c>
      <c r="F1649" t="s">
        <v>3780</v>
      </c>
      <c r="G1649" t="s">
        <v>769</v>
      </c>
      <c r="H1649" t="s">
        <v>708</v>
      </c>
      <c r="I1649" t="s">
        <v>4272</v>
      </c>
      <c r="J1649" t="s">
        <v>352</v>
      </c>
      <c r="K1649" t="s">
        <v>166</v>
      </c>
      <c r="L1649" t="s">
        <v>0</v>
      </c>
      <c r="M1649" t="s">
        <v>178</v>
      </c>
      <c r="N1649">
        <v>127.4999</v>
      </c>
      <c r="O1649">
        <v>108.4999</v>
      </c>
      <c r="P1649">
        <v>258.64999999999998</v>
      </c>
      <c r="Q1649">
        <v>2713.52</v>
      </c>
      <c r="R1649">
        <v>419.23</v>
      </c>
      <c r="S1649">
        <v>474.43326510999998</v>
      </c>
      <c r="T1649">
        <v>0</v>
      </c>
      <c r="U1649">
        <v>0</v>
      </c>
      <c r="V1649">
        <v>419.23</v>
      </c>
      <c r="W1649" t="s">
        <v>314</v>
      </c>
      <c r="X1649" t="s">
        <v>271</v>
      </c>
      <c r="Y1649" t="s">
        <v>4273</v>
      </c>
      <c r="AA1649" t="s">
        <v>4274</v>
      </c>
      <c r="AB1649" t="s">
        <v>181</v>
      </c>
    </row>
    <row r="1650" spans="1:28" x14ac:dyDescent="0.25">
      <c r="A1650" t="s">
        <v>4002</v>
      </c>
      <c r="B1650" t="s">
        <v>4003</v>
      </c>
      <c r="C1650" t="s">
        <v>646</v>
      </c>
      <c r="D1650" t="s">
        <v>3779</v>
      </c>
      <c r="E1650" t="s">
        <v>647</v>
      </c>
      <c r="F1650" t="s">
        <v>3780</v>
      </c>
      <c r="G1650" t="s">
        <v>769</v>
      </c>
      <c r="H1650" t="s">
        <v>713</v>
      </c>
      <c r="I1650" t="s">
        <v>2635</v>
      </c>
      <c r="J1650" t="s">
        <v>2636</v>
      </c>
      <c r="K1650" t="s">
        <v>166</v>
      </c>
      <c r="L1650" t="s">
        <v>0</v>
      </c>
      <c r="M1650" t="s">
        <v>178</v>
      </c>
      <c r="N1650">
        <v>152.5</v>
      </c>
      <c r="O1650">
        <v>19.5</v>
      </c>
      <c r="P1650">
        <v>3137.56</v>
      </c>
      <c r="Q1650">
        <v>6849.38</v>
      </c>
      <c r="R1650">
        <v>1433.51</v>
      </c>
      <c r="S1650">
        <v>372.80689462999999</v>
      </c>
      <c r="T1650">
        <v>0</v>
      </c>
      <c r="U1650">
        <v>0</v>
      </c>
      <c r="V1650">
        <v>1433.51</v>
      </c>
      <c r="W1650" t="s">
        <v>1609</v>
      </c>
      <c r="X1650" t="s">
        <v>271</v>
      </c>
      <c r="Y1650" t="s">
        <v>4004</v>
      </c>
      <c r="AA1650" t="s">
        <v>4005</v>
      </c>
      <c r="AB1650" t="s">
        <v>181</v>
      </c>
    </row>
    <row r="1651" spans="1:28" x14ac:dyDescent="0.25">
      <c r="A1651" t="s">
        <v>4102</v>
      </c>
      <c r="B1651" t="s">
        <v>4103</v>
      </c>
      <c r="C1651" t="s">
        <v>646</v>
      </c>
      <c r="D1651" t="s">
        <v>3779</v>
      </c>
      <c r="E1651" t="s">
        <v>647</v>
      </c>
      <c r="F1651" t="s">
        <v>3780</v>
      </c>
      <c r="G1651" t="s">
        <v>769</v>
      </c>
      <c r="H1651" t="s">
        <v>679</v>
      </c>
      <c r="I1651" t="s">
        <v>4104</v>
      </c>
      <c r="J1651" t="s">
        <v>4105</v>
      </c>
      <c r="K1651" t="s">
        <v>166</v>
      </c>
      <c r="L1651" t="s">
        <v>0</v>
      </c>
      <c r="M1651" t="s">
        <v>178</v>
      </c>
      <c r="N1651">
        <v>700.71669999999995</v>
      </c>
      <c r="O1651">
        <v>603.41669999999999</v>
      </c>
      <c r="P1651">
        <v>9017.74</v>
      </c>
      <c r="Q1651">
        <v>27867.96</v>
      </c>
      <c r="R1651">
        <v>2847.4568194100002</v>
      </c>
      <c r="S1651">
        <v>8586.2748756000001</v>
      </c>
      <c r="T1651">
        <v>-22.113180589999999</v>
      </c>
      <c r="U1651">
        <v>0</v>
      </c>
      <c r="V1651">
        <v>2869.57</v>
      </c>
      <c r="W1651" t="s">
        <v>4106</v>
      </c>
      <c r="X1651" t="s">
        <v>269</v>
      </c>
      <c r="Y1651" t="s">
        <v>4107</v>
      </c>
      <c r="AA1651" t="s">
        <v>4108</v>
      </c>
      <c r="AB1651" t="s">
        <v>181</v>
      </c>
    </row>
    <row r="1652" spans="1:28" x14ac:dyDescent="0.25">
      <c r="A1652" t="s">
        <v>3883</v>
      </c>
      <c r="B1652" t="s">
        <v>3884</v>
      </c>
      <c r="C1652" t="s">
        <v>646</v>
      </c>
      <c r="D1652" t="s">
        <v>3779</v>
      </c>
      <c r="E1652" t="s">
        <v>647</v>
      </c>
      <c r="F1652" t="s">
        <v>3780</v>
      </c>
      <c r="G1652" t="s">
        <v>769</v>
      </c>
      <c r="H1652" t="s">
        <v>1045</v>
      </c>
      <c r="I1652" t="s">
        <v>3885</v>
      </c>
      <c r="J1652" t="s">
        <v>1861</v>
      </c>
      <c r="K1652" t="s">
        <v>166</v>
      </c>
      <c r="L1652" t="s">
        <v>0</v>
      </c>
      <c r="M1652" t="s">
        <v>178</v>
      </c>
      <c r="N1652">
        <v>14</v>
      </c>
      <c r="O1652">
        <v>10</v>
      </c>
      <c r="P1652">
        <v>188.2</v>
      </c>
      <c r="Q1652">
        <v>1120.1400000000001</v>
      </c>
      <c r="R1652">
        <v>90.16</v>
      </c>
      <c r="S1652">
        <v>62.980540099999999</v>
      </c>
      <c r="T1652">
        <v>0</v>
      </c>
      <c r="U1652">
        <v>0</v>
      </c>
      <c r="V1652">
        <v>90.16</v>
      </c>
      <c r="W1652" t="s">
        <v>1862</v>
      </c>
      <c r="X1652" t="s">
        <v>271</v>
      </c>
      <c r="Y1652" t="s">
        <v>3886</v>
      </c>
      <c r="AA1652" t="s">
        <v>3887</v>
      </c>
      <c r="AB1652" t="s">
        <v>181</v>
      </c>
    </row>
    <row r="1653" spans="1:28" x14ac:dyDescent="0.25">
      <c r="A1653" t="s">
        <v>4179</v>
      </c>
      <c r="B1653" t="s">
        <v>4180</v>
      </c>
      <c r="C1653" t="s">
        <v>646</v>
      </c>
      <c r="D1653" t="s">
        <v>3779</v>
      </c>
      <c r="E1653" t="s">
        <v>647</v>
      </c>
      <c r="F1653" t="s">
        <v>3780</v>
      </c>
      <c r="G1653" t="s">
        <v>769</v>
      </c>
      <c r="H1653" t="s">
        <v>761</v>
      </c>
      <c r="I1653" t="s">
        <v>4181</v>
      </c>
      <c r="J1653" t="s">
        <v>816</v>
      </c>
      <c r="K1653" t="s">
        <v>166</v>
      </c>
      <c r="L1653" t="s">
        <v>0</v>
      </c>
      <c r="M1653" t="s">
        <v>178</v>
      </c>
      <c r="N1653">
        <v>111</v>
      </c>
      <c r="O1653">
        <v>96</v>
      </c>
      <c r="P1653">
        <v>3511.13</v>
      </c>
      <c r="Q1653">
        <v>4113.05</v>
      </c>
      <c r="R1653">
        <v>969</v>
      </c>
      <c r="S1653">
        <v>711.29632198000002</v>
      </c>
      <c r="T1653">
        <v>0</v>
      </c>
      <c r="U1653">
        <v>0</v>
      </c>
      <c r="V1653">
        <v>969</v>
      </c>
      <c r="W1653" t="s">
        <v>1490</v>
      </c>
      <c r="X1653" t="s">
        <v>271</v>
      </c>
      <c r="Y1653" t="s">
        <v>4182</v>
      </c>
      <c r="AA1653" t="s">
        <v>4183</v>
      </c>
      <c r="AB1653" t="s">
        <v>181</v>
      </c>
    </row>
    <row r="1654" spans="1:28" x14ac:dyDescent="0.25">
      <c r="A1654" t="s">
        <v>3870</v>
      </c>
      <c r="B1654" t="s">
        <v>3871</v>
      </c>
      <c r="C1654" t="s">
        <v>646</v>
      </c>
      <c r="D1654" t="s">
        <v>3779</v>
      </c>
      <c r="E1654" t="s">
        <v>647</v>
      </c>
      <c r="F1654" t="s">
        <v>666</v>
      </c>
      <c r="G1654" t="s">
        <v>666</v>
      </c>
      <c r="H1654" t="s">
        <v>679</v>
      </c>
      <c r="I1654" t="s">
        <v>3872</v>
      </c>
      <c r="J1654" t="s">
        <v>355</v>
      </c>
      <c r="K1654" t="s">
        <v>166</v>
      </c>
      <c r="L1654" t="s">
        <v>0</v>
      </c>
      <c r="M1654" t="s">
        <v>178</v>
      </c>
      <c r="N1654">
        <v>276</v>
      </c>
      <c r="O1654">
        <v>201</v>
      </c>
      <c r="P1654">
        <v>4284.95</v>
      </c>
      <c r="Q1654">
        <v>14517.15</v>
      </c>
      <c r="R1654">
        <v>1128.6991098799999</v>
      </c>
      <c r="S1654">
        <v>6466.7399462100002</v>
      </c>
      <c r="T1654">
        <v>-22.510890119999999</v>
      </c>
      <c r="U1654">
        <v>0</v>
      </c>
      <c r="V1654">
        <v>1151.21</v>
      </c>
      <c r="W1654" t="s">
        <v>0</v>
      </c>
      <c r="X1654" t="s">
        <v>271</v>
      </c>
      <c r="Y1654" t="s">
        <v>3873</v>
      </c>
      <c r="AA1654" t="s">
        <v>3874</v>
      </c>
      <c r="AB1654" t="s">
        <v>181</v>
      </c>
    </row>
    <row r="1655" spans="1:28" x14ac:dyDescent="0.25">
      <c r="A1655" t="s">
        <v>4361</v>
      </c>
      <c r="B1655" t="s">
        <v>4362</v>
      </c>
      <c r="C1655" t="s">
        <v>646</v>
      </c>
      <c r="D1655" t="s">
        <v>3779</v>
      </c>
      <c r="E1655" t="s">
        <v>647</v>
      </c>
      <c r="F1655" t="s">
        <v>3780</v>
      </c>
      <c r="G1655" t="s">
        <v>769</v>
      </c>
      <c r="H1655" t="s">
        <v>672</v>
      </c>
      <c r="I1655" t="s">
        <v>1712</v>
      </c>
      <c r="J1655" t="s">
        <v>335</v>
      </c>
      <c r="K1655" t="s">
        <v>166</v>
      </c>
      <c r="L1655" t="s">
        <v>0</v>
      </c>
      <c r="M1655" t="s">
        <v>178</v>
      </c>
      <c r="N1655">
        <v>99</v>
      </c>
      <c r="O1655">
        <v>51</v>
      </c>
      <c r="P1655">
        <v>1612.6</v>
      </c>
      <c r="Q1655">
        <v>3812.24</v>
      </c>
      <c r="R1655">
        <v>674.00222369000005</v>
      </c>
      <c r="S1655">
        <v>705.13282497</v>
      </c>
      <c r="T1655">
        <v>75.942223690000006</v>
      </c>
      <c r="U1655">
        <v>0</v>
      </c>
      <c r="V1655">
        <v>685.84</v>
      </c>
      <c r="W1655" t="s">
        <v>572</v>
      </c>
      <c r="X1655" t="s">
        <v>271</v>
      </c>
      <c r="Y1655" t="s">
        <v>4363</v>
      </c>
      <c r="AA1655" t="s">
        <v>4364</v>
      </c>
      <c r="AB1655" t="s">
        <v>181</v>
      </c>
    </row>
    <row r="1656" spans="1:28" x14ac:dyDescent="0.25">
      <c r="A1656" t="s">
        <v>4162</v>
      </c>
      <c r="B1656" t="s">
        <v>4163</v>
      </c>
      <c r="C1656" t="s">
        <v>646</v>
      </c>
      <c r="D1656" t="s">
        <v>3779</v>
      </c>
      <c r="E1656" t="s">
        <v>647</v>
      </c>
      <c r="F1656" t="s">
        <v>3780</v>
      </c>
      <c r="G1656" t="s">
        <v>769</v>
      </c>
      <c r="H1656" t="s">
        <v>761</v>
      </c>
      <c r="I1656" t="s">
        <v>4164</v>
      </c>
      <c r="J1656" t="s">
        <v>985</v>
      </c>
      <c r="K1656" t="s">
        <v>166</v>
      </c>
      <c r="L1656" t="s">
        <v>0</v>
      </c>
      <c r="M1656" t="s">
        <v>178</v>
      </c>
      <c r="N1656">
        <v>32</v>
      </c>
      <c r="O1656">
        <v>5</v>
      </c>
      <c r="P1656">
        <v>1250.22</v>
      </c>
      <c r="Q1656">
        <v>1204.96</v>
      </c>
      <c r="R1656">
        <v>173.13505228</v>
      </c>
      <c r="S1656">
        <v>98.41465015</v>
      </c>
      <c r="T1656">
        <v>2.505228E-2</v>
      </c>
      <c r="U1656">
        <v>0</v>
      </c>
      <c r="V1656">
        <v>173.11</v>
      </c>
      <c r="W1656" t="s">
        <v>986</v>
      </c>
      <c r="X1656" t="s">
        <v>271</v>
      </c>
      <c r="Y1656" t="s">
        <v>4165</v>
      </c>
      <c r="AA1656" t="s">
        <v>4166</v>
      </c>
      <c r="AB1656" t="s">
        <v>181</v>
      </c>
    </row>
    <row r="1657" spans="1:28" x14ac:dyDescent="0.25">
      <c r="A1657" t="s">
        <v>3900</v>
      </c>
      <c r="B1657" t="s">
        <v>3901</v>
      </c>
      <c r="C1657" t="s">
        <v>646</v>
      </c>
      <c r="D1657" t="s">
        <v>3779</v>
      </c>
      <c r="E1657" t="s">
        <v>647</v>
      </c>
      <c r="F1657" t="s">
        <v>3780</v>
      </c>
      <c r="G1657" t="s">
        <v>769</v>
      </c>
      <c r="H1657" t="s">
        <v>649</v>
      </c>
      <c r="I1657" t="s">
        <v>3902</v>
      </c>
      <c r="J1657" t="s">
        <v>1225</v>
      </c>
      <c r="K1657" t="s">
        <v>166</v>
      </c>
      <c r="L1657" t="s">
        <v>0</v>
      </c>
      <c r="M1657" t="s">
        <v>178</v>
      </c>
      <c r="N1657">
        <v>303</v>
      </c>
      <c r="O1657">
        <v>286</v>
      </c>
      <c r="P1657">
        <v>11836.21</v>
      </c>
      <c r="Q1657">
        <v>20046.71</v>
      </c>
      <c r="R1657">
        <v>1507.06</v>
      </c>
      <c r="S1657">
        <v>1468.1768158</v>
      </c>
      <c r="T1657">
        <v>0</v>
      </c>
      <c r="U1657">
        <v>0</v>
      </c>
      <c r="V1657">
        <v>1507.06</v>
      </c>
      <c r="W1657" t="s">
        <v>0</v>
      </c>
      <c r="X1657" t="s">
        <v>271</v>
      </c>
      <c r="Y1657" t="s">
        <v>3903</v>
      </c>
      <c r="AA1657" t="s">
        <v>3904</v>
      </c>
      <c r="AB1657" t="s">
        <v>181</v>
      </c>
    </row>
    <row r="1658" spans="1:28" x14ac:dyDescent="0.25">
      <c r="A1658" t="s">
        <v>3810</v>
      </c>
      <c r="B1658" t="s">
        <v>3811</v>
      </c>
      <c r="C1658" t="s">
        <v>646</v>
      </c>
      <c r="D1658" t="s">
        <v>3779</v>
      </c>
      <c r="E1658" t="s">
        <v>647</v>
      </c>
      <c r="F1658" t="s">
        <v>3780</v>
      </c>
      <c r="G1658" t="s">
        <v>769</v>
      </c>
      <c r="H1658" t="s">
        <v>797</v>
      </c>
      <c r="I1658" t="s">
        <v>771</v>
      </c>
      <c r="J1658" t="s">
        <v>319</v>
      </c>
      <c r="K1658" t="s">
        <v>166</v>
      </c>
      <c r="L1658" t="s">
        <v>0</v>
      </c>
      <c r="M1658" t="s">
        <v>178</v>
      </c>
      <c r="N1658">
        <v>492</v>
      </c>
      <c r="O1658">
        <v>90</v>
      </c>
      <c r="P1658">
        <v>5097.41</v>
      </c>
      <c r="Q1658">
        <v>20019.310000000001</v>
      </c>
      <c r="R1658">
        <v>1831.0444439</v>
      </c>
      <c r="S1658">
        <v>626.81104442000003</v>
      </c>
      <c r="T1658">
        <v>4.4438999999999998E-3</v>
      </c>
      <c r="U1658">
        <v>0</v>
      </c>
      <c r="V1658">
        <v>1831.04</v>
      </c>
      <c r="W1658" t="s">
        <v>0</v>
      </c>
      <c r="X1658" t="s">
        <v>271</v>
      </c>
      <c r="Y1658" t="s">
        <v>3812</v>
      </c>
      <c r="AA1658" t="s">
        <v>3813</v>
      </c>
      <c r="AB1658" t="s">
        <v>181</v>
      </c>
    </row>
    <row r="1659" spans="1:28" x14ac:dyDescent="0.25">
      <c r="A1659" t="s">
        <v>4275</v>
      </c>
      <c r="B1659" t="s">
        <v>4276</v>
      </c>
      <c r="C1659" t="s">
        <v>646</v>
      </c>
      <c r="D1659" t="s">
        <v>3779</v>
      </c>
      <c r="E1659" t="s">
        <v>647</v>
      </c>
      <c r="F1659" t="s">
        <v>3780</v>
      </c>
      <c r="G1659" t="s">
        <v>769</v>
      </c>
      <c r="H1659" t="s">
        <v>770</v>
      </c>
      <c r="I1659" t="s">
        <v>4277</v>
      </c>
      <c r="J1659" t="s">
        <v>562</v>
      </c>
      <c r="K1659" t="s">
        <v>166</v>
      </c>
      <c r="L1659" t="s">
        <v>0</v>
      </c>
      <c r="M1659" t="s">
        <v>178</v>
      </c>
      <c r="N1659">
        <v>4</v>
      </c>
      <c r="O1659">
        <v>3</v>
      </c>
      <c r="P1659">
        <v>86</v>
      </c>
      <c r="Q1659">
        <v>166.16</v>
      </c>
      <c r="R1659">
        <v>11.91</v>
      </c>
      <c r="S1659">
        <v>13.85</v>
      </c>
      <c r="T1659">
        <v>0</v>
      </c>
      <c r="U1659">
        <v>0</v>
      </c>
      <c r="V1659">
        <v>11.91</v>
      </c>
      <c r="W1659" t="s">
        <v>0</v>
      </c>
      <c r="X1659" t="s">
        <v>271</v>
      </c>
      <c r="Y1659" t="s">
        <v>4278</v>
      </c>
      <c r="AA1659" t="s">
        <v>4279</v>
      </c>
      <c r="AB1659" t="s">
        <v>181</v>
      </c>
    </row>
    <row r="1660" spans="1:28" x14ac:dyDescent="0.25">
      <c r="A1660" t="s">
        <v>3838</v>
      </c>
      <c r="B1660" t="s">
        <v>3839</v>
      </c>
      <c r="C1660" t="s">
        <v>646</v>
      </c>
      <c r="D1660" t="s">
        <v>3779</v>
      </c>
      <c r="E1660" t="s">
        <v>647</v>
      </c>
      <c r="F1660" t="s">
        <v>3780</v>
      </c>
      <c r="G1660" t="s">
        <v>769</v>
      </c>
      <c r="H1660" t="s">
        <v>672</v>
      </c>
      <c r="I1660" t="s">
        <v>906</v>
      </c>
      <c r="J1660" t="s">
        <v>907</v>
      </c>
      <c r="K1660" t="s">
        <v>166</v>
      </c>
      <c r="L1660" t="s">
        <v>0</v>
      </c>
      <c r="M1660" t="s">
        <v>178</v>
      </c>
      <c r="N1660">
        <v>51</v>
      </c>
      <c r="O1660">
        <v>20</v>
      </c>
      <c r="P1660">
        <v>605.29999999999995</v>
      </c>
      <c r="Q1660">
        <v>2544.44</v>
      </c>
      <c r="R1660">
        <v>575.11</v>
      </c>
      <c r="S1660">
        <v>463.90372074999999</v>
      </c>
      <c r="T1660">
        <v>0</v>
      </c>
      <c r="U1660">
        <v>0</v>
      </c>
      <c r="V1660">
        <v>575.11</v>
      </c>
      <c r="W1660" t="s">
        <v>272</v>
      </c>
      <c r="X1660" t="s">
        <v>269</v>
      </c>
      <c r="Y1660" t="s">
        <v>3840</v>
      </c>
      <c r="AA1660" t="s">
        <v>3841</v>
      </c>
      <c r="AB1660" t="s">
        <v>181</v>
      </c>
    </row>
    <row r="1661" spans="1:28" x14ac:dyDescent="0.25">
      <c r="A1661" t="s">
        <v>4039</v>
      </c>
      <c r="B1661" t="s">
        <v>4040</v>
      </c>
      <c r="C1661" t="s">
        <v>646</v>
      </c>
      <c r="D1661" t="s">
        <v>3779</v>
      </c>
      <c r="E1661" t="s">
        <v>647</v>
      </c>
      <c r="F1661" t="s">
        <v>3780</v>
      </c>
      <c r="G1661" t="s">
        <v>769</v>
      </c>
      <c r="H1661" t="s">
        <v>962</v>
      </c>
      <c r="I1661" t="s">
        <v>1595</v>
      </c>
      <c r="J1661" t="s">
        <v>544</v>
      </c>
      <c r="K1661" t="s">
        <v>166</v>
      </c>
      <c r="L1661" t="s">
        <v>0</v>
      </c>
      <c r="M1661" t="s">
        <v>178</v>
      </c>
      <c r="N1661">
        <v>38</v>
      </c>
      <c r="O1661">
        <v>34</v>
      </c>
      <c r="P1661">
        <v>674.68</v>
      </c>
      <c r="Q1661">
        <v>2481.89</v>
      </c>
      <c r="R1661">
        <v>523.04999999999995</v>
      </c>
      <c r="S1661">
        <v>339.75312064000002</v>
      </c>
      <c r="T1661">
        <v>0</v>
      </c>
      <c r="U1661">
        <v>0</v>
      </c>
      <c r="V1661">
        <v>523.04999999999995</v>
      </c>
      <c r="W1661" t="s">
        <v>239</v>
      </c>
      <c r="X1661" t="s">
        <v>271</v>
      </c>
      <c r="Y1661" t="s">
        <v>4041</v>
      </c>
      <c r="AA1661" t="s">
        <v>4042</v>
      </c>
      <c r="AB1661" t="s">
        <v>181</v>
      </c>
    </row>
    <row r="1662" spans="1:28" x14ac:dyDescent="0.25">
      <c r="A1662" t="s">
        <v>3849</v>
      </c>
      <c r="B1662" t="s">
        <v>3850</v>
      </c>
      <c r="C1662" t="s">
        <v>646</v>
      </c>
      <c r="D1662" t="s">
        <v>3779</v>
      </c>
      <c r="E1662" t="s">
        <v>647</v>
      </c>
      <c r="F1662" t="s">
        <v>3780</v>
      </c>
      <c r="G1662" t="s">
        <v>769</v>
      </c>
      <c r="H1662" t="s">
        <v>757</v>
      </c>
      <c r="I1662" t="s">
        <v>1184</v>
      </c>
      <c r="J1662" t="s">
        <v>1185</v>
      </c>
      <c r="K1662" t="s">
        <v>166</v>
      </c>
      <c r="L1662" t="s">
        <v>0</v>
      </c>
      <c r="M1662" t="s">
        <v>178</v>
      </c>
      <c r="N1662">
        <v>161.2774</v>
      </c>
      <c r="O1662">
        <v>161.2774</v>
      </c>
      <c r="P1662">
        <v>3922.93</v>
      </c>
      <c r="Q1662">
        <v>5793.84</v>
      </c>
      <c r="R1662">
        <v>220.72</v>
      </c>
      <c r="S1662">
        <v>1368.63252031</v>
      </c>
      <c r="T1662">
        <v>0</v>
      </c>
      <c r="U1662">
        <v>0</v>
      </c>
      <c r="V1662">
        <v>220.72</v>
      </c>
      <c r="W1662" t="s">
        <v>1186</v>
      </c>
      <c r="X1662" t="s">
        <v>271</v>
      </c>
      <c r="Y1662" t="s">
        <v>3851</v>
      </c>
      <c r="AA1662" t="s">
        <v>3852</v>
      </c>
      <c r="AB1662" t="s">
        <v>181</v>
      </c>
    </row>
    <row r="1663" spans="1:28" x14ac:dyDescent="0.25">
      <c r="A1663" t="s">
        <v>4064</v>
      </c>
      <c r="B1663" t="s">
        <v>4065</v>
      </c>
      <c r="C1663" t="s">
        <v>646</v>
      </c>
      <c r="D1663" t="s">
        <v>3779</v>
      </c>
      <c r="E1663" t="s">
        <v>647</v>
      </c>
      <c r="F1663" t="s">
        <v>3780</v>
      </c>
      <c r="G1663" t="s">
        <v>769</v>
      </c>
      <c r="H1663" t="s">
        <v>679</v>
      </c>
      <c r="I1663" t="s">
        <v>2469</v>
      </c>
      <c r="J1663" t="s">
        <v>2470</v>
      </c>
      <c r="K1663" t="s">
        <v>166</v>
      </c>
      <c r="L1663" t="s">
        <v>0</v>
      </c>
      <c r="M1663" t="s">
        <v>178</v>
      </c>
      <c r="N1663">
        <v>2</v>
      </c>
      <c r="O1663">
        <v>1</v>
      </c>
      <c r="P1663">
        <v>16.010000000000002</v>
      </c>
      <c r="Q1663">
        <v>55.12</v>
      </c>
      <c r="R1663">
        <v>16.309999999999999</v>
      </c>
      <c r="S1663">
        <v>6.9801411199999999</v>
      </c>
      <c r="T1663">
        <v>0</v>
      </c>
      <c r="U1663">
        <v>0</v>
      </c>
      <c r="V1663">
        <v>16.309999999999999</v>
      </c>
      <c r="W1663" t="s">
        <v>4066</v>
      </c>
      <c r="X1663" t="s">
        <v>271</v>
      </c>
      <c r="Y1663" t="s">
        <v>4067</v>
      </c>
      <c r="AA1663" t="s">
        <v>4068</v>
      </c>
      <c r="AB1663" t="s">
        <v>181</v>
      </c>
    </row>
    <row r="1664" spans="1:28" x14ac:dyDescent="0.25">
      <c r="A1664" t="s">
        <v>3895</v>
      </c>
      <c r="B1664" t="s">
        <v>3896</v>
      </c>
      <c r="C1664" t="s">
        <v>646</v>
      </c>
      <c r="D1664" t="s">
        <v>3779</v>
      </c>
      <c r="E1664" t="s">
        <v>647</v>
      </c>
      <c r="F1664" t="s">
        <v>3780</v>
      </c>
      <c r="G1664" t="s">
        <v>769</v>
      </c>
      <c r="H1664" t="s">
        <v>909</v>
      </c>
      <c r="I1664" t="s">
        <v>3897</v>
      </c>
      <c r="J1664" t="s">
        <v>437</v>
      </c>
      <c r="K1664" t="s">
        <v>166</v>
      </c>
      <c r="L1664" t="s">
        <v>0</v>
      </c>
      <c r="M1664" t="s">
        <v>178</v>
      </c>
      <c r="N1664">
        <v>665</v>
      </c>
      <c r="O1664">
        <v>590</v>
      </c>
      <c r="P1664">
        <v>23448</v>
      </c>
      <c r="Q1664">
        <v>16714.919999999998</v>
      </c>
      <c r="R1664">
        <v>1442.63338217</v>
      </c>
      <c r="S1664">
        <v>2519.0371120099999</v>
      </c>
      <c r="T1664">
        <v>1.3133821699999999</v>
      </c>
      <c r="U1664">
        <v>0</v>
      </c>
      <c r="V1664">
        <v>1441.32</v>
      </c>
      <c r="W1664" t="s">
        <v>510</v>
      </c>
      <c r="X1664" t="s">
        <v>271</v>
      </c>
      <c r="Y1664" t="s">
        <v>3898</v>
      </c>
      <c r="AA1664" t="s">
        <v>3899</v>
      </c>
      <c r="AB1664" t="s">
        <v>181</v>
      </c>
    </row>
    <row r="1665" spans="1:28" x14ac:dyDescent="0.25">
      <c r="A1665" t="s">
        <v>4172</v>
      </c>
      <c r="B1665" t="s">
        <v>4173</v>
      </c>
      <c r="C1665" t="s">
        <v>646</v>
      </c>
      <c r="D1665" t="s">
        <v>3779</v>
      </c>
      <c r="E1665" t="s">
        <v>647</v>
      </c>
      <c r="F1665" t="s">
        <v>3780</v>
      </c>
      <c r="G1665" t="s">
        <v>769</v>
      </c>
      <c r="H1665" t="s">
        <v>713</v>
      </c>
      <c r="I1665" t="s">
        <v>1801</v>
      </c>
      <c r="J1665" t="s">
        <v>437</v>
      </c>
      <c r="K1665" t="s">
        <v>166</v>
      </c>
      <c r="L1665" t="s">
        <v>0</v>
      </c>
      <c r="M1665" t="s">
        <v>178</v>
      </c>
      <c r="N1665">
        <v>574</v>
      </c>
      <c r="O1665">
        <v>4</v>
      </c>
      <c r="P1665">
        <v>13933.56</v>
      </c>
      <c r="Q1665">
        <v>15741.31</v>
      </c>
      <c r="R1665">
        <v>1690.2167724999999</v>
      </c>
      <c r="S1665">
        <v>662.33467207000001</v>
      </c>
      <c r="T1665">
        <v>80.696772499999994</v>
      </c>
      <c r="U1665">
        <v>0</v>
      </c>
      <c r="V1665">
        <v>1609.52</v>
      </c>
      <c r="W1665" t="s">
        <v>510</v>
      </c>
      <c r="X1665" t="s">
        <v>271</v>
      </c>
      <c r="Y1665" t="s">
        <v>4174</v>
      </c>
      <c r="Z1665" t="s">
        <v>4175</v>
      </c>
      <c r="AA1665" t="s">
        <v>4176</v>
      </c>
      <c r="AB1665" t="s">
        <v>181</v>
      </c>
    </row>
    <row r="1666" spans="1:28" x14ac:dyDescent="0.25">
      <c r="A1666" t="s">
        <v>4240</v>
      </c>
      <c r="B1666" t="s">
        <v>4241</v>
      </c>
      <c r="C1666" t="s">
        <v>646</v>
      </c>
      <c r="D1666" t="s">
        <v>3779</v>
      </c>
      <c r="E1666" t="s">
        <v>647</v>
      </c>
      <c r="F1666" t="s">
        <v>666</v>
      </c>
      <c r="G1666" t="s">
        <v>666</v>
      </c>
      <c r="H1666" t="s">
        <v>649</v>
      </c>
      <c r="I1666" t="s">
        <v>880</v>
      </c>
      <c r="J1666" t="s">
        <v>881</v>
      </c>
      <c r="K1666" t="s">
        <v>166</v>
      </c>
      <c r="L1666" t="s">
        <v>0</v>
      </c>
      <c r="M1666" t="s">
        <v>178</v>
      </c>
      <c r="N1666">
        <v>163</v>
      </c>
      <c r="O1666">
        <v>118</v>
      </c>
      <c r="P1666">
        <v>3726.24</v>
      </c>
      <c r="Q1666">
        <v>7459.47</v>
      </c>
      <c r="R1666">
        <v>574.65</v>
      </c>
      <c r="S1666">
        <v>689.41365379000001</v>
      </c>
      <c r="T1666">
        <v>2</v>
      </c>
      <c r="U1666">
        <v>0</v>
      </c>
      <c r="V1666">
        <v>574.65</v>
      </c>
      <c r="W1666" t="s">
        <v>0</v>
      </c>
      <c r="X1666" t="s">
        <v>271</v>
      </c>
      <c r="Y1666" t="s">
        <v>4242</v>
      </c>
      <c r="AA1666" t="s">
        <v>4243</v>
      </c>
      <c r="AB1666" t="s">
        <v>181</v>
      </c>
    </row>
    <row r="1667" spans="1:28" x14ac:dyDescent="0.25">
      <c r="A1667" t="s">
        <v>3883</v>
      </c>
      <c r="B1667" t="s">
        <v>3884</v>
      </c>
      <c r="C1667" t="s">
        <v>646</v>
      </c>
      <c r="D1667" t="s">
        <v>3779</v>
      </c>
      <c r="E1667" t="s">
        <v>647</v>
      </c>
      <c r="F1667" t="s">
        <v>3780</v>
      </c>
      <c r="G1667" t="s">
        <v>769</v>
      </c>
      <c r="H1667" t="s">
        <v>672</v>
      </c>
      <c r="I1667" t="s">
        <v>3885</v>
      </c>
      <c r="J1667" t="s">
        <v>1861</v>
      </c>
      <c r="K1667" t="s">
        <v>166</v>
      </c>
      <c r="L1667" t="s">
        <v>0</v>
      </c>
      <c r="M1667" t="s">
        <v>178</v>
      </c>
      <c r="N1667">
        <v>16</v>
      </c>
      <c r="O1667">
        <v>16</v>
      </c>
      <c r="P1667">
        <v>126.5</v>
      </c>
      <c r="Q1667">
        <v>659.26</v>
      </c>
      <c r="R1667">
        <v>28.35</v>
      </c>
      <c r="S1667">
        <v>291.21374136999998</v>
      </c>
      <c r="T1667">
        <v>0</v>
      </c>
      <c r="U1667">
        <v>0</v>
      </c>
      <c r="V1667">
        <v>28.35</v>
      </c>
      <c r="W1667" t="s">
        <v>1862</v>
      </c>
      <c r="X1667" t="s">
        <v>271</v>
      </c>
      <c r="Y1667" t="s">
        <v>3886</v>
      </c>
      <c r="AA1667" t="s">
        <v>3887</v>
      </c>
      <c r="AB1667" t="s">
        <v>181</v>
      </c>
    </row>
    <row r="1668" spans="1:28" x14ac:dyDescent="0.25">
      <c r="A1668" t="s">
        <v>4011</v>
      </c>
      <c r="B1668" t="s">
        <v>4012</v>
      </c>
      <c r="C1668" t="s">
        <v>646</v>
      </c>
      <c r="D1668" t="s">
        <v>3779</v>
      </c>
      <c r="E1668" t="s">
        <v>647</v>
      </c>
      <c r="F1668" t="s">
        <v>3780</v>
      </c>
      <c r="G1668" t="s">
        <v>769</v>
      </c>
      <c r="H1668" t="s">
        <v>672</v>
      </c>
      <c r="I1668" t="s">
        <v>2142</v>
      </c>
      <c r="J1668" t="s">
        <v>1924</v>
      </c>
      <c r="K1668" t="s">
        <v>166</v>
      </c>
      <c r="L1668" t="s">
        <v>0</v>
      </c>
      <c r="M1668" t="s">
        <v>178</v>
      </c>
      <c r="N1668">
        <v>281</v>
      </c>
      <c r="O1668">
        <v>265</v>
      </c>
      <c r="P1668">
        <v>6854</v>
      </c>
      <c r="Q1668">
        <v>8445.51</v>
      </c>
      <c r="R1668">
        <v>-374.95360195000001</v>
      </c>
      <c r="S1668">
        <v>2485.6295951000002</v>
      </c>
      <c r="T1668">
        <v>35.496398050000003</v>
      </c>
      <c r="U1668">
        <v>0</v>
      </c>
      <c r="V1668">
        <v>-410.45</v>
      </c>
      <c r="W1668" t="s">
        <v>1925</v>
      </c>
      <c r="X1668" t="s">
        <v>271</v>
      </c>
      <c r="Y1668" t="s">
        <v>4013</v>
      </c>
      <c r="AA1668" t="s">
        <v>4014</v>
      </c>
      <c r="AB1668" t="s">
        <v>181</v>
      </c>
    </row>
    <row r="1669" spans="1:28" x14ac:dyDescent="0.25">
      <c r="A1669" t="s">
        <v>4320</v>
      </c>
      <c r="B1669" t="s">
        <v>4321</v>
      </c>
      <c r="C1669" t="s">
        <v>646</v>
      </c>
      <c r="D1669" t="s">
        <v>3779</v>
      </c>
      <c r="E1669" t="s">
        <v>647</v>
      </c>
      <c r="F1669" t="s">
        <v>3780</v>
      </c>
      <c r="G1669" t="s">
        <v>769</v>
      </c>
      <c r="H1669" t="s">
        <v>679</v>
      </c>
      <c r="I1669" t="s">
        <v>1010</v>
      </c>
      <c r="J1669" t="s">
        <v>1011</v>
      </c>
      <c r="K1669" t="s">
        <v>166</v>
      </c>
      <c r="L1669" t="s">
        <v>0</v>
      </c>
      <c r="M1669" t="s">
        <v>178</v>
      </c>
      <c r="N1669">
        <v>189</v>
      </c>
      <c r="O1669">
        <v>20</v>
      </c>
      <c r="P1669">
        <v>1192.6300000000001</v>
      </c>
      <c r="Q1669">
        <v>5285.43</v>
      </c>
      <c r="R1669">
        <v>455.44686991999998</v>
      </c>
      <c r="S1669">
        <v>612.46307995999996</v>
      </c>
      <c r="T1669">
        <v>-2.0331300799999998</v>
      </c>
      <c r="U1669">
        <v>0</v>
      </c>
      <c r="V1669">
        <v>457.48</v>
      </c>
      <c r="W1669" t="s">
        <v>0</v>
      </c>
      <c r="X1669" t="s">
        <v>271</v>
      </c>
      <c r="Y1669" t="s">
        <v>4322</v>
      </c>
      <c r="AA1669" t="s">
        <v>4323</v>
      </c>
      <c r="AB1669" t="s">
        <v>181</v>
      </c>
    </row>
    <row r="1670" spans="1:28" x14ac:dyDescent="0.25">
      <c r="A1670" t="s">
        <v>4361</v>
      </c>
      <c r="B1670" t="s">
        <v>4362</v>
      </c>
      <c r="C1670" t="s">
        <v>646</v>
      </c>
      <c r="D1670" t="s">
        <v>3779</v>
      </c>
      <c r="E1670" t="s">
        <v>647</v>
      </c>
      <c r="F1670" t="s">
        <v>3780</v>
      </c>
      <c r="G1670" t="s">
        <v>769</v>
      </c>
      <c r="H1670" t="s">
        <v>649</v>
      </c>
      <c r="I1670" t="s">
        <v>1712</v>
      </c>
      <c r="J1670" t="s">
        <v>335</v>
      </c>
      <c r="K1670" t="s">
        <v>166</v>
      </c>
      <c r="L1670" t="s">
        <v>0</v>
      </c>
      <c r="M1670" t="s">
        <v>178</v>
      </c>
      <c r="N1670">
        <v>1</v>
      </c>
      <c r="O1670">
        <v>0</v>
      </c>
      <c r="P1670">
        <v>40</v>
      </c>
      <c r="Q1670">
        <v>34.799999999999997</v>
      </c>
      <c r="R1670">
        <v>11.6</v>
      </c>
      <c r="S1670">
        <v>0</v>
      </c>
      <c r="T1670">
        <v>0</v>
      </c>
      <c r="U1670">
        <v>0</v>
      </c>
      <c r="V1670">
        <v>11.6</v>
      </c>
      <c r="W1670" t="s">
        <v>572</v>
      </c>
      <c r="X1670" t="s">
        <v>271</v>
      </c>
      <c r="Y1670" t="s">
        <v>4363</v>
      </c>
      <c r="AA1670" t="s">
        <v>4364</v>
      </c>
      <c r="AB1670" t="s">
        <v>181</v>
      </c>
    </row>
    <row r="1671" spans="1:28" x14ac:dyDescent="0.25">
      <c r="A1671" t="s">
        <v>4047</v>
      </c>
      <c r="B1671" t="s">
        <v>4048</v>
      </c>
      <c r="C1671" t="s">
        <v>646</v>
      </c>
      <c r="D1671" t="s">
        <v>3779</v>
      </c>
      <c r="E1671" t="s">
        <v>647</v>
      </c>
      <c r="F1671" t="s">
        <v>666</v>
      </c>
      <c r="G1671" t="s">
        <v>666</v>
      </c>
      <c r="H1671" t="s">
        <v>708</v>
      </c>
      <c r="I1671" t="s">
        <v>2292</v>
      </c>
      <c r="J1671" t="s">
        <v>1847</v>
      </c>
      <c r="K1671" t="s">
        <v>166</v>
      </c>
      <c r="L1671" t="s">
        <v>0</v>
      </c>
      <c r="M1671" t="s">
        <v>178</v>
      </c>
      <c r="N1671">
        <v>5</v>
      </c>
      <c r="O1671">
        <v>3</v>
      </c>
      <c r="P1671">
        <v>28.59</v>
      </c>
      <c r="Q1671">
        <v>116.11</v>
      </c>
      <c r="R1671">
        <v>28.79</v>
      </c>
      <c r="S1671">
        <v>24.739920560000002</v>
      </c>
      <c r="T1671">
        <v>0</v>
      </c>
      <c r="U1671">
        <v>0</v>
      </c>
      <c r="V1671">
        <v>28.79</v>
      </c>
      <c r="W1671" t="s">
        <v>1848</v>
      </c>
      <c r="X1671" t="s">
        <v>269</v>
      </c>
      <c r="Y1671" t="s">
        <v>4049</v>
      </c>
      <c r="AA1671" t="s">
        <v>4050</v>
      </c>
      <c r="AB1671" t="s">
        <v>181</v>
      </c>
    </row>
    <row r="1672" spans="1:28" x14ac:dyDescent="0.25">
      <c r="A1672" t="s">
        <v>4236</v>
      </c>
      <c r="B1672" t="s">
        <v>4237</v>
      </c>
      <c r="C1672" t="s">
        <v>646</v>
      </c>
      <c r="D1672" t="s">
        <v>3779</v>
      </c>
      <c r="E1672" t="s">
        <v>647</v>
      </c>
      <c r="F1672" t="s">
        <v>3780</v>
      </c>
      <c r="G1672" t="s">
        <v>769</v>
      </c>
      <c r="H1672" t="s">
        <v>797</v>
      </c>
      <c r="I1672" t="s">
        <v>1546</v>
      </c>
      <c r="J1672" t="s">
        <v>1547</v>
      </c>
      <c r="K1672" t="s">
        <v>166</v>
      </c>
      <c r="L1672" t="s">
        <v>0</v>
      </c>
      <c r="M1672" t="s">
        <v>178</v>
      </c>
      <c r="N1672">
        <v>12</v>
      </c>
      <c r="O1672">
        <v>12</v>
      </c>
      <c r="P1672">
        <v>144</v>
      </c>
      <c r="Q1672">
        <v>315.72000000000003</v>
      </c>
      <c r="R1672">
        <v>27.24</v>
      </c>
      <c r="S1672">
        <v>110.48130039</v>
      </c>
      <c r="T1672">
        <v>0</v>
      </c>
      <c r="U1672">
        <v>0</v>
      </c>
      <c r="V1672">
        <v>27.24</v>
      </c>
      <c r="W1672" t="s">
        <v>1548</v>
      </c>
      <c r="X1672" t="s">
        <v>271</v>
      </c>
      <c r="Y1672" t="s">
        <v>4238</v>
      </c>
      <c r="AA1672" t="s">
        <v>4239</v>
      </c>
      <c r="AB1672" t="s">
        <v>181</v>
      </c>
    </row>
    <row r="1673" spans="1:28" x14ac:dyDescent="0.25">
      <c r="A1673" t="s">
        <v>4316</v>
      </c>
      <c r="B1673" t="s">
        <v>4317</v>
      </c>
      <c r="C1673" t="s">
        <v>646</v>
      </c>
      <c r="D1673" t="s">
        <v>3779</v>
      </c>
      <c r="E1673" t="s">
        <v>647</v>
      </c>
      <c r="F1673" t="s">
        <v>3780</v>
      </c>
      <c r="G1673" t="s">
        <v>769</v>
      </c>
      <c r="H1673" t="s">
        <v>679</v>
      </c>
      <c r="I1673" t="s">
        <v>1290</v>
      </c>
      <c r="J1673" t="s">
        <v>1291</v>
      </c>
      <c r="K1673" t="s">
        <v>166</v>
      </c>
      <c r="L1673" t="s">
        <v>0</v>
      </c>
      <c r="M1673" t="s">
        <v>178</v>
      </c>
      <c r="N1673">
        <v>1</v>
      </c>
      <c r="O1673">
        <v>0</v>
      </c>
      <c r="P1673">
        <v>26.87</v>
      </c>
      <c r="Q1673">
        <v>69.989999999999995</v>
      </c>
      <c r="R1673">
        <v>1.8022180999999999</v>
      </c>
      <c r="S1673">
        <v>13.393744180000001</v>
      </c>
      <c r="T1673">
        <v>-0.20778189999999999</v>
      </c>
      <c r="U1673">
        <v>0</v>
      </c>
      <c r="V1673">
        <v>2.0099999999999998</v>
      </c>
      <c r="W1673" t="s">
        <v>1292</v>
      </c>
      <c r="X1673" t="s">
        <v>271</v>
      </c>
      <c r="Y1673" t="s">
        <v>4318</v>
      </c>
      <c r="AA1673" t="s">
        <v>4319</v>
      </c>
      <c r="AB1673" t="s">
        <v>181</v>
      </c>
    </row>
    <row r="1674" spans="1:28" x14ac:dyDescent="0.25">
      <c r="A1674" t="s">
        <v>4349</v>
      </c>
      <c r="B1674" t="s">
        <v>4350</v>
      </c>
      <c r="C1674" t="s">
        <v>646</v>
      </c>
      <c r="D1674" t="s">
        <v>3779</v>
      </c>
      <c r="E1674" t="s">
        <v>647</v>
      </c>
      <c r="F1674" t="s">
        <v>3780</v>
      </c>
      <c r="G1674" t="s">
        <v>769</v>
      </c>
      <c r="H1674" t="s">
        <v>770</v>
      </c>
      <c r="I1674" t="s">
        <v>2242</v>
      </c>
      <c r="J1674" t="s">
        <v>2243</v>
      </c>
      <c r="K1674" t="s">
        <v>166</v>
      </c>
      <c r="L1674" t="s">
        <v>0</v>
      </c>
      <c r="M1674" t="s">
        <v>178</v>
      </c>
      <c r="N1674">
        <v>234</v>
      </c>
      <c r="O1674">
        <v>35</v>
      </c>
      <c r="P1674">
        <v>3371</v>
      </c>
      <c r="Q1674">
        <v>3883.01</v>
      </c>
      <c r="R1674">
        <v>625.67999999999995</v>
      </c>
      <c r="S1674">
        <v>637.26288439999996</v>
      </c>
      <c r="T1674">
        <v>0</v>
      </c>
      <c r="U1674">
        <v>0</v>
      </c>
      <c r="V1674">
        <v>625.67999999999995</v>
      </c>
      <c r="W1674" t="s">
        <v>1601</v>
      </c>
      <c r="X1674" t="s">
        <v>269</v>
      </c>
      <c r="Y1674" t="s">
        <v>4351</v>
      </c>
      <c r="AA1674" t="s">
        <v>4352</v>
      </c>
      <c r="AB1674" t="s">
        <v>181</v>
      </c>
    </row>
    <row r="1675" spans="1:28" x14ac:dyDescent="0.25">
      <c r="A1675" t="s">
        <v>3838</v>
      </c>
      <c r="B1675" t="s">
        <v>3839</v>
      </c>
      <c r="C1675" t="s">
        <v>646</v>
      </c>
      <c r="D1675" t="s">
        <v>3779</v>
      </c>
      <c r="E1675" t="s">
        <v>647</v>
      </c>
      <c r="F1675" t="s">
        <v>3780</v>
      </c>
      <c r="G1675" t="s">
        <v>769</v>
      </c>
      <c r="H1675" t="s">
        <v>1171</v>
      </c>
      <c r="I1675" t="s">
        <v>906</v>
      </c>
      <c r="J1675" t="s">
        <v>907</v>
      </c>
      <c r="K1675" t="s">
        <v>166</v>
      </c>
      <c r="L1675" t="s">
        <v>0</v>
      </c>
      <c r="M1675" t="s">
        <v>178</v>
      </c>
      <c r="N1675">
        <v>95</v>
      </c>
      <c r="O1675">
        <v>24</v>
      </c>
      <c r="P1675">
        <v>5459.25</v>
      </c>
      <c r="Q1675">
        <v>25439.06</v>
      </c>
      <c r="R1675">
        <v>3943.3736704299999</v>
      </c>
      <c r="S1675">
        <v>475.47370197999999</v>
      </c>
      <c r="T1675">
        <v>2.6936704300000001</v>
      </c>
      <c r="U1675">
        <v>0</v>
      </c>
      <c r="V1675">
        <v>3940.68</v>
      </c>
      <c r="W1675" t="s">
        <v>272</v>
      </c>
      <c r="X1675" t="s">
        <v>269</v>
      </c>
      <c r="Y1675" t="s">
        <v>3840</v>
      </c>
      <c r="AA1675" t="s">
        <v>3841</v>
      </c>
      <c r="AB1675" t="s">
        <v>181</v>
      </c>
    </row>
    <row r="1676" spans="1:28" x14ac:dyDescent="0.25">
      <c r="A1676" t="s">
        <v>3861</v>
      </c>
      <c r="B1676" t="s">
        <v>3862</v>
      </c>
      <c r="C1676" t="s">
        <v>646</v>
      </c>
      <c r="D1676" t="s">
        <v>3779</v>
      </c>
      <c r="E1676" t="s">
        <v>647</v>
      </c>
      <c r="F1676" t="s">
        <v>3780</v>
      </c>
      <c r="G1676" t="s">
        <v>769</v>
      </c>
      <c r="H1676" t="s">
        <v>730</v>
      </c>
      <c r="I1676" t="s">
        <v>2065</v>
      </c>
      <c r="J1676" t="s">
        <v>2066</v>
      </c>
      <c r="K1676" t="s">
        <v>166</v>
      </c>
      <c r="L1676" t="s">
        <v>0</v>
      </c>
      <c r="M1676" t="s">
        <v>178</v>
      </c>
      <c r="N1676">
        <v>3</v>
      </c>
      <c r="O1676">
        <v>3</v>
      </c>
      <c r="P1676">
        <v>19.8</v>
      </c>
      <c r="Q1676">
        <v>114.24</v>
      </c>
      <c r="R1676">
        <v>4.62</v>
      </c>
      <c r="S1676">
        <v>16.176728000000001</v>
      </c>
      <c r="T1676">
        <v>0</v>
      </c>
      <c r="U1676">
        <v>0</v>
      </c>
      <c r="V1676">
        <v>4.62</v>
      </c>
      <c r="W1676" t="s">
        <v>2067</v>
      </c>
      <c r="X1676" t="s">
        <v>271</v>
      </c>
      <c r="Y1676" t="s">
        <v>3863</v>
      </c>
      <c r="AA1676" t="s">
        <v>3864</v>
      </c>
      <c r="AB1676" t="s">
        <v>181</v>
      </c>
    </row>
    <row r="1677" spans="1:28" x14ac:dyDescent="0.25">
      <c r="A1677" t="s">
        <v>4155</v>
      </c>
      <c r="B1677" t="s">
        <v>4156</v>
      </c>
      <c r="C1677" t="s">
        <v>646</v>
      </c>
      <c r="D1677" t="s">
        <v>3779</v>
      </c>
      <c r="E1677" t="s">
        <v>647</v>
      </c>
      <c r="F1677" t="s">
        <v>3780</v>
      </c>
      <c r="G1677" t="s">
        <v>769</v>
      </c>
      <c r="H1677" t="s">
        <v>1515</v>
      </c>
      <c r="I1677" t="s">
        <v>885</v>
      </c>
      <c r="J1677" t="s">
        <v>324</v>
      </c>
      <c r="K1677" t="s">
        <v>166</v>
      </c>
      <c r="L1677" t="s">
        <v>0</v>
      </c>
      <c r="M1677" t="s">
        <v>178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 t="s">
        <v>519</v>
      </c>
      <c r="X1677" t="s">
        <v>271</v>
      </c>
      <c r="Y1677" t="s">
        <v>4157</v>
      </c>
      <c r="AA1677" t="s">
        <v>4158</v>
      </c>
      <c r="AB1677" t="s">
        <v>181</v>
      </c>
    </row>
    <row r="1678" spans="1:28" x14ac:dyDescent="0.25">
      <c r="A1678" t="s">
        <v>3925</v>
      </c>
      <c r="B1678" t="s">
        <v>3926</v>
      </c>
      <c r="C1678" t="s">
        <v>646</v>
      </c>
      <c r="D1678" t="s">
        <v>3779</v>
      </c>
      <c r="E1678" t="s">
        <v>647</v>
      </c>
      <c r="F1678" t="s">
        <v>3780</v>
      </c>
      <c r="G1678" t="s">
        <v>769</v>
      </c>
      <c r="H1678" t="s">
        <v>1515</v>
      </c>
      <c r="I1678" t="s">
        <v>2284</v>
      </c>
      <c r="J1678" t="s">
        <v>2285</v>
      </c>
      <c r="K1678" t="s">
        <v>166</v>
      </c>
      <c r="L1678" t="s">
        <v>0</v>
      </c>
      <c r="M1678" t="s">
        <v>178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 t="s">
        <v>453</v>
      </c>
      <c r="X1678" t="s">
        <v>271</v>
      </c>
      <c r="Y1678" t="s">
        <v>3927</v>
      </c>
      <c r="AA1678" t="s">
        <v>3928</v>
      </c>
      <c r="AB1678" t="s">
        <v>181</v>
      </c>
    </row>
    <row r="1679" spans="1:28" x14ac:dyDescent="0.25">
      <c r="A1679" t="s">
        <v>4015</v>
      </c>
      <c r="B1679" t="s">
        <v>4016</v>
      </c>
      <c r="C1679" t="s">
        <v>646</v>
      </c>
      <c r="D1679" t="s">
        <v>3779</v>
      </c>
      <c r="E1679" t="s">
        <v>647</v>
      </c>
      <c r="F1679" t="s">
        <v>3780</v>
      </c>
      <c r="G1679" t="s">
        <v>769</v>
      </c>
      <c r="H1679" t="s">
        <v>1515</v>
      </c>
      <c r="I1679" t="s">
        <v>4017</v>
      </c>
      <c r="J1679" t="s">
        <v>4018</v>
      </c>
      <c r="K1679" t="s">
        <v>166</v>
      </c>
      <c r="L1679" t="s">
        <v>0</v>
      </c>
      <c r="M1679" t="s">
        <v>178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 t="s">
        <v>4019</v>
      </c>
      <c r="X1679" t="s">
        <v>271</v>
      </c>
      <c r="Y1679" t="s">
        <v>4020</v>
      </c>
      <c r="AA1679" t="s">
        <v>4021</v>
      </c>
      <c r="AB1679" t="s">
        <v>181</v>
      </c>
    </row>
    <row r="1680" spans="1:28" x14ac:dyDescent="0.25">
      <c r="A1680" t="s">
        <v>3895</v>
      </c>
      <c r="B1680" t="s">
        <v>3896</v>
      </c>
      <c r="C1680" t="s">
        <v>646</v>
      </c>
      <c r="D1680" t="s">
        <v>3779</v>
      </c>
      <c r="E1680" t="s">
        <v>647</v>
      </c>
      <c r="F1680" t="s">
        <v>3780</v>
      </c>
      <c r="G1680" t="s">
        <v>769</v>
      </c>
      <c r="H1680" t="s">
        <v>1515</v>
      </c>
      <c r="I1680" t="s">
        <v>3897</v>
      </c>
      <c r="J1680" t="s">
        <v>437</v>
      </c>
      <c r="K1680" t="s">
        <v>166</v>
      </c>
      <c r="L1680" t="s">
        <v>0</v>
      </c>
      <c r="M1680" t="s">
        <v>178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 t="s">
        <v>510</v>
      </c>
      <c r="X1680" t="s">
        <v>271</v>
      </c>
      <c r="Y1680" t="s">
        <v>3898</v>
      </c>
      <c r="AA1680" t="s">
        <v>3899</v>
      </c>
      <c r="AB1680" t="s">
        <v>181</v>
      </c>
    </row>
    <row r="1681" spans="1:28" x14ac:dyDescent="0.25">
      <c r="A1681" t="s">
        <v>3965</v>
      </c>
      <c r="B1681" t="s">
        <v>3966</v>
      </c>
      <c r="C1681" t="s">
        <v>646</v>
      </c>
      <c r="D1681" t="s">
        <v>3779</v>
      </c>
      <c r="E1681" t="s">
        <v>647</v>
      </c>
      <c r="F1681" t="s">
        <v>3780</v>
      </c>
      <c r="G1681" t="s">
        <v>769</v>
      </c>
      <c r="H1681" t="s">
        <v>717</v>
      </c>
      <c r="I1681" t="s">
        <v>2339</v>
      </c>
      <c r="J1681" t="s">
        <v>2165</v>
      </c>
      <c r="K1681" t="s">
        <v>166</v>
      </c>
      <c r="L1681" t="s">
        <v>0</v>
      </c>
      <c r="M1681" t="s">
        <v>178</v>
      </c>
      <c r="N1681">
        <v>3</v>
      </c>
      <c r="O1681">
        <v>1</v>
      </c>
      <c r="P1681">
        <v>198.4</v>
      </c>
      <c r="Q1681">
        <v>452.71</v>
      </c>
      <c r="R1681">
        <v>26.71</v>
      </c>
      <c r="S1681">
        <v>54.603582260000003</v>
      </c>
      <c r="T1681">
        <v>0</v>
      </c>
      <c r="U1681">
        <v>0</v>
      </c>
      <c r="V1681">
        <v>26.71</v>
      </c>
      <c r="W1681" t="s">
        <v>2166</v>
      </c>
      <c r="X1681" t="s">
        <v>271</v>
      </c>
      <c r="Y1681" t="s">
        <v>3967</v>
      </c>
      <c r="AA1681" t="s">
        <v>3968</v>
      </c>
      <c r="AB1681" t="s">
        <v>181</v>
      </c>
    </row>
    <row r="1682" spans="1:28" x14ac:dyDescent="0.25">
      <c r="A1682" t="s">
        <v>3969</v>
      </c>
      <c r="B1682" t="s">
        <v>3970</v>
      </c>
      <c r="C1682" t="s">
        <v>646</v>
      </c>
      <c r="D1682" t="s">
        <v>3779</v>
      </c>
      <c r="E1682" t="s">
        <v>647</v>
      </c>
      <c r="F1682" t="s">
        <v>3780</v>
      </c>
      <c r="G1682" t="s">
        <v>769</v>
      </c>
      <c r="H1682" t="s">
        <v>1175</v>
      </c>
      <c r="I1682" t="s">
        <v>1518</v>
      </c>
      <c r="J1682" t="s">
        <v>1519</v>
      </c>
      <c r="K1682" t="s">
        <v>166</v>
      </c>
      <c r="L1682" t="s">
        <v>0</v>
      </c>
      <c r="M1682" t="s">
        <v>178</v>
      </c>
      <c r="N1682">
        <v>48</v>
      </c>
      <c r="O1682">
        <v>48</v>
      </c>
      <c r="P1682">
        <v>768</v>
      </c>
      <c r="Q1682">
        <v>1678.36</v>
      </c>
      <c r="R1682">
        <v>213.88</v>
      </c>
      <c r="S1682">
        <v>192.30233999000001</v>
      </c>
      <c r="T1682">
        <v>0</v>
      </c>
      <c r="U1682">
        <v>0</v>
      </c>
      <c r="V1682">
        <v>213.88</v>
      </c>
      <c r="W1682" t="s">
        <v>1485</v>
      </c>
      <c r="X1682" t="s">
        <v>271</v>
      </c>
      <c r="Y1682" t="s">
        <v>3971</v>
      </c>
      <c r="AA1682" t="s">
        <v>3972</v>
      </c>
      <c r="AB1682" t="s">
        <v>181</v>
      </c>
    </row>
    <row r="1683" spans="1:28" x14ac:dyDescent="0.25">
      <c r="A1683" t="s">
        <v>4211</v>
      </c>
      <c r="B1683" t="s">
        <v>4212</v>
      </c>
      <c r="C1683" t="s">
        <v>646</v>
      </c>
      <c r="D1683" t="s">
        <v>3779</v>
      </c>
      <c r="E1683" t="s">
        <v>647</v>
      </c>
      <c r="F1683" t="s">
        <v>3780</v>
      </c>
      <c r="G1683" t="s">
        <v>769</v>
      </c>
      <c r="H1683" t="s">
        <v>703</v>
      </c>
      <c r="I1683" t="s">
        <v>4213</v>
      </c>
      <c r="J1683" t="s">
        <v>437</v>
      </c>
      <c r="K1683" t="s">
        <v>166</v>
      </c>
      <c r="L1683" t="s">
        <v>0</v>
      </c>
      <c r="M1683" t="s">
        <v>178</v>
      </c>
      <c r="N1683">
        <v>365.0333</v>
      </c>
      <c r="O1683">
        <v>142.66659999999999</v>
      </c>
      <c r="P1683">
        <v>6850.36</v>
      </c>
      <c r="Q1683">
        <v>13059.16</v>
      </c>
      <c r="R1683">
        <v>1902.4737344600001</v>
      </c>
      <c r="S1683">
        <v>1824.63561151</v>
      </c>
      <c r="T1683">
        <v>9.3734460000000006E-2</v>
      </c>
      <c r="U1683">
        <v>0</v>
      </c>
      <c r="V1683">
        <v>1902.38</v>
      </c>
      <c r="W1683" t="s">
        <v>510</v>
      </c>
      <c r="X1683" t="s">
        <v>271</v>
      </c>
      <c r="Y1683" t="s">
        <v>4214</v>
      </c>
      <c r="Z1683" t="s">
        <v>4175</v>
      </c>
      <c r="AA1683" t="s">
        <v>4215</v>
      </c>
      <c r="AB1683" t="s">
        <v>181</v>
      </c>
    </row>
    <row r="1684" spans="1:28" x14ac:dyDescent="0.25">
      <c r="A1684" t="s">
        <v>4201</v>
      </c>
      <c r="B1684" t="s">
        <v>4202</v>
      </c>
      <c r="C1684" t="s">
        <v>646</v>
      </c>
      <c r="D1684" t="s">
        <v>3779</v>
      </c>
      <c r="E1684" t="s">
        <v>647</v>
      </c>
      <c r="F1684" t="s">
        <v>3780</v>
      </c>
      <c r="G1684" t="s">
        <v>769</v>
      </c>
      <c r="H1684" t="s">
        <v>703</v>
      </c>
      <c r="I1684" t="s">
        <v>4203</v>
      </c>
      <c r="J1684" t="s">
        <v>688</v>
      </c>
      <c r="K1684" t="s">
        <v>166</v>
      </c>
      <c r="L1684" t="s">
        <v>0</v>
      </c>
      <c r="M1684" t="s">
        <v>178</v>
      </c>
      <c r="N1684">
        <v>431.25</v>
      </c>
      <c r="O1684">
        <v>160</v>
      </c>
      <c r="P1684">
        <v>9586.5400000000009</v>
      </c>
      <c r="Q1684">
        <v>17313.169999999998</v>
      </c>
      <c r="R1684">
        <v>2321.27252877</v>
      </c>
      <c r="S1684">
        <v>2523.0764467899999</v>
      </c>
      <c r="T1684">
        <v>-0.86747123000000004</v>
      </c>
      <c r="U1684">
        <v>0</v>
      </c>
      <c r="V1684">
        <v>2322.14</v>
      </c>
      <c r="W1684" t="s">
        <v>0</v>
      </c>
      <c r="X1684" t="s">
        <v>271</v>
      </c>
      <c r="Y1684" t="s">
        <v>4204</v>
      </c>
      <c r="AA1684" t="s">
        <v>4205</v>
      </c>
      <c r="AB1684" t="s">
        <v>181</v>
      </c>
    </row>
    <row r="1685" spans="1:28" x14ac:dyDescent="0.25">
      <c r="A1685" t="s">
        <v>4284</v>
      </c>
      <c r="B1685" t="s">
        <v>4285</v>
      </c>
      <c r="C1685" t="s">
        <v>646</v>
      </c>
      <c r="D1685" t="s">
        <v>3779</v>
      </c>
      <c r="E1685" t="s">
        <v>647</v>
      </c>
      <c r="F1685" t="s">
        <v>3780</v>
      </c>
      <c r="G1685" t="s">
        <v>769</v>
      </c>
      <c r="H1685" t="s">
        <v>703</v>
      </c>
      <c r="I1685" t="s">
        <v>778</v>
      </c>
      <c r="J1685" t="s">
        <v>428</v>
      </c>
      <c r="K1685" t="s">
        <v>166</v>
      </c>
      <c r="L1685" t="s">
        <v>0</v>
      </c>
      <c r="M1685" t="s">
        <v>178</v>
      </c>
      <c r="N1685">
        <v>574.00019999999995</v>
      </c>
      <c r="O1685">
        <v>330.16669999999999</v>
      </c>
      <c r="P1685">
        <v>10724.46</v>
      </c>
      <c r="Q1685">
        <v>25651.26</v>
      </c>
      <c r="R1685">
        <v>8035.9644719899998</v>
      </c>
      <c r="S1685">
        <v>3004.2495159099999</v>
      </c>
      <c r="T1685">
        <v>2.4471989999999999E-2</v>
      </c>
      <c r="U1685">
        <v>0</v>
      </c>
      <c r="V1685">
        <v>8035.94</v>
      </c>
      <c r="W1685" t="s">
        <v>1977</v>
      </c>
      <c r="X1685" t="s">
        <v>271</v>
      </c>
      <c r="Y1685" t="s">
        <v>4286</v>
      </c>
      <c r="AA1685" t="s">
        <v>4287</v>
      </c>
      <c r="AB1685" t="s">
        <v>181</v>
      </c>
    </row>
    <row r="1686" spans="1:28" x14ac:dyDescent="0.25">
      <c r="A1686" t="s">
        <v>3819</v>
      </c>
      <c r="B1686" t="s">
        <v>3820</v>
      </c>
      <c r="C1686" t="s">
        <v>646</v>
      </c>
      <c r="D1686" t="s">
        <v>3779</v>
      </c>
      <c r="E1686" t="s">
        <v>647</v>
      </c>
      <c r="F1686" t="s">
        <v>3780</v>
      </c>
      <c r="G1686" t="s">
        <v>769</v>
      </c>
      <c r="H1686" t="s">
        <v>713</v>
      </c>
      <c r="I1686" t="s">
        <v>798</v>
      </c>
      <c r="J1686" t="s">
        <v>524</v>
      </c>
      <c r="K1686" t="s">
        <v>166</v>
      </c>
      <c r="L1686" t="s">
        <v>0</v>
      </c>
      <c r="M1686" t="s">
        <v>178</v>
      </c>
      <c r="N1686">
        <v>2198.25</v>
      </c>
      <c r="O1686">
        <v>31.25</v>
      </c>
      <c r="P1686">
        <v>46682.400000000001</v>
      </c>
      <c r="Q1686">
        <v>35248</v>
      </c>
      <c r="R1686">
        <v>5076.9751345499999</v>
      </c>
      <c r="S1686">
        <v>139.67328456999999</v>
      </c>
      <c r="T1686">
        <v>29.345134550000001</v>
      </c>
      <c r="U1686">
        <v>0</v>
      </c>
      <c r="V1686">
        <v>5047.63</v>
      </c>
      <c r="W1686" t="s">
        <v>258</v>
      </c>
      <c r="X1686" t="s">
        <v>271</v>
      </c>
      <c r="Y1686" t="s">
        <v>3821</v>
      </c>
      <c r="AA1686" t="s">
        <v>3822</v>
      </c>
      <c r="AB1686" t="s">
        <v>181</v>
      </c>
    </row>
    <row r="1687" spans="1:28" x14ac:dyDescent="0.25">
      <c r="A1687" t="s">
        <v>3929</v>
      </c>
      <c r="B1687" t="s">
        <v>3930</v>
      </c>
      <c r="C1687" t="s">
        <v>646</v>
      </c>
      <c r="D1687" t="s">
        <v>3779</v>
      </c>
      <c r="E1687" t="s">
        <v>647</v>
      </c>
      <c r="F1687" t="s">
        <v>3780</v>
      </c>
      <c r="G1687" t="s">
        <v>769</v>
      </c>
      <c r="H1687" t="s">
        <v>649</v>
      </c>
      <c r="I1687" t="s">
        <v>3649</v>
      </c>
      <c r="J1687" t="s">
        <v>1567</v>
      </c>
      <c r="K1687" t="s">
        <v>166</v>
      </c>
      <c r="L1687" t="s">
        <v>0</v>
      </c>
      <c r="M1687" t="s">
        <v>178</v>
      </c>
      <c r="N1687">
        <v>88</v>
      </c>
      <c r="O1687">
        <v>81</v>
      </c>
      <c r="P1687">
        <v>865.51</v>
      </c>
      <c r="Q1687">
        <v>4162.6400000000003</v>
      </c>
      <c r="R1687">
        <v>1267.9724554700001</v>
      </c>
      <c r="S1687">
        <v>301.77532939000002</v>
      </c>
      <c r="T1687">
        <v>1.245547E-2</v>
      </c>
      <c r="U1687">
        <v>0</v>
      </c>
      <c r="V1687">
        <v>1267.96</v>
      </c>
      <c r="W1687" t="s">
        <v>556</v>
      </c>
      <c r="X1687" t="s">
        <v>271</v>
      </c>
      <c r="Y1687" t="s">
        <v>3931</v>
      </c>
      <c r="AA1687" t="s">
        <v>3932</v>
      </c>
      <c r="AB1687" t="s">
        <v>181</v>
      </c>
    </row>
    <row r="1688" spans="1:28" x14ac:dyDescent="0.25">
      <c r="A1688" t="s">
        <v>4098</v>
      </c>
      <c r="B1688" t="s">
        <v>4099</v>
      </c>
      <c r="C1688" t="s">
        <v>646</v>
      </c>
      <c r="D1688" t="s">
        <v>3779</v>
      </c>
      <c r="E1688" t="s">
        <v>647</v>
      </c>
      <c r="F1688" t="s">
        <v>666</v>
      </c>
      <c r="G1688" t="s">
        <v>666</v>
      </c>
      <c r="H1688" t="s">
        <v>770</v>
      </c>
      <c r="I1688" t="s">
        <v>765</v>
      </c>
      <c r="J1688" t="s">
        <v>436</v>
      </c>
      <c r="K1688" t="s">
        <v>166</v>
      </c>
      <c r="L1688" t="s">
        <v>0</v>
      </c>
      <c r="M1688" t="s">
        <v>178</v>
      </c>
      <c r="N1688">
        <v>3455.25</v>
      </c>
      <c r="O1688">
        <v>2302.25</v>
      </c>
      <c r="P1688">
        <v>49991.95</v>
      </c>
      <c r="Q1688">
        <v>73526.83</v>
      </c>
      <c r="R1688">
        <v>5888.17</v>
      </c>
      <c r="S1688">
        <v>9201.8190818399999</v>
      </c>
      <c r="T1688">
        <v>269</v>
      </c>
      <c r="U1688">
        <v>978.69</v>
      </c>
      <c r="V1688">
        <v>6868.86</v>
      </c>
      <c r="W1688" t="s">
        <v>0</v>
      </c>
      <c r="X1688" t="s">
        <v>271</v>
      </c>
      <c r="Y1688" t="s">
        <v>4100</v>
      </c>
      <c r="AA1688" t="s">
        <v>4101</v>
      </c>
      <c r="AB1688" t="s">
        <v>181</v>
      </c>
    </row>
    <row r="1689" spans="1:28" x14ac:dyDescent="0.25">
      <c r="A1689" t="s">
        <v>3777</v>
      </c>
      <c r="B1689" t="s">
        <v>3778</v>
      </c>
      <c r="C1689" t="s">
        <v>646</v>
      </c>
      <c r="D1689" t="s">
        <v>3779</v>
      </c>
      <c r="E1689" t="s">
        <v>647</v>
      </c>
      <c r="F1689" t="s">
        <v>3780</v>
      </c>
      <c r="G1689" t="s">
        <v>769</v>
      </c>
      <c r="H1689" t="s">
        <v>761</v>
      </c>
      <c r="I1689" t="s">
        <v>798</v>
      </c>
      <c r="J1689" t="s">
        <v>524</v>
      </c>
      <c r="K1689" t="s">
        <v>166</v>
      </c>
      <c r="L1689" t="s">
        <v>0</v>
      </c>
      <c r="M1689" t="s">
        <v>178</v>
      </c>
      <c r="N1689">
        <v>43.25</v>
      </c>
      <c r="O1689">
        <v>29</v>
      </c>
      <c r="P1689">
        <v>1581.03</v>
      </c>
      <c r="Q1689">
        <v>1696.73</v>
      </c>
      <c r="R1689">
        <v>354.67</v>
      </c>
      <c r="S1689">
        <v>227.81665067</v>
      </c>
      <c r="T1689">
        <v>0</v>
      </c>
      <c r="U1689">
        <v>0</v>
      </c>
      <c r="V1689">
        <v>354.67</v>
      </c>
      <c r="W1689" t="s">
        <v>258</v>
      </c>
      <c r="X1689" t="s">
        <v>271</v>
      </c>
      <c r="Y1689" t="s">
        <v>3781</v>
      </c>
      <c r="AA1689" t="s">
        <v>3782</v>
      </c>
      <c r="AB1689" t="s">
        <v>181</v>
      </c>
    </row>
    <row r="1690" spans="1:28" x14ac:dyDescent="0.25">
      <c r="A1690" t="s">
        <v>4361</v>
      </c>
      <c r="B1690" t="s">
        <v>4362</v>
      </c>
      <c r="C1690" t="s">
        <v>646</v>
      </c>
      <c r="D1690" t="s">
        <v>3779</v>
      </c>
      <c r="E1690" t="s">
        <v>647</v>
      </c>
      <c r="F1690" t="s">
        <v>3780</v>
      </c>
      <c r="G1690" t="s">
        <v>769</v>
      </c>
      <c r="H1690" t="s">
        <v>757</v>
      </c>
      <c r="I1690" t="s">
        <v>1712</v>
      </c>
      <c r="J1690" t="s">
        <v>335</v>
      </c>
      <c r="K1690" t="s">
        <v>166</v>
      </c>
      <c r="L1690" t="s">
        <v>0</v>
      </c>
      <c r="M1690" t="s">
        <v>178</v>
      </c>
      <c r="N1690">
        <v>177.25</v>
      </c>
      <c r="O1690">
        <v>177.25</v>
      </c>
      <c r="P1690">
        <v>4412.43</v>
      </c>
      <c r="Q1690">
        <v>7328.51</v>
      </c>
      <c r="R1690">
        <v>650.98</v>
      </c>
      <c r="S1690">
        <v>1360.82369419</v>
      </c>
      <c r="T1690">
        <v>0</v>
      </c>
      <c r="U1690">
        <v>37.53</v>
      </c>
      <c r="V1690">
        <v>688.51</v>
      </c>
      <c r="W1690" t="s">
        <v>572</v>
      </c>
      <c r="X1690" t="s">
        <v>271</v>
      </c>
      <c r="Y1690" t="s">
        <v>4363</v>
      </c>
      <c r="AA1690" t="s">
        <v>4364</v>
      </c>
      <c r="AB1690" t="s">
        <v>181</v>
      </c>
    </row>
    <row r="1691" spans="1:28" x14ac:dyDescent="0.25">
      <c r="A1691" t="s">
        <v>4098</v>
      </c>
      <c r="B1691" t="s">
        <v>4099</v>
      </c>
      <c r="C1691" t="s">
        <v>646</v>
      </c>
      <c r="D1691" t="s">
        <v>3779</v>
      </c>
      <c r="E1691" t="s">
        <v>647</v>
      </c>
      <c r="F1691" t="s">
        <v>666</v>
      </c>
      <c r="G1691" t="s">
        <v>666</v>
      </c>
      <c r="H1691" t="s">
        <v>802</v>
      </c>
      <c r="I1691" t="s">
        <v>765</v>
      </c>
      <c r="J1691" t="s">
        <v>436</v>
      </c>
      <c r="K1691" t="s">
        <v>166</v>
      </c>
      <c r="L1691" t="s">
        <v>0</v>
      </c>
      <c r="M1691" t="s">
        <v>178</v>
      </c>
      <c r="N1691">
        <v>367.7</v>
      </c>
      <c r="O1691">
        <v>195.5</v>
      </c>
      <c r="P1691">
        <v>3417.18</v>
      </c>
      <c r="Q1691">
        <v>14029.27</v>
      </c>
      <c r="R1691">
        <v>1265.76</v>
      </c>
      <c r="S1691">
        <v>1264.5320004099999</v>
      </c>
      <c r="T1691">
        <v>0</v>
      </c>
      <c r="U1691">
        <v>287.05</v>
      </c>
      <c r="V1691">
        <v>1552.81</v>
      </c>
      <c r="W1691" t="s">
        <v>0</v>
      </c>
      <c r="X1691" t="s">
        <v>271</v>
      </c>
      <c r="Y1691" t="s">
        <v>4100</v>
      </c>
      <c r="AA1691" t="s">
        <v>4101</v>
      </c>
      <c r="AB1691" t="s">
        <v>181</v>
      </c>
    </row>
    <row r="1692" spans="1:28" x14ac:dyDescent="0.25">
      <c r="A1692" t="s">
        <v>4113</v>
      </c>
      <c r="B1692" t="s">
        <v>4114</v>
      </c>
      <c r="C1692" t="s">
        <v>646</v>
      </c>
      <c r="D1692" t="s">
        <v>3779</v>
      </c>
      <c r="E1692" t="s">
        <v>647</v>
      </c>
      <c r="F1692" t="s">
        <v>3780</v>
      </c>
      <c r="G1692" t="s">
        <v>769</v>
      </c>
      <c r="H1692" t="s">
        <v>679</v>
      </c>
      <c r="I1692" t="s">
        <v>1913</v>
      </c>
      <c r="J1692" t="s">
        <v>1914</v>
      </c>
      <c r="K1692" t="s">
        <v>166</v>
      </c>
      <c r="L1692" t="s">
        <v>0</v>
      </c>
      <c r="M1692" t="s">
        <v>178</v>
      </c>
      <c r="N1692">
        <v>275</v>
      </c>
      <c r="O1692">
        <v>196</v>
      </c>
      <c r="P1692">
        <v>2484.88</v>
      </c>
      <c r="Q1692">
        <v>7866.57</v>
      </c>
      <c r="R1692">
        <v>474.37571333</v>
      </c>
      <c r="S1692">
        <v>2998.3363785299998</v>
      </c>
      <c r="T1692">
        <v>-14.80428667</v>
      </c>
      <c r="U1692">
        <v>0</v>
      </c>
      <c r="V1692">
        <v>489.18</v>
      </c>
      <c r="W1692" t="s">
        <v>1915</v>
      </c>
      <c r="X1692" t="s">
        <v>269</v>
      </c>
      <c r="Y1692" t="s">
        <v>4115</v>
      </c>
      <c r="AA1692" t="s">
        <v>4116</v>
      </c>
      <c r="AB1692" t="s">
        <v>181</v>
      </c>
    </row>
    <row r="1693" spans="1:28" x14ac:dyDescent="0.25">
      <c r="A1693" t="s">
        <v>4265</v>
      </c>
      <c r="B1693" t="s">
        <v>4266</v>
      </c>
      <c r="C1693" t="s">
        <v>646</v>
      </c>
      <c r="D1693" t="s">
        <v>3779</v>
      </c>
      <c r="E1693" t="s">
        <v>647</v>
      </c>
      <c r="F1693" t="s">
        <v>666</v>
      </c>
      <c r="G1693" t="s">
        <v>666</v>
      </c>
      <c r="H1693" t="s">
        <v>730</v>
      </c>
      <c r="I1693" t="s">
        <v>4267</v>
      </c>
      <c r="J1693" t="s">
        <v>326</v>
      </c>
      <c r="K1693" t="s">
        <v>166</v>
      </c>
      <c r="L1693" t="s">
        <v>0</v>
      </c>
      <c r="M1693" t="s">
        <v>178</v>
      </c>
      <c r="N1693">
        <v>49</v>
      </c>
      <c r="O1693">
        <v>22</v>
      </c>
      <c r="P1693">
        <v>1640</v>
      </c>
      <c r="Q1693">
        <v>3309.27</v>
      </c>
      <c r="R1693">
        <v>340.06045434999999</v>
      </c>
      <c r="S1693">
        <v>136.39985634000001</v>
      </c>
      <c r="T1693">
        <v>-9.9545649999999999E-2</v>
      </c>
      <c r="U1693">
        <v>0</v>
      </c>
      <c r="V1693">
        <v>340.16</v>
      </c>
      <c r="W1693" t="s">
        <v>450</v>
      </c>
      <c r="X1693" t="s">
        <v>271</v>
      </c>
      <c r="Y1693" t="s">
        <v>4268</v>
      </c>
      <c r="AA1693" t="s">
        <v>4269</v>
      </c>
      <c r="AB1693" t="s">
        <v>181</v>
      </c>
    </row>
    <row r="1694" spans="1:28" x14ac:dyDescent="0.25">
      <c r="A1694" t="s">
        <v>4123</v>
      </c>
      <c r="B1694" t="s">
        <v>4124</v>
      </c>
      <c r="C1694" t="s">
        <v>646</v>
      </c>
      <c r="D1694" t="s">
        <v>3779</v>
      </c>
      <c r="E1694" t="s">
        <v>647</v>
      </c>
      <c r="F1694" t="s">
        <v>3780</v>
      </c>
      <c r="G1694" t="s">
        <v>769</v>
      </c>
      <c r="H1694" t="s">
        <v>730</v>
      </c>
      <c r="I1694" t="s">
        <v>746</v>
      </c>
      <c r="J1694" t="s">
        <v>504</v>
      </c>
      <c r="K1694" t="s">
        <v>166</v>
      </c>
      <c r="L1694" t="s">
        <v>0</v>
      </c>
      <c r="M1694" t="s">
        <v>178</v>
      </c>
      <c r="N1694">
        <v>94</v>
      </c>
      <c r="O1694">
        <v>44</v>
      </c>
      <c r="P1694">
        <v>3386.9</v>
      </c>
      <c r="Q1694">
        <v>7216.85</v>
      </c>
      <c r="R1694">
        <v>664.95072270000003</v>
      </c>
      <c r="S1694">
        <v>233.53357751999999</v>
      </c>
      <c r="T1694">
        <v>2044.3307227</v>
      </c>
      <c r="U1694">
        <v>0</v>
      </c>
      <c r="V1694">
        <v>719.96</v>
      </c>
      <c r="W1694" t="s">
        <v>503</v>
      </c>
      <c r="X1694" t="s">
        <v>271</v>
      </c>
      <c r="Y1694" t="s">
        <v>4125</v>
      </c>
      <c r="AA1694" t="s">
        <v>4126</v>
      </c>
      <c r="AB1694" t="s">
        <v>181</v>
      </c>
    </row>
    <row r="1695" spans="1:28" x14ac:dyDescent="0.25">
      <c r="A1695" t="s">
        <v>4211</v>
      </c>
      <c r="B1695" t="s">
        <v>4212</v>
      </c>
      <c r="C1695" t="s">
        <v>646</v>
      </c>
      <c r="D1695" t="s">
        <v>3779</v>
      </c>
      <c r="E1695" t="s">
        <v>647</v>
      </c>
      <c r="F1695" t="s">
        <v>3780</v>
      </c>
      <c r="G1695" t="s">
        <v>769</v>
      </c>
      <c r="H1695" t="s">
        <v>802</v>
      </c>
      <c r="I1695" t="s">
        <v>4213</v>
      </c>
      <c r="J1695" t="s">
        <v>437</v>
      </c>
      <c r="K1695" t="s">
        <v>166</v>
      </c>
      <c r="L1695" t="s">
        <v>0</v>
      </c>
      <c r="M1695" t="s">
        <v>178</v>
      </c>
      <c r="N1695">
        <v>131.75</v>
      </c>
      <c r="O1695">
        <v>117.75</v>
      </c>
      <c r="P1695">
        <v>1972.82</v>
      </c>
      <c r="Q1695">
        <v>5975.13</v>
      </c>
      <c r="R1695">
        <v>917</v>
      </c>
      <c r="S1695">
        <v>717.37611745000004</v>
      </c>
      <c r="T1695">
        <v>0</v>
      </c>
      <c r="U1695">
        <v>0</v>
      </c>
      <c r="V1695">
        <v>917</v>
      </c>
      <c r="W1695" t="s">
        <v>510</v>
      </c>
      <c r="X1695" t="s">
        <v>271</v>
      </c>
      <c r="Y1695" t="s">
        <v>4214</v>
      </c>
      <c r="Z1695" t="s">
        <v>4175</v>
      </c>
      <c r="AA1695" t="s">
        <v>4215</v>
      </c>
      <c r="AB1695" t="s">
        <v>181</v>
      </c>
    </row>
    <row r="1696" spans="1:28" x14ac:dyDescent="0.25">
      <c r="A1696" t="s">
        <v>4228</v>
      </c>
      <c r="B1696" t="s">
        <v>4229</v>
      </c>
      <c r="C1696" t="s">
        <v>646</v>
      </c>
      <c r="D1696" t="s">
        <v>3779</v>
      </c>
      <c r="E1696" t="s">
        <v>647</v>
      </c>
      <c r="F1696" t="s">
        <v>3780</v>
      </c>
      <c r="G1696" t="s">
        <v>769</v>
      </c>
      <c r="H1696" t="s">
        <v>1045</v>
      </c>
      <c r="I1696" t="s">
        <v>1971</v>
      </c>
      <c r="J1696" t="s">
        <v>1972</v>
      </c>
      <c r="K1696" t="s">
        <v>166</v>
      </c>
      <c r="L1696" t="s">
        <v>0</v>
      </c>
      <c r="M1696" t="s">
        <v>178</v>
      </c>
      <c r="N1696">
        <v>141</v>
      </c>
      <c r="O1696">
        <v>117</v>
      </c>
      <c r="P1696">
        <v>1539.6</v>
      </c>
      <c r="Q1696">
        <v>10342.280000000001</v>
      </c>
      <c r="R1696">
        <v>2062.7600000000002</v>
      </c>
      <c r="S1696">
        <v>715.19578077999995</v>
      </c>
      <c r="T1696">
        <v>0</v>
      </c>
      <c r="U1696">
        <v>0</v>
      </c>
      <c r="V1696">
        <v>2062.7600000000002</v>
      </c>
      <c r="W1696" t="s">
        <v>1973</v>
      </c>
      <c r="X1696" t="s">
        <v>271</v>
      </c>
      <c r="Y1696" t="s">
        <v>4230</v>
      </c>
      <c r="AA1696" t="s">
        <v>4231</v>
      </c>
      <c r="AB1696" t="s">
        <v>181</v>
      </c>
    </row>
    <row r="1697" spans="1:28" x14ac:dyDescent="0.25">
      <c r="A1697" t="s">
        <v>4159</v>
      </c>
      <c r="B1697" t="s">
        <v>257</v>
      </c>
      <c r="C1697" t="s">
        <v>646</v>
      </c>
      <c r="D1697" t="s">
        <v>3779</v>
      </c>
      <c r="E1697" t="s">
        <v>647</v>
      </c>
      <c r="F1697" t="s">
        <v>3780</v>
      </c>
      <c r="G1697" t="s">
        <v>769</v>
      </c>
      <c r="H1697" t="s">
        <v>757</v>
      </c>
      <c r="I1697" t="s">
        <v>673</v>
      </c>
      <c r="J1697" t="s">
        <v>674</v>
      </c>
      <c r="K1697" t="s">
        <v>166</v>
      </c>
      <c r="L1697" t="s">
        <v>0</v>
      </c>
      <c r="M1697" t="s">
        <v>178</v>
      </c>
      <c r="N1697">
        <v>574.8125</v>
      </c>
      <c r="O1697">
        <v>269.8125</v>
      </c>
      <c r="P1697">
        <v>7841.87</v>
      </c>
      <c r="Q1697">
        <v>11985.37</v>
      </c>
      <c r="R1697">
        <v>3639.61</v>
      </c>
      <c r="S1697">
        <v>2284.6532767799999</v>
      </c>
      <c r="T1697">
        <v>0</v>
      </c>
      <c r="U1697">
        <v>0</v>
      </c>
      <c r="V1697">
        <v>3639.61</v>
      </c>
      <c r="W1697" t="s">
        <v>675</v>
      </c>
      <c r="X1697" t="s">
        <v>271</v>
      </c>
      <c r="Y1697" t="s">
        <v>4160</v>
      </c>
      <c r="AA1697" t="s">
        <v>4161</v>
      </c>
      <c r="AB1697" t="s">
        <v>181</v>
      </c>
    </row>
    <row r="1698" spans="1:28" x14ac:dyDescent="0.25">
      <c r="A1698" t="s">
        <v>4232</v>
      </c>
      <c r="B1698" t="s">
        <v>4233</v>
      </c>
      <c r="C1698" t="s">
        <v>646</v>
      </c>
      <c r="D1698" t="s">
        <v>3779</v>
      </c>
      <c r="E1698" t="s">
        <v>647</v>
      </c>
      <c r="F1698" t="s">
        <v>3780</v>
      </c>
      <c r="G1698" t="s">
        <v>769</v>
      </c>
      <c r="H1698" t="s">
        <v>683</v>
      </c>
      <c r="I1698" t="s">
        <v>1296</v>
      </c>
      <c r="J1698" t="s">
        <v>996</v>
      </c>
      <c r="K1698" t="s">
        <v>166</v>
      </c>
      <c r="L1698" t="s">
        <v>0</v>
      </c>
      <c r="M1698" t="s">
        <v>178</v>
      </c>
      <c r="N1698">
        <v>18</v>
      </c>
      <c r="O1698">
        <v>17</v>
      </c>
      <c r="P1698">
        <v>457.5</v>
      </c>
      <c r="Q1698">
        <v>656.84</v>
      </c>
      <c r="R1698">
        <v>69.726772499999996</v>
      </c>
      <c r="S1698">
        <v>222.98317413000001</v>
      </c>
      <c r="T1698">
        <v>0.19677249999999999</v>
      </c>
      <c r="U1698">
        <v>0</v>
      </c>
      <c r="V1698">
        <v>69.53</v>
      </c>
      <c r="W1698" t="s">
        <v>1683</v>
      </c>
      <c r="X1698" t="s">
        <v>271</v>
      </c>
      <c r="Y1698" t="s">
        <v>4234</v>
      </c>
      <c r="AA1698" t="s">
        <v>4235</v>
      </c>
      <c r="AB1698" t="s">
        <v>181</v>
      </c>
    </row>
    <row r="1699" spans="1:28" x14ac:dyDescent="0.25">
      <c r="A1699" t="s">
        <v>4184</v>
      </c>
      <c r="B1699" t="s">
        <v>4185</v>
      </c>
      <c r="C1699" t="s">
        <v>646</v>
      </c>
      <c r="D1699" t="s">
        <v>3779</v>
      </c>
      <c r="E1699" t="s">
        <v>647</v>
      </c>
      <c r="F1699" t="s">
        <v>3780</v>
      </c>
      <c r="G1699" t="s">
        <v>769</v>
      </c>
      <c r="H1699" t="s">
        <v>962</v>
      </c>
      <c r="I1699" t="s">
        <v>4186</v>
      </c>
      <c r="J1699" t="s">
        <v>1164</v>
      </c>
      <c r="K1699" t="s">
        <v>166</v>
      </c>
      <c r="L1699" t="s">
        <v>0</v>
      </c>
      <c r="M1699" t="s">
        <v>178</v>
      </c>
      <c r="N1699">
        <v>540</v>
      </c>
      <c r="O1699">
        <v>464</v>
      </c>
      <c r="P1699">
        <v>9546.93</v>
      </c>
      <c r="Q1699">
        <v>30417.38</v>
      </c>
      <c r="R1699">
        <v>1163.01489444</v>
      </c>
      <c r="S1699">
        <v>4360.9081273700003</v>
      </c>
      <c r="T1699">
        <v>5.4894440000000003E-2</v>
      </c>
      <c r="U1699">
        <v>1536.83</v>
      </c>
      <c r="V1699">
        <v>2699.79</v>
      </c>
      <c r="W1699" t="s">
        <v>1165</v>
      </c>
      <c r="X1699" t="s">
        <v>271</v>
      </c>
      <c r="Y1699" t="s">
        <v>4187</v>
      </c>
      <c r="AA1699" t="s">
        <v>4188</v>
      </c>
      <c r="AB1699" t="s">
        <v>181</v>
      </c>
    </row>
    <row r="1700" spans="1:28" x14ac:dyDescent="0.25">
      <c r="A1700" t="s">
        <v>4039</v>
      </c>
      <c r="B1700" t="s">
        <v>4040</v>
      </c>
      <c r="C1700" t="s">
        <v>646</v>
      </c>
      <c r="D1700" t="s">
        <v>3779</v>
      </c>
      <c r="E1700" t="s">
        <v>647</v>
      </c>
      <c r="F1700" t="s">
        <v>3780</v>
      </c>
      <c r="G1700" t="s">
        <v>769</v>
      </c>
      <c r="H1700" t="s">
        <v>909</v>
      </c>
      <c r="I1700" t="s">
        <v>1595</v>
      </c>
      <c r="J1700" t="s">
        <v>544</v>
      </c>
      <c r="K1700" t="s">
        <v>166</v>
      </c>
      <c r="L1700" t="s">
        <v>0</v>
      </c>
      <c r="M1700" t="s">
        <v>178</v>
      </c>
      <c r="N1700">
        <v>148</v>
      </c>
      <c r="O1700">
        <v>147</v>
      </c>
      <c r="P1700">
        <v>5032</v>
      </c>
      <c r="Q1700">
        <v>3072.4</v>
      </c>
      <c r="R1700">
        <v>371.96</v>
      </c>
      <c r="S1700">
        <v>583.64368415000001</v>
      </c>
      <c r="T1700">
        <v>0</v>
      </c>
      <c r="U1700">
        <v>0</v>
      </c>
      <c r="V1700">
        <v>371.96</v>
      </c>
      <c r="W1700" t="s">
        <v>239</v>
      </c>
      <c r="X1700" t="s">
        <v>271</v>
      </c>
      <c r="Y1700" t="s">
        <v>4041</v>
      </c>
      <c r="AA1700" t="s">
        <v>4042</v>
      </c>
      <c r="AB1700" t="s">
        <v>181</v>
      </c>
    </row>
    <row r="1701" spans="1:28" x14ac:dyDescent="0.25">
      <c r="A1701" t="s">
        <v>4117</v>
      </c>
      <c r="B1701" t="s">
        <v>4118</v>
      </c>
      <c r="C1701" t="s">
        <v>646</v>
      </c>
      <c r="D1701" t="s">
        <v>3779</v>
      </c>
      <c r="E1701" t="s">
        <v>647</v>
      </c>
      <c r="F1701" t="s">
        <v>3780</v>
      </c>
      <c r="G1701" t="s">
        <v>769</v>
      </c>
      <c r="H1701" t="s">
        <v>683</v>
      </c>
      <c r="I1701" t="s">
        <v>1190</v>
      </c>
      <c r="J1701" t="s">
        <v>1191</v>
      </c>
      <c r="K1701" t="s">
        <v>166</v>
      </c>
      <c r="L1701" t="s">
        <v>0</v>
      </c>
      <c r="M1701" t="s">
        <v>178</v>
      </c>
      <c r="N1701">
        <v>413</v>
      </c>
      <c r="O1701">
        <v>249</v>
      </c>
      <c r="P1701">
        <v>7019.06</v>
      </c>
      <c r="Q1701">
        <v>16250.42</v>
      </c>
      <c r="R1701">
        <v>1215.22</v>
      </c>
      <c r="S1701">
        <v>3751.4875168600001</v>
      </c>
      <c r="T1701">
        <v>115.56</v>
      </c>
      <c r="U1701">
        <v>19</v>
      </c>
      <c r="V1701">
        <v>1234.22</v>
      </c>
      <c r="W1701" t="s">
        <v>282</v>
      </c>
      <c r="X1701" t="s">
        <v>271</v>
      </c>
      <c r="Y1701" t="s">
        <v>2170</v>
      </c>
      <c r="AA1701" t="s">
        <v>2171</v>
      </c>
      <c r="AB1701" t="s">
        <v>181</v>
      </c>
    </row>
    <row r="1702" spans="1:28" x14ac:dyDescent="0.25">
      <c r="A1702" t="s">
        <v>4270</v>
      </c>
      <c r="B1702" t="s">
        <v>4271</v>
      </c>
      <c r="C1702" t="s">
        <v>646</v>
      </c>
      <c r="D1702" t="s">
        <v>3779</v>
      </c>
      <c r="E1702" t="s">
        <v>647</v>
      </c>
      <c r="F1702" t="s">
        <v>3780</v>
      </c>
      <c r="G1702" t="s">
        <v>769</v>
      </c>
      <c r="H1702" t="s">
        <v>909</v>
      </c>
      <c r="I1702" t="s">
        <v>4272</v>
      </c>
      <c r="J1702" t="s">
        <v>352</v>
      </c>
      <c r="K1702" t="s">
        <v>166</v>
      </c>
      <c r="L1702" t="s">
        <v>0</v>
      </c>
      <c r="M1702" t="s">
        <v>178</v>
      </c>
      <c r="N1702">
        <v>18.75</v>
      </c>
      <c r="O1702">
        <v>18.75</v>
      </c>
      <c r="P1702">
        <v>497.49</v>
      </c>
      <c r="Q1702">
        <v>1390.07</v>
      </c>
      <c r="R1702">
        <v>255.91677250000001</v>
      </c>
      <c r="S1702">
        <v>279.11158325999997</v>
      </c>
      <c r="T1702">
        <v>0.19677249999999999</v>
      </c>
      <c r="U1702">
        <v>0</v>
      </c>
      <c r="V1702">
        <v>255.72</v>
      </c>
      <c r="W1702" t="s">
        <v>314</v>
      </c>
      <c r="X1702" t="s">
        <v>271</v>
      </c>
      <c r="Y1702" t="s">
        <v>4273</v>
      </c>
      <c r="AA1702" t="s">
        <v>4274</v>
      </c>
      <c r="AB1702" t="s">
        <v>181</v>
      </c>
    </row>
    <row r="1703" spans="1:28" x14ac:dyDescent="0.25">
      <c r="A1703" t="s">
        <v>4022</v>
      </c>
      <c r="B1703" t="s">
        <v>4023</v>
      </c>
      <c r="C1703" t="s">
        <v>646</v>
      </c>
      <c r="D1703" t="s">
        <v>3779</v>
      </c>
      <c r="E1703" t="s">
        <v>647</v>
      </c>
      <c r="F1703" t="s">
        <v>3780</v>
      </c>
      <c r="G1703" t="s">
        <v>769</v>
      </c>
      <c r="H1703" t="s">
        <v>683</v>
      </c>
      <c r="I1703" t="s">
        <v>4024</v>
      </c>
      <c r="J1703" t="s">
        <v>447</v>
      </c>
      <c r="K1703" t="s">
        <v>166</v>
      </c>
      <c r="L1703" t="s">
        <v>0</v>
      </c>
      <c r="M1703" t="s">
        <v>178</v>
      </c>
      <c r="N1703">
        <v>218.7</v>
      </c>
      <c r="O1703">
        <v>92</v>
      </c>
      <c r="P1703">
        <v>3253.26</v>
      </c>
      <c r="Q1703">
        <v>11663.47</v>
      </c>
      <c r="R1703">
        <v>2081.0318801100002</v>
      </c>
      <c r="S1703">
        <v>1472.8310911399999</v>
      </c>
      <c r="T1703">
        <v>0.48188010999999997</v>
      </c>
      <c r="U1703">
        <v>0</v>
      </c>
      <c r="V1703">
        <v>2080.5500000000002</v>
      </c>
      <c r="W1703" t="s">
        <v>446</v>
      </c>
      <c r="X1703" t="s">
        <v>271</v>
      </c>
      <c r="Y1703" t="s">
        <v>4025</v>
      </c>
      <c r="AA1703" t="s">
        <v>4026</v>
      </c>
      <c r="AB1703" t="s">
        <v>181</v>
      </c>
    </row>
    <row r="1704" spans="1:28" x14ac:dyDescent="0.25">
      <c r="A1704" t="s">
        <v>4260</v>
      </c>
      <c r="B1704" t="s">
        <v>4261</v>
      </c>
      <c r="C1704" t="s">
        <v>646</v>
      </c>
      <c r="D1704" t="s">
        <v>3779</v>
      </c>
      <c r="E1704" t="s">
        <v>647</v>
      </c>
      <c r="F1704" t="s">
        <v>666</v>
      </c>
      <c r="G1704" t="s">
        <v>666</v>
      </c>
      <c r="H1704" t="s">
        <v>761</v>
      </c>
      <c r="I1704" t="s">
        <v>4262</v>
      </c>
      <c r="J1704" t="s">
        <v>1180</v>
      </c>
      <c r="K1704" t="s">
        <v>166</v>
      </c>
      <c r="L1704" t="s">
        <v>0</v>
      </c>
      <c r="M1704" t="s">
        <v>178</v>
      </c>
      <c r="N1704">
        <v>69</v>
      </c>
      <c r="O1704">
        <v>62</v>
      </c>
      <c r="P1704">
        <v>2590.9699999999998</v>
      </c>
      <c r="Q1704">
        <v>2224.44</v>
      </c>
      <c r="R1704">
        <v>560.91</v>
      </c>
      <c r="S1704">
        <v>446.74833147999999</v>
      </c>
      <c r="T1704">
        <v>0</v>
      </c>
      <c r="U1704">
        <v>0</v>
      </c>
      <c r="V1704">
        <v>560.91</v>
      </c>
      <c r="W1704" t="s">
        <v>0</v>
      </c>
      <c r="X1704" t="s">
        <v>271</v>
      </c>
      <c r="Y1704" t="s">
        <v>4263</v>
      </c>
      <c r="AA1704" t="s">
        <v>4264</v>
      </c>
      <c r="AB1704" t="s">
        <v>181</v>
      </c>
    </row>
    <row r="1705" spans="1:28" x14ac:dyDescent="0.25">
      <c r="A1705" t="s">
        <v>3834</v>
      </c>
      <c r="B1705" t="s">
        <v>3835</v>
      </c>
      <c r="C1705" t="s">
        <v>646</v>
      </c>
      <c r="D1705" t="s">
        <v>3779</v>
      </c>
      <c r="E1705" t="s">
        <v>647</v>
      </c>
      <c r="F1705" t="s">
        <v>3780</v>
      </c>
      <c r="G1705" t="s">
        <v>769</v>
      </c>
      <c r="H1705" t="s">
        <v>672</v>
      </c>
      <c r="I1705" t="s">
        <v>1251</v>
      </c>
      <c r="J1705" t="s">
        <v>821</v>
      </c>
      <c r="K1705" t="s">
        <v>166</v>
      </c>
      <c r="L1705" t="s">
        <v>0</v>
      </c>
      <c r="M1705" t="s">
        <v>178</v>
      </c>
      <c r="N1705">
        <v>56</v>
      </c>
      <c r="O1705">
        <v>48</v>
      </c>
      <c r="P1705">
        <v>1224</v>
      </c>
      <c r="Q1705">
        <v>2296.4</v>
      </c>
      <c r="R1705">
        <v>436.78611183999999</v>
      </c>
      <c r="S1705">
        <v>454.53566013</v>
      </c>
      <c r="T1705">
        <v>4.6111840000000001E-2</v>
      </c>
      <c r="U1705">
        <v>0</v>
      </c>
      <c r="V1705">
        <v>436.74</v>
      </c>
      <c r="W1705" t="s">
        <v>822</v>
      </c>
      <c r="X1705" t="s">
        <v>269</v>
      </c>
      <c r="Y1705" t="s">
        <v>3836</v>
      </c>
      <c r="AA1705" t="s">
        <v>3837</v>
      </c>
      <c r="AB1705" t="s">
        <v>181</v>
      </c>
    </row>
    <row r="1706" spans="1:28" x14ac:dyDescent="0.25">
      <c r="A1706" t="s">
        <v>4011</v>
      </c>
      <c r="B1706" t="s">
        <v>4012</v>
      </c>
      <c r="C1706" t="s">
        <v>646</v>
      </c>
      <c r="D1706" t="s">
        <v>3779</v>
      </c>
      <c r="E1706" t="s">
        <v>647</v>
      </c>
      <c r="F1706" t="s">
        <v>3780</v>
      </c>
      <c r="G1706" t="s">
        <v>769</v>
      </c>
      <c r="H1706" t="s">
        <v>802</v>
      </c>
      <c r="I1706" t="s">
        <v>2142</v>
      </c>
      <c r="J1706" t="s">
        <v>1924</v>
      </c>
      <c r="K1706" t="s">
        <v>166</v>
      </c>
      <c r="L1706" t="s">
        <v>0</v>
      </c>
      <c r="M1706" t="s">
        <v>178</v>
      </c>
      <c r="N1706">
        <v>49</v>
      </c>
      <c r="O1706">
        <v>49</v>
      </c>
      <c r="P1706">
        <v>444.66</v>
      </c>
      <c r="Q1706">
        <v>1709.85</v>
      </c>
      <c r="R1706">
        <v>212.28</v>
      </c>
      <c r="S1706">
        <v>471.78968630999998</v>
      </c>
      <c r="T1706">
        <v>0</v>
      </c>
      <c r="U1706">
        <v>0</v>
      </c>
      <c r="V1706">
        <v>212.28</v>
      </c>
      <c r="W1706" t="s">
        <v>1925</v>
      </c>
      <c r="X1706" t="s">
        <v>271</v>
      </c>
      <c r="Y1706" t="s">
        <v>4013</v>
      </c>
      <c r="AA1706" t="s">
        <v>4014</v>
      </c>
      <c r="AB1706" t="s">
        <v>181</v>
      </c>
    </row>
    <row r="1707" spans="1:28" x14ac:dyDescent="0.25">
      <c r="A1707" t="s">
        <v>3913</v>
      </c>
      <c r="B1707" t="s">
        <v>3914</v>
      </c>
      <c r="C1707" t="s">
        <v>646</v>
      </c>
      <c r="D1707" t="s">
        <v>3779</v>
      </c>
      <c r="E1707" t="s">
        <v>647</v>
      </c>
      <c r="F1707" t="s">
        <v>3780</v>
      </c>
      <c r="G1707" t="s">
        <v>769</v>
      </c>
      <c r="H1707" t="s">
        <v>909</v>
      </c>
      <c r="I1707" t="s">
        <v>984</v>
      </c>
      <c r="J1707" t="s">
        <v>985</v>
      </c>
      <c r="K1707" t="s">
        <v>166</v>
      </c>
      <c r="L1707" t="s">
        <v>0</v>
      </c>
      <c r="M1707" t="s">
        <v>178</v>
      </c>
      <c r="N1707">
        <v>63</v>
      </c>
      <c r="O1707">
        <v>63</v>
      </c>
      <c r="P1707">
        <v>2176.38</v>
      </c>
      <c r="Q1707">
        <v>3166.22</v>
      </c>
      <c r="R1707">
        <v>550.03</v>
      </c>
      <c r="S1707">
        <v>835.23062034999998</v>
      </c>
      <c r="T1707">
        <v>0</v>
      </c>
      <c r="U1707">
        <v>0</v>
      </c>
      <c r="V1707">
        <v>550.03</v>
      </c>
      <c r="W1707" t="s">
        <v>986</v>
      </c>
      <c r="X1707" t="s">
        <v>271</v>
      </c>
      <c r="Y1707" t="s">
        <v>3915</v>
      </c>
      <c r="AA1707" t="s">
        <v>3916</v>
      </c>
      <c r="AB1707" t="s">
        <v>181</v>
      </c>
    </row>
    <row r="1708" spans="1:28" x14ac:dyDescent="0.25">
      <c r="A1708" t="s">
        <v>3969</v>
      </c>
      <c r="B1708" t="s">
        <v>3970</v>
      </c>
      <c r="C1708" t="s">
        <v>646</v>
      </c>
      <c r="D1708" t="s">
        <v>3779</v>
      </c>
      <c r="E1708" t="s">
        <v>647</v>
      </c>
      <c r="F1708" t="s">
        <v>3780</v>
      </c>
      <c r="G1708" t="s">
        <v>769</v>
      </c>
      <c r="H1708" t="s">
        <v>683</v>
      </c>
      <c r="I1708" t="s">
        <v>1518</v>
      </c>
      <c r="J1708" t="s">
        <v>1519</v>
      </c>
      <c r="K1708" t="s">
        <v>166</v>
      </c>
      <c r="L1708" t="s">
        <v>0</v>
      </c>
      <c r="M1708" t="s">
        <v>178</v>
      </c>
      <c r="N1708">
        <v>384</v>
      </c>
      <c r="O1708">
        <v>85</v>
      </c>
      <c r="P1708">
        <v>4702.8599999999997</v>
      </c>
      <c r="Q1708">
        <v>15963.05</v>
      </c>
      <c r="R1708">
        <v>2979.98</v>
      </c>
      <c r="S1708">
        <v>1048.6761678299999</v>
      </c>
      <c r="T1708">
        <v>0</v>
      </c>
      <c r="U1708">
        <v>0</v>
      </c>
      <c r="V1708">
        <v>2979.98</v>
      </c>
      <c r="W1708" t="s">
        <v>1485</v>
      </c>
      <c r="X1708" t="s">
        <v>271</v>
      </c>
      <c r="Y1708" t="s">
        <v>3971</v>
      </c>
      <c r="AA1708" t="s">
        <v>3972</v>
      </c>
      <c r="AB1708" t="s">
        <v>181</v>
      </c>
    </row>
    <row r="1709" spans="1:28" x14ac:dyDescent="0.25">
      <c r="A1709" t="s">
        <v>4223</v>
      </c>
      <c r="B1709" t="s">
        <v>4224</v>
      </c>
      <c r="C1709" t="s">
        <v>646</v>
      </c>
      <c r="D1709" t="s">
        <v>3779</v>
      </c>
      <c r="E1709" t="s">
        <v>647</v>
      </c>
      <c r="F1709" t="s">
        <v>3780</v>
      </c>
      <c r="G1709" t="s">
        <v>769</v>
      </c>
      <c r="H1709" t="s">
        <v>717</v>
      </c>
      <c r="I1709" t="s">
        <v>4225</v>
      </c>
      <c r="J1709" t="s">
        <v>336</v>
      </c>
      <c r="K1709" t="s">
        <v>166</v>
      </c>
      <c r="L1709" t="s">
        <v>0</v>
      </c>
      <c r="M1709" t="s">
        <v>178</v>
      </c>
      <c r="N1709">
        <v>19</v>
      </c>
      <c r="O1709">
        <v>4</v>
      </c>
      <c r="P1709">
        <v>423.52</v>
      </c>
      <c r="Q1709">
        <v>2574.5700000000002</v>
      </c>
      <c r="R1709">
        <v>661.27</v>
      </c>
      <c r="S1709">
        <v>38.158608260000001</v>
      </c>
      <c r="T1709">
        <v>0</v>
      </c>
      <c r="U1709">
        <v>0</v>
      </c>
      <c r="V1709">
        <v>661.27</v>
      </c>
      <c r="W1709" t="s">
        <v>461</v>
      </c>
      <c r="X1709" t="s">
        <v>271</v>
      </c>
      <c r="Y1709" t="s">
        <v>4226</v>
      </c>
      <c r="AA1709" t="s">
        <v>4227</v>
      </c>
      <c r="AB1709" t="s">
        <v>181</v>
      </c>
    </row>
    <row r="1710" spans="1:28" x14ac:dyDescent="0.25">
      <c r="A1710" t="s">
        <v>4337</v>
      </c>
      <c r="B1710" t="s">
        <v>4338</v>
      </c>
      <c r="C1710" t="s">
        <v>646</v>
      </c>
      <c r="D1710" t="s">
        <v>3779</v>
      </c>
      <c r="E1710" t="s">
        <v>647</v>
      </c>
      <c r="F1710" t="s">
        <v>3780</v>
      </c>
      <c r="G1710" t="s">
        <v>769</v>
      </c>
      <c r="H1710" t="s">
        <v>649</v>
      </c>
      <c r="I1710" t="s">
        <v>4339</v>
      </c>
      <c r="J1710" t="s">
        <v>821</v>
      </c>
      <c r="K1710" t="s">
        <v>166</v>
      </c>
      <c r="L1710" t="s">
        <v>0</v>
      </c>
      <c r="M1710" t="s">
        <v>178</v>
      </c>
      <c r="N1710">
        <v>86</v>
      </c>
      <c r="O1710">
        <v>38</v>
      </c>
      <c r="P1710">
        <v>1552.94</v>
      </c>
      <c r="Q1710">
        <v>5191.1400000000003</v>
      </c>
      <c r="R1710">
        <v>930.13</v>
      </c>
      <c r="S1710">
        <v>259.34204848000002</v>
      </c>
      <c r="T1710">
        <v>0</v>
      </c>
      <c r="U1710">
        <v>0</v>
      </c>
      <c r="V1710">
        <v>930.13</v>
      </c>
      <c r="W1710" t="s">
        <v>822</v>
      </c>
      <c r="X1710" t="s">
        <v>269</v>
      </c>
      <c r="Y1710" t="s">
        <v>4340</v>
      </c>
      <c r="AA1710" t="s">
        <v>4341</v>
      </c>
      <c r="AB1710" t="s">
        <v>181</v>
      </c>
    </row>
    <row r="1711" spans="1:28" x14ac:dyDescent="0.25">
      <c r="A1711" t="s">
        <v>4232</v>
      </c>
      <c r="B1711" t="s">
        <v>4233</v>
      </c>
      <c r="C1711" t="s">
        <v>646</v>
      </c>
      <c r="D1711" t="s">
        <v>3779</v>
      </c>
      <c r="E1711" t="s">
        <v>647</v>
      </c>
      <c r="F1711" t="s">
        <v>3780</v>
      </c>
      <c r="G1711" t="s">
        <v>769</v>
      </c>
      <c r="H1711" t="s">
        <v>1045</v>
      </c>
      <c r="I1711" t="s">
        <v>1296</v>
      </c>
      <c r="J1711" t="s">
        <v>996</v>
      </c>
      <c r="K1711" t="s">
        <v>166</v>
      </c>
      <c r="L1711" t="s">
        <v>0</v>
      </c>
      <c r="M1711" t="s">
        <v>178</v>
      </c>
      <c r="N1711">
        <v>76</v>
      </c>
      <c r="O1711">
        <v>9</v>
      </c>
      <c r="P1711">
        <v>2815</v>
      </c>
      <c r="Q1711">
        <v>10393.89</v>
      </c>
      <c r="R1711">
        <v>401.84</v>
      </c>
      <c r="S1711">
        <v>256.42966103999998</v>
      </c>
      <c r="T1711">
        <v>0</v>
      </c>
      <c r="U1711">
        <v>0</v>
      </c>
      <c r="V1711">
        <v>401.84</v>
      </c>
      <c r="W1711" t="s">
        <v>1683</v>
      </c>
      <c r="X1711" t="s">
        <v>271</v>
      </c>
      <c r="Y1711" t="s">
        <v>4234</v>
      </c>
      <c r="AA1711" t="s">
        <v>4235</v>
      </c>
      <c r="AB1711" t="s">
        <v>181</v>
      </c>
    </row>
    <row r="1712" spans="1:28" x14ac:dyDescent="0.25">
      <c r="A1712" t="s">
        <v>4357</v>
      </c>
      <c r="B1712" t="s">
        <v>4358</v>
      </c>
      <c r="C1712" t="s">
        <v>646</v>
      </c>
      <c r="D1712" t="s">
        <v>3779</v>
      </c>
      <c r="E1712" t="s">
        <v>647</v>
      </c>
      <c r="F1712" t="s">
        <v>3780</v>
      </c>
      <c r="G1712" t="s">
        <v>769</v>
      </c>
      <c r="H1712" t="s">
        <v>1171</v>
      </c>
      <c r="I1712" t="s">
        <v>1599</v>
      </c>
      <c r="J1712" t="s">
        <v>1600</v>
      </c>
      <c r="K1712" t="s">
        <v>166</v>
      </c>
      <c r="L1712" t="s">
        <v>0</v>
      </c>
      <c r="M1712" t="s">
        <v>178</v>
      </c>
      <c r="N1712">
        <v>47</v>
      </c>
      <c r="O1712">
        <v>45</v>
      </c>
      <c r="P1712">
        <v>476.05</v>
      </c>
      <c r="Q1712">
        <v>4631.29</v>
      </c>
      <c r="R1712">
        <v>829.26145384999995</v>
      </c>
      <c r="S1712">
        <v>53.22</v>
      </c>
      <c r="T1712">
        <v>2.4214538499999998</v>
      </c>
      <c r="U1712">
        <v>0</v>
      </c>
      <c r="V1712">
        <v>826.84</v>
      </c>
      <c r="W1712" t="s">
        <v>1601</v>
      </c>
      <c r="X1712" t="s">
        <v>269</v>
      </c>
      <c r="Y1712" t="s">
        <v>4359</v>
      </c>
      <c r="AA1712" t="s">
        <v>4360</v>
      </c>
      <c r="AB1712" t="s">
        <v>181</v>
      </c>
    </row>
    <row r="1713" spans="1:28" x14ac:dyDescent="0.25">
      <c r="A1713" t="s">
        <v>4196</v>
      </c>
      <c r="B1713" t="s">
        <v>4197</v>
      </c>
      <c r="C1713" t="s">
        <v>646</v>
      </c>
      <c r="D1713" t="s">
        <v>3779</v>
      </c>
      <c r="E1713" t="s">
        <v>647</v>
      </c>
      <c r="F1713" t="s">
        <v>3780</v>
      </c>
      <c r="G1713" t="s">
        <v>769</v>
      </c>
      <c r="H1713" t="s">
        <v>713</v>
      </c>
      <c r="I1713" t="s">
        <v>4198</v>
      </c>
      <c r="J1713" t="s">
        <v>870</v>
      </c>
      <c r="K1713" t="s">
        <v>166</v>
      </c>
      <c r="L1713" t="s">
        <v>0</v>
      </c>
      <c r="M1713" t="s">
        <v>178</v>
      </c>
      <c r="N1713">
        <v>9</v>
      </c>
      <c r="O1713">
        <v>7</v>
      </c>
      <c r="P1713">
        <v>248</v>
      </c>
      <c r="Q1713">
        <v>301.75</v>
      </c>
      <c r="R1713">
        <v>46.39</v>
      </c>
      <c r="S1713">
        <v>46.657686409999997</v>
      </c>
      <c r="T1713">
        <v>0</v>
      </c>
      <c r="U1713">
        <v>0</v>
      </c>
      <c r="V1713">
        <v>46.39</v>
      </c>
      <c r="W1713" t="s">
        <v>871</v>
      </c>
      <c r="X1713" t="s">
        <v>271</v>
      </c>
      <c r="Y1713" t="s">
        <v>4199</v>
      </c>
      <c r="AA1713" t="s">
        <v>4200</v>
      </c>
      <c r="AB1713" t="s">
        <v>181</v>
      </c>
    </row>
    <row r="1714" spans="1:28" x14ac:dyDescent="0.25">
      <c r="A1714" t="s">
        <v>3960</v>
      </c>
      <c r="B1714" t="s">
        <v>3961</v>
      </c>
      <c r="C1714" t="s">
        <v>646</v>
      </c>
      <c r="D1714" t="s">
        <v>3779</v>
      </c>
      <c r="E1714" t="s">
        <v>647</v>
      </c>
      <c r="F1714" t="s">
        <v>666</v>
      </c>
      <c r="G1714" t="s">
        <v>666</v>
      </c>
      <c r="H1714" t="s">
        <v>802</v>
      </c>
      <c r="I1714" t="s">
        <v>3962</v>
      </c>
      <c r="J1714" t="s">
        <v>575</v>
      </c>
      <c r="K1714" t="s">
        <v>166</v>
      </c>
      <c r="L1714" t="s">
        <v>0</v>
      </c>
      <c r="M1714" t="s">
        <v>178</v>
      </c>
      <c r="N1714">
        <v>124</v>
      </c>
      <c r="O1714">
        <v>122</v>
      </c>
      <c r="P1714">
        <v>1188</v>
      </c>
      <c r="Q1714">
        <v>3979.68</v>
      </c>
      <c r="R1714">
        <v>-360.63</v>
      </c>
      <c r="S1714">
        <v>952.18744569</v>
      </c>
      <c r="T1714">
        <v>0</v>
      </c>
      <c r="U1714">
        <v>0</v>
      </c>
      <c r="V1714">
        <v>-360.63</v>
      </c>
      <c r="W1714" t="s">
        <v>0</v>
      </c>
      <c r="X1714" t="s">
        <v>271</v>
      </c>
      <c r="Y1714" t="s">
        <v>3963</v>
      </c>
      <c r="AA1714" t="s">
        <v>3964</v>
      </c>
      <c r="AB1714" t="s">
        <v>181</v>
      </c>
    </row>
    <row r="1715" spans="1:28" x14ac:dyDescent="0.25">
      <c r="A1715" t="s">
        <v>4370</v>
      </c>
      <c r="B1715" t="s">
        <v>4371</v>
      </c>
      <c r="C1715" t="s">
        <v>646</v>
      </c>
      <c r="D1715" t="s">
        <v>3779</v>
      </c>
      <c r="E1715" t="s">
        <v>647</v>
      </c>
      <c r="F1715" t="s">
        <v>666</v>
      </c>
      <c r="G1715" t="s">
        <v>666</v>
      </c>
      <c r="H1715" t="s">
        <v>683</v>
      </c>
      <c r="I1715" t="s">
        <v>4372</v>
      </c>
      <c r="J1715" t="s">
        <v>355</v>
      </c>
      <c r="K1715" t="s">
        <v>166</v>
      </c>
      <c r="L1715" t="s">
        <v>0</v>
      </c>
      <c r="M1715" t="s">
        <v>178</v>
      </c>
      <c r="N1715">
        <v>81</v>
      </c>
      <c r="O1715">
        <v>16</v>
      </c>
      <c r="P1715">
        <v>805</v>
      </c>
      <c r="Q1715">
        <v>3780.22</v>
      </c>
      <c r="R1715">
        <v>909.62</v>
      </c>
      <c r="S1715">
        <v>399.12959016999997</v>
      </c>
      <c r="T1715">
        <v>0</v>
      </c>
      <c r="U1715">
        <v>0</v>
      </c>
      <c r="V1715">
        <v>909.62</v>
      </c>
      <c r="W1715" t="s">
        <v>0</v>
      </c>
      <c r="X1715" t="s">
        <v>271</v>
      </c>
      <c r="Y1715" t="s">
        <v>4373</v>
      </c>
      <c r="AA1715" t="s">
        <v>3894</v>
      </c>
      <c r="AB1715" t="s">
        <v>181</v>
      </c>
    </row>
    <row r="1716" spans="1:28" x14ac:dyDescent="0.25">
      <c r="A1716" t="s">
        <v>3783</v>
      </c>
      <c r="B1716" t="s">
        <v>3784</v>
      </c>
      <c r="C1716" t="s">
        <v>646</v>
      </c>
      <c r="D1716" t="s">
        <v>3779</v>
      </c>
      <c r="E1716" t="s">
        <v>647</v>
      </c>
      <c r="F1716" t="s">
        <v>666</v>
      </c>
      <c r="G1716" t="s">
        <v>666</v>
      </c>
      <c r="H1716" t="s">
        <v>761</v>
      </c>
      <c r="I1716" t="s">
        <v>3785</v>
      </c>
      <c r="J1716" t="s">
        <v>432</v>
      </c>
      <c r="K1716" t="s">
        <v>166</v>
      </c>
      <c r="L1716" t="s">
        <v>0</v>
      </c>
      <c r="M1716" t="s">
        <v>178</v>
      </c>
      <c r="N1716">
        <v>9</v>
      </c>
      <c r="O1716">
        <v>0</v>
      </c>
      <c r="P1716">
        <v>202.5</v>
      </c>
      <c r="Q1716">
        <v>500.08</v>
      </c>
      <c r="R1716">
        <v>99</v>
      </c>
      <c r="S1716">
        <v>6.2607999999999997</v>
      </c>
      <c r="T1716">
        <v>0</v>
      </c>
      <c r="U1716">
        <v>0</v>
      </c>
      <c r="V1716">
        <v>99</v>
      </c>
      <c r="W1716" t="s">
        <v>0</v>
      </c>
      <c r="X1716" t="s">
        <v>271</v>
      </c>
      <c r="Y1716" t="s">
        <v>3786</v>
      </c>
      <c r="AA1716" t="s">
        <v>3787</v>
      </c>
      <c r="AB1716" t="s">
        <v>181</v>
      </c>
    </row>
    <row r="1717" spans="1:28" x14ac:dyDescent="0.25">
      <c r="A1717" t="s">
        <v>3865</v>
      </c>
      <c r="B1717" t="s">
        <v>3866</v>
      </c>
      <c r="C1717" t="s">
        <v>646</v>
      </c>
      <c r="D1717" t="s">
        <v>3779</v>
      </c>
      <c r="E1717" t="s">
        <v>647</v>
      </c>
      <c r="F1717" t="s">
        <v>3780</v>
      </c>
      <c r="G1717" t="s">
        <v>769</v>
      </c>
      <c r="H1717" t="s">
        <v>713</v>
      </c>
      <c r="I1717" t="s">
        <v>3867</v>
      </c>
      <c r="J1717" t="s">
        <v>881</v>
      </c>
      <c r="K1717" t="s">
        <v>166</v>
      </c>
      <c r="L1717" t="s">
        <v>0</v>
      </c>
      <c r="M1717" t="s">
        <v>178</v>
      </c>
      <c r="N1717">
        <v>11</v>
      </c>
      <c r="O1717">
        <v>10</v>
      </c>
      <c r="P1717">
        <v>140.69999999999999</v>
      </c>
      <c r="Q1717">
        <v>851.25</v>
      </c>
      <c r="R1717">
        <v>89.82</v>
      </c>
      <c r="S1717">
        <v>406.12167968</v>
      </c>
      <c r="T1717">
        <v>0</v>
      </c>
      <c r="U1717">
        <v>0</v>
      </c>
      <c r="V1717">
        <v>89.82</v>
      </c>
      <c r="W1717" t="s">
        <v>0</v>
      </c>
      <c r="X1717" t="s">
        <v>271</v>
      </c>
      <c r="Y1717" t="s">
        <v>3868</v>
      </c>
      <c r="AA1717" t="s">
        <v>3869</v>
      </c>
      <c r="AB1717" t="s">
        <v>181</v>
      </c>
    </row>
    <row r="1718" spans="1:28" x14ac:dyDescent="0.25">
      <c r="A1718" t="s">
        <v>3819</v>
      </c>
      <c r="B1718" t="s">
        <v>3820</v>
      </c>
      <c r="C1718" t="s">
        <v>646</v>
      </c>
      <c r="D1718" t="s">
        <v>3779</v>
      </c>
      <c r="E1718" t="s">
        <v>647</v>
      </c>
      <c r="F1718" t="s">
        <v>3780</v>
      </c>
      <c r="G1718" t="s">
        <v>769</v>
      </c>
      <c r="H1718" t="s">
        <v>1515</v>
      </c>
      <c r="I1718" t="s">
        <v>798</v>
      </c>
      <c r="J1718" t="s">
        <v>524</v>
      </c>
      <c r="K1718" t="s">
        <v>166</v>
      </c>
      <c r="L1718" t="s">
        <v>0</v>
      </c>
      <c r="M1718" t="s">
        <v>178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 t="s">
        <v>258</v>
      </c>
      <c r="X1718" t="s">
        <v>271</v>
      </c>
      <c r="Y1718" t="s">
        <v>3821</v>
      </c>
      <c r="AA1718" t="s">
        <v>3822</v>
      </c>
      <c r="AB1718" t="s">
        <v>181</v>
      </c>
    </row>
    <row r="1719" spans="1:28" x14ac:dyDescent="0.25">
      <c r="A1719" t="s">
        <v>4086</v>
      </c>
      <c r="B1719" t="s">
        <v>4087</v>
      </c>
      <c r="C1719" t="s">
        <v>646</v>
      </c>
      <c r="D1719" t="s">
        <v>3779</v>
      </c>
      <c r="E1719" t="s">
        <v>647</v>
      </c>
      <c r="F1719" t="s">
        <v>3780</v>
      </c>
      <c r="G1719" t="s">
        <v>769</v>
      </c>
      <c r="H1719" t="s">
        <v>1515</v>
      </c>
      <c r="I1719" t="s">
        <v>4088</v>
      </c>
      <c r="J1719" t="s">
        <v>480</v>
      </c>
      <c r="K1719" t="s">
        <v>166</v>
      </c>
      <c r="L1719" t="s">
        <v>0</v>
      </c>
      <c r="M1719" t="s">
        <v>178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 t="s">
        <v>4089</v>
      </c>
      <c r="X1719" t="s">
        <v>271</v>
      </c>
      <c r="Y1719" t="s">
        <v>4090</v>
      </c>
      <c r="AA1719" t="s">
        <v>4091</v>
      </c>
      <c r="AB1719" t="s">
        <v>181</v>
      </c>
    </row>
    <row r="1720" spans="1:28" x14ac:dyDescent="0.25">
      <c r="A1720" t="s">
        <v>3849</v>
      </c>
      <c r="B1720" t="s">
        <v>3850</v>
      </c>
      <c r="C1720" t="s">
        <v>646</v>
      </c>
      <c r="D1720" t="s">
        <v>3779</v>
      </c>
      <c r="E1720" t="s">
        <v>647</v>
      </c>
      <c r="F1720" t="s">
        <v>3780</v>
      </c>
      <c r="G1720" t="s">
        <v>769</v>
      </c>
      <c r="H1720" t="s">
        <v>1515</v>
      </c>
      <c r="I1720" t="s">
        <v>1184</v>
      </c>
      <c r="J1720" t="s">
        <v>1185</v>
      </c>
      <c r="K1720" t="s">
        <v>166</v>
      </c>
      <c r="L1720" t="s">
        <v>0</v>
      </c>
      <c r="M1720" t="s">
        <v>178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 t="s">
        <v>1186</v>
      </c>
      <c r="X1720" t="s">
        <v>271</v>
      </c>
      <c r="Y1720" t="s">
        <v>3851</v>
      </c>
      <c r="AA1720" t="s">
        <v>3852</v>
      </c>
      <c r="AB1720" t="s">
        <v>181</v>
      </c>
    </row>
    <row r="1721" spans="1:28" x14ac:dyDescent="0.25">
      <c r="A1721" t="s">
        <v>4027</v>
      </c>
      <c r="B1721" t="s">
        <v>4028</v>
      </c>
      <c r="C1721" t="s">
        <v>646</v>
      </c>
      <c r="D1721" t="s">
        <v>3779</v>
      </c>
      <c r="E1721" t="s">
        <v>647</v>
      </c>
      <c r="F1721" t="s">
        <v>3780</v>
      </c>
      <c r="G1721" t="s">
        <v>769</v>
      </c>
      <c r="H1721" t="s">
        <v>708</v>
      </c>
      <c r="I1721" t="s">
        <v>1251</v>
      </c>
      <c r="J1721" t="s">
        <v>821</v>
      </c>
      <c r="K1721" t="s">
        <v>166</v>
      </c>
      <c r="L1721" t="s">
        <v>0</v>
      </c>
      <c r="M1721" t="s">
        <v>178</v>
      </c>
      <c r="N1721">
        <v>8</v>
      </c>
      <c r="O1721">
        <v>0</v>
      </c>
      <c r="P1721">
        <v>114.4</v>
      </c>
      <c r="Q1721">
        <v>227.75</v>
      </c>
      <c r="R1721">
        <v>61.88</v>
      </c>
      <c r="S1721">
        <v>8.8000000000000007</v>
      </c>
      <c r="T1721">
        <v>0</v>
      </c>
      <c r="U1721">
        <v>0</v>
      </c>
      <c r="V1721">
        <v>61.88</v>
      </c>
      <c r="W1721" t="s">
        <v>822</v>
      </c>
      <c r="X1721" t="s">
        <v>269</v>
      </c>
      <c r="Y1721" t="s">
        <v>4029</v>
      </c>
      <c r="AA1721" t="s">
        <v>4030</v>
      </c>
      <c r="AB1721" t="s">
        <v>181</v>
      </c>
    </row>
    <row r="1722" spans="1:28" x14ac:dyDescent="0.25">
      <c r="A1722" t="s">
        <v>4370</v>
      </c>
      <c r="B1722" t="s">
        <v>4371</v>
      </c>
      <c r="C1722" t="s">
        <v>646</v>
      </c>
      <c r="D1722" t="s">
        <v>3779</v>
      </c>
      <c r="E1722" t="s">
        <v>647</v>
      </c>
      <c r="F1722" t="s">
        <v>666</v>
      </c>
      <c r="G1722" t="s">
        <v>666</v>
      </c>
      <c r="H1722" t="s">
        <v>909</v>
      </c>
      <c r="I1722" t="s">
        <v>4372</v>
      </c>
      <c r="J1722" t="s">
        <v>355</v>
      </c>
      <c r="K1722" t="s">
        <v>166</v>
      </c>
      <c r="L1722" t="s">
        <v>0</v>
      </c>
      <c r="M1722" t="s">
        <v>178</v>
      </c>
      <c r="N1722">
        <v>2</v>
      </c>
      <c r="O1722">
        <v>2</v>
      </c>
      <c r="P1722">
        <v>12.76</v>
      </c>
      <c r="Q1722">
        <v>65.73</v>
      </c>
      <c r="R1722">
        <v>26.67</v>
      </c>
      <c r="S1722">
        <v>20.900622739999999</v>
      </c>
      <c r="T1722">
        <v>0</v>
      </c>
      <c r="U1722">
        <v>0</v>
      </c>
      <c r="V1722">
        <v>26.67</v>
      </c>
      <c r="W1722" t="s">
        <v>0</v>
      </c>
      <c r="X1722" t="s">
        <v>271</v>
      </c>
      <c r="Y1722" t="s">
        <v>4373</v>
      </c>
      <c r="AA1722" t="s">
        <v>3894</v>
      </c>
      <c r="AB1722" t="s">
        <v>181</v>
      </c>
    </row>
    <row r="1723" spans="1:28" x14ac:dyDescent="0.25">
      <c r="A1723" t="s">
        <v>4320</v>
      </c>
      <c r="B1723" t="s">
        <v>4321</v>
      </c>
      <c r="C1723" t="s">
        <v>646</v>
      </c>
      <c r="D1723" t="s">
        <v>3779</v>
      </c>
      <c r="E1723" t="s">
        <v>647</v>
      </c>
      <c r="F1723" t="s">
        <v>3780</v>
      </c>
      <c r="G1723" t="s">
        <v>769</v>
      </c>
      <c r="H1723" t="s">
        <v>1171</v>
      </c>
      <c r="I1723" t="s">
        <v>1010</v>
      </c>
      <c r="J1723" t="s">
        <v>1011</v>
      </c>
      <c r="K1723" t="s">
        <v>166</v>
      </c>
      <c r="L1723" t="s">
        <v>0</v>
      </c>
      <c r="M1723" t="s">
        <v>178</v>
      </c>
      <c r="N1723">
        <v>20</v>
      </c>
      <c r="O1723">
        <v>0</v>
      </c>
      <c r="P1723">
        <v>206.5</v>
      </c>
      <c r="Q1723">
        <v>1252.8</v>
      </c>
      <c r="R1723">
        <v>206.78667535</v>
      </c>
      <c r="S1723">
        <v>33.64097529</v>
      </c>
      <c r="T1723">
        <v>-3.3246500000000002E-3</v>
      </c>
      <c r="U1723">
        <v>0</v>
      </c>
      <c r="V1723">
        <v>206.79</v>
      </c>
      <c r="W1723" t="s">
        <v>0</v>
      </c>
      <c r="X1723" t="s">
        <v>271</v>
      </c>
      <c r="Y1723" t="s">
        <v>4322</v>
      </c>
      <c r="AA1723" t="s">
        <v>4323</v>
      </c>
      <c r="AB1723" t="s">
        <v>181</v>
      </c>
    </row>
    <row r="1724" spans="1:28" x14ac:dyDescent="0.25">
      <c r="A1724" t="s">
        <v>3900</v>
      </c>
      <c r="B1724" t="s">
        <v>3901</v>
      </c>
      <c r="C1724" t="s">
        <v>646</v>
      </c>
      <c r="D1724" t="s">
        <v>3779</v>
      </c>
      <c r="E1724" t="s">
        <v>647</v>
      </c>
      <c r="F1724" t="s">
        <v>3780</v>
      </c>
      <c r="G1724" t="s">
        <v>769</v>
      </c>
      <c r="H1724" t="s">
        <v>1045</v>
      </c>
      <c r="I1724" t="s">
        <v>3902</v>
      </c>
      <c r="J1724" t="s">
        <v>1225</v>
      </c>
      <c r="K1724" t="s">
        <v>166</v>
      </c>
      <c r="L1724" t="s">
        <v>0</v>
      </c>
      <c r="M1724" t="s">
        <v>178</v>
      </c>
      <c r="N1724">
        <v>196</v>
      </c>
      <c r="O1724">
        <v>134</v>
      </c>
      <c r="P1724">
        <v>2741</v>
      </c>
      <c r="Q1724">
        <v>9941.17</v>
      </c>
      <c r="R1724">
        <v>825.57</v>
      </c>
      <c r="S1724">
        <v>837.75932740999997</v>
      </c>
      <c r="T1724">
        <v>0</v>
      </c>
      <c r="U1724">
        <v>0</v>
      </c>
      <c r="V1724">
        <v>825.57</v>
      </c>
      <c r="W1724" t="s">
        <v>0</v>
      </c>
      <c r="X1724" t="s">
        <v>271</v>
      </c>
      <c r="Y1724" t="s">
        <v>3903</v>
      </c>
      <c r="AA1724" t="s">
        <v>3904</v>
      </c>
      <c r="AB1724" t="s">
        <v>181</v>
      </c>
    </row>
    <row r="1725" spans="1:28" x14ac:dyDescent="0.25">
      <c r="A1725" t="s">
        <v>4308</v>
      </c>
      <c r="B1725" t="s">
        <v>4309</v>
      </c>
      <c r="C1725" t="s">
        <v>646</v>
      </c>
      <c r="D1725" t="s">
        <v>3779</v>
      </c>
      <c r="E1725" t="s">
        <v>647</v>
      </c>
      <c r="F1725" t="s">
        <v>3780</v>
      </c>
      <c r="G1725" t="s">
        <v>769</v>
      </c>
      <c r="H1725" t="s">
        <v>713</v>
      </c>
      <c r="I1725" t="s">
        <v>1184</v>
      </c>
      <c r="J1725" t="s">
        <v>1185</v>
      </c>
      <c r="K1725" t="s">
        <v>166</v>
      </c>
      <c r="L1725" t="s">
        <v>0</v>
      </c>
      <c r="M1725" t="s">
        <v>178</v>
      </c>
      <c r="N1725">
        <v>141</v>
      </c>
      <c r="O1725">
        <v>41</v>
      </c>
      <c r="P1725">
        <v>4121.09</v>
      </c>
      <c r="Q1725">
        <v>10676.61</v>
      </c>
      <c r="R1725">
        <v>2189.0177752200002</v>
      </c>
      <c r="S1725">
        <v>1411.3502394699999</v>
      </c>
      <c r="T1725">
        <v>23.767775220000001</v>
      </c>
      <c r="U1725">
        <v>0</v>
      </c>
      <c r="V1725">
        <v>2165.25</v>
      </c>
      <c r="W1725" t="s">
        <v>1186</v>
      </c>
      <c r="X1725" t="s">
        <v>271</v>
      </c>
      <c r="Y1725" t="s">
        <v>4310</v>
      </c>
      <c r="AA1725" t="s">
        <v>4311</v>
      </c>
      <c r="AB1725" t="s">
        <v>181</v>
      </c>
    </row>
    <row r="1726" spans="1:28" x14ac:dyDescent="0.25">
      <c r="A1726" t="s">
        <v>4006</v>
      </c>
      <c r="B1726" t="s">
        <v>4007</v>
      </c>
      <c r="C1726" t="s">
        <v>646</v>
      </c>
      <c r="D1726" t="s">
        <v>3779</v>
      </c>
      <c r="E1726" t="s">
        <v>647</v>
      </c>
      <c r="F1726" t="s">
        <v>3780</v>
      </c>
      <c r="G1726" t="s">
        <v>769</v>
      </c>
      <c r="H1726" t="s">
        <v>703</v>
      </c>
      <c r="I1726" t="s">
        <v>4008</v>
      </c>
      <c r="J1726" t="s">
        <v>688</v>
      </c>
      <c r="K1726" t="s">
        <v>166</v>
      </c>
      <c r="L1726" t="s">
        <v>0</v>
      </c>
      <c r="M1726" t="s">
        <v>178</v>
      </c>
      <c r="N1726">
        <v>253.75</v>
      </c>
      <c r="O1726">
        <v>28</v>
      </c>
      <c r="P1726">
        <v>2037.37</v>
      </c>
      <c r="Q1726">
        <v>9852.84</v>
      </c>
      <c r="R1726">
        <v>2014.87</v>
      </c>
      <c r="S1726">
        <v>675.27080249999995</v>
      </c>
      <c r="T1726">
        <v>0</v>
      </c>
      <c r="U1726">
        <v>0</v>
      </c>
      <c r="V1726">
        <v>2014.87</v>
      </c>
      <c r="W1726" t="s">
        <v>0</v>
      </c>
      <c r="X1726" t="s">
        <v>271</v>
      </c>
      <c r="Y1726" t="s">
        <v>4009</v>
      </c>
      <c r="AA1726" t="s">
        <v>4010</v>
      </c>
      <c r="AB1726" t="s">
        <v>181</v>
      </c>
    </row>
    <row r="1727" spans="1:28" x14ac:dyDescent="0.25">
      <c r="A1727" t="s">
        <v>4333</v>
      </c>
      <c r="B1727" t="s">
        <v>4334</v>
      </c>
      <c r="C1727" t="s">
        <v>646</v>
      </c>
      <c r="D1727" t="s">
        <v>3779</v>
      </c>
      <c r="E1727" t="s">
        <v>647</v>
      </c>
      <c r="F1727" t="s">
        <v>666</v>
      </c>
      <c r="G1727" t="s">
        <v>666</v>
      </c>
      <c r="H1727" t="s">
        <v>1171</v>
      </c>
      <c r="I1727" t="s">
        <v>3649</v>
      </c>
      <c r="J1727" t="s">
        <v>1567</v>
      </c>
      <c r="K1727" t="s">
        <v>166</v>
      </c>
      <c r="L1727" t="s">
        <v>0</v>
      </c>
      <c r="M1727" t="s">
        <v>178</v>
      </c>
      <c r="N1727">
        <v>41</v>
      </c>
      <c r="O1727">
        <v>15</v>
      </c>
      <c r="P1727">
        <v>673.75</v>
      </c>
      <c r="Q1727">
        <v>3189.16</v>
      </c>
      <c r="R1727">
        <v>142.62329983000001</v>
      </c>
      <c r="S1727">
        <v>114.77442616</v>
      </c>
      <c r="T1727">
        <v>1.329983E-2</v>
      </c>
      <c r="U1727">
        <v>0</v>
      </c>
      <c r="V1727">
        <v>142.61000000000001</v>
      </c>
      <c r="W1727" t="s">
        <v>556</v>
      </c>
      <c r="X1727" t="s">
        <v>271</v>
      </c>
      <c r="Y1727" t="s">
        <v>4335</v>
      </c>
      <c r="AA1727" t="s">
        <v>4336</v>
      </c>
      <c r="AB1727" t="s">
        <v>181</v>
      </c>
    </row>
    <row r="1728" spans="1:28" x14ac:dyDescent="0.25">
      <c r="A1728" t="s">
        <v>3814</v>
      </c>
      <c r="B1728" t="s">
        <v>3815</v>
      </c>
      <c r="C1728" t="s">
        <v>646</v>
      </c>
      <c r="D1728" t="s">
        <v>3779</v>
      </c>
      <c r="E1728" t="s">
        <v>647</v>
      </c>
      <c r="F1728" t="s">
        <v>3780</v>
      </c>
      <c r="G1728" t="s">
        <v>769</v>
      </c>
      <c r="H1728" t="s">
        <v>679</v>
      </c>
      <c r="I1728" t="s">
        <v>3816</v>
      </c>
      <c r="J1728" t="s">
        <v>548</v>
      </c>
      <c r="K1728" t="s">
        <v>166</v>
      </c>
      <c r="L1728" t="s">
        <v>0</v>
      </c>
      <c r="M1728" t="s">
        <v>178</v>
      </c>
      <c r="N1728">
        <v>272</v>
      </c>
      <c r="O1728">
        <v>169</v>
      </c>
      <c r="P1728">
        <v>3119.34</v>
      </c>
      <c r="Q1728">
        <v>13080.55</v>
      </c>
      <c r="R1728">
        <v>-305.12159057000002</v>
      </c>
      <c r="S1728">
        <v>5494.3823558100003</v>
      </c>
      <c r="T1728">
        <v>37.088409429999999</v>
      </c>
      <c r="U1728">
        <v>1026.06</v>
      </c>
      <c r="V1728">
        <v>723.84</v>
      </c>
      <c r="W1728" t="s">
        <v>241</v>
      </c>
      <c r="X1728" t="s">
        <v>271</v>
      </c>
      <c r="Y1728" t="s">
        <v>3817</v>
      </c>
      <c r="AA1728" t="s">
        <v>3818</v>
      </c>
      <c r="AB1728" t="s">
        <v>181</v>
      </c>
    </row>
    <row r="1729" spans="1:28" x14ac:dyDescent="0.25">
      <c r="A1729" t="s">
        <v>4109</v>
      </c>
      <c r="B1729" t="s">
        <v>4110</v>
      </c>
      <c r="C1729" t="s">
        <v>646</v>
      </c>
      <c r="D1729" t="s">
        <v>3779</v>
      </c>
      <c r="E1729" t="s">
        <v>647</v>
      </c>
      <c r="F1729" t="s">
        <v>3780</v>
      </c>
      <c r="G1729" t="s">
        <v>769</v>
      </c>
      <c r="H1729" t="s">
        <v>797</v>
      </c>
      <c r="I1729" t="s">
        <v>1046</v>
      </c>
      <c r="J1729" t="s">
        <v>971</v>
      </c>
      <c r="K1729" t="s">
        <v>166</v>
      </c>
      <c r="L1729" t="s">
        <v>0</v>
      </c>
      <c r="M1729" t="s">
        <v>178</v>
      </c>
      <c r="N1729">
        <v>116</v>
      </c>
      <c r="O1729">
        <v>106</v>
      </c>
      <c r="P1729">
        <v>1164</v>
      </c>
      <c r="Q1729">
        <v>3534.82</v>
      </c>
      <c r="R1729">
        <v>552.43905010000003</v>
      </c>
      <c r="S1729">
        <v>791.70644505999996</v>
      </c>
      <c r="T1729">
        <v>-9.4990000000000005E-4</v>
      </c>
      <c r="U1729">
        <v>0</v>
      </c>
      <c r="V1729">
        <v>552.44000000000005</v>
      </c>
      <c r="W1729" t="s">
        <v>972</v>
      </c>
      <c r="X1729" t="s">
        <v>269</v>
      </c>
      <c r="Y1729" t="s">
        <v>4111</v>
      </c>
      <c r="AA1729" t="s">
        <v>4112</v>
      </c>
      <c r="AB1729" t="s">
        <v>181</v>
      </c>
    </row>
    <row r="1730" spans="1:28" x14ac:dyDescent="0.25">
      <c r="A1730" t="s">
        <v>3938</v>
      </c>
      <c r="B1730" t="s">
        <v>3939</v>
      </c>
      <c r="C1730" t="s">
        <v>646</v>
      </c>
      <c r="D1730" t="s">
        <v>3779</v>
      </c>
      <c r="E1730" t="s">
        <v>647</v>
      </c>
      <c r="F1730" t="s">
        <v>3780</v>
      </c>
      <c r="G1730" t="s">
        <v>769</v>
      </c>
      <c r="H1730" t="s">
        <v>679</v>
      </c>
      <c r="I1730" t="s">
        <v>3940</v>
      </c>
      <c r="J1730" t="s">
        <v>3941</v>
      </c>
      <c r="K1730" t="s">
        <v>166</v>
      </c>
      <c r="L1730" t="s">
        <v>0</v>
      </c>
      <c r="M1730" t="s">
        <v>178</v>
      </c>
      <c r="N1730">
        <v>792.16669999999999</v>
      </c>
      <c r="O1730">
        <v>659.16669999999999</v>
      </c>
      <c r="P1730">
        <v>12607.8</v>
      </c>
      <c r="Q1730">
        <v>27436.57</v>
      </c>
      <c r="R1730">
        <v>-3238.34680566</v>
      </c>
      <c r="S1730">
        <v>11587.213805519999</v>
      </c>
      <c r="T1730">
        <v>-19.626805659999999</v>
      </c>
      <c r="U1730">
        <v>0</v>
      </c>
      <c r="V1730">
        <v>-3218.72</v>
      </c>
      <c r="W1730" t="s">
        <v>0</v>
      </c>
      <c r="X1730" t="s">
        <v>271</v>
      </c>
      <c r="Y1730" t="s">
        <v>3942</v>
      </c>
      <c r="AA1730" t="s">
        <v>3943</v>
      </c>
      <c r="AB1730" t="s">
        <v>181</v>
      </c>
    </row>
    <row r="1731" spans="1:28" x14ac:dyDescent="0.25">
      <c r="A1731" t="s">
        <v>3913</v>
      </c>
      <c r="B1731" t="s">
        <v>3914</v>
      </c>
      <c r="C1731" t="s">
        <v>646</v>
      </c>
      <c r="D1731" t="s">
        <v>3779</v>
      </c>
      <c r="E1731" t="s">
        <v>647</v>
      </c>
      <c r="F1731" t="s">
        <v>3780</v>
      </c>
      <c r="G1731" t="s">
        <v>769</v>
      </c>
      <c r="H1731" t="s">
        <v>770</v>
      </c>
      <c r="I1731" t="s">
        <v>984</v>
      </c>
      <c r="J1731" t="s">
        <v>985</v>
      </c>
      <c r="K1731" t="s">
        <v>166</v>
      </c>
      <c r="L1731" t="s">
        <v>0</v>
      </c>
      <c r="M1731" t="s">
        <v>178</v>
      </c>
      <c r="N1731">
        <v>614.20000000000005</v>
      </c>
      <c r="O1731">
        <v>373.2</v>
      </c>
      <c r="P1731">
        <v>11041.07</v>
      </c>
      <c r="Q1731">
        <v>16833.669999999998</v>
      </c>
      <c r="R1731">
        <v>5259.33</v>
      </c>
      <c r="S1731">
        <v>1768.30627716</v>
      </c>
      <c r="T1731">
        <v>0</v>
      </c>
      <c r="U1731">
        <v>0</v>
      </c>
      <c r="V1731">
        <v>5259.33</v>
      </c>
      <c r="W1731" t="s">
        <v>986</v>
      </c>
      <c r="X1731" t="s">
        <v>271</v>
      </c>
      <c r="Y1731" t="s">
        <v>3915</v>
      </c>
      <c r="AA1731" t="s">
        <v>3916</v>
      </c>
      <c r="AB1731" t="s">
        <v>181</v>
      </c>
    </row>
    <row r="1732" spans="1:28" x14ac:dyDescent="0.25">
      <c r="A1732" t="s">
        <v>4151</v>
      </c>
      <c r="B1732" t="s">
        <v>4152</v>
      </c>
      <c r="C1732" t="s">
        <v>646</v>
      </c>
      <c r="D1732" t="s">
        <v>3779</v>
      </c>
      <c r="E1732" t="s">
        <v>647</v>
      </c>
      <c r="F1732" t="s">
        <v>666</v>
      </c>
      <c r="G1732" t="s">
        <v>666</v>
      </c>
      <c r="H1732" t="s">
        <v>679</v>
      </c>
      <c r="I1732" t="s">
        <v>765</v>
      </c>
      <c r="J1732" t="s">
        <v>436</v>
      </c>
      <c r="K1732" t="s">
        <v>166</v>
      </c>
      <c r="L1732" t="s">
        <v>0</v>
      </c>
      <c r="M1732" t="s">
        <v>178</v>
      </c>
      <c r="N1732">
        <v>612</v>
      </c>
      <c r="O1732">
        <v>508</v>
      </c>
      <c r="P1732">
        <v>7023.49</v>
      </c>
      <c r="Q1732">
        <v>27304.45</v>
      </c>
      <c r="R1732">
        <v>1309.8401897000001</v>
      </c>
      <c r="S1732">
        <v>11826.91712285</v>
      </c>
      <c r="T1732">
        <v>-11.049810300000001</v>
      </c>
      <c r="U1732">
        <v>0</v>
      </c>
      <c r="V1732">
        <v>1320.89</v>
      </c>
      <c r="W1732" t="s">
        <v>0</v>
      </c>
      <c r="X1732" t="s">
        <v>271</v>
      </c>
      <c r="Y1732" t="s">
        <v>4153</v>
      </c>
      <c r="AA1732" t="s">
        <v>4154</v>
      </c>
      <c r="AB1732" t="s">
        <v>181</v>
      </c>
    </row>
    <row r="1733" spans="1:28" x14ac:dyDescent="0.25">
      <c r="A1733" t="s">
        <v>3797</v>
      </c>
      <c r="B1733" t="s">
        <v>3798</v>
      </c>
      <c r="C1733" t="s">
        <v>646</v>
      </c>
      <c r="D1733" t="s">
        <v>3779</v>
      </c>
      <c r="E1733" t="s">
        <v>647</v>
      </c>
      <c r="F1733" t="s">
        <v>3780</v>
      </c>
      <c r="G1733" t="s">
        <v>769</v>
      </c>
      <c r="H1733" t="s">
        <v>761</v>
      </c>
      <c r="I1733" t="s">
        <v>725</v>
      </c>
      <c r="J1733" t="s">
        <v>726</v>
      </c>
      <c r="K1733" t="s">
        <v>166</v>
      </c>
      <c r="L1733" t="s">
        <v>0</v>
      </c>
      <c r="M1733" t="s">
        <v>178</v>
      </c>
      <c r="N1733">
        <v>204.66739999999999</v>
      </c>
      <c r="O1733">
        <v>155.66739999999999</v>
      </c>
      <c r="P1733">
        <v>5572.26</v>
      </c>
      <c r="Q1733">
        <v>5853.55</v>
      </c>
      <c r="R1733">
        <v>529.52</v>
      </c>
      <c r="S1733">
        <v>1016.26511292</v>
      </c>
      <c r="T1733">
        <v>0</v>
      </c>
      <c r="U1733">
        <v>0</v>
      </c>
      <c r="V1733">
        <v>529.52</v>
      </c>
      <c r="W1733" t="s">
        <v>0</v>
      </c>
      <c r="X1733" t="s">
        <v>271</v>
      </c>
      <c r="Y1733" t="s">
        <v>3799</v>
      </c>
      <c r="AA1733" t="s">
        <v>3800</v>
      </c>
      <c r="AB1733" t="s">
        <v>181</v>
      </c>
    </row>
    <row r="1734" spans="1:28" x14ac:dyDescent="0.25">
      <c r="A1734" t="s">
        <v>3793</v>
      </c>
      <c r="B1734" t="s">
        <v>3794</v>
      </c>
      <c r="C1734" t="s">
        <v>646</v>
      </c>
      <c r="D1734" t="s">
        <v>3779</v>
      </c>
      <c r="E1734" t="s">
        <v>647</v>
      </c>
      <c r="F1734" t="s">
        <v>666</v>
      </c>
      <c r="G1734" t="s">
        <v>666</v>
      </c>
      <c r="H1734" t="s">
        <v>757</v>
      </c>
      <c r="I1734" t="s">
        <v>1712</v>
      </c>
      <c r="J1734" t="s">
        <v>335</v>
      </c>
      <c r="K1734" t="s">
        <v>166</v>
      </c>
      <c r="L1734" t="s">
        <v>0</v>
      </c>
      <c r="M1734" t="s">
        <v>178</v>
      </c>
      <c r="N1734">
        <v>711.15</v>
      </c>
      <c r="O1734">
        <v>541.15</v>
      </c>
      <c r="P1734">
        <v>17210.97</v>
      </c>
      <c r="Q1734">
        <v>26531.96</v>
      </c>
      <c r="R1734">
        <v>2330.3000000000002</v>
      </c>
      <c r="S1734">
        <v>3982.5481107599999</v>
      </c>
      <c r="T1734">
        <v>0</v>
      </c>
      <c r="U1734">
        <v>1869.91</v>
      </c>
      <c r="V1734">
        <v>4200.21</v>
      </c>
      <c r="W1734" t="s">
        <v>572</v>
      </c>
      <c r="X1734" t="s">
        <v>271</v>
      </c>
      <c r="Y1734" t="s">
        <v>3795</v>
      </c>
      <c r="AA1734" t="s">
        <v>3796</v>
      </c>
      <c r="AB1734" t="s">
        <v>181</v>
      </c>
    </row>
    <row r="1735" spans="1:28" x14ac:dyDescent="0.25">
      <c r="A1735" t="s">
        <v>3801</v>
      </c>
      <c r="B1735" t="s">
        <v>3802</v>
      </c>
      <c r="C1735" t="s">
        <v>646</v>
      </c>
      <c r="D1735" t="s">
        <v>3779</v>
      </c>
      <c r="E1735" t="s">
        <v>647</v>
      </c>
      <c r="F1735" t="s">
        <v>666</v>
      </c>
      <c r="G1735" t="s">
        <v>666</v>
      </c>
      <c r="H1735" t="s">
        <v>683</v>
      </c>
      <c r="I1735" t="s">
        <v>3803</v>
      </c>
      <c r="J1735" t="s">
        <v>2577</v>
      </c>
      <c r="K1735" t="s">
        <v>166</v>
      </c>
      <c r="L1735" t="s">
        <v>0</v>
      </c>
      <c r="M1735" t="s">
        <v>178</v>
      </c>
      <c r="N1735">
        <v>142.45830000000001</v>
      </c>
      <c r="O1735">
        <v>64</v>
      </c>
      <c r="P1735">
        <v>2191.0500000000002</v>
      </c>
      <c r="Q1735">
        <v>7208.39</v>
      </c>
      <c r="R1735">
        <v>2207.0650522800001</v>
      </c>
      <c r="S1735">
        <v>929.69943851000005</v>
      </c>
      <c r="T1735">
        <v>2.505228E-2</v>
      </c>
      <c r="U1735">
        <v>0</v>
      </c>
      <c r="V1735">
        <v>2207.04</v>
      </c>
      <c r="W1735" t="s">
        <v>2578</v>
      </c>
      <c r="X1735" t="s">
        <v>271</v>
      </c>
      <c r="Y1735" t="s">
        <v>3804</v>
      </c>
      <c r="AA1735" t="s">
        <v>3805</v>
      </c>
      <c r="AB1735" t="s">
        <v>181</v>
      </c>
    </row>
    <row r="1736" spans="1:28" x14ac:dyDescent="0.25">
      <c r="A1736" t="s">
        <v>4316</v>
      </c>
      <c r="B1736" t="s">
        <v>4317</v>
      </c>
      <c r="C1736" t="s">
        <v>646</v>
      </c>
      <c r="D1736" t="s">
        <v>3779</v>
      </c>
      <c r="E1736" t="s">
        <v>647</v>
      </c>
      <c r="F1736" t="s">
        <v>3780</v>
      </c>
      <c r="G1736" t="s">
        <v>769</v>
      </c>
      <c r="H1736" t="s">
        <v>683</v>
      </c>
      <c r="I1736" t="s">
        <v>1290</v>
      </c>
      <c r="J1736" t="s">
        <v>1291</v>
      </c>
      <c r="K1736" t="s">
        <v>166</v>
      </c>
      <c r="L1736" t="s">
        <v>0</v>
      </c>
      <c r="M1736" t="s">
        <v>178</v>
      </c>
      <c r="N1736">
        <v>165.83330000000001</v>
      </c>
      <c r="O1736">
        <v>78.333299999999994</v>
      </c>
      <c r="P1736">
        <v>2395.11</v>
      </c>
      <c r="Q1736">
        <v>5512.1</v>
      </c>
      <c r="R1736">
        <v>1448.62047003</v>
      </c>
      <c r="S1736">
        <v>1037.2098666899999</v>
      </c>
      <c r="T1736">
        <v>0.12047003000000001</v>
      </c>
      <c r="U1736">
        <v>0</v>
      </c>
      <c r="V1736">
        <v>1448.5</v>
      </c>
      <c r="W1736" t="s">
        <v>1292</v>
      </c>
      <c r="X1736" t="s">
        <v>271</v>
      </c>
      <c r="Y1736" t="s">
        <v>4318</v>
      </c>
      <c r="AA1736" t="s">
        <v>4319</v>
      </c>
      <c r="AB1736" t="s">
        <v>181</v>
      </c>
    </row>
    <row r="1737" spans="1:28" x14ac:dyDescent="0.25">
      <c r="A1737" t="s">
        <v>4270</v>
      </c>
      <c r="B1737" t="s">
        <v>4271</v>
      </c>
      <c r="C1737" t="s">
        <v>646</v>
      </c>
      <c r="D1737" t="s">
        <v>3779</v>
      </c>
      <c r="E1737" t="s">
        <v>647</v>
      </c>
      <c r="F1737" t="s">
        <v>3780</v>
      </c>
      <c r="G1737" t="s">
        <v>769</v>
      </c>
      <c r="H1737" t="s">
        <v>703</v>
      </c>
      <c r="I1737" t="s">
        <v>4272</v>
      </c>
      <c r="J1737" t="s">
        <v>352</v>
      </c>
      <c r="K1737" t="s">
        <v>166</v>
      </c>
      <c r="L1737" t="s">
        <v>0</v>
      </c>
      <c r="M1737" t="s">
        <v>178</v>
      </c>
      <c r="N1737">
        <v>210.75</v>
      </c>
      <c r="O1737">
        <v>91.833299999999994</v>
      </c>
      <c r="P1737">
        <v>3059.13</v>
      </c>
      <c r="Q1737">
        <v>7249.96</v>
      </c>
      <c r="R1737">
        <v>1475.9005568299999</v>
      </c>
      <c r="S1737">
        <v>879.23435171999995</v>
      </c>
      <c r="T1737">
        <v>5.5683000000000002E-4</v>
      </c>
      <c r="U1737">
        <v>0</v>
      </c>
      <c r="V1737">
        <v>1475.9</v>
      </c>
      <c r="W1737" t="s">
        <v>314</v>
      </c>
      <c r="X1737" t="s">
        <v>271</v>
      </c>
      <c r="Y1737" t="s">
        <v>4273</v>
      </c>
      <c r="AA1737" t="s">
        <v>4274</v>
      </c>
      <c r="AB1737" t="s">
        <v>181</v>
      </c>
    </row>
    <row r="1738" spans="1:28" x14ac:dyDescent="0.25">
      <c r="A1738" t="s">
        <v>3905</v>
      </c>
      <c r="B1738" t="s">
        <v>3906</v>
      </c>
      <c r="C1738" t="s">
        <v>646</v>
      </c>
      <c r="D1738" t="s">
        <v>3779</v>
      </c>
      <c r="E1738" t="s">
        <v>647</v>
      </c>
      <c r="F1738" t="s">
        <v>3780</v>
      </c>
      <c r="G1738" t="s">
        <v>769</v>
      </c>
      <c r="H1738" t="s">
        <v>683</v>
      </c>
      <c r="I1738" t="s">
        <v>3753</v>
      </c>
      <c r="J1738" t="s">
        <v>489</v>
      </c>
      <c r="K1738" t="s">
        <v>166</v>
      </c>
      <c r="L1738" t="s">
        <v>0</v>
      </c>
      <c r="M1738" t="s">
        <v>178</v>
      </c>
      <c r="N1738">
        <v>133.11109999999999</v>
      </c>
      <c r="O1738">
        <v>62</v>
      </c>
      <c r="P1738">
        <v>1861.6</v>
      </c>
      <c r="Q1738">
        <v>7030.08</v>
      </c>
      <c r="R1738">
        <v>1694.42070504</v>
      </c>
      <c r="S1738">
        <v>964.48307034000004</v>
      </c>
      <c r="T1738">
        <v>0.18070504000000001</v>
      </c>
      <c r="U1738">
        <v>0</v>
      </c>
      <c r="V1738">
        <v>1694.24</v>
      </c>
      <c r="W1738" t="s">
        <v>488</v>
      </c>
      <c r="X1738" t="s">
        <v>271</v>
      </c>
      <c r="Y1738" t="s">
        <v>3907</v>
      </c>
      <c r="AA1738" t="s">
        <v>3908</v>
      </c>
      <c r="AB1738" t="s">
        <v>181</v>
      </c>
    </row>
    <row r="1739" spans="1:28" x14ac:dyDescent="0.25">
      <c r="A1739" t="s">
        <v>4326</v>
      </c>
      <c r="B1739" t="s">
        <v>4327</v>
      </c>
      <c r="C1739" t="s">
        <v>646</v>
      </c>
      <c r="D1739" t="s">
        <v>3779</v>
      </c>
      <c r="E1739" t="s">
        <v>647</v>
      </c>
      <c r="F1739" t="s">
        <v>3780</v>
      </c>
      <c r="G1739" t="s">
        <v>769</v>
      </c>
      <c r="H1739" t="s">
        <v>703</v>
      </c>
      <c r="I1739" t="s">
        <v>936</v>
      </c>
      <c r="J1739" t="s">
        <v>582</v>
      </c>
      <c r="K1739" t="s">
        <v>166</v>
      </c>
      <c r="L1739" t="s">
        <v>0</v>
      </c>
      <c r="M1739" t="s">
        <v>178</v>
      </c>
      <c r="N1739">
        <v>278</v>
      </c>
      <c r="O1739">
        <v>121</v>
      </c>
      <c r="P1739">
        <v>4543.42</v>
      </c>
      <c r="Q1739">
        <v>13330</v>
      </c>
      <c r="R1739">
        <v>778.97476946999996</v>
      </c>
      <c r="S1739">
        <v>2282.01879663</v>
      </c>
      <c r="T1739">
        <v>0.20476947000000001</v>
      </c>
      <c r="U1739">
        <v>0</v>
      </c>
      <c r="V1739">
        <v>778.77</v>
      </c>
      <c r="W1739" t="s">
        <v>361</v>
      </c>
      <c r="X1739" t="s">
        <v>271</v>
      </c>
      <c r="Y1739" t="s">
        <v>4328</v>
      </c>
      <c r="AA1739" t="s">
        <v>4329</v>
      </c>
      <c r="AB1739" t="s">
        <v>181</v>
      </c>
    </row>
    <row r="1740" spans="1:28" x14ac:dyDescent="0.25">
      <c r="A1740" t="s">
        <v>4015</v>
      </c>
      <c r="B1740" t="s">
        <v>4016</v>
      </c>
      <c r="C1740" t="s">
        <v>646</v>
      </c>
      <c r="D1740" t="s">
        <v>3779</v>
      </c>
      <c r="E1740" t="s">
        <v>647</v>
      </c>
      <c r="F1740" t="s">
        <v>3780</v>
      </c>
      <c r="G1740" t="s">
        <v>769</v>
      </c>
      <c r="H1740" t="s">
        <v>797</v>
      </c>
      <c r="I1740" t="s">
        <v>4017</v>
      </c>
      <c r="J1740" t="s">
        <v>4018</v>
      </c>
      <c r="K1740" t="s">
        <v>166</v>
      </c>
      <c r="L1740" t="s">
        <v>0</v>
      </c>
      <c r="M1740" t="s">
        <v>178</v>
      </c>
      <c r="N1740">
        <v>23</v>
      </c>
      <c r="O1740">
        <v>9</v>
      </c>
      <c r="P1740">
        <v>216.8</v>
      </c>
      <c r="Q1740">
        <v>865.67</v>
      </c>
      <c r="R1740">
        <v>134.02000000000001</v>
      </c>
      <c r="S1740">
        <v>76.210132229999999</v>
      </c>
      <c r="T1740">
        <v>0</v>
      </c>
      <c r="U1740">
        <v>0</v>
      </c>
      <c r="V1740">
        <v>134.02000000000001</v>
      </c>
      <c r="W1740" t="s">
        <v>4019</v>
      </c>
      <c r="X1740" t="s">
        <v>271</v>
      </c>
      <c r="Y1740" t="s">
        <v>4020</v>
      </c>
      <c r="AA1740" t="s">
        <v>4021</v>
      </c>
      <c r="AB1740" t="s">
        <v>181</v>
      </c>
    </row>
    <row r="1741" spans="1:28" x14ac:dyDescent="0.25">
      <c r="A1741" t="s">
        <v>4113</v>
      </c>
      <c r="B1741" t="s">
        <v>4114</v>
      </c>
      <c r="C1741" t="s">
        <v>646</v>
      </c>
      <c r="D1741" t="s">
        <v>3779</v>
      </c>
      <c r="E1741" t="s">
        <v>647</v>
      </c>
      <c r="F1741" t="s">
        <v>3780</v>
      </c>
      <c r="G1741" t="s">
        <v>769</v>
      </c>
      <c r="H1741" t="s">
        <v>802</v>
      </c>
      <c r="I1741" t="s">
        <v>1913</v>
      </c>
      <c r="J1741" t="s">
        <v>1914</v>
      </c>
      <c r="K1741" t="s">
        <v>166</v>
      </c>
      <c r="L1741" t="s">
        <v>0</v>
      </c>
      <c r="M1741" t="s">
        <v>178</v>
      </c>
      <c r="N1741">
        <v>105.7501</v>
      </c>
      <c r="O1741">
        <v>91.500100000000003</v>
      </c>
      <c r="P1741">
        <v>1788.98</v>
      </c>
      <c r="Q1741">
        <v>6546.95</v>
      </c>
      <c r="R1741">
        <v>2042.11</v>
      </c>
      <c r="S1741">
        <v>573.50863112000002</v>
      </c>
      <c r="T1741">
        <v>0</v>
      </c>
      <c r="U1741">
        <v>0</v>
      </c>
      <c r="V1741">
        <v>2042.11</v>
      </c>
      <c r="W1741" t="s">
        <v>1915</v>
      </c>
      <c r="X1741" t="s">
        <v>269</v>
      </c>
      <c r="Y1741" t="s">
        <v>4115</v>
      </c>
      <c r="AA1741" t="s">
        <v>4116</v>
      </c>
      <c r="AB1741" t="s">
        <v>181</v>
      </c>
    </row>
    <row r="1742" spans="1:28" x14ac:dyDescent="0.25">
      <c r="A1742" t="s">
        <v>3838</v>
      </c>
      <c r="B1742" t="s">
        <v>3839</v>
      </c>
      <c r="C1742" t="s">
        <v>646</v>
      </c>
      <c r="D1742" t="s">
        <v>3779</v>
      </c>
      <c r="E1742" t="s">
        <v>647</v>
      </c>
      <c r="F1742" t="s">
        <v>3780</v>
      </c>
      <c r="G1742" t="s">
        <v>769</v>
      </c>
      <c r="H1742" t="s">
        <v>802</v>
      </c>
      <c r="I1742" t="s">
        <v>906</v>
      </c>
      <c r="J1742" t="s">
        <v>907</v>
      </c>
      <c r="K1742" t="s">
        <v>166</v>
      </c>
      <c r="L1742" t="s">
        <v>0</v>
      </c>
      <c r="M1742" t="s">
        <v>178</v>
      </c>
      <c r="N1742">
        <v>23.75</v>
      </c>
      <c r="O1742">
        <v>19.75</v>
      </c>
      <c r="P1742">
        <v>421.98</v>
      </c>
      <c r="Q1742">
        <v>1355.99</v>
      </c>
      <c r="R1742">
        <v>239.88</v>
      </c>
      <c r="S1742">
        <v>128.08141387000001</v>
      </c>
      <c r="T1742">
        <v>0</v>
      </c>
      <c r="U1742">
        <v>0</v>
      </c>
      <c r="V1742">
        <v>239.88</v>
      </c>
      <c r="W1742" t="s">
        <v>272</v>
      </c>
      <c r="X1742" t="s">
        <v>269</v>
      </c>
      <c r="Y1742" t="s">
        <v>3840</v>
      </c>
      <c r="AA1742" t="s">
        <v>3841</v>
      </c>
      <c r="AB1742" t="s">
        <v>181</v>
      </c>
    </row>
    <row r="1743" spans="1:28" x14ac:dyDescent="0.25">
      <c r="A1743" t="s">
        <v>4346</v>
      </c>
      <c r="B1743" t="s">
        <v>257</v>
      </c>
      <c r="C1743" t="s">
        <v>646</v>
      </c>
      <c r="D1743" t="s">
        <v>3779</v>
      </c>
      <c r="E1743" t="s">
        <v>647</v>
      </c>
      <c r="F1743" t="s">
        <v>3780</v>
      </c>
      <c r="G1743" t="s">
        <v>769</v>
      </c>
      <c r="H1743" t="s">
        <v>770</v>
      </c>
      <c r="I1743" t="s">
        <v>746</v>
      </c>
      <c r="J1743" t="s">
        <v>504</v>
      </c>
      <c r="K1743" t="s">
        <v>166</v>
      </c>
      <c r="L1743" t="s">
        <v>0</v>
      </c>
      <c r="M1743" t="s">
        <v>178</v>
      </c>
      <c r="N1743">
        <v>227</v>
      </c>
      <c r="O1743">
        <v>37</v>
      </c>
      <c r="P1743">
        <v>6438</v>
      </c>
      <c r="Q1743">
        <v>4752.05</v>
      </c>
      <c r="R1743">
        <v>122</v>
      </c>
      <c r="S1743">
        <v>725.94090286999995</v>
      </c>
      <c r="T1743">
        <v>0</v>
      </c>
      <c r="U1743">
        <v>0</v>
      </c>
      <c r="V1743">
        <v>122</v>
      </c>
      <c r="W1743" t="s">
        <v>503</v>
      </c>
      <c r="X1743" t="s">
        <v>271</v>
      </c>
      <c r="Y1743" t="s">
        <v>4347</v>
      </c>
      <c r="AA1743" t="s">
        <v>4348</v>
      </c>
      <c r="AB1743" t="s">
        <v>181</v>
      </c>
    </row>
    <row r="1744" spans="1:28" x14ac:dyDescent="0.25">
      <c r="A1744" t="s">
        <v>3788</v>
      </c>
      <c r="B1744" t="s">
        <v>3789</v>
      </c>
      <c r="C1744" t="s">
        <v>646</v>
      </c>
      <c r="D1744" t="s">
        <v>3779</v>
      </c>
      <c r="E1744" t="s">
        <v>647</v>
      </c>
      <c r="F1744" t="s">
        <v>3780</v>
      </c>
      <c r="G1744" t="s">
        <v>769</v>
      </c>
      <c r="H1744" t="s">
        <v>797</v>
      </c>
      <c r="I1744" t="s">
        <v>3790</v>
      </c>
      <c r="J1744" t="s">
        <v>599</v>
      </c>
      <c r="K1744" t="s">
        <v>166</v>
      </c>
      <c r="L1744" t="s">
        <v>0</v>
      </c>
      <c r="M1744" t="s">
        <v>178</v>
      </c>
      <c r="N1744">
        <v>291</v>
      </c>
      <c r="O1744">
        <v>187</v>
      </c>
      <c r="P1744">
        <v>3391</v>
      </c>
      <c r="Q1744">
        <v>8248.92</v>
      </c>
      <c r="R1744">
        <v>635.87569356999995</v>
      </c>
      <c r="S1744">
        <v>1778.8427080500001</v>
      </c>
      <c r="T1744">
        <v>-4.30643E-3</v>
      </c>
      <c r="U1744">
        <v>23.72</v>
      </c>
      <c r="V1744">
        <v>659.6</v>
      </c>
      <c r="W1744" t="s">
        <v>598</v>
      </c>
      <c r="X1744" t="s">
        <v>271</v>
      </c>
      <c r="Y1744" t="s">
        <v>3791</v>
      </c>
      <c r="AA1744" t="s">
        <v>3792</v>
      </c>
      <c r="AB1744" t="s">
        <v>181</v>
      </c>
    </row>
    <row r="1745" spans="1:28" x14ac:dyDescent="0.25">
      <c r="A1745" t="s">
        <v>4240</v>
      </c>
      <c r="B1745" t="s">
        <v>4241</v>
      </c>
      <c r="C1745" t="s">
        <v>646</v>
      </c>
      <c r="D1745" t="s">
        <v>3779</v>
      </c>
      <c r="E1745" t="s">
        <v>647</v>
      </c>
      <c r="F1745" t="s">
        <v>666</v>
      </c>
      <c r="G1745" t="s">
        <v>666</v>
      </c>
      <c r="H1745" t="s">
        <v>713</v>
      </c>
      <c r="I1745" t="s">
        <v>880</v>
      </c>
      <c r="J1745" t="s">
        <v>881</v>
      </c>
      <c r="K1745" t="s">
        <v>166</v>
      </c>
      <c r="L1745" t="s">
        <v>0</v>
      </c>
      <c r="M1745" t="s">
        <v>178</v>
      </c>
      <c r="N1745">
        <v>141</v>
      </c>
      <c r="O1745">
        <v>5</v>
      </c>
      <c r="P1745">
        <v>3926.4</v>
      </c>
      <c r="Q1745">
        <v>4447.05</v>
      </c>
      <c r="R1745">
        <v>465.28736105000002</v>
      </c>
      <c r="S1745">
        <v>202.85391526000001</v>
      </c>
      <c r="T1745">
        <v>66.987361050000004</v>
      </c>
      <c r="U1745">
        <v>0</v>
      </c>
      <c r="V1745">
        <v>449.36</v>
      </c>
      <c r="W1745" t="s">
        <v>0</v>
      </c>
      <c r="X1745" t="s">
        <v>271</v>
      </c>
      <c r="Y1745" t="s">
        <v>4242</v>
      </c>
      <c r="AA1745" t="s">
        <v>4243</v>
      </c>
      <c r="AB1745" t="s">
        <v>181</v>
      </c>
    </row>
    <row r="1746" spans="1:28" x14ac:dyDescent="0.25">
      <c r="A1746" t="s">
        <v>4047</v>
      </c>
      <c r="B1746" t="s">
        <v>4048</v>
      </c>
      <c r="C1746" t="s">
        <v>646</v>
      </c>
      <c r="D1746" t="s">
        <v>3779</v>
      </c>
      <c r="E1746" t="s">
        <v>647</v>
      </c>
      <c r="F1746" t="s">
        <v>666</v>
      </c>
      <c r="G1746" t="s">
        <v>666</v>
      </c>
      <c r="H1746" t="s">
        <v>683</v>
      </c>
      <c r="I1746" t="s">
        <v>2292</v>
      </c>
      <c r="J1746" t="s">
        <v>1847</v>
      </c>
      <c r="K1746" t="s">
        <v>166</v>
      </c>
      <c r="L1746" t="s">
        <v>0</v>
      </c>
      <c r="M1746" t="s">
        <v>178</v>
      </c>
      <c r="N1746">
        <v>111.8329</v>
      </c>
      <c r="O1746">
        <v>84</v>
      </c>
      <c r="P1746">
        <v>2592.19</v>
      </c>
      <c r="Q1746">
        <v>4677.72</v>
      </c>
      <c r="R1746">
        <v>1008.44</v>
      </c>
      <c r="S1746">
        <v>1009.43238417</v>
      </c>
      <c r="T1746">
        <v>0</v>
      </c>
      <c r="U1746">
        <v>0</v>
      </c>
      <c r="V1746">
        <v>1008.44</v>
      </c>
      <c r="W1746" t="s">
        <v>1848</v>
      </c>
      <c r="X1746" t="s">
        <v>269</v>
      </c>
      <c r="Y1746" t="s">
        <v>4049</v>
      </c>
      <c r="AA1746" t="s">
        <v>4050</v>
      </c>
      <c r="AB1746" t="s">
        <v>181</v>
      </c>
    </row>
    <row r="1747" spans="1:28" x14ac:dyDescent="0.25">
      <c r="A1747" t="s">
        <v>3900</v>
      </c>
      <c r="B1747" t="s">
        <v>3901</v>
      </c>
      <c r="C1747" t="s">
        <v>646</v>
      </c>
      <c r="D1747" t="s">
        <v>3779</v>
      </c>
      <c r="E1747" t="s">
        <v>647</v>
      </c>
      <c r="F1747" t="s">
        <v>3780</v>
      </c>
      <c r="G1747" t="s">
        <v>769</v>
      </c>
      <c r="H1747" t="s">
        <v>797</v>
      </c>
      <c r="I1747" t="s">
        <v>3902</v>
      </c>
      <c r="J1747" t="s">
        <v>1225</v>
      </c>
      <c r="K1747" t="s">
        <v>166</v>
      </c>
      <c r="L1747" t="s">
        <v>0</v>
      </c>
      <c r="M1747" t="s">
        <v>178</v>
      </c>
      <c r="N1747">
        <v>3</v>
      </c>
      <c r="O1747">
        <v>3</v>
      </c>
      <c r="P1747">
        <v>30</v>
      </c>
      <c r="Q1747">
        <v>82.96</v>
      </c>
      <c r="R1747">
        <v>10.94</v>
      </c>
      <c r="S1747">
        <v>15.978870519999999</v>
      </c>
      <c r="T1747">
        <v>0</v>
      </c>
      <c r="U1747">
        <v>0</v>
      </c>
      <c r="V1747">
        <v>10.94</v>
      </c>
      <c r="W1747" t="s">
        <v>0</v>
      </c>
      <c r="X1747" t="s">
        <v>271</v>
      </c>
      <c r="Y1747" t="s">
        <v>3903</v>
      </c>
      <c r="AA1747" t="s">
        <v>3904</v>
      </c>
      <c r="AB1747" t="s">
        <v>181</v>
      </c>
    </row>
    <row r="1748" spans="1:28" x14ac:dyDescent="0.25">
      <c r="A1748" t="s">
        <v>3877</v>
      </c>
      <c r="B1748" t="s">
        <v>3878</v>
      </c>
      <c r="C1748" t="s">
        <v>646</v>
      </c>
      <c r="D1748" t="s">
        <v>3779</v>
      </c>
      <c r="E1748" t="s">
        <v>647</v>
      </c>
      <c r="F1748" t="s">
        <v>648</v>
      </c>
      <c r="G1748" t="s">
        <v>648</v>
      </c>
      <c r="H1748" t="s">
        <v>683</v>
      </c>
      <c r="I1748" t="s">
        <v>3879</v>
      </c>
      <c r="J1748" t="s">
        <v>3880</v>
      </c>
      <c r="K1748" t="s">
        <v>166</v>
      </c>
      <c r="L1748" t="s">
        <v>0</v>
      </c>
      <c r="M1748" t="s">
        <v>178</v>
      </c>
      <c r="N1748">
        <v>60</v>
      </c>
      <c r="O1748">
        <v>33</v>
      </c>
      <c r="P1748">
        <v>849.95</v>
      </c>
      <c r="Q1748">
        <v>2826.56</v>
      </c>
      <c r="R1748">
        <v>373.38</v>
      </c>
      <c r="S1748">
        <v>549.59442231000003</v>
      </c>
      <c r="T1748">
        <v>0</v>
      </c>
      <c r="U1748">
        <v>0</v>
      </c>
      <c r="V1748">
        <v>373.38</v>
      </c>
      <c r="W1748" t="s">
        <v>1079</v>
      </c>
      <c r="X1748" t="s">
        <v>271</v>
      </c>
      <c r="Y1748" t="s">
        <v>3881</v>
      </c>
      <c r="AA1748" t="s">
        <v>3882</v>
      </c>
      <c r="AB1748" t="s">
        <v>181</v>
      </c>
    </row>
    <row r="1749" spans="1:28" x14ac:dyDescent="0.25">
      <c r="A1749" t="s">
        <v>4043</v>
      </c>
      <c r="B1749" t="s">
        <v>4044</v>
      </c>
      <c r="C1749" t="s">
        <v>646</v>
      </c>
      <c r="D1749" t="s">
        <v>3779</v>
      </c>
      <c r="E1749" t="s">
        <v>647</v>
      </c>
      <c r="F1749" t="s">
        <v>666</v>
      </c>
      <c r="G1749" t="s">
        <v>666</v>
      </c>
      <c r="H1749" t="s">
        <v>797</v>
      </c>
      <c r="I1749" t="s">
        <v>1431</v>
      </c>
      <c r="J1749" t="s">
        <v>1432</v>
      </c>
      <c r="K1749" t="s">
        <v>166</v>
      </c>
      <c r="L1749" t="s">
        <v>0</v>
      </c>
      <c r="M1749" t="s">
        <v>178</v>
      </c>
      <c r="N1749">
        <v>36</v>
      </c>
      <c r="O1749">
        <v>36</v>
      </c>
      <c r="P1749">
        <v>370</v>
      </c>
      <c r="Q1749">
        <v>1314.75</v>
      </c>
      <c r="R1749">
        <v>416.74</v>
      </c>
      <c r="S1749">
        <v>242.19664757999999</v>
      </c>
      <c r="T1749">
        <v>0</v>
      </c>
      <c r="U1749">
        <v>0</v>
      </c>
      <c r="V1749">
        <v>416.74</v>
      </c>
      <c r="W1749" t="s">
        <v>1433</v>
      </c>
      <c r="X1749" t="s">
        <v>271</v>
      </c>
      <c r="Y1749" t="s">
        <v>4045</v>
      </c>
      <c r="AA1749" t="s">
        <v>4046</v>
      </c>
      <c r="AB1749" t="s">
        <v>181</v>
      </c>
    </row>
    <row r="1750" spans="1:28" x14ac:dyDescent="0.25">
      <c r="A1750" t="s">
        <v>4127</v>
      </c>
      <c r="B1750" t="s">
        <v>4128</v>
      </c>
      <c r="C1750" t="s">
        <v>646</v>
      </c>
      <c r="D1750" t="s">
        <v>3779</v>
      </c>
      <c r="E1750" t="s">
        <v>647</v>
      </c>
      <c r="F1750" t="s">
        <v>3780</v>
      </c>
      <c r="G1750" t="s">
        <v>769</v>
      </c>
      <c r="H1750" t="s">
        <v>717</v>
      </c>
      <c r="I1750" t="s">
        <v>4129</v>
      </c>
      <c r="J1750" t="s">
        <v>2057</v>
      </c>
      <c r="K1750" t="s">
        <v>166</v>
      </c>
      <c r="L1750" t="s">
        <v>0</v>
      </c>
      <c r="M1750" t="s">
        <v>178</v>
      </c>
      <c r="N1750">
        <v>23</v>
      </c>
      <c r="O1750">
        <v>9</v>
      </c>
      <c r="P1750">
        <v>348.78</v>
      </c>
      <c r="Q1750">
        <v>2409.2399999999998</v>
      </c>
      <c r="R1750">
        <v>371.42</v>
      </c>
      <c r="S1750">
        <v>87.045198839999998</v>
      </c>
      <c r="T1750">
        <v>0</v>
      </c>
      <c r="U1750">
        <v>0</v>
      </c>
      <c r="V1750">
        <v>371.42</v>
      </c>
      <c r="W1750" t="s">
        <v>2058</v>
      </c>
      <c r="X1750" t="s">
        <v>271</v>
      </c>
      <c r="Y1750" t="s">
        <v>4130</v>
      </c>
      <c r="AA1750" t="s">
        <v>4131</v>
      </c>
      <c r="AB1750" t="s">
        <v>181</v>
      </c>
    </row>
    <row r="1751" spans="1:28" x14ac:dyDescent="0.25">
      <c r="A1751" t="s">
        <v>4022</v>
      </c>
      <c r="B1751" t="s">
        <v>4023</v>
      </c>
      <c r="C1751" t="s">
        <v>646</v>
      </c>
      <c r="D1751" t="s">
        <v>3779</v>
      </c>
      <c r="E1751" t="s">
        <v>647</v>
      </c>
      <c r="F1751" t="s">
        <v>3780</v>
      </c>
      <c r="G1751" t="s">
        <v>769</v>
      </c>
      <c r="H1751" t="s">
        <v>708</v>
      </c>
      <c r="I1751" t="s">
        <v>4024</v>
      </c>
      <c r="J1751" t="s">
        <v>447</v>
      </c>
      <c r="K1751" t="s">
        <v>166</v>
      </c>
      <c r="L1751" t="s">
        <v>0</v>
      </c>
      <c r="M1751" t="s">
        <v>178</v>
      </c>
      <c r="N1751">
        <v>6</v>
      </c>
      <c r="O1751">
        <v>3</v>
      </c>
      <c r="P1751">
        <v>13.02</v>
      </c>
      <c r="Q1751">
        <v>184.73</v>
      </c>
      <c r="R1751">
        <v>21.5</v>
      </c>
      <c r="S1751">
        <v>11.06</v>
      </c>
      <c r="T1751">
        <v>0</v>
      </c>
      <c r="U1751">
        <v>0</v>
      </c>
      <c r="V1751">
        <v>21.5</v>
      </c>
      <c r="W1751" t="s">
        <v>446</v>
      </c>
      <c r="X1751" t="s">
        <v>271</v>
      </c>
      <c r="Y1751" t="s">
        <v>4025</v>
      </c>
      <c r="AA1751" t="s">
        <v>4026</v>
      </c>
      <c r="AB1751" t="s">
        <v>181</v>
      </c>
    </row>
    <row r="1752" spans="1:28" x14ac:dyDescent="0.25">
      <c r="A1752" t="s">
        <v>3838</v>
      </c>
      <c r="B1752" t="s">
        <v>3839</v>
      </c>
      <c r="C1752" t="s">
        <v>646</v>
      </c>
      <c r="D1752" t="s">
        <v>3779</v>
      </c>
      <c r="E1752" t="s">
        <v>647</v>
      </c>
      <c r="F1752" t="s">
        <v>3780</v>
      </c>
      <c r="G1752" t="s">
        <v>769</v>
      </c>
      <c r="H1752" t="s">
        <v>761</v>
      </c>
      <c r="I1752" t="s">
        <v>906</v>
      </c>
      <c r="J1752" t="s">
        <v>907</v>
      </c>
      <c r="K1752" t="s">
        <v>166</v>
      </c>
      <c r="L1752" t="s">
        <v>0</v>
      </c>
      <c r="M1752" t="s">
        <v>178</v>
      </c>
      <c r="N1752">
        <v>26</v>
      </c>
      <c r="O1752">
        <v>21</v>
      </c>
      <c r="P1752">
        <v>1021.14</v>
      </c>
      <c r="Q1752">
        <v>996.68</v>
      </c>
      <c r="R1752">
        <v>258.45</v>
      </c>
      <c r="S1752">
        <v>187.73789930999999</v>
      </c>
      <c r="T1752">
        <v>0</v>
      </c>
      <c r="U1752">
        <v>0</v>
      </c>
      <c r="V1752">
        <v>258.45</v>
      </c>
      <c r="W1752" t="s">
        <v>272</v>
      </c>
      <c r="X1752" t="s">
        <v>269</v>
      </c>
      <c r="Y1752" t="s">
        <v>3840</v>
      </c>
      <c r="AA1752" t="s">
        <v>3841</v>
      </c>
      <c r="AB1752" t="s">
        <v>181</v>
      </c>
    </row>
    <row r="1753" spans="1:28" x14ac:dyDescent="0.25">
      <c r="A1753" t="s">
        <v>4117</v>
      </c>
      <c r="B1753" t="s">
        <v>4118</v>
      </c>
      <c r="C1753" t="s">
        <v>646</v>
      </c>
      <c r="D1753" t="s">
        <v>3779</v>
      </c>
      <c r="E1753" t="s">
        <v>647</v>
      </c>
      <c r="F1753" t="s">
        <v>3780</v>
      </c>
      <c r="G1753" t="s">
        <v>769</v>
      </c>
      <c r="H1753" t="s">
        <v>909</v>
      </c>
      <c r="I1753" t="s">
        <v>1190</v>
      </c>
      <c r="J1753" t="s">
        <v>1191</v>
      </c>
      <c r="K1753" t="s">
        <v>166</v>
      </c>
      <c r="L1753" t="s">
        <v>0</v>
      </c>
      <c r="M1753" t="s">
        <v>178</v>
      </c>
      <c r="N1753">
        <v>67</v>
      </c>
      <c r="O1753">
        <v>67</v>
      </c>
      <c r="P1753">
        <v>1713.4</v>
      </c>
      <c r="Q1753">
        <v>2541.5500000000002</v>
      </c>
      <c r="R1753">
        <v>170.52354500000001</v>
      </c>
      <c r="S1753">
        <v>869.77605701000005</v>
      </c>
      <c r="T1753">
        <v>0.39354499999999998</v>
      </c>
      <c r="U1753">
        <v>0</v>
      </c>
      <c r="V1753">
        <v>170.13</v>
      </c>
      <c r="W1753" t="s">
        <v>282</v>
      </c>
      <c r="X1753" t="s">
        <v>271</v>
      </c>
      <c r="Y1753" t="s">
        <v>2170</v>
      </c>
      <c r="AA1753" t="s">
        <v>2171</v>
      </c>
      <c r="AB1753" t="s">
        <v>181</v>
      </c>
    </row>
    <row r="1754" spans="1:28" x14ac:dyDescent="0.25">
      <c r="A1754" t="s">
        <v>4086</v>
      </c>
      <c r="B1754" t="s">
        <v>4087</v>
      </c>
      <c r="C1754" t="s">
        <v>646</v>
      </c>
      <c r="D1754" t="s">
        <v>3779</v>
      </c>
      <c r="E1754" t="s">
        <v>647</v>
      </c>
      <c r="F1754" t="s">
        <v>3780</v>
      </c>
      <c r="G1754" t="s">
        <v>769</v>
      </c>
      <c r="H1754" t="s">
        <v>962</v>
      </c>
      <c r="I1754" t="s">
        <v>4088</v>
      </c>
      <c r="J1754" t="s">
        <v>480</v>
      </c>
      <c r="K1754" t="s">
        <v>166</v>
      </c>
      <c r="L1754" t="s">
        <v>0</v>
      </c>
      <c r="M1754" t="s">
        <v>178</v>
      </c>
      <c r="N1754">
        <v>28</v>
      </c>
      <c r="O1754">
        <v>1</v>
      </c>
      <c r="P1754">
        <v>313.39999999999998</v>
      </c>
      <c r="Q1754">
        <v>2809.26</v>
      </c>
      <c r="R1754">
        <v>706.91</v>
      </c>
      <c r="S1754">
        <v>48.938471620000001</v>
      </c>
      <c r="T1754">
        <v>0</v>
      </c>
      <c r="U1754">
        <v>0</v>
      </c>
      <c r="V1754">
        <v>706.91</v>
      </c>
      <c r="W1754" t="s">
        <v>4089</v>
      </c>
      <c r="X1754" t="s">
        <v>271</v>
      </c>
      <c r="Y1754" t="s">
        <v>4090</v>
      </c>
      <c r="AA1754" t="s">
        <v>4091</v>
      </c>
      <c r="AB1754" t="s">
        <v>181</v>
      </c>
    </row>
    <row r="1755" spans="1:28" x14ac:dyDescent="0.25">
      <c r="A1755" t="s">
        <v>3900</v>
      </c>
      <c r="B1755" t="s">
        <v>3901</v>
      </c>
      <c r="C1755" t="s">
        <v>646</v>
      </c>
      <c r="D1755" t="s">
        <v>3779</v>
      </c>
      <c r="E1755" t="s">
        <v>647</v>
      </c>
      <c r="F1755" t="s">
        <v>3780</v>
      </c>
      <c r="G1755" t="s">
        <v>769</v>
      </c>
      <c r="H1755" t="s">
        <v>672</v>
      </c>
      <c r="I1755" t="s">
        <v>3902</v>
      </c>
      <c r="J1755" t="s">
        <v>1225</v>
      </c>
      <c r="K1755" t="s">
        <v>166</v>
      </c>
      <c r="L1755" t="s">
        <v>0</v>
      </c>
      <c r="M1755" t="s">
        <v>178</v>
      </c>
      <c r="N1755">
        <v>131</v>
      </c>
      <c r="O1755">
        <v>129</v>
      </c>
      <c r="P1755">
        <v>3875</v>
      </c>
      <c r="Q1755">
        <v>2843.36</v>
      </c>
      <c r="R1755">
        <v>-60.240273000000002</v>
      </c>
      <c r="S1755">
        <v>625.14305708999996</v>
      </c>
      <c r="T1755">
        <v>0.29972700000000002</v>
      </c>
      <c r="U1755">
        <v>0</v>
      </c>
      <c r="V1755">
        <v>-60.54</v>
      </c>
      <c r="W1755" t="s">
        <v>0</v>
      </c>
      <c r="X1755" t="s">
        <v>271</v>
      </c>
      <c r="Y1755" t="s">
        <v>3903</v>
      </c>
      <c r="AA1755" t="s">
        <v>3904</v>
      </c>
      <c r="AB1755" t="s">
        <v>181</v>
      </c>
    </row>
    <row r="1756" spans="1:28" x14ac:dyDescent="0.25">
      <c r="A1756" t="s">
        <v>4248</v>
      </c>
      <c r="B1756" t="s">
        <v>4249</v>
      </c>
      <c r="C1756" t="s">
        <v>646</v>
      </c>
      <c r="D1756" t="s">
        <v>3779</v>
      </c>
      <c r="E1756" t="s">
        <v>647</v>
      </c>
      <c r="F1756" t="s">
        <v>3780</v>
      </c>
      <c r="G1756" t="s">
        <v>769</v>
      </c>
      <c r="H1756" t="s">
        <v>672</v>
      </c>
      <c r="I1756" t="s">
        <v>1913</v>
      </c>
      <c r="J1756" t="s">
        <v>1914</v>
      </c>
      <c r="K1756" t="s">
        <v>166</v>
      </c>
      <c r="L1756" t="s">
        <v>0</v>
      </c>
      <c r="M1756" t="s">
        <v>178</v>
      </c>
      <c r="N1756">
        <v>27</v>
      </c>
      <c r="O1756">
        <v>13</v>
      </c>
      <c r="P1756">
        <v>738</v>
      </c>
      <c r="Q1756">
        <v>552.54</v>
      </c>
      <c r="R1756">
        <v>40.412223689999998</v>
      </c>
      <c r="S1756">
        <v>75.731067609999997</v>
      </c>
      <c r="T1756">
        <v>175.33222369000001</v>
      </c>
      <c r="U1756">
        <v>0</v>
      </c>
      <c r="V1756">
        <v>40.32</v>
      </c>
      <c r="W1756" t="s">
        <v>1915</v>
      </c>
      <c r="X1756" t="s">
        <v>269</v>
      </c>
      <c r="Y1756" t="s">
        <v>4250</v>
      </c>
      <c r="AA1756" t="s">
        <v>4251</v>
      </c>
      <c r="AB1756" t="s">
        <v>181</v>
      </c>
    </row>
    <row r="1757" spans="1:28" x14ac:dyDescent="0.25">
      <c r="A1757" t="s">
        <v>3965</v>
      </c>
      <c r="B1757" t="s">
        <v>3966</v>
      </c>
      <c r="C1757" t="s">
        <v>646</v>
      </c>
      <c r="D1757" t="s">
        <v>3779</v>
      </c>
      <c r="E1757" t="s">
        <v>647</v>
      </c>
      <c r="F1757" t="s">
        <v>3780</v>
      </c>
      <c r="G1757" t="s">
        <v>769</v>
      </c>
      <c r="H1757" t="s">
        <v>649</v>
      </c>
      <c r="I1757" t="s">
        <v>2339</v>
      </c>
      <c r="J1757" t="s">
        <v>2165</v>
      </c>
      <c r="K1757" t="s">
        <v>166</v>
      </c>
      <c r="L1757" t="s">
        <v>0</v>
      </c>
      <c r="M1757" t="s">
        <v>178</v>
      </c>
      <c r="N1757">
        <v>48</v>
      </c>
      <c r="O1757">
        <v>32</v>
      </c>
      <c r="P1757">
        <v>480</v>
      </c>
      <c r="Q1757">
        <v>1156.7</v>
      </c>
      <c r="R1757">
        <v>124.5786832</v>
      </c>
      <c r="S1757">
        <v>119.9</v>
      </c>
      <c r="T1757">
        <v>1.8683200000000001E-2</v>
      </c>
      <c r="U1757">
        <v>0</v>
      </c>
      <c r="V1757">
        <v>124.56</v>
      </c>
      <c r="W1757" t="s">
        <v>2166</v>
      </c>
      <c r="X1757" t="s">
        <v>271</v>
      </c>
      <c r="Y1757" t="s">
        <v>3967</v>
      </c>
      <c r="AA1757" t="s">
        <v>3968</v>
      </c>
      <c r="AB1757" t="s">
        <v>181</v>
      </c>
    </row>
    <row r="1758" spans="1:28" x14ac:dyDescent="0.25">
      <c r="A1758" t="s">
        <v>4256</v>
      </c>
      <c r="B1758" t="s">
        <v>4257</v>
      </c>
      <c r="C1758" t="s">
        <v>646</v>
      </c>
      <c r="D1758" t="s">
        <v>3779</v>
      </c>
      <c r="E1758" t="s">
        <v>647</v>
      </c>
      <c r="F1758" t="s">
        <v>3780</v>
      </c>
      <c r="G1758" t="s">
        <v>769</v>
      </c>
      <c r="H1758" t="s">
        <v>717</v>
      </c>
      <c r="I1758" t="s">
        <v>2284</v>
      </c>
      <c r="J1758" t="s">
        <v>2285</v>
      </c>
      <c r="K1758" t="s">
        <v>166</v>
      </c>
      <c r="L1758" t="s">
        <v>0</v>
      </c>
      <c r="M1758" t="s">
        <v>178</v>
      </c>
      <c r="N1758">
        <v>69</v>
      </c>
      <c r="O1758">
        <v>47</v>
      </c>
      <c r="P1758">
        <v>1083.1400000000001</v>
      </c>
      <c r="Q1758">
        <v>6743.15</v>
      </c>
      <c r="R1758">
        <v>1868.0606456999999</v>
      </c>
      <c r="S1758">
        <v>89.241742930000001</v>
      </c>
      <c r="T1758">
        <v>2.3306456999999998</v>
      </c>
      <c r="U1758">
        <v>0</v>
      </c>
      <c r="V1758">
        <v>1865.73</v>
      </c>
      <c r="W1758" t="s">
        <v>453</v>
      </c>
      <c r="X1758" t="s">
        <v>271</v>
      </c>
      <c r="Y1758" t="s">
        <v>4258</v>
      </c>
      <c r="AA1758" t="s">
        <v>4259</v>
      </c>
      <c r="AB1758" t="s">
        <v>181</v>
      </c>
    </row>
    <row r="1759" spans="1:28" x14ac:dyDescent="0.25">
      <c r="A1759" t="s">
        <v>4132</v>
      </c>
      <c r="B1759" t="s">
        <v>4133</v>
      </c>
      <c r="C1759" t="s">
        <v>646</v>
      </c>
      <c r="D1759" t="s">
        <v>3779</v>
      </c>
      <c r="E1759" t="s">
        <v>647</v>
      </c>
      <c r="F1759" t="s">
        <v>666</v>
      </c>
      <c r="G1759" t="s">
        <v>666</v>
      </c>
      <c r="H1759" t="s">
        <v>708</v>
      </c>
      <c r="I1759" t="s">
        <v>3911</v>
      </c>
      <c r="J1759" t="s">
        <v>355</v>
      </c>
      <c r="K1759" t="s">
        <v>166</v>
      </c>
      <c r="L1759" t="s">
        <v>0</v>
      </c>
      <c r="M1759" t="s">
        <v>178</v>
      </c>
      <c r="N1759">
        <v>1.1667000000000001</v>
      </c>
      <c r="O1759">
        <v>1.1667000000000001</v>
      </c>
      <c r="P1759">
        <v>2.52</v>
      </c>
      <c r="Q1759">
        <v>53.73</v>
      </c>
      <c r="R1759">
        <v>24.19</v>
      </c>
      <c r="S1759">
        <v>23.719188160000002</v>
      </c>
      <c r="T1759">
        <v>0</v>
      </c>
      <c r="U1759">
        <v>0</v>
      </c>
      <c r="V1759">
        <v>24.19</v>
      </c>
      <c r="W1759" t="s">
        <v>0</v>
      </c>
      <c r="X1759" t="s">
        <v>271</v>
      </c>
      <c r="Y1759" t="s">
        <v>4134</v>
      </c>
      <c r="AA1759" t="s">
        <v>3894</v>
      </c>
      <c r="AB1759" t="s">
        <v>181</v>
      </c>
    </row>
    <row r="1760" spans="1:28" x14ac:dyDescent="0.25">
      <c r="A1760" t="s">
        <v>3783</v>
      </c>
      <c r="B1760" t="s">
        <v>3784</v>
      </c>
      <c r="C1760" t="s">
        <v>646</v>
      </c>
      <c r="D1760" t="s">
        <v>3779</v>
      </c>
      <c r="E1760" t="s">
        <v>647</v>
      </c>
      <c r="F1760" t="s">
        <v>666</v>
      </c>
      <c r="G1760" t="s">
        <v>666</v>
      </c>
      <c r="H1760" t="s">
        <v>649</v>
      </c>
      <c r="I1760" t="s">
        <v>3785</v>
      </c>
      <c r="J1760" t="s">
        <v>432</v>
      </c>
      <c r="K1760" t="s">
        <v>166</v>
      </c>
      <c r="L1760" t="s">
        <v>0</v>
      </c>
      <c r="M1760" t="s">
        <v>178</v>
      </c>
      <c r="N1760">
        <v>89</v>
      </c>
      <c r="O1760">
        <v>83</v>
      </c>
      <c r="P1760">
        <v>2029.37</v>
      </c>
      <c r="Q1760">
        <v>6249.23</v>
      </c>
      <c r="R1760">
        <v>1132.6600000000001</v>
      </c>
      <c r="S1760">
        <v>671.15201296999999</v>
      </c>
      <c r="T1760">
        <v>0</v>
      </c>
      <c r="U1760">
        <v>0</v>
      </c>
      <c r="V1760">
        <v>1132.6600000000001</v>
      </c>
      <c r="W1760" t="s">
        <v>0</v>
      </c>
      <c r="X1760" t="s">
        <v>271</v>
      </c>
      <c r="Y1760" t="s">
        <v>3786</v>
      </c>
      <c r="AA1760" t="s">
        <v>3787</v>
      </c>
      <c r="AB1760" t="s">
        <v>181</v>
      </c>
    </row>
    <row r="1761" spans="1:28" x14ac:dyDescent="0.25">
      <c r="A1761" t="s">
        <v>3793</v>
      </c>
      <c r="B1761" t="s">
        <v>3794</v>
      </c>
      <c r="C1761" t="s">
        <v>646</v>
      </c>
      <c r="D1761" t="s">
        <v>3779</v>
      </c>
      <c r="E1761" t="s">
        <v>647</v>
      </c>
      <c r="F1761" t="s">
        <v>666</v>
      </c>
      <c r="G1761" t="s">
        <v>666</v>
      </c>
      <c r="H1761" t="s">
        <v>1175</v>
      </c>
      <c r="I1761" t="s">
        <v>1712</v>
      </c>
      <c r="J1761" t="s">
        <v>335</v>
      </c>
      <c r="K1761" t="s">
        <v>166</v>
      </c>
      <c r="L1761" t="s">
        <v>0</v>
      </c>
      <c r="M1761" t="s">
        <v>178</v>
      </c>
      <c r="N1761">
        <v>65</v>
      </c>
      <c r="O1761">
        <v>34</v>
      </c>
      <c r="P1761">
        <v>736</v>
      </c>
      <c r="Q1761">
        <v>1887.8</v>
      </c>
      <c r="R1761">
        <v>590.05999999999995</v>
      </c>
      <c r="S1761">
        <v>207.29338440000001</v>
      </c>
      <c r="T1761">
        <v>0</v>
      </c>
      <c r="U1761">
        <v>0</v>
      </c>
      <c r="V1761">
        <v>590.05999999999995</v>
      </c>
      <c r="W1761" t="s">
        <v>572</v>
      </c>
      <c r="X1761" t="s">
        <v>271</v>
      </c>
      <c r="Y1761" t="s">
        <v>3795</v>
      </c>
      <c r="AA1761" t="s">
        <v>3796</v>
      </c>
      <c r="AB1761" t="s">
        <v>181</v>
      </c>
    </row>
    <row r="1762" spans="1:28" x14ac:dyDescent="0.25">
      <c r="A1762" t="s">
        <v>4342</v>
      </c>
      <c r="B1762" t="s">
        <v>4343</v>
      </c>
      <c r="C1762" t="s">
        <v>646</v>
      </c>
      <c r="D1762" t="s">
        <v>3779</v>
      </c>
      <c r="E1762" t="s">
        <v>647</v>
      </c>
      <c r="F1762" t="s">
        <v>666</v>
      </c>
      <c r="G1762" t="s">
        <v>666</v>
      </c>
      <c r="H1762" t="s">
        <v>770</v>
      </c>
      <c r="I1762" t="s">
        <v>4344</v>
      </c>
      <c r="J1762" t="s">
        <v>355</v>
      </c>
      <c r="K1762" t="s">
        <v>166</v>
      </c>
      <c r="L1762" t="s">
        <v>0</v>
      </c>
      <c r="M1762" t="s">
        <v>178</v>
      </c>
      <c r="N1762">
        <v>11</v>
      </c>
      <c r="O1762">
        <v>11</v>
      </c>
      <c r="P1762">
        <v>132</v>
      </c>
      <c r="Q1762">
        <v>195.01</v>
      </c>
      <c r="R1762">
        <v>-9.16</v>
      </c>
      <c r="S1762">
        <v>34.872398670000003</v>
      </c>
      <c r="T1762">
        <v>0</v>
      </c>
      <c r="U1762">
        <v>0</v>
      </c>
      <c r="V1762">
        <v>-9.16</v>
      </c>
      <c r="W1762" t="s">
        <v>0</v>
      </c>
      <c r="X1762" t="s">
        <v>271</v>
      </c>
      <c r="Y1762" t="s">
        <v>4345</v>
      </c>
      <c r="AA1762" t="s">
        <v>3894</v>
      </c>
      <c r="AB1762" t="s">
        <v>181</v>
      </c>
    </row>
    <row r="1763" spans="1:28" x14ac:dyDescent="0.25">
      <c r="A1763" t="s">
        <v>4027</v>
      </c>
      <c r="B1763" t="s">
        <v>4028</v>
      </c>
      <c r="C1763" t="s">
        <v>646</v>
      </c>
      <c r="D1763" t="s">
        <v>3779</v>
      </c>
      <c r="E1763" t="s">
        <v>647</v>
      </c>
      <c r="F1763" t="s">
        <v>3780</v>
      </c>
      <c r="G1763" t="s">
        <v>769</v>
      </c>
      <c r="H1763" t="s">
        <v>856</v>
      </c>
      <c r="I1763" t="s">
        <v>1251</v>
      </c>
      <c r="J1763" t="s">
        <v>821</v>
      </c>
      <c r="K1763" t="s">
        <v>166</v>
      </c>
      <c r="L1763" t="s">
        <v>0</v>
      </c>
      <c r="M1763" t="s">
        <v>178</v>
      </c>
      <c r="N1763">
        <v>5</v>
      </c>
      <c r="O1763">
        <v>0</v>
      </c>
      <c r="P1763">
        <v>90.01</v>
      </c>
      <c r="Q1763">
        <v>499.1</v>
      </c>
      <c r="R1763">
        <v>39.82</v>
      </c>
      <c r="S1763">
        <v>3.0625843000000001</v>
      </c>
      <c r="T1763">
        <v>0</v>
      </c>
      <c r="U1763">
        <v>0</v>
      </c>
      <c r="V1763">
        <v>39.82</v>
      </c>
      <c r="W1763" t="s">
        <v>822</v>
      </c>
      <c r="X1763" t="s">
        <v>269</v>
      </c>
      <c r="Y1763" t="s">
        <v>4029</v>
      </c>
      <c r="AA1763" t="s">
        <v>4030</v>
      </c>
      <c r="AB1763" t="s">
        <v>181</v>
      </c>
    </row>
    <row r="1764" spans="1:28" x14ac:dyDescent="0.25">
      <c r="A1764" t="s">
        <v>4132</v>
      </c>
      <c r="B1764" t="s">
        <v>4133</v>
      </c>
      <c r="C1764" t="s">
        <v>646</v>
      </c>
      <c r="D1764" t="s">
        <v>3779</v>
      </c>
      <c r="E1764" t="s">
        <v>647</v>
      </c>
      <c r="F1764" t="s">
        <v>666</v>
      </c>
      <c r="G1764" t="s">
        <v>666</v>
      </c>
      <c r="H1764" t="s">
        <v>1159</v>
      </c>
      <c r="I1764" t="s">
        <v>3911</v>
      </c>
      <c r="J1764" t="s">
        <v>355</v>
      </c>
      <c r="K1764" t="s">
        <v>166</v>
      </c>
      <c r="L1764" t="s">
        <v>0</v>
      </c>
      <c r="M1764" t="s">
        <v>178</v>
      </c>
      <c r="N1764">
        <v>18</v>
      </c>
      <c r="O1764">
        <v>0</v>
      </c>
      <c r="P1764">
        <v>189</v>
      </c>
      <c r="Q1764">
        <v>1237.1600000000001</v>
      </c>
      <c r="R1764">
        <v>285.32</v>
      </c>
      <c r="S1764">
        <v>45.550171599999999</v>
      </c>
      <c r="T1764">
        <v>0</v>
      </c>
      <c r="U1764">
        <v>0</v>
      </c>
      <c r="V1764">
        <v>285.32</v>
      </c>
      <c r="W1764" t="s">
        <v>0</v>
      </c>
      <c r="X1764" t="s">
        <v>271</v>
      </c>
      <c r="Y1764" t="s">
        <v>4134</v>
      </c>
      <c r="AA1764" t="s">
        <v>3894</v>
      </c>
      <c r="AB1764" t="s">
        <v>181</v>
      </c>
    </row>
    <row r="1765" spans="1:28" x14ac:dyDescent="0.25">
      <c r="A1765" t="s">
        <v>4074</v>
      </c>
      <c r="B1765" t="s">
        <v>4075</v>
      </c>
      <c r="C1765" t="s">
        <v>646</v>
      </c>
      <c r="D1765" t="s">
        <v>3779</v>
      </c>
      <c r="E1765" t="s">
        <v>647</v>
      </c>
      <c r="F1765" t="s">
        <v>3780</v>
      </c>
      <c r="G1765" t="s">
        <v>769</v>
      </c>
      <c r="H1765" t="s">
        <v>962</v>
      </c>
      <c r="I1765" t="s">
        <v>1284</v>
      </c>
      <c r="J1765" t="s">
        <v>1285</v>
      </c>
      <c r="K1765" t="s">
        <v>166</v>
      </c>
      <c r="L1765" t="s">
        <v>0</v>
      </c>
      <c r="M1765" t="s">
        <v>178</v>
      </c>
      <c r="N1765">
        <v>3</v>
      </c>
      <c r="O1765">
        <v>0</v>
      </c>
      <c r="P1765">
        <v>39</v>
      </c>
      <c r="Q1765">
        <v>126.27</v>
      </c>
      <c r="R1765">
        <v>76.739999999999995</v>
      </c>
      <c r="S1765">
        <v>4.9560025699999999</v>
      </c>
      <c r="T1765">
        <v>0</v>
      </c>
      <c r="U1765">
        <v>0</v>
      </c>
      <c r="V1765">
        <v>76.739999999999995</v>
      </c>
      <c r="W1765" t="s">
        <v>1286</v>
      </c>
      <c r="X1765" t="s">
        <v>269</v>
      </c>
      <c r="Y1765" t="s">
        <v>4076</v>
      </c>
      <c r="AA1765" t="s">
        <v>4077</v>
      </c>
      <c r="AB1765" t="s">
        <v>181</v>
      </c>
    </row>
    <row r="1766" spans="1:28" x14ac:dyDescent="0.25">
      <c r="A1766" t="s">
        <v>3929</v>
      </c>
      <c r="B1766" t="s">
        <v>3930</v>
      </c>
      <c r="C1766" t="s">
        <v>646</v>
      </c>
      <c r="D1766" t="s">
        <v>3779</v>
      </c>
      <c r="E1766" t="s">
        <v>647</v>
      </c>
      <c r="F1766" t="s">
        <v>3780</v>
      </c>
      <c r="G1766" t="s">
        <v>769</v>
      </c>
      <c r="H1766" t="s">
        <v>1515</v>
      </c>
      <c r="I1766" t="s">
        <v>3649</v>
      </c>
      <c r="J1766" t="s">
        <v>1567</v>
      </c>
      <c r="K1766" t="s">
        <v>166</v>
      </c>
      <c r="L1766" t="s">
        <v>0</v>
      </c>
      <c r="M1766" t="s">
        <v>178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 t="s">
        <v>556</v>
      </c>
      <c r="X1766" t="s">
        <v>271</v>
      </c>
      <c r="Y1766" t="s">
        <v>3931</v>
      </c>
      <c r="AA1766" t="s">
        <v>3932</v>
      </c>
      <c r="AB1766" t="s">
        <v>181</v>
      </c>
    </row>
    <row r="1767" spans="1:28" x14ac:dyDescent="0.25">
      <c r="A1767" t="s">
        <v>4342</v>
      </c>
      <c r="B1767" t="s">
        <v>4343</v>
      </c>
      <c r="C1767" t="s">
        <v>646</v>
      </c>
      <c r="D1767" t="s">
        <v>3779</v>
      </c>
      <c r="E1767" t="s">
        <v>647</v>
      </c>
      <c r="F1767" t="s">
        <v>666</v>
      </c>
      <c r="G1767" t="s">
        <v>666</v>
      </c>
      <c r="H1767" t="s">
        <v>802</v>
      </c>
      <c r="I1767" t="s">
        <v>4344</v>
      </c>
      <c r="J1767" t="s">
        <v>355</v>
      </c>
      <c r="K1767" t="s">
        <v>166</v>
      </c>
      <c r="L1767" t="s">
        <v>0</v>
      </c>
      <c r="M1767" t="s">
        <v>178</v>
      </c>
      <c r="N1767">
        <v>22</v>
      </c>
      <c r="O1767">
        <v>22</v>
      </c>
      <c r="P1767">
        <v>440</v>
      </c>
      <c r="Q1767">
        <v>1049.6600000000001</v>
      </c>
      <c r="R1767">
        <v>216.34</v>
      </c>
      <c r="S1767">
        <v>116.27886193000001</v>
      </c>
      <c r="T1767">
        <v>0</v>
      </c>
      <c r="U1767">
        <v>0</v>
      </c>
      <c r="V1767">
        <v>216.34</v>
      </c>
      <c r="W1767" t="s">
        <v>0</v>
      </c>
      <c r="X1767" t="s">
        <v>271</v>
      </c>
      <c r="Y1767" t="s">
        <v>4345</v>
      </c>
      <c r="AA1767" t="s">
        <v>3894</v>
      </c>
      <c r="AB1767" t="s">
        <v>181</v>
      </c>
    </row>
    <row r="1768" spans="1:28" x14ac:dyDescent="0.25">
      <c r="A1768" t="s">
        <v>4086</v>
      </c>
      <c r="B1768" t="s">
        <v>4087</v>
      </c>
      <c r="C1768" t="s">
        <v>646</v>
      </c>
      <c r="D1768" t="s">
        <v>3779</v>
      </c>
      <c r="E1768" t="s">
        <v>647</v>
      </c>
      <c r="F1768" t="s">
        <v>3780</v>
      </c>
      <c r="G1768" t="s">
        <v>769</v>
      </c>
      <c r="H1768" t="s">
        <v>761</v>
      </c>
      <c r="I1768" t="s">
        <v>4088</v>
      </c>
      <c r="J1768" t="s">
        <v>480</v>
      </c>
      <c r="K1768" t="s">
        <v>166</v>
      </c>
      <c r="L1768" t="s">
        <v>0</v>
      </c>
      <c r="M1768" t="s">
        <v>178</v>
      </c>
      <c r="N1768">
        <v>12</v>
      </c>
      <c r="O1768">
        <v>7</v>
      </c>
      <c r="P1768">
        <v>396</v>
      </c>
      <c r="Q1768">
        <v>695.75</v>
      </c>
      <c r="R1768">
        <v>179.19</v>
      </c>
      <c r="S1768">
        <v>135.50407211000001</v>
      </c>
      <c r="T1768">
        <v>0</v>
      </c>
      <c r="U1768">
        <v>0</v>
      </c>
      <c r="V1768">
        <v>179.19</v>
      </c>
      <c r="W1768" t="s">
        <v>4089</v>
      </c>
      <c r="X1768" t="s">
        <v>271</v>
      </c>
      <c r="Y1768" t="s">
        <v>4090</v>
      </c>
      <c r="AA1768" t="s">
        <v>4091</v>
      </c>
      <c r="AB1768" t="s">
        <v>181</v>
      </c>
    </row>
    <row r="1769" spans="1:28" x14ac:dyDescent="0.25">
      <c r="A1769" t="s">
        <v>4312</v>
      </c>
      <c r="B1769" t="s">
        <v>4313</v>
      </c>
      <c r="C1769" t="s">
        <v>646</v>
      </c>
      <c r="D1769" t="s">
        <v>3779</v>
      </c>
      <c r="E1769" t="s">
        <v>647</v>
      </c>
      <c r="F1769" t="s">
        <v>3780</v>
      </c>
      <c r="G1769" t="s">
        <v>769</v>
      </c>
      <c r="H1769" t="s">
        <v>761</v>
      </c>
      <c r="I1769" t="s">
        <v>4314</v>
      </c>
      <c r="J1769" t="s">
        <v>319</v>
      </c>
      <c r="K1769" t="s">
        <v>166</v>
      </c>
      <c r="L1769" t="s">
        <v>0</v>
      </c>
      <c r="M1769" t="s">
        <v>178</v>
      </c>
      <c r="N1769">
        <v>1.25</v>
      </c>
      <c r="O1769">
        <v>0</v>
      </c>
      <c r="P1769">
        <v>16</v>
      </c>
      <c r="Q1769">
        <v>86.49</v>
      </c>
      <c r="R1769">
        <v>31.87</v>
      </c>
      <c r="S1769">
        <v>4.2512710499999997</v>
      </c>
      <c r="T1769">
        <v>0</v>
      </c>
      <c r="U1769">
        <v>0</v>
      </c>
      <c r="V1769">
        <v>31.87</v>
      </c>
      <c r="W1769" t="s">
        <v>0</v>
      </c>
      <c r="X1769" t="s">
        <v>271</v>
      </c>
      <c r="Y1769" t="s">
        <v>4315</v>
      </c>
      <c r="AA1769" t="s">
        <v>3466</v>
      </c>
      <c r="AB1769" t="s">
        <v>181</v>
      </c>
    </row>
    <row r="1770" spans="1:28" x14ac:dyDescent="0.25">
      <c r="A1770" t="s">
        <v>3777</v>
      </c>
      <c r="B1770" t="s">
        <v>3778</v>
      </c>
      <c r="C1770" t="s">
        <v>646</v>
      </c>
      <c r="D1770" t="s">
        <v>3779</v>
      </c>
      <c r="E1770" t="s">
        <v>647</v>
      </c>
      <c r="F1770" t="s">
        <v>3780</v>
      </c>
      <c r="G1770" t="s">
        <v>769</v>
      </c>
      <c r="H1770" t="s">
        <v>856</v>
      </c>
      <c r="I1770" t="s">
        <v>798</v>
      </c>
      <c r="J1770" t="s">
        <v>524</v>
      </c>
      <c r="K1770" t="s">
        <v>166</v>
      </c>
      <c r="L1770" t="s">
        <v>0</v>
      </c>
      <c r="M1770" t="s">
        <v>178</v>
      </c>
      <c r="N1770">
        <v>1</v>
      </c>
      <c r="O1770">
        <v>1</v>
      </c>
      <c r="P1770">
        <v>16.25</v>
      </c>
      <c r="Q1770">
        <v>227.34</v>
      </c>
      <c r="R1770">
        <v>9.59</v>
      </c>
      <c r="S1770">
        <v>4.3875000000000002</v>
      </c>
      <c r="T1770">
        <v>0</v>
      </c>
      <c r="U1770">
        <v>0</v>
      </c>
      <c r="V1770">
        <v>9.59</v>
      </c>
      <c r="W1770" t="s">
        <v>258</v>
      </c>
      <c r="X1770" t="s">
        <v>271</v>
      </c>
      <c r="Y1770" t="s">
        <v>3781</v>
      </c>
      <c r="AA1770" t="s">
        <v>3782</v>
      </c>
      <c r="AB1770" t="s">
        <v>181</v>
      </c>
    </row>
    <row r="1771" spans="1:28" x14ac:dyDescent="0.25">
      <c r="A1771" t="s">
        <v>4298</v>
      </c>
      <c r="B1771" t="s">
        <v>4299</v>
      </c>
      <c r="C1771" t="s">
        <v>646</v>
      </c>
      <c r="D1771" t="s">
        <v>3779</v>
      </c>
      <c r="E1771" t="s">
        <v>647</v>
      </c>
      <c r="F1771" t="s">
        <v>666</v>
      </c>
      <c r="G1771" t="s">
        <v>666</v>
      </c>
      <c r="H1771" t="s">
        <v>683</v>
      </c>
      <c r="I1771" t="s">
        <v>4300</v>
      </c>
      <c r="J1771" t="s">
        <v>511</v>
      </c>
      <c r="K1771" t="s">
        <v>166</v>
      </c>
      <c r="L1771" t="s">
        <v>0</v>
      </c>
      <c r="M1771" t="s">
        <v>178</v>
      </c>
      <c r="N1771">
        <v>356.77769999999998</v>
      </c>
      <c r="O1771">
        <v>177.33330000000001</v>
      </c>
      <c r="P1771">
        <v>5744.79</v>
      </c>
      <c r="Q1771">
        <v>14212.63</v>
      </c>
      <c r="R1771">
        <v>1310.1450522800001</v>
      </c>
      <c r="S1771">
        <v>2836.5945543100001</v>
      </c>
      <c r="T1771">
        <v>2.505228E-2</v>
      </c>
      <c r="U1771">
        <v>0</v>
      </c>
      <c r="V1771">
        <v>1310.1199999999999</v>
      </c>
      <c r="W1771" t="s">
        <v>510</v>
      </c>
      <c r="X1771" t="s">
        <v>271</v>
      </c>
      <c r="Y1771" t="s">
        <v>4301</v>
      </c>
      <c r="Z1771" t="s">
        <v>4302</v>
      </c>
      <c r="AA1771" t="s">
        <v>4303</v>
      </c>
      <c r="AB1771" t="s">
        <v>181</v>
      </c>
    </row>
    <row r="1772" spans="1:28" x14ac:dyDescent="0.25">
      <c r="A1772" t="s">
        <v>4337</v>
      </c>
      <c r="B1772" t="s">
        <v>4338</v>
      </c>
      <c r="C1772" t="s">
        <v>646</v>
      </c>
      <c r="D1772" t="s">
        <v>3779</v>
      </c>
      <c r="E1772" t="s">
        <v>647</v>
      </c>
      <c r="F1772" t="s">
        <v>3780</v>
      </c>
      <c r="G1772" t="s">
        <v>769</v>
      </c>
      <c r="H1772" t="s">
        <v>730</v>
      </c>
      <c r="I1772" t="s">
        <v>4339</v>
      </c>
      <c r="J1772" t="s">
        <v>821</v>
      </c>
      <c r="K1772" t="s">
        <v>166</v>
      </c>
      <c r="L1772" t="s">
        <v>0</v>
      </c>
      <c r="M1772" t="s">
        <v>178</v>
      </c>
      <c r="N1772">
        <v>60</v>
      </c>
      <c r="O1772">
        <v>35</v>
      </c>
      <c r="P1772">
        <v>1566.71</v>
      </c>
      <c r="Q1772">
        <v>3763.39</v>
      </c>
      <c r="R1772">
        <v>764.41165592000004</v>
      </c>
      <c r="S1772">
        <v>198.26077015999999</v>
      </c>
      <c r="T1772">
        <v>1759.1416559199999</v>
      </c>
      <c r="U1772">
        <v>0</v>
      </c>
      <c r="V1772">
        <v>769.25</v>
      </c>
      <c r="W1772" t="s">
        <v>822</v>
      </c>
      <c r="X1772" t="s">
        <v>269</v>
      </c>
      <c r="Y1772" t="s">
        <v>4340</v>
      </c>
      <c r="AA1772" t="s">
        <v>4341</v>
      </c>
      <c r="AB1772" t="s">
        <v>181</v>
      </c>
    </row>
    <row r="1773" spans="1:28" x14ac:dyDescent="0.25">
      <c r="A1773" t="s">
        <v>4123</v>
      </c>
      <c r="B1773" t="s">
        <v>4124</v>
      </c>
      <c r="C1773" t="s">
        <v>646</v>
      </c>
      <c r="D1773" t="s">
        <v>3779</v>
      </c>
      <c r="E1773" t="s">
        <v>647</v>
      </c>
      <c r="F1773" t="s">
        <v>3780</v>
      </c>
      <c r="G1773" t="s">
        <v>769</v>
      </c>
      <c r="H1773" t="s">
        <v>683</v>
      </c>
      <c r="I1773" t="s">
        <v>746</v>
      </c>
      <c r="J1773" t="s">
        <v>504</v>
      </c>
      <c r="K1773" t="s">
        <v>166</v>
      </c>
      <c r="L1773" t="s">
        <v>0</v>
      </c>
      <c r="M1773" t="s">
        <v>178</v>
      </c>
      <c r="N1773">
        <v>199.08330000000001</v>
      </c>
      <c r="O1773">
        <v>52.25</v>
      </c>
      <c r="P1773">
        <v>3082.25</v>
      </c>
      <c r="Q1773">
        <v>7185.17</v>
      </c>
      <c r="R1773">
        <v>584.49905009999998</v>
      </c>
      <c r="S1773">
        <v>897.82472537000001</v>
      </c>
      <c r="T1773">
        <v>-9.4990000000000005E-4</v>
      </c>
      <c r="U1773">
        <v>0</v>
      </c>
      <c r="V1773">
        <v>584.5</v>
      </c>
      <c r="W1773" t="s">
        <v>503</v>
      </c>
      <c r="X1773" t="s">
        <v>271</v>
      </c>
      <c r="Y1773" t="s">
        <v>4125</v>
      </c>
      <c r="AA1773" t="s">
        <v>4126</v>
      </c>
      <c r="AB1773" t="s">
        <v>181</v>
      </c>
    </row>
    <row r="1774" spans="1:28" x14ac:dyDescent="0.25">
      <c r="A1774" t="s">
        <v>4288</v>
      </c>
      <c r="B1774" t="s">
        <v>4289</v>
      </c>
      <c r="C1774" t="s">
        <v>646</v>
      </c>
      <c r="D1774" t="s">
        <v>3779</v>
      </c>
      <c r="E1774" t="s">
        <v>647</v>
      </c>
      <c r="F1774" t="s">
        <v>3780</v>
      </c>
      <c r="G1774" t="s">
        <v>769</v>
      </c>
      <c r="H1774" t="s">
        <v>703</v>
      </c>
      <c r="I1774" t="s">
        <v>1453</v>
      </c>
      <c r="J1774" t="s">
        <v>1454</v>
      </c>
      <c r="K1774" t="s">
        <v>166</v>
      </c>
      <c r="L1774" t="s">
        <v>0</v>
      </c>
      <c r="M1774" t="s">
        <v>178</v>
      </c>
      <c r="N1774">
        <v>473.04169999999999</v>
      </c>
      <c r="O1774">
        <v>161.83340000000001</v>
      </c>
      <c r="P1774">
        <v>9369.84</v>
      </c>
      <c r="Q1774">
        <v>18910.48</v>
      </c>
      <c r="R1774">
        <v>3705.6597114800002</v>
      </c>
      <c r="S1774">
        <v>2619.0421395600001</v>
      </c>
      <c r="T1774">
        <v>2.6197114799999999</v>
      </c>
      <c r="U1774">
        <v>0</v>
      </c>
      <c r="V1774">
        <v>3703.04</v>
      </c>
      <c r="W1774" t="s">
        <v>1455</v>
      </c>
      <c r="X1774" t="s">
        <v>271</v>
      </c>
      <c r="Y1774" t="s">
        <v>4290</v>
      </c>
      <c r="AA1774" t="s">
        <v>4291</v>
      </c>
      <c r="AB1774" t="s">
        <v>181</v>
      </c>
    </row>
    <row r="1775" spans="1:28" x14ac:dyDescent="0.25">
      <c r="A1775" t="s">
        <v>4155</v>
      </c>
      <c r="B1775" t="s">
        <v>4156</v>
      </c>
      <c r="C1775" t="s">
        <v>646</v>
      </c>
      <c r="D1775" t="s">
        <v>3779</v>
      </c>
      <c r="E1775" t="s">
        <v>647</v>
      </c>
      <c r="F1775" t="s">
        <v>3780</v>
      </c>
      <c r="G1775" t="s">
        <v>769</v>
      </c>
      <c r="H1775" t="s">
        <v>683</v>
      </c>
      <c r="I1775" t="s">
        <v>885</v>
      </c>
      <c r="J1775" t="s">
        <v>324</v>
      </c>
      <c r="K1775" t="s">
        <v>166</v>
      </c>
      <c r="L1775" t="s">
        <v>0</v>
      </c>
      <c r="M1775" t="s">
        <v>178</v>
      </c>
      <c r="N1775">
        <v>293</v>
      </c>
      <c r="O1775">
        <v>153</v>
      </c>
      <c r="P1775">
        <v>4474.7</v>
      </c>
      <c r="Q1775">
        <v>8242.61</v>
      </c>
      <c r="R1775">
        <v>1249.3399999999999</v>
      </c>
      <c r="S1775">
        <v>1848.8717277600001</v>
      </c>
      <c r="T1775">
        <v>0</v>
      </c>
      <c r="U1775">
        <v>0</v>
      </c>
      <c r="V1775">
        <v>1249.3399999999999</v>
      </c>
      <c r="W1775" t="s">
        <v>519</v>
      </c>
      <c r="X1775" t="s">
        <v>271</v>
      </c>
      <c r="Y1775" t="s">
        <v>4157</v>
      </c>
      <c r="AA1775" t="s">
        <v>4158</v>
      </c>
      <c r="AB1775" t="s">
        <v>181</v>
      </c>
    </row>
    <row r="1776" spans="1:28" x14ac:dyDescent="0.25">
      <c r="A1776" t="s">
        <v>4219</v>
      </c>
      <c r="B1776" t="s">
        <v>4220</v>
      </c>
      <c r="C1776" t="s">
        <v>646</v>
      </c>
      <c r="D1776" t="s">
        <v>3779</v>
      </c>
      <c r="E1776" t="s">
        <v>647</v>
      </c>
      <c r="F1776" t="s">
        <v>3780</v>
      </c>
      <c r="G1776" t="s">
        <v>769</v>
      </c>
      <c r="H1776" t="s">
        <v>683</v>
      </c>
      <c r="I1776" t="s">
        <v>1208</v>
      </c>
      <c r="J1776" t="s">
        <v>1209</v>
      </c>
      <c r="K1776" t="s">
        <v>166</v>
      </c>
      <c r="L1776" t="s">
        <v>0</v>
      </c>
      <c r="M1776" t="s">
        <v>178</v>
      </c>
      <c r="N1776">
        <v>208</v>
      </c>
      <c r="O1776">
        <v>69</v>
      </c>
      <c r="P1776">
        <v>2941.19</v>
      </c>
      <c r="Q1776">
        <v>10354.84</v>
      </c>
      <c r="R1776">
        <v>2252.5500000000002</v>
      </c>
      <c r="S1776">
        <v>1094.3753125799999</v>
      </c>
      <c r="T1776">
        <v>0</v>
      </c>
      <c r="U1776">
        <v>0</v>
      </c>
      <c r="V1776">
        <v>2252.5500000000002</v>
      </c>
      <c r="W1776" t="s">
        <v>1210</v>
      </c>
      <c r="X1776" t="s">
        <v>271</v>
      </c>
      <c r="Y1776" t="s">
        <v>4221</v>
      </c>
      <c r="AA1776" t="s">
        <v>4222</v>
      </c>
      <c r="AB1776" t="s">
        <v>181</v>
      </c>
    </row>
    <row r="1777" spans="1:28" x14ac:dyDescent="0.25">
      <c r="A1777" t="s">
        <v>4043</v>
      </c>
      <c r="B1777" t="s">
        <v>4044</v>
      </c>
      <c r="C1777" t="s">
        <v>646</v>
      </c>
      <c r="D1777" t="s">
        <v>3779</v>
      </c>
      <c r="E1777" t="s">
        <v>647</v>
      </c>
      <c r="F1777" t="s">
        <v>666</v>
      </c>
      <c r="G1777" t="s">
        <v>666</v>
      </c>
      <c r="H1777" t="s">
        <v>703</v>
      </c>
      <c r="I1777" t="s">
        <v>1431</v>
      </c>
      <c r="J1777" t="s">
        <v>1432</v>
      </c>
      <c r="K1777" t="s">
        <v>166</v>
      </c>
      <c r="L1777" t="s">
        <v>0</v>
      </c>
      <c r="M1777" t="s">
        <v>178</v>
      </c>
      <c r="N1777">
        <v>130</v>
      </c>
      <c r="O1777">
        <v>87</v>
      </c>
      <c r="P1777">
        <v>2540.56</v>
      </c>
      <c r="Q1777">
        <v>4514.5600000000004</v>
      </c>
      <c r="R1777">
        <v>896.79790998999999</v>
      </c>
      <c r="S1777">
        <v>970.92377704</v>
      </c>
      <c r="T1777">
        <v>0.12790999</v>
      </c>
      <c r="U1777">
        <v>0</v>
      </c>
      <c r="V1777">
        <v>896.67</v>
      </c>
      <c r="W1777" t="s">
        <v>1433</v>
      </c>
      <c r="X1777" t="s">
        <v>271</v>
      </c>
      <c r="Y1777" t="s">
        <v>4045</v>
      </c>
      <c r="AA1777" t="s">
        <v>4046</v>
      </c>
      <c r="AB1777" t="s">
        <v>181</v>
      </c>
    </row>
    <row r="1778" spans="1:28" x14ac:dyDescent="0.25">
      <c r="A1778" t="s">
        <v>3834</v>
      </c>
      <c r="B1778" t="s">
        <v>3835</v>
      </c>
      <c r="C1778" t="s">
        <v>646</v>
      </c>
      <c r="D1778" t="s">
        <v>3779</v>
      </c>
      <c r="E1778" t="s">
        <v>647</v>
      </c>
      <c r="F1778" t="s">
        <v>3780</v>
      </c>
      <c r="G1778" t="s">
        <v>769</v>
      </c>
      <c r="H1778" t="s">
        <v>717</v>
      </c>
      <c r="I1778" t="s">
        <v>1251</v>
      </c>
      <c r="J1778" t="s">
        <v>821</v>
      </c>
      <c r="K1778" t="s">
        <v>166</v>
      </c>
      <c r="L1778" t="s">
        <v>0</v>
      </c>
      <c r="M1778" t="s">
        <v>178</v>
      </c>
      <c r="N1778">
        <v>19</v>
      </c>
      <c r="O1778">
        <v>9</v>
      </c>
      <c r="P1778">
        <v>682.39</v>
      </c>
      <c r="Q1778">
        <v>2162.54</v>
      </c>
      <c r="R1778">
        <v>453.85</v>
      </c>
      <c r="S1778">
        <v>79.015289350000003</v>
      </c>
      <c r="T1778">
        <v>0</v>
      </c>
      <c r="U1778">
        <v>0</v>
      </c>
      <c r="V1778">
        <v>453.85</v>
      </c>
      <c r="W1778" t="s">
        <v>822</v>
      </c>
      <c r="X1778" t="s">
        <v>269</v>
      </c>
      <c r="Y1778" t="s">
        <v>3836</v>
      </c>
      <c r="AA1778" t="s">
        <v>3837</v>
      </c>
      <c r="AB1778" t="s">
        <v>181</v>
      </c>
    </row>
    <row r="1779" spans="1:28" x14ac:dyDescent="0.25">
      <c r="A1779" t="s">
        <v>4216</v>
      </c>
      <c r="B1779" t="s">
        <v>4217</v>
      </c>
      <c r="C1779" t="s">
        <v>646</v>
      </c>
      <c r="D1779" t="s">
        <v>3779</v>
      </c>
      <c r="E1779" t="s">
        <v>647</v>
      </c>
      <c r="F1779" t="s">
        <v>666</v>
      </c>
      <c r="G1779" t="s">
        <v>666</v>
      </c>
      <c r="H1779" t="s">
        <v>683</v>
      </c>
      <c r="I1779" t="s">
        <v>1636</v>
      </c>
      <c r="J1779" t="s">
        <v>1637</v>
      </c>
      <c r="K1779" t="s">
        <v>166</v>
      </c>
      <c r="L1779" t="s">
        <v>0</v>
      </c>
      <c r="M1779" t="s">
        <v>178</v>
      </c>
      <c r="N1779">
        <v>82.5</v>
      </c>
      <c r="O1779">
        <v>24</v>
      </c>
      <c r="P1779">
        <v>1514.98</v>
      </c>
      <c r="Q1779">
        <v>2393.2800000000002</v>
      </c>
      <c r="R1779">
        <v>222.77</v>
      </c>
      <c r="S1779">
        <v>369.02328165</v>
      </c>
      <c r="T1779">
        <v>0</v>
      </c>
      <c r="U1779">
        <v>0</v>
      </c>
      <c r="V1779">
        <v>222.77</v>
      </c>
      <c r="W1779" t="s">
        <v>1638</v>
      </c>
      <c r="X1779" t="s">
        <v>271</v>
      </c>
      <c r="Y1779" t="s">
        <v>1639</v>
      </c>
      <c r="AA1779" t="s">
        <v>4218</v>
      </c>
      <c r="AB1779" t="s">
        <v>181</v>
      </c>
    </row>
    <row r="1780" spans="1:28" x14ac:dyDescent="0.25">
      <c r="A1780" t="s">
        <v>3797</v>
      </c>
      <c r="B1780" t="s">
        <v>3798</v>
      </c>
      <c r="C1780" t="s">
        <v>646</v>
      </c>
      <c r="D1780" t="s">
        <v>3779</v>
      </c>
      <c r="E1780" t="s">
        <v>647</v>
      </c>
      <c r="F1780" t="s">
        <v>3780</v>
      </c>
      <c r="G1780" t="s">
        <v>769</v>
      </c>
      <c r="H1780" t="s">
        <v>802</v>
      </c>
      <c r="I1780" t="s">
        <v>725</v>
      </c>
      <c r="J1780" t="s">
        <v>726</v>
      </c>
      <c r="K1780" t="s">
        <v>166</v>
      </c>
      <c r="L1780" t="s">
        <v>0</v>
      </c>
      <c r="M1780" t="s">
        <v>178</v>
      </c>
      <c r="N1780">
        <v>386.83240000000001</v>
      </c>
      <c r="O1780">
        <v>331.83240000000001</v>
      </c>
      <c r="P1780">
        <v>4703.34</v>
      </c>
      <c r="Q1780">
        <v>15864.04</v>
      </c>
      <c r="R1780">
        <v>2117.27</v>
      </c>
      <c r="S1780">
        <v>1901.3535722199999</v>
      </c>
      <c r="T1780">
        <v>0</v>
      </c>
      <c r="U1780">
        <v>74.31</v>
      </c>
      <c r="V1780">
        <v>2191.58</v>
      </c>
      <c r="W1780" t="s">
        <v>0</v>
      </c>
      <c r="X1780" t="s">
        <v>271</v>
      </c>
      <c r="Y1780" t="s">
        <v>3799</v>
      </c>
      <c r="AA1780" t="s">
        <v>3800</v>
      </c>
      <c r="AB1780" t="s">
        <v>181</v>
      </c>
    </row>
    <row r="1781" spans="1:28" x14ac:dyDescent="0.25">
      <c r="A1781" t="s">
        <v>4223</v>
      </c>
      <c r="B1781" t="s">
        <v>4224</v>
      </c>
      <c r="C1781" t="s">
        <v>646</v>
      </c>
      <c r="D1781" t="s">
        <v>3779</v>
      </c>
      <c r="E1781" t="s">
        <v>647</v>
      </c>
      <c r="F1781" t="s">
        <v>3780</v>
      </c>
      <c r="G1781" t="s">
        <v>769</v>
      </c>
      <c r="H1781" t="s">
        <v>770</v>
      </c>
      <c r="I1781" t="s">
        <v>4225</v>
      </c>
      <c r="J1781" t="s">
        <v>336</v>
      </c>
      <c r="K1781" t="s">
        <v>166</v>
      </c>
      <c r="L1781" t="s">
        <v>0</v>
      </c>
      <c r="M1781" t="s">
        <v>178</v>
      </c>
      <c r="N1781">
        <v>866.75</v>
      </c>
      <c r="O1781">
        <v>269.75</v>
      </c>
      <c r="P1781">
        <v>17499.45</v>
      </c>
      <c r="Q1781">
        <v>19625.02</v>
      </c>
      <c r="R1781">
        <v>4157.8900000000003</v>
      </c>
      <c r="S1781">
        <v>2140.0117468399999</v>
      </c>
      <c r="T1781">
        <v>0</v>
      </c>
      <c r="U1781">
        <v>0</v>
      </c>
      <c r="V1781">
        <v>4157.8900000000003</v>
      </c>
      <c r="W1781" t="s">
        <v>461</v>
      </c>
      <c r="X1781" t="s">
        <v>271</v>
      </c>
      <c r="Y1781" t="s">
        <v>4226</v>
      </c>
      <c r="AA1781" t="s">
        <v>4227</v>
      </c>
      <c r="AB1781" t="s">
        <v>181</v>
      </c>
    </row>
    <row r="1782" spans="1:28" x14ac:dyDescent="0.25">
      <c r="A1782" t="s">
        <v>3857</v>
      </c>
      <c r="B1782" t="s">
        <v>3858</v>
      </c>
      <c r="C1782" t="s">
        <v>646</v>
      </c>
      <c r="D1782" t="s">
        <v>3779</v>
      </c>
      <c r="E1782" t="s">
        <v>647</v>
      </c>
      <c r="F1782" t="s">
        <v>3780</v>
      </c>
      <c r="G1782" t="s">
        <v>769</v>
      </c>
      <c r="H1782" t="s">
        <v>770</v>
      </c>
      <c r="I1782" t="s">
        <v>952</v>
      </c>
      <c r="J1782" t="s">
        <v>434</v>
      </c>
      <c r="K1782" t="s">
        <v>166</v>
      </c>
      <c r="L1782" t="s">
        <v>0</v>
      </c>
      <c r="M1782" t="s">
        <v>178</v>
      </c>
      <c r="N1782">
        <v>90</v>
      </c>
      <c r="O1782">
        <v>64</v>
      </c>
      <c r="P1782">
        <v>1581</v>
      </c>
      <c r="Q1782">
        <v>2202.7399999999998</v>
      </c>
      <c r="R1782">
        <v>363.84</v>
      </c>
      <c r="S1782">
        <v>256.06928603</v>
      </c>
      <c r="T1782">
        <v>0</v>
      </c>
      <c r="U1782">
        <v>0</v>
      </c>
      <c r="V1782">
        <v>363.84</v>
      </c>
      <c r="W1782" t="s">
        <v>466</v>
      </c>
      <c r="X1782" t="s">
        <v>271</v>
      </c>
      <c r="Y1782" t="s">
        <v>3859</v>
      </c>
      <c r="AA1782" t="s">
        <v>3860</v>
      </c>
      <c r="AB1782" t="s">
        <v>181</v>
      </c>
    </row>
    <row r="1783" spans="1:28" x14ac:dyDescent="0.25">
      <c r="A1783" t="s">
        <v>4147</v>
      </c>
      <c r="B1783" t="s">
        <v>4148</v>
      </c>
      <c r="C1783" t="s">
        <v>646</v>
      </c>
      <c r="D1783" t="s">
        <v>3779</v>
      </c>
      <c r="E1783" t="s">
        <v>647</v>
      </c>
      <c r="F1783" t="s">
        <v>3780</v>
      </c>
      <c r="G1783" t="s">
        <v>769</v>
      </c>
      <c r="H1783" t="s">
        <v>1171</v>
      </c>
      <c r="I1783" t="s">
        <v>1301</v>
      </c>
      <c r="J1783" t="s">
        <v>1302</v>
      </c>
      <c r="K1783" t="s">
        <v>166</v>
      </c>
      <c r="L1783" t="s">
        <v>0</v>
      </c>
      <c r="M1783" t="s">
        <v>178</v>
      </c>
      <c r="N1783">
        <v>35</v>
      </c>
      <c r="O1783">
        <v>23</v>
      </c>
      <c r="P1783">
        <v>357.7</v>
      </c>
      <c r="Q1783">
        <v>6622.86</v>
      </c>
      <c r="R1783">
        <v>874.19314903999998</v>
      </c>
      <c r="S1783">
        <v>2.4380000000000002</v>
      </c>
      <c r="T1783">
        <v>7.3149039999999999E-2</v>
      </c>
      <c r="U1783">
        <v>0</v>
      </c>
      <c r="V1783">
        <v>874.12</v>
      </c>
      <c r="W1783" t="s">
        <v>1303</v>
      </c>
      <c r="X1783" t="s">
        <v>269</v>
      </c>
      <c r="Y1783" t="s">
        <v>4149</v>
      </c>
      <c r="AA1783" t="s">
        <v>4150</v>
      </c>
      <c r="AB1783" t="s">
        <v>181</v>
      </c>
    </row>
    <row r="1784" spans="1:28" x14ac:dyDescent="0.25">
      <c r="A1784" t="s">
        <v>3870</v>
      </c>
      <c r="B1784" t="s">
        <v>3871</v>
      </c>
      <c r="C1784" t="s">
        <v>646</v>
      </c>
      <c r="D1784" t="s">
        <v>3779</v>
      </c>
      <c r="E1784" t="s">
        <v>647</v>
      </c>
      <c r="F1784" t="s">
        <v>666</v>
      </c>
      <c r="G1784" t="s">
        <v>666</v>
      </c>
      <c r="H1784" t="s">
        <v>757</v>
      </c>
      <c r="I1784" t="s">
        <v>3872</v>
      </c>
      <c r="J1784" t="s">
        <v>355</v>
      </c>
      <c r="K1784" t="s">
        <v>166</v>
      </c>
      <c r="L1784" t="s">
        <v>0</v>
      </c>
      <c r="M1784" t="s">
        <v>178</v>
      </c>
      <c r="N1784">
        <v>568.25</v>
      </c>
      <c r="O1784">
        <v>86.25</v>
      </c>
      <c r="P1784">
        <v>3306.52</v>
      </c>
      <c r="Q1784">
        <v>13626.66</v>
      </c>
      <c r="R1784">
        <v>3512.67</v>
      </c>
      <c r="S1784">
        <v>2672.0184387899999</v>
      </c>
      <c r="T1784">
        <v>0</v>
      </c>
      <c r="U1784">
        <v>0</v>
      </c>
      <c r="V1784">
        <v>3512.67</v>
      </c>
      <c r="W1784" t="s">
        <v>0</v>
      </c>
      <c r="X1784" t="s">
        <v>271</v>
      </c>
      <c r="Y1784" t="s">
        <v>3873</v>
      </c>
      <c r="AA1784" t="s">
        <v>3874</v>
      </c>
      <c r="AB1784" t="s">
        <v>181</v>
      </c>
    </row>
    <row r="1785" spans="1:28" x14ac:dyDescent="0.25">
      <c r="A1785" t="s">
        <v>4113</v>
      </c>
      <c r="B1785" t="s">
        <v>4114</v>
      </c>
      <c r="C1785" t="s">
        <v>646</v>
      </c>
      <c r="D1785" t="s">
        <v>3779</v>
      </c>
      <c r="E1785" t="s">
        <v>647</v>
      </c>
      <c r="F1785" t="s">
        <v>3780</v>
      </c>
      <c r="G1785" t="s">
        <v>769</v>
      </c>
      <c r="H1785" t="s">
        <v>708</v>
      </c>
      <c r="I1785" t="s">
        <v>1913</v>
      </c>
      <c r="J1785" t="s">
        <v>1914</v>
      </c>
      <c r="K1785" t="s">
        <v>166</v>
      </c>
      <c r="L1785" t="s">
        <v>0</v>
      </c>
      <c r="M1785" t="s">
        <v>178</v>
      </c>
      <c r="N1785">
        <v>43.416699999999999</v>
      </c>
      <c r="O1785">
        <v>39.416699999999999</v>
      </c>
      <c r="P1785">
        <v>365.96</v>
      </c>
      <c r="Q1785">
        <v>1931.41</v>
      </c>
      <c r="R1785">
        <v>208.75</v>
      </c>
      <c r="S1785">
        <v>573.46677689000001</v>
      </c>
      <c r="T1785">
        <v>0</v>
      </c>
      <c r="U1785">
        <v>0</v>
      </c>
      <c r="V1785">
        <v>208.75</v>
      </c>
      <c r="W1785" t="s">
        <v>1915</v>
      </c>
      <c r="X1785" t="s">
        <v>269</v>
      </c>
      <c r="Y1785" t="s">
        <v>4115</v>
      </c>
      <c r="AA1785" t="s">
        <v>4116</v>
      </c>
      <c r="AB1785" t="s">
        <v>181</v>
      </c>
    </row>
    <row r="1786" spans="1:28" x14ac:dyDescent="0.25">
      <c r="A1786" t="s">
        <v>4047</v>
      </c>
      <c r="B1786" t="s">
        <v>4048</v>
      </c>
      <c r="C1786" t="s">
        <v>646</v>
      </c>
      <c r="D1786" t="s">
        <v>3779</v>
      </c>
      <c r="E1786" t="s">
        <v>647</v>
      </c>
      <c r="F1786" t="s">
        <v>666</v>
      </c>
      <c r="G1786" t="s">
        <v>666</v>
      </c>
      <c r="H1786" t="s">
        <v>679</v>
      </c>
      <c r="I1786" t="s">
        <v>2292</v>
      </c>
      <c r="J1786" t="s">
        <v>1847</v>
      </c>
      <c r="K1786" t="s">
        <v>166</v>
      </c>
      <c r="L1786" t="s">
        <v>0</v>
      </c>
      <c r="M1786" t="s">
        <v>178</v>
      </c>
      <c r="N1786">
        <v>86.249899999999997</v>
      </c>
      <c r="O1786">
        <v>44</v>
      </c>
      <c r="P1786">
        <v>631.21</v>
      </c>
      <c r="Q1786">
        <v>2388.27</v>
      </c>
      <c r="R1786">
        <v>-122.54708028</v>
      </c>
      <c r="S1786">
        <v>1384.35160307</v>
      </c>
      <c r="T1786">
        <v>-0.78708027999999997</v>
      </c>
      <c r="U1786">
        <v>0</v>
      </c>
      <c r="V1786">
        <v>-121.76</v>
      </c>
      <c r="W1786" t="s">
        <v>1848</v>
      </c>
      <c r="X1786" t="s">
        <v>269</v>
      </c>
      <c r="Y1786" t="s">
        <v>4049</v>
      </c>
      <c r="AA1786" t="s">
        <v>4050</v>
      </c>
      <c r="AB1786" t="s">
        <v>181</v>
      </c>
    </row>
    <row r="1787" spans="1:28" x14ac:dyDescent="0.25">
      <c r="A1787" t="s">
        <v>4361</v>
      </c>
      <c r="B1787" t="s">
        <v>4362</v>
      </c>
      <c r="C1787" t="s">
        <v>646</v>
      </c>
      <c r="D1787" t="s">
        <v>3779</v>
      </c>
      <c r="E1787" t="s">
        <v>647</v>
      </c>
      <c r="F1787" t="s">
        <v>3780</v>
      </c>
      <c r="G1787" t="s">
        <v>769</v>
      </c>
      <c r="H1787" t="s">
        <v>797</v>
      </c>
      <c r="I1787" t="s">
        <v>1712</v>
      </c>
      <c r="J1787" t="s">
        <v>335</v>
      </c>
      <c r="K1787" t="s">
        <v>166</v>
      </c>
      <c r="L1787" t="s">
        <v>0</v>
      </c>
      <c r="M1787" t="s">
        <v>178</v>
      </c>
      <c r="N1787">
        <v>8</v>
      </c>
      <c r="O1787">
        <v>2</v>
      </c>
      <c r="P1787">
        <v>85</v>
      </c>
      <c r="Q1787">
        <v>273.81</v>
      </c>
      <c r="R1787">
        <v>47.56</v>
      </c>
      <c r="S1787">
        <v>20.957000000000001</v>
      </c>
      <c r="T1787">
        <v>1.5</v>
      </c>
      <c r="U1787">
        <v>0</v>
      </c>
      <c r="V1787">
        <v>47.56</v>
      </c>
      <c r="W1787" t="s">
        <v>572</v>
      </c>
      <c r="X1787" t="s">
        <v>271</v>
      </c>
      <c r="Y1787" t="s">
        <v>4363</v>
      </c>
      <c r="AA1787" t="s">
        <v>4364</v>
      </c>
      <c r="AB1787" t="s">
        <v>181</v>
      </c>
    </row>
    <row r="1788" spans="1:28" x14ac:dyDescent="0.25">
      <c r="A1788" t="s">
        <v>4346</v>
      </c>
      <c r="B1788" t="s">
        <v>257</v>
      </c>
      <c r="C1788" t="s">
        <v>646</v>
      </c>
      <c r="D1788" t="s">
        <v>3779</v>
      </c>
      <c r="E1788" t="s">
        <v>647</v>
      </c>
      <c r="F1788" t="s">
        <v>3780</v>
      </c>
      <c r="G1788" t="s">
        <v>769</v>
      </c>
      <c r="H1788" t="s">
        <v>679</v>
      </c>
      <c r="I1788" t="s">
        <v>746</v>
      </c>
      <c r="J1788" t="s">
        <v>504</v>
      </c>
      <c r="K1788" t="s">
        <v>166</v>
      </c>
      <c r="L1788" t="s">
        <v>0</v>
      </c>
      <c r="M1788" t="s">
        <v>178</v>
      </c>
      <c r="N1788">
        <v>41</v>
      </c>
      <c r="O1788">
        <v>41</v>
      </c>
      <c r="P1788">
        <v>390.91</v>
      </c>
      <c r="Q1788">
        <v>1382.04</v>
      </c>
      <c r="R1788">
        <v>124.56253894</v>
      </c>
      <c r="S1788">
        <v>726.85477717000003</v>
      </c>
      <c r="T1788">
        <v>-1.6174610599999999</v>
      </c>
      <c r="U1788">
        <v>0</v>
      </c>
      <c r="V1788">
        <v>126.18</v>
      </c>
      <c r="W1788" t="s">
        <v>503</v>
      </c>
      <c r="X1788" t="s">
        <v>271</v>
      </c>
      <c r="Y1788" t="s">
        <v>4347</v>
      </c>
      <c r="AA1788" t="s">
        <v>4348</v>
      </c>
      <c r="AB1788" t="s">
        <v>181</v>
      </c>
    </row>
    <row r="1789" spans="1:28" x14ac:dyDescent="0.25">
      <c r="A1789" t="s">
        <v>4265</v>
      </c>
      <c r="B1789" t="s">
        <v>4266</v>
      </c>
      <c r="C1789" t="s">
        <v>646</v>
      </c>
      <c r="D1789" t="s">
        <v>3779</v>
      </c>
      <c r="E1789" t="s">
        <v>647</v>
      </c>
      <c r="F1789" t="s">
        <v>666</v>
      </c>
      <c r="G1789" t="s">
        <v>666</v>
      </c>
      <c r="H1789" t="s">
        <v>703</v>
      </c>
      <c r="I1789" t="s">
        <v>4267</v>
      </c>
      <c r="J1789" t="s">
        <v>326</v>
      </c>
      <c r="K1789" t="s">
        <v>166</v>
      </c>
      <c r="L1789" t="s">
        <v>0</v>
      </c>
      <c r="M1789" t="s">
        <v>178</v>
      </c>
      <c r="N1789">
        <v>1004.367</v>
      </c>
      <c r="O1789">
        <v>309.08370000000002</v>
      </c>
      <c r="P1789">
        <v>14702.24</v>
      </c>
      <c r="Q1789">
        <v>33700.239999999998</v>
      </c>
      <c r="R1789">
        <v>3594.7444251500001</v>
      </c>
      <c r="S1789">
        <v>4457.5917878999999</v>
      </c>
      <c r="T1789">
        <v>466.28442515</v>
      </c>
      <c r="U1789">
        <v>38.67</v>
      </c>
      <c r="V1789">
        <v>3660.21</v>
      </c>
      <c r="W1789" t="s">
        <v>450</v>
      </c>
      <c r="X1789" t="s">
        <v>271</v>
      </c>
      <c r="Y1789" t="s">
        <v>4268</v>
      </c>
      <c r="AA1789" t="s">
        <v>4269</v>
      </c>
      <c r="AB1789" t="s">
        <v>181</v>
      </c>
    </row>
    <row r="1790" spans="1:28" x14ac:dyDescent="0.25">
      <c r="A1790" t="s">
        <v>4035</v>
      </c>
      <c r="B1790" t="s">
        <v>4036</v>
      </c>
      <c r="C1790" t="s">
        <v>646</v>
      </c>
      <c r="D1790" t="s">
        <v>3779</v>
      </c>
      <c r="E1790" t="s">
        <v>647</v>
      </c>
      <c r="F1790" t="s">
        <v>3780</v>
      </c>
      <c r="G1790" t="s">
        <v>769</v>
      </c>
      <c r="H1790" t="s">
        <v>708</v>
      </c>
      <c r="I1790" t="s">
        <v>3464</v>
      </c>
      <c r="J1790" t="s">
        <v>688</v>
      </c>
      <c r="K1790" t="s">
        <v>166</v>
      </c>
      <c r="L1790" t="s">
        <v>0</v>
      </c>
      <c r="M1790" t="s">
        <v>178</v>
      </c>
      <c r="N1790">
        <v>179.2</v>
      </c>
      <c r="O1790">
        <v>110.2</v>
      </c>
      <c r="P1790">
        <v>652.11</v>
      </c>
      <c r="Q1790">
        <v>5030.54</v>
      </c>
      <c r="R1790">
        <v>1331.99</v>
      </c>
      <c r="S1790">
        <v>1045.09152232</v>
      </c>
      <c r="T1790">
        <v>0</v>
      </c>
      <c r="U1790">
        <v>0</v>
      </c>
      <c r="V1790">
        <v>1331.99</v>
      </c>
      <c r="W1790" t="s">
        <v>0</v>
      </c>
      <c r="X1790" t="s">
        <v>271</v>
      </c>
      <c r="Y1790" t="s">
        <v>4037</v>
      </c>
      <c r="AA1790" t="s">
        <v>4038</v>
      </c>
      <c r="AB1790" t="s">
        <v>181</v>
      </c>
    </row>
    <row r="1791" spans="1:28" x14ac:dyDescent="0.25">
      <c r="A1791" t="s">
        <v>4078</v>
      </c>
      <c r="B1791" t="s">
        <v>4079</v>
      </c>
      <c r="C1791" t="s">
        <v>646</v>
      </c>
      <c r="D1791" t="s">
        <v>3779</v>
      </c>
      <c r="E1791" t="s">
        <v>647</v>
      </c>
      <c r="F1791" t="s">
        <v>3780</v>
      </c>
      <c r="G1791" t="s">
        <v>769</v>
      </c>
      <c r="H1791" t="s">
        <v>757</v>
      </c>
      <c r="I1791" t="s">
        <v>885</v>
      </c>
      <c r="J1791" t="s">
        <v>324</v>
      </c>
      <c r="K1791" t="s">
        <v>166</v>
      </c>
      <c r="L1791" t="s">
        <v>0</v>
      </c>
      <c r="M1791" t="s">
        <v>178</v>
      </c>
      <c r="N1791">
        <v>240</v>
      </c>
      <c r="O1791">
        <v>138</v>
      </c>
      <c r="P1791">
        <v>4606.12</v>
      </c>
      <c r="Q1791">
        <v>9159.92</v>
      </c>
      <c r="R1791">
        <v>359.90023501000002</v>
      </c>
      <c r="S1791">
        <v>1517.4220742099999</v>
      </c>
      <c r="T1791">
        <v>4.0702350100000002</v>
      </c>
      <c r="U1791">
        <v>0</v>
      </c>
      <c r="V1791">
        <v>355.83</v>
      </c>
      <c r="W1791" t="s">
        <v>519</v>
      </c>
      <c r="X1791" t="s">
        <v>271</v>
      </c>
      <c r="Y1791" t="s">
        <v>4080</v>
      </c>
      <c r="AA1791" t="s">
        <v>4081</v>
      </c>
      <c r="AB1791" t="s">
        <v>181</v>
      </c>
    </row>
    <row r="1792" spans="1:28" x14ac:dyDescent="0.25">
      <c r="A1792" t="s">
        <v>3998</v>
      </c>
      <c r="B1792" t="s">
        <v>3999</v>
      </c>
      <c r="C1792" t="s">
        <v>646</v>
      </c>
      <c r="D1792" t="s">
        <v>3779</v>
      </c>
      <c r="E1792" t="s">
        <v>647</v>
      </c>
      <c r="F1792" t="s">
        <v>3780</v>
      </c>
      <c r="G1792" t="s">
        <v>769</v>
      </c>
      <c r="H1792" t="s">
        <v>757</v>
      </c>
      <c r="I1792" t="s">
        <v>1636</v>
      </c>
      <c r="J1792" t="s">
        <v>1637</v>
      </c>
      <c r="K1792" t="s">
        <v>166</v>
      </c>
      <c r="L1792" t="s">
        <v>0</v>
      </c>
      <c r="M1792" t="s">
        <v>178</v>
      </c>
      <c r="N1792">
        <v>456.5</v>
      </c>
      <c r="O1792">
        <v>202.5</v>
      </c>
      <c r="P1792">
        <v>9686.4500000000007</v>
      </c>
      <c r="Q1792">
        <v>14335.91</v>
      </c>
      <c r="R1792">
        <v>1645.19</v>
      </c>
      <c r="S1792">
        <v>2603.03101161</v>
      </c>
      <c r="T1792">
        <v>2.4</v>
      </c>
      <c r="U1792">
        <v>0</v>
      </c>
      <c r="V1792">
        <v>1642.79</v>
      </c>
      <c r="W1792" t="s">
        <v>1638</v>
      </c>
      <c r="X1792" t="s">
        <v>271</v>
      </c>
      <c r="Y1792" t="s">
        <v>4000</v>
      </c>
      <c r="AA1792" t="s">
        <v>4001</v>
      </c>
      <c r="AB1792" t="s">
        <v>181</v>
      </c>
    </row>
    <row r="1793" spans="1:28" x14ac:dyDescent="0.25">
      <c r="A1793" t="s">
        <v>4357</v>
      </c>
      <c r="B1793" t="s">
        <v>4358</v>
      </c>
      <c r="C1793" t="s">
        <v>646</v>
      </c>
      <c r="D1793" t="s">
        <v>3779</v>
      </c>
      <c r="E1793" t="s">
        <v>647</v>
      </c>
      <c r="F1793" t="s">
        <v>3780</v>
      </c>
      <c r="G1793" t="s">
        <v>769</v>
      </c>
      <c r="H1793" t="s">
        <v>770</v>
      </c>
      <c r="I1793" t="s">
        <v>1599</v>
      </c>
      <c r="J1793" t="s">
        <v>1600</v>
      </c>
      <c r="K1793" t="s">
        <v>166</v>
      </c>
      <c r="L1793" t="s">
        <v>0</v>
      </c>
      <c r="M1793" t="s">
        <v>178</v>
      </c>
      <c r="N1793">
        <v>358</v>
      </c>
      <c r="O1793">
        <v>94</v>
      </c>
      <c r="P1793">
        <v>6585</v>
      </c>
      <c r="Q1793">
        <v>8817.0400000000009</v>
      </c>
      <c r="R1793">
        <v>2422.7800000000002</v>
      </c>
      <c r="S1793">
        <v>1109.0137511800001</v>
      </c>
      <c r="T1793">
        <v>0</v>
      </c>
      <c r="U1793">
        <v>0</v>
      </c>
      <c r="V1793">
        <v>2422.7800000000002</v>
      </c>
      <c r="W1793" t="s">
        <v>1601</v>
      </c>
      <c r="X1793" t="s">
        <v>269</v>
      </c>
      <c r="Y1793" t="s">
        <v>4359</v>
      </c>
      <c r="AA1793" t="s">
        <v>4360</v>
      </c>
      <c r="AB1793" t="s">
        <v>181</v>
      </c>
    </row>
    <row r="1794" spans="1:28" x14ac:dyDescent="0.25">
      <c r="A1794" t="s">
        <v>4078</v>
      </c>
      <c r="B1794" t="s">
        <v>4079</v>
      </c>
      <c r="C1794" t="s">
        <v>646</v>
      </c>
      <c r="D1794" t="s">
        <v>3779</v>
      </c>
      <c r="E1794" t="s">
        <v>647</v>
      </c>
      <c r="F1794" t="s">
        <v>3780</v>
      </c>
      <c r="G1794" t="s">
        <v>769</v>
      </c>
      <c r="H1794" t="s">
        <v>1171</v>
      </c>
      <c r="I1794" t="s">
        <v>885</v>
      </c>
      <c r="J1794" t="s">
        <v>324</v>
      </c>
      <c r="K1794" t="s">
        <v>166</v>
      </c>
      <c r="L1794" t="s">
        <v>0</v>
      </c>
      <c r="M1794" t="s">
        <v>178</v>
      </c>
      <c r="N1794">
        <v>87</v>
      </c>
      <c r="O1794">
        <v>86</v>
      </c>
      <c r="P1794">
        <v>5540.47</v>
      </c>
      <c r="Q1794">
        <v>22968.81</v>
      </c>
      <c r="R1794">
        <v>929.07870204999995</v>
      </c>
      <c r="S1794">
        <v>476.85671833999999</v>
      </c>
      <c r="T1794">
        <v>0.26870205000000003</v>
      </c>
      <c r="U1794">
        <v>0</v>
      </c>
      <c r="V1794">
        <v>928.81</v>
      </c>
      <c r="W1794" t="s">
        <v>519</v>
      </c>
      <c r="X1794" t="s">
        <v>271</v>
      </c>
      <c r="Y1794" t="s">
        <v>4080</v>
      </c>
      <c r="AA1794" t="s">
        <v>4081</v>
      </c>
      <c r="AB1794" t="s">
        <v>181</v>
      </c>
    </row>
    <row r="1795" spans="1:28" x14ac:dyDescent="0.25">
      <c r="A1795" t="s">
        <v>4069</v>
      </c>
      <c r="B1795" t="s">
        <v>4070</v>
      </c>
      <c r="C1795" t="s">
        <v>646</v>
      </c>
      <c r="D1795" t="s">
        <v>3779</v>
      </c>
      <c r="E1795" t="s">
        <v>647</v>
      </c>
      <c r="F1795" t="s">
        <v>3780</v>
      </c>
      <c r="G1795" t="s">
        <v>769</v>
      </c>
      <c r="H1795" t="s">
        <v>708</v>
      </c>
      <c r="I1795" t="s">
        <v>4071</v>
      </c>
      <c r="J1795" t="s">
        <v>785</v>
      </c>
      <c r="K1795" t="s">
        <v>166</v>
      </c>
      <c r="L1795" t="s">
        <v>0</v>
      </c>
      <c r="M1795" t="s">
        <v>178</v>
      </c>
      <c r="N1795">
        <v>0.33329999999999999</v>
      </c>
      <c r="O1795">
        <v>0.33329999999999999</v>
      </c>
      <c r="P1795">
        <v>2.64</v>
      </c>
      <c r="Q1795">
        <v>39.94</v>
      </c>
      <c r="R1795">
        <v>10.78</v>
      </c>
      <c r="S1795">
        <v>23.720960999999999</v>
      </c>
      <c r="T1795">
        <v>0</v>
      </c>
      <c r="U1795">
        <v>0</v>
      </c>
      <c r="V1795">
        <v>10.78</v>
      </c>
      <c r="W1795" t="s">
        <v>0</v>
      </c>
      <c r="X1795" t="s">
        <v>271</v>
      </c>
      <c r="Y1795" t="s">
        <v>4072</v>
      </c>
      <c r="AA1795" t="s">
        <v>4073</v>
      </c>
      <c r="AB1795" t="s">
        <v>181</v>
      </c>
    </row>
    <row r="1796" spans="1:28" x14ac:dyDescent="0.25">
      <c r="A1796" t="s">
        <v>3877</v>
      </c>
      <c r="B1796" t="s">
        <v>3878</v>
      </c>
      <c r="C1796" t="s">
        <v>646</v>
      </c>
      <c r="D1796" t="s">
        <v>3779</v>
      </c>
      <c r="E1796" t="s">
        <v>647</v>
      </c>
      <c r="F1796" t="s">
        <v>648</v>
      </c>
      <c r="G1796" t="s">
        <v>648</v>
      </c>
      <c r="H1796" t="s">
        <v>761</v>
      </c>
      <c r="I1796" t="s">
        <v>3879</v>
      </c>
      <c r="J1796" t="s">
        <v>3880</v>
      </c>
      <c r="K1796" t="s">
        <v>166</v>
      </c>
      <c r="L1796" t="s">
        <v>0</v>
      </c>
      <c r="M1796" t="s">
        <v>178</v>
      </c>
      <c r="N1796">
        <v>28</v>
      </c>
      <c r="O1796">
        <v>28</v>
      </c>
      <c r="P1796">
        <v>1081.82</v>
      </c>
      <c r="Q1796">
        <v>921.4</v>
      </c>
      <c r="R1796">
        <v>103</v>
      </c>
      <c r="S1796">
        <v>135.70830278</v>
      </c>
      <c r="T1796">
        <v>0</v>
      </c>
      <c r="U1796">
        <v>0</v>
      </c>
      <c r="V1796">
        <v>103</v>
      </c>
      <c r="W1796" t="s">
        <v>1079</v>
      </c>
      <c r="X1796" t="s">
        <v>271</v>
      </c>
      <c r="Y1796" t="s">
        <v>3881</v>
      </c>
      <c r="AA1796" t="s">
        <v>3882</v>
      </c>
      <c r="AB1796" t="s">
        <v>181</v>
      </c>
    </row>
    <row r="1797" spans="1:28" x14ac:dyDescent="0.25">
      <c r="A1797" t="s">
        <v>4184</v>
      </c>
      <c r="B1797" t="s">
        <v>4185</v>
      </c>
      <c r="C1797" t="s">
        <v>646</v>
      </c>
      <c r="D1797" t="s">
        <v>3779</v>
      </c>
      <c r="E1797" t="s">
        <v>647</v>
      </c>
      <c r="F1797" t="s">
        <v>3780</v>
      </c>
      <c r="G1797" t="s">
        <v>769</v>
      </c>
      <c r="H1797" t="s">
        <v>909</v>
      </c>
      <c r="I1797" t="s">
        <v>4186</v>
      </c>
      <c r="J1797" t="s">
        <v>1164</v>
      </c>
      <c r="K1797" t="s">
        <v>166</v>
      </c>
      <c r="L1797" t="s">
        <v>0</v>
      </c>
      <c r="M1797" t="s">
        <v>178</v>
      </c>
      <c r="N1797">
        <v>268.3</v>
      </c>
      <c r="O1797">
        <v>268</v>
      </c>
      <c r="P1797">
        <v>8041.15</v>
      </c>
      <c r="Q1797">
        <v>10286.620000000001</v>
      </c>
      <c r="R1797">
        <v>722.60213842999997</v>
      </c>
      <c r="S1797">
        <v>2768.4592422999999</v>
      </c>
      <c r="T1797">
        <v>1.42213843</v>
      </c>
      <c r="U1797">
        <v>98.5</v>
      </c>
      <c r="V1797">
        <v>819.68</v>
      </c>
      <c r="W1797" t="s">
        <v>1165</v>
      </c>
      <c r="X1797" t="s">
        <v>271</v>
      </c>
      <c r="Y1797" t="s">
        <v>4187</v>
      </c>
      <c r="AA1797" t="s">
        <v>4188</v>
      </c>
      <c r="AB1797" t="s">
        <v>181</v>
      </c>
    </row>
    <row r="1798" spans="1:28" x14ac:dyDescent="0.25">
      <c r="A1798" t="s">
        <v>3929</v>
      </c>
      <c r="B1798" t="s">
        <v>3930</v>
      </c>
      <c r="C1798" t="s">
        <v>646</v>
      </c>
      <c r="D1798" t="s">
        <v>3779</v>
      </c>
      <c r="E1798" t="s">
        <v>647</v>
      </c>
      <c r="F1798" t="s">
        <v>3780</v>
      </c>
      <c r="G1798" t="s">
        <v>769</v>
      </c>
      <c r="H1798" t="s">
        <v>770</v>
      </c>
      <c r="I1798" t="s">
        <v>3649</v>
      </c>
      <c r="J1798" t="s">
        <v>1567</v>
      </c>
      <c r="K1798" t="s">
        <v>166</v>
      </c>
      <c r="L1798" t="s">
        <v>0</v>
      </c>
      <c r="M1798" t="s">
        <v>178</v>
      </c>
      <c r="N1798">
        <v>24</v>
      </c>
      <c r="O1798">
        <v>7</v>
      </c>
      <c r="P1798">
        <v>174</v>
      </c>
      <c r="Q1798">
        <v>479.84</v>
      </c>
      <c r="R1798">
        <v>150.81</v>
      </c>
      <c r="S1798">
        <v>59.433162209999999</v>
      </c>
      <c r="T1798">
        <v>0</v>
      </c>
      <c r="U1798">
        <v>0</v>
      </c>
      <c r="V1798">
        <v>150.81</v>
      </c>
      <c r="W1798" t="s">
        <v>556</v>
      </c>
      <c r="X1798" t="s">
        <v>271</v>
      </c>
      <c r="Y1798" t="s">
        <v>3931</v>
      </c>
      <c r="AA1798" t="s">
        <v>3932</v>
      </c>
      <c r="AB1798" t="s">
        <v>181</v>
      </c>
    </row>
    <row r="1799" spans="1:28" x14ac:dyDescent="0.25">
      <c r="A1799" t="s">
        <v>4031</v>
      </c>
      <c r="B1799" t="s">
        <v>4032</v>
      </c>
      <c r="C1799" t="s">
        <v>646</v>
      </c>
      <c r="D1799" t="s">
        <v>3779</v>
      </c>
      <c r="E1799" t="s">
        <v>647</v>
      </c>
      <c r="F1799" t="s">
        <v>3780</v>
      </c>
      <c r="G1799" t="s">
        <v>769</v>
      </c>
      <c r="H1799" t="s">
        <v>1175</v>
      </c>
      <c r="I1799" t="s">
        <v>1513</v>
      </c>
      <c r="J1799" t="s">
        <v>333</v>
      </c>
      <c r="K1799" t="s">
        <v>166</v>
      </c>
      <c r="L1799" t="s">
        <v>0</v>
      </c>
      <c r="M1799" t="s">
        <v>178</v>
      </c>
      <c r="N1799">
        <v>10</v>
      </c>
      <c r="O1799">
        <v>10</v>
      </c>
      <c r="P1799">
        <v>160</v>
      </c>
      <c r="Q1799">
        <v>253.44</v>
      </c>
      <c r="R1799">
        <v>18.64</v>
      </c>
      <c r="S1799">
        <v>43.366861049999997</v>
      </c>
      <c r="T1799">
        <v>0</v>
      </c>
      <c r="U1799">
        <v>0</v>
      </c>
      <c r="V1799">
        <v>18.64</v>
      </c>
      <c r="W1799" t="s">
        <v>718</v>
      </c>
      <c r="X1799" t="s">
        <v>271</v>
      </c>
      <c r="Y1799" t="s">
        <v>4033</v>
      </c>
      <c r="AA1799" t="s">
        <v>4034</v>
      </c>
      <c r="AB1799" t="s">
        <v>181</v>
      </c>
    </row>
    <row r="1800" spans="1:28" x14ac:dyDescent="0.25">
      <c r="A1800" t="s">
        <v>3865</v>
      </c>
      <c r="B1800" t="s">
        <v>3866</v>
      </c>
      <c r="C1800" t="s">
        <v>646</v>
      </c>
      <c r="D1800" t="s">
        <v>3779</v>
      </c>
      <c r="E1800" t="s">
        <v>647</v>
      </c>
      <c r="F1800" t="s">
        <v>3780</v>
      </c>
      <c r="G1800" t="s">
        <v>769</v>
      </c>
      <c r="H1800" t="s">
        <v>909</v>
      </c>
      <c r="I1800" t="s">
        <v>3867</v>
      </c>
      <c r="J1800" t="s">
        <v>881</v>
      </c>
      <c r="K1800" t="s">
        <v>166</v>
      </c>
      <c r="L1800" t="s">
        <v>0</v>
      </c>
      <c r="M1800" t="s">
        <v>178</v>
      </c>
      <c r="N1800">
        <v>151.25</v>
      </c>
      <c r="O1800">
        <v>151.25</v>
      </c>
      <c r="P1800">
        <v>5207.55</v>
      </c>
      <c r="Q1800">
        <v>3981.43</v>
      </c>
      <c r="R1800">
        <v>587.98</v>
      </c>
      <c r="S1800">
        <v>820.61082327999998</v>
      </c>
      <c r="T1800">
        <v>0</v>
      </c>
      <c r="U1800">
        <v>0</v>
      </c>
      <c r="V1800">
        <v>587.98</v>
      </c>
      <c r="W1800" t="s">
        <v>0</v>
      </c>
      <c r="X1800" t="s">
        <v>271</v>
      </c>
      <c r="Y1800" t="s">
        <v>3868</v>
      </c>
      <c r="AA1800" t="s">
        <v>3869</v>
      </c>
      <c r="AB1800" t="s">
        <v>181</v>
      </c>
    </row>
    <row r="1801" spans="1:28" x14ac:dyDescent="0.25">
      <c r="A1801" t="s">
        <v>4201</v>
      </c>
      <c r="B1801" t="s">
        <v>4202</v>
      </c>
      <c r="C1801" t="s">
        <v>646</v>
      </c>
      <c r="D1801" t="s">
        <v>3779</v>
      </c>
      <c r="E1801" t="s">
        <v>647</v>
      </c>
      <c r="F1801" t="s">
        <v>3780</v>
      </c>
      <c r="G1801" t="s">
        <v>769</v>
      </c>
      <c r="H1801" t="s">
        <v>1045</v>
      </c>
      <c r="I1801" t="s">
        <v>4203</v>
      </c>
      <c r="J1801" t="s">
        <v>688</v>
      </c>
      <c r="K1801" t="s">
        <v>166</v>
      </c>
      <c r="L1801" t="s">
        <v>0</v>
      </c>
      <c r="M1801" t="s">
        <v>178</v>
      </c>
      <c r="N1801">
        <v>79</v>
      </c>
      <c r="O1801">
        <v>69</v>
      </c>
      <c r="P1801">
        <v>790</v>
      </c>
      <c r="Q1801">
        <v>3241.11</v>
      </c>
      <c r="R1801">
        <v>392.28</v>
      </c>
      <c r="S1801">
        <v>458.88136478000001</v>
      </c>
      <c r="T1801">
        <v>0</v>
      </c>
      <c r="U1801">
        <v>0</v>
      </c>
      <c r="V1801">
        <v>392.28</v>
      </c>
      <c r="W1801" t="s">
        <v>0</v>
      </c>
      <c r="X1801" t="s">
        <v>271</v>
      </c>
      <c r="Y1801" t="s">
        <v>4204</v>
      </c>
      <c r="AA1801" t="s">
        <v>4205</v>
      </c>
      <c r="AB1801" t="s">
        <v>181</v>
      </c>
    </row>
    <row r="1802" spans="1:28" x14ac:dyDescent="0.25">
      <c r="A1802" t="s">
        <v>4280</v>
      </c>
      <c r="B1802" t="s">
        <v>4281</v>
      </c>
      <c r="C1802" t="s">
        <v>646</v>
      </c>
      <c r="D1802" t="s">
        <v>3779</v>
      </c>
      <c r="E1802" t="s">
        <v>647</v>
      </c>
      <c r="F1802" t="s">
        <v>3780</v>
      </c>
      <c r="G1802" t="s">
        <v>769</v>
      </c>
      <c r="H1802" t="s">
        <v>770</v>
      </c>
      <c r="I1802" t="s">
        <v>1872</v>
      </c>
      <c r="J1802" t="s">
        <v>1873</v>
      </c>
      <c r="K1802" t="s">
        <v>166</v>
      </c>
      <c r="L1802" t="s">
        <v>0</v>
      </c>
      <c r="M1802" t="s">
        <v>178</v>
      </c>
      <c r="N1802">
        <v>32</v>
      </c>
      <c r="O1802">
        <v>5</v>
      </c>
      <c r="P1802">
        <v>131</v>
      </c>
      <c r="Q1802">
        <v>646.25</v>
      </c>
      <c r="R1802">
        <v>139.58000000000001</v>
      </c>
      <c r="S1802">
        <v>80.607460399999994</v>
      </c>
      <c r="T1802">
        <v>0</v>
      </c>
      <c r="U1802">
        <v>0</v>
      </c>
      <c r="V1802">
        <v>139.58000000000001</v>
      </c>
      <c r="W1802" t="s">
        <v>1874</v>
      </c>
      <c r="X1802" t="s">
        <v>271</v>
      </c>
      <c r="Y1802" t="s">
        <v>4282</v>
      </c>
      <c r="AA1802" t="s">
        <v>4283</v>
      </c>
      <c r="AB1802" t="s">
        <v>181</v>
      </c>
    </row>
    <row r="1803" spans="1:28" x14ac:dyDescent="0.25">
      <c r="A1803" t="s">
        <v>3948</v>
      </c>
      <c r="B1803" t="s">
        <v>3949</v>
      </c>
      <c r="C1803" t="s">
        <v>646</v>
      </c>
      <c r="D1803" t="s">
        <v>3779</v>
      </c>
      <c r="E1803" t="s">
        <v>647</v>
      </c>
      <c r="F1803" t="s">
        <v>3780</v>
      </c>
      <c r="G1803" t="s">
        <v>769</v>
      </c>
      <c r="H1803" t="s">
        <v>672</v>
      </c>
      <c r="I1803" t="s">
        <v>2250</v>
      </c>
      <c r="J1803" t="s">
        <v>358</v>
      </c>
      <c r="K1803" t="s">
        <v>166</v>
      </c>
      <c r="L1803" t="s">
        <v>0</v>
      </c>
      <c r="M1803" t="s">
        <v>178</v>
      </c>
      <c r="N1803">
        <v>41</v>
      </c>
      <c r="O1803">
        <v>1</v>
      </c>
      <c r="P1803">
        <v>1452</v>
      </c>
      <c r="Q1803">
        <v>2242.69</v>
      </c>
      <c r="R1803">
        <v>591.86991982999996</v>
      </c>
      <c r="S1803">
        <v>102.42317163</v>
      </c>
      <c r="T1803">
        <v>4.9919829999999998E-2</v>
      </c>
      <c r="U1803">
        <v>0</v>
      </c>
      <c r="V1803">
        <v>591.82000000000005</v>
      </c>
      <c r="W1803" t="s">
        <v>357</v>
      </c>
      <c r="X1803" t="s">
        <v>271</v>
      </c>
      <c r="Y1803" t="s">
        <v>3950</v>
      </c>
      <c r="AA1803" t="s">
        <v>3951</v>
      </c>
      <c r="AB1803" t="s">
        <v>181</v>
      </c>
    </row>
    <row r="1804" spans="1:28" x14ac:dyDescent="0.25">
      <c r="A1804" t="s">
        <v>4316</v>
      </c>
      <c r="B1804" t="s">
        <v>4317</v>
      </c>
      <c r="C1804" t="s">
        <v>646</v>
      </c>
      <c r="D1804" t="s">
        <v>3779</v>
      </c>
      <c r="E1804" t="s">
        <v>647</v>
      </c>
      <c r="F1804" t="s">
        <v>3780</v>
      </c>
      <c r="G1804" t="s">
        <v>769</v>
      </c>
      <c r="H1804" t="s">
        <v>1515</v>
      </c>
      <c r="I1804" t="s">
        <v>1290</v>
      </c>
      <c r="J1804" t="s">
        <v>1291</v>
      </c>
      <c r="K1804" t="s">
        <v>166</v>
      </c>
      <c r="L1804" t="s">
        <v>0</v>
      </c>
      <c r="M1804" t="s">
        <v>178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 t="s">
        <v>1292</v>
      </c>
      <c r="X1804" t="s">
        <v>271</v>
      </c>
      <c r="Y1804" t="s">
        <v>4318</v>
      </c>
      <c r="AA1804" t="s">
        <v>4319</v>
      </c>
      <c r="AB1804" t="s">
        <v>181</v>
      </c>
    </row>
    <row r="1805" spans="1:28" x14ac:dyDescent="0.25">
      <c r="A1805" t="s">
        <v>4172</v>
      </c>
      <c r="B1805" t="s">
        <v>4173</v>
      </c>
      <c r="C1805" t="s">
        <v>646</v>
      </c>
      <c r="D1805" t="s">
        <v>3779</v>
      </c>
      <c r="E1805" t="s">
        <v>647</v>
      </c>
      <c r="F1805" t="s">
        <v>3780</v>
      </c>
      <c r="G1805" t="s">
        <v>769</v>
      </c>
      <c r="H1805" t="s">
        <v>1515</v>
      </c>
      <c r="I1805" t="s">
        <v>1801</v>
      </c>
      <c r="J1805" t="s">
        <v>437</v>
      </c>
      <c r="K1805" t="s">
        <v>166</v>
      </c>
      <c r="L1805" t="s">
        <v>0</v>
      </c>
      <c r="M1805" t="s">
        <v>178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 t="s">
        <v>510</v>
      </c>
      <c r="X1805" t="s">
        <v>271</v>
      </c>
      <c r="Y1805" t="s">
        <v>4174</v>
      </c>
      <c r="Z1805" t="s">
        <v>4175</v>
      </c>
      <c r="AA1805" t="s">
        <v>4176</v>
      </c>
      <c r="AB1805" t="s">
        <v>181</v>
      </c>
    </row>
    <row r="1806" spans="1:28" x14ac:dyDescent="0.25">
      <c r="A1806" t="s">
        <v>3938</v>
      </c>
      <c r="B1806" t="s">
        <v>3939</v>
      </c>
      <c r="C1806" t="s">
        <v>646</v>
      </c>
      <c r="D1806" t="s">
        <v>3779</v>
      </c>
      <c r="E1806" t="s">
        <v>647</v>
      </c>
      <c r="F1806" t="s">
        <v>3780</v>
      </c>
      <c r="G1806" t="s">
        <v>769</v>
      </c>
      <c r="H1806" t="s">
        <v>717</v>
      </c>
      <c r="I1806" t="s">
        <v>3940</v>
      </c>
      <c r="J1806" t="s">
        <v>3941</v>
      </c>
      <c r="K1806" t="s">
        <v>166</v>
      </c>
      <c r="L1806" t="s">
        <v>0</v>
      </c>
      <c r="M1806" t="s">
        <v>178</v>
      </c>
      <c r="N1806">
        <v>2</v>
      </c>
      <c r="O1806">
        <v>2</v>
      </c>
      <c r="P1806">
        <v>20</v>
      </c>
      <c r="Q1806">
        <v>79.599999999999994</v>
      </c>
      <c r="R1806">
        <v>6.4687020500000001</v>
      </c>
      <c r="S1806">
        <v>0</v>
      </c>
      <c r="T1806">
        <v>0.26870205000000003</v>
      </c>
      <c r="U1806">
        <v>0</v>
      </c>
      <c r="V1806">
        <v>6.2</v>
      </c>
      <c r="W1806" t="s">
        <v>0</v>
      </c>
      <c r="X1806" t="s">
        <v>271</v>
      </c>
      <c r="Y1806" t="s">
        <v>3942</v>
      </c>
      <c r="AA1806" t="s">
        <v>3943</v>
      </c>
      <c r="AB1806" t="s">
        <v>181</v>
      </c>
    </row>
    <row r="1807" spans="1:28" x14ac:dyDescent="0.25">
      <c r="A1807" t="s">
        <v>4015</v>
      </c>
      <c r="B1807" t="s">
        <v>4016</v>
      </c>
      <c r="C1807" t="s">
        <v>646</v>
      </c>
      <c r="D1807" t="s">
        <v>3779</v>
      </c>
      <c r="E1807" t="s">
        <v>647</v>
      </c>
      <c r="F1807" t="s">
        <v>3780</v>
      </c>
      <c r="G1807" t="s">
        <v>769</v>
      </c>
      <c r="H1807" t="s">
        <v>856</v>
      </c>
      <c r="I1807" t="s">
        <v>4017</v>
      </c>
      <c r="J1807" t="s">
        <v>4018</v>
      </c>
      <c r="K1807" t="s">
        <v>166</v>
      </c>
      <c r="L1807" t="s">
        <v>0</v>
      </c>
      <c r="M1807" t="s">
        <v>178</v>
      </c>
      <c r="N1807">
        <v>5</v>
      </c>
      <c r="O1807">
        <v>0</v>
      </c>
      <c r="P1807">
        <v>71.290000000000006</v>
      </c>
      <c r="Q1807">
        <v>829.36</v>
      </c>
      <c r="R1807">
        <v>142.22</v>
      </c>
      <c r="S1807">
        <v>11.26731959</v>
      </c>
      <c r="T1807">
        <v>0</v>
      </c>
      <c r="U1807">
        <v>0</v>
      </c>
      <c r="V1807">
        <v>142.22</v>
      </c>
      <c r="W1807" t="s">
        <v>4019</v>
      </c>
      <c r="X1807" t="s">
        <v>271</v>
      </c>
      <c r="Y1807" t="s">
        <v>4020</v>
      </c>
      <c r="AA1807" t="s">
        <v>4021</v>
      </c>
      <c r="AB1807" t="s">
        <v>181</v>
      </c>
    </row>
    <row r="1808" spans="1:28" x14ac:dyDescent="0.25">
      <c r="A1808" t="s">
        <v>3992</v>
      </c>
      <c r="B1808" t="s">
        <v>3993</v>
      </c>
      <c r="C1808" t="s">
        <v>646</v>
      </c>
      <c r="D1808" t="s">
        <v>3779</v>
      </c>
      <c r="E1808" t="s">
        <v>647</v>
      </c>
      <c r="F1808" t="s">
        <v>3780</v>
      </c>
      <c r="G1808" t="s">
        <v>769</v>
      </c>
      <c r="H1808" t="s">
        <v>703</v>
      </c>
      <c r="I1808" t="s">
        <v>3994</v>
      </c>
      <c r="J1808" t="s">
        <v>3995</v>
      </c>
      <c r="K1808" t="s">
        <v>166</v>
      </c>
      <c r="L1808" t="s">
        <v>0</v>
      </c>
      <c r="M1808" t="s">
        <v>178</v>
      </c>
      <c r="N1808">
        <v>104.7501</v>
      </c>
      <c r="O1808">
        <v>86</v>
      </c>
      <c r="P1808">
        <v>1400.55</v>
      </c>
      <c r="Q1808">
        <v>2477.2600000000002</v>
      </c>
      <c r="R1808">
        <v>161.12505228000001</v>
      </c>
      <c r="S1808">
        <v>676.72157073000005</v>
      </c>
      <c r="T1808">
        <v>2.505228E-2</v>
      </c>
      <c r="U1808">
        <v>0</v>
      </c>
      <c r="V1808">
        <v>161.1</v>
      </c>
      <c r="W1808" t="s">
        <v>250</v>
      </c>
      <c r="X1808" t="s">
        <v>269</v>
      </c>
      <c r="Y1808" t="s">
        <v>3996</v>
      </c>
      <c r="AA1808" t="s">
        <v>3997</v>
      </c>
      <c r="AB1808" t="s">
        <v>181</v>
      </c>
    </row>
    <row r="1809" spans="1:28" x14ac:dyDescent="0.25">
      <c r="A1809" t="s">
        <v>4308</v>
      </c>
      <c r="B1809" t="s">
        <v>4309</v>
      </c>
      <c r="C1809" t="s">
        <v>646</v>
      </c>
      <c r="D1809" t="s">
        <v>3779</v>
      </c>
      <c r="E1809" t="s">
        <v>647</v>
      </c>
      <c r="F1809" t="s">
        <v>3780</v>
      </c>
      <c r="G1809" t="s">
        <v>769</v>
      </c>
      <c r="H1809" t="s">
        <v>1045</v>
      </c>
      <c r="I1809" t="s">
        <v>1184</v>
      </c>
      <c r="J1809" t="s">
        <v>1185</v>
      </c>
      <c r="K1809" t="s">
        <v>166</v>
      </c>
      <c r="L1809" t="s">
        <v>0</v>
      </c>
      <c r="M1809" t="s">
        <v>178</v>
      </c>
      <c r="N1809">
        <v>60</v>
      </c>
      <c r="O1809">
        <v>24</v>
      </c>
      <c r="P1809">
        <v>1572.2</v>
      </c>
      <c r="Q1809">
        <v>10360.48</v>
      </c>
      <c r="R1809">
        <v>598.02</v>
      </c>
      <c r="S1809">
        <v>264.49682107000001</v>
      </c>
      <c r="T1809">
        <v>0</v>
      </c>
      <c r="U1809">
        <v>0</v>
      </c>
      <c r="V1809">
        <v>598.02</v>
      </c>
      <c r="W1809" t="s">
        <v>1186</v>
      </c>
      <c r="X1809" t="s">
        <v>271</v>
      </c>
      <c r="Y1809" t="s">
        <v>4310</v>
      </c>
      <c r="AA1809" t="s">
        <v>4311</v>
      </c>
      <c r="AB1809" t="s">
        <v>181</v>
      </c>
    </row>
    <row r="1810" spans="1:28" x14ac:dyDescent="0.25">
      <c r="A1810" t="s">
        <v>4196</v>
      </c>
      <c r="B1810" t="s">
        <v>4197</v>
      </c>
      <c r="C1810" t="s">
        <v>646</v>
      </c>
      <c r="D1810" t="s">
        <v>3779</v>
      </c>
      <c r="E1810" t="s">
        <v>647</v>
      </c>
      <c r="F1810" t="s">
        <v>3780</v>
      </c>
      <c r="G1810" t="s">
        <v>769</v>
      </c>
      <c r="H1810" t="s">
        <v>770</v>
      </c>
      <c r="I1810" t="s">
        <v>4198</v>
      </c>
      <c r="J1810" t="s">
        <v>870</v>
      </c>
      <c r="K1810" t="s">
        <v>166</v>
      </c>
      <c r="L1810" t="s">
        <v>0</v>
      </c>
      <c r="M1810" t="s">
        <v>178</v>
      </c>
      <c r="N1810">
        <v>481</v>
      </c>
      <c r="O1810">
        <v>420</v>
      </c>
      <c r="P1810">
        <v>6411.6</v>
      </c>
      <c r="Q1810">
        <v>10735.69</v>
      </c>
      <c r="R1810">
        <v>1414.37</v>
      </c>
      <c r="S1810">
        <v>1421.0042508700001</v>
      </c>
      <c r="T1810">
        <v>0</v>
      </c>
      <c r="U1810">
        <v>0</v>
      </c>
      <c r="V1810">
        <v>1414.37</v>
      </c>
      <c r="W1810" t="s">
        <v>871</v>
      </c>
      <c r="X1810" t="s">
        <v>271</v>
      </c>
      <c r="Y1810" t="s">
        <v>4199</v>
      </c>
      <c r="AA1810" t="s">
        <v>4200</v>
      </c>
      <c r="AB1810" t="s">
        <v>181</v>
      </c>
    </row>
    <row r="1811" spans="1:28" x14ac:dyDescent="0.25">
      <c r="A1811" t="s">
        <v>4022</v>
      </c>
      <c r="B1811" t="s">
        <v>4023</v>
      </c>
      <c r="C1811" t="s">
        <v>646</v>
      </c>
      <c r="D1811" t="s">
        <v>3779</v>
      </c>
      <c r="E1811" t="s">
        <v>647</v>
      </c>
      <c r="F1811" t="s">
        <v>3780</v>
      </c>
      <c r="G1811" t="s">
        <v>769</v>
      </c>
      <c r="H1811" t="s">
        <v>770</v>
      </c>
      <c r="I1811" t="s">
        <v>4024</v>
      </c>
      <c r="J1811" t="s">
        <v>447</v>
      </c>
      <c r="K1811" t="s">
        <v>166</v>
      </c>
      <c r="L1811" t="s">
        <v>0</v>
      </c>
      <c r="M1811" t="s">
        <v>178</v>
      </c>
      <c r="N1811">
        <v>361.5</v>
      </c>
      <c r="O1811">
        <v>181.5</v>
      </c>
      <c r="P1811">
        <v>5941.67</v>
      </c>
      <c r="Q1811">
        <v>7971.48</v>
      </c>
      <c r="R1811">
        <v>1434.97</v>
      </c>
      <c r="S1811">
        <v>968.61452133</v>
      </c>
      <c r="T1811">
        <v>0</v>
      </c>
      <c r="U1811">
        <v>0</v>
      </c>
      <c r="V1811">
        <v>1434.97</v>
      </c>
      <c r="W1811" t="s">
        <v>446</v>
      </c>
      <c r="X1811" t="s">
        <v>271</v>
      </c>
      <c r="Y1811" t="s">
        <v>4025</v>
      </c>
      <c r="AA1811" t="s">
        <v>4026</v>
      </c>
      <c r="AB1811" t="s">
        <v>181</v>
      </c>
    </row>
    <row r="1812" spans="1:28" x14ac:dyDescent="0.25">
      <c r="A1812" t="s">
        <v>3857</v>
      </c>
      <c r="B1812" t="s">
        <v>3858</v>
      </c>
      <c r="C1812" t="s">
        <v>646</v>
      </c>
      <c r="D1812" t="s">
        <v>3779</v>
      </c>
      <c r="E1812" t="s">
        <v>647</v>
      </c>
      <c r="F1812" t="s">
        <v>3780</v>
      </c>
      <c r="G1812" t="s">
        <v>769</v>
      </c>
      <c r="H1812" t="s">
        <v>757</v>
      </c>
      <c r="I1812" t="s">
        <v>952</v>
      </c>
      <c r="J1812" t="s">
        <v>434</v>
      </c>
      <c r="K1812" t="s">
        <v>166</v>
      </c>
      <c r="L1812" t="s">
        <v>0</v>
      </c>
      <c r="M1812" t="s">
        <v>178</v>
      </c>
      <c r="N1812">
        <v>196</v>
      </c>
      <c r="O1812">
        <v>111</v>
      </c>
      <c r="P1812">
        <v>3836.43</v>
      </c>
      <c r="Q1812">
        <v>8458.14</v>
      </c>
      <c r="R1812">
        <v>1714.12</v>
      </c>
      <c r="S1812">
        <v>1069.995741</v>
      </c>
      <c r="T1812">
        <v>2</v>
      </c>
      <c r="U1812">
        <v>0</v>
      </c>
      <c r="V1812">
        <v>1712.12</v>
      </c>
      <c r="W1812" t="s">
        <v>466</v>
      </c>
      <c r="X1812" t="s">
        <v>271</v>
      </c>
      <c r="Y1812" t="s">
        <v>3859</v>
      </c>
      <c r="AA1812" t="s">
        <v>3860</v>
      </c>
      <c r="AB1812" t="s">
        <v>181</v>
      </c>
    </row>
    <row r="1813" spans="1:28" x14ac:dyDescent="0.25">
      <c r="A1813" t="s">
        <v>4123</v>
      </c>
      <c r="B1813" t="s">
        <v>4124</v>
      </c>
      <c r="C1813" t="s">
        <v>646</v>
      </c>
      <c r="D1813" t="s">
        <v>3779</v>
      </c>
      <c r="E1813" t="s">
        <v>647</v>
      </c>
      <c r="F1813" t="s">
        <v>3780</v>
      </c>
      <c r="G1813" t="s">
        <v>769</v>
      </c>
      <c r="H1813" t="s">
        <v>757</v>
      </c>
      <c r="I1813" t="s">
        <v>746</v>
      </c>
      <c r="J1813" t="s">
        <v>504</v>
      </c>
      <c r="K1813" t="s">
        <v>166</v>
      </c>
      <c r="L1813" t="s">
        <v>0</v>
      </c>
      <c r="M1813" t="s">
        <v>178</v>
      </c>
      <c r="N1813">
        <v>540.25</v>
      </c>
      <c r="O1813">
        <v>448.25</v>
      </c>
      <c r="P1813">
        <v>14099.07</v>
      </c>
      <c r="Q1813">
        <v>18118.169999999998</v>
      </c>
      <c r="R1813">
        <v>1002.57023501</v>
      </c>
      <c r="S1813">
        <v>3501.9823078300001</v>
      </c>
      <c r="T1813">
        <v>3.9002350099999998</v>
      </c>
      <c r="U1813">
        <v>366</v>
      </c>
      <c r="V1813">
        <v>1364.67</v>
      </c>
      <c r="W1813" t="s">
        <v>503</v>
      </c>
      <c r="X1813" t="s">
        <v>271</v>
      </c>
      <c r="Y1813" t="s">
        <v>4125</v>
      </c>
      <c r="AA1813" t="s">
        <v>4126</v>
      </c>
      <c r="AB1813" t="s">
        <v>181</v>
      </c>
    </row>
    <row r="1814" spans="1:28" x14ac:dyDescent="0.25">
      <c r="A1814" t="s">
        <v>3933</v>
      </c>
      <c r="B1814" t="s">
        <v>3934</v>
      </c>
      <c r="C1814" t="s">
        <v>646</v>
      </c>
      <c r="D1814" t="s">
        <v>3779</v>
      </c>
      <c r="E1814" t="s">
        <v>647</v>
      </c>
      <c r="F1814" t="s">
        <v>3780</v>
      </c>
      <c r="G1814" t="s">
        <v>769</v>
      </c>
      <c r="H1814" t="s">
        <v>683</v>
      </c>
      <c r="I1814" t="s">
        <v>3935</v>
      </c>
      <c r="J1814" t="s">
        <v>1214</v>
      </c>
      <c r="K1814" t="s">
        <v>166</v>
      </c>
      <c r="L1814" t="s">
        <v>0</v>
      </c>
      <c r="M1814" t="s">
        <v>178</v>
      </c>
      <c r="N1814">
        <v>416.05560000000003</v>
      </c>
      <c r="O1814">
        <v>184.5</v>
      </c>
      <c r="P1814">
        <v>6333.36</v>
      </c>
      <c r="Q1814">
        <v>18314.84</v>
      </c>
      <c r="R1814">
        <v>3111.9102350100002</v>
      </c>
      <c r="S1814">
        <v>3568.9441374899998</v>
      </c>
      <c r="T1814">
        <v>6.0235009999999999E-2</v>
      </c>
      <c r="U1814">
        <v>0</v>
      </c>
      <c r="V1814">
        <v>3111.85</v>
      </c>
      <c r="W1814" t="s">
        <v>0</v>
      </c>
      <c r="X1814" t="s">
        <v>271</v>
      </c>
      <c r="Y1814" t="s">
        <v>3936</v>
      </c>
      <c r="AA1814" t="s">
        <v>3937</v>
      </c>
      <c r="AB1814" t="s">
        <v>181</v>
      </c>
    </row>
    <row r="1815" spans="1:28" x14ac:dyDescent="0.25">
      <c r="A1815" t="s">
        <v>3883</v>
      </c>
      <c r="B1815" t="s">
        <v>3884</v>
      </c>
      <c r="C1815" t="s">
        <v>646</v>
      </c>
      <c r="D1815" t="s">
        <v>3779</v>
      </c>
      <c r="E1815" t="s">
        <v>647</v>
      </c>
      <c r="F1815" t="s">
        <v>3780</v>
      </c>
      <c r="G1815" t="s">
        <v>769</v>
      </c>
      <c r="H1815" t="s">
        <v>761</v>
      </c>
      <c r="I1815" t="s">
        <v>3885</v>
      </c>
      <c r="J1815" t="s">
        <v>1861</v>
      </c>
      <c r="K1815" t="s">
        <v>166</v>
      </c>
      <c r="L1815" t="s">
        <v>0</v>
      </c>
      <c r="M1815" t="s">
        <v>178</v>
      </c>
      <c r="N1815">
        <v>9</v>
      </c>
      <c r="O1815">
        <v>9</v>
      </c>
      <c r="P1815">
        <v>385.13</v>
      </c>
      <c r="Q1815">
        <v>249.32</v>
      </c>
      <c r="R1815">
        <v>25.84</v>
      </c>
      <c r="S1815">
        <v>69.842280579999994</v>
      </c>
      <c r="T1815">
        <v>0</v>
      </c>
      <c r="U1815">
        <v>0</v>
      </c>
      <c r="V1815">
        <v>25.84</v>
      </c>
      <c r="W1815" t="s">
        <v>1862</v>
      </c>
      <c r="X1815" t="s">
        <v>271</v>
      </c>
      <c r="Y1815" t="s">
        <v>3886</v>
      </c>
      <c r="AA1815" t="s">
        <v>3887</v>
      </c>
      <c r="AB1815" t="s">
        <v>181</v>
      </c>
    </row>
    <row r="1816" spans="1:28" x14ac:dyDescent="0.25">
      <c r="A1816" t="s">
        <v>4284</v>
      </c>
      <c r="B1816" t="s">
        <v>4285</v>
      </c>
      <c r="C1816" t="s">
        <v>646</v>
      </c>
      <c r="D1816" t="s">
        <v>3779</v>
      </c>
      <c r="E1816" t="s">
        <v>647</v>
      </c>
      <c r="F1816" t="s">
        <v>3780</v>
      </c>
      <c r="G1816" t="s">
        <v>769</v>
      </c>
      <c r="H1816" t="s">
        <v>717</v>
      </c>
      <c r="I1816" t="s">
        <v>778</v>
      </c>
      <c r="J1816" t="s">
        <v>428</v>
      </c>
      <c r="K1816" t="s">
        <v>166</v>
      </c>
      <c r="L1816" t="s">
        <v>0</v>
      </c>
      <c r="M1816" t="s">
        <v>178</v>
      </c>
      <c r="N1816">
        <v>168</v>
      </c>
      <c r="O1816">
        <v>147</v>
      </c>
      <c r="P1816">
        <v>1940.41</v>
      </c>
      <c r="Q1816">
        <v>10576.37</v>
      </c>
      <c r="R1816">
        <v>1844.95</v>
      </c>
      <c r="S1816">
        <v>810.46882780999999</v>
      </c>
      <c r="T1816">
        <v>0</v>
      </c>
      <c r="U1816">
        <v>0</v>
      </c>
      <c r="V1816">
        <v>1844.95</v>
      </c>
      <c r="W1816" t="s">
        <v>1977</v>
      </c>
      <c r="X1816" t="s">
        <v>271</v>
      </c>
      <c r="Y1816" t="s">
        <v>4286</v>
      </c>
      <c r="AA1816" t="s">
        <v>4287</v>
      </c>
      <c r="AB1816" t="s">
        <v>181</v>
      </c>
    </row>
    <row r="1817" spans="1:28" x14ac:dyDescent="0.25">
      <c r="A1817" t="s">
        <v>4172</v>
      </c>
      <c r="B1817" t="s">
        <v>4173</v>
      </c>
      <c r="C1817" t="s">
        <v>646</v>
      </c>
      <c r="D1817" t="s">
        <v>3779</v>
      </c>
      <c r="E1817" t="s">
        <v>647</v>
      </c>
      <c r="F1817" t="s">
        <v>3780</v>
      </c>
      <c r="G1817" t="s">
        <v>769</v>
      </c>
      <c r="H1817" t="s">
        <v>757</v>
      </c>
      <c r="I1817" t="s">
        <v>1801</v>
      </c>
      <c r="J1817" t="s">
        <v>437</v>
      </c>
      <c r="K1817" t="s">
        <v>166</v>
      </c>
      <c r="L1817" t="s">
        <v>0</v>
      </c>
      <c r="M1817" t="s">
        <v>178</v>
      </c>
      <c r="N1817">
        <v>164</v>
      </c>
      <c r="O1817">
        <v>99</v>
      </c>
      <c r="P1817">
        <v>4659.0600000000004</v>
      </c>
      <c r="Q1817">
        <v>7402.39</v>
      </c>
      <c r="R1817">
        <v>1134.44</v>
      </c>
      <c r="S1817">
        <v>1026.7325594500001</v>
      </c>
      <c r="T1817">
        <v>11</v>
      </c>
      <c r="U1817">
        <v>0</v>
      </c>
      <c r="V1817">
        <v>1123.44</v>
      </c>
      <c r="W1817" t="s">
        <v>510</v>
      </c>
      <c r="X1817" t="s">
        <v>271</v>
      </c>
      <c r="Y1817" t="s">
        <v>4174</v>
      </c>
      <c r="Z1817" t="s">
        <v>4175</v>
      </c>
      <c r="AA1817" t="s">
        <v>4176</v>
      </c>
      <c r="AB1817" t="s">
        <v>181</v>
      </c>
    </row>
    <row r="1818" spans="1:28" x14ac:dyDescent="0.25">
      <c r="A1818" t="s">
        <v>3819</v>
      </c>
      <c r="B1818" t="s">
        <v>3820</v>
      </c>
      <c r="C1818" t="s">
        <v>646</v>
      </c>
      <c r="D1818" t="s">
        <v>3779</v>
      </c>
      <c r="E1818" t="s">
        <v>647</v>
      </c>
      <c r="F1818" t="s">
        <v>3780</v>
      </c>
      <c r="G1818" t="s">
        <v>769</v>
      </c>
      <c r="H1818" t="s">
        <v>672</v>
      </c>
      <c r="I1818" t="s">
        <v>798</v>
      </c>
      <c r="J1818" t="s">
        <v>524</v>
      </c>
      <c r="K1818" t="s">
        <v>166</v>
      </c>
      <c r="L1818" t="s">
        <v>0</v>
      </c>
      <c r="M1818" t="s">
        <v>178</v>
      </c>
      <c r="N1818">
        <v>732</v>
      </c>
      <c r="O1818">
        <v>511</v>
      </c>
      <c r="P1818">
        <v>17505.16</v>
      </c>
      <c r="Q1818">
        <v>24738.77</v>
      </c>
      <c r="R1818">
        <v>5670.3030572099997</v>
      </c>
      <c r="S1818">
        <v>2948.9521595199999</v>
      </c>
      <c r="T1818">
        <v>52.243057210000003</v>
      </c>
      <c r="U1818">
        <v>0</v>
      </c>
      <c r="V1818">
        <v>5618.06</v>
      </c>
      <c r="W1818" t="s">
        <v>258</v>
      </c>
      <c r="X1818" t="s">
        <v>271</v>
      </c>
      <c r="Y1818" t="s">
        <v>3821</v>
      </c>
      <c r="AA1818" t="s">
        <v>3822</v>
      </c>
      <c r="AB1818" t="s">
        <v>181</v>
      </c>
    </row>
    <row r="1819" spans="1:28" x14ac:dyDescent="0.25">
      <c r="A1819" t="s">
        <v>3801</v>
      </c>
      <c r="B1819" t="s">
        <v>3802</v>
      </c>
      <c r="C1819" t="s">
        <v>646</v>
      </c>
      <c r="D1819" t="s">
        <v>3779</v>
      </c>
      <c r="E1819" t="s">
        <v>647</v>
      </c>
      <c r="F1819" t="s">
        <v>666</v>
      </c>
      <c r="G1819" t="s">
        <v>666</v>
      </c>
      <c r="H1819" t="s">
        <v>730</v>
      </c>
      <c r="I1819" t="s">
        <v>3803</v>
      </c>
      <c r="J1819" t="s">
        <v>2577</v>
      </c>
      <c r="K1819" t="s">
        <v>166</v>
      </c>
      <c r="L1819" t="s">
        <v>0</v>
      </c>
      <c r="M1819" t="s">
        <v>178</v>
      </c>
      <c r="N1819">
        <v>1</v>
      </c>
      <c r="O1819">
        <v>1</v>
      </c>
      <c r="P1819">
        <v>34.799999999999997</v>
      </c>
      <c r="Q1819">
        <v>63.75</v>
      </c>
      <c r="R1819">
        <v>15.5</v>
      </c>
      <c r="S1819">
        <v>4.8308452099999997</v>
      </c>
      <c r="T1819">
        <v>0</v>
      </c>
      <c r="U1819">
        <v>0</v>
      </c>
      <c r="V1819">
        <v>15.5</v>
      </c>
      <c r="W1819" t="s">
        <v>2578</v>
      </c>
      <c r="X1819" t="s">
        <v>271</v>
      </c>
      <c r="Y1819" t="s">
        <v>3804</v>
      </c>
      <c r="AA1819" t="s">
        <v>3805</v>
      </c>
      <c r="AB1819" t="s">
        <v>181</v>
      </c>
    </row>
    <row r="1820" spans="1:28" x14ac:dyDescent="0.25">
      <c r="A1820" t="s">
        <v>3865</v>
      </c>
      <c r="B1820" t="s">
        <v>3866</v>
      </c>
      <c r="C1820" t="s">
        <v>646</v>
      </c>
      <c r="D1820" t="s">
        <v>3779</v>
      </c>
      <c r="E1820" t="s">
        <v>647</v>
      </c>
      <c r="F1820" t="s">
        <v>3780</v>
      </c>
      <c r="G1820" t="s">
        <v>769</v>
      </c>
      <c r="H1820" t="s">
        <v>683</v>
      </c>
      <c r="I1820" t="s">
        <v>3867</v>
      </c>
      <c r="J1820" t="s">
        <v>881</v>
      </c>
      <c r="K1820" t="s">
        <v>166</v>
      </c>
      <c r="L1820" t="s">
        <v>0</v>
      </c>
      <c r="M1820" t="s">
        <v>178</v>
      </c>
      <c r="N1820">
        <v>89.611099999999993</v>
      </c>
      <c r="O1820">
        <v>59.5</v>
      </c>
      <c r="P1820">
        <v>1935.81</v>
      </c>
      <c r="Q1820">
        <v>3671.69</v>
      </c>
      <c r="R1820">
        <v>761.93</v>
      </c>
      <c r="S1820">
        <v>459.73434707000001</v>
      </c>
      <c r="T1820">
        <v>0</v>
      </c>
      <c r="U1820">
        <v>0</v>
      </c>
      <c r="V1820">
        <v>761.93</v>
      </c>
      <c r="W1820" t="s">
        <v>0</v>
      </c>
      <c r="X1820" t="s">
        <v>271</v>
      </c>
      <c r="Y1820" t="s">
        <v>3868</v>
      </c>
      <c r="AA1820" t="s">
        <v>3869</v>
      </c>
      <c r="AB1820" t="s">
        <v>181</v>
      </c>
    </row>
    <row r="1821" spans="1:28" x14ac:dyDescent="0.25">
      <c r="A1821" t="s">
        <v>4244</v>
      </c>
      <c r="B1821" t="s">
        <v>4245</v>
      </c>
      <c r="C1821" t="s">
        <v>646</v>
      </c>
      <c r="D1821" t="s">
        <v>3779</v>
      </c>
      <c r="E1821" t="s">
        <v>647</v>
      </c>
      <c r="F1821" t="s">
        <v>3780</v>
      </c>
      <c r="G1821" t="s">
        <v>769</v>
      </c>
      <c r="H1821" t="s">
        <v>802</v>
      </c>
      <c r="I1821" t="s">
        <v>1251</v>
      </c>
      <c r="J1821" t="s">
        <v>821</v>
      </c>
      <c r="K1821" t="s">
        <v>166</v>
      </c>
      <c r="L1821" t="s">
        <v>0</v>
      </c>
      <c r="M1821" t="s">
        <v>178</v>
      </c>
      <c r="N1821">
        <v>38.291600000000003</v>
      </c>
      <c r="O1821">
        <v>32.041600000000003</v>
      </c>
      <c r="P1821">
        <v>585.01</v>
      </c>
      <c r="Q1821">
        <v>2714.51</v>
      </c>
      <c r="R1821">
        <v>1044.6199999999999</v>
      </c>
      <c r="S1821">
        <v>157.87003899999999</v>
      </c>
      <c r="T1821">
        <v>0</v>
      </c>
      <c r="U1821">
        <v>0</v>
      </c>
      <c r="V1821">
        <v>1044.6199999999999</v>
      </c>
      <c r="W1821" t="s">
        <v>822</v>
      </c>
      <c r="X1821" t="s">
        <v>269</v>
      </c>
      <c r="Y1821" t="s">
        <v>4246</v>
      </c>
      <c r="AA1821" t="s">
        <v>4247</v>
      </c>
      <c r="AB1821" t="s">
        <v>181</v>
      </c>
    </row>
    <row r="1822" spans="1:28" x14ac:dyDescent="0.25">
      <c r="A1822" t="s">
        <v>3905</v>
      </c>
      <c r="B1822" t="s">
        <v>3906</v>
      </c>
      <c r="C1822" t="s">
        <v>646</v>
      </c>
      <c r="D1822" t="s">
        <v>3779</v>
      </c>
      <c r="E1822" t="s">
        <v>647</v>
      </c>
      <c r="F1822" t="s">
        <v>3780</v>
      </c>
      <c r="G1822" t="s">
        <v>769</v>
      </c>
      <c r="H1822" t="s">
        <v>1171</v>
      </c>
      <c r="I1822" t="s">
        <v>3753</v>
      </c>
      <c r="J1822" t="s">
        <v>489</v>
      </c>
      <c r="K1822" t="s">
        <v>166</v>
      </c>
      <c r="L1822" t="s">
        <v>0</v>
      </c>
      <c r="M1822" t="s">
        <v>178</v>
      </c>
      <c r="N1822">
        <v>1</v>
      </c>
      <c r="O1822">
        <v>1</v>
      </c>
      <c r="P1822">
        <v>11.85</v>
      </c>
      <c r="Q1822">
        <v>90.42</v>
      </c>
      <c r="R1822">
        <v>28.92</v>
      </c>
      <c r="S1822">
        <v>3.5757246399999998</v>
      </c>
      <c r="T1822">
        <v>0</v>
      </c>
      <c r="U1822">
        <v>0</v>
      </c>
      <c r="V1822">
        <v>28.92</v>
      </c>
      <c r="W1822" t="s">
        <v>488</v>
      </c>
      <c r="X1822" t="s">
        <v>271</v>
      </c>
      <c r="Y1822" t="s">
        <v>3907</v>
      </c>
      <c r="AA1822" t="s">
        <v>3908</v>
      </c>
      <c r="AB1822" t="s">
        <v>181</v>
      </c>
    </row>
    <row r="1823" spans="1:28" x14ac:dyDescent="0.25">
      <c r="A1823" t="s">
        <v>3793</v>
      </c>
      <c r="B1823" t="s">
        <v>3794</v>
      </c>
      <c r="C1823" t="s">
        <v>646</v>
      </c>
      <c r="D1823" t="s">
        <v>3779</v>
      </c>
      <c r="E1823" t="s">
        <v>647</v>
      </c>
      <c r="F1823" t="s">
        <v>666</v>
      </c>
      <c r="G1823" t="s">
        <v>666</v>
      </c>
      <c r="H1823" t="s">
        <v>672</v>
      </c>
      <c r="I1823" t="s">
        <v>1712</v>
      </c>
      <c r="J1823" t="s">
        <v>335</v>
      </c>
      <c r="K1823" t="s">
        <v>166</v>
      </c>
      <c r="L1823" t="s">
        <v>0</v>
      </c>
      <c r="M1823" t="s">
        <v>178</v>
      </c>
      <c r="N1823">
        <v>1052</v>
      </c>
      <c r="O1823">
        <v>768</v>
      </c>
      <c r="P1823">
        <v>19325.349999999999</v>
      </c>
      <c r="Q1823">
        <v>39455.919999999998</v>
      </c>
      <c r="R1823">
        <v>13381.713822600001</v>
      </c>
      <c r="S1823">
        <v>3705.65112697</v>
      </c>
      <c r="T1823">
        <v>0.41382259999999998</v>
      </c>
      <c r="U1823">
        <v>0</v>
      </c>
      <c r="V1823">
        <v>13381.3</v>
      </c>
      <c r="W1823" t="s">
        <v>572</v>
      </c>
      <c r="X1823" t="s">
        <v>271</v>
      </c>
      <c r="Y1823" t="s">
        <v>3795</v>
      </c>
      <c r="AA1823" t="s">
        <v>3796</v>
      </c>
      <c r="AB1823" t="s">
        <v>181</v>
      </c>
    </row>
    <row r="1824" spans="1:28" x14ac:dyDescent="0.25">
      <c r="A1824" t="s">
        <v>4337</v>
      </c>
      <c r="B1824" t="s">
        <v>4338</v>
      </c>
      <c r="C1824" t="s">
        <v>646</v>
      </c>
      <c r="D1824" t="s">
        <v>3779</v>
      </c>
      <c r="E1824" t="s">
        <v>647</v>
      </c>
      <c r="F1824" t="s">
        <v>3780</v>
      </c>
      <c r="G1824" t="s">
        <v>769</v>
      </c>
      <c r="H1824" t="s">
        <v>797</v>
      </c>
      <c r="I1824" t="s">
        <v>4339</v>
      </c>
      <c r="J1824" t="s">
        <v>821</v>
      </c>
      <c r="K1824" t="s">
        <v>166</v>
      </c>
      <c r="L1824" t="s">
        <v>0</v>
      </c>
      <c r="M1824" t="s">
        <v>178</v>
      </c>
      <c r="N1824">
        <v>55</v>
      </c>
      <c r="O1824">
        <v>10</v>
      </c>
      <c r="P1824">
        <v>545.38</v>
      </c>
      <c r="Q1824">
        <v>2675.67</v>
      </c>
      <c r="R1824">
        <v>475.12736640000003</v>
      </c>
      <c r="S1824">
        <v>116.17102202</v>
      </c>
      <c r="T1824">
        <v>3.7366400000000001E-2</v>
      </c>
      <c r="U1824">
        <v>0</v>
      </c>
      <c r="V1824">
        <v>475.09</v>
      </c>
      <c r="W1824" t="s">
        <v>822</v>
      </c>
      <c r="X1824" t="s">
        <v>269</v>
      </c>
      <c r="Y1824" t="s">
        <v>4340</v>
      </c>
      <c r="AA1824" t="s">
        <v>4341</v>
      </c>
      <c r="AB1824" t="s">
        <v>181</v>
      </c>
    </row>
    <row r="1825" spans="1:28" x14ac:dyDescent="0.25">
      <c r="A1825" t="s">
        <v>3788</v>
      </c>
      <c r="B1825" t="s">
        <v>3789</v>
      </c>
      <c r="C1825" t="s">
        <v>646</v>
      </c>
      <c r="D1825" t="s">
        <v>3779</v>
      </c>
      <c r="E1825" t="s">
        <v>647</v>
      </c>
      <c r="F1825" t="s">
        <v>3780</v>
      </c>
      <c r="G1825" t="s">
        <v>769</v>
      </c>
      <c r="H1825" t="s">
        <v>757</v>
      </c>
      <c r="I1825" t="s">
        <v>3790</v>
      </c>
      <c r="J1825" t="s">
        <v>599</v>
      </c>
      <c r="K1825" t="s">
        <v>166</v>
      </c>
      <c r="L1825" t="s">
        <v>0</v>
      </c>
      <c r="M1825" t="s">
        <v>178</v>
      </c>
      <c r="N1825">
        <v>1143.3099</v>
      </c>
      <c r="O1825">
        <v>758.30989999999997</v>
      </c>
      <c r="P1825">
        <v>28080.99</v>
      </c>
      <c r="Q1825">
        <v>42662.1</v>
      </c>
      <c r="R1825">
        <v>2.1592139600000002</v>
      </c>
      <c r="S1825">
        <v>7040.2243201000001</v>
      </c>
      <c r="T1825">
        <v>4082.9892139600001</v>
      </c>
      <c r="U1825">
        <v>3330.86</v>
      </c>
      <c r="V1825">
        <v>3836.68</v>
      </c>
      <c r="W1825" t="s">
        <v>598</v>
      </c>
      <c r="X1825" t="s">
        <v>271</v>
      </c>
      <c r="Y1825" t="s">
        <v>3791</v>
      </c>
      <c r="AA1825" t="s">
        <v>3792</v>
      </c>
      <c r="AB1825" t="s">
        <v>181</v>
      </c>
    </row>
    <row r="1826" spans="1:28" x14ac:dyDescent="0.25">
      <c r="A1826" t="s">
        <v>4330</v>
      </c>
      <c r="B1826" t="s">
        <v>4331</v>
      </c>
      <c r="C1826" t="s">
        <v>646</v>
      </c>
      <c r="D1826" t="s">
        <v>3779</v>
      </c>
      <c r="E1826" t="s">
        <v>647</v>
      </c>
      <c r="F1826" t="s">
        <v>666</v>
      </c>
      <c r="G1826" t="s">
        <v>666</v>
      </c>
      <c r="H1826" t="s">
        <v>761</v>
      </c>
      <c r="I1826" t="s">
        <v>1513</v>
      </c>
      <c r="J1826" t="s">
        <v>333</v>
      </c>
      <c r="K1826" t="s">
        <v>166</v>
      </c>
      <c r="L1826" t="s">
        <v>0</v>
      </c>
      <c r="M1826" t="s">
        <v>178</v>
      </c>
      <c r="N1826">
        <v>299</v>
      </c>
      <c r="O1826">
        <v>134</v>
      </c>
      <c r="P1826">
        <v>8607.17</v>
      </c>
      <c r="Q1826">
        <v>15551.67</v>
      </c>
      <c r="R1826">
        <v>821.85010455999998</v>
      </c>
      <c r="S1826">
        <v>1889.88543652</v>
      </c>
      <c r="T1826">
        <v>5.0104559999999999E-2</v>
      </c>
      <c r="U1826">
        <v>0</v>
      </c>
      <c r="V1826">
        <v>821.8</v>
      </c>
      <c r="W1826" t="s">
        <v>616</v>
      </c>
      <c r="X1826" t="s">
        <v>271</v>
      </c>
      <c r="Y1826" t="s">
        <v>4332</v>
      </c>
      <c r="AA1826" t="s">
        <v>2421</v>
      </c>
      <c r="AB1826" t="s">
        <v>181</v>
      </c>
    </row>
    <row r="1827" spans="1:28" x14ac:dyDescent="0.25">
      <c r="A1827" t="s">
        <v>4167</v>
      </c>
      <c r="B1827" t="s">
        <v>4168</v>
      </c>
      <c r="C1827" t="s">
        <v>646</v>
      </c>
      <c r="D1827" t="s">
        <v>3779</v>
      </c>
      <c r="E1827" t="s">
        <v>647</v>
      </c>
      <c r="F1827" t="s">
        <v>3780</v>
      </c>
      <c r="G1827" t="s">
        <v>769</v>
      </c>
      <c r="H1827" t="s">
        <v>703</v>
      </c>
      <c r="I1827" t="s">
        <v>4169</v>
      </c>
      <c r="J1827" t="s">
        <v>662</v>
      </c>
      <c r="K1827" t="s">
        <v>166</v>
      </c>
      <c r="L1827" t="s">
        <v>0</v>
      </c>
      <c r="M1827" t="s">
        <v>178</v>
      </c>
      <c r="N1827">
        <v>814</v>
      </c>
      <c r="O1827">
        <v>55</v>
      </c>
      <c r="P1827">
        <v>8891.56</v>
      </c>
      <c r="Q1827">
        <v>32395.83</v>
      </c>
      <c r="R1827">
        <v>2465.7958516899998</v>
      </c>
      <c r="S1827">
        <v>2382.8711179900001</v>
      </c>
      <c r="T1827">
        <v>72.015851690000005</v>
      </c>
      <c r="U1827">
        <v>42</v>
      </c>
      <c r="V1827">
        <v>2507.7800000000002</v>
      </c>
      <c r="W1827" t="s">
        <v>586</v>
      </c>
      <c r="X1827" t="s">
        <v>271</v>
      </c>
      <c r="Y1827" t="s">
        <v>4170</v>
      </c>
      <c r="AA1827" t="s">
        <v>4171</v>
      </c>
      <c r="AB1827" t="s">
        <v>181</v>
      </c>
    </row>
    <row r="1828" spans="1:28" x14ac:dyDescent="0.25">
      <c r="A1828" t="s">
        <v>4196</v>
      </c>
      <c r="B1828" t="s">
        <v>4197</v>
      </c>
      <c r="C1828" t="s">
        <v>646</v>
      </c>
      <c r="D1828" t="s">
        <v>3779</v>
      </c>
      <c r="E1828" t="s">
        <v>647</v>
      </c>
      <c r="F1828" t="s">
        <v>3780</v>
      </c>
      <c r="G1828" t="s">
        <v>769</v>
      </c>
      <c r="H1828" t="s">
        <v>679</v>
      </c>
      <c r="I1828" t="s">
        <v>4198</v>
      </c>
      <c r="J1828" t="s">
        <v>870</v>
      </c>
      <c r="K1828" t="s">
        <v>166</v>
      </c>
      <c r="L1828" t="s">
        <v>0</v>
      </c>
      <c r="M1828" t="s">
        <v>178</v>
      </c>
      <c r="N1828">
        <v>159</v>
      </c>
      <c r="O1828">
        <v>61</v>
      </c>
      <c r="P1828">
        <v>2392.6799999999998</v>
      </c>
      <c r="Q1828">
        <v>7656.36</v>
      </c>
      <c r="R1828">
        <v>407.20141575000002</v>
      </c>
      <c r="S1828">
        <v>1837.74591235</v>
      </c>
      <c r="T1828">
        <v>-3.01858425</v>
      </c>
      <c r="U1828">
        <v>0</v>
      </c>
      <c r="V1828">
        <v>410.22</v>
      </c>
      <c r="W1828" t="s">
        <v>871</v>
      </c>
      <c r="X1828" t="s">
        <v>271</v>
      </c>
      <c r="Y1828" t="s">
        <v>4199</v>
      </c>
      <c r="AA1828" t="s">
        <v>4200</v>
      </c>
      <c r="AB1828" t="s">
        <v>181</v>
      </c>
    </row>
    <row r="1829" spans="1:28" x14ac:dyDescent="0.25">
      <c r="A1829" t="s">
        <v>4109</v>
      </c>
      <c r="B1829" t="s">
        <v>4110</v>
      </c>
      <c r="C1829" t="s">
        <v>646</v>
      </c>
      <c r="D1829" t="s">
        <v>3779</v>
      </c>
      <c r="E1829" t="s">
        <v>647</v>
      </c>
      <c r="F1829" t="s">
        <v>3780</v>
      </c>
      <c r="G1829" t="s">
        <v>769</v>
      </c>
      <c r="H1829" t="s">
        <v>1045</v>
      </c>
      <c r="I1829" t="s">
        <v>1046</v>
      </c>
      <c r="J1829" t="s">
        <v>971</v>
      </c>
      <c r="K1829" t="s">
        <v>166</v>
      </c>
      <c r="L1829" t="s">
        <v>0</v>
      </c>
      <c r="M1829" t="s">
        <v>178</v>
      </c>
      <c r="N1829">
        <v>136.08330000000001</v>
      </c>
      <c r="O1829">
        <v>69.083299999999994</v>
      </c>
      <c r="P1829">
        <v>1466.2</v>
      </c>
      <c r="Q1829">
        <v>14416.13</v>
      </c>
      <c r="R1829">
        <v>1969.23</v>
      </c>
      <c r="S1829">
        <v>503.03502579000002</v>
      </c>
      <c r="T1829">
        <v>0</v>
      </c>
      <c r="U1829">
        <v>0</v>
      </c>
      <c r="V1829">
        <v>1969.23</v>
      </c>
      <c r="W1829" t="s">
        <v>972</v>
      </c>
      <c r="X1829" t="s">
        <v>269</v>
      </c>
      <c r="Y1829" t="s">
        <v>4111</v>
      </c>
      <c r="AA1829" t="s">
        <v>4112</v>
      </c>
      <c r="AB1829" t="s">
        <v>181</v>
      </c>
    </row>
    <row r="1830" spans="1:28" x14ac:dyDescent="0.25">
      <c r="A1830" t="s">
        <v>3857</v>
      </c>
      <c r="B1830" t="s">
        <v>3858</v>
      </c>
      <c r="C1830" t="s">
        <v>646</v>
      </c>
      <c r="D1830" t="s">
        <v>3779</v>
      </c>
      <c r="E1830" t="s">
        <v>647</v>
      </c>
      <c r="F1830" t="s">
        <v>3780</v>
      </c>
      <c r="G1830" t="s">
        <v>769</v>
      </c>
      <c r="H1830" t="s">
        <v>761</v>
      </c>
      <c r="I1830" t="s">
        <v>952</v>
      </c>
      <c r="J1830" t="s">
        <v>434</v>
      </c>
      <c r="K1830" t="s">
        <v>166</v>
      </c>
      <c r="L1830" t="s">
        <v>0</v>
      </c>
      <c r="M1830" t="s">
        <v>178</v>
      </c>
      <c r="N1830">
        <v>51</v>
      </c>
      <c r="O1830">
        <v>48</v>
      </c>
      <c r="P1830">
        <v>1904.88</v>
      </c>
      <c r="Q1830">
        <v>2520.19</v>
      </c>
      <c r="R1830">
        <v>1052.1099999999999</v>
      </c>
      <c r="S1830">
        <v>324.43883302</v>
      </c>
      <c r="T1830">
        <v>0</v>
      </c>
      <c r="U1830">
        <v>0</v>
      </c>
      <c r="V1830">
        <v>1052.1099999999999</v>
      </c>
      <c r="W1830" t="s">
        <v>466</v>
      </c>
      <c r="X1830" t="s">
        <v>271</v>
      </c>
      <c r="Y1830" t="s">
        <v>3859</v>
      </c>
      <c r="AA1830" t="s">
        <v>3860</v>
      </c>
      <c r="AB1830" t="s">
        <v>181</v>
      </c>
    </row>
    <row r="1831" spans="1:28" x14ac:dyDescent="0.25">
      <c r="A1831" t="s">
        <v>4216</v>
      </c>
      <c r="B1831" t="s">
        <v>4217</v>
      </c>
      <c r="C1831" t="s">
        <v>646</v>
      </c>
      <c r="D1831" t="s">
        <v>3779</v>
      </c>
      <c r="E1831" t="s">
        <v>647</v>
      </c>
      <c r="F1831" t="s">
        <v>666</v>
      </c>
      <c r="G1831" t="s">
        <v>666</v>
      </c>
      <c r="H1831" t="s">
        <v>1159</v>
      </c>
      <c r="I1831" t="s">
        <v>1636</v>
      </c>
      <c r="J1831" t="s">
        <v>1637</v>
      </c>
      <c r="K1831" t="s">
        <v>166</v>
      </c>
      <c r="L1831" t="s">
        <v>0</v>
      </c>
      <c r="M1831" t="s">
        <v>178</v>
      </c>
      <c r="N1831">
        <v>14</v>
      </c>
      <c r="O1831">
        <v>14</v>
      </c>
      <c r="P1831">
        <v>84.98</v>
      </c>
      <c r="Q1831">
        <v>427.28</v>
      </c>
      <c r="R1831">
        <v>35.28</v>
      </c>
      <c r="S1831">
        <v>115.92</v>
      </c>
      <c r="T1831">
        <v>0</v>
      </c>
      <c r="U1831">
        <v>0</v>
      </c>
      <c r="V1831">
        <v>35.28</v>
      </c>
      <c r="W1831" t="s">
        <v>1638</v>
      </c>
      <c r="X1831" t="s">
        <v>271</v>
      </c>
      <c r="Y1831" t="s">
        <v>1639</v>
      </c>
      <c r="AA1831" t="s">
        <v>4218</v>
      </c>
      <c r="AB1831" t="s">
        <v>181</v>
      </c>
    </row>
    <row r="1832" spans="1:28" x14ac:dyDescent="0.25">
      <c r="A1832" t="s">
        <v>4320</v>
      </c>
      <c r="B1832" t="s">
        <v>4321</v>
      </c>
      <c r="C1832" t="s">
        <v>646</v>
      </c>
      <c r="D1832" t="s">
        <v>3779</v>
      </c>
      <c r="E1832" t="s">
        <v>647</v>
      </c>
      <c r="F1832" t="s">
        <v>3780</v>
      </c>
      <c r="G1832" t="s">
        <v>769</v>
      </c>
      <c r="H1832" t="s">
        <v>649</v>
      </c>
      <c r="I1832" t="s">
        <v>1010</v>
      </c>
      <c r="J1832" t="s">
        <v>1011</v>
      </c>
      <c r="K1832" t="s">
        <v>166</v>
      </c>
      <c r="L1832" t="s">
        <v>0</v>
      </c>
      <c r="M1832" t="s">
        <v>178</v>
      </c>
      <c r="N1832">
        <v>131</v>
      </c>
      <c r="O1832">
        <v>82</v>
      </c>
      <c r="P1832">
        <v>2966.62</v>
      </c>
      <c r="Q1832">
        <v>8651.7800000000007</v>
      </c>
      <c r="R1832">
        <v>1135.58245547</v>
      </c>
      <c r="S1832">
        <v>613.03182663999996</v>
      </c>
      <c r="T1832">
        <v>1.245547E-2</v>
      </c>
      <c r="U1832">
        <v>0</v>
      </c>
      <c r="V1832">
        <v>1135.57</v>
      </c>
      <c r="W1832" t="s">
        <v>0</v>
      </c>
      <c r="X1832" t="s">
        <v>271</v>
      </c>
      <c r="Y1832" t="s">
        <v>4322</v>
      </c>
      <c r="AA1832" t="s">
        <v>4323</v>
      </c>
      <c r="AB1832" t="s">
        <v>181</v>
      </c>
    </row>
    <row r="1833" spans="1:28" x14ac:dyDescent="0.25">
      <c r="A1833" t="s">
        <v>4357</v>
      </c>
      <c r="B1833" t="s">
        <v>4358</v>
      </c>
      <c r="C1833" t="s">
        <v>646</v>
      </c>
      <c r="D1833" t="s">
        <v>3779</v>
      </c>
      <c r="E1833" t="s">
        <v>647</v>
      </c>
      <c r="F1833" t="s">
        <v>3780</v>
      </c>
      <c r="G1833" t="s">
        <v>769</v>
      </c>
      <c r="H1833" t="s">
        <v>802</v>
      </c>
      <c r="I1833" t="s">
        <v>1599</v>
      </c>
      <c r="J1833" t="s">
        <v>1600</v>
      </c>
      <c r="K1833" t="s">
        <v>166</v>
      </c>
      <c r="L1833" t="s">
        <v>0</v>
      </c>
      <c r="M1833" t="s">
        <v>178</v>
      </c>
      <c r="N1833">
        <v>48.25</v>
      </c>
      <c r="O1833">
        <v>46.25</v>
      </c>
      <c r="P1833">
        <v>799.3</v>
      </c>
      <c r="Q1833">
        <v>2623.42</v>
      </c>
      <c r="R1833">
        <v>871.1</v>
      </c>
      <c r="S1833">
        <v>245.24168781</v>
      </c>
      <c r="T1833">
        <v>0</v>
      </c>
      <c r="U1833">
        <v>0</v>
      </c>
      <c r="V1833">
        <v>871.1</v>
      </c>
      <c r="W1833" t="s">
        <v>1601</v>
      </c>
      <c r="X1833" t="s">
        <v>269</v>
      </c>
      <c r="Y1833" t="s">
        <v>4359</v>
      </c>
      <c r="AA1833" t="s">
        <v>4360</v>
      </c>
      <c r="AB1833" t="s">
        <v>181</v>
      </c>
    </row>
    <row r="1834" spans="1:28" x14ac:dyDescent="0.25">
      <c r="A1834" t="s">
        <v>4236</v>
      </c>
      <c r="B1834" t="s">
        <v>4237</v>
      </c>
      <c r="C1834" t="s">
        <v>646</v>
      </c>
      <c r="D1834" t="s">
        <v>3779</v>
      </c>
      <c r="E1834" t="s">
        <v>647</v>
      </c>
      <c r="F1834" t="s">
        <v>3780</v>
      </c>
      <c r="G1834" t="s">
        <v>769</v>
      </c>
      <c r="H1834" t="s">
        <v>649</v>
      </c>
      <c r="I1834" t="s">
        <v>1546</v>
      </c>
      <c r="J1834" t="s">
        <v>1547</v>
      </c>
      <c r="K1834" t="s">
        <v>166</v>
      </c>
      <c r="L1834" t="s">
        <v>0</v>
      </c>
      <c r="M1834" t="s">
        <v>178</v>
      </c>
      <c r="N1834">
        <v>199</v>
      </c>
      <c r="O1834">
        <v>164</v>
      </c>
      <c r="P1834">
        <v>3775.36</v>
      </c>
      <c r="Q1834">
        <v>10837.26</v>
      </c>
      <c r="R1834">
        <v>-125.69</v>
      </c>
      <c r="S1834">
        <v>558.49073546</v>
      </c>
      <c r="T1834">
        <v>0</v>
      </c>
      <c r="U1834">
        <v>0</v>
      </c>
      <c r="V1834">
        <v>-125.69</v>
      </c>
      <c r="W1834" t="s">
        <v>1548</v>
      </c>
      <c r="X1834" t="s">
        <v>271</v>
      </c>
      <c r="Y1834" t="s">
        <v>4238</v>
      </c>
      <c r="AA1834" t="s">
        <v>4239</v>
      </c>
      <c r="AB1834" t="s">
        <v>181</v>
      </c>
    </row>
    <row r="1835" spans="1:28" x14ac:dyDescent="0.25">
      <c r="A1835" t="s">
        <v>3921</v>
      </c>
      <c r="B1835" t="s">
        <v>3922</v>
      </c>
      <c r="C1835" t="s">
        <v>646</v>
      </c>
      <c r="D1835" t="s">
        <v>3779</v>
      </c>
      <c r="E1835" t="s">
        <v>647</v>
      </c>
      <c r="F1835" t="s">
        <v>666</v>
      </c>
      <c r="G1835" t="s">
        <v>666</v>
      </c>
      <c r="H1835" t="s">
        <v>1159</v>
      </c>
      <c r="I1835" t="s">
        <v>902</v>
      </c>
      <c r="J1835" t="s">
        <v>562</v>
      </c>
      <c r="K1835" t="s">
        <v>166</v>
      </c>
      <c r="L1835" t="s">
        <v>0</v>
      </c>
      <c r="M1835" t="s">
        <v>178</v>
      </c>
      <c r="N1835">
        <v>17</v>
      </c>
      <c r="O1835">
        <v>0</v>
      </c>
      <c r="P1835">
        <v>122.25</v>
      </c>
      <c r="Q1835">
        <v>384.27</v>
      </c>
      <c r="R1835">
        <v>42.17</v>
      </c>
      <c r="S1835">
        <v>17.105</v>
      </c>
      <c r="T1835">
        <v>0</v>
      </c>
      <c r="U1835">
        <v>0</v>
      </c>
      <c r="V1835">
        <v>42.17</v>
      </c>
      <c r="W1835" t="s">
        <v>0</v>
      </c>
      <c r="X1835" t="s">
        <v>271</v>
      </c>
      <c r="Y1835" t="s">
        <v>3923</v>
      </c>
      <c r="AA1835" t="s">
        <v>3924</v>
      </c>
      <c r="AB1835" t="s">
        <v>181</v>
      </c>
    </row>
    <row r="1836" spans="1:28" x14ac:dyDescent="0.25">
      <c r="A1836" t="s">
        <v>4082</v>
      </c>
      <c r="B1836" t="s">
        <v>257</v>
      </c>
      <c r="C1836" t="s">
        <v>646</v>
      </c>
      <c r="D1836" t="s">
        <v>3779</v>
      </c>
      <c r="E1836" t="s">
        <v>647</v>
      </c>
      <c r="F1836" t="s">
        <v>3780</v>
      </c>
      <c r="G1836" t="s">
        <v>769</v>
      </c>
      <c r="H1836" t="s">
        <v>909</v>
      </c>
      <c r="I1836" t="s">
        <v>4083</v>
      </c>
      <c r="J1836" t="s">
        <v>1972</v>
      </c>
      <c r="K1836" t="s">
        <v>166</v>
      </c>
      <c r="L1836" t="s">
        <v>0</v>
      </c>
      <c r="M1836" t="s">
        <v>178</v>
      </c>
      <c r="N1836">
        <v>8</v>
      </c>
      <c r="O1836">
        <v>0</v>
      </c>
      <c r="P1836">
        <v>52.8</v>
      </c>
      <c r="Q1836">
        <v>284.64</v>
      </c>
      <c r="R1836">
        <v>78.767089049999996</v>
      </c>
      <c r="S1836">
        <v>14.747648359999999</v>
      </c>
      <c r="T1836">
        <v>0.47708905000000001</v>
      </c>
      <c r="U1836">
        <v>0</v>
      </c>
      <c r="V1836">
        <v>78.290000000000006</v>
      </c>
      <c r="W1836" t="s">
        <v>1973</v>
      </c>
      <c r="X1836" t="s">
        <v>271</v>
      </c>
      <c r="Y1836" t="s">
        <v>4084</v>
      </c>
      <c r="AA1836" t="s">
        <v>4085</v>
      </c>
      <c r="AB1836" t="s">
        <v>181</v>
      </c>
    </row>
    <row r="1837" spans="1:28" x14ac:dyDescent="0.25">
      <c r="A1837" t="s">
        <v>4240</v>
      </c>
      <c r="B1837" t="s">
        <v>4241</v>
      </c>
      <c r="C1837" t="s">
        <v>646</v>
      </c>
      <c r="D1837" t="s">
        <v>3779</v>
      </c>
      <c r="E1837" t="s">
        <v>647</v>
      </c>
      <c r="F1837" t="s">
        <v>666</v>
      </c>
      <c r="G1837" t="s">
        <v>666</v>
      </c>
      <c r="H1837" t="s">
        <v>708</v>
      </c>
      <c r="I1837" t="s">
        <v>880</v>
      </c>
      <c r="J1837" t="s">
        <v>881</v>
      </c>
      <c r="K1837" t="s">
        <v>166</v>
      </c>
      <c r="L1837" t="s">
        <v>0</v>
      </c>
      <c r="M1837" t="s">
        <v>178</v>
      </c>
      <c r="N1837">
        <v>9.1667000000000005</v>
      </c>
      <c r="O1837">
        <v>9.1667000000000005</v>
      </c>
      <c r="P1837">
        <v>26.5</v>
      </c>
      <c r="Q1837">
        <v>134.9</v>
      </c>
      <c r="R1837">
        <v>20.09</v>
      </c>
      <c r="S1837">
        <v>64.853914099999997</v>
      </c>
      <c r="T1837">
        <v>0</v>
      </c>
      <c r="U1837">
        <v>0</v>
      </c>
      <c r="V1837">
        <v>20.09</v>
      </c>
      <c r="W1837" t="s">
        <v>0</v>
      </c>
      <c r="X1837" t="s">
        <v>271</v>
      </c>
      <c r="Y1837" t="s">
        <v>4242</v>
      </c>
      <c r="AA1837" t="s">
        <v>4243</v>
      </c>
      <c r="AB1837" t="s">
        <v>181</v>
      </c>
    </row>
    <row r="1838" spans="1:28" x14ac:dyDescent="0.25">
      <c r="A1838" t="s">
        <v>4353</v>
      </c>
      <c r="B1838" t="s">
        <v>4354</v>
      </c>
      <c r="C1838" t="s">
        <v>646</v>
      </c>
      <c r="D1838" t="s">
        <v>3779</v>
      </c>
      <c r="E1838" t="s">
        <v>647</v>
      </c>
      <c r="F1838" t="s">
        <v>3780</v>
      </c>
      <c r="G1838" t="s">
        <v>769</v>
      </c>
      <c r="H1838" t="s">
        <v>797</v>
      </c>
      <c r="I1838" t="s">
        <v>1160</v>
      </c>
      <c r="J1838" t="s">
        <v>336</v>
      </c>
      <c r="K1838" t="s">
        <v>166</v>
      </c>
      <c r="L1838" t="s">
        <v>0</v>
      </c>
      <c r="M1838" t="s">
        <v>178</v>
      </c>
      <c r="N1838">
        <v>1</v>
      </c>
      <c r="O1838">
        <v>1</v>
      </c>
      <c r="P1838">
        <v>12.94</v>
      </c>
      <c r="Q1838">
        <v>84.76</v>
      </c>
      <c r="R1838">
        <v>0.52</v>
      </c>
      <c r="S1838">
        <v>5.9684630299999997</v>
      </c>
      <c r="T1838">
        <v>0</v>
      </c>
      <c r="U1838">
        <v>0</v>
      </c>
      <c r="V1838">
        <v>0.52</v>
      </c>
      <c r="W1838" t="s">
        <v>461</v>
      </c>
      <c r="X1838" t="s">
        <v>271</v>
      </c>
      <c r="Y1838" t="s">
        <v>4355</v>
      </c>
      <c r="AA1838" t="s">
        <v>4356</v>
      </c>
      <c r="AB1838" t="s">
        <v>181</v>
      </c>
    </row>
    <row r="1839" spans="1:28" x14ac:dyDescent="0.25">
      <c r="A1839" t="s">
        <v>4211</v>
      </c>
      <c r="B1839" t="s">
        <v>4212</v>
      </c>
      <c r="C1839" t="s">
        <v>646</v>
      </c>
      <c r="D1839" t="s">
        <v>3779</v>
      </c>
      <c r="E1839" t="s">
        <v>647</v>
      </c>
      <c r="F1839" t="s">
        <v>3780</v>
      </c>
      <c r="G1839" t="s">
        <v>769</v>
      </c>
      <c r="H1839" t="s">
        <v>1159</v>
      </c>
      <c r="I1839" t="s">
        <v>4213</v>
      </c>
      <c r="J1839" t="s">
        <v>437</v>
      </c>
      <c r="K1839" t="s">
        <v>166</v>
      </c>
      <c r="L1839" t="s">
        <v>0</v>
      </c>
      <c r="M1839" t="s">
        <v>178</v>
      </c>
      <c r="N1839">
        <v>1</v>
      </c>
      <c r="O1839">
        <v>1</v>
      </c>
      <c r="P1839">
        <v>9.56</v>
      </c>
      <c r="Q1839">
        <v>40.99</v>
      </c>
      <c r="R1839">
        <v>1.68</v>
      </c>
      <c r="S1839">
        <v>16.4893</v>
      </c>
      <c r="T1839">
        <v>0</v>
      </c>
      <c r="U1839">
        <v>0</v>
      </c>
      <c r="V1839">
        <v>1.68</v>
      </c>
      <c r="W1839" t="s">
        <v>510</v>
      </c>
      <c r="X1839" t="s">
        <v>271</v>
      </c>
      <c r="Y1839" t="s">
        <v>4214</v>
      </c>
      <c r="Z1839" t="s">
        <v>4175</v>
      </c>
      <c r="AA1839" t="s">
        <v>4215</v>
      </c>
      <c r="AB1839" t="s">
        <v>181</v>
      </c>
    </row>
    <row r="1840" spans="1:28" x14ac:dyDescent="0.25">
      <c r="A1840" t="s">
        <v>3877</v>
      </c>
      <c r="B1840" t="s">
        <v>3878</v>
      </c>
      <c r="C1840" t="s">
        <v>646</v>
      </c>
      <c r="D1840" t="s">
        <v>3779</v>
      </c>
      <c r="E1840" t="s">
        <v>647</v>
      </c>
      <c r="F1840" t="s">
        <v>648</v>
      </c>
      <c r="G1840" t="s">
        <v>648</v>
      </c>
      <c r="H1840" t="s">
        <v>962</v>
      </c>
      <c r="I1840" t="s">
        <v>3879</v>
      </c>
      <c r="J1840" t="s">
        <v>3880</v>
      </c>
      <c r="K1840" t="s">
        <v>166</v>
      </c>
      <c r="L1840" t="s">
        <v>0</v>
      </c>
      <c r="M1840" t="s">
        <v>178</v>
      </c>
      <c r="N1840">
        <v>227</v>
      </c>
      <c r="O1840">
        <v>4</v>
      </c>
      <c r="P1840">
        <v>2465.0300000000002</v>
      </c>
      <c r="Q1840">
        <v>5164.55</v>
      </c>
      <c r="R1840">
        <v>146.41999999999999</v>
      </c>
      <c r="S1840">
        <v>492.24181679999998</v>
      </c>
      <c r="T1840">
        <v>0</v>
      </c>
      <c r="U1840">
        <v>0</v>
      </c>
      <c r="V1840">
        <v>146.41999999999999</v>
      </c>
      <c r="W1840" t="s">
        <v>1079</v>
      </c>
      <c r="X1840" t="s">
        <v>271</v>
      </c>
      <c r="Y1840" t="s">
        <v>3881</v>
      </c>
      <c r="AA1840" t="s">
        <v>3882</v>
      </c>
      <c r="AB1840" t="s">
        <v>181</v>
      </c>
    </row>
    <row r="1841" spans="1:28" x14ac:dyDescent="0.25">
      <c r="A1841" t="s">
        <v>4232</v>
      </c>
      <c r="B1841" t="s">
        <v>4233</v>
      </c>
      <c r="C1841" t="s">
        <v>646</v>
      </c>
      <c r="D1841" t="s">
        <v>3779</v>
      </c>
      <c r="E1841" t="s">
        <v>647</v>
      </c>
      <c r="F1841" t="s">
        <v>3780</v>
      </c>
      <c r="G1841" t="s">
        <v>769</v>
      </c>
      <c r="H1841" t="s">
        <v>802</v>
      </c>
      <c r="I1841" t="s">
        <v>1296</v>
      </c>
      <c r="J1841" t="s">
        <v>996</v>
      </c>
      <c r="K1841" t="s">
        <v>166</v>
      </c>
      <c r="L1841" t="s">
        <v>0</v>
      </c>
      <c r="M1841" t="s">
        <v>178</v>
      </c>
      <c r="N1841">
        <v>5</v>
      </c>
      <c r="O1841">
        <v>5</v>
      </c>
      <c r="P1841">
        <v>196.55</v>
      </c>
      <c r="Q1841">
        <v>404.57</v>
      </c>
      <c r="R1841">
        <v>34.619999999999997</v>
      </c>
      <c r="S1841">
        <v>40.244155929999998</v>
      </c>
      <c r="T1841">
        <v>0</v>
      </c>
      <c r="U1841">
        <v>0</v>
      </c>
      <c r="V1841">
        <v>34.619999999999997</v>
      </c>
      <c r="W1841" t="s">
        <v>1683</v>
      </c>
      <c r="X1841" t="s">
        <v>271</v>
      </c>
      <c r="Y1841" t="s">
        <v>4234</v>
      </c>
      <c r="AA1841" t="s">
        <v>4235</v>
      </c>
      <c r="AB1841" t="s">
        <v>181</v>
      </c>
    </row>
    <row r="1842" spans="1:28" x14ac:dyDescent="0.25">
      <c r="A1842" t="s">
        <v>3870</v>
      </c>
      <c r="B1842" t="s">
        <v>3871</v>
      </c>
      <c r="C1842" t="s">
        <v>646</v>
      </c>
      <c r="D1842" t="s">
        <v>3779</v>
      </c>
      <c r="E1842" t="s">
        <v>647</v>
      </c>
      <c r="F1842" t="s">
        <v>666</v>
      </c>
      <c r="G1842" t="s">
        <v>666</v>
      </c>
      <c r="H1842" t="s">
        <v>1159</v>
      </c>
      <c r="I1842" t="s">
        <v>3872</v>
      </c>
      <c r="J1842" t="s">
        <v>355</v>
      </c>
      <c r="K1842" t="s">
        <v>166</v>
      </c>
      <c r="L1842" t="s">
        <v>0</v>
      </c>
      <c r="M1842" t="s">
        <v>178</v>
      </c>
      <c r="N1842">
        <v>0</v>
      </c>
      <c r="O1842">
        <v>0</v>
      </c>
      <c r="P1842">
        <v>0</v>
      </c>
      <c r="Q1842">
        <v>-18.739999999999998</v>
      </c>
      <c r="R1842">
        <v>-18.739999999999998</v>
      </c>
      <c r="S1842">
        <v>-2.5643163900000001</v>
      </c>
      <c r="T1842">
        <v>0</v>
      </c>
      <c r="U1842">
        <v>0</v>
      </c>
      <c r="V1842">
        <v>-18.739999999999998</v>
      </c>
      <c r="W1842" t="s">
        <v>0</v>
      </c>
      <c r="X1842" t="s">
        <v>271</v>
      </c>
      <c r="Y1842" t="s">
        <v>3873</v>
      </c>
      <c r="AA1842" t="s">
        <v>3874</v>
      </c>
      <c r="AB1842" t="s">
        <v>181</v>
      </c>
    </row>
    <row r="1843" spans="1:28" x14ac:dyDescent="0.25">
      <c r="A1843" t="s">
        <v>4292</v>
      </c>
      <c r="B1843" t="s">
        <v>4293</v>
      </c>
      <c r="C1843" t="s">
        <v>646</v>
      </c>
      <c r="D1843" t="s">
        <v>3779</v>
      </c>
      <c r="E1843" t="s">
        <v>647</v>
      </c>
      <c r="F1843" t="s">
        <v>3780</v>
      </c>
      <c r="G1843" t="s">
        <v>769</v>
      </c>
      <c r="H1843" t="s">
        <v>1515</v>
      </c>
      <c r="I1843" t="s">
        <v>4294</v>
      </c>
      <c r="J1843" t="s">
        <v>4295</v>
      </c>
      <c r="K1843" t="s">
        <v>166</v>
      </c>
      <c r="L1843" t="s">
        <v>0</v>
      </c>
      <c r="M1843" t="s">
        <v>178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 t="s">
        <v>0</v>
      </c>
      <c r="X1843" t="s">
        <v>271</v>
      </c>
      <c r="Y1843" t="s">
        <v>4296</v>
      </c>
      <c r="AA1843" t="s">
        <v>4297</v>
      </c>
      <c r="AB1843" t="s">
        <v>181</v>
      </c>
    </row>
    <row r="1844" spans="1:28" x14ac:dyDescent="0.25">
      <c r="A1844" t="s">
        <v>4011</v>
      </c>
      <c r="B1844" t="s">
        <v>4012</v>
      </c>
      <c r="C1844" t="s">
        <v>646</v>
      </c>
      <c r="D1844" t="s">
        <v>3779</v>
      </c>
      <c r="E1844" t="s">
        <v>647</v>
      </c>
      <c r="F1844" t="s">
        <v>3780</v>
      </c>
      <c r="G1844" t="s">
        <v>769</v>
      </c>
      <c r="H1844" t="s">
        <v>1515</v>
      </c>
      <c r="I1844" t="s">
        <v>2142</v>
      </c>
      <c r="J1844" t="s">
        <v>1924</v>
      </c>
      <c r="K1844" t="s">
        <v>166</v>
      </c>
      <c r="L1844" t="s">
        <v>0</v>
      </c>
      <c r="M1844" t="s">
        <v>178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 t="s">
        <v>1925</v>
      </c>
      <c r="X1844" t="s">
        <v>271</v>
      </c>
      <c r="Y1844" t="s">
        <v>4013</v>
      </c>
      <c r="AA1844" t="s">
        <v>4014</v>
      </c>
      <c r="AB1844" t="s">
        <v>181</v>
      </c>
    </row>
    <row r="1845" spans="1:28" x14ac:dyDescent="0.25">
      <c r="A1845" t="s">
        <v>4123</v>
      </c>
      <c r="B1845" t="s">
        <v>4124</v>
      </c>
      <c r="C1845" t="s">
        <v>646</v>
      </c>
      <c r="D1845" t="s">
        <v>3779</v>
      </c>
      <c r="E1845" t="s">
        <v>647</v>
      </c>
      <c r="F1845" t="s">
        <v>3780</v>
      </c>
      <c r="G1845" t="s">
        <v>769</v>
      </c>
      <c r="H1845" t="s">
        <v>1515</v>
      </c>
      <c r="I1845" t="s">
        <v>746</v>
      </c>
      <c r="J1845" t="s">
        <v>504</v>
      </c>
      <c r="K1845" t="s">
        <v>166</v>
      </c>
      <c r="L1845" t="s">
        <v>0</v>
      </c>
      <c r="M1845" t="s">
        <v>178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 t="s">
        <v>503</v>
      </c>
      <c r="X1845" t="s">
        <v>271</v>
      </c>
      <c r="Y1845" t="s">
        <v>4125</v>
      </c>
      <c r="AA1845" t="s">
        <v>4126</v>
      </c>
      <c r="AB1845" t="s">
        <v>181</v>
      </c>
    </row>
    <row r="1846" spans="1:28" x14ac:dyDescent="0.25">
      <c r="A1846" t="s">
        <v>4184</v>
      </c>
      <c r="B1846" t="s">
        <v>4185</v>
      </c>
      <c r="C1846" t="s">
        <v>646</v>
      </c>
      <c r="D1846" t="s">
        <v>3779</v>
      </c>
      <c r="E1846" t="s">
        <v>647</v>
      </c>
      <c r="F1846" t="s">
        <v>3780</v>
      </c>
      <c r="G1846" t="s">
        <v>769</v>
      </c>
      <c r="H1846" t="s">
        <v>1515</v>
      </c>
      <c r="I1846" t="s">
        <v>4186</v>
      </c>
      <c r="J1846" t="s">
        <v>1164</v>
      </c>
      <c r="K1846" t="s">
        <v>166</v>
      </c>
      <c r="L1846" t="s">
        <v>0</v>
      </c>
      <c r="M1846" t="s">
        <v>178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 t="s">
        <v>1165</v>
      </c>
      <c r="X1846" t="s">
        <v>271</v>
      </c>
      <c r="Y1846" t="s">
        <v>4187</v>
      </c>
      <c r="AA1846" t="s">
        <v>4188</v>
      </c>
      <c r="AB1846" t="s">
        <v>181</v>
      </c>
    </row>
    <row r="1847" spans="1:28" x14ac:dyDescent="0.25">
      <c r="A1847" t="s">
        <v>3992</v>
      </c>
      <c r="B1847" t="s">
        <v>3993</v>
      </c>
      <c r="C1847" t="s">
        <v>646</v>
      </c>
      <c r="D1847" t="s">
        <v>3779</v>
      </c>
      <c r="E1847" t="s">
        <v>647</v>
      </c>
      <c r="F1847" t="s">
        <v>3780</v>
      </c>
      <c r="G1847" t="s">
        <v>769</v>
      </c>
      <c r="H1847" t="s">
        <v>856</v>
      </c>
      <c r="I1847" t="s">
        <v>3994</v>
      </c>
      <c r="J1847" t="s">
        <v>3995</v>
      </c>
      <c r="K1847" t="s">
        <v>166</v>
      </c>
      <c r="L1847" t="s">
        <v>0</v>
      </c>
      <c r="M1847" t="s">
        <v>178</v>
      </c>
      <c r="N1847">
        <v>2</v>
      </c>
      <c r="O1847">
        <v>2</v>
      </c>
      <c r="P1847">
        <v>47.58</v>
      </c>
      <c r="Q1847">
        <v>236.47</v>
      </c>
      <c r="R1847">
        <v>10.46</v>
      </c>
      <c r="S1847">
        <v>17.604600000000001</v>
      </c>
      <c r="T1847">
        <v>0</v>
      </c>
      <c r="U1847">
        <v>0</v>
      </c>
      <c r="V1847">
        <v>10.46</v>
      </c>
      <c r="W1847" t="s">
        <v>250</v>
      </c>
      <c r="X1847" t="s">
        <v>269</v>
      </c>
      <c r="Y1847" t="s">
        <v>3996</v>
      </c>
      <c r="AA1847" t="s">
        <v>3997</v>
      </c>
      <c r="AB1847" t="s">
        <v>181</v>
      </c>
    </row>
    <row r="1848" spans="1:28" x14ac:dyDescent="0.25">
      <c r="A1848" t="s">
        <v>4117</v>
      </c>
      <c r="B1848" t="s">
        <v>4118</v>
      </c>
      <c r="C1848" t="s">
        <v>646</v>
      </c>
      <c r="D1848" t="s">
        <v>3779</v>
      </c>
      <c r="E1848" t="s">
        <v>647</v>
      </c>
      <c r="F1848" t="s">
        <v>3780</v>
      </c>
      <c r="G1848" t="s">
        <v>769</v>
      </c>
      <c r="H1848" t="s">
        <v>856</v>
      </c>
      <c r="I1848" t="s">
        <v>1190</v>
      </c>
      <c r="J1848" t="s">
        <v>1191</v>
      </c>
      <c r="K1848" t="s">
        <v>166</v>
      </c>
      <c r="L1848" t="s">
        <v>0</v>
      </c>
      <c r="M1848" t="s">
        <v>178</v>
      </c>
      <c r="N1848">
        <v>6</v>
      </c>
      <c r="O1848">
        <v>6</v>
      </c>
      <c r="P1848">
        <v>129.6</v>
      </c>
      <c r="Q1848">
        <v>726.34</v>
      </c>
      <c r="R1848">
        <v>47.76</v>
      </c>
      <c r="S1848">
        <v>34.991999999999997</v>
      </c>
      <c r="T1848">
        <v>0</v>
      </c>
      <c r="U1848">
        <v>0</v>
      </c>
      <c r="V1848">
        <v>47.76</v>
      </c>
      <c r="W1848" t="s">
        <v>282</v>
      </c>
      <c r="X1848" t="s">
        <v>271</v>
      </c>
      <c r="Y1848" t="s">
        <v>2170</v>
      </c>
      <c r="AA1848" t="s">
        <v>2171</v>
      </c>
      <c r="AB1848" t="s">
        <v>181</v>
      </c>
    </row>
    <row r="1849" spans="1:28" x14ac:dyDescent="0.25">
      <c r="A1849" t="s">
        <v>4064</v>
      </c>
      <c r="B1849" t="s">
        <v>4065</v>
      </c>
      <c r="C1849" t="s">
        <v>646</v>
      </c>
      <c r="D1849" t="s">
        <v>3779</v>
      </c>
      <c r="E1849" t="s">
        <v>647</v>
      </c>
      <c r="F1849" t="s">
        <v>3780</v>
      </c>
      <c r="G1849" t="s">
        <v>769</v>
      </c>
      <c r="H1849" t="s">
        <v>856</v>
      </c>
      <c r="I1849" t="s">
        <v>2469</v>
      </c>
      <c r="J1849" t="s">
        <v>2470</v>
      </c>
      <c r="K1849" t="s">
        <v>166</v>
      </c>
      <c r="L1849" t="s">
        <v>0</v>
      </c>
      <c r="M1849" t="s">
        <v>178</v>
      </c>
      <c r="N1849">
        <v>7</v>
      </c>
      <c r="O1849">
        <v>0</v>
      </c>
      <c r="P1849">
        <v>210</v>
      </c>
      <c r="Q1849">
        <v>588</v>
      </c>
      <c r="R1849">
        <v>72.45</v>
      </c>
      <c r="S1849">
        <v>6.3</v>
      </c>
      <c r="T1849">
        <v>0</v>
      </c>
      <c r="U1849">
        <v>0</v>
      </c>
      <c r="V1849">
        <v>72.45</v>
      </c>
      <c r="W1849" t="s">
        <v>4066</v>
      </c>
      <c r="X1849" t="s">
        <v>271</v>
      </c>
      <c r="Y1849" t="s">
        <v>4067</v>
      </c>
      <c r="AA1849" t="s">
        <v>4068</v>
      </c>
      <c r="AB1849" t="s">
        <v>181</v>
      </c>
    </row>
    <row r="1850" spans="1:28" x14ac:dyDescent="0.25">
      <c r="A1850" t="s">
        <v>4172</v>
      </c>
      <c r="B1850" t="s">
        <v>4173</v>
      </c>
      <c r="C1850" t="s">
        <v>646</v>
      </c>
      <c r="D1850" t="s">
        <v>3779</v>
      </c>
      <c r="E1850" t="s">
        <v>647</v>
      </c>
      <c r="F1850" t="s">
        <v>3780</v>
      </c>
      <c r="G1850" t="s">
        <v>769</v>
      </c>
      <c r="H1850" t="s">
        <v>683</v>
      </c>
      <c r="I1850" t="s">
        <v>1801</v>
      </c>
      <c r="J1850" t="s">
        <v>437</v>
      </c>
      <c r="K1850" t="s">
        <v>166</v>
      </c>
      <c r="L1850" t="s">
        <v>0</v>
      </c>
      <c r="M1850" t="s">
        <v>178</v>
      </c>
      <c r="N1850">
        <v>142.9</v>
      </c>
      <c r="O1850">
        <v>105.25</v>
      </c>
      <c r="P1850">
        <v>2035.44</v>
      </c>
      <c r="Q1850">
        <v>5870.62</v>
      </c>
      <c r="R1850">
        <v>1060.60154197</v>
      </c>
      <c r="S1850">
        <v>1121.5988230400001</v>
      </c>
      <c r="T1850">
        <v>0.40154197000000003</v>
      </c>
      <c r="U1850">
        <v>0</v>
      </c>
      <c r="V1850">
        <v>1060.2</v>
      </c>
      <c r="W1850" t="s">
        <v>510</v>
      </c>
      <c r="X1850" t="s">
        <v>271</v>
      </c>
      <c r="Y1850" t="s">
        <v>4174</v>
      </c>
      <c r="Z1850" t="s">
        <v>4175</v>
      </c>
      <c r="AA1850" t="s">
        <v>4176</v>
      </c>
      <c r="AB1850" t="s">
        <v>181</v>
      </c>
    </row>
    <row r="1851" spans="1:28" x14ac:dyDescent="0.25">
      <c r="A1851" t="s">
        <v>4206</v>
      </c>
      <c r="B1851" t="s">
        <v>4207</v>
      </c>
      <c r="C1851" t="s">
        <v>646</v>
      </c>
      <c r="D1851" t="s">
        <v>3779</v>
      </c>
      <c r="E1851" t="s">
        <v>647</v>
      </c>
      <c r="F1851" t="s">
        <v>3780</v>
      </c>
      <c r="G1851" t="s">
        <v>769</v>
      </c>
      <c r="H1851" t="s">
        <v>683</v>
      </c>
      <c r="I1851" t="s">
        <v>4208</v>
      </c>
      <c r="J1851" t="s">
        <v>317</v>
      </c>
      <c r="K1851" t="s">
        <v>166</v>
      </c>
      <c r="L1851" t="s">
        <v>0</v>
      </c>
      <c r="M1851" t="s">
        <v>178</v>
      </c>
      <c r="N1851">
        <v>660.55830000000003</v>
      </c>
      <c r="O1851">
        <v>82</v>
      </c>
      <c r="P1851">
        <v>10118.81</v>
      </c>
      <c r="Q1851">
        <v>27517.08</v>
      </c>
      <c r="R1851">
        <v>7164.9151568400002</v>
      </c>
      <c r="S1851">
        <v>2776.3213780199999</v>
      </c>
      <c r="T1851">
        <v>7.5156840000000003E-2</v>
      </c>
      <c r="U1851">
        <v>0</v>
      </c>
      <c r="V1851">
        <v>7164.84</v>
      </c>
      <c r="W1851" t="s">
        <v>340</v>
      </c>
      <c r="X1851" t="s">
        <v>271</v>
      </c>
      <c r="Y1851" t="s">
        <v>4209</v>
      </c>
      <c r="AA1851" t="s">
        <v>4210</v>
      </c>
      <c r="AB1851" t="s">
        <v>181</v>
      </c>
    </row>
    <row r="1852" spans="1:28" x14ac:dyDescent="0.25">
      <c r="A1852" t="s">
        <v>4098</v>
      </c>
      <c r="B1852" t="s">
        <v>4099</v>
      </c>
      <c r="C1852" t="s">
        <v>646</v>
      </c>
      <c r="D1852" t="s">
        <v>3779</v>
      </c>
      <c r="E1852" t="s">
        <v>647</v>
      </c>
      <c r="F1852" t="s">
        <v>666</v>
      </c>
      <c r="G1852" t="s">
        <v>666</v>
      </c>
      <c r="H1852" t="s">
        <v>708</v>
      </c>
      <c r="I1852" t="s">
        <v>765</v>
      </c>
      <c r="J1852" t="s">
        <v>436</v>
      </c>
      <c r="K1852" t="s">
        <v>166</v>
      </c>
      <c r="L1852" t="s">
        <v>0</v>
      </c>
      <c r="M1852" t="s">
        <v>178</v>
      </c>
      <c r="N1852">
        <v>179.75</v>
      </c>
      <c r="O1852">
        <v>143.75</v>
      </c>
      <c r="P1852">
        <v>865.96</v>
      </c>
      <c r="Q1852">
        <v>4529.78</v>
      </c>
      <c r="R1852">
        <v>333</v>
      </c>
      <c r="S1852">
        <v>1093.38091188</v>
      </c>
      <c r="T1852">
        <v>0</v>
      </c>
      <c r="U1852">
        <v>182.34</v>
      </c>
      <c r="V1852">
        <v>515.34</v>
      </c>
      <c r="W1852" t="s">
        <v>0</v>
      </c>
      <c r="X1852" t="s">
        <v>271</v>
      </c>
      <c r="Y1852" t="s">
        <v>4100</v>
      </c>
      <c r="AA1852" t="s">
        <v>4101</v>
      </c>
      <c r="AB1852" t="s">
        <v>181</v>
      </c>
    </row>
    <row r="1853" spans="1:28" x14ac:dyDescent="0.25">
      <c r="A1853" t="s">
        <v>4333</v>
      </c>
      <c r="B1853" t="s">
        <v>4334</v>
      </c>
      <c r="C1853" t="s">
        <v>646</v>
      </c>
      <c r="D1853" t="s">
        <v>3779</v>
      </c>
      <c r="E1853" t="s">
        <v>647</v>
      </c>
      <c r="F1853" t="s">
        <v>666</v>
      </c>
      <c r="G1853" t="s">
        <v>666</v>
      </c>
      <c r="H1853" t="s">
        <v>757</v>
      </c>
      <c r="I1853" t="s">
        <v>3649</v>
      </c>
      <c r="J1853" t="s">
        <v>1567</v>
      </c>
      <c r="K1853" t="s">
        <v>166</v>
      </c>
      <c r="L1853" t="s">
        <v>0</v>
      </c>
      <c r="M1853" t="s">
        <v>178</v>
      </c>
      <c r="N1853">
        <v>365.4</v>
      </c>
      <c r="O1853">
        <v>163.4</v>
      </c>
      <c r="P1853">
        <v>5439.32</v>
      </c>
      <c r="Q1853">
        <v>7492.66</v>
      </c>
      <c r="R1853">
        <v>39.69</v>
      </c>
      <c r="S1853">
        <v>1403.1797493500001</v>
      </c>
      <c r="T1853">
        <v>77</v>
      </c>
      <c r="U1853">
        <v>688.19</v>
      </c>
      <c r="V1853">
        <v>727.88</v>
      </c>
      <c r="W1853" t="s">
        <v>556</v>
      </c>
      <c r="X1853" t="s">
        <v>271</v>
      </c>
      <c r="Y1853" t="s">
        <v>4335</v>
      </c>
      <c r="AA1853" t="s">
        <v>4336</v>
      </c>
      <c r="AB1853" t="s">
        <v>181</v>
      </c>
    </row>
    <row r="1854" spans="1:28" x14ac:dyDescent="0.25">
      <c r="A1854" t="s">
        <v>4027</v>
      </c>
      <c r="B1854" t="s">
        <v>4028</v>
      </c>
      <c r="C1854" t="s">
        <v>646</v>
      </c>
      <c r="D1854" t="s">
        <v>3779</v>
      </c>
      <c r="E1854" t="s">
        <v>647</v>
      </c>
      <c r="F1854" t="s">
        <v>3780</v>
      </c>
      <c r="G1854" t="s">
        <v>769</v>
      </c>
      <c r="H1854" t="s">
        <v>672</v>
      </c>
      <c r="I1854" t="s">
        <v>1251</v>
      </c>
      <c r="J1854" t="s">
        <v>821</v>
      </c>
      <c r="K1854" t="s">
        <v>166</v>
      </c>
      <c r="L1854" t="s">
        <v>0</v>
      </c>
      <c r="M1854" t="s">
        <v>178</v>
      </c>
      <c r="N1854">
        <v>3052</v>
      </c>
      <c r="O1854">
        <v>767</v>
      </c>
      <c r="P1854">
        <v>70958.78</v>
      </c>
      <c r="Q1854">
        <v>84276.3</v>
      </c>
      <c r="R1854">
        <v>9635.9340386399999</v>
      </c>
      <c r="S1854">
        <v>12394.3814361</v>
      </c>
      <c r="T1854">
        <v>19404.514038640002</v>
      </c>
      <c r="U1854">
        <v>0</v>
      </c>
      <c r="V1854">
        <v>9658.76</v>
      </c>
      <c r="W1854" t="s">
        <v>822</v>
      </c>
      <c r="X1854" t="s">
        <v>269</v>
      </c>
      <c r="Y1854" t="s">
        <v>4029</v>
      </c>
      <c r="AA1854" t="s">
        <v>4030</v>
      </c>
      <c r="AB1854" t="s">
        <v>181</v>
      </c>
    </row>
    <row r="1855" spans="1:28" x14ac:dyDescent="0.25">
      <c r="A1855" t="s">
        <v>3938</v>
      </c>
      <c r="B1855" t="s">
        <v>3939</v>
      </c>
      <c r="C1855" t="s">
        <v>646</v>
      </c>
      <c r="D1855" t="s">
        <v>3779</v>
      </c>
      <c r="E1855" t="s">
        <v>647</v>
      </c>
      <c r="F1855" t="s">
        <v>3780</v>
      </c>
      <c r="G1855" t="s">
        <v>769</v>
      </c>
      <c r="H1855" t="s">
        <v>708</v>
      </c>
      <c r="I1855" t="s">
        <v>3940</v>
      </c>
      <c r="J1855" t="s">
        <v>3941</v>
      </c>
      <c r="K1855" t="s">
        <v>166</v>
      </c>
      <c r="L1855" t="s">
        <v>0</v>
      </c>
      <c r="M1855" t="s">
        <v>178</v>
      </c>
      <c r="N1855">
        <v>152.66679999999999</v>
      </c>
      <c r="O1855">
        <v>64.666799999999995</v>
      </c>
      <c r="P1855">
        <v>698.04</v>
      </c>
      <c r="Q1855">
        <v>5197.68</v>
      </c>
      <c r="R1855">
        <v>544.07210385999997</v>
      </c>
      <c r="S1855">
        <v>257.16060103000001</v>
      </c>
      <c r="T1855">
        <v>-0.52789613999999996</v>
      </c>
      <c r="U1855">
        <v>0</v>
      </c>
      <c r="V1855">
        <v>544.6</v>
      </c>
      <c r="W1855" t="s">
        <v>0</v>
      </c>
      <c r="X1855" t="s">
        <v>271</v>
      </c>
      <c r="Y1855" t="s">
        <v>3942</v>
      </c>
      <c r="AA1855" t="s">
        <v>3943</v>
      </c>
      <c r="AB1855" t="s">
        <v>181</v>
      </c>
    </row>
    <row r="1856" spans="1:28" x14ac:dyDescent="0.25">
      <c r="A1856" t="s">
        <v>3861</v>
      </c>
      <c r="B1856" t="s">
        <v>3862</v>
      </c>
      <c r="C1856" t="s">
        <v>646</v>
      </c>
      <c r="D1856" t="s">
        <v>3779</v>
      </c>
      <c r="E1856" t="s">
        <v>647</v>
      </c>
      <c r="F1856" t="s">
        <v>3780</v>
      </c>
      <c r="G1856" t="s">
        <v>769</v>
      </c>
      <c r="H1856" t="s">
        <v>909</v>
      </c>
      <c r="I1856" t="s">
        <v>2065</v>
      </c>
      <c r="J1856" t="s">
        <v>2066</v>
      </c>
      <c r="K1856" t="s">
        <v>166</v>
      </c>
      <c r="L1856" t="s">
        <v>0</v>
      </c>
      <c r="M1856" t="s">
        <v>178</v>
      </c>
      <c r="N1856">
        <v>76</v>
      </c>
      <c r="O1856">
        <v>76</v>
      </c>
      <c r="P1856">
        <v>2000.75</v>
      </c>
      <c r="Q1856">
        <v>4165.74</v>
      </c>
      <c r="R1856">
        <v>888.17</v>
      </c>
      <c r="S1856">
        <v>773.53774844999998</v>
      </c>
      <c r="T1856">
        <v>0</v>
      </c>
      <c r="U1856">
        <v>0</v>
      </c>
      <c r="V1856">
        <v>888.17</v>
      </c>
      <c r="W1856" t="s">
        <v>2067</v>
      </c>
      <c r="X1856" t="s">
        <v>271</v>
      </c>
      <c r="Y1856" t="s">
        <v>3863</v>
      </c>
      <c r="AA1856" t="s">
        <v>3864</v>
      </c>
      <c r="AB1856" t="s">
        <v>181</v>
      </c>
    </row>
    <row r="1857" spans="1:28" x14ac:dyDescent="0.25">
      <c r="A1857" t="s">
        <v>4361</v>
      </c>
      <c r="B1857" t="s">
        <v>4362</v>
      </c>
      <c r="C1857" t="s">
        <v>646</v>
      </c>
      <c r="D1857" t="s">
        <v>3779</v>
      </c>
      <c r="E1857" t="s">
        <v>647</v>
      </c>
      <c r="F1857" t="s">
        <v>3780</v>
      </c>
      <c r="G1857" t="s">
        <v>769</v>
      </c>
      <c r="H1857" t="s">
        <v>713</v>
      </c>
      <c r="I1857" t="s">
        <v>1712</v>
      </c>
      <c r="J1857" t="s">
        <v>335</v>
      </c>
      <c r="K1857" t="s">
        <v>166</v>
      </c>
      <c r="L1857" t="s">
        <v>0</v>
      </c>
      <c r="M1857" t="s">
        <v>178</v>
      </c>
      <c r="N1857">
        <v>64</v>
      </c>
      <c r="O1857">
        <v>11</v>
      </c>
      <c r="P1857">
        <v>1234.53</v>
      </c>
      <c r="Q1857">
        <v>4187.1499999999996</v>
      </c>
      <c r="R1857">
        <v>486.44</v>
      </c>
      <c r="S1857">
        <v>334.77486089000001</v>
      </c>
      <c r="T1857">
        <v>0</v>
      </c>
      <c r="U1857">
        <v>0</v>
      </c>
      <c r="V1857">
        <v>486.44</v>
      </c>
      <c r="W1857" t="s">
        <v>572</v>
      </c>
      <c r="X1857" t="s">
        <v>271</v>
      </c>
      <c r="Y1857" t="s">
        <v>4363</v>
      </c>
      <c r="AA1857" t="s">
        <v>4364</v>
      </c>
      <c r="AB1857" t="s">
        <v>181</v>
      </c>
    </row>
    <row r="1858" spans="1:28" x14ac:dyDescent="0.25">
      <c r="A1858" t="s">
        <v>4123</v>
      </c>
      <c r="B1858" t="s">
        <v>4124</v>
      </c>
      <c r="C1858" t="s">
        <v>646</v>
      </c>
      <c r="D1858" t="s">
        <v>3779</v>
      </c>
      <c r="E1858" t="s">
        <v>647</v>
      </c>
      <c r="F1858" t="s">
        <v>3780</v>
      </c>
      <c r="G1858" t="s">
        <v>769</v>
      </c>
      <c r="H1858" t="s">
        <v>909</v>
      </c>
      <c r="I1858" t="s">
        <v>746</v>
      </c>
      <c r="J1858" t="s">
        <v>504</v>
      </c>
      <c r="K1858" t="s">
        <v>166</v>
      </c>
      <c r="L1858" t="s">
        <v>0</v>
      </c>
      <c r="M1858" t="s">
        <v>178</v>
      </c>
      <c r="N1858">
        <v>158.25</v>
      </c>
      <c r="O1858">
        <v>41.25</v>
      </c>
      <c r="P1858">
        <v>5053.1000000000004</v>
      </c>
      <c r="Q1858">
        <v>4024.89</v>
      </c>
      <c r="R1858">
        <v>315.9059201</v>
      </c>
      <c r="S1858">
        <v>479.16545074999999</v>
      </c>
      <c r="T1858">
        <v>0.45592009999999999</v>
      </c>
      <c r="U1858">
        <v>0</v>
      </c>
      <c r="V1858">
        <v>315.45</v>
      </c>
      <c r="W1858" t="s">
        <v>503</v>
      </c>
      <c r="X1858" t="s">
        <v>271</v>
      </c>
      <c r="Y1858" t="s">
        <v>4125</v>
      </c>
      <c r="AA1858" t="s">
        <v>4126</v>
      </c>
      <c r="AB1858" t="s">
        <v>181</v>
      </c>
    </row>
    <row r="1859" spans="1:28" x14ac:dyDescent="0.25">
      <c r="A1859" t="s">
        <v>4057</v>
      </c>
      <c r="B1859" t="s">
        <v>4058</v>
      </c>
      <c r="C1859" t="s">
        <v>646</v>
      </c>
      <c r="D1859" t="s">
        <v>3779</v>
      </c>
      <c r="E1859" t="s">
        <v>647</v>
      </c>
      <c r="F1859" t="s">
        <v>3780</v>
      </c>
      <c r="G1859" t="s">
        <v>769</v>
      </c>
      <c r="H1859" t="s">
        <v>730</v>
      </c>
      <c r="I1859" t="s">
        <v>1190</v>
      </c>
      <c r="J1859" t="s">
        <v>1191</v>
      </c>
      <c r="K1859" t="s">
        <v>166</v>
      </c>
      <c r="L1859" t="s">
        <v>0</v>
      </c>
      <c r="M1859" t="s">
        <v>178</v>
      </c>
      <c r="N1859">
        <v>282</v>
      </c>
      <c r="O1859">
        <v>252</v>
      </c>
      <c r="P1859">
        <v>7184.73</v>
      </c>
      <c r="Q1859">
        <v>15213.63</v>
      </c>
      <c r="R1859">
        <v>1116.0203957799999</v>
      </c>
      <c r="S1859">
        <v>2264.3737773299999</v>
      </c>
      <c r="T1859">
        <v>-2.9496042199999999</v>
      </c>
      <c r="U1859">
        <v>31.81</v>
      </c>
      <c r="V1859">
        <v>1150.78</v>
      </c>
      <c r="W1859" t="s">
        <v>282</v>
      </c>
      <c r="X1859" t="s">
        <v>271</v>
      </c>
      <c r="Y1859" t="s">
        <v>4059</v>
      </c>
      <c r="AA1859" t="s">
        <v>2171</v>
      </c>
      <c r="AB1859" t="s">
        <v>181</v>
      </c>
    </row>
    <row r="1860" spans="1:28" x14ac:dyDescent="0.25">
      <c r="A1860" t="s">
        <v>3921</v>
      </c>
      <c r="B1860" t="s">
        <v>3922</v>
      </c>
      <c r="C1860" t="s">
        <v>646</v>
      </c>
      <c r="D1860" t="s">
        <v>3779</v>
      </c>
      <c r="E1860" t="s">
        <v>647</v>
      </c>
      <c r="F1860" t="s">
        <v>666</v>
      </c>
      <c r="G1860" t="s">
        <v>666</v>
      </c>
      <c r="H1860" t="s">
        <v>802</v>
      </c>
      <c r="I1860" t="s">
        <v>902</v>
      </c>
      <c r="J1860" t="s">
        <v>562</v>
      </c>
      <c r="K1860" t="s">
        <v>166</v>
      </c>
      <c r="L1860" t="s">
        <v>0</v>
      </c>
      <c r="M1860" t="s">
        <v>178</v>
      </c>
      <c r="N1860">
        <v>301.24979999999999</v>
      </c>
      <c r="O1860">
        <v>233.83320000000001</v>
      </c>
      <c r="P1860">
        <v>3954.77</v>
      </c>
      <c r="Q1860">
        <v>16668.93</v>
      </c>
      <c r="R1860">
        <v>3181.56</v>
      </c>
      <c r="S1860">
        <v>1402.72504998</v>
      </c>
      <c r="T1860">
        <v>0</v>
      </c>
      <c r="U1860">
        <v>0</v>
      </c>
      <c r="V1860">
        <v>3181.56</v>
      </c>
      <c r="W1860" t="s">
        <v>0</v>
      </c>
      <c r="X1860" t="s">
        <v>271</v>
      </c>
      <c r="Y1860" t="s">
        <v>3923</v>
      </c>
      <c r="AA1860" t="s">
        <v>3924</v>
      </c>
      <c r="AB1860" t="s">
        <v>181</v>
      </c>
    </row>
    <row r="1861" spans="1:28" x14ac:dyDescent="0.25">
      <c r="A1861" t="s">
        <v>3895</v>
      </c>
      <c r="B1861" t="s">
        <v>3896</v>
      </c>
      <c r="C1861" t="s">
        <v>646</v>
      </c>
      <c r="D1861" t="s">
        <v>3779</v>
      </c>
      <c r="E1861" t="s">
        <v>647</v>
      </c>
      <c r="F1861" t="s">
        <v>3780</v>
      </c>
      <c r="G1861" t="s">
        <v>769</v>
      </c>
      <c r="H1861" t="s">
        <v>713</v>
      </c>
      <c r="I1861" t="s">
        <v>3897</v>
      </c>
      <c r="J1861" t="s">
        <v>437</v>
      </c>
      <c r="K1861" t="s">
        <v>166</v>
      </c>
      <c r="L1861" t="s">
        <v>0</v>
      </c>
      <c r="M1861" t="s">
        <v>178</v>
      </c>
      <c r="N1861">
        <v>648.41650000000004</v>
      </c>
      <c r="O1861">
        <v>153.08320000000001</v>
      </c>
      <c r="P1861">
        <v>21941.33</v>
      </c>
      <c r="Q1861">
        <v>30864.61</v>
      </c>
      <c r="R1861">
        <v>1414.35115673</v>
      </c>
      <c r="S1861">
        <v>3383.34178888</v>
      </c>
      <c r="T1861">
        <v>54.961156729999999</v>
      </c>
      <c r="U1861">
        <v>0</v>
      </c>
      <c r="V1861">
        <v>1359.39</v>
      </c>
      <c r="W1861" t="s">
        <v>510</v>
      </c>
      <c r="X1861" t="s">
        <v>271</v>
      </c>
      <c r="Y1861" t="s">
        <v>3898</v>
      </c>
      <c r="AA1861" t="s">
        <v>3899</v>
      </c>
      <c r="AB1861" t="s">
        <v>181</v>
      </c>
    </row>
    <row r="1862" spans="1:28" x14ac:dyDescent="0.25">
      <c r="A1862" t="s">
        <v>3985</v>
      </c>
      <c r="B1862" t="s">
        <v>3986</v>
      </c>
      <c r="C1862" t="s">
        <v>646</v>
      </c>
      <c r="D1862" t="s">
        <v>3779</v>
      </c>
      <c r="E1862" t="s">
        <v>647</v>
      </c>
      <c r="F1862" t="s">
        <v>3780</v>
      </c>
      <c r="G1862" t="s">
        <v>769</v>
      </c>
      <c r="H1862" t="s">
        <v>713</v>
      </c>
      <c r="I1862" t="s">
        <v>3987</v>
      </c>
      <c r="J1862" t="s">
        <v>3988</v>
      </c>
      <c r="K1862" t="s">
        <v>166</v>
      </c>
      <c r="L1862" t="s">
        <v>0</v>
      </c>
      <c r="M1862" t="s">
        <v>178</v>
      </c>
      <c r="N1862">
        <v>2615.4443999999999</v>
      </c>
      <c r="O1862">
        <v>1391</v>
      </c>
      <c r="P1862">
        <v>55549.8</v>
      </c>
      <c r="Q1862">
        <v>32952.68</v>
      </c>
      <c r="R1862">
        <v>5170.33292308</v>
      </c>
      <c r="S1862">
        <v>3036.66267083</v>
      </c>
      <c r="T1862">
        <v>149.06292307999999</v>
      </c>
      <c r="U1862">
        <v>0</v>
      </c>
      <c r="V1862">
        <v>5021.2700000000004</v>
      </c>
      <c r="W1862" t="s">
        <v>3989</v>
      </c>
      <c r="X1862" t="s">
        <v>271</v>
      </c>
      <c r="Y1862" t="s">
        <v>3990</v>
      </c>
      <c r="AA1862" t="s">
        <v>3991</v>
      </c>
      <c r="AB1862" t="s">
        <v>181</v>
      </c>
    </row>
    <row r="1863" spans="1:28" x14ac:dyDescent="0.25">
      <c r="A1863" t="s">
        <v>4361</v>
      </c>
      <c r="B1863" t="s">
        <v>4362</v>
      </c>
      <c r="C1863" t="s">
        <v>646</v>
      </c>
      <c r="D1863" t="s">
        <v>3779</v>
      </c>
      <c r="E1863" t="s">
        <v>647</v>
      </c>
      <c r="F1863" t="s">
        <v>3780</v>
      </c>
      <c r="G1863" t="s">
        <v>769</v>
      </c>
      <c r="H1863" t="s">
        <v>708</v>
      </c>
      <c r="I1863" t="s">
        <v>1712</v>
      </c>
      <c r="J1863" t="s">
        <v>335</v>
      </c>
      <c r="K1863" t="s">
        <v>166</v>
      </c>
      <c r="L1863" t="s">
        <v>0</v>
      </c>
      <c r="M1863" t="s">
        <v>178</v>
      </c>
      <c r="N1863">
        <v>3</v>
      </c>
      <c r="O1863">
        <v>2</v>
      </c>
      <c r="P1863">
        <v>104</v>
      </c>
      <c r="Q1863">
        <v>512.78</v>
      </c>
      <c r="R1863">
        <v>12.14</v>
      </c>
      <c r="S1863">
        <v>81.53331369</v>
      </c>
      <c r="T1863">
        <v>0</v>
      </c>
      <c r="U1863">
        <v>0</v>
      </c>
      <c r="V1863">
        <v>12.14</v>
      </c>
      <c r="W1863" t="s">
        <v>572</v>
      </c>
      <c r="X1863" t="s">
        <v>271</v>
      </c>
      <c r="Y1863" t="s">
        <v>4363</v>
      </c>
      <c r="AA1863" t="s">
        <v>4364</v>
      </c>
      <c r="AB1863" t="s">
        <v>181</v>
      </c>
    </row>
    <row r="1864" spans="1:28" x14ac:dyDescent="0.25">
      <c r="A1864" t="s">
        <v>4284</v>
      </c>
      <c r="B1864" t="s">
        <v>4285</v>
      </c>
      <c r="C1864" t="s">
        <v>646</v>
      </c>
      <c r="D1864" t="s">
        <v>3779</v>
      </c>
      <c r="E1864" t="s">
        <v>647</v>
      </c>
      <c r="F1864" t="s">
        <v>3780</v>
      </c>
      <c r="G1864" t="s">
        <v>769</v>
      </c>
      <c r="H1864" t="s">
        <v>679</v>
      </c>
      <c r="I1864" t="s">
        <v>778</v>
      </c>
      <c r="J1864" t="s">
        <v>428</v>
      </c>
      <c r="K1864" t="s">
        <v>166</v>
      </c>
      <c r="L1864" t="s">
        <v>0</v>
      </c>
      <c r="M1864" t="s">
        <v>178</v>
      </c>
      <c r="N1864">
        <v>46</v>
      </c>
      <c r="O1864">
        <v>27</v>
      </c>
      <c r="P1864">
        <v>370.63</v>
      </c>
      <c r="Q1864">
        <v>1905.6</v>
      </c>
      <c r="R1864">
        <v>432.01979241999999</v>
      </c>
      <c r="S1864">
        <v>1124.12409164</v>
      </c>
      <c r="T1864">
        <v>-0.48020758000000002</v>
      </c>
      <c r="U1864">
        <v>0</v>
      </c>
      <c r="V1864">
        <v>432.5</v>
      </c>
      <c r="W1864" t="s">
        <v>1977</v>
      </c>
      <c r="X1864" t="s">
        <v>271</v>
      </c>
      <c r="Y1864" t="s">
        <v>4286</v>
      </c>
      <c r="AA1864" t="s">
        <v>4287</v>
      </c>
      <c r="AB1864" t="s">
        <v>181</v>
      </c>
    </row>
    <row r="1865" spans="1:28" x14ac:dyDescent="0.25">
      <c r="A1865" t="s">
        <v>4236</v>
      </c>
      <c r="B1865" t="s">
        <v>4237</v>
      </c>
      <c r="C1865" t="s">
        <v>646</v>
      </c>
      <c r="D1865" t="s">
        <v>3779</v>
      </c>
      <c r="E1865" t="s">
        <v>647</v>
      </c>
      <c r="F1865" t="s">
        <v>3780</v>
      </c>
      <c r="G1865" t="s">
        <v>769</v>
      </c>
      <c r="H1865" t="s">
        <v>757</v>
      </c>
      <c r="I1865" t="s">
        <v>1546</v>
      </c>
      <c r="J1865" t="s">
        <v>1547</v>
      </c>
      <c r="K1865" t="s">
        <v>166</v>
      </c>
      <c r="L1865" t="s">
        <v>0</v>
      </c>
      <c r="M1865" t="s">
        <v>178</v>
      </c>
      <c r="N1865">
        <v>36</v>
      </c>
      <c r="O1865">
        <v>36</v>
      </c>
      <c r="P1865">
        <v>1226.53</v>
      </c>
      <c r="Q1865">
        <v>2272.25</v>
      </c>
      <c r="R1865">
        <v>1.17</v>
      </c>
      <c r="S1865">
        <v>222.30034332</v>
      </c>
      <c r="T1865">
        <v>0</v>
      </c>
      <c r="U1865">
        <v>0</v>
      </c>
      <c r="V1865">
        <v>1.17</v>
      </c>
      <c r="W1865" t="s">
        <v>1548</v>
      </c>
      <c r="X1865" t="s">
        <v>271</v>
      </c>
      <c r="Y1865" t="s">
        <v>4238</v>
      </c>
      <c r="AA1865" t="s">
        <v>4239</v>
      </c>
      <c r="AB1865" t="s">
        <v>181</v>
      </c>
    </row>
    <row r="1866" spans="1:28" x14ac:dyDescent="0.25">
      <c r="A1866" t="s">
        <v>4260</v>
      </c>
      <c r="B1866" t="s">
        <v>4261</v>
      </c>
      <c r="C1866" t="s">
        <v>646</v>
      </c>
      <c r="D1866" t="s">
        <v>3779</v>
      </c>
      <c r="E1866" t="s">
        <v>647</v>
      </c>
      <c r="F1866" t="s">
        <v>666</v>
      </c>
      <c r="G1866" t="s">
        <v>666</v>
      </c>
      <c r="H1866" t="s">
        <v>679</v>
      </c>
      <c r="I1866" t="s">
        <v>4262</v>
      </c>
      <c r="J1866" t="s">
        <v>1180</v>
      </c>
      <c r="K1866" t="s">
        <v>166</v>
      </c>
      <c r="L1866" t="s">
        <v>0</v>
      </c>
      <c r="M1866" t="s">
        <v>178</v>
      </c>
      <c r="N1866">
        <v>453</v>
      </c>
      <c r="O1866">
        <v>355</v>
      </c>
      <c r="P1866">
        <v>5018.22</v>
      </c>
      <c r="Q1866">
        <v>25533.43</v>
      </c>
      <c r="R1866">
        <v>5128.2166240699999</v>
      </c>
      <c r="S1866">
        <v>7882.6260766300002</v>
      </c>
      <c r="T1866">
        <v>-9.2633759300000005</v>
      </c>
      <c r="U1866">
        <v>0</v>
      </c>
      <c r="V1866">
        <v>5137.4799999999996</v>
      </c>
      <c r="W1866" t="s">
        <v>0</v>
      </c>
      <c r="X1866" t="s">
        <v>271</v>
      </c>
      <c r="Y1866" t="s">
        <v>4263</v>
      </c>
      <c r="AA1866" t="s">
        <v>4264</v>
      </c>
      <c r="AB1866" t="s">
        <v>181</v>
      </c>
    </row>
    <row r="1867" spans="1:28" x14ac:dyDescent="0.25">
      <c r="A1867" t="s">
        <v>4357</v>
      </c>
      <c r="B1867" t="s">
        <v>4358</v>
      </c>
      <c r="C1867" t="s">
        <v>646</v>
      </c>
      <c r="D1867" t="s">
        <v>3779</v>
      </c>
      <c r="E1867" t="s">
        <v>647</v>
      </c>
      <c r="F1867" t="s">
        <v>3780</v>
      </c>
      <c r="G1867" t="s">
        <v>769</v>
      </c>
      <c r="H1867" t="s">
        <v>679</v>
      </c>
      <c r="I1867" t="s">
        <v>1599</v>
      </c>
      <c r="J1867" t="s">
        <v>1600</v>
      </c>
      <c r="K1867" t="s">
        <v>166</v>
      </c>
      <c r="L1867" t="s">
        <v>0</v>
      </c>
      <c r="M1867" t="s">
        <v>178</v>
      </c>
      <c r="N1867">
        <v>316.64999999999998</v>
      </c>
      <c r="O1867">
        <v>266.55</v>
      </c>
      <c r="P1867">
        <v>3502.22</v>
      </c>
      <c r="Q1867">
        <v>11605.86</v>
      </c>
      <c r="R1867">
        <v>3154.8456205299999</v>
      </c>
      <c r="S1867">
        <v>2680.0872488</v>
      </c>
      <c r="T1867">
        <v>192.45562053</v>
      </c>
      <c r="U1867">
        <v>0</v>
      </c>
      <c r="V1867">
        <v>3160.49</v>
      </c>
      <c r="W1867" t="s">
        <v>1601</v>
      </c>
      <c r="X1867" t="s">
        <v>269</v>
      </c>
      <c r="Y1867" t="s">
        <v>4359</v>
      </c>
      <c r="AA1867" t="s">
        <v>4360</v>
      </c>
      <c r="AB1867" t="s">
        <v>181</v>
      </c>
    </row>
    <row r="1868" spans="1:28" x14ac:dyDescent="0.25">
      <c r="A1868" t="s">
        <v>3819</v>
      </c>
      <c r="B1868" t="s">
        <v>3820</v>
      </c>
      <c r="C1868" t="s">
        <v>646</v>
      </c>
      <c r="D1868" t="s">
        <v>3779</v>
      </c>
      <c r="E1868" t="s">
        <v>647</v>
      </c>
      <c r="F1868" t="s">
        <v>3780</v>
      </c>
      <c r="G1868" t="s">
        <v>769</v>
      </c>
      <c r="H1868" t="s">
        <v>730</v>
      </c>
      <c r="I1868" t="s">
        <v>798</v>
      </c>
      <c r="J1868" t="s">
        <v>524</v>
      </c>
      <c r="K1868" t="s">
        <v>166</v>
      </c>
      <c r="L1868" t="s">
        <v>0</v>
      </c>
      <c r="M1868" t="s">
        <v>178</v>
      </c>
      <c r="N1868">
        <v>779</v>
      </c>
      <c r="O1868">
        <v>75</v>
      </c>
      <c r="P1868">
        <v>23568.01</v>
      </c>
      <c r="Q1868">
        <v>79016.37</v>
      </c>
      <c r="R1868">
        <v>9332.3858964699994</v>
      </c>
      <c r="S1868">
        <v>477.50765596999997</v>
      </c>
      <c r="T1868">
        <v>26692.555896469999</v>
      </c>
      <c r="U1868">
        <v>0</v>
      </c>
      <c r="V1868">
        <v>9547.14</v>
      </c>
      <c r="W1868" t="s">
        <v>258</v>
      </c>
      <c r="X1868" t="s">
        <v>271</v>
      </c>
      <c r="Y1868" t="s">
        <v>3821</v>
      </c>
      <c r="AA1868" t="s">
        <v>3822</v>
      </c>
      <c r="AB1868" t="s">
        <v>181</v>
      </c>
    </row>
    <row r="1869" spans="1:28" x14ac:dyDescent="0.25">
      <c r="A1869" t="s">
        <v>4155</v>
      </c>
      <c r="B1869" t="s">
        <v>4156</v>
      </c>
      <c r="C1869" t="s">
        <v>646</v>
      </c>
      <c r="D1869" t="s">
        <v>3779</v>
      </c>
      <c r="E1869" t="s">
        <v>647</v>
      </c>
      <c r="F1869" t="s">
        <v>3780</v>
      </c>
      <c r="G1869" t="s">
        <v>769</v>
      </c>
      <c r="H1869" t="s">
        <v>649</v>
      </c>
      <c r="I1869" t="s">
        <v>885</v>
      </c>
      <c r="J1869" t="s">
        <v>324</v>
      </c>
      <c r="K1869" t="s">
        <v>166</v>
      </c>
      <c r="L1869" t="s">
        <v>0</v>
      </c>
      <c r="M1869" t="s">
        <v>178</v>
      </c>
      <c r="N1869">
        <v>132</v>
      </c>
      <c r="O1869">
        <v>84</v>
      </c>
      <c r="P1869">
        <v>3249.26</v>
      </c>
      <c r="Q1869">
        <v>7367.16</v>
      </c>
      <c r="R1869">
        <v>601.55999999999995</v>
      </c>
      <c r="S1869">
        <v>611.57550437999998</v>
      </c>
      <c r="T1869">
        <v>0</v>
      </c>
      <c r="U1869">
        <v>0</v>
      </c>
      <c r="V1869">
        <v>601.55999999999995</v>
      </c>
      <c r="W1869" t="s">
        <v>519</v>
      </c>
      <c r="X1869" t="s">
        <v>271</v>
      </c>
      <c r="Y1869" t="s">
        <v>4157</v>
      </c>
      <c r="AA1869" t="s">
        <v>4158</v>
      </c>
      <c r="AB1869" t="s">
        <v>181</v>
      </c>
    </row>
    <row r="1870" spans="1:28" x14ac:dyDescent="0.25">
      <c r="A1870" t="s">
        <v>4288</v>
      </c>
      <c r="B1870" t="s">
        <v>4289</v>
      </c>
      <c r="C1870" t="s">
        <v>646</v>
      </c>
      <c r="D1870" t="s">
        <v>3779</v>
      </c>
      <c r="E1870" t="s">
        <v>647</v>
      </c>
      <c r="F1870" t="s">
        <v>3780</v>
      </c>
      <c r="G1870" t="s">
        <v>769</v>
      </c>
      <c r="H1870" t="s">
        <v>1045</v>
      </c>
      <c r="I1870" t="s">
        <v>1453</v>
      </c>
      <c r="J1870" t="s">
        <v>1454</v>
      </c>
      <c r="K1870" t="s">
        <v>166</v>
      </c>
      <c r="L1870" t="s">
        <v>0</v>
      </c>
      <c r="M1870" t="s">
        <v>178</v>
      </c>
      <c r="N1870">
        <v>82</v>
      </c>
      <c r="O1870">
        <v>80</v>
      </c>
      <c r="P1870">
        <v>822</v>
      </c>
      <c r="Q1870">
        <v>6790.17</v>
      </c>
      <c r="R1870">
        <v>1332.68</v>
      </c>
      <c r="S1870">
        <v>420.90652316000001</v>
      </c>
      <c r="T1870">
        <v>0</v>
      </c>
      <c r="U1870">
        <v>0</v>
      </c>
      <c r="V1870">
        <v>1332.68</v>
      </c>
      <c r="W1870" t="s">
        <v>1455</v>
      </c>
      <c r="X1870" t="s">
        <v>271</v>
      </c>
      <c r="Y1870" t="s">
        <v>4290</v>
      </c>
      <c r="AA1870" t="s">
        <v>4291</v>
      </c>
      <c r="AB1870" t="s">
        <v>181</v>
      </c>
    </row>
    <row r="1871" spans="1:28" x14ac:dyDescent="0.25">
      <c r="A1871" t="s">
        <v>4039</v>
      </c>
      <c r="B1871" t="s">
        <v>4040</v>
      </c>
      <c r="C1871" t="s">
        <v>646</v>
      </c>
      <c r="D1871" t="s">
        <v>3779</v>
      </c>
      <c r="E1871" t="s">
        <v>647</v>
      </c>
      <c r="F1871" t="s">
        <v>3780</v>
      </c>
      <c r="G1871" t="s">
        <v>769</v>
      </c>
      <c r="H1871" t="s">
        <v>1045</v>
      </c>
      <c r="I1871" t="s">
        <v>1595</v>
      </c>
      <c r="J1871" t="s">
        <v>544</v>
      </c>
      <c r="K1871" t="s">
        <v>166</v>
      </c>
      <c r="L1871" t="s">
        <v>0</v>
      </c>
      <c r="M1871" t="s">
        <v>178</v>
      </c>
      <c r="N1871">
        <v>112</v>
      </c>
      <c r="O1871">
        <v>73</v>
      </c>
      <c r="P1871">
        <v>1247.7</v>
      </c>
      <c r="Q1871">
        <v>11084.92</v>
      </c>
      <c r="R1871">
        <v>924.68</v>
      </c>
      <c r="S1871">
        <v>667.50183652999999</v>
      </c>
      <c r="T1871">
        <v>0</v>
      </c>
      <c r="U1871">
        <v>0</v>
      </c>
      <c r="V1871">
        <v>924.68</v>
      </c>
      <c r="W1871" t="s">
        <v>239</v>
      </c>
      <c r="X1871" t="s">
        <v>271</v>
      </c>
      <c r="Y1871" t="s">
        <v>4041</v>
      </c>
      <c r="AA1871" t="s">
        <v>4042</v>
      </c>
      <c r="AB1871" t="s">
        <v>181</v>
      </c>
    </row>
    <row r="1872" spans="1:28" x14ac:dyDescent="0.25">
      <c r="A1872" t="s">
        <v>4127</v>
      </c>
      <c r="B1872" t="s">
        <v>4128</v>
      </c>
      <c r="C1872" t="s">
        <v>646</v>
      </c>
      <c r="D1872" t="s">
        <v>3779</v>
      </c>
      <c r="E1872" t="s">
        <v>647</v>
      </c>
      <c r="F1872" t="s">
        <v>3780</v>
      </c>
      <c r="G1872" t="s">
        <v>769</v>
      </c>
      <c r="H1872" t="s">
        <v>672</v>
      </c>
      <c r="I1872" t="s">
        <v>4129</v>
      </c>
      <c r="J1872" t="s">
        <v>2057</v>
      </c>
      <c r="K1872" t="s">
        <v>166</v>
      </c>
      <c r="L1872" t="s">
        <v>0</v>
      </c>
      <c r="M1872" t="s">
        <v>178</v>
      </c>
      <c r="N1872">
        <v>66</v>
      </c>
      <c r="O1872">
        <v>59</v>
      </c>
      <c r="P1872">
        <v>1336.19</v>
      </c>
      <c r="Q1872">
        <v>3049.33</v>
      </c>
      <c r="R1872">
        <v>410.52953893</v>
      </c>
      <c r="S1872">
        <v>732.44079227999998</v>
      </c>
      <c r="T1872">
        <v>0.40953893000000002</v>
      </c>
      <c r="U1872">
        <v>0</v>
      </c>
      <c r="V1872">
        <v>410.12</v>
      </c>
      <c r="W1872" t="s">
        <v>2058</v>
      </c>
      <c r="X1872" t="s">
        <v>271</v>
      </c>
      <c r="Y1872" t="s">
        <v>4130</v>
      </c>
      <c r="AA1872" t="s">
        <v>4131</v>
      </c>
      <c r="AB1872" t="s">
        <v>181</v>
      </c>
    </row>
    <row r="1873" spans="1:28" x14ac:dyDescent="0.25">
      <c r="A1873" t="s">
        <v>4337</v>
      </c>
      <c r="B1873" t="s">
        <v>4338</v>
      </c>
      <c r="C1873" t="s">
        <v>646</v>
      </c>
      <c r="D1873" t="s">
        <v>3779</v>
      </c>
      <c r="E1873" t="s">
        <v>647</v>
      </c>
      <c r="F1873" t="s">
        <v>3780</v>
      </c>
      <c r="G1873" t="s">
        <v>769</v>
      </c>
      <c r="H1873" t="s">
        <v>1045</v>
      </c>
      <c r="I1873" t="s">
        <v>4339</v>
      </c>
      <c r="J1873" t="s">
        <v>821</v>
      </c>
      <c r="K1873" t="s">
        <v>166</v>
      </c>
      <c r="L1873" t="s">
        <v>0</v>
      </c>
      <c r="M1873" t="s">
        <v>178</v>
      </c>
      <c r="N1873">
        <v>44</v>
      </c>
      <c r="O1873">
        <v>19</v>
      </c>
      <c r="P1873">
        <v>460</v>
      </c>
      <c r="Q1873">
        <v>5406.73</v>
      </c>
      <c r="R1873">
        <v>781.94</v>
      </c>
      <c r="S1873">
        <v>172.28163459999999</v>
      </c>
      <c r="T1873">
        <v>0</v>
      </c>
      <c r="U1873">
        <v>0</v>
      </c>
      <c r="V1873">
        <v>781.94</v>
      </c>
      <c r="W1873" t="s">
        <v>822</v>
      </c>
      <c r="X1873" t="s">
        <v>269</v>
      </c>
      <c r="Y1873" t="s">
        <v>4340</v>
      </c>
      <c r="AA1873" t="s">
        <v>4341</v>
      </c>
      <c r="AB1873" t="s">
        <v>181</v>
      </c>
    </row>
    <row r="1874" spans="1:28" x14ac:dyDescent="0.25">
      <c r="A1874" t="s">
        <v>3788</v>
      </c>
      <c r="B1874" t="s">
        <v>3789</v>
      </c>
      <c r="C1874" t="s">
        <v>646</v>
      </c>
      <c r="D1874" t="s">
        <v>3779</v>
      </c>
      <c r="E1874" t="s">
        <v>647</v>
      </c>
      <c r="F1874" t="s">
        <v>3780</v>
      </c>
      <c r="G1874" t="s">
        <v>769</v>
      </c>
      <c r="H1874" t="s">
        <v>761</v>
      </c>
      <c r="I1874" t="s">
        <v>3790</v>
      </c>
      <c r="J1874" t="s">
        <v>599</v>
      </c>
      <c r="K1874" t="s">
        <v>166</v>
      </c>
      <c r="L1874" t="s">
        <v>0</v>
      </c>
      <c r="M1874" t="s">
        <v>178</v>
      </c>
      <c r="N1874">
        <v>128</v>
      </c>
      <c r="O1874">
        <v>121</v>
      </c>
      <c r="P1874">
        <v>4499.18</v>
      </c>
      <c r="Q1874">
        <v>4194.4399999999996</v>
      </c>
      <c r="R1874">
        <v>321.79000000000002</v>
      </c>
      <c r="S1874">
        <v>909.67334186000005</v>
      </c>
      <c r="T1874">
        <v>0</v>
      </c>
      <c r="U1874">
        <v>0</v>
      </c>
      <c r="V1874">
        <v>321.79000000000002</v>
      </c>
      <c r="W1874" t="s">
        <v>598</v>
      </c>
      <c r="X1874" t="s">
        <v>271</v>
      </c>
      <c r="Y1874" t="s">
        <v>3791</v>
      </c>
      <c r="AA1874" t="s">
        <v>3792</v>
      </c>
      <c r="AB1874" t="s">
        <v>181</v>
      </c>
    </row>
    <row r="1875" spans="1:28" x14ac:dyDescent="0.25">
      <c r="A1875" t="s">
        <v>3925</v>
      </c>
      <c r="B1875" t="s">
        <v>3926</v>
      </c>
      <c r="C1875" t="s">
        <v>646</v>
      </c>
      <c r="D1875" t="s">
        <v>3779</v>
      </c>
      <c r="E1875" t="s">
        <v>647</v>
      </c>
      <c r="F1875" t="s">
        <v>3780</v>
      </c>
      <c r="G1875" t="s">
        <v>769</v>
      </c>
      <c r="H1875" t="s">
        <v>962</v>
      </c>
      <c r="I1875" t="s">
        <v>2284</v>
      </c>
      <c r="J1875" t="s">
        <v>2285</v>
      </c>
      <c r="K1875" t="s">
        <v>166</v>
      </c>
      <c r="L1875" t="s">
        <v>0</v>
      </c>
      <c r="M1875" t="s">
        <v>178</v>
      </c>
      <c r="N1875">
        <v>181</v>
      </c>
      <c r="O1875">
        <v>171</v>
      </c>
      <c r="P1875">
        <v>2565.77</v>
      </c>
      <c r="Q1875">
        <v>12257.45</v>
      </c>
      <c r="R1875">
        <v>2917.51777558</v>
      </c>
      <c r="S1875">
        <v>1621.70935831</v>
      </c>
      <c r="T1875">
        <v>1.7775579999999999E-2</v>
      </c>
      <c r="U1875">
        <v>0</v>
      </c>
      <c r="V1875">
        <v>2917.5</v>
      </c>
      <c r="W1875" t="s">
        <v>453</v>
      </c>
      <c r="X1875" t="s">
        <v>271</v>
      </c>
      <c r="Y1875" t="s">
        <v>3927</v>
      </c>
      <c r="AA1875" t="s">
        <v>3928</v>
      </c>
      <c r="AB1875" t="s">
        <v>181</v>
      </c>
    </row>
    <row r="1876" spans="1:28" x14ac:dyDescent="0.25">
      <c r="A1876" t="s">
        <v>4022</v>
      </c>
      <c r="B1876" t="s">
        <v>4023</v>
      </c>
      <c r="C1876" t="s">
        <v>646</v>
      </c>
      <c r="D1876" t="s">
        <v>3779</v>
      </c>
      <c r="E1876" t="s">
        <v>647</v>
      </c>
      <c r="F1876" t="s">
        <v>3780</v>
      </c>
      <c r="G1876" t="s">
        <v>769</v>
      </c>
      <c r="H1876" t="s">
        <v>717</v>
      </c>
      <c r="I1876" t="s">
        <v>4024</v>
      </c>
      <c r="J1876" t="s">
        <v>447</v>
      </c>
      <c r="K1876" t="s">
        <v>166</v>
      </c>
      <c r="L1876" t="s">
        <v>0</v>
      </c>
      <c r="M1876" t="s">
        <v>178</v>
      </c>
      <c r="N1876">
        <v>195</v>
      </c>
      <c r="O1876">
        <v>32</v>
      </c>
      <c r="P1876">
        <v>3224.28</v>
      </c>
      <c r="Q1876">
        <v>12906.18</v>
      </c>
      <c r="R1876">
        <v>948.96</v>
      </c>
      <c r="S1876">
        <v>271.24997472000001</v>
      </c>
      <c r="T1876">
        <v>0</v>
      </c>
      <c r="U1876">
        <v>0</v>
      </c>
      <c r="V1876">
        <v>948.96</v>
      </c>
      <c r="W1876" t="s">
        <v>446</v>
      </c>
      <c r="X1876" t="s">
        <v>271</v>
      </c>
      <c r="Y1876" t="s">
        <v>4025</v>
      </c>
      <c r="AA1876" t="s">
        <v>4026</v>
      </c>
      <c r="AB1876" t="s">
        <v>181</v>
      </c>
    </row>
    <row r="1877" spans="1:28" x14ac:dyDescent="0.25">
      <c r="A1877" t="s">
        <v>4078</v>
      </c>
      <c r="B1877" t="s">
        <v>4079</v>
      </c>
      <c r="C1877" t="s">
        <v>646</v>
      </c>
      <c r="D1877" t="s">
        <v>3779</v>
      </c>
      <c r="E1877" t="s">
        <v>647</v>
      </c>
      <c r="F1877" t="s">
        <v>3780</v>
      </c>
      <c r="G1877" t="s">
        <v>769</v>
      </c>
      <c r="H1877" t="s">
        <v>703</v>
      </c>
      <c r="I1877" t="s">
        <v>885</v>
      </c>
      <c r="J1877" t="s">
        <v>324</v>
      </c>
      <c r="K1877" t="s">
        <v>166</v>
      </c>
      <c r="L1877" t="s">
        <v>0</v>
      </c>
      <c r="M1877" t="s">
        <v>178</v>
      </c>
      <c r="N1877">
        <v>194.16659999999999</v>
      </c>
      <c r="O1877">
        <v>79.583299999999994</v>
      </c>
      <c r="P1877">
        <v>6628.03</v>
      </c>
      <c r="Q1877">
        <v>4798.0200000000004</v>
      </c>
      <c r="R1877">
        <v>551.77</v>
      </c>
      <c r="S1877">
        <v>1016.53869954</v>
      </c>
      <c r="T1877">
        <v>2.5</v>
      </c>
      <c r="U1877">
        <v>0</v>
      </c>
      <c r="V1877">
        <v>549.27</v>
      </c>
      <c r="W1877" t="s">
        <v>519</v>
      </c>
      <c r="X1877" t="s">
        <v>271</v>
      </c>
      <c r="Y1877" t="s">
        <v>4080</v>
      </c>
      <c r="AA1877" t="s">
        <v>4081</v>
      </c>
      <c r="AB1877" t="s">
        <v>181</v>
      </c>
    </row>
    <row r="1878" spans="1:28" x14ac:dyDescent="0.25">
      <c r="A1878" t="s">
        <v>3981</v>
      </c>
      <c r="B1878" t="s">
        <v>3982</v>
      </c>
      <c r="C1878" t="s">
        <v>646</v>
      </c>
      <c r="D1878" t="s">
        <v>3779</v>
      </c>
      <c r="E1878" t="s">
        <v>647</v>
      </c>
      <c r="F1878" t="s">
        <v>3780</v>
      </c>
      <c r="G1878" t="s">
        <v>769</v>
      </c>
      <c r="H1878" t="s">
        <v>797</v>
      </c>
      <c r="I1878" t="s">
        <v>2384</v>
      </c>
      <c r="J1878" t="s">
        <v>447</v>
      </c>
      <c r="K1878" t="s">
        <v>166</v>
      </c>
      <c r="L1878" t="s">
        <v>0</v>
      </c>
      <c r="M1878" t="s">
        <v>178</v>
      </c>
      <c r="N1878">
        <v>282</v>
      </c>
      <c r="O1878">
        <v>254</v>
      </c>
      <c r="P1878">
        <v>3232</v>
      </c>
      <c r="Q1878">
        <v>7767.68</v>
      </c>
      <c r="R1878">
        <v>620.48063637999996</v>
      </c>
      <c r="S1878">
        <v>2272.63736075</v>
      </c>
      <c r="T1878">
        <v>2.0636379999999999E-2</v>
      </c>
      <c r="U1878">
        <v>4.8</v>
      </c>
      <c r="V1878">
        <v>625.26</v>
      </c>
      <c r="W1878" t="s">
        <v>446</v>
      </c>
      <c r="X1878" t="s">
        <v>271</v>
      </c>
      <c r="Y1878" t="s">
        <v>3983</v>
      </c>
      <c r="AA1878" t="s">
        <v>3984</v>
      </c>
      <c r="AB1878" t="s">
        <v>181</v>
      </c>
    </row>
    <row r="1879" spans="1:28" x14ac:dyDescent="0.25">
      <c r="A1879" t="s">
        <v>3806</v>
      </c>
      <c r="B1879" t="s">
        <v>3807</v>
      </c>
      <c r="C1879" t="s">
        <v>646</v>
      </c>
      <c r="D1879" t="s">
        <v>3779</v>
      </c>
      <c r="E1879" t="s">
        <v>647</v>
      </c>
      <c r="F1879" t="s">
        <v>3780</v>
      </c>
      <c r="G1879" t="s">
        <v>769</v>
      </c>
      <c r="H1879" t="s">
        <v>649</v>
      </c>
      <c r="I1879" t="s">
        <v>2071</v>
      </c>
      <c r="J1879" t="s">
        <v>1664</v>
      </c>
      <c r="K1879" t="s">
        <v>166</v>
      </c>
      <c r="L1879" t="s">
        <v>0</v>
      </c>
      <c r="M1879" t="s">
        <v>178</v>
      </c>
      <c r="N1879">
        <v>424</v>
      </c>
      <c r="O1879">
        <v>401</v>
      </c>
      <c r="P1879">
        <v>8136.31</v>
      </c>
      <c r="Q1879">
        <v>26098.48</v>
      </c>
      <c r="R1879">
        <v>2532.13</v>
      </c>
      <c r="S1879">
        <v>1651.2020655399999</v>
      </c>
      <c r="T1879">
        <v>0</v>
      </c>
      <c r="U1879">
        <v>0</v>
      </c>
      <c r="V1879">
        <v>2532.13</v>
      </c>
      <c r="W1879" t="s">
        <v>1665</v>
      </c>
      <c r="X1879" t="s">
        <v>271</v>
      </c>
      <c r="Y1879" t="s">
        <v>3808</v>
      </c>
      <c r="AA1879" t="s">
        <v>3809</v>
      </c>
      <c r="AB1879" t="s">
        <v>181</v>
      </c>
    </row>
    <row r="1880" spans="1:28" x14ac:dyDescent="0.25">
      <c r="A1880" t="s">
        <v>4151</v>
      </c>
      <c r="B1880" t="s">
        <v>4152</v>
      </c>
      <c r="C1880" t="s">
        <v>646</v>
      </c>
      <c r="D1880" t="s">
        <v>3779</v>
      </c>
      <c r="E1880" t="s">
        <v>647</v>
      </c>
      <c r="F1880" t="s">
        <v>666</v>
      </c>
      <c r="G1880" t="s">
        <v>666</v>
      </c>
      <c r="H1880" t="s">
        <v>1045</v>
      </c>
      <c r="I1880" t="s">
        <v>765</v>
      </c>
      <c r="J1880" t="s">
        <v>436</v>
      </c>
      <c r="K1880" t="s">
        <v>166</v>
      </c>
      <c r="L1880" t="s">
        <v>0</v>
      </c>
      <c r="M1880" t="s">
        <v>178</v>
      </c>
      <c r="N1880">
        <v>24.1</v>
      </c>
      <c r="O1880">
        <v>22.1</v>
      </c>
      <c r="P1880">
        <v>311.5</v>
      </c>
      <c r="Q1880">
        <v>1777.08</v>
      </c>
      <c r="R1880">
        <v>313.35000000000002</v>
      </c>
      <c r="S1880">
        <v>267.85858017999999</v>
      </c>
      <c r="T1880">
        <v>0</v>
      </c>
      <c r="U1880">
        <v>0</v>
      </c>
      <c r="V1880">
        <v>313.35000000000002</v>
      </c>
      <c r="W1880" t="s">
        <v>0</v>
      </c>
      <c r="X1880" t="s">
        <v>271</v>
      </c>
      <c r="Y1880" t="s">
        <v>4153</v>
      </c>
      <c r="AA1880" t="s">
        <v>4154</v>
      </c>
      <c r="AB1880" t="s">
        <v>181</v>
      </c>
    </row>
    <row r="1881" spans="1:28" x14ac:dyDescent="0.25">
      <c r="A1881" t="s">
        <v>4143</v>
      </c>
      <c r="B1881" t="s">
        <v>4144</v>
      </c>
      <c r="C1881" t="s">
        <v>646</v>
      </c>
      <c r="D1881" t="s">
        <v>3779</v>
      </c>
      <c r="E1881" t="s">
        <v>647</v>
      </c>
      <c r="F1881" t="s">
        <v>3780</v>
      </c>
      <c r="G1881" t="s">
        <v>769</v>
      </c>
      <c r="H1881" t="s">
        <v>856</v>
      </c>
      <c r="I1881" t="s">
        <v>1828</v>
      </c>
      <c r="J1881" t="s">
        <v>1829</v>
      </c>
      <c r="K1881" t="s">
        <v>166</v>
      </c>
      <c r="L1881" t="s">
        <v>0</v>
      </c>
      <c r="M1881" t="s">
        <v>178</v>
      </c>
      <c r="N1881">
        <v>81</v>
      </c>
      <c r="O1881">
        <v>0</v>
      </c>
      <c r="P1881">
        <v>1063.48</v>
      </c>
      <c r="Q1881">
        <v>10674.62</v>
      </c>
      <c r="R1881">
        <v>2301.88</v>
      </c>
      <c r="S1881">
        <v>83.727512000000004</v>
      </c>
      <c r="T1881">
        <v>0</v>
      </c>
      <c r="U1881">
        <v>0</v>
      </c>
      <c r="V1881">
        <v>2301.88</v>
      </c>
      <c r="W1881" t="s">
        <v>1361</v>
      </c>
      <c r="X1881" t="s">
        <v>271</v>
      </c>
      <c r="Y1881" t="s">
        <v>4145</v>
      </c>
      <c r="AA1881" t="s">
        <v>4146</v>
      </c>
      <c r="AB1881" t="s">
        <v>181</v>
      </c>
    </row>
    <row r="1882" spans="1:28" x14ac:dyDescent="0.25">
      <c r="A1882" t="s">
        <v>3892</v>
      </c>
      <c r="B1882" t="s">
        <v>3893</v>
      </c>
      <c r="C1882" t="s">
        <v>646</v>
      </c>
      <c r="D1882" t="s">
        <v>3779</v>
      </c>
      <c r="E1882" t="s">
        <v>647</v>
      </c>
      <c r="F1882" t="s">
        <v>666</v>
      </c>
      <c r="G1882" t="s">
        <v>666</v>
      </c>
      <c r="H1882" t="s">
        <v>717</v>
      </c>
      <c r="I1882" t="s">
        <v>2102</v>
      </c>
      <c r="J1882" t="s">
        <v>355</v>
      </c>
      <c r="K1882" t="s">
        <v>166</v>
      </c>
      <c r="L1882" t="s">
        <v>0</v>
      </c>
      <c r="M1882" t="s">
        <v>178</v>
      </c>
      <c r="N1882">
        <v>177</v>
      </c>
      <c r="O1882">
        <v>71</v>
      </c>
      <c r="P1882">
        <v>2279.73</v>
      </c>
      <c r="Q1882">
        <v>12127.45</v>
      </c>
      <c r="R1882">
        <v>2835.6621318399998</v>
      </c>
      <c r="S1882">
        <v>42.293192580000003</v>
      </c>
      <c r="T1882">
        <v>12.63213184</v>
      </c>
      <c r="U1882">
        <v>0</v>
      </c>
      <c r="V1882">
        <v>2823.03</v>
      </c>
      <c r="W1882" t="s">
        <v>0</v>
      </c>
      <c r="X1882" t="s">
        <v>271</v>
      </c>
      <c r="Y1882" t="s">
        <v>2103</v>
      </c>
      <c r="AA1882" t="s">
        <v>3894</v>
      </c>
      <c r="AB1882" t="s">
        <v>181</v>
      </c>
    </row>
    <row r="1883" spans="1:28" x14ac:dyDescent="0.25">
      <c r="A1883" t="s">
        <v>4365</v>
      </c>
      <c r="B1883" t="s">
        <v>4366</v>
      </c>
      <c r="C1883" t="s">
        <v>646</v>
      </c>
      <c r="D1883" t="s">
        <v>3779</v>
      </c>
      <c r="E1883" t="s">
        <v>647</v>
      </c>
      <c r="F1883" t="s">
        <v>666</v>
      </c>
      <c r="G1883" t="s">
        <v>666</v>
      </c>
      <c r="H1883" t="s">
        <v>703</v>
      </c>
      <c r="I1883" t="s">
        <v>4367</v>
      </c>
      <c r="J1883" t="s">
        <v>318</v>
      </c>
      <c r="K1883" t="s">
        <v>166</v>
      </c>
      <c r="L1883" t="s">
        <v>0</v>
      </c>
      <c r="M1883" t="s">
        <v>178</v>
      </c>
      <c r="N1883">
        <v>1543</v>
      </c>
      <c r="O1883">
        <v>978</v>
      </c>
      <c r="P1883">
        <v>57570</v>
      </c>
      <c r="Q1883">
        <v>19548.7</v>
      </c>
      <c r="R1883">
        <v>-4754.51</v>
      </c>
      <c r="S1883">
        <v>6911.9105816399997</v>
      </c>
      <c r="T1883">
        <v>0</v>
      </c>
      <c r="U1883">
        <v>0</v>
      </c>
      <c r="V1883">
        <v>-4754.51</v>
      </c>
      <c r="W1883" t="s">
        <v>472</v>
      </c>
      <c r="X1883" t="s">
        <v>271</v>
      </c>
      <c r="Y1883" t="s">
        <v>4368</v>
      </c>
      <c r="AA1883" t="s">
        <v>4369</v>
      </c>
      <c r="AB1883" t="s">
        <v>181</v>
      </c>
    </row>
    <row r="1884" spans="1:28" x14ac:dyDescent="0.25">
      <c r="A1884" t="s">
        <v>4357</v>
      </c>
      <c r="B1884" t="s">
        <v>4358</v>
      </c>
      <c r="C1884" t="s">
        <v>646</v>
      </c>
      <c r="D1884" t="s">
        <v>3779</v>
      </c>
      <c r="E1884" t="s">
        <v>647</v>
      </c>
      <c r="F1884" t="s">
        <v>3780</v>
      </c>
      <c r="G1884" t="s">
        <v>769</v>
      </c>
      <c r="H1884" t="s">
        <v>1159</v>
      </c>
      <c r="I1884" t="s">
        <v>1599</v>
      </c>
      <c r="J1884" t="s">
        <v>1600</v>
      </c>
      <c r="K1884" t="s">
        <v>166</v>
      </c>
      <c r="L1884" t="s">
        <v>0</v>
      </c>
      <c r="M1884" t="s">
        <v>178</v>
      </c>
      <c r="N1884">
        <v>4</v>
      </c>
      <c r="O1884">
        <v>1</v>
      </c>
      <c r="P1884">
        <v>38.81</v>
      </c>
      <c r="Q1884">
        <v>229.58</v>
      </c>
      <c r="R1884">
        <v>39.04</v>
      </c>
      <c r="S1884">
        <v>18.323495609999998</v>
      </c>
      <c r="T1884">
        <v>0</v>
      </c>
      <c r="U1884">
        <v>0</v>
      </c>
      <c r="V1884">
        <v>39.04</v>
      </c>
      <c r="W1884" t="s">
        <v>1601</v>
      </c>
      <c r="X1884" t="s">
        <v>269</v>
      </c>
      <c r="Y1884" t="s">
        <v>4359</v>
      </c>
      <c r="AA1884" t="s">
        <v>4360</v>
      </c>
      <c r="AB1884" t="s">
        <v>181</v>
      </c>
    </row>
    <row r="1885" spans="1:28" x14ac:dyDescent="0.25">
      <c r="A1885" t="s">
        <v>4244</v>
      </c>
      <c r="B1885" t="s">
        <v>4245</v>
      </c>
      <c r="C1885" t="s">
        <v>646</v>
      </c>
      <c r="D1885" t="s">
        <v>3779</v>
      </c>
      <c r="E1885" t="s">
        <v>647</v>
      </c>
      <c r="F1885" t="s">
        <v>3780</v>
      </c>
      <c r="G1885" t="s">
        <v>769</v>
      </c>
      <c r="H1885" t="s">
        <v>730</v>
      </c>
      <c r="I1885" t="s">
        <v>1251</v>
      </c>
      <c r="J1885" t="s">
        <v>821</v>
      </c>
      <c r="K1885" t="s">
        <v>166</v>
      </c>
      <c r="L1885" t="s">
        <v>0</v>
      </c>
      <c r="M1885" t="s">
        <v>178</v>
      </c>
      <c r="N1885">
        <v>5</v>
      </c>
      <c r="O1885">
        <v>4</v>
      </c>
      <c r="P1885">
        <v>140.62</v>
      </c>
      <c r="Q1885">
        <v>248.85</v>
      </c>
      <c r="R1885">
        <v>52.16</v>
      </c>
      <c r="S1885">
        <v>30.056640269999999</v>
      </c>
      <c r="T1885">
        <v>0</v>
      </c>
      <c r="U1885">
        <v>0</v>
      </c>
      <c r="V1885">
        <v>52.16</v>
      </c>
      <c r="W1885" t="s">
        <v>822</v>
      </c>
      <c r="X1885" t="s">
        <v>269</v>
      </c>
      <c r="Y1885" t="s">
        <v>4246</v>
      </c>
      <c r="AA1885" t="s">
        <v>4247</v>
      </c>
      <c r="AB1885" t="s">
        <v>181</v>
      </c>
    </row>
    <row r="1886" spans="1:28" x14ac:dyDescent="0.25">
      <c r="A1886" t="s">
        <v>3977</v>
      </c>
      <c r="B1886" t="s">
        <v>3978</v>
      </c>
      <c r="C1886" t="s">
        <v>646</v>
      </c>
      <c r="D1886" t="s">
        <v>3779</v>
      </c>
      <c r="E1886" t="s">
        <v>647</v>
      </c>
      <c r="F1886" t="s">
        <v>3780</v>
      </c>
      <c r="G1886" t="s">
        <v>769</v>
      </c>
      <c r="H1886" t="s">
        <v>1515</v>
      </c>
      <c r="I1886" t="s">
        <v>1489</v>
      </c>
      <c r="J1886" t="s">
        <v>816</v>
      </c>
      <c r="K1886" t="s">
        <v>166</v>
      </c>
      <c r="L1886" t="s">
        <v>0</v>
      </c>
      <c r="M1886" t="s">
        <v>178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 t="s">
        <v>817</v>
      </c>
      <c r="X1886" t="s">
        <v>271</v>
      </c>
      <c r="Y1886" t="s">
        <v>3979</v>
      </c>
      <c r="AA1886" t="s">
        <v>3980</v>
      </c>
      <c r="AB1886" t="s">
        <v>181</v>
      </c>
    </row>
    <row r="1887" spans="1:28" x14ac:dyDescent="0.25">
      <c r="A1887" t="s">
        <v>4109</v>
      </c>
      <c r="B1887" t="s">
        <v>4110</v>
      </c>
      <c r="C1887" t="s">
        <v>646</v>
      </c>
      <c r="D1887" t="s">
        <v>3779</v>
      </c>
      <c r="E1887" t="s">
        <v>647</v>
      </c>
      <c r="F1887" t="s">
        <v>3780</v>
      </c>
      <c r="G1887" t="s">
        <v>769</v>
      </c>
      <c r="H1887" t="s">
        <v>1515</v>
      </c>
      <c r="I1887" t="s">
        <v>1046</v>
      </c>
      <c r="J1887" t="s">
        <v>971</v>
      </c>
      <c r="K1887" t="s">
        <v>166</v>
      </c>
      <c r="L1887" t="s">
        <v>0</v>
      </c>
      <c r="M1887" t="s">
        <v>178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 t="s">
        <v>972</v>
      </c>
      <c r="X1887" t="s">
        <v>269</v>
      </c>
      <c r="Y1887" t="s">
        <v>4111</v>
      </c>
      <c r="AA1887" t="s">
        <v>4112</v>
      </c>
      <c r="AB1887" t="s">
        <v>181</v>
      </c>
    </row>
    <row r="1888" spans="1:28" x14ac:dyDescent="0.25">
      <c r="A1888" t="s">
        <v>4298</v>
      </c>
      <c r="B1888" t="s">
        <v>4299</v>
      </c>
      <c r="C1888" t="s">
        <v>646</v>
      </c>
      <c r="D1888" t="s">
        <v>3779</v>
      </c>
      <c r="E1888" t="s">
        <v>647</v>
      </c>
      <c r="F1888" t="s">
        <v>666</v>
      </c>
      <c r="G1888" t="s">
        <v>666</v>
      </c>
      <c r="H1888" t="s">
        <v>962</v>
      </c>
      <c r="I1888" t="s">
        <v>4300</v>
      </c>
      <c r="J1888" t="s">
        <v>511</v>
      </c>
      <c r="K1888" t="s">
        <v>166</v>
      </c>
      <c r="L1888" t="s">
        <v>0</v>
      </c>
      <c r="M1888" t="s">
        <v>178</v>
      </c>
      <c r="N1888">
        <v>186</v>
      </c>
      <c r="O1888">
        <v>0</v>
      </c>
      <c r="P1888">
        <v>2863.62</v>
      </c>
      <c r="Q1888">
        <v>9646</v>
      </c>
      <c r="R1888">
        <v>507.96</v>
      </c>
      <c r="S1888">
        <v>348.76705893000002</v>
      </c>
      <c r="T1888">
        <v>364.06</v>
      </c>
      <c r="U1888">
        <v>0</v>
      </c>
      <c r="V1888">
        <v>507.96</v>
      </c>
      <c r="W1888" t="s">
        <v>510</v>
      </c>
      <c r="X1888" t="s">
        <v>271</v>
      </c>
      <c r="Y1888" t="s">
        <v>4301</v>
      </c>
      <c r="Z1888" t="s">
        <v>4302</v>
      </c>
      <c r="AA1888" t="s">
        <v>4303</v>
      </c>
      <c r="AB1888" t="s">
        <v>181</v>
      </c>
    </row>
    <row r="1889" spans="1:28" x14ac:dyDescent="0.25">
      <c r="A1889" t="s">
        <v>4117</v>
      </c>
      <c r="B1889" t="s">
        <v>4118</v>
      </c>
      <c r="C1889" t="s">
        <v>646</v>
      </c>
      <c r="D1889" t="s">
        <v>3779</v>
      </c>
      <c r="E1889" t="s">
        <v>647</v>
      </c>
      <c r="F1889" t="s">
        <v>3780</v>
      </c>
      <c r="G1889" t="s">
        <v>769</v>
      </c>
      <c r="H1889" t="s">
        <v>703</v>
      </c>
      <c r="I1889" t="s">
        <v>1190</v>
      </c>
      <c r="J1889" t="s">
        <v>1191</v>
      </c>
      <c r="K1889" t="s">
        <v>166</v>
      </c>
      <c r="L1889" t="s">
        <v>0</v>
      </c>
      <c r="M1889" t="s">
        <v>178</v>
      </c>
      <c r="N1889">
        <v>739</v>
      </c>
      <c r="O1889">
        <v>331</v>
      </c>
      <c r="P1889">
        <v>8872.1</v>
      </c>
      <c r="Q1889">
        <v>18927.46</v>
      </c>
      <c r="R1889">
        <v>1513.5760260500001</v>
      </c>
      <c r="S1889">
        <v>3488.81165207</v>
      </c>
      <c r="T1889">
        <v>169.22602605</v>
      </c>
      <c r="U1889">
        <v>0</v>
      </c>
      <c r="V1889">
        <v>1516.13</v>
      </c>
      <c r="W1889" t="s">
        <v>282</v>
      </c>
      <c r="X1889" t="s">
        <v>271</v>
      </c>
      <c r="Y1889" t="s">
        <v>2170</v>
      </c>
      <c r="AA1889" t="s">
        <v>2171</v>
      </c>
      <c r="AB1889" t="s">
        <v>181</v>
      </c>
    </row>
    <row r="1890" spans="1:28" x14ac:dyDescent="0.25">
      <c r="A1890" t="s">
        <v>3819</v>
      </c>
      <c r="B1890" t="s">
        <v>3820</v>
      </c>
      <c r="C1890" t="s">
        <v>646</v>
      </c>
      <c r="D1890" t="s">
        <v>3779</v>
      </c>
      <c r="E1890" t="s">
        <v>647</v>
      </c>
      <c r="F1890" t="s">
        <v>3780</v>
      </c>
      <c r="G1890" t="s">
        <v>769</v>
      </c>
      <c r="H1890" t="s">
        <v>856</v>
      </c>
      <c r="I1890" t="s">
        <v>798</v>
      </c>
      <c r="J1890" t="s">
        <v>524</v>
      </c>
      <c r="K1890" t="s">
        <v>166</v>
      </c>
      <c r="L1890" t="s">
        <v>0</v>
      </c>
      <c r="M1890" t="s">
        <v>178</v>
      </c>
      <c r="N1890">
        <v>33</v>
      </c>
      <c r="O1890">
        <v>17</v>
      </c>
      <c r="P1890">
        <v>424.49</v>
      </c>
      <c r="Q1890">
        <v>4703.1099999999997</v>
      </c>
      <c r="R1890">
        <v>702.15</v>
      </c>
      <c r="S1890">
        <v>158.40526581</v>
      </c>
      <c r="T1890">
        <v>0</v>
      </c>
      <c r="U1890">
        <v>0</v>
      </c>
      <c r="V1890">
        <v>702.15</v>
      </c>
      <c r="W1890" t="s">
        <v>258</v>
      </c>
      <c r="X1890" t="s">
        <v>271</v>
      </c>
      <c r="Y1890" t="s">
        <v>3821</v>
      </c>
      <c r="AA1890" t="s">
        <v>3822</v>
      </c>
      <c r="AB1890" t="s">
        <v>181</v>
      </c>
    </row>
    <row r="1891" spans="1:28" x14ac:dyDescent="0.25">
      <c r="A1891" t="s">
        <v>3788</v>
      </c>
      <c r="B1891" t="s">
        <v>3789</v>
      </c>
      <c r="C1891" t="s">
        <v>646</v>
      </c>
      <c r="D1891" t="s">
        <v>3779</v>
      </c>
      <c r="E1891" t="s">
        <v>647</v>
      </c>
      <c r="F1891" t="s">
        <v>3780</v>
      </c>
      <c r="G1891" t="s">
        <v>769</v>
      </c>
      <c r="H1891" t="s">
        <v>856</v>
      </c>
      <c r="I1891" t="s">
        <v>3790</v>
      </c>
      <c r="J1891" t="s">
        <v>599</v>
      </c>
      <c r="K1891" t="s">
        <v>166</v>
      </c>
      <c r="L1891" t="s">
        <v>0</v>
      </c>
      <c r="M1891" t="s">
        <v>178</v>
      </c>
      <c r="N1891">
        <v>54</v>
      </c>
      <c r="O1891">
        <v>3</v>
      </c>
      <c r="P1891">
        <v>734.1</v>
      </c>
      <c r="Q1891">
        <v>7246.24</v>
      </c>
      <c r="R1891">
        <v>462.13</v>
      </c>
      <c r="S1891">
        <v>51.452328000000001</v>
      </c>
      <c r="T1891">
        <v>0</v>
      </c>
      <c r="U1891">
        <v>0</v>
      </c>
      <c r="V1891">
        <v>462.13</v>
      </c>
      <c r="W1891" t="s">
        <v>598</v>
      </c>
      <c r="X1891" t="s">
        <v>271</v>
      </c>
      <c r="Y1891" t="s">
        <v>3791</v>
      </c>
      <c r="AA1891" t="s">
        <v>3792</v>
      </c>
      <c r="AB1891" t="s">
        <v>181</v>
      </c>
    </row>
    <row r="1892" spans="1:28" x14ac:dyDescent="0.25">
      <c r="A1892" t="s">
        <v>4353</v>
      </c>
      <c r="B1892" t="s">
        <v>4354</v>
      </c>
      <c r="C1892" t="s">
        <v>646</v>
      </c>
      <c r="D1892" t="s">
        <v>3779</v>
      </c>
      <c r="E1892" t="s">
        <v>647</v>
      </c>
      <c r="F1892" t="s">
        <v>3780</v>
      </c>
      <c r="G1892" t="s">
        <v>769</v>
      </c>
      <c r="H1892" t="s">
        <v>856</v>
      </c>
      <c r="I1892" t="s">
        <v>1160</v>
      </c>
      <c r="J1892" t="s">
        <v>336</v>
      </c>
      <c r="K1892" t="s">
        <v>166</v>
      </c>
      <c r="L1892" t="s">
        <v>0</v>
      </c>
      <c r="M1892" t="s">
        <v>178</v>
      </c>
      <c r="N1892">
        <v>210</v>
      </c>
      <c r="O1892">
        <v>57</v>
      </c>
      <c r="P1892">
        <v>5075.08</v>
      </c>
      <c r="Q1892">
        <v>25070.36</v>
      </c>
      <c r="R1892">
        <v>3639.62</v>
      </c>
      <c r="S1892">
        <v>435.68323600000002</v>
      </c>
      <c r="T1892">
        <v>0</v>
      </c>
      <c r="U1892">
        <v>0</v>
      </c>
      <c r="V1892">
        <v>3639.62</v>
      </c>
      <c r="W1892" t="s">
        <v>461</v>
      </c>
      <c r="X1892" t="s">
        <v>271</v>
      </c>
      <c r="Y1892" t="s">
        <v>4355</v>
      </c>
      <c r="AA1892" t="s">
        <v>4356</v>
      </c>
      <c r="AB1892" t="s">
        <v>181</v>
      </c>
    </row>
    <row r="1893" spans="1:28" x14ac:dyDescent="0.25">
      <c r="A1893" t="s">
        <v>4006</v>
      </c>
      <c r="B1893" t="s">
        <v>4007</v>
      </c>
      <c r="C1893" t="s">
        <v>646</v>
      </c>
      <c r="D1893" t="s">
        <v>3779</v>
      </c>
      <c r="E1893" t="s">
        <v>647</v>
      </c>
      <c r="F1893" t="s">
        <v>3780</v>
      </c>
      <c r="G1893" t="s">
        <v>769</v>
      </c>
      <c r="H1893" t="s">
        <v>713</v>
      </c>
      <c r="I1893" t="s">
        <v>4008</v>
      </c>
      <c r="J1893" t="s">
        <v>688</v>
      </c>
      <c r="K1893" t="s">
        <v>166</v>
      </c>
      <c r="L1893" t="s">
        <v>0</v>
      </c>
      <c r="M1893" t="s">
        <v>178</v>
      </c>
      <c r="N1893">
        <v>1489</v>
      </c>
      <c r="O1893">
        <v>33</v>
      </c>
      <c r="P1893">
        <v>22946.880000000001</v>
      </c>
      <c r="Q1893">
        <v>26937.47</v>
      </c>
      <c r="R1893">
        <v>5315.15389779</v>
      </c>
      <c r="S1893">
        <v>569.82730957000001</v>
      </c>
      <c r="T1893">
        <v>75.603897790000005</v>
      </c>
      <c r="U1893">
        <v>0</v>
      </c>
      <c r="V1893">
        <v>5239.55</v>
      </c>
      <c r="W1893" t="s">
        <v>0</v>
      </c>
      <c r="X1893" t="s">
        <v>271</v>
      </c>
      <c r="Y1893" t="s">
        <v>4009</v>
      </c>
      <c r="AA1893" t="s">
        <v>4010</v>
      </c>
      <c r="AB1893" t="s">
        <v>181</v>
      </c>
    </row>
    <row r="1894" spans="1:28" x14ac:dyDescent="0.25">
      <c r="A1894" t="s">
        <v>4236</v>
      </c>
      <c r="B1894" t="s">
        <v>4237</v>
      </c>
      <c r="C1894" t="s">
        <v>646</v>
      </c>
      <c r="D1894" t="s">
        <v>3779</v>
      </c>
      <c r="E1894" t="s">
        <v>647</v>
      </c>
      <c r="F1894" t="s">
        <v>3780</v>
      </c>
      <c r="G1894" t="s">
        <v>769</v>
      </c>
      <c r="H1894" t="s">
        <v>679</v>
      </c>
      <c r="I1894" t="s">
        <v>1546</v>
      </c>
      <c r="J1894" t="s">
        <v>1547</v>
      </c>
      <c r="K1894" t="s">
        <v>166</v>
      </c>
      <c r="L1894" t="s">
        <v>0</v>
      </c>
      <c r="M1894" t="s">
        <v>178</v>
      </c>
      <c r="N1894">
        <v>69</v>
      </c>
      <c r="O1894">
        <v>66</v>
      </c>
      <c r="P1894">
        <v>1452.7</v>
      </c>
      <c r="Q1894">
        <v>2230.9</v>
      </c>
      <c r="R1894">
        <v>185.22445615000001</v>
      </c>
      <c r="S1894">
        <v>992.04956521999998</v>
      </c>
      <c r="T1894">
        <v>-5.5438500000000003E-3</v>
      </c>
      <c r="U1894">
        <v>0</v>
      </c>
      <c r="V1894">
        <v>185.23</v>
      </c>
      <c r="W1894" t="s">
        <v>1548</v>
      </c>
      <c r="X1894" t="s">
        <v>271</v>
      </c>
      <c r="Y1894" t="s">
        <v>4238</v>
      </c>
      <c r="AA1894" t="s">
        <v>4239</v>
      </c>
      <c r="AB1894" t="s">
        <v>181</v>
      </c>
    </row>
    <row r="1895" spans="1:28" x14ac:dyDescent="0.25">
      <c r="A1895" t="s">
        <v>4109</v>
      </c>
      <c r="B1895" t="s">
        <v>4110</v>
      </c>
      <c r="C1895" t="s">
        <v>646</v>
      </c>
      <c r="D1895" t="s">
        <v>3779</v>
      </c>
      <c r="E1895" t="s">
        <v>647</v>
      </c>
      <c r="F1895" t="s">
        <v>3780</v>
      </c>
      <c r="G1895" t="s">
        <v>769</v>
      </c>
      <c r="H1895" t="s">
        <v>770</v>
      </c>
      <c r="I1895" t="s">
        <v>1046</v>
      </c>
      <c r="J1895" t="s">
        <v>971</v>
      </c>
      <c r="K1895" t="s">
        <v>166</v>
      </c>
      <c r="L1895" t="s">
        <v>0</v>
      </c>
      <c r="M1895" t="s">
        <v>178</v>
      </c>
      <c r="N1895">
        <v>410.65</v>
      </c>
      <c r="O1895">
        <v>302.64999999999998</v>
      </c>
      <c r="P1895">
        <v>7483.96</v>
      </c>
      <c r="Q1895">
        <v>9668.41</v>
      </c>
      <c r="R1895">
        <v>1576.99</v>
      </c>
      <c r="S1895">
        <v>1192.0624734</v>
      </c>
      <c r="T1895">
        <v>0</v>
      </c>
      <c r="U1895">
        <v>0</v>
      </c>
      <c r="V1895">
        <v>1576.99</v>
      </c>
      <c r="W1895" t="s">
        <v>972</v>
      </c>
      <c r="X1895" t="s">
        <v>269</v>
      </c>
      <c r="Y1895" t="s">
        <v>4111</v>
      </c>
      <c r="AA1895" t="s">
        <v>4112</v>
      </c>
      <c r="AB1895" t="s">
        <v>181</v>
      </c>
    </row>
    <row r="1896" spans="1:28" x14ac:dyDescent="0.25">
      <c r="A1896" t="s">
        <v>3900</v>
      </c>
      <c r="B1896" t="s">
        <v>3901</v>
      </c>
      <c r="C1896" t="s">
        <v>646</v>
      </c>
      <c r="D1896" t="s">
        <v>3779</v>
      </c>
      <c r="E1896" t="s">
        <v>647</v>
      </c>
      <c r="F1896" t="s">
        <v>3780</v>
      </c>
      <c r="G1896" t="s">
        <v>769</v>
      </c>
      <c r="H1896" t="s">
        <v>683</v>
      </c>
      <c r="I1896" t="s">
        <v>3902</v>
      </c>
      <c r="J1896" t="s">
        <v>1225</v>
      </c>
      <c r="K1896" t="s">
        <v>166</v>
      </c>
      <c r="L1896" t="s">
        <v>0</v>
      </c>
      <c r="M1896" t="s">
        <v>178</v>
      </c>
      <c r="N1896">
        <v>100</v>
      </c>
      <c r="O1896">
        <v>97</v>
      </c>
      <c r="P1896">
        <v>1169.25</v>
      </c>
      <c r="Q1896">
        <v>3901.85</v>
      </c>
      <c r="R1896">
        <v>-102.12</v>
      </c>
      <c r="S1896">
        <v>1580.1273929399999</v>
      </c>
      <c r="T1896">
        <v>0</v>
      </c>
      <c r="U1896">
        <v>0</v>
      </c>
      <c r="V1896">
        <v>-102.12</v>
      </c>
      <c r="W1896" t="s">
        <v>0</v>
      </c>
      <c r="X1896" t="s">
        <v>271</v>
      </c>
      <c r="Y1896" t="s">
        <v>3903</v>
      </c>
      <c r="AA1896" t="s">
        <v>3904</v>
      </c>
      <c r="AB1896" t="s">
        <v>181</v>
      </c>
    </row>
    <row r="1897" spans="1:28" x14ac:dyDescent="0.25">
      <c r="A1897" t="s">
        <v>4357</v>
      </c>
      <c r="B1897" t="s">
        <v>4358</v>
      </c>
      <c r="C1897" t="s">
        <v>646</v>
      </c>
      <c r="D1897" t="s">
        <v>3779</v>
      </c>
      <c r="E1897" t="s">
        <v>647</v>
      </c>
      <c r="F1897" t="s">
        <v>3780</v>
      </c>
      <c r="G1897" t="s">
        <v>769</v>
      </c>
      <c r="H1897" t="s">
        <v>703</v>
      </c>
      <c r="I1897" t="s">
        <v>1599</v>
      </c>
      <c r="J1897" t="s">
        <v>1600</v>
      </c>
      <c r="K1897" t="s">
        <v>166</v>
      </c>
      <c r="L1897" t="s">
        <v>0</v>
      </c>
      <c r="M1897" t="s">
        <v>178</v>
      </c>
      <c r="N1897">
        <v>434.6669</v>
      </c>
      <c r="O1897">
        <v>144.9169</v>
      </c>
      <c r="P1897">
        <v>5026.99</v>
      </c>
      <c r="Q1897">
        <v>13984.4</v>
      </c>
      <c r="R1897">
        <v>4508.0624689899996</v>
      </c>
      <c r="S1897">
        <v>1728.44869666</v>
      </c>
      <c r="T1897">
        <v>0.80246899000000005</v>
      </c>
      <c r="U1897">
        <v>0</v>
      </c>
      <c r="V1897">
        <v>4507.26</v>
      </c>
      <c r="W1897" t="s">
        <v>1601</v>
      </c>
      <c r="X1897" t="s">
        <v>269</v>
      </c>
      <c r="Y1897" t="s">
        <v>4359</v>
      </c>
      <c r="AA1897" t="s">
        <v>4360</v>
      </c>
      <c r="AB1897" t="s">
        <v>181</v>
      </c>
    </row>
    <row r="1898" spans="1:28" x14ac:dyDescent="0.25">
      <c r="A1898" t="s">
        <v>3929</v>
      </c>
      <c r="B1898" t="s">
        <v>3930</v>
      </c>
      <c r="C1898" t="s">
        <v>646</v>
      </c>
      <c r="D1898" t="s">
        <v>3779</v>
      </c>
      <c r="E1898" t="s">
        <v>647</v>
      </c>
      <c r="F1898" t="s">
        <v>3780</v>
      </c>
      <c r="G1898" t="s">
        <v>769</v>
      </c>
      <c r="H1898" t="s">
        <v>1171</v>
      </c>
      <c r="I1898" t="s">
        <v>3649</v>
      </c>
      <c r="J1898" t="s">
        <v>1567</v>
      </c>
      <c r="K1898" t="s">
        <v>166</v>
      </c>
      <c r="L1898" t="s">
        <v>0</v>
      </c>
      <c r="M1898" t="s">
        <v>178</v>
      </c>
      <c r="N1898">
        <v>18</v>
      </c>
      <c r="O1898">
        <v>5</v>
      </c>
      <c r="P1898">
        <v>317.07</v>
      </c>
      <c r="Q1898">
        <v>1819.8</v>
      </c>
      <c r="R1898">
        <v>401.22</v>
      </c>
      <c r="S1898">
        <v>34.742039640000002</v>
      </c>
      <c r="T1898">
        <v>0</v>
      </c>
      <c r="U1898">
        <v>0</v>
      </c>
      <c r="V1898">
        <v>401.22</v>
      </c>
      <c r="W1898" t="s">
        <v>556</v>
      </c>
      <c r="X1898" t="s">
        <v>271</v>
      </c>
      <c r="Y1898" t="s">
        <v>3931</v>
      </c>
      <c r="AA1898" t="s">
        <v>3932</v>
      </c>
      <c r="AB1898" t="s">
        <v>181</v>
      </c>
    </row>
    <row r="1899" spans="1:28" x14ac:dyDescent="0.25">
      <c r="A1899" t="s">
        <v>3909</v>
      </c>
      <c r="B1899" t="s">
        <v>3910</v>
      </c>
      <c r="C1899" t="s">
        <v>646</v>
      </c>
      <c r="D1899" t="s">
        <v>3779</v>
      </c>
      <c r="E1899" t="s">
        <v>647</v>
      </c>
      <c r="F1899" t="s">
        <v>666</v>
      </c>
      <c r="G1899" t="s">
        <v>666</v>
      </c>
      <c r="H1899" t="s">
        <v>797</v>
      </c>
      <c r="I1899" t="s">
        <v>3911</v>
      </c>
      <c r="J1899" t="s">
        <v>355</v>
      </c>
      <c r="K1899" t="s">
        <v>166</v>
      </c>
      <c r="L1899" t="s">
        <v>0</v>
      </c>
      <c r="M1899" t="s">
        <v>178</v>
      </c>
      <c r="N1899">
        <v>199</v>
      </c>
      <c r="O1899">
        <v>8</v>
      </c>
      <c r="P1899">
        <v>1990</v>
      </c>
      <c r="Q1899">
        <v>7698.47</v>
      </c>
      <c r="R1899">
        <v>2104.1692875099998</v>
      </c>
      <c r="S1899">
        <v>257.75608369999998</v>
      </c>
      <c r="T1899">
        <v>0.19928751</v>
      </c>
      <c r="U1899">
        <v>0</v>
      </c>
      <c r="V1899">
        <v>2103.9699999999998</v>
      </c>
      <c r="W1899" t="s">
        <v>0</v>
      </c>
      <c r="X1899" t="s">
        <v>271</v>
      </c>
      <c r="Y1899" t="s">
        <v>3912</v>
      </c>
      <c r="AA1899" t="s">
        <v>3894</v>
      </c>
      <c r="AB1899" t="s">
        <v>181</v>
      </c>
    </row>
    <row r="1900" spans="1:28" x14ac:dyDescent="0.25">
      <c r="A1900" t="s">
        <v>3853</v>
      </c>
      <c r="B1900" t="s">
        <v>3854</v>
      </c>
      <c r="C1900" t="s">
        <v>646</v>
      </c>
      <c r="D1900" t="s">
        <v>3779</v>
      </c>
      <c r="E1900" t="s">
        <v>647</v>
      </c>
      <c r="F1900" t="s">
        <v>3780</v>
      </c>
      <c r="G1900" t="s">
        <v>769</v>
      </c>
      <c r="H1900" t="s">
        <v>797</v>
      </c>
      <c r="I1900" t="s">
        <v>746</v>
      </c>
      <c r="J1900" t="s">
        <v>504</v>
      </c>
      <c r="K1900" t="s">
        <v>166</v>
      </c>
      <c r="L1900" t="s">
        <v>0</v>
      </c>
      <c r="M1900" t="s">
        <v>178</v>
      </c>
      <c r="N1900">
        <v>7</v>
      </c>
      <c r="O1900">
        <v>7</v>
      </c>
      <c r="P1900">
        <v>82</v>
      </c>
      <c r="Q1900">
        <v>213.93</v>
      </c>
      <c r="R1900">
        <v>42.68</v>
      </c>
      <c r="S1900">
        <v>64.485333150000002</v>
      </c>
      <c r="T1900">
        <v>0</v>
      </c>
      <c r="U1900">
        <v>0</v>
      </c>
      <c r="V1900">
        <v>42.68</v>
      </c>
      <c r="W1900" t="s">
        <v>503</v>
      </c>
      <c r="X1900" t="s">
        <v>271</v>
      </c>
      <c r="Y1900" t="s">
        <v>3855</v>
      </c>
      <c r="AA1900" t="s">
        <v>3856</v>
      </c>
      <c r="AB1900" t="s">
        <v>181</v>
      </c>
    </row>
    <row r="1901" spans="1:28" x14ac:dyDescent="0.25">
      <c r="A1901" t="s">
        <v>4201</v>
      </c>
      <c r="B1901" t="s">
        <v>4202</v>
      </c>
      <c r="C1901" t="s">
        <v>646</v>
      </c>
      <c r="D1901" t="s">
        <v>3779</v>
      </c>
      <c r="E1901" t="s">
        <v>647</v>
      </c>
      <c r="F1901" t="s">
        <v>3780</v>
      </c>
      <c r="G1901" t="s">
        <v>769</v>
      </c>
      <c r="H1901" t="s">
        <v>683</v>
      </c>
      <c r="I1901" t="s">
        <v>4203</v>
      </c>
      <c r="J1901" t="s">
        <v>688</v>
      </c>
      <c r="K1901" t="s">
        <v>166</v>
      </c>
      <c r="L1901" t="s">
        <v>0</v>
      </c>
      <c r="M1901" t="s">
        <v>178</v>
      </c>
      <c r="N1901">
        <v>298</v>
      </c>
      <c r="O1901">
        <v>249</v>
      </c>
      <c r="P1901">
        <v>5448.21</v>
      </c>
      <c r="Q1901">
        <v>9782.5400000000009</v>
      </c>
      <c r="R1901">
        <v>1409.19</v>
      </c>
      <c r="S1901">
        <v>2146.2519877700001</v>
      </c>
      <c r="T1901">
        <v>0</v>
      </c>
      <c r="U1901">
        <v>0</v>
      </c>
      <c r="V1901">
        <v>1409.19</v>
      </c>
      <c r="W1901" t="s">
        <v>0</v>
      </c>
      <c r="X1901" t="s">
        <v>271</v>
      </c>
      <c r="Y1901" t="s">
        <v>4204</v>
      </c>
      <c r="AA1901" t="s">
        <v>4205</v>
      </c>
      <c r="AB1901" t="s">
        <v>181</v>
      </c>
    </row>
    <row r="1902" spans="1:28" x14ac:dyDescent="0.25">
      <c r="A1902" t="s">
        <v>3944</v>
      </c>
      <c r="B1902" t="s">
        <v>3945</v>
      </c>
      <c r="C1902" t="s">
        <v>646</v>
      </c>
      <c r="D1902" t="s">
        <v>3779</v>
      </c>
      <c r="E1902" t="s">
        <v>647</v>
      </c>
      <c r="F1902" t="s">
        <v>3780</v>
      </c>
      <c r="G1902" t="s">
        <v>769</v>
      </c>
      <c r="H1902" t="s">
        <v>770</v>
      </c>
      <c r="I1902" t="s">
        <v>798</v>
      </c>
      <c r="J1902" t="s">
        <v>524</v>
      </c>
      <c r="K1902" t="s">
        <v>166</v>
      </c>
      <c r="L1902" t="s">
        <v>0</v>
      </c>
      <c r="M1902" t="s">
        <v>178</v>
      </c>
      <c r="N1902">
        <v>51</v>
      </c>
      <c r="O1902">
        <v>47</v>
      </c>
      <c r="P1902">
        <v>796</v>
      </c>
      <c r="Q1902">
        <v>922.58</v>
      </c>
      <c r="R1902">
        <v>187.33</v>
      </c>
      <c r="S1902">
        <v>121.43055802000001</v>
      </c>
      <c r="T1902">
        <v>0</v>
      </c>
      <c r="U1902">
        <v>0</v>
      </c>
      <c r="V1902">
        <v>187.33</v>
      </c>
      <c r="W1902" t="s">
        <v>258</v>
      </c>
      <c r="X1902" t="s">
        <v>271</v>
      </c>
      <c r="Y1902" t="s">
        <v>3946</v>
      </c>
      <c r="AA1902" t="s">
        <v>3947</v>
      </c>
      <c r="AB1902" t="s">
        <v>181</v>
      </c>
    </row>
    <row r="1903" spans="1:28" x14ac:dyDescent="0.25">
      <c r="A1903" t="s">
        <v>3819</v>
      </c>
      <c r="B1903" t="s">
        <v>3820</v>
      </c>
      <c r="C1903" t="s">
        <v>646</v>
      </c>
      <c r="D1903" t="s">
        <v>3779</v>
      </c>
      <c r="E1903" t="s">
        <v>647</v>
      </c>
      <c r="F1903" t="s">
        <v>3780</v>
      </c>
      <c r="G1903" t="s">
        <v>769</v>
      </c>
      <c r="H1903" t="s">
        <v>649</v>
      </c>
      <c r="I1903" t="s">
        <v>798</v>
      </c>
      <c r="J1903" t="s">
        <v>524</v>
      </c>
      <c r="K1903" t="s">
        <v>166</v>
      </c>
      <c r="L1903" t="s">
        <v>0</v>
      </c>
      <c r="M1903" t="s">
        <v>178</v>
      </c>
      <c r="N1903">
        <v>1129</v>
      </c>
      <c r="O1903">
        <v>754</v>
      </c>
      <c r="P1903">
        <v>24595.599999999999</v>
      </c>
      <c r="Q1903">
        <v>73117.600000000006</v>
      </c>
      <c r="R1903">
        <v>8200.9699999999993</v>
      </c>
      <c r="S1903">
        <v>3549.6651481899999</v>
      </c>
      <c r="T1903">
        <v>0</v>
      </c>
      <c r="U1903">
        <v>0</v>
      </c>
      <c r="V1903">
        <v>8200.9699999999993</v>
      </c>
      <c r="W1903" t="s">
        <v>258</v>
      </c>
      <c r="X1903" t="s">
        <v>271</v>
      </c>
      <c r="Y1903" t="s">
        <v>3821</v>
      </c>
      <c r="AA1903" t="s">
        <v>3822</v>
      </c>
      <c r="AB1903" t="s">
        <v>181</v>
      </c>
    </row>
    <row r="1904" spans="1:28" x14ac:dyDescent="0.25">
      <c r="A1904" t="s">
        <v>4228</v>
      </c>
      <c r="B1904" t="s">
        <v>4229</v>
      </c>
      <c r="C1904" t="s">
        <v>646</v>
      </c>
      <c r="D1904" t="s">
        <v>3779</v>
      </c>
      <c r="E1904" t="s">
        <v>647</v>
      </c>
      <c r="F1904" t="s">
        <v>3780</v>
      </c>
      <c r="G1904" t="s">
        <v>769</v>
      </c>
      <c r="H1904" t="s">
        <v>683</v>
      </c>
      <c r="I1904" t="s">
        <v>1971</v>
      </c>
      <c r="J1904" t="s">
        <v>1972</v>
      </c>
      <c r="K1904" t="s">
        <v>166</v>
      </c>
      <c r="L1904" t="s">
        <v>0</v>
      </c>
      <c r="M1904" t="s">
        <v>178</v>
      </c>
      <c r="N1904">
        <v>514.33330000000001</v>
      </c>
      <c r="O1904">
        <v>333.33330000000001</v>
      </c>
      <c r="P1904">
        <v>11510.45</v>
      </c>
      <c r="Q1904">
        <v>23202.14</v>
      </c>
      <c r="R1904">
        <v>5072.8885512400002</v>
      </c>
      <c r="S1904">
        <v>3862.6009139900002</v>
      </c>
      <c r="T1904">
        <v>-1.4487599999999999E-3</v>
      </c>
      <c r="U1904">
        <v>0</v>
      </c>
      <c r="V1904">
        <v>5072.8900000000003</v>
      </c>
      <c r="W1904" t="s">
        <v>1973</v>
      </c>
      <c r="X1904" t="s">
        <v>271</v>
      </c>
      <c r="Y1904" t="s">
        <v>4230</v>
      </c>
      <c r="AA1904" t="s">
        <v>4231</v>
      </c>
      <c r="AB1904" t="s">
        <v>181</v>
      </c>
    </row>
    <row r="1905" spans="1:28" x14ac:dyDescent="0.25">
      <c r="A1905" t="s">
        <v>4333</v>
      </c>
      <c r="B1905" t="s">
        <v>4334</v>
      </c>
      <c r="C1905" t="s">
        <v>646</v>
      </c>
      <c r="D1905" t="s">
        <v>3779</v>
      </c>
      <c r="E1905" t="s">
        <v>647</v>
      </c>
      <c r="F1905" t="s">
        <v>666</v>
      </c>
      <c r="G1905" t="s">
        <v>666</v>
      </c>
      <c r="H1905" t="s">
        <v>649</v>
      </c>
      <c r="I1905" t="s">
        <v>3649</v>
      </c>
      <c r="J1905" t="s">
        <v>1567</v>
      </c>
      <c r="K1905" t="s">
        <v>166</v>
      </c>
      <c r="L1905" t="s">
        <v>0</v>
      </c>
      <c r="M1905" t="s">
        <v>178</v>
      </c>
      <c r="N1905">
        <v>1504</v>
      </c>
      <c r="O1905">
        <v>1020</v>
      </c>
      <c r="P1905">
        <v>30201.39</v>
      </c>
      <c r="Q1905">
        <v>57330.11</v>
      </c>
      <c r="R1905">
        <v>4725.62</v>
      </c>
      <c r="S1905">
        <v>5972.9168141500004</v>
      </c>
      <c r="T1905">
        <v>0</v>
      </c>
      <c r="U1905">
        <v>0</v>
      </c>
      <c r="V1905">
        <v>4725.62</v>
      </c>
      <c r="W1905" t="s">
        <v>556</v>
      </c>
      <c r="X1905" t="s">
        <v>271</v>
      </c>
      <c r="Y1905" t="s">
        <v>4335</v>
      </c>
      <c r="AA1905" t="s">
        <v>4336</v>
      </c>
      <c r="AB1905" t="s">
        <v>181</v>
      </c>
    </row>
    <row r="1906" spans="1:28" x14ac:dyDescent="0.25">
      <c r="A1906" t="s">
        <v>4353</v>
      </c>
      <c r="B1906" t="s">
        <v>4354</v>
      </c>
      <c r="C1906" t="s">
        <v>646</v>
      </c>
      <c r="D1906" t="s">
        <v>3779</v>
      </c>
      <c r="E1906" t="s">
        <v>647</v>
      </c>
      <c r="F1906" t="s">
        <v>3780</v>
      </c>
      <c r="G1906" t="s">
        <v>769</v>
      </c>
      <c r="H1906" t="s">
        <v>708</v>
      </c>
      <c r="I1906" t="s">
        <v>1160</v>
      </c>
      <c r="J1906" t="s">
        <v>336</v>
      </c>
      <c r="K1906" t="s">
        <v>166</v>
      </c>
      <c r="L1906" t="s">
        <v>0</v>
      </c>
      <c r="M1906" t="s">
        <v>178</v>
      </c>
      <c r="N1906">
        <v>16</v>
      </c>
      <c r="O1906">
        <v>5</v>
      </c>
      <c r="P1906">
        <v>230.19</v>
      </c>
      <c r="Q1906">
        <v>589.72</v>
      </c>
      <c r="R1906">
        <v>94.39</v>
      </c>
      <c r="S1906">
        <v>44.236139680000001</v>
      </c>
      <c r="T1906">
        <v>0</v>
      </c>
      <c r="U1906">
        <v>0</v>
      </c>
      <c r="V1906">
        <v>94.39</v>
      </c>
      <c r="W1906" t="s">
        <v>461</v>
      </c>
      <c r="X1906" t="s">
        <v>271</v>
      </c>
      <c r="Y1906" t="s">
        <v>4355</v>
      </c>
      <c r="AA1906" t="s">
        <v>4356</v>
      </c>
      <c r="AB1906" t="s">
        <v>181</v>
      </c>
    </row>
    <row r="1907" spans="1:28" x14ac:dyDescent="0.25">
      <c r="A1907" t="s">
        <v>4244</v>
      </c>
      <c r="B1907" t="s">
        <v>4245</v>
      </c>
      <c r="C1907" t="s">
        <v>646</v>
      </c>
      <c r="D1907" t="s">
        <v>3779</v>
      </c>
      <c r="E1907" t="s">
        <v>647</v>
      </c>
      <c r="F1907" t="s">
        <v>3780</v>
      </c>
      <c r="G1907" t="s">
        <v>769</v>
      </c>
      <c r="H1907" t="s">
        <v>1045</v>
      </c>
      <c r="I1907" t="s">
        <v>1251</v>
      </c>
      <c r="J1907" t="s">
        <v>821</v>
      </c>
      <c r="K1907" t="s">
        <v>166</v>
      </c>
      <c r="L1907" t="s">
        <v>0</v>
      </c>
      <c r="M1907" t="s">
        <v>178</v>
      </c>
      <c r="N1907">
        <v>81.75</v>
      </c>
      <c r="O1907">
        <v>32.75</v>
      </c>
      <c r="P1907">
        <v>938.9</v>
      </c>
      <c r="Q1907">
        <v>8819.26</v>
      </c>
      <c r="R1907">
        <v>1427.37</v>
      </c>
      <c r="S1907">
        <v>211.71668536000001</v>
      </c>
      <c r="T1907">
        <v>0</v>
      </c>
      <c r="U1907">
        <v>0</v>
      </c>
      <c r="V1907">
        <v>1427.37</v>
      </c>
      <c r="W1907" t="s">
        <v>822</v>
      </c>
      <c r="X1907" t="s">
        <v>269</v>
      </c>
      <c r="Y1907" t="s">
        <v>4246</v>
      </c>
      <c r="AA1907" t="s">
        <v>4247</v>
      </c>
      <c r="AB1907" t="s">
        <v>181</v>
      </c>
    </row>
    <row r="1908" spans="1:28" x14ac:dyDescent="0.25">
      <c r="A1908" t="s">
        <v>3883</v>
      </c>
      <c r="B1908" t="s">
        <v>3884</v>
      </c>
      <c r="C1908" t="s">
        <v>646</v>
      </c>
      <c r="D1908" t="s">
        <v>3779</v>
      </c>
      <c r="E1908" t="s">
        <v>647</v>
      </c>
      <c r="F1908" t="s">
        <v>3780</v>
      </c>
      <c r="G1908" t="s">
        <v>769</v>
      </c>
      <c r="H1908" t="s">
        <v>802</v>
      </c>
      <c r="I1908" t="s">
        <v>3885</v>
      </c>
      <c r="J1908" t="s">
        <v>1861</v>
      </c>
      <c r="K1908" t="s">
        <v>166</v>
      </c>
      <c r="L1908" t="s">
        <v>0</v>
      </c>
      <c r="M1908" t="s">
        <v>178</v>
      </c>
      <c r="N1908">
        <v>18</v>
      </c>
      <c r="O1908">
        <v>16</v>
      </c>
      <c r="P1908">
        <v>242.61</v>
      </c>
      <c r="Q1908">
        <v>612.47</v>
      </c>
      <c r="R1908">
        <v>30.25</v>
      </c>
      <c r="S1908">
        <v>85.343984169999999</v>
      </c>
      <c r="T1908">
        <v>0</v>
      </c>
      <c r="U1908">
        <v>0</v>
      </c>
      <c r="V1908">
        <v>30.25</v>
      </c>
      <c r="W1908" t="s">
        <v>1862</v>
      </c>
      <c r="X1908" t="s">
        <v>271</v>
      </c>
      <c r="Y1908" t="s">
        <v>3886</v>
      </c>
      <c r="AA1908" t="s">
        <v>3887</v>
      </c>
      <c r="AB1908" t="s">
        <v>181</v>
      </c>
    </row>
    <row r="1909" spans="1:28" x14ac:dyDescent="0.25">
      <c r="A1909" t="s">
        <v>4219</v>
      </c>
      <c r="B1909" t="s">
        <v>4220</v>
      </c>
      <c r="C1909" t="s">
        <v>646</v>
      </c>
      <c r="D1909" t="s">
        <v>3779</v>
      </c>
      <c r="E1909" t="s">
        <v>647</v>
      </c>
      <c r="F1909" t="s">
        <v>3780</v>
      </c>
      <c r="G1909" t="s">
        <v>769</v>
      </c>
      <c r="H1909" t="s">
        <v>962</v>
      </c>
      <c r="I1909" t="s">
        <v>1208</v>
      </c>
      <c r="J1909" t="s">
        <v>1209</v>
      </c>
      <c r="K1909" t="s">
        <v>166</v>
      </c>
      <c r="L1909" t="s">
        <v>0</v>
      </c>
      <c r="M1909" t="s">
        <v>178</v>
      </c>
      <c r="N1909">
        <v>23</v>
      </c>
      <c r="O1909">
        <v>21</v>
      </c>
      <c r="P1909">
        <v>362.95</v>
      </c>
      <c r="Q1909">
        <v>1479.88</v>
      </c>
      <c r="R1909">
        <v>396.22</v>
      </c>
      <c r="S1909">
        <v>129.66792487000001</v>
      </c>
      <c r="T1909">
        <v>0</v>
      </c>
      <c r="U1909">
        <v>0</v>
      </c>
      <c r="V1909">
        <v>396.22</v>
      </c>
      <c r="W1909" t="s">
        <v>1210</v>
      </c>
      <c r="X1909" t="s">
        <v>271</v>
      </c>
      <c r="Y1909" t="s">
        <v>4221</v>
      </c>
      <c r="AA1909" t="s">
        <v>4222</v>
      </c>
      <c r="AB1909" t="s">
        <v>181</v>
      </c>
    </row>
    <row r="1910" spans="1:28" x14ac:dyDescent="0.25">
      <c r="A1910" t="s">
        <v>4098</v>
      </c>
      <c r="B1910" t="s">
        <v>4099</v>
      </c>
      <c r="C1910" t="s">
        <v>646</v>
      </c>
      <c r="D1910" t="s">
        <v>3779</v>
      </c>
      <c r="E1910" t="s">
        <v>647</v>
      </c>
      <c r="F1910" t="s">
        <v>666</v>
      </c>
      <c r="G1910" t="s">
        <v>666</v>
      </c>
      <c r="H1910" t="s">
        <v>962</v>
      </c>
      <c r="I1910" t="s">
        <v>765</v>
      </c>
      <c r="J1910" t="s">
        <v>436</v>
      </c>
      <c r="K1910" t="s">
        <v>166</v>
      </c>
      <c r="L1910" t="s">
        <v>0</v>
      </c>
      <c r="M1910" t="s">
        <v>178</v>
      </c>
      <c r="N1910">
        <v>543</v>
      </c>
      <c r="O1910">
        <v>260</v>
      </c>
      <c r="P1910">
        <v>8310.77</v>
      </c>
      <c r="Q1910">
        <v>31479.5</v>
      </c>
      <c r="R1910">
        <v>3409.8775898399999</v>
      </c>
      <c r="S1910">
        <v>2185.76222504</v>
      </c>
      <c r="T1910">
        <v>0.27758983999999998</v>
      </c>
      <c r="U1910">
        <v>248.94</v>
      </c>
      <c r="V1910">
        <v>3658.54</v>
      </c>
      <c r="W1910" t="s">
        <v>0</v>
      </c>
      <c r="X1910" t="s">
        <v>271</v>
      </c>
      <c r="Y1910" t="s">
        <v>4100</v>
      </c>
      <c r="AA1910" t="s">
        <v>4101</v>
      </c>
      <c r="AB1910" t="s">
        <v>181</v>
      </c>
    </row>
    <row r="1911" spans="1:28" x14ac:dyDescent="0.25">
      <c r="A1911" t="s">
        <v>4196</v>
      </c>
      <c r="B1911" t="s">
        <v>4197</v>
      </c>
      <c r="C1911" t="s">
        <v>646</v>
      </c>
      <c r="D1911" t="s">
        <v>3779</v>
      </c>
      <c r="E1911" t="s">
        <v>647</v>
      </c>
      <c r="F1911" t="s">
        <v>3780</v>
      </c>
      <c r="G1911" t="s">
        <v>769</v>
      </c>
      <c r="H1911" t="s">
        <v>1045</v>
      </c>
      <c r="I1911" t="s">
        <v>4198</v>
      </c>
      <c r="J1911" t="s">
        <v>870</v>
      </c>
      <c r="K1911" t="s">
        <v>166</v>
      </c>
      <c r="L1911" t="s">
        <v>0</v>
      </c>
      <c r="M1911" t="s">
        <v>178</v>
      </c>
      <c r="N1911">
        <v>92</v>
      </c>
      <c r="O1911">
        <v>92</v>
      </c>
      <c r="P1911">
        <v>920</v>
      </c>
      <c r="Q1911">
        <v>7815.2</v>
      </c>
      <c r="R1911">
        <v>618.79</v>
      </c>
      <c r="S1911">
        <v>476.67945595999998</v>
      </c>
      <c r="T1911">
        <v>0</v>
      </c>
      <c r="U1911">
        <v>0</v>
      </c>
      <c r="V1911">
        <v>618.79</v>
      </c>
      <c r="W1911" t="s">
        <v>871</v>
      </c>
      <c r="X1911" t="s">
        <v>271</v>
      </c>
      <c r="Y1911" t="s">
        <v>4199</v>
      </c>
      <c r="AA1911" t="s">
        <v>4200</v>
      </c>
      <c r="AB1911" t="s">
        <v>181</v>
      </c>
    </row>
    <row r="1912" spans="1:28" x14ac:dyDescent="0.25">
      <c r="A1912" t="s">
        <v>4162</v>
      </c>
      <c r="B1912" t="s">
        <v>4163</v>
      </c>
      <c r="C1912" t="s">
        <v>646</v>
      </c>
      <c r="D1912" t="s">
        <v>3779</v>
      </c>
      <c r="E1912" t="s">
        <v>647</v>
      </c>
      <c r="F1912" t="s">
        <v>3780</v>
      </c>
      <c r="G1912" t="s">
        <v>769</v>
      </c>
      <c r="H1912" t="s">
        <v>802</v>
      </c>
      <c r="I1912" t="s">
        <v>4164</v>
      </c>
      <c r="J1912" t="s">
        <v>985</v>
      </c>
      <c r="K1912" t="s">
        <v>166</v>
      </c>
      <c r="L1912" t="s">
        <v>0</v>
      </c>
      <c r="M1912" t="s">
        <v>178</v>
      </c>
      <c r="N1912">
        <v>34.25</v>
      </c>
      <c r="O1912">
        <v>27.25</v>
      </c>
      <c r="P1912">
        <v>451.43</v>
      </c>
      <c r="Q1912">
        <v>1343.76</v>
      </c>
      <c r="R1912">
        <v>249.97</v>
      </c>
      <c r="S1912">
        <v>135.84711307000001</v>
      </c>
      <c r="T1912">
        <v>0</v>
      </c>
      <c r="U1912">
        <v>0</v>
      </c>
      <c r="V1912">
        <v>249.97</v>
      </c>
      <c r="W1912" t="s">
        <v>986</v>
      </c>
      <c r="X1912" t="s">
        <v>271</v>
      </c>
      <c r="Y1912" t="s">
        <v>4165</v>
      </c>
      <c r="AA1912" t="s">
        <v>4166</v>
      </c>
      <c r="AB1912" t="s">
        <v>181</v>
      </c>
    </row>
    <row r="1913" spans="1:28" x14ac:dyDescent="0.25">
      <c r="A1913" t="s">
        <v>3875</v>
      </c>
      <c r="B1913" t="s">
        <v>3876</v>
      </c>
      <c r="C1913" t="s">
        <v>646</v>
      </c>
      <c r="D1913" t="s">
        <v>3779</v>
      </c>
      <c r="E1913" t="s">
        <v>647</v>
      </c>
      <c r="F1913" t="s">
        <v>3780</v>
      </c>
      <c r="G1913" t="s">
        <v>769</v>
      </c>
      <c r="H1913" t="s">
        <v>770</v>
      </c>
      <c r="I1913" t="s">
        <v>1190</v>
      </c>
      <c r="J1913" t="s">
        <v>1191</v>
      </c>
      <c r="K1913" t="s">
        <v>166</v>
      </c>
      <c r="L1913" t="s">
        <v>0</v>
      </c>
      <c r="M1913" t="s">
        <v>178</v>
      </c>
      <c r="N1913">
        <v>67</v>
      </c>
      <c r="O1913">
        <v>48</v>
      </c>
      <c r="P1913">
        <v>1037.45</v>
      </c>
      <c r="Q1913">
        <v>1451.29</v>
      </c>
      <c r="R1913">
        <v>91.57</v>
      </c>
      <c r="S1913">
        <v>190.78356905000001</v>
      </c>
      <c r="T1913">
        <v>0</v>
      </c>
      <c r="U1913">
        <v>0</v>
      </c>
      <c r="V1913">
        <v>91.57</v>
      </c>
      <c r="W1913" t="s">
        <v>282</v>
      </c>
      <c r="X1913" t="s">
        <v>271</v>
      </c>
      <c r="Y1913" t="s">
        <v>2170</v>
      </c>
      <c r="AA1913" t="s">
        <v>2171</v>
      </c>
      <c r="AB1913" t="s">
        <v>181</v>
      </c>
    </row>
    <row r="1914" spans="1:28" x14ac:dyDescent="0.25">
      <c r="A1914" t="s">
        <v>3861</v>
      </c>
      <c r="B1914" t="s">
        <v>3862</v>
      </c>
      <c r="C1914" t="s">
        <v>646</v>
      </c>
      <c r="D1914" t="s">
        <v>3779</v>
      </c>
      <c r="E1914" t="s">
        <v>647</v>
      </c>
      <c r="F1914" t="s">
        <v>3780</v>
      </c>
      <c r="G1914" t="s">
        <v>769</v>
      </c>
      <c r="H1914" t="s">
        <v>683</v>
      </c>
      <c r="I1914" t="s">
        <v>2065</v>
      </c>
      <c r="J1914" t="s">
        <v>2066</v>
      </c>
      <c r="K1914" t="s">
        <v>166</v>
      </c>
      <c r="L1914" t="s">
        <v>0</v>
      </c>
      <c r="M1914" t="s">
        <v>178</v>
      </c>
      <c r="N1914">
        <v>268</v>
      </c>
      <c r="O1914">
        <v>221</v>
      </c>
      <c r="P1914">
        <v>5720.78</v>
      </c>
      <c r="Q1914">
        <v>12737.18</v>
      </c>
      <c r="R1914">
        <v>2600.4699999999998</v>
      </c>
      <c r="S1914">
        <v>2129.0888793700001</v>
      </c>
      <c r="T1914">
        <v>0</v>
      </c>
      <c r="U1914">
        <v>0</v>
      </c>
      <c r="V1914">
        <v>2600.4699999999998</v>
      </c>
      <c r="W1914" t="s">
        <v>2067</v>
      </c>
      <c r="X1914" t="s">
        <v>271</v>
      </c>
      <c r="Y1914" t="s">
        <v>3863</v>
      </c>
      <c r="AA1914" t="s">
        <v>3864</v>
      </c>
      <c r="AB1914" t="s">
        <v>181</v>
      </c>
    </row>
    <row r="1915" spans="1:28" x14ac:dyDescent="0.25">
      <c r="A1915" t="s">
        <v>4119</v>
      </c>
      <c r="B1915" t="s">
        <v>4120</v>
      </c>
      <c r="C1915" t="s">
        <v>646</v>
      </c>
      <c r="D1915" t="s">
        <v>3779</v>
      </c>
      <c r="E1915" t="s">
        <v>647</v>
      </c>
      <c r="F1915" t="s">
        <v>3780</v>
      </c>
      <c r="G1915" t="s">
        <v>769</v>
      </c>
      <c r="H1915" t="s">
        <v>802</v>
      </c>
      <c r="I1915" t="s">
        <v>1374</v>
      </c>
      <c r="J1915" t="s">
        <v>441</v>
      </c>
      <c r="K1915" t="s">
        <v>166</v>
      </c>
      <c r="L1915" t="s">
        <v>0</v>
      </c>
      <c r="M1915" t="s">
        <v>178</v>
      </c>
      <c r="N1915">
        <v>186.16650000000001</v>
      </c>
      <c r="O1915">
        <v>178.91650000000001</v>
      </c>
      <c r="P1915">
        <v>2692.47</v>
      </c>
      <c r="Q1915">
        <v>9295.39</v>
      </c>
      <c r="R1915">
        <v>2164.17</v>
      </c>
      <c r="S1915">
        <v>1084.6435676399999</v>
      </c>
      <c r="T1915">
        <v>0</v>
      </c>
      <c r="U1915">
        <v>0</v>
      </c>
      <c r="V1915">
        <v>2164.17</v>
      </c>
      <c r="W1915" t="s">
        <v>440</v>
      </c>
      <c r="X1915" t="s">
        <v>271</v>
      </c>
      <c r="Y1915" t="s">
        <v>4121</v>
      </c>
      <c r="AA1915" t="s">
        <v>4122</v>
      </c>
      <c r="AB1915" t="s">
        <v>181</v>
      </c>
    </row>
    <row r="1916" spans="1:28" x14ac:dyDescent="0.25">
      <c r="A1916" t="s">
        <v>3948</v>
      </c>
      <c r="B1916" t="s">
        <v>3949</v>
      </c>
      <c r="C1916" t="s">
        <v>646</v>
      </c>
      <c r="D1916" t="s">
        <v>3779</v>
      </c>
      <c r="E1916" t="s">
        <v>647</v>
      </c>
      <c r="F1916" t="s">
        <v>3780</v>
      </c>
      <c r="G1916" t="s">
        <v>769</v>
      </c>
      <c r="H1916" t="s">
        <v>713</v>
      </c>
      <c r="I1916" t="s">
        <v>2250</v>
      </c>
      <c r="J1916" t="s">
        <v>358</v>
      </c>
      <c r="K1916" t="s">
        <v>166</v>
      </c>
      <c r="L1916" t="s">
        <v>0</v>
      </c>
      <c r="M1916" t="s">
        <v>178</v>
      </c>
      <c r="N1916">
        <v>447</v>
      </c>
      <c r="O1916">
        <v>0</v>
      </c>
      <c r="P1916">
        <v>11267.56</v>
      </c>
      <c r="Q1916">
        <v>7304.32</v>
      </c>
      <c r="R1916">
        <v>2017.70204706</v>
      </c>
      <c r="S1916">
        <v>102.36184794</v>
      </c>
      <c r="T1916">
        <v>2.0470599999999999E-3</v>
      </c>
      <c r="U1916">
        <v>0</v>
      </c>
      <c r="V1916">
        <v>2017.7</v>
      </c>
      <c r="W1916" t="s">
        <v>357</v>
      </c>
      <c r="X1916" t="s">
        <v>271</v>
      </c>
      <c r="Y1916" t="s">
        <v>3950</v>
      </c>
      <c r="AA1916" t="s">
        <v>3951</v>
      </c>
      <c r="AB1916" t="s">
        <v>181</v>
      </c>
    </row>
    <row r="1917" spans="1:28" x14ac:dyDescent="0.25">
      <c r="A1917" t="s">
        <v>3973</v>
      </c>
      <c r="B1917" t="s">
        <v>3974</v>
      </c>
      <c r="C1917" t="s">
        <v>646</v>
      </c>
      <c r="D1917" t="s">
        <v>3779</v>
      </c>
      <c r="E1917" t="s">
        <v>647</v>
      </c>
      <c r="F1917" t="s">
        <v>3780</v>
      </c>
      <c r="G1917" t="s">
        <v>769</v>
      </c>
      <c r="H1917" t="s">
        <v>683</v>
      </c>
      <c r="I1917" t="s">
        <v>880</v>
      </c>
      <c r="J1917" t="s">
        <v>881</v>
      </c>
      <c r="K1917" t="s">
        <v>166</v>
      </c>
      <c r="L1917" t="s">
        <v>0</v>
      </c>
      <c r="M1917" t="s">
        <v>178</v>
      </c>
      <c r="N1917">
        <v>112.25</v>
      </c>
      <c r="O1917">
        <v>31.25</v>
      </c>
      <c r="P1917">
        <v>1355.83</v>
      </c>
      <c r="Q1917">
        <v>3829.81</v>
      </c>
      <c r="R1917">
        <v>284.17</v>
      </c>
      <c r="S1917">
        <v>441.61428812999998</v>
      </c>
      <c r="T1917">
        <v>0</v>
      </c>
      <c r="U1917">
        <v>47.35</v>
      </c>
      <c r="V1917">
        <v>331.52</v>
      </c>
      <c r="W1917" t="s">
        <v>0</v>
      </c>
      <c r="X1917" t="s">
        <v>271</v>
      </c>
      <c r="Y1917" t="s">
        <v>3975</v>
      </c>
      <c r="AA1917" t="s">
        <v>3976</v>
      </c>
      <c r="AB1917" t="s">
        <v>181</v>
      </c>
    </row>
    <row r="1918" spans="1:28" x14ac:dyDescent="0.25">
      <c r="A1918" t="s">
        <v>3788</v>
      </c>
      <c r="B1918" t="s">
        <v>3789</v>
      </c>
      <c r="C1918" t="s">
        <v>646</v>
      </c>
      <c r="D1918" t="s">
        <v>3779</v>
      </c>
      <c r="E1918" t="s">
        <v>647</v>
      </c>
      <c r="F1918" t="s">
        <v>3780</v>
      </c>
      <c r="G1918" t="s">
        <v>769</v>
      </c>
      <c r="H1918" t="s">
        <v>802</v>
      </c>
      <c r="I1918" t="s">
        <v>3790</v>
      </c>
      <c r="J1918" t="s">
        <v>599</v>
      </c>
      <c r="K1918" t="s">
        <v>166</v>
      </c>
      <c r="L1918" t="s">
        <v>0</v>
      </c>
      <c r="M1918" t="s">
        <v>178</v>
      </c>
      <c r="N1918">
        <v>268.99950000000001</v>
      </c>
      <c r="O1918">
        <v>170.58269999999999</v>
      </c>
      <c r="P1918">
        <v>3535.47</v>
      </c>
      <c r="Q1918">
        <v>11647.92</v>
      </c>
      <c r="R1918">
        <v>986.55</v>
      </c>
      <c r="S1918">
        <v>1295.8592882999999</v>
      </c>
      <c r="T1918">
        <v>0</v>
      </c>
      <c r="U1918">
        <v>344.34</v>
      </c>
      <c r="V1918">
        <v>1330.89</v>
      </c>
      <c r="W1918" t="s">
        <v>598</v>
      </c>
      <c r="X1918" t="s">
        <v>271</v>
      </c>
      <c r="Y1918" t="s">
        <v>3791</v>
      </c>
      <c r="AA1918" t="s">
        <v>3792</v>
      </c>
      <c r="AB1918" t="s">
        <v>181</v>
      </c>
    </row>
    <row r="1919" spans="1:28" x14ac:dyDescent="0.25">
      <c r="A1919" t="s">
        <v>4078</v>
      </c>
      <c r="B1919" t="s">
        <v>4079</v>
      </c>
      <c r="C1919" t="s">
        <v>646</v>
      </c>
      <c r="D1919" t="s">
        <v>3779</v>
      </c>
      <c r="E1919" t="s">
        <v>647</v>
      </c>
      <c r="F1919" t="s">
        <v>3780</v>
      </c>
      <c r="G1919" t="s">
        <v>769</v>
      </c>
      <c r="H1919" t="s">
        <v>649</v>
      </c>
      <c r="I1919" t="s">
        <v>885</v>
      </c>
      <c r="J1919" t="s">
        <v>324</v>
      </c>
      <c r="K1919" t="s">
        <v>166</v>
      </c>
      <c r="L1919" t="s">
        <v>0</v>
      </c>
      <c r="M1919" t="s">
        <v>178</v>
      </c>
      <c r="N1919">
        <v>365</v>
      </c>
      <c r="O1919">
        <v>274</v>
      </c>
      <c r="P1919">
        <v>8209.1200000000008</v>
      </c>
      <c r="Q1919">
        <v>20964.46</v>
      </c>
      <c r="R1919">
        <v>582.70000000000005</v>
      </c>
      <c r="S1919">
        <v>1015.89951408</v>
      </c>
      <c r="T1919">
        <v>0</v>
      </c>
      <c r="U1919">
        <v>0</v>
      </c>
      <c r="V1919">
        <v>582.70000000000005</v>
      </c>
      <c r="W1919" t="s">
        <v>519</v>
      </c>
      <c r="X1919" t="s">
        <v>271</v>
      </c>
      <c r="Y1919" t="s">
        <v>4080</v>
      </c>
      <c r="AA1919" t="s">
        <v>4081</v>
      </c>
      <c r="AB1919" t="s">
        <v>181</v>
      </c>
    </row>
    <row r="1920" spans="1:28" x14ac:dyDescent="0.25">
      <c r="A1920" t="s">
        <v>3823</v>
      </c>
      <c r="B1920" t="s">
        <v>3824</v>
      </c>
      <c r="C1920" t="s">
        <v>646</v>
      </c>
      <c r="D1920" t="s">
        <v>3779</v>
      </c>
      <c r="E1920" t="s">
        <v>647</v>
      </c>
      <c r="F1920" t="s">
        <v>3780</v>
      </c>
      <c r="G1920" t="s">
        <v>769</v>
      </c>
      <c r="H1920" t="s">
        <v>1045</v>
      </c>
      <c r="I1920" t="s">
        <v>1801</v>
      </c>
      <c r="J1920" t="s">
        <v>437</v>
      </c>
      <c r="K1920" t="s">
        <v>166</v>
      </c>
      <c r="L1920" t="s">
        <v>0</v>
      </c>
      <c r="M1920" t="s">
        <v>178</v>
      </c>
      <c r="N1920">
        <v>21</v>
      </c>
      <c r="O1920">
        <v>13</v>
      </c>
      <c r="P1920">
        <v>210</v>
      </c>
      <c r="Q1920">
        <v>1025.8599999999999</v>
      </c>
      <c r="R1920">
        <v>269.31</v>
      </c>
      <c r="S1920">
        <v>62.775389099999998</v>
      </c>
      <c r="T1920">
        <v>0</v>
      </c>
      <c r="U1920">
        <v>0</v>
      </c>
      <c r="V1920">
        <v>269.31</v>
      </c>
      <c r="W1920" t="s">
        <v>510</v>
      </c>
      <c r="X1920" t="s">
        <v>271</v>
      </c>
      <c r="Y1920" t="s">
        <v>3825</v>
      </c>
      <c r="AA1920" t="s">
        <v>3826</v>
      </c>
      <c r="AB1920" t="s">
        <v>181</v>
      </c>
    </row>
    <row r="1921" spans="1:28" x14ac:dyDescent="0.25">
      <c r="A1921" t="s">
        <v>3788</v>
      </c>
      <c r="B1921" t="s">
        <v>3789</v>
      </c>
      <c r="C1921" t="s">
        <v>646</v>
      </c>
      <c r="D1921" t="s">
        <v>3779</v>
      </c>
      <c r="E1921" t="s">
        <v>647</v>
      </c>
      <c r="F1921" t="s">
        <v>3780</v>
      </c>
      <c r="G1921" t="s">
        <v>769</v>
      </c>
      <c r="H1921" t="s">
        <v>730</v>
      </c>
      <c r="I1921" t="s">
        <v>3790</v>
      </c>
      <c r="J1921" t="s">
        <v>599</v>
      </c>
      <c r="K1921" t="s">
        <v>166</v>
      </c>
      <c r="L1921" t="s">
        <v>0</v>
      </c>
      <c r="M1921" t="s">
        <v>178</v>
      </c>
      <c r="N1921">
        <v>165</v>
      </c>
      <c r="O1921">
        <v>46</v>
      </c>
      <c r="P1921">
        <v>6648.87</v>
      </c>
      <c r="Q1921">
        <v>7779.26</v>
      </c>
      <c r="R1921">
        <v>816.09003233999999</v>
      </c>
      <c r="S1921">
        <v>159.07127983000001</v>
      </c>
      <c r="T1921">
        <v>2966.3000323400001</v>
      </c>
      <c r="U1921">
        <v>8.07</v>
      </c>
      <c r="V1921">
        <v>830.22</v>
      </c>
      <c r="W1921" t="s">
        <v>598</v>
      </c>
      <c r="X1921" t="s">
        <v>271</v>
      </c>
      <c r="Y1921" t="s">
        <v>3791</v>
      </c>
      <c r="AA1921" t="s">
        <v>3792</v>
      </c>
      <c r="AB1921" t="s">
        <v>181</v>
      </c>
    </row>
    <row r="1922" spans="1:28" x14ac:dyDescent="0.25">
      <c r="A1922" t="s">
        <v>4039</v>
      </c>
      <c r="B1922" t="s">
        <v>4040</v>
      </c>
      <c r="C1922" t="s">
        <v>646</v>
      </c>
      <c r="D1922" t="s">
        <v>3779</v>
      </c>
      <c r="E1922" t="s">
        <v>647</v>
      </c>
      <c r="F1922" t="s">
        <v>3780</v>
      </c>
      <c r="G1922" t="s">
        <v>769</v>
      </c>
      <c r="H1922" t="s">
        <v>679</v>
      </c>
      <c r="I1922" t="s">
        <v>1595</v>
      </c>
      <c r="J1922" t="s">
        <v>544</v>
      </c>
      <c r="K1922" t="s">
        <v>166</v>
      </c>
      <c r="L1922" t="s">
        <v>0</v>
      </c>
      <c r="M1922" t="s">
        <v>178</v>
      </c>
      <c r="N1922">
        <v>1</v>
      </c>
      <c r="O1922">
        <v>0</v>
      </c>
      <c r="P1922">
        <v>16.5</v>
      </c>
      <c r="Q1922">
        <v>39.950000000000003</v>
      </c>
      <c r="R1922">
        <v>1.07</v>
      </c>
      <c r="S1922">
        <v>0.77759999999999996</v>
      </c>
      <c r="T1922">
        <v>0</v>
      </c>
      <c r="U1922">
        <v>0</v>
      </c>
      <c r="V1922">
        <v>1.07</v>
      </c>
      <c r="W1922" t="s">
        <v>239</v>
      </c>
      <c r="X1922" t="s">
        <v>271</v>
      </c>
      <c r="Y1922" t="s">
        <v>4041</v>
      </c>
      <c r="AA1922" t="s">
        <v>4042</v>
      </c>
      <c r="AB1922" t="s">
        <v>181</v>
      </c>
    </row>
    <row r="1923" spans="1:28" x14ac:dyDescent="0.25">
      <c r="A1923" t="s">
        <v>3783</v>
      </c>
      <c r="B1923" t="s">
        <v>3784</v>
      </c>
      <c r="C1923" t="s">
        <v>646</v>
      </c>
      <c r="D1923" t="s">
        <v>3779</v>
      </c>
      <c r="E1923" t="s">
        <v>647</v>
      </c>
      <c r="F1923" t="s">
        <v>666</v>
      </c>
      <c r="G1923" t="s">
        <v>666</v>
      </c>
      <c r="H1923" t="s">
        <v>672</v>
      </c>
      <c r="I1923" t="s">
        <v>3785</v>
      </c>
      <c r="J1923" t="s">
        <v>432</v>
      </c>
      <c r="K1923" t="s">
        <v>166</v>
      </c>
      <c r="L1923" t="s">
        <v>0</v>
      </c>
      <c r="M1923" t="s">
        <v>178</v>
      </c>
      <c r="N1923">
        <v>27</v>
      </c>
      <c r="O1923">
        <v>20</v>
      </c>
      <c r="P1923">
        <v>183.9</v>
      </c>
      <c r="Q1923">
        <v>1738.46</v>
      </c>
      <c r="R1923">
        <v>384.11</v>
      </c>
      <c r="S1923">
        <v>400.40761139</v>
      </c>
      <c r="T1923">
        <v>0</v>
      </c>
      <c r="U1923">
        <v>0</v>
      </c>
      <c r="V1923">
        <v>384.11</v>
      </c>
      <c r="W1923" t="s">
        <v>0</v>
      </c>
      <c r="X1923" t="s">
        <v>271</v>
      </c>
      <c r="Y1923" t="s">
        <v>3786</v>
      </c>
      <c r="AA1923" t="s">
        <v>3787</v>
      </c>
      <c r="AB1923" t="s">
        <v>181</v>
      </c>
    </row>
    <row r="1924" spans="1:28" x14ac:dyDescent="0.25">
      <c r="A1924" t="s">
        <v>4051</v>
      </c>
      <c r="B1924" t="s">
        <v>4052</v>
      </c>
      <c r="C1924" t="s">
        <v>646</v>
      </c>
      <c r="D1924" t="s">
        <v>3779</v>
      </c>
      <c r="E1924" t="s">
        <v>647</v>
      </c>
      <c r="F1924" t="s">
        <v>3780</v>
      </c>
      <c r="G1924" t="s">
        <v>769</v>
      </c>
      <c r="H1924" t="s">
        <v>672</v>
      </c>
      <c r="I1924" t="s">
        <v>4053</v>
      </c>
      <c r="J1924" t="s">
        <v>4054</v>
      </c>
      <c r="K1924" t="s">
        <v>166</v>
      </c>
      <c r="L1924" t="s">
        <v>0</v>
      </c>
      <c r="M1924" t="s">
        <v>178</v>
      </c>
      <c r="N1924">
        <v>343</v>
      </c>
      <c r="O1924">
        <v>343</v>
      </c>
      <c r="P1924">
        <v>9621</v>
      </c>
      <c r="Q1924">
        <v>7058.19</v>
      </c>
      <c r="R1924">
        <v>-667.46</v>
      </c>
      <c r="S1924">
        <v>1622.2036410999999</v>
      </c>
      <c r="T1924">
        <v>0</v>
      </c>
      <c r="U1924">
        <v>0</v>
      </c>
      <c r="V1924">
        <v>-667.46</v>
      </c>
      <c r="W1924" t="s">
        <v>2488</v>
      </c>
      <c r="X1924" t="s">
        <v>269</v>
      </c>
      <c r="Y1924" t="s">
        <v>4055</v>
      </c>
      <c r="AA1924" t="s">
        <v>4056</v>
      </c>
      <c r="AB1924" t="s">
        <v>181</v>
      </c>
    </row>
    <row r="1925" spans="1:28" x14ac:dyDescent="0.25">
      <c r="A1925" t="s">
        <v>4330</v>
      </c>
      <c r="B1925" t="s">
        <v>4331</v>
      </c>
      <c r="C1925" t="s">
        <v>646</v>
      </c>
      <c r="D1925" t="s">
        <v>3779</v>
      </c>
      <c r="E1925" t="s">
        <v>647</v>
      </c>
      <c r="F1925" t="s">
        <v>666</v>
      </c>
      <c r="G1925" t="s">
        <v>666</v>
      </c>
      <c r="H1925" t="s">
        <v>802</v>
      </c>
      <c r="I1925" t="s">
        <v>1513</v>
      </c>
      <c r="J1925" t="s">
        <v>333</v>
      </c>
      <c r="K1925" t="s">
        <v>166</v>
      </c>
      <c r="L1925" t="s">
        <v>0</v>
      </c>
      <c r="M1925" t="s">
        <v>178</v>
      </c>
      <c r="N1925">
        <v>1720.6667</v>
      </c>
      <c r="O1925">
        <v>1203</v>
      </c>
      <c r="P1925">
        <v>19049.98</v>
      </c>
      <c r="Q1925">
        <v>64454.9</v>
      </c>
      <c r="R1925">
        <v>4310.03</v>
      </c>
      <c r="S1925">
        <v>5458.7896621</v>
      </c>
      <c r="T1925">
        <v>0</v>
      </c>
      <c r="U1925">
        <v>9.1</v>
      </c>
      <c r="V1925">
        <v>4319.13</v>
      </c>
      <c r="W1925" t="s">
        <v>616</v>
      </c>
      <c r="X1925" t="s">
        <v>271</v>
      </c>
      <c r="Y1925" t="s">
        <v>4332</v>
      </c>
      <c r="AA1925" t="s">
        <v>2421</v>
      </c>
      <c r="AB1925" t="s">
        <v>181</v>
      </c>
    </row>
    <row r="1926" spans="1:28" x14ac:dyDescent="0.25">
      <c r="A1926" t="s">
        <v>4047</v>
      </c>
      <c r="B1926" t="s">
        <v>4048</v>
      </c>
      <c r="C1926" t="s">
        <v>646</v>
      </c>
      <c r="D1926" t="s">
        <v>3779</v>
      </c>
      <c r="E1926" t="s">
        <v>647</v>
      </c>
      <c r="F1926" t="s">
        <v>666</v>
      </c>
      <c r="G1926" t="s">
        <v>666</v>
      </c>
      <c r="H1926" t="s">
        <v>717</v>
      </c>
      <c r="I1926" t="s">
        <v>2292</v>
      </c>
      <c r="J1926" t="s">
        <v>1847</v>
      </c>
      <c r="K1926" t="s">
        <v>166</v>
      </c>
      <c r="L1926" t="s">
        <v>0</v>
      </c>
      <c r="M1926" t="s">
        <v>178</v>
      </c>
      <c r="N1926">
        <v>74</v>
      </c>
      <c r="O1926">
        <v>46</v>
      </c>
      <c r="P1926">
        <v>3341.03</v>
      </c>
      <c r="Q1926">
        <v>11425.55</v>
      </c>
      <c r="R1926">
        <v>2549.82888779</v>
      </c>
      <c r="S1926">
        <v>626.41591368000002</v>
      </c>
      <c r="T1926">
        <v>8.8877899999999996E-3</v>
      </c>
      <c r="U1926">
        <v>0</v>
      </c>
      <c r="V1926">
        <v>2549.8200000000002</v>
      </c>
      <c r="W1926" t="s">
        <v>1848</v>
      </c>
      <c r="X1926" t="s">
        <v>269</v>
      </c>
      <c r="Y1926" t="s">
        <v>4049</v>
      </c>
      <c r="AA1926" t="s">
        <v>4050</v>
      </c>
      <c r="AB1926" t="s">
        <v>181</v>
      </c>
    </row>
    <row r="1927" spans="1:28" x14ac:dyDescent="0.25">
      <c r="A1927" t="s">
        <v>4006</v>
      </c>
      <c r="B1927" t="s">
        <v>4007</v>
      </c>
      <c r="C1927" t="s">
        <v>646</v>
      </c>
      <c r="D1927" t="s">
        <v>3779</v>
      </c>
      <c r="E1927" t="s">
        <v>647</v>
      </c>
      <c r="F1927" t="s">
        <v>3780</v>
      </c>
      <c r="G1927" t="s">
        <v>769</v>
      </c>
      <c r="H1927" t="s">
        <v>730</v>
      </c>
      <c r="I1927" t="s">
        <v>4008</v>
      </c>
      <c r="J1927" t="s">
        <v>688</v>
      </c>
      <c r="K1927" t="s">
        <v>166</v>
      </c>
      <c r="L1927" t="s">
        <v>0</v>
      </c>
      <c r="M1927" t="s">
        <v>178</v>
      </c>
      <c r="N1927">
        <v>43</v>
      </c>
      <c r="O1927">
        <v>0</v>
      </c>
      <c r="P1927">
        <v>235.64</v>
      </c>
      <c r="Q1927">
        <v>1950.5</v>
      </c>
      <c r="R1927">
        <v>258.48280892000002</v>
      </c>
      <c r="S1927">
        <v>97.781642550000001</v>
      </c>
      <c r="T1927">
        <v>3.2808919999999998E-2</v>
      </c>
      <c r="U1927">
        <v>0</v>
      </c>
      <c r="V1927">
        <v>258.45</v>
      </c>
      <c r="W1927" t="s">
        <v>0</v>
      </c>
      <c r="X1927" t="s">
        <v>271</v>
      </c>
      <c r="Y1927" t="s">
        <v>4009</v>
      </c>
      <c r="AA1927" t="s">
        <v>4010</v>
      </c>
      <c r="AB1927" t="s">
        <v>181</v>
      </c>
    </row>
    <row r="1928" spans="1:28" x14ac:dyDescent="0.25">
      <c r="A1928" t="s">
        <v>4011</v>
      </c>
      <c r="B1928" t="s">
        <v>4012</v>
      </c>
      <c r="C1928" t="s">
        <v>646</v>
      </c>
      <c r="D1928" t="s">
        <v>3779</v>
      </c>
      <c r="E1928" t="s">
        <v>647</v>
      </c>
      <c r="F1928" t="s">
        <v>3780</v>
      </c>
      <c r="G1928" t="s">
        <v>769</v>
      </c>
      <c r="H1928" t="s">
        <v>717</v>
      </c>
      <c r="I1928" t="s">
        <v>2142</v>
      </c>
      <c r="J1928" t="s">
        <v>1924</v>
      </c>
      <c r="K1928" t="s">
        <v>166</v>
      </c>
      <c r="L1928" t="s">
        <v>0</v>
      </c>
      <c r="M1928" t="s">
        <v>178</v>
      </c>
      <c r="N1928">
        <v>80</v>
      </c>
      <c r="O1928">
        <v>60</v>
      </c>
      <c r="P1928">
        <v>1157.76</v>
      </c>
      <c r="Q1928">
        <v>3737.29</v>
      </c>
      <c r="R1928">
        <v>379.32</v>
      </c>
      <c r="S1928">
        <v>461.33863550000001</v>
      </c>
      <c r="T1928">
        <v>0</v>
      </c>
      <c r="U1928">
        <v>0</v>
      </c>
      <c r="V1928">
        <v>379.32</v>
      </c>
      <c r="W1928" t="s">
        <v>1925</v>
      </c>
      <c r="X1928" t="s">
        <v>271</v>
      </c>
      <c r="Y1928" t="s">
        <v>4013</v>
      </c>
      <c r="AA1928" t="s">
        <v>4014</v>
      </c>
      <c r="AB1928" t="s">
        <v>181</v>
      </c>
    </row>
    <row r="1929" spans="1:28" x14ac:dyDescent="0.25">
      <c r="A1929" t="s">
        <v>4361</v>
      </c>
      <c r="B1929" t="s">
        <v>4362</v>
      </c>
      <c r="C1929" t="s">
        <v>646</v>
      </c>
      <c r="D1929" t="s">
        <v>3779</v>
      </c>
      <c r="E1929" t="s">
        <v>647</v>
      </c>
      <c r="F1929" t="s">
        <v>3780</v>
      </c>
      <c r="G1929" t="s">
        <v>769</v>
      </c>
      <c r="H1929" t="s">
        <v>1171</v>
      </c>
      <c r="I1929" t="s">
        <v>1712</v>
      </c>
      <c r="J1929" t="s">
        <v>335</v>
      </c>
      <c r="K1929" t="s">
        <v>166</v>
      </c>
      <c r="L1929" t="s">
        <v>0</v>
      </c>
      <c r="M1929" t="s">
        <v>178</v>
      </c>
      <c r="N1929">
        <v>3</v>
      </c>
      <c r="O1929">
        <v>2</v>
      </c>
      <c r="P1929">
        <v>227.8</v>
      </c>
      <c r="Q1929">
        <v>1593.01</v>
      </c>
      <c r="R1929">
        <v>35.840000000000003</v>
      </c>
      <c r="S1929">
        <v>4.7389999999999999</v>
      </c>
      <c r="T1929">
        <v>0</v>
      </c>
      <c r="U1929">
        <v>0</v>
      </c>
      <c r="V1929">
        <v>35.840000000000003</v>
      </c>
      <c r="W1929" t="s">
        <v>572</v>
      </c>
      <c r="X1929" t="s">
        <v>271</v>
      </c>
      <c r="Y1929" t="s">
        <v>4363</v>
      </c>
      <c r="AA1929" t="s">
        <v>4364</v>
      </c>
      <c r="AB1929" t="s">
        <v>181</v>
      </c>
    </row>
    <row r="1930" spans="1:28" x14ac:dyDescent="0.25">
      <c r="A1930" t="s">
        <v>4051</v>
      </c>
      <c r="B1930" t="s">
        <v>4052</v>
      </c>
      <c r="C1930" t="s">
        <v>646</v>
      </c>
      <c r="D1930" t="s">
        <v>3779</v>
      </c>
      <c r="E1930" t="s">
        <v>647</v>
      </c>
      <c r="F1930" t="s">
        <v>3780</v>
      </c>
      <c r="G1930" t="s">
        <v>769</v>
      </c>
      <c r="H1930" t="s">
        <v>757</v>
      </c>
      <c r="I1930" t="s">
        <v>4053</v>
      </c>
      <c r="J1930" t="s">
        <v>4054</v>
      </c>
      <c r="K1930" t="s">
        <v>166</v>
      </c>
      <c r="L1930" t="s">
        <v>0</v>
      </c>
      <c r="M1930" t="s">
        <v>178</v>
      </c>
      <c r="N1930">
        <v>4</v>
      </c>
      <c r="O1930">
        <v>4</v>
      </c>
      <c r="P1930">
        <v>160</v>
      </c>
      <c r="Q1930">
        <v>231.8</v>
      </c>
      <c r="R1930">
        <v>24.16</v>
      </c>
      <c r="S1930">
        <v>43.773258859999999</v>
      </c>
      <c r="T1930">
        <v>0</v>
      </c>
      <c r="U1930">
        <v>0</v>
      </c>
      <c r="V1930">
        <v>24.16</v>
      </c>
      <c r="W1930" t="s">
        <v>2488</v>
      </c>
      <c r="X1930" t="s">
        <v>269</v>
      </c>
      <c r="Y1930" t="s">
        <v>4055</v>
      </c>
      <c r="AA1930" t="s">
        <v>4056</v>
      </c>
      <c r="AB1930" t="s">
        <v>181</v>
      </c>
    </row>
    <row r="1931" spans="1:28" x14ac:dyDescent="0.25">
      <c r="A1931" t="s">
        <v>4223</v>
      </c>
      <c r="B1931" t="s">
        <v>4224</v>
      </c>
      <c r="C1931" t="s">
        <v>646</v>
      </c>
      <c r="D1931" t="s">
        <v>3779</v>
      </c>
      <c r="E1931" t="s">
        <v>647</v>
      </c>
      <c r="F1931" t="s">
        <v>3780</v>
      </c>
      <c r="G1931" t="s">
        <v>769</v>
      </c>
      <c r="H1931" t="s">
        <v>649</v>
      </c>
      <c r="I1931" t="s">
        <v>4225</v>
      </c>
      <c r="J1931" t="s">
        <v>336</v>
      </c>
      <c r="K1931" t="s">
        <v>166</v>
      </c>
      <c r="L1931" t="s">
        <v>0</v>
      </c>
      <c r="M1931" t="s">
        <v>178</v>
      </c>
      <c r="N1931">
        <v>64.75</v>
      </c>
      <c r="O1931">
        <v>58</v>
      </c>
      <c r="P1931">
        <v>1835</v>
      </c>
      <c r="Q1931">
        <v>3448.86</v>
      </c>
      <c r="R1931">
        <v>864.03</v>
      </c>
      <c r="S1931">
        <v>178.35111649999999</v>
      </c>
      <c r="T1931">
        <v>0</v>
      </c>
      <c r="U1931">
        <v>0</v>
      </c>
      <c r="V1931">
        <v>864.03</v>
      </c>
      <c r="W1931" t="s">
        <v>461</v>
      </c>
      <c r="X1931" t="s">
        <v>271</v>
      </c>
      <c r="Y1931" t="s">
        <v>4226</v>
      </c>
      <c r="AA1931" t="s">
        <v>4227</v>
      </c>
      <c r="AB1931" t="s">
        <v>181</v>
      </c>
    </row>
    <row r="1932" spans="1:28" x14ac:dyDescent="0.25">
      <c r="A1932" t="s">
        <v>4370</v>
      </c>
      <c r="B1932" t="s">
        <v>4371</v>
      </c>
      <c r="C1932" t="s">
        <v>646</v>
      </c>
      <c r="D1932" t="s">
        <v>3779</v>
      </c>
      <c r="E1932" t="s">
        <v>647</v>
      </c>
      <c r="F1932" t="s">
        <v>666</v>
      </c>
      <c r="G1932" t="s">
        <v>666</v>
      </c>
      <c r="H1932" t="s">
        <v>649</v>
      </c>
      <c r="I1932" t="s">
        <v>4372</v>
      </c>
      <c r="J1932" t="s">
        <v>355</v>
      </c>
      <c r="K1932" t="s">
        <v>166</v>
      </c>
      <c r="L1932" t="s">
        <v>0</v>
      </c>
      <c r="M1932" t="s">
        <v>178</v>
      </c>
      <c r="N1932">
        <v>64</v>
      </c>
      <c r="O1932">
        <v>64</v>
      </c>
      <c r="P1932">
        <v>1280</v>
      </c>
      <c r="Q1932">
        <v>4317.9799999999996</v>
      </c>
      <c r="R1932">
        <v>153.99</v>
      </c>
      <c r="S1932">
        <v>197.63460896000001</v>
      </c>
      <c r="T1932">
        <v>0</v>
      </c>
      <c r="U1932">
        <v>0</v>
      </c>
      <c r="V1932">
        <v>153.99</v>
      </c>
      <c r="W1932" t="s">
        <v>0</v>
      </c>
      <c r="X1932" t="s">
        <v>271</v>
      </c>
      <c r="Y1932" t="s">
        <v>4373</v>
      </c>
      <c r="AA1932" t="s">
        <v>3894</v>
      </c>
      <c r="AB1932" t="s">
        <v>181</v>
      </c>
    </row>
    <row r="1933" spans="1:28" x14ac:dyDescent="0.25">
      <c r="A1933" t="s">
        <v>4232</v>
      </c>
      <c r="B1933" t="s">
        <v>4233</v>
      </c>
      <c r="C1933" t="s">
        <v>646</v>
      </c>
      <c r="D1933" t="s">
        <v>3779</v>
      </c>
      <c r="E1933" t="s">
        <v>647</v>
      </c>
      <c r="F1933" t="s">
        <v>3780</v>
      </c>
      <c r="G1933" t="s">
        <v>769</v>
      </c>
      <c r="H1933" t="s">
        <v>649</v>
      </c>
      <c r="I1933" t="s">
        <v>1296</v>
      </c>
      <c r="J1933" t="s">
        <v>996</v>
      </c>
      <c r="K1933" t="s">
        <v>166</v>
      </c>
      <c r="L1933" t="s">
        <v>0</v>
      </c>
      <c r="M1933" t="s">
        <v>178</v>
      </c>
      <c r="N1933">
        <v>1</v>
      </c>
      <c r="O1933">
        <v>1</v>
      </c>
      <c r="P1933">
        <v>47.37</v>
      </c>
      <c r="Q1933">
        <v>62.53</v>
      </c>
      <c r="R1933">
        <v>3.03</v>
      </c>
      <c r="S1933">
        <v>2.3685</v>
      </c>
      <c r="T1933">
        <v>0</v>
      </c>
      <c r="U1933">
        <v>0</v>
      </c>
      <c r="V1933">
        <v>3.03</v>
      </c>
      <c r="W1933" t="s">
        <v>1683</v>
      </c>
      <c r="X1933" t="s">
        <v>271</v>
      </c>
      <c r="Y1933" t="s">
        <v>4234</v>
      </c>
      <c r="AA1933" t="s">
        <v>4235</v>
      </c>
      <c r="AB1933" t="s">
        <v>181</v>
      </c>
    </row>
    <row r="1934" spans="1:28" x14ac:dyDescent="0.25">
      <c r="A1934" t="s">
        <v>4349</v>
      </c>
      <c r="B1934" t="s">
        <v>4350</v>
      </c>
      <c r="C1934" t="s">
        <v>646</v>
      </c>
      <c r="D1934" t="s">
        <v>3779</v>
      </c>
      <c r="E1934" t="s">
        <v>647</v>
      </c>
      <c r="F1934" t="s">
        <v>3780</v>
      </c>
      <c r="G1934" t="s">
        <v>769</v>
      </c>
      <c r="H1934" t="s">
        <v>730</v>
      </c>
      <c r="I1934" t="s">
        <v>2242</v>
      </c>
      <c r="J1934" t="s">
        <v>2243</v>
      </c>
      <c r="K1934" t="s">
        <v>166</v>
      </c>
      <c r="L1934" t="s">
        <v>0</v>
      </c>
      <c r="M1934" t="s">
        <v>178</v>
      </c>
      <c r="N1934">
        <v>14</v>
      </c>
      <c r="O1934">
        <v>0</v>
      </c>
      <c r="P1934">
        <v>700</v>
      </c>
      <c r="Q1934">
        <v>202.38</v>
      </c>
      <c r="R1934">
        <v>83.99</v>
      </c>
      <c r="S1934">
        <v>8.1829999999999998</v>
      </c>
      <c r="T1934">
        <v>0</v>
      </c>
      <c r="U1934">
        <v>0</v>
      </c>
      <c r="V1934">
        <v>83.99</v>
      </c>
      <c r="W1934" t="s">
        <v>1601</v>
      </c>
      <c r="X1934" t="s">
        <v>269</v>
      </c>
      <c r="Y1934" t="s">
        <v>4351</v>
      </c>
      <c r="AA1934" t="s">
        <v>4352</v>
      </c>
      <c r="AB1934" t="s">
        <v>181</v>
      </c>
    </row>
    <row r="1935" spans="1:28" x14ac:dyDescent="0.25">
      <c r="A1935" t="s">
        <v>4002</v>
      </c>
      <c r="B1935" t="s">
        <v>4003</v>
      </c>
      <c r="C1935" t="s">
        <v>646</v>
      </c>
      <c r="D1935" t="s">
        <v>3779</v>
      </c>
      <c r="E1935" t="s">
        <v>647</v>
      </c>
      <c r="F1935" t="s">
        <v>3780</v>
      </c>
      <c r="G1935" t="s">
        <v>769</v>
      </c>
      <c r="H1935" t="s">
        <v>1515</v>
      </c>
      <c r="I1935" t="s">
        <v>2635</v>
      </c>
      <c r="J1935" t="s">
        <v>2636</v>
      </c>
      <c r="K1935" t="s">
        <v>166</v>
      </c>
      <c r="L1935" t="s">
        <v>0</v>
      </c>
      <c r="M1935" t="s">
        <v>178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 t="s">
        <v>1609</v>
      </c>
      <c r="X1935" t="s">
        <v>271</v>
      </c>
      <c r="Y1935" t="s">
        <v>4004</v>
      </c>
      <c r="AA1935" t="s">
        <v>4005</v>
      </c>
      <c r="AB1935" t="s">
        <v>181</v>
      </c>
    </row>
    <row r="1936" spans="1:28" x14ac:dyDescent="0.25">
      <c r="A1936" t="s">
        <v>3783</v>
      </c>
      <c r="B1936" t="s">
        <v>3784</v>
      </c>
      <c r="C1936" t="s">
        <v>646</v>
      </c>
      <c r="D1936" t="s">
        <v>3779</v>
      </c>
      <c r="E1936" t="s">
        <v>647</v>
      </c>
      <c r="F1936" t="s">
        <v>666</v>
      </c>
      <c r="G1936" t="s">
        <v>666</v>
      </c>
      <c r="H1936" t="s">
        <v>802</v>
      </c>
      <c r="I1936" t="s">
        <v>3785</v>
      </c>
      <c r="J1936" t="s">
        <v>432</v>
      </c>
      <c r="K1936" t="s">
        <v>166</v>
      </c>
      <c r="L1936" t="s">
        <v>0</v>
      </c>
      <c r="M1936" t="s">
        <v>178</v>
      </c>
      <c r="N1936">
        <v>18</v>
      </c>
      <c r="O1936">
        <v>18</v>
      </c>
      <c r="P1936">
        <v>360</v>
      </c>
      <c r="Q1936">
        <v>846.98</v>
      </c>
      <c r="R1936">
        <v>191.55</v>
      </c>
      <c r="S1936">
        <v>95.748776370000002</v>
      </c>
      <c r="T1936">
        <v>0</v>
      </c>
      <c r="U1936">
        <v>0</v>
      </c>
      <c r="V1936">
        <v>191.55</v>
      </c>
      <c r="W1936" t="s">
        <v>0</v>
      </c>
      <c r="X1936" t="s">
        <v>271</v>
      </c>
      <c r="Y1936" t="s">
        <v>3786</v>
      </c>
      <c r="AA1936" t="s">
        <v>3787</v>
      </c>
      <c r="AB1936" t="s">
        <v>181</v>
      </c>
    </row>
    <row r="1937" spans="1:28" x14ac:dyDescent="0.25">
      <c r="A1937" t="s">
        <v>4236</v>
      </c>
      <c r="B1937" t="s">
        <v>4237</v>
      </c>
      <c r="C1937" t="s">
        <v>646</v>
      </c>
      <c r="D1937" t="s">
        <v>3779</v>
      </c>
      <c r="E1937" t="s">
        <v>647</v>
      </c>
      <c r="F1937" t="s">
        <v>3780</v>
      </c>
      <c r="G1937" t="s">
        <v>769</v>
      </c>
      <c r="H1937" t="s">
        <v>802</v>
      </c>
      <c r="I1937" t="s">
        <v>1546</v>
      </c>
      <c r="J1937" t="s">
        <v>1547</v>
      </c>
      <c r="K1937" t="s">
        <v>166</v>
      </c>
      <c r="L1937" t="s">
        <v>0</v>
      </c>
      <c r="M1937" t="s">
        <v>178</v>
      </c>
      <c r="N1937">
        <v>11.5</v>
      </c>
      <c r="O1937">
        <v>11.5</v>
      </c>
      <c r="P1937">
        <v>76.34</v>
      </c>
      <c r="Q1937">
        <v>305.37</v>
      </c>
      <c r="R1937">
        <v>11.56</v>
      </c>
      <c r="S1937">
        <v>46.306176790000002</v>
      </c>
      <c r="T1937">
        <v>0</v>
      </c>
      <c r="U1937">
        <v>0</v>
      </c>
      <c r="V1937">
        <v>11.56</v>
      </c>
      <c r="W1937" t="s">
        <v>1548</v>
      </c>
      <c r="X1937" t="s">
        <v>271</v>
      </c>
      <c r="Y1937" t="s">
        <v>4238</v>
      </c>
      <c r="AA1937" t="s">
        <v>4239</v>
      </c>
      <c r="AB1937" t="s">
        <v>181</v>
      </c>
    </row>
    <row r="1938" spans="1:28" x14ac:dyDescent="0.25">
      <c r="A1938" t="s">
        <v>3793</v>
      </c>
      <c r="B1938" t="s">
        <v>3794</v>
      </c>
      <c r="C1938" t="s">
        <v>646</v>
      </c>
      <c r="D1938" t="s">
        <v>3779</v>
      </c>
      <c r="E1938" t="s">
        <v>647</v>
      </c>
      <c r="F1938" t="s">
        <v>666</v>
      </c>
      <c r="G1938" t="s">
        <v>666</v>
      </c>
      <c r="H1938" t="s">
        <v>703</v>
      </c>
      <c r="I1938" t="s">
        <v>1712</v>
      </c>
      <c r="J1938" t="s">
        <v>335</v>
      </c>
      <c r="K1938" t="s">
        <v>166</v>
      </c>
      <c r="L1938" t="s">
        <v>0</v>
      </c>
      <c r="M1938" t="s">
        <v>178</v>
      </c>
      <c r="N1938">
        <v>2019.4999</v>
      </c>
      <c r="O1938">
        <v>1047.7499</v>
      </c>
      <c r="P1938">
        <v>42872.51</v>
      </c>
      <c r="Q1938">
        <v>85863.93</v>
      </c>
      <c r="R1938">
        <v>24514.558156840001</v>
      </c>
      <c r="S1938">
        <v>12659.79637391</v>
      </c>
      <c r="T1938">
        <v>2.39815684</v>
      </c>
      <c r="U1938">
        <v>0</v>
      </c>
      <c r="V1938">
        <v>24512.16</v>
      </c>
      <c r="W1938" t="s">
        <v>572</v>
      </c>
      <c r="X1938" t="s">
        <v>271</v>
      </c>
      <c r="Y1938" t="s">
        <v>3795</v>
      </c>
      <c r="AA1938" t="s">
        <v>3796</v>
      </c>
      <c r="AB1938" t="s">
        <v>181</v>
      </c>
    </row>
    <row r="1939" spans="1:28" x14ac:dyDescent="0.25">
      <c r="A1939" t="s">
        <v>4228</v>
      </c>
      <c r="B1939" t="s">
        <v>4229</v>
      </c>
      <c r="C1939" t="s">
        <v>646</v>
      </c>
      <c r="D1939" t="s">
        <v>3779</v>
      </c>
      <c r="E1939" t="s">
        <v>647</v>
      </c>
      <c r="F1939" t="s">
        <v>3780</v>
      </c>
      <c r="G1939" t="s">
        <v>769</v>
      </c>
      <c r="H1939" t="s">
        <v>672</v>
      </c>
      <c r="I1939" t="s">
        <v>1971</v>
      </c>
      <c r="J1939" t="s">
        <v>1972</v>
      </c>
      <c r="K1939" t="s">
        <v>166</v>
      </c>
      <c r="L1939" t="s">
        <v>0</v>
      </c>
      <c r="M1939" t="s">
        <v>178</v>
      </c>
      <c r="N1939">
        <v>946</v>
      </c>
      <c r="O1939">
        <v>453</v>
      </c>
      <c r="P1939">
        <v>25105.919999999998</v>
      </c>
      <c r="Q1939">
        <v>40798.620000000003</v>
      </c>
      <c r="R1939">
        <v>6377.0623246300001</v>
      </c>
      <c r="S1939">
        <v>5369.9596934600004</v>
      </c>
      <c r="T1939">
        <v>2.4723246300000001</v>
      </c>
      <c r="U1939">
        <v>0</v>
      </c>
      <c r="V1939">
        <v>6374.59</v>
      </c>
      <c r="W1939" t="s">
        <v>1973</v>
      </c>
      <c r="X1939" t="s">
        <v>271</v>
      </c>
      <c r="Y1939" t="s">
        <v>4230</v>
      </c>
      <c r="AA1939" t="s">
        <v>4231</v>
      </c>
      <c r="AB1939" t="s">
        <v>181</v>
      </c>
    </row>
    <row r="1940" spans="1:28" x14ac:dyDescent="0.25">
      <c r="A1940" t="s">
        <v>4232</v>
      </c>
      <c r="B1940" t="s">
        <v>4233</v>
      </c>
      <c r="C1940" t="s">
        <v>646</v>
      </c>
      <c r="D1940" t="s">
        <v>3779</v>
      </c>
      <c r="E1940" t="s">
        <v>647</v>
      </c>
      <c r="F1940" t="s">
        <v>3780</v>
      </c>
      <c r="G1940" t="s">
        <v>769</v>
      </c>
      <c r="H1940" t="s">
        <v>757</v>
      </c>
      <c r="I1940" t="s">
        <v>1296</v>
      </c>
      <c r="J1940" t="s">
        <v>996</v>
      </c>
      <c r="K1940" t="s">
        <v>166</v>
      </c>
      <c r="L1940" t="s">
        <v>0</v>
      </c>
      <c r="M1940" t="s">
        <v>178</v>
      </c>
      <c r="N1940">
        <v>164</v>
      </c>
      <c r="O1940">
        <v>160</v>
      </c>
      <c r="P1940">
        <v>4750.55</v>
      </c>
      <c r="Q1940">
        <v>5778.44</v>
      </c>
      <c r="R1940">
        <v>476.38</v>
      </c>
      <c r="S1940">
        <v>817.49206095</v>
      </c>
      <c r="T1940">
        <v>0</v>
      </c>
      <c r="U1940">
        <v>0</v>
      </c>
      <c r="V1940">
        <v>476.38</v>
      </c>
      <c r="W1940" t="s">
        <v>1683</v>
      </c>
      <c r="X1940" t="s">
        <v>271</v>
      </c>
      <c r="Y1940" t="s">
        <v>4234</v>
      </c>
      <c r="AA1940" t="s">
        <v>4235</v>
      </c>
      <c r="AB1940" t="s">
        <v>181</v>
      </c>
    </row>
    <row r="1941" spans="1:28" x14ac:dyDescent="0.25">
      <c r="A1941" t="s">
        <v>3921</v>
      </c>
      <c r="B1941" t="s">
        <v>3922</v>
      </c>
      <c r="C1941" t="s">
        <v>646</v>
      </c>
      <c r="D1941" t="s">
        <v>3779</v>
      </c>
      <c r="E1941" t="s">
        <v>647</v>
      </c>
      <c r="F1941" t="s">
        <v>666</v>
      </c>
      <c r="G1941" t="s">
        <v>666</v>
      </c>
      <c r="H1941" t="s">
        <v>797</v>
      </c>
      <c r="I1941" t="s">
        <v>902</v>
      </c>
      <c r="J1941" t="s">
        <v>562</v>
      </c>
      <c r="K1941" t="s">
        <v>166</v>
      </c>
      <c r="L1941" t="s">
        <v>0</v>
      </c>
      <c r="M1941" t="s">
        <v>178</v>
      </c>
      <c r="N1941">
        <v>342</v>
      </c>
      <c r="O1941">
        <v>119</v>
      </c>
      <c r="P1941">
        <v>3714</v>
      </c>
      <c r="Q1941">
        <v>13828.85</v>
      </c>
      <c r="R1941">
        <v>2848.6095170799999</v>
      </c>
      <c r="S1941">
        <v>1013.02281873</v>
      </c>
      <c r="T1941">
        <v>-4.8292000000000002E-4</v>
      </c>
      <c r="U1941">
        <v>0</v>
      </c>
      <c r="V1941">
        <v>2848.61</v>
      </c>
      <c r="W1941" t="s">
        <v>0</v>
      </c>
      <c r="X1941" t="s">
        <v>271</v>
      </c>
      <c r="Y1941" t="s">
        <v>3923</v>
      </c>
      <c r="AA1941" t="s">
        <v>3924</v>
      </c>
      <c r="AB1941" t="s">
        <v>181</v>
      </c>
    </row>
    <row r="1942" spans="1:28" x14ac:dyDescent="0.25">
      <c r="A1942" t="s">
        <v>4031</v>
      </c>
      <c r="B1942" t="s">
        <v>4032</v>
      </c>
      <c r="C1942" t="s">
        <v>646</v>
      </c>
      <c r="D1942" t="s">
        <v>3779</v>
      </c>
      <c r="E1942" t="s">
        <v>647</v>
      </c>
      <c r="F1942" t="s">
        <v>3780</v>
      </c>
      <c r="G1942" t="s">
        <v>769</v>
      </c>
      <c r="H1942" t="s">
        <v>679</v>
      </c>
      <c r="I1942" t="s">
        <v>1513</v>
      </c>
      <c r="J1942" t="s">
        <v>333</v>
      </c>
      <c r="K1942" t="s">
        <v>166</v>
      </c>
      <c r="L1942" t="s">
        <v>0</v>
      </c>
      <c r="M1942" t="s">
        <v>178</v>
      </c>
      <c r="N1942">
        <v>1427.1667</v>
      </c>
      <c r="O1942">
        <v>1002.1667</v>
      </c>
      <c r="P1942">
        <v>19404.02</v>
      </c>
      <c r="Q1942">
        <v>47938.26</v>
      </c>
      <c r="R1942">
        <v>-683.02296798999998</v>
      </c>
      <c r="S1942">
        <v>15155.559368820001</v>
      </c>
      <c r="T1942">
        <v>1255.1770320099999</v>
      </c>
      <c r="U1942">
        <v>5045.8</v>
      </c>
      <c r="V1942">
        <v>4337.91</v>
      </c>
      <c r="W1942" t="s">
        <v>718</v>
      </c>
      <c r="X1942" t="s">
        <v>271</v>
      </c>
      <c r="Y1942" t="s">
        <v>4033</v>
      </c>
      <c r="AA1942" t="s">
        <v>4034</v>
      </c>
      <c r="AB1942" t="s">
        <v>181</v>
      </c>
    </row>
    <row r="1943" spans="1:28" x14ac:dyDescent="0.25">
      <c r="A1943" t="s">
        <v>4002</v>
      </c>
      <c r="B1943" t="s">
        <v>4003</v>
      </c>
      <c r="C1943" t="s">
        <v>646</v>
      </c>
      <c r="D1943" t="s">
        <v>3779</v>
      </c>
      <c r="E1943" t="s">
        <v>647</v>
      </c>
      <c r="F1943" t="s">
        <v>3780</v>
      </c>
      <c r="G1943" t="s">
        <v>769</v>
      </c>
      <c r="H1943" t="s">
        <v>909</v>
      </c>
      <c r="I1943" t="s">
        <v>2635</v>
      </c>
      <c r="J1943" t="s">
        <v>2636</v>
      </c>
      <c r="K1943" t="s">
        <v>166</v>
      </c>
      <c r="L1943" t="s">
        <v>0</v>
      </c>
      <c r="M1943" t="s">
        <v>178</v>
      </c>
      <c r="N1943">
        <v>174</v>
      </c>
      <c r="O1943">
        <v>146</v>
      </c>
      <c r="P1943">
        <v>5517.17</v>
      </c>
      <c r="Q1943">
        <v>5901.28</v>
      </c>
      <c r="R1943">
        <v>1595.5347694699999</v>
      </c>
      <c r="S1943">
        <v>881.37770478000004</v>
      </c>
      <c r="T1943">
        <v>0.20476947000000001</v>
      </c>
      <c r="U1943">
        <v>0</v>
      </c>
      <c r="V1943">
        <v>1595.33</v>
      </c>
      <c r="W1943" t="s">
        <v>1609</v>
      </c>
      <c r="X1943" t="s">
        <v>271</v>
      </c>
      <c r="Y1943" t="s">
        <v>4004</v>
      </c>
      <c r="AA1943" t="s">
        <v>4005</v>
      </c>
      <c r="AB1943" t="s">
        <v>181</v>
      </c>
    </row>
    <row r="1944" spans="1:28" x14ac:dyDescent="0.25">
      <c r="A1944" t="s">
        <v>4132</v>
      </c>
      <c r="B1944" t="s">
        <v>4133</v>
      </c>
      <c r="C1944" t="s">
        <v>646</v>
      </c>
      <c r="D1944" t="s">
        <v>3779</v>
      </c>
      <c r="E1944" t="s">
        <v>647</v>
      </c>
      <c r="F1944" t="s">
        <v>666</v>
      </c>
      <c r="G1944" t="s">
        <v>666</v>
      </c>
      <c r="H1944" t="s">
        <v>703</v>
      </c>
      <c r="I1944" t="s">
        <v>3911</v>
      </c>
      <c r="J1944" t="s">
        <v>355</v>
      </c>
      <c r="K1944" t="s">
        <v>166</v>
      </c>
      <c r="L1944" t="s">
        <v>0</v>
      </c>
      <c r="M1944" t="s">
        <v>178</v>
      </c>
      <c r="N1944">
        <v>322.25</v>
      </c>
      <c r="O1944">
        <v>122</v>
      </c>
      <c r="P1944">
        <v>3870.17</v>
      </c>
      <c r="Q1944">
        <v>10911.98</v>
      </c>
      <c r="R1944">
        <v>3261.4</v>
      </c>
      <c r="S1944">
        <v>842.64550181000004</v>
      </c>
      <c r="T1944">
        <v>0</v>
      </c>
      <c r="U1944">
        <v>0</v>
      </c>
      <c r="V1944">
        <v>3261.4</v>
      </c>
      <c r="W1944" t="s">
        <v>0</v>
      </c>
      <c r="X1944" t="s">
        <v>271</v>
      </c>
      <c r="Y1944" t="s">
        <v>4134</v>
      </c>
      <c r="AA1944" t="s">
        <v>3894</v>
      </c>
      <c r="AB1944" t="s">
        <v>181</v>
      </c>
    </row>
    <row r="1945" spans="1:28" x14ac:dyDescent="0.25">
      <c r="A1945" t="s">
        <v>4060</v>
      </c>
      <c r="B1945" t="s">
        <v>4061</v>
      </c>
      <c r="C1945" t="s">
        <v>646</v>
      </c>
      <c r="D1945" t="s">
        <v>3779</v>
      </c>
      <c r="E1945" t="s">
        <v>647</v>
      </c>
      <c r="F1945" t="s">
        <v>648</v>
      </c>
      <c r="G1945" t="s">
        <v>648</v>
      </c>
      <c r="H1945" t="s">
        <v>802</v>
      </c>
      <c r="I1945" t="s">
        <v>1114</v>
      </c>
      <c r="J1945" t="s">
        <v>1115</v>
      </c>
      <c r="K1945" t="s">
        <v>166</v>
      </c>
      <c r="L1945" t="s">
        <v>0</v>
      </c>
      <c r="M1945" t="s">
        <v>178</v>
      </c>
      <c r="N1945">
        <v>2690</v>
      </c>
      <c r="O1945">
        <v>2621</v>
      </c>
      <c r="P1945">
        <v>44402.34</v>
      </c>
      <c r="Q1945">
        <v>97849.59</v>
      </c>
      <c r="R1945">
        <v>-1968.27</v>
      </c>
      <c r="S1945">
        <v>17010.116257860001</v>
      </c>
      <c r="T1945">
        <v>0</v>
      </c>
      <c r="U1945">
        <v>0</v>
      </c>
      <c r="V1945">
        <v>-1968.27</v>
      </c>
      <c r="W1945" t="s">
        <v>0</v>
      </c>
      <c r="X1945" t="s">
        <v>271</v>
      </c>
      <c r="Y1945" t="s">
        <v>4062</v>
      </c>
      <c r="AA1945" t="s">
        <v>4063</v>
      </c>
      <c r="AB1945" t="s">
        <v>181</v>
      </c>
    </row>
    <row r="1946" spans="1:28" x14ac:dyDescent="0.25">
      <c r="A1946" t="s">
        <v>3977</v>
      </c>
      <c r="B1946" t="s">
        <v>3978</v>
      </c>
      <c r="C1946" t="s">
        <v>646</v>
      </c>
      <c r="D1946" t="s">
        <v>3779</v>
      </c>
      <c r="E1946" t="s">
        <v>647</v>
      </c>
      <c r="F1946" t="s">
        <v>3780</v>
      </c>
      <c r="G1946" t="s">
        <v>769</v>
      </c>
      <c r="H1946" t="s">
        <v>802</v>
      </c>
      <c r="I1946" t="s">
        <v>1489</v>
      </c>
      <c r="J1946" t="s">
        <v>816</v>
      </c>
      <c r="K1946" t="s">
        <v>166</v>
      </c>
      <c r="L1946" t="s">
        <v>0</v>
      </c>
      <c r="M1946" t="s">
        <v>178</v>
      </c>
      <c r="N1946">
        <v>23.2</v>
      </c>
      <c r="O1946">
        <v>15.5</v>
      </c>
      <c r="P1946">
        <v>330.6</v>
      </c>
      <c r="Q1946">
        <v>1549.18</v>
      </c>
      <c r="R1946">
        <v>348.65</v>
      </c>
      <c r="S1946">
        <v>89.086765700000001</v>
      </c>
      <c r="T1946">
        <v>0</v>
      </c>
      <c r="U1946">
        <v>0</v>
      </c>
      <c r="V1946">
        <v>348.65</v>
      </c>
      <c r="W1946" t="s">
        <v>817</v>
      </c>
      <c r="X1946" t="s">
        <v>271</v>
      </c>
      <c r="Y1946" t="s">
        <v>3979</v>
      </c>
      <c r="AA1946" t="s">
        <v>3980</v>
      </c>
      <c r="AB1946" t="s">
        <v>181</v>
      </c>
    </row>
    <row r="1947" spans="1:28" x14ac:dyDescent="0.25">
      <c r="A1947" t="s">
        <v>4316</v>
      </c>
      <c r="B1947" t="s">
        <v>4317</v>
      </c>
      <c r="C1947" t="s">
        <v>646</v>
      </c>
      <c r="D1947" t="s">
        <v>3779</v>
      </c>
      <c r="E1947" t="s">
        <v>647</v>
      </c>
      <c r="F1947" t="s">
        <v>3780</v>
      </c>
      <c r="G1947" t="s">
        <v>769</v>
      </c>
      <c r="H1947" t="s">
        <v>717</v>
      </c>
      <c r="I1947" t="s">
        <v>1290</v>
      </c>
      <c r="J1947" t="s">
        <v>1291</v>
      </c>
      <c r="K1947" t="s">
        <v>166</v>
      </c>
      <c r="L1947" t="s">
        <v>0</v>
      </c>
      <c r="M1947" t="s">
        <v>178</v>
      </c>
      <c r="N1947">
        <v>49</v>
      </c>
      <c r="O1947">
        <v>48</v>
      </c>
      <c r="P1947">
        <v>695.21</v>
      </c>
      <c r="Q1947">
        <v>2357.83</v>
      </c>
      <c r="R1947">
        <v>358.14</v>
      </c>
      <c r="S1947">
        <v>236.18297050999999</v>
      </c>
      <c r="T1947">
        <v>0</v>
      </c>
      <c r="U1947">
        <v>0</v>
      </c>
      <c r="V1947">
        <v>358.14</v>
      </c>
      <c r="W1947" t="s">
        <v>1292</v>
      </c>
      <c r="X1947" t="s">
        <v>271</v>
      </c>
      <c r="Y1947" t="s">
        <v>4318</v>
      </c>
      <c r="AA1947" t="s">
        <v>4319</v>
      </c>
      <c r="AB1947" t="s">
        <v>181</v>
      </c>
    </row>
    <row r="1948" spans="1:28" x14ac:dyDescent="0.25">
      <c r="A1948" t="s">
        <v>3933</v>
      </c>
      <c r="B1948" t="s">
        <v>3934</v>
      </c>
      <c r="C1948" t="s">
        <v>646</v>
      </c>
      <c r="D1948" t="s">
        <v>3779</v>
      </c>
      <c r="E1948" t="s">
        <v>647</v>
      </c>
      <c r="F1948" t="s">
        <v>3780</v>
      </c>
      <c r="G1948" t="s">
        <v>769</v>
      </c>
      <c r="H1948" t="s">
        <v>962</v>
      </c>
      <c r="I1948" t="s">
        <v>3935</v>
      </c>
      <c r="J1948" t="s">
        <v>1214</v>
      </c>
      <c r="K1948" t="s">
        <v>166</v>
      </c>
      <c r="L1948" t="s">
        <v>0</v>
      </c>
      <c r="M1948" t="s">
        <v>178</v>
      </c>
      <c r="N1948">
        <v>66</v>
      </c>
      <c r="O1948">
        <v>41</v>
      </c>
      <c r="P1948">
        <v>1072.45</v>
      </c>
      <c r="Q1948">
        <v>4063.15</v>
      </c>
      <c r="R1948">
        <v>937.73888779000004</v>
      </c>
      <c r="S1948">
        <v>318.90601770000001</v>
      </c>
      <c r="T1948">
        <v>8.8877899999999996E-3</v>
      </c>
      <c r="U1948">
        <v>0</v>
      </c>
      <c r="V1948">
        <v>937.73</v>
      </c>
      <c r="W1948" t="s">
        <v>0</v>
      </c>
      <c r="X1948" t="s">
        <v>271</v>
      </c>
      <c r="Y1948" t="s">
        <v>3936</v>
      </c>
      <c r="AA1948" t="s">
        <v>3937</v>
      </c>
      <c r="AB1948" t="s">
        <v>181</v>
      </c>
    </row>
    <row r="1949" spans="1:28" x14ac:dyDescent="0.25">
      <c r="A1949" t="s">
        <v>4201</v>
      </c>
      <c r="B1949" t="s">
        <v>4202</v>
      </c>
      <c r="C1949" t="s">
        <v>646</v>
      </c>
      <c r="D1949" t="s">
        <v>3779</v>
      </c>
      <c r="E1949" t="s">
        <v>647</v>
      </c>
      <c r="F1949" t="s">
        <v>3780</v>
      </c>
      <c r="G1949" t="s">
        <v>769</v>
      </c>
      <c r="H1949" t="s">
        <v>962</v>
      </c>
      <c r="I1949" t="s">
        <v>4203</v>
      </c>
      <c r="J1949" t="s">
        <v>688</v>
      </c>
      <c r="K1949" t="s">
        <v>166</v>
      </c>
      <c r="L1949" t="s">
        <v>0</v>
      </c>
      <c r="M1949" t="s">
        <v>178</v>
      </c>
      <c r="N1949">
        <v>27</v>
      </c>
      <c r="O1949">
        <v>22</v>
      </c>
      <c r="P1949">
        <v>640.5</v>
      </c>
      <c r="Q1949">
        <v>1672.41</v>
      </c>
      <c r="R1949">
        <v>257.17</v>
      </c>
      <c r="S1949">
        <v>310.12289340000001</v>
      </c>
      <c r="T1949">
        <v>0</v>
      </c>
      <c r="U1949">
        <v>0</v>
      </c>
      <c r="V1949">
        <v>257.17</v>
      </c>
      <c r="W1949" t="s">
        <v>0</v>
      </c>
      <c r="X1949" t="s">
        <v>271</v>
      </c>
      <c r="Y1949" t="s">
        <v>4204</v>
      </c>
      <c r="AA1949" t="s">
        <v>4205</v>
      </c>
      <c r="AB1949" t="s">
        <v>181</v>
      </c>
    </row>
    <row r="1950" spans="1:28" x14ac:dyDescent="0.25">
      <c r="A1950" t="s">
        <v>3965</v>
      </c>
      <c r="B1950" t="s">
        <v>3966</v>
      </c>
      <c r="C1950" t="s">
        <v>646</v>
      </c>
      <c r="D1950" t="s">
        <v>3779</v>
      </c>
      <c r="E1950" t="s">
        <v>647</v>
      </c>
      <c r="F1950" t="s">
        <v>3780</v>
      </c>
      <c r="G1950" t="s">
        <v>769</v>
      </c>
      <c r="H1950" t="s">
        <v>679</v>
      </c>
      <c r="I1950" t="s">
        <v>2339</v>
      </c>
      <c r="J1950" t="s">
        <v>2165</v>
      </c>
      <c r="K1950" t="s">
        <v>166</v>
      </c>
      <c r="L1950" t="s">
        <v>0</v>
      </c>
      <c r="M1950" t="s">
        <v>178</v>
      </c>
      <c r="N1950">
        <v>69</v>
      </c>
      <c r="O1950">
        <v>52</v>
      </c>
      <c r="P1950">
        <v>984.61</v>
      </c>
      <c r="Q1950">
        <v>3176.9</v>
      </c>
      <c r="R1950">
        <v>-492.69</v>
      </c>
      <c r="S1950">
        <v>1626.81817742</v>
      </c>
      <c r="T1950">
        <v>0</v>
      </c>
      <c r="U1950">
        <v>0</v>
      </c>
      <c r="V1950">
        <v>-492.69</v>
      </c>
      <c r="W1950" t="s">
        <v>2166</v>
      </c>
      <c r="X1950" t="s">
        <v>271</v>
      </c>
      <c r="Y1950" t="s">
        <v>3967</v>
      </c>
      <c r="AA1950" t="s">
        <v>3968</v>
      </c>
      <c r="AB1950" t="s">
        <v>181</v>
      </c>
    </row>
    <row r="1951" spans="1:28" x14ac:dyDescent="0.25">
      <c r="A1951" t="s">
        <v>4248</v>
      </c>
      <c r="B1951" t="s">
        <v>4249</v>
      </c>
      <c r="C1951" t="s">
        <v>646</v>
      </c>
      <c r="D1951" t="s">
        <v>3779</v>
      </c>
      <c r="E1951" t="s">
        <v>647</v>
      </c>
      <c r="F1951" t="s">
        <v>3780</v>
      </c>
      <c r="G1951" t="s">
        <v>769</v>
      </c>
      <c r="H1951" t="s">
        <v>962</v>
      </c>
      <c r="I1951" t="s">
        <v>1913</v>
      </c>
      <c r="J1951" t="s">
        <v>1914</v>
      </c>
      <c r="K1951" t="s">
        <v>166</v>
      </c>
      <c r="L1951" t="s">
        <v>0</v>
      </c>
      <c r="M1951" t="s">
        <v>178</v>
      </c>
      <c r="N1951">
        <v>8</v>
      </c>
      <c r="O1951">
        <v>4</v>
      </c>
      <c r="P1951">
        <v>165.11</v>
      </c>
      <c r="Q1951">
        <v>470.75</v>
      </c>
      <c r="R1951">
        <v>16.559999999999999</v>
      </c>
      <c r="S1951">
        <v>71.100893529999993</v>
      </c>
      <c r="T1951">
        <v>0</v>
      </c>
      <c r="U1951">
        <v>0</v>
      </c>
      <c r="V1951">
        <v>16.559999999999999</v>
      </c>
      <c r="W1951" t="s">
        <v>1915</v>
      </c>
      <c r="X1951" t="s">
        <v>269</v>
      </c>
      <c r="Y1951" t="s">
        <v>4250</v>
      </c>
      <c r="AA1951" t="s">
        <v>4251</v>
      </c>
      <c r="AB1951" t="s">
        <v>181</v>
      </c>
    </row>
    <row r="1952" spans="1:28" x14ac:dyDescent="0.25">
      <c r="A1952" t="s">
        <v>3952</v>
      </c>
      <c r="B1952" t="s">
        <v>3953</v>
      </c>
      <c r="C1952" t="s">
        <v>646</v>
      </c>
      <c r="D1952" t="s">
        <v>3779</v>
      </c>
      <c r="E1952" t="s">
        <v>647</v>
      </c>
      <c r="F1952" t="s">
        <v>666</v>
      </c>
      <c r="G1952" t="s">
        <v>666</v>
      </c>
      <c r="H1952" t="s">
        <v>1175</v>
      </c>
      <c r="I1952" t="s">
        <v>2032</v>
      </c>
      <c r="J1952" t="s">
        <v>311</v>
      </c>
      <c r="K1952" t="s">
        <v>166</v>
      </c>
      <c r="L1952" t="s">
        <v>0</v>
      </c>
      <c r="M1952" t="s">
        <v>178</v>
      </c>
      <c r="N1952">
        <v>108</v>
      </c>
      <c r="O1952">
        <v>19</v>
      </c>
      <c r="P1952">
        <v>1639</v>
      </c>
      <c r="Q1952">
        <v>3058.17</v>
      </c>
      <c r="R1952">
        <v>214.5</v>
      </c>
      <c r="S1952">
        <v>457.32245836999999</v>
      </c>
      <c r="T1952">
        <v>0</v>
      </c>
      <c r="U1952">
        <v>0</v>
      </c>
      <c r="V1952">
        <v>214.5</v>
      </c>
      <c r="W1952" t="s">
        <v>312</v>
      </c>
      <c r="X1952" t="s">
        <v>271</v>
      </c>
      <c r="Y1952" t="s">
        <v>3954</v>
      </c>
      <c r="AA1952" t="s">
        <v>3955</v>
      </c>
      <c r="AB1952" t="s">
        <v>181</v>
      </c>
    </row>
    <row r="1953" spans="1:28" x14ac:dyDescent="0.25">
      <c r="A1953" t="s">
        <v>3834</v>
      </c>
      <c r="B1953" t="s">
        <v>3835</v>
      </c>
      <c r="C1953" t="s">
        <v>646</v>
      </c>
      <c r="D1953" t="s">
        <v>3779</v>
      </c>
      <c r="E1953" t="s">
        <v>647</v>
      </c>
      <c r="F1953" t="s">
        <v>3780</v>
      </c>
      <c r="G1953" t="s">
        <v>769</v>
      </c>
      <c r="H1953" t="s">
        <v>802</v>
      </c>
      <c r="I1953" t="s">
        <v>1251</v>
      </c>
      <c r="J1953" t="s">
        <v>821</v>
      </c>
      <c r="K1953" t="s">
        <v>166</v>
      </c>
      <c r="L1953" t="s">
        <v>0</v>
      </c>
      <c r="M1953" t="s">
        <v>178</v>
      </c>
      <c r="N1953">
        <v>5.5</v>
      </c>
      <c r="O1953">
        <v>5.5</v>
      </c>
      <c r="P1953">
        <v>95</v>
      </c>
      <c r="Q1953">
        <v>355.49</v>
      </c>
      <c r="R1953">
        <v>116.67</v>
      </c>
      <c r="S1953">
        <v>37.323601719999999</v>
      </c>
      <c r="T1953">
        <v>0</v>
      </c>
      <c r="U1953">
        <v>0</v>
      </c>
      <c r="V1953">
        <v>116.67</v>
      </c>
      <c r="W1953" t="s">
        <v>822</v>
      </c>
      <c r="X1953" t="s">
        <v>269</v>
      </c>
      <c r="Y1953" t="s">
        <v>3836</v>
      </c>
      <c r="AA1953" t="s">
        <v>3837</v>
      </c>
      <c r="AB1953" t="s">
        <v>181</v>
      </c>
    </row>
    <row r="1954" spans="1:28" x14ac:dyDescent="0.25">
      <c r="A1954" t="s">
        <v>3909</v>
      </c>
      <c r="B1954" t="s">
        <v>3910</v>
      </c>
      <c r="C1954" t="s">
        <v>646</v>
      </c>
      <c r="D1954" t="s">
        <v>3779</v>
      </c>
      <c r="E1954" t="s">
        <v>647</v>
      </c>
      <c r="F1954" t="s">
        <v>666</v>
      </c>
      <c r="G1954" t="s">
        <v>666</v>
      </c>
      <c r="H1954" t="s">
        <v>757</v>
      </c>
      <c r="I1954" t="s">
        <v>3911</v>
      </c>
      <c r="J1954" t="s">
        <v>355</v>
      </c>
      <c r="K1954" t="s">
        <v>166</v>
      </c>
      <c r="L1954" t="s">
        <v>0</v>
      </c>
      <c r="M1954" t="s">
        <v>178</v>
      </c>
      <c r="N1954">
        <v>161</v>
      </c>
      <c r="O1954">
        <v>22</v>
      </c>
      <c r="P1954">
        <v>941.22</v>
      </c>
      <c r="Q1954">
        <v>3896.74</v>
      </c>
      <c r="R1954">
        <v>1013.49</v>
      </c>
      <c r="S1954">
        <v>769.22086515000001</v>
      </c>
      <c r="T1954">
        <v>0</v>
      </c>
      <c r="U1954">
        <v>0</v>
      </c>
      <c r="V1954">
        <v>1013.49</v>
      </c>
      <c r="W1954" t="s">
        <v>0</v>
      </c>
      <c r="X1954" t="s">
        <v>271</v>
      </c>
      <c r="Y1954" t="s">
        <v>3912</v>
      </c>
      <c r="AA1954" t="s">
        <v>3894</v>
      </c>
      <c r="AB1954" t="s">
        <v>181</v>
      </c>
    </row>
    <row r="1955" spans="1:28" x14ac:dyDescent="0.25">
      <c r="A1955" t="s">
        <v>4312</v>
      </c>
      <c r="B1955" t="s">
        <v>4313</v>
      </c>
      <c r="C1955" t="s">
        <v>646</v>
      </c>
      <c r="D1955" t="s">
        <v>3779</v>
      </c>
      <c r="E1955" t="s">
        <v>647</v>
      </c>
      <c r="F1955" t="s">
        <v>3780</v>
      </c>
      <c r="G1955" t="s">
        <v>769</v>
      </c>
      <c r="H1955" t="s">
        <v>797</v>
      </c>
      <c r="I1955" t="s">
        <v>4314</v>
      </c>
      <c r="J1955" t="s">
        <v>319</v>
      </c>
      <c r="K1955" t="s">
        <v>166</v>
      </c>
      <c r="L1955" t="s">
        <v>0</v>
      </c>
      <c r="M1955" t="s">
        <v>178</v>
      </c>
      <c r="N1955">
        <v>70</v>
      </c>
      <c r="O1955">
        <v>0</v>
      </c>
      <c r="P1955">
        <v>840</v>
      </c>
      <c r="Q1955">
        <v>3772.68</v>
      </c>
      <c r="R1955">
        <v>441.83661955999997</v>
      </c>
      <c r="S1955">
        <v>120.60260078</v>
      </c>
      <c r="T1955">
        <v>-3.3804400000000002E-3</v>
      </c>
      <c r="U1955">
        <v>0</v>
      </c>
      <c r="V1955">
        <v>441.84</v>
      </c>
      <c r="W1955" t="s">
        <v>0</v>
      </c>
      <c r="X1955" t="s">
        <v>271</v>
      </c>
      <c r="Y1955" t="s">
        <v>4315</v>
      </c>
      <c r="AA1955" t="s">
        <v>3466</v>
      </c>
      <c r="AB1955" t="s">
        <v>181</v>
      </c>
    </row>
    <row r="1956" spans="1:28" x14ac:dyDescent="0.25">
      <c r="A1956" t="s">
        <v>3810</v>
      </c>
      <c r="B1956" t="s">
        <v>3811</v>
      </c>
      <c r="C1956" t="s">
        <v>646</v>
      </c>
      <c r="D1956" t="s">
        <v>3779</v>
      </c>
      <c r="E1956" t="s">
        <v>647</v>
      </c>
      <c r="F1956" t="s">
        <v>3780</v>
      </c>
      <c r="G1956" t="s">
        <v>769</v>
      </c>
      <c r="H1956" t="s">
        <v>1175</v>
      </c>
      <c r="I1956" t="s">
        <v>771</v>
      </c>
      <c r="J1956" t="s">
        <v>319</v>
      </c>
      <c r="K1956" t="s">
        <v>166</v>
      </c>
      <c r="L1956" t="s">
        <v>0</v>
      </c>
      <c r="M1956" t="s">
        <v>178</v>
      </c>
      <c r="N1956">
        <v>7</v>
      </c>
      <c r="O1956">
        <v>1</v>
      </c>
      <c r="P1956">
        <v>112</v>
      </c>
      <c r="Q1956">
        <v>248.44</v>
      </c>
      <c r="R1956">
        <v>20.52</v>
      </c>
      <c r="S1956">
        <v>28.374013890000001</v>
      </c>
      <c r="T1956">
        <v>0</v>
      </c>
      <c r="U1956">
        <v>0</v>
      </c>
      <c r="V1956">
        <v>20.52</v>
      </c>
      <c r="W1956" t="s">
        <v>0</v>
      </c>
      <c r="X1956" t="s">
        <v>271</v>
      </c>
      <c r="Y1956" t="s">
        <v>3812</v>
      </c>
      <c r="AA1956" t="s">
        <v>3813</v>
      </c>
      <c r="AB1956" t="s">
        <v>181</v>
      </c>
    </row>
    <row r="1957" spans="1:28" x14ac:dyDescent="0.25">
      <c r="A1957" t="s">
        <v>4119</v>
      </c>
      <c r="B1957" t="s">
        <v>4120</v>
      </c>
      <c r="C1957" t="s">
        <v>646</v>
      </c>
      <c r="D1957" t="s">
        <v>3779</v>
      </c>
      <c r="E1957" t="s">
        <v>647</v>
      </c>
      <c r="F1957" t="s">
        <v>3780</v>
      </c>
      <c r="G1957" t="s">
        <v>769</v>
      </c>
      <c r="H1957" t="s">
        <v>649</v>
      </c>
      <c r="I1957" t="s">
        <v>1374</v>
      </c>
      <c r="J1957" t="s">
        <v>441</v>
      </c>
      <c r="K1957" t="s">
        <v>166</v>
      </c>
      <c r="L1957" t="s">
        <v>0</v>
      </c>
      <c r="M1957" t="s">
        <v>178</v>
      </c>
      <c r="N1957">
        <v>389</v>
      </c>
      <c r="O1957">
        <v>241</v>
      </c>
      <c r="P1957">
        <v>7476.83</v>
      </c>
      <c r="Q1957">
        <v>24119.13</v>
      </c>
      <c r="R1957">
        <v>2513.46</v>
      </c>
      <c r="S1957">
        <v>1827.06534941</v>
      </c>
      <c r="T1957">
        <v>0</v>
      </c>
      <c r="U1957">
        <v>0</v>
      </c>
      <c r="V1957">
        <v>2513.46</v>
      </c>
      <c r="W1957" t="s">
        <v>440</v>
      </c>
      <c r="X1957" t="s">
        <v>271</v>
      </c>
      <c r="Y1957" t="s">
        <v>4121</v>
      </c>
      <c r="AA1957" t="s">
        <v>4122</v>
      </c>
      <c r="AB1957" t="s">
        <v>181</v>
      </c>
    </row>
    <row r="1958" spans="1:28" x14ac:dyDescent="0.25">
      <c r="A1958" t="s">
        <v>4324</v>
      </c>
      <c r="B1958" t="s">
        <v>224</v>
      </c>
      <c r="C1958" t="s">
        <v>646</v>
      </c>
      <c r="D1958" t="s">
        <v>3779</v>
      </c>
      <c r="E1958" t="s">
        <v>647</v>
      </c>
      <c r="F1958" t="s">
        <v>3780</v>
      </c>
      <c r="G1958" t="s">
        <v>769</v>
      </c>
      <c r="H1958" t="s">
        <v>703</v>
      </c>
      <c r="I1958" t="s">
        <v>4164</v>
      </c>
      <c r="J1958" t="s">
        <v>985</v>
      </c>
      <c r="K1958" t="s">
        <v>166</v>
      </c>
      <c r="L1958" t="s">
        <v>0</v>
      </c>
      <c r="M1958" t="s">
        <v>178</v>
      </c>
      <c r="N1958">
        <v>181</v>
      </c>
      <c r="O1958">
        <v>102</v>
      </c>
      <c r="P1958">
        <v>2351.41</v>
      </c>
      <c r="Q1958">
        <v>4630.1400000000003</v>
      </c>
      <c r="R1958">
        <v>1036.4922273100001</v>
      </c>
      <c r="S1958">
        <v>697.55338887000005</v>
      </c>
      <c r="T1958">
        <v>2.2273100000000001E-3</v>
      </c>
      <c r="U1958">
        <v>0</v>
      </c>
      <c r="V1958">
        <v>1036.49</v>
      </c>
      <c r="W1958" t="s">
        <v>986</v>
      </c>
      <c r="X1958" t="s">
        <v>271</v>
      </c>
      <c r="Y1958" t="s">
        <v>4165</v>
      </c>
      <c r="AA1958" t="s">
        <v>4325</v>
      </c>
      <c r="AB1958" t="s">
        <v>181</v>
      </c>
    </row>
    <row r="1959" spans="1:28" x14ac:dyDescent="0.25">
      <c r="A1959" t="s">
        <v>4353</v>
      </c>
      <c r="B1959" t="s">
        <v>4354</v>
      </c>
      <c r="C1959" t="s">
        <v>646</v>
      </c>
      <c r="D1959" t="s">
        <v>3779</v>
      </c>
      <c r="E1959" t="s">
        <v>647</v>
      </c>
      <c r="F1959" t="s">
        <v>3780</v>
      </c>
      <c r="G1959" t="s">
        <v>769</v>
      </c>
      <c r="H1959" t="s">
        <v>1159</v>
      </c>
      <c r="I1959" t="s">
        <v>1160</v>
      </c>
      <c r="J1959" t="s">
        <v>336</v>
      </c>
      <c r="K1959" t="s">
        <v>166</v>
      </c>
      <c r="L1959" t="s">
        <v>0</v>
      </c>
      <c r="M1959" t="s">
        <v>178</v>
      </c>
      <c r="N1959">
        <v>2</v>
      </c>
      <c r="O1959">
        <v>2</v>
      </c>
      <c r="P1959">
        <v>19.12</v>
      </c>
      <c r="Q1959">
        <v>110.9</v>
      </c>
      <c r="R1959">
        <v>32.28</v>
      </c>
      <c r="S1959">
        <v>28.9786</v>
      </c>
      <c r="T1959">
        <v>0</v>
      </c>
      <c r="U1959">
        <v>0</v>
      </c>
      <c r="V1959">
        <v>32.28</v>
      </c>
      <c r="W1959" t="s">
        <v>461</v>
      </c>
      <c r="X1959" t="s">
        <v>271</v>
      </c>
      <c r="Y1959" t="s">
        <v>4355</v>
      </c>
      <c r="AA1959" t="s">
        <v>4356</v>
      </c>
      <c r="AB1959" t="s">
        <v>181</v>
      </c>
    </row>
    <row r="1960" spans="1:28" x14ac:dyDescent="0.25">
      <c r="A1960" t="s">
        <v>4064</v>
      </c>
      <c r="B1960" t="s">
        <v>4065</v>
      </c>
      <c r="C1960" t="s">
        <v>646</v>
      </c>
      <c r="D1960" t="s">
        <v>3779</v>
      </c>
      <c r="E1960" t="s">
        <v>647</v>
      </c>
      <c r="F1960" t="s">
        <v>3780</v>
      </c>
      <c r="G1960" t="s">
        <v>769</v>
      </c>
      <c r="H1960" t="s">
        <v>962</v>
      </c>
      <c r="I1960" t="s">
        <v>2469</v>
      </c>
      <c r="J1960" t="s">
        <v>2470</v>
      </c>
      <c r="K1960" t="s">
        <v>166</v>
      </c>
      <c r="L1960" t="s">
        <v>0</v>
      </c>
      <c r="M1960" t="s">
        <v>178</v>
      </c>
      <c r="N1960">
        <v>40</v>
      </c>
      <c r="O1960">
        <v>0</v>
      </c>
      <c r="P1960">
        <v>480</v>
      </c>
      <c r="Q1960">
        <v>1814.39</v>
      </c>
      <c r="R1960">
        <v>139.43</v>
      </c>
      <c r="S1960">
        <v>9.6</v>
      </c>
      <c r="T1960">
        <v>0</v>
      </c>
      <c r="U1960">
        <v>0</v>
      </c>
      <c r="V1960">
        <v>139.43</v>
      </c>
      <c r="W1960" t="s">
        <v>4066</v>
      </c>
      <c r="X1960" t="s">
        <v>271</v>
      </c>
      <c r="Y1960" t="s">
        <v>4067</v>
      </c>
      <c r="AA1960" t="s">
        <v>4068</v>
      </c>
      <c r="AB1960" t="s">
        <v>181</v>
      </c>
    </row>
    <row r="1961" spans="1:28" x14ac:dyDescent="0.25">
      <c r="A1961" t="s">
        <v>4057</v>
      </c>
      <c r="B1961" t="s">
        <v>4058</v>
      </c>
      <c r="C1961" t="s">
        <v>646</v>
      </c>
      <c r="D1961" t="s">
        <v>3779</v>
      </c>
      <c r="E1961" t="s">
        <v>647</v>
      </c>
      <c r="F1961" t="s">
        <v>3780</v>
      </c>
      <c r="G1961" t="s">
        <v>769</v>
      </c>
      <c r="H1961" t="s">
        <v>1159</v>
      </c>
      <c r="I1961" t="s">
        <v>1190</v>
      </c>
      <c r="J1961" t="s">
        <v>1191</v>
      </c>
      <c r="K1961" t="s">
        <v>166</v>
      </c>
      <c r="L1961" t="s">
        <v>0</v>
      </c>
      <c r="M1961" t="s">
        <v>178</v>
      </c>
      <c r="N1961">
        <v>94</v>
      </c>
      <c r="O1961">
        <v>0</v>
      </c>
      <c r="P1961">
        <v>1041</v>
      </c>
      <c r="Q1961">
        <v>5410.96</v>
      </c>
      <c r="R1961">
        <v>352.93</v>
      </c>
      <c r="S1961">
        <v>244.79458468999999</v>
      </c>
      <c r="T1961">
        <v>123.5</v>
      </c>
      <c r="U1961">
        <v>0</v>
      </c>
      <c r="V1961">
        <v>352.93</v>
      </c>
      <c r="W1961" t="s">
        <v>282</v>
      </c>
      <c r="X1961" t="s">
        <v>271</v>
      </c>
      <c r="Y1961" t="s">
        <v>4059</v>
      </c>
      <c r="AA1961" t="s">
        <v>2171</v>
      </c>
      <c r="AB1961" t="s">
        <v>181</v>
      </c>
    </row>
    <row r="1962" spans="1:28" x14ac:dyDescent="0.25">
      <c r="A1962" t="s">
        <v>4320</v>
      </c>
      <c r="B1962" t="s">
        <v>4321</v>
      </c>
      <c r="C1962" t="s">
        <v>646</v>
      </c>
      <c r="D1962" t="s">
        <v>3779</v>
      </c>
      <c r="E1962" t="s">
        <v>647</v>
      </c>
      <c r="F1962" t="s">
        <v>3780</v>
      </c>
      <c r="G1962" t="s">
        <v>769</v>
      </c>
      <c r="H1962" t="s">
        <v>708</v>
      </c>
      <c r="I1962" t="s">
        <v>1010</v>
      </c>
      <c r="J1962" t="s">
        <v>1011</v>
      </c>
      <c r="K1962" t="s">
        <v>166</v>
      </c>
      <c r="L1962" t="s">
        <v>0</v>
      </c>
      <c r="M1962" t="s">
        <v>178</v>
      </c>
      <c r="N1962">
        <v>2</v>
      </c>
      <c r="O1962">
        <v>2</v>
      </c>
      <c r="P1962">
        <v>32</v>
      </c>
      <c r="Q1962">
        <v>114.14</v>
      </c>
      <c r="R1962">
        <v>19.14</v>
      </c>
      <c r="S1962">
        <v>35.961185409999999</v>
      </c>
      <c r="T1962">
        <v>0</v>
      </c>
      <c r="U1962">
        <v>0</v>
      </c>
      <c r="V1962">
        <v>19.14</v>
      </c>
      <c r="W1962" t="s">
        <v>0</v>
      </c>
      <c r="X1962" t="s">
        <v>271</v>
      </c>
      <c r="Y1962" t="s">
        <v>4322</v>
      </c>
      <c r="AA1962" t="s">
        <v>4323</v>
      </c>
      <c r="AB1962" t="s">
        <v>181</v>
      </c>
    </row>
    <row r="1963" spans="1:28" x14ac:dyDescent="0.25">
      <c r="A1963" t="s">
        <v>4320</v>
      </c>
      <c r="B1963" t="s">
        <v>4321</v>
      </c>
      <c r="C1963" t="s">
        <v>646</v>
      </c>
      <c r="D1963" t="s">
        <v>3779</v>
      </c>
      <c r="E1963" t="s">
        <v>647</v>
      </c>
      <c r="F1963" t="s">
        <v>3780</v>
      </c>
      <c r="G1963" t="s">
        <v>769</v>
      </c>
      <c r="H1963" t="s">
        <v>856</v>
      </c>
      <c r="I1963" t="s">
        <v>1010</v>
      </c>
      <c r="J1963" t="s">
        <v>1011</v>
      </c>
      <c r="K1963" t="s">
        <v>166</v>
      </c>
      <c r="L1963" t="s">
        <v>0</v>
      </c>
      <c r="M1963" t="s">
        <v>178</v>
      </c>
      <c r="N1963">
        <v>3</v>
      </c>
      <c r="O1963">
        <v>0</v>
      </c>
      <c r="P1963">
        <v>90</v>
      </c>
      <c r="Q1963">
        <v>280.14</v>
      </c>
      <c r="R1963">
        <v>57.39</v>
      </c>
      <c r="S1963">
        <v>2.7</v>
      </c>
      <c r="T1963">
        <v>0</v>
      </c>
      <c r="U1963">
        <v>0</v>
      </c>
      <c r="V1963">
        <v>57.39</v>
      </c>
      <c r="W1963" t="s">
        <v>0</v>
      </c>
      <c r="X1963" t="s">
        <v>271</v>
      </c>
      <c r="Y1963" t="s">
        <v>4322</v>
      </c>
      <c r="AA1963" t="s">
        <v>4323</v>
      </c>
      <c r="AB1963" t="s">
        <v>181</v>
      </c>
    </row>
    <row r="1964" spans="1:28" x14ac:dyDescent="0.25">
      <c r="A1964" t="s">
        <v>4147</v>
      </c>
      <c r="B1964" t="s">
        <v>4148</v>
      </c>
      <c r="C1964" t="s">
        <v>646</v>
      </c>
      <c r="D1964" t="s">
        <v>3779</v>
      </c>
      <c r="E1964" t="s">
        <v>647</v>
      </c>
      <c r="F1964" t="s">
        <v>3780</v>
      </c>
      <c r="G1964" t="s">
        <v>769</v>
      </c>
      <c r="H1964" t="s">
        <v>703</v>
      </c>
      <c r="I1964" t="s">
        <v>1301</v>
      </c>
      <c r="J1964" t="s">
        <v>1302</v>
      </c>
      <c r="K1964" t="s">
        <v>166</v>
      </c>
      <c r="L1964" t="s">
        <v>0</v>
      </c>
      <c r="M1964" t="s">
        <v>178</v>
      </c>
      <c r="N1964">
        <v>189.08330000000001</v>
      </c>
      <c r="O1964">
        <v>135</v>
      </c>
      <c r="P1964">
        <v>4724.01</v>
      </c>
      <c r="Q1964">
        <v>7130.61</v>
      </c>
      <c r="R1964">
        <v>1796.0403508500001</v>
      </c>
      <c r="S1964">
        <v>1201.02282732</v>
      </c>
      <c r="T1964">
        <v>-5.9649149999999998E-2</v>
      </c>
      <c r="U1964">
        <v>0</v>
      </c>
      <c r="V1964">
        <v>1796.1</v>
      </c>
      <c r="W1964" t="s">
        <v>1303</v>
      </c>
      <c r="X1964" t="s">
        <v>269</v>
      </c>
      <c r="Y1964" t="s">
        <v>4149</v>
      </c>
      <c r="AA1964" t="s">
        <v>4150</v>
      </c>
      <c r="AB1964" t="s">
        <v>181</v>
      </c>
    </row>
    <row r="1965" spans="1:28" x14ac:dyDescent="0.25">
      <c r="A1965" t="s">
        <v>3777</v>
      </c>
      <c r="B1965" t="s">
        <v>3778</v>
      </c>
      <c r="C1965" t="s">
        <v>646</v>
      </c>
      <c r="D1965" t="s">
        <v>3779</v>
      </c>
      <c r="E1965" t="s">
        <v>647</v>
      </c>
      <c r="F1965" t="s">
        <v>3780</v>
      </c>
      <c r="G1965" t="s">
        <v>769</v>
      </c>
      <c r="H1965" t="s">
        <v>703</v>
      </c>
      <c r="I1965" t="s">
        <v>798</v>
      </c>
      <c r="J1965" t="s">
        <v>524</v>
      </c>
      <c r="K1965" t="s">
        <v>166</v>
      </c>
      <c r="L1965" t="s">
        <v>0</v>
      </c>
      <c r="M1965" t="s">
        <v>178</v>
      </c>
      <c r="N1965">
        <v>274.12520000000001</v>
      </c>
      <c r="O1965">
        <v>115.91670000000001</v>
      </c>
      <c r="P1965">
        <v>6088.86</v>
      </c>
      <c r="Q1965">
        <v>9837.4699999999993</v>
      </c>
      <c r="R1965">
        <v>2022.64268558</v>
      </c>
      <c r="S1965">
        <v>1470.83208584</v>
      </c>
      <c r="T1965">
        <v>9.2685580000000004E-2</v>
      </c>
      <c r="U1965">
        <v>0</v>
      </c>
      <c r="V1965">
        <v>2022.55</v>
      </c>
      <c r="W1965" t="s">
        <v>258</v>
      </c>
      <c r="X1965" t="s">
        <v>271</v>
      </c>
      <c r="Y1965" t="s">
        <v>3781</v>
      </c>
      <c r="AA1965" t="s">
        <v>3782</v>
      </c>
      <c r="AB1965" t="s">
        <v>181</v>
      </c>
    </row>
    <row r="1966" spans="1:28" x14ac:dyDescent="0.25">
      <c r="A1966" t="s">
        <v>4265</v>
      </c>
      <c r="B1966" t="s">
        <v>4266</v>
      </c>
      <c r="C1966" t="s">
        <v>646</v>
      </c>
      <c r="D1966" t="s">
        <v>3779</v>
      </c>
      <c r="E1966" t="s">
        <v>647</v>
      </c>
      <c r="F1966" t="s">
        <v>666</v>
      </c>
      <c r="G1966" t="s">
        <v>666</v>
      </c>
      <c r="H1966" t="s">
        <v>797</v>
      </c>
      <c r="I1966" t="s">
        <v>4267</v>
      </c>
      <c r="J1966" t="s">
        <v>326</v>
      </c>
      <c r="K1966" t="s">
        <v>166</v>
      </c>
      <c r="L1966" t="s">
        <v>0</v>
      </c>
      <c r="M1966" t="s">
        <v>178</v>
      </c>
      <c r="N1966">
        <v>89</v>
      </c>
      <c r="O1966">
        <v>63</v>
      </c>
      <c r="P1966">
        <v>1010.4</v>
      </c>
      <c r="Q1966">
        <v>3177.89</v>
      </c>
      <c r="R1966">
        <v>329.99348602999999</v>
      </c>
      <c r="S1966">
        <v>484.14119678999998</v>
      </c>
      <c r="T1966">
        <v>3.4860300000000002E-3</v>
      </c>
      <c r="U1966">
        <v>0</v>
      </c>
      <c r="V1966">
        <v>329.99</v>
      </c>
      <c r="W1966" t="s">
        <v>450</v>
      </c>
      <c r="X1966" t="s">
        <v>271</v>
      </c>
      <c r="Y1966" t="s">
        <v>4268</v>
      </c>
      <c r="AA1966" t="s">
        <v>4269</v>
      </c>
      <c r="AB1966" t="s">
        <v>181</v>
      </c>
    </row>
    <row r="1967" spans="1:28" x14ac:dyDescent="0.25">
      <c r="A1967" t="s">
        <v>4078</v>
      </c>
      <c r="B1967" t="s">
        <v>4079</v>
      </c>
      <c r="C1967" t="s">
        <v>646</v>
      </c>
      <c r="D1967" t="s">
        <v>3779</v>
      </c>
      <c r="E1967" t="s">
        <v>647</v>
      </c>
      <c r="F1967" t="s">
        <v>3780</v>
      </c>
      <c r="G1967" t="s">
        <v>769</v>
      </c>
      <c r="H1967" t="s">
        <v>770</v>
      </c>
      <c r="I1967" t="s">
        <v>885</v>
      </c>
      <c r="J1967" t="s">
        <v>324</v>
      </c>
      <c r="K1967" t="s">
        <v>166</v>
      </c>
      <c r="L1967" t="s">
        <v>0</v>
      </c>
      <c r="M1967" t="s">
        <v>178</v>
      </c>
      <c r="N1967">
        <v>704.5</v>
      </c>
      <c r="O1967">
        <v>593.5</v>
      </c>
      <c r="P1967">
        <v>13636.92</v>
      </c>
      <c r="Q1967">
        <v>12423.42</v>
      </c>
      <c r="R1967">
        <v>522.01</v>
      </c>
      <c r="S1967">
        <v>2107.4209592500001</v>
      </c>
      <c r="T1967">
        <v>0</v>
      </c>
      <c r="U1967">
        <v>0</v>
      </c>
      <c r="V1967">
        <v>522.01</v>
      </c>
      <c r="W1967" t="s">
        <v>519</v>
      </c>
      <c r="X1967" t="s">
        <v>271</v>
      </c>
      <c r="Y1967" t="s">
        <v>4080</v>
      </c>
      <c r="AA1967" t="s">
        <v>4081</v>
      </c>
      <c r="AB1967" t="s">
        <v>181</v>
      </c>
    </row>
    <row r="1968" spans="1:28" x14ac:dyDescent="0.25">
      <c r="A1968" t="s">
        <v>3977</v>
      </c>
      <c r="B1968" t="s">
        <v>3978</v>
      </c>
      <c r="C1968" t="s">
        <v>646</v>
      </c>
      <c r="D1968" t="s">
        <v>3779</v>
      </c>
      <c r="E1968" t="s">
        <v>647</v>
      </c>
      <c r="F1968" t="s">
        <v>3780</v>
      </c>
      <c r="G1968" t="s">
        <v>769</v>
      </c>
      <c r="H1968" t="s">
        <v>797</v>
      </c>
      <c r="I1968" t="s">
        <v>1489</v>
      </c>
      <c r="J1968" t="s">
        <v>816</v>
      </c>
      <c r="K1968" t="s">
        <v>166</v>
      </c>
      <c r="L1968" t="s">
        <v>0</v>
      </c>
      <c r="M1968" t="s">
        <v>178</v>
      </c>
      <c r="N1968">
        <v>68</v>
      </c>
      <c r="O1968">
        <v>33</v>
      </c>
      <c r="P1968">
        <v>685.59</v>
      </c>
      <c r="Q1968">
        <v>2974.97</v>
      </c>
      <c r="R1968">
        <v>850.98113866999995</v>
      </c>
      <c r="S1968">
        <v>271.92398248000001</v>
      </c>
      <c r="T1968">
        <v>3.113867E-2</v>
      </c>
      <c r="U1968">
        <v>0</v>
      </c>
      <c r="V1968">
        <v>850.95</v>
      </c>
      <c r="W1968" t="s">
        <v>817</v>
      </c>
      <c r="X1968" t="s">
        <v>271</v>
      </c>
      <c r="Y1968" t="s">
        <v>3979</v>
      </c>
      <c r="AA1968" t="s">
        <v>3980</v>
      </c>
      <c r="AB1968" t="s">
        <v>181</v>
      </c>
    </row>
    <row r="1969" spans="1:28" x14ac:dyDescent="0.25">
      <c r="A1969" t="s">
        <v>4035</v>
      </c>
      <c r="B1969" t="s">
        <v>4036</v>
      </c>
      <c r="C1969" t="s">
        <v>646</v>
      </c>
      <c r="D1969" t="s">
        <v>3779</v>
      </c>
      <c r="E1969" t="s">
        <v>647</v>
      </c>
      <c r="F1969" t="s">
        <v>3780</v>
      </c>
      <c r="G1969" t="s">
        <v>769</v>
      </c>
      <c r="H1969" t="s">
        <v>770</v>
      </c>
      <c r="I1969" t="s">
        <v>3464</v>
      </c>
      <c r="J1969" t="s">
        <v>688</v>
      </c>
      <c r="K1969" t="s">
        <v>166</v>
      </c>
      <c r="L1969" t="s">
        <v>0</v>
      </c>
      <c r="M1969" t="s">
        <v>178</v>
      </c>
      <c r="N1969">
        <v>80.5</v>
      </c>
      <c r="O1969">
        <v>40.5</v>
      </c>
      <c r="P1969">
        <v>1660</v>
      </c>
      <c r="Q1969">
        <v>2374.75</v>
      </c>
      <c r="R1969">
        <v>342.46</v>
      </c>
      <c r="S1969">
        <v>245.66239906999999</v>
      </c>
      <c r="T1969">
        <v>0</v>
      </c>
      <c r="U1969">
        <v>0</v>
      </c>
      <c r="V1969">
        <v>342.46</v>
      </c>
      <c r="W1969" t="s">
        <v>0</v>
      </c>
      <c r="X1969" t="s">
        <v>271</v>
      </c>
      <c r="Y1969" t="s">
        <v>4037</v>
      </c>
      <c r="AA1969" t="s">
        <v>4038</v>
      </c>
      <c r="AB1969" t="s">
        <v>181</v>
      </c>
    </row>
    <row r="1970" spans="1:28" x14ac:dyDescent="0.25">
      <c r="A1970" t="s">
        <v>3965</v>
      </c>
      <c r="B1970" t="s">
        <v>3966</v>
      </c>
      <c r="C1970" t="s">
        <v>646</v>
      </c>
      <c r="D1970" t="s">
        <v>3779</v>
      </c>
      <c r="E1970" t="s">
        <v>647</v>
      </c>
      <c r="F1970" t="s">
        <v>3780</v>
      </c>
      <c r="G1970" t="s">
        <v>769</v>
      </c>
      <c r="H1970" t="s">
        <v>703</v>
      </c>
      <c r="I1970" t="s">
        <v>2339</v>
      </c>
      <c r="J1970" t="s">
        <v>2165</v>
      </c>
      <c r="K1970" t="s">
        <v>166</v>
      </c>
      <c r="L1970" t="s">
        <v>0</v>
      </c>
      <c r="M1970" t="s">
        <v>178</v>
      </c>
      <c r="N1970">
        <v>288.875</v>
      </c>
      <c r="O1970">
        <v>238.875</v>
      </c>
      <c r="P1970">
        <v>4227.63</v>
      </c>
      <c r="Q1970">
        <v>6976.59</v>
      </c>
      <c r="R1970">
        <v>539.47961778000001</v>
      </c>
      <c r="S1970">
        <v>1742.42073366</v>
      </c>
      <c r="T1970">
        <v>8.9617779999999994E-2</v>
      </c>
      <c r="U1970">
        <v>0</v>
      </c>
      <c r="V1970">
        <v>539.39</v>
      </c>
      <c r="W1970" t="s">
        <v>2166</v>
      </c>
      <c r="X1970" t="s">
        <v>271</v>
      </c>
      <c r="Y1970" t="s">
        <v>3967</v>
      </c>
      <c r="AA1970" t="s">
        <v>3968</v>
      </c>
      <c r="AB1970" t="s">
        <v>181</v>
      </c>
    </row>
    <row r="1971" spans="1:28" x14ac:dyDescent="0.25">
      <c r="A1971" t="s">
        <v>4151</v>
      </c>
      <c r="B1971" t="s">
        <v>4152</v>
      </c>
      <c r="C1971" t="s">
        <v>646</v>
      </c>
      <c r="D1971" t="s">
        <v>3779</v>
      </c>
      <c r="E1971" t="s">
        <v>647</v>
      </c>
      <c r="F1971" t="s">
        <v>666</v>
      </c>
      <c r="G1971" t="s">
        <v>666</v>
      </c>
      <c r="H1971" t="s">
        <v>708</v>
      </c>
      <c r="I1971" t="s">
        <v>765</v>
      </c>
      <c r="J1971" t="s">
        <v>436</v>
      </c>
      <c r="K1971" t="s">
        <v>166</v>
      </c>
      <c r="L1971" t="s">
        <v>0</v>
      </c>
      <c r="M1971" t="s">
        <v>178</v>
      </c>
      <c r="N1971">
        <v>142</v>
      </c>
      <c r="O1971">
        <v>90</v>
      </c>
      <c r="P1971">
        <v>4364.5</v>
      </c>
      <c r="Q1971">
        <v>20352.66</v>
      </c>
      <c r="R1971">
        <v>1784.35</v>
      </c>
      <c r="S1971">
        <v>2422.02756314</v>
      </c>
      <c r="T1971">
        <v>0</v>
      </c>
      <c r="U1971">
        <v>0</v>
      </c>
      <c r="V1971">
        <v>1784.35</v>
      </c>
      <c r="W1971" t="s">
        <v>0</v>
      </c>
      <c r="X1971" t="s">
        <v>271</v>
      </c>
      <c r="Y1971" t="s">
        <v>4153</v>
      </c>
      <c r="AA1971" t="s">
        <v>4154</v>
      </c>
      <c r="AB1971" t="s">
        <v>181</v>
      </c>
    </row>
    <row r="1972" spans="1:28" x14ac:dyDescent="0.25">
      <c r="A1972" t="s">
        <v>4252</v>
      </c>
      <c r="B1972" t="s">
        <v>4253</v>
      </c>
      <c r="C1972" t="s">
        <v>646</v>
      </c>
      <c r="D1972" t="s">
        <v>3779</v>
      </c>
      <c r="E1972" t="s">
        <v>647</v>
      </c>
      <c r="F1972" t="s">
        <v>3780</v>
      </c>
      <c r="G1972" t="s">
        <v>769</v>
      </c>
      <c r="H1972" t="s">
        <v>909</v>
      </c>
      <c r="I1972" t="s">
        <v>1046</v>
      </c>
      <c r="J1972" t="s">
        <v>971</v>
      </c>
      <c r="K1972" t="s">
        <v>166</v>
      </c>
      <c r="L1972" t="s">
        <v>0</v>
      </c>
      <c r="M1972" t="s">
        <v>178</v>
      </c>
      <c r="N1972">
        <v>136</v>
      </c>
      <c r="O1972">
        <v>132</v>
      </c>
      <c r="P1972">
        <v>4754</v>
      </c>
      <c r="Q1972">
        <v>2795.76</v>
      </c>
      <c r="R1972">
        <v>75.42</v>
      </c>
      <c r="S1972">
        <v>529.40801882999995</v>
      </c>
      <c r="T1972">
        <v>0</v>
      </c>
      <c r="U1972">
        <v>0</v>
      </c>
      <c r="V1972">
        <v>75.42</v>
      </c>
      <c r="W1972" t="s">
        <v>972</v>
      </c>
      <c r="X1972" t="s">
        <v>269</v>
      </c>
      <c r="Y1972" t="s">
        <v>4254</v>
      </c>
      <c r="AA1972" t="s">
        <v>4255</v>
      </c>
      <c r="AB1972" t="s">
        <v>181</v>
      </c>
    </row>
    <row r="1973" spans="1:28" x14ac:dyDescent="0.25">
      <c r="A1973" t="s">
        <v>3900</v>
      </c>
      <c r="B1973" t="s">
        <v>3901</v>
      </c>
      <c r="C1973" t="s">
        <v>646</v>
      </c>
      <c r="D1973" t="s">
        <v>3779</v>
      </c>
      <c r="E1973" t="s">
        <v>647</v>
      </c>
      <c r="F1973" t="s">
        <v>3780</v>
      </c>
      <c r="G1973" t="s">
        <v>769</v>
      </c>
      <c r="H1973" t="s">
        <v>909</v>
      </c>
      <c r="I1973" t="s">
        <v>3902</v>
      </c>
      <c r="J1973" t="s">
        <v>1225</v>
      </c>
      <c r="K1973" t="s">
        <v>166</v>
      </c>
      <c r="L1973" t="s">
        <v>0</v>
      </c>
      <c r="M1973" t="s">
        <v>178</v>
      </c>
      <c r="N1973">
        <v>219</v>
      </c>
      <c r="O1973">
        <v>219</v>
      </c>
      <c r="P1973">
        <v>7665</v>
      </c>
      <c r="Q1973">
        <v>4137.6000000000004</v>
      </c>
      <c r="R1973">
        <v>162.30000000000001</v>
      </c>
      <c r="S1973">
        <v>811.38015456999995</v>
      </c>
      <c r="T1973">
        <v>0</v>
      </c>
      <c r="U1973">
        <v>0</v>
      </c>
      <c r="V1973">
        <v>162.30000000000001</v>
      </c>
      <c r="W1973" t="s">
        <v>0</v>
      </c>
      <c r="X1973" t="s">
        <v>271</v>
      </c>
      <c r="Y1973" t="s">
        <v>3903</v>
      </c>
      <c r="AA1973" t="s">
        <v>3904</v>
      </c>
      <c r="AB1973" t="s">
        <v>181</v>
      </c>
    </row>
    <row r="1974" spans="1:28" x14ac:dyDescent="0.25">
      <c r="A1974" t="s">
        <v>4184</v>
      </c>
      <c r="B1974" t="s">
        <v>4185</v>
      </c>
      <c r="C1974" t="s">
        <v>646</v>
      </c>
      <c r="D1974" t="s">
        <v>3779</v>
      </c>
      <c r="E1974" t="s">
        <v>647</v>
      </c>
      <c r="F1974" t="s">
        <v>3780</v>
      </c>
      <c r="G1974" t="s">
        <v>769</v>
      </c>
      <c r="H1974" t="s">
        <v>1171</v>
      </c>
      <c r="I1974" t="s">
        <v>4186</v>
      </c>
      <c r="J1974" t="s">
        <v>1164</v>
      </c>
      <c r="K1974" t="s">
        <v>166</v>
      </c>
      <c r="L1974" t="s">
        <v>0</v>
      </c>
      <c r="M1974" t="s">
        <v>178</v>
      </c>
      <c r="N1974">
        <v>192</v>
      </c>
      <c r="O1974">
        <v>156</v>
      </c>
      <c r="P1974">
        <v>3858.21</v>
      </c>
      <c r="Q1974">
        <v>30454.61</v>
      </c>
      <c r="R1974">
        <v>799.44563825</v>
      </c>
      <c r="S1974">
        <v>802.80559008</v>
      </c>
      <c r="T1974">
        <v>1.8056382499999999</v>
      </c>
      <c r="U1974">
        <v>0</v>
      </c>
      <c r="V1974">
        <v>797.64</v>
      </c>
      <c r="W1974" t="s">
        <v>1165</v>
      </c>
      <c r="X1974" t="s">
        <v>271</v>
      </c>
      <c r="Y1974" t="s">
        <v>4187</v>
      </c>
      <c r="AA1974" t="s">
        <v>4188</v>
      </c>
      <c r="AB1974" t="s">
        <v>181</v>
      </c>
    </row>
    <row r="1975" spans="1:28" x14ac:dyDescent="0.25">
      <c r="A1975" t="s">
        <v>4288</v>
      </c>
      <c r="B1975" t="s">
        <v>4289</v>
      </c>
      <c r="C1975" t="s">
        <v>646</v>
      </c>
      <c r="D1975" t="s">
        <v>3779</v>
      </c>
      <c r="E1975" t="s">
        <v>647</v>
      </c>
      <c r="F1975" t="s">
        <v>3780</v>
      </c>
      <c r="G1975" t="s">
        <v>769</v>
      </c>
      <c r="H1975" t="s">
        <v>672</v>
      </c>
      <c r="I1975" t="s">
        <v>1453</v>
      </c>
      <c r="J1975" t="s">
        <v>1454</v>
      </c>
      <c r="K1975" t="s">
        <v>166</v>
      </c>
      <c r="L1975" t="s">
        <v>0</v>
      </c>
      <c r="M1975" t="s">
        <v>178</v>
      </c>
      <c r="N1975">
        <v>335</v>
      </c>
      <c r="O1975">
        <v>168</v>
      </c>
      <c r="P1975">
        <v>4173.3599999999997</v>
      </c>
      <c r="Q1975">
        <v>9274.84</v>
      </c>
      <c r="R1975">
        <v>1555.96576934</v>
      </c>
      <c r="S1975">
        <v>1246.2296056800001</v>
      </c>
      <c r="T1975">
        <v>5.5769340000000001E-2</v>
      </c>
      <c r="U1975">
        <v>0</v>
      </c>
      <c r="V1975">
        <v>1555.91</v>
      </c>
      <c r="W1975" t="s">
        <v>1455</v>
      </c>
      <c r="X1975" t="s">
        <v>271</v>
      </c>
      <c r="Y1975" t="s">
        <v>4290</v>
      </c>
      <c r="AA1975" t="s">
        <v>4291</v>
      </c>
      <c r="AB1975" t="s">
        <v>181</v>
      </c>
    </row>
    <row r="1976" spans="1:28" x14ac:dyDescent="0.25">
      <c r="A1976" t="s">
        <v>4109</v>
      </c>
      <c r="B1976" t="s">
        <v>4110</v>
      </c>
      <c r="C1976" t="s">
        <v>646</v>
      </c>
      <c r="D1976" t="s">
        <v>3779</v>
      </c>
      <c r="E1976" t="s">
        <v>647</v>
      </c>
      <c r="F1976" t="s">
        <v>3780</v>
      </c>
      <c r="G1976" t="s">
        <v>769</v>
      </c>
      <c r="H1976" t="s">
        <v>679</v>
      </c>
      <c r="I1976" t="s">
        <v>1046</v>
      </c>
      <c r="J1976" t="s">
        <v>971</v>
      </c>
      <c r="K1976" t="s">
        <v>166</v>
      </c>
      <c r="L1976" t="s">
        <v>0</v>
      </c>
      <c r="M1976" t="s">
        <v>178</v>
      </c>
      <c r="N1976">
        <v>105</v>
      </c>
      <c r="O1976">
        <v>68</v>
      </c>
      <c r="P1976">
        <v>1331.16</v>
      </c>
      <c r="Q1976">
        <v>4018.1</v>
      </c>
      <c r="R1976">
        <v>60.204262739999997</v>
      </c>
      <c r="S1976">
        <v>1326.9970038199999</v>
      </c>
      <c r="T1976">
        <v>-2.7057372599999998</v>
      </c>
      <c r="U1976">
        <v>0</v>
      </c>
      <c r="V1976">
        <v>62.91</v>
      </c>
      <c r="W1976" t="s">
        <v>972</v>
      </c>
      <c r="X1976" t="s">
        <v>269</v>
      </c>
      <c r="Y1976" t="s">
        <v>4111</v>
      </c>
      <c r="AA1976" t="s">
        <v>4112</v>
      </c>
      <c r="AB1976" t="s">
        <v>181</v>
      </c>
    </row>
    <row r="1977" spans="1:28" x14ac:dyDescent="0.25">
      <c r="A1977" t="s">
        <v>3861</v>
      </c>
      <c r="B1977" t="s">
        <v>3862</v>
      </c>
      <c r="C1977" t="s">
        <v>646</v>
      </c>
      <c r="D1977" t="s">
        <v>3779</v>
      </c>
      <c r="E1977" t="s">
        <v>647</v>
      </c>
      <c r="F1977" t="s">
        <v>3780</v>
      </c>
      <c r="G1977" t="s">
        <v>769</v>
      </c>
      <c r="H1977" t="s">
        <v>672</v>
      </c>
      <c r="I1977" t="s">
        <v>2065</v>
      </c>
      <c r="J1977" t="s">
        <v>2066</v>
      </c>
      <c r="K1977" t="s">
        <v>166</v>
      </c>
      <c r="L1977" t="s">
        <v>0</v>
      </c>
      <c r="M1977" t="s">
        <v>178</v>
      </c>
      <c r="N1977">
        <v>422</v>
      </c>
      <c r="O1977">
        <v>415</v>
      </c>
      <c r="P1977">
        <v>10692.65</v>
      </c>
      <c r="Q1977">
        <v>21070.51</v>
      </c>
      <c r="R1977">
        <v>2977.21303227</v>
      </c>
      <c r="S1977">
        <v>4464.5227268199997</v>
      </c>
      <c r="T1977">
        <v>-13.126967730000001</v>
      </c>
      <c r="U1977">
        <v>0</v>
      </c>
      <c r="V1977">
        <v>2990.34</v>
      </c>
      <c r="W1977" t="s">
        <v>2067</v>
      </c>
      <c r="X1977" t="s">
        <v>271</v>
      </c>
      <c r="Y1977" t="s">
        <v>3863</v>
      </c>
      <c r="AA1977" t="s">
        <v>3864</v>
      </c>
      <c r="AB1977" t="s">
        <v>181</v>
      </c>
    </row>
    <row r="1978" spans="1:28" x14ac:dyDescent="0.25">
      <c r="A1978" t="s">
        <v>3944</v>
      </c>
      <c r="B1978" t="s">
        <v>3945</v>
      </c>
      <c r="C1978" t="s">
        <v>646</v>
      </c>
      <c r="D1978" t="s">
        <v>3779</v>
      </c>
      <c r="E1978" t="s">
        <v>647</v>
      </c>
      <c r="F1978" t="s">
        <v>3780</v>
      </c>
      <c r="G1978" t="s">
        <v>769</v>
      </c>
      <c r="H1978" t="s">
        <v>797</v>
      </c>
      <c r="I1978" t="s">
        <v>798</v>
      </c>
      <c r="J1978" t="s">
        <v>524</v>
      </c>
      <c r="K1978" t="s">
        <v>166</v>
      </c>
      <c r="L1978" t="s">
        <v>0</v>
      </c>
      <c r="M1978" t="s">
        <v>178</v>
      </c>
      <c r="N1978">
        <v>136</v>
      </c>
      <c r="O1978">
        <v>16</v>
      </c>
      <c r="P1978">
        <v>1403.48</v>
      </c>
      <c r="Q1978">
        <v>6713.82</v>
      </c>
      <c r="R1978">
        <v>963.77245546999995</v>
      </c>
      <c r="S1978">
        <v>149.87969888999999</v>
      </c>
      <c r="T1978">
        <v>1.245547E-2</v>
      </c>
      <c r="U1978">
        <v>0</v>
      </c>
      <c r="V1978">
        <v>963.76</v>
      </c>
      <c r="W1978" t="s">
        <v>258</v>
      </c>
      <c r="X1978" t="s">
        <v>271</v>
      </c>
      <c r="Y1978" t="s">
        <v>3946</v>
      </c>
      <c r="AA1978" t="s">
        <v>3947</v>
      </c>
      <c r="AB1978" t="s">
        <v>181</v>
      </c>
    </row>
    <row r="1979" spans="1:28" x14ac:dyDescent="0.25">
      <c r="A1979" t="s">
        <v>4078</v>
      </c>
      <c r="B1979" t="s">
        <v>4079</v>
      </c>
      <c r="C1979" t="s">
        <v>646</v>
      </c>
      <c r="D1979" t="s">
        <v>3779</v>
      </c>
      <c r="E1979" t="s">
        <v>647</v>
      </c>
      <c r="F1979" t="s">
        <v>3780</v>
      </c>
      <c r="G1979" t="s">
        <v>769</v>
      </c>
      <c r="H1979" t="s">
        <v>717</v>
      </c>
      <c r="I1979" t="s">
        <v>885</v>
      </c>
      <c r="J1979" t="s">
        <v>324</v>
      </c>
      <c r="K1979" t="s">
        <v>166</v>
      </c>
      <c r="L1979" t="s">
        <v>0</v>
      </c>
      <c r="M1979" t="s">
        <v>178</v>
      </c>
      <c r="N1979">
        <v>24</v>
      </c>
      <c r="O1979">
        <v>17</v>
      </c>
      <c r="P1979">
        <v>812.6</v>
      </c>
      <c r="Q1979">
        <v>2591.08</v>
      </c>
      <c r="R1979">
        <v>242.11</v>
      </c>
      <c r="S1979">
        <v>82.76634636</v>
      </c>
      <c r="T1979">
        <v>0</v>
      </c>
      <c r="U1979">
        <v>0</v>
      </c>
      <c r="V1979">
        <v>242.11</v>
      </c>
      <c r="W1979" t="s">
        <v>519</v>
      </c>
      <c r="X1979" t="s">
        <v>271</v>
      </c>
      <c r="Y1979" t="s">
        <v>4080</v>
      </c>
      <c r="AA1979" t="s">
        <v>4081</v>
      </c>
      <c r="AB1979" t="s">
        <v>181</v>
      </c>
    </row>
    <row r="1980" spans="1:28" x14ac:dyDescent="0.25">
      <c r="A1980" t="s">
        <v>4361</v>
      </c>
      <c r="B1980" t="s">
        <v>4362</v>
      </c>
      <c r="C1980" t="s">
        <v>646</v>
      </c>
      <c r="D1980" t="s">
        <v>3779</v>
      </c>
      <c r="E1980" t="s">
        <v>647</v>
      </c>
      <c r="F1980" t="s">
        <v>3780</v>
      </c>
      <c r="G1980" t="s">
        <v>769</v>
      </c>
      <c r="H1980" t="s">
        <v>802</v>
      </c>
      <c r="I1980" t="s">
        <v>1712</v>
      </c>
      <c r="J1980" t="s">
        <v>335</v>
      </c>
      <c r="K1980" t="s">
        <v>166</v>
      </c>
      <c r="L1980" t="s">
        <v>0</v>
      </c>
      <c r="M1980" t="s">
        <v>178</v>
      </c>
      <c r="N1980">
        <v>65.75</v>
      </c>
      <c r="O1980">
        <v>59.75</v>
      </c>
      <c r="P1980">
        <v>779.19</v>
      </c>
      <c r="Q1980">
        <v>2537.1799999999998</v>
      </c>
      <c r="R1980">
        <v>554.66</v>
      </c>
      <c r="S1980">
        <v>282.15043681999998</v>
      </c>
      <c r="T1980">
        <v>0</v>
      </c>
      <c r="U1980">
        <v>0</v>
      </c>
      <c r="V1980">
        <v>554.66</v>
      </c>
      <c r="W1980" t="s">
        <v>572</v>
      </c>
      <c r="X1980" t="s">
        <v>271</v>
      </c>
      <c r="Y1980" t="s">
        <v>4363</v>
      </c>
      <c r="AA1980" t="s">
        <v>4364</v>
      </c>
      <c r="AB1980" t="s">
        <v>181</v>
      </c>
    </row>
    <row r="1981" spans="1:28" x14ac:dyDescent="0.25">
      <c r="A1981" t="s">
        <v>4346</v>
      </c>
      <c r="B1981" t="s">
        <v>257</v>
      </c>
      <c r="C1981" t="s">
        <v>646</v>
      </c>
      <c r="D1981" t="s">
        <v>3779</v>
      </c>
      <c r="E1981" t="s">
        <v>647</v>
      </c>
      <c r="F1981" t="s">
        <v>3780</v>
      </c>
      <c r="G1981" t="s">
        <v>769</v>
      </c>
      <c r="H1981" t="s">
        <v>962</v>
      </c>
      <c r="I1981" t="s">
        <v>746</v>
      </c>
      <c r="J1981" t="s">
        <v>504</v>
      </c>
      <c r="K1981" t="s">
        <v>166</v>
      </c>
      <c r="L1981" t="s">
        <v>0</v>
      </c>
      <c r="M1981" t="s">
        <v>178</v>
      </c>
      <c r="N1981">
        <v>92</v>
      </c>
      <c r="O1981">
        <v>0</v>
      </c>
      <c r="P1981">
        <v>320.89999999999998</v>
      </c>
      <c r="Q1981">
        <v>3433.28</v>
      </c>
      <c r="R1981">
        <v>412.31</v>
      </c>
      <c r="S1981">
        <v>68.248734420000005</v>
      </c>
      <c r="T1981">
        <v>0</v>
      </c>
      <c r="U1981">
        <v>0</v>
      </c>
      <c r="V1981">
        <v>412.31</v>
      </c>
      <c r="W1981" t="s">
        <v>503</v>
      </c>
      <c r="X1981" t="s">
        <v>271</v>
      </c>
      <c r="Y1981" t="s">
        <v>4347</v>
      </c>
      <c r="AA1981" t="s">
        <v>4348</v>
      </c>
      <c r="AB1981" t="s">
        <v>181</v>
      </c>
    </row>
    <row r="1982" spans="1:28" x14ac:dyDescent="0.25">
      <c r="A1982" t="s">
        <v>3777</v>
      </c>
      <c r="B1982" t="s">
        <v>3778</v>
      </c>
      <c r="C1982" t="s">
        <v>646</v>
      </c>
      <c r="D1982" t="s">
        <v>3779</v>
      </c>
      <c r="E1982" t="s">
        <v>647</v>
      </c>
      <c r="F1982" t="s">
        <v>3780</v>
      </c>
      <c r="G1982" t="s">
        <v>769</v>
      </c>
      <c r="H1982" t="s">
        <v>1171</v>
      </c>
      <c r="I1982" t="s">
        <v>798</v>
      </c>
      <c r="J1982" t="s">
        <v>524</v>
      </c>
      <c r="K1982" t="s">
        <v>166</v>
      </c>
      <c r="L1982" t="s">
        <v>0</v>
      </c>
      <c r="M1982" t="s">
        <v>178</v>
      </c>
      <c r="N1982">
        <v>22</v>
      </c>
      <c r="O1982">
        <v>12</v>
      </c>
      <c r="P1982">
        <v>1025.17</v>
      </c>
      <c r="Q1982">
        <v>7936.49</v>
      </c>
      <c r="R1982">
        <v>510.1674041</v>
      </c>
      <c r="S1982">
        <v>90.791435370000002</v>
      </c>
      <c r="T1982">
        <v>0.53740410000000005</v>
      </c>
      <c r="U1982">
        <v>0</v>
      </c>
      <c r="V1982">
        <v>509.63</v>
      </c>
      <c r="W1982" t="s">
        <v>258</v>
      </c>
      <c r="X1982" t="s">
        <v>271</v>
      </c>
      <c r="Y1982" t="s">
        <v>3781</v>
      </c>
      <c r="AA1982" t="s">
        <v>3782</v>
      </c>
      <c r="AB1982" t="s">
        <v>181</v>
      </c>
    </row>
    <row r="1983" spans="1:28" x14ac:dyDescent="0.25">
      <c r="A1983" t="s">
        <v>4223</v>
      </c>
      <c r="B1983" t="s">
        <v>4224</v>
      </c>
      <c r="C1983" t="s">
        <v>646</v>
      </c>
      <c r="D1983" t="s">
        <v>3779</v>
      </c>
      <c r="E1983" t="s">
        <v>647</v>
      </c>
      <c r="F1983" t="s">
        <v>3780</v>
      </c>
      <c r="G1983" t="s">
        <v>769</v>
      </c>
      <c r="H1983" t="s">
        <v>856</v>
      </c>
      <c r="I1983" t="s">
        <v>4225</v>
      </c>
      <c r="J1983" t="s">
        <v>336</v>
      </c>
      <c r="K1983" t="s">
        <v>166</v>
      </c>
      <c r="L1983" t="s">
        <v>0</v>
      </c>
      <c r="M1983" t="s">
        <v>178</v>
      </c>
      <c r="N1983">
        <v>107</v>
      </c>
      <c r="O1983">
        <v>45</v>
      </c>
      <c r="P1983">
        <v>2508.75</v>
      </c>
      <c r="Q1983">
        <v>18092.349999999999</v>
      </c>
      <c r="R1983">
        <v>1811.34</v>
      </c>
      <c r="S1983">
        <v>266.84363999999999</v>
      </c>
      <c r="T1983">
        <v>0</v>
      </c>
      <c r="U1983">
        <v>0</v>
      </c>
      <c r="V1983">
        <v>1811.34</v>
      </c>
      <c r="W1983" t="s">
        <v>461</v>
      </c>
      <c r="X1983" t="s">
        <v>271</v>
      </c>
      <c r="Y1983" t="s">
        <v>4226</v>
      </c>
      <c r="AA1983" t="s">
        <v>4227</v>
      </c>
      <c r="AB1983" t="s">
        <v>181</v>
      </c>
    </row>
    <row r="1984" spans="1:28" x14ac:dyDescent="0.25">
      <c r="A1984" t="s">
        <v>4109</v>
      </c>
      <c r="B1984" t="s">
        <v>4110</v>
      </c>
      <c r="C1984" t="s">
        <v>646</v>
      </c>
      <c r="D1984" t="s">
        <v>3779</v>
      </c>
      <c r="E1984" t="s">
        <v>647</v>
      </c>
      <c r="F1984" t="s">
        <v>3780</v>
      </c>
      <c r="G1984" t="s">
        <v>769</v>
      </c>
      <c r="H1984" t="s">
        <v>757</v>
      </c>
      <c r="I1984" t="s">
        <v>1046</v>
      </c>
      <c r="J1984" t="s">
        <v>971</v>
      </c>
      <c r="K1984" t="s">
        <v>166</v>
      </c>
      <c r="L1984" t="s">
        <v>0</v>
      </c>
      <c r="M1984" t="s">
        <v>178</v>
      </c>
      <c r="N1984">
        <v>139.6</v>
      </c>
      <c r="O1984">
        <v>95.6</v>
      </c>
      <c r="P1984">
        <v>2687.28</v>
      </c>
      <c r="Q1984">
        <v>5843.65</v>
      </c>
      <c r="R1984">
        <v>464.84047002</v>
      </c>
      <c r="S1984">
        <v>969.99076771</v>
      </c>
      <c r="T1984">
        <v>0.12047002</v>
      </c>
      <c r="U1984">
        <v>0</v>
      </c>
      <c r="V1984">
        <v>464.72</v>
      </c>
      <c r="W1984" t="s">
        <v>972</v>
      </c>
      <c r="X1984" t="s">
        <v>269</v>
      </c>
      <c r="Y1984" t="s">
        <v>4111</v>
      </c>
      <c r="AA1984" t="s">
        <v>4112</v>
      </c>
      <c r="AB1984" t="s">
        <v>181</v>
      </c>
    </row>
    <row r="1985" spans="1:28" x14ac:dyDescent="0.25">
      <c r="A1985" t="s">
        <v>4155</v>
      </c>
      <c r="B1985" t="s">
        <v>4156</v>
      </c>
      <c r="C1985" t="s">
        <v>646</v>
      </c>
      <c r="D1985" t="s">
        <v>3779</v>
      </c>
      <c r="E1985" t="s">
        <v>647</v>
      </c>
      <c r="F1985" t="s">
        <v>3780</v>
      </c>
      <c r="G1985" t="s">
        <v>769</v>
      </c>
      <c r="H1985" t="s">
        <v>717</v>
      </c>
      <c r="I1985" t="s">
        <v>885</v>
      </c>
      <c r="J1985" t="s">
        <v>324</v>
      </c>
      <c r="K1985" t="s">
        <v>166</v>
      </c>
      <c r="L1985" t="s">
        <v>0</v>
      </c>
      <c r="M1985" t="s">
        <v>178</v>
      </c>
      <c r="N1985">
        <v>94</v>
      </c>
      <c r="O1985">
        <v>64</v>
      </c>
      <c r="P1985">
        <v>2393.7600000000002</v>
      </c>
      <c r="Q1985">
        <v>5765.26</v>
      </c>
      <c r="R1985">
        <v>522.71</v>
      </c>
      <c r="S1985">
        <v>525.0810477</v>
      </c>
      <c r="T1985">
        <v>0</v>
      </c>
      <c r="U1985">
        <v>0</v>
      </c>
      <c r="V1985">
        <v>522.71</v>
      </c>
      <c r="W1985" t="s">
        <v>519</v>
      </c>
      <c r="X1985" t="s">
        <v>271</v>
      </c>
      <c r="Y1985" t="s">
        <v>4157</v>
      </c>
      <c r="AA1985" t="s">
        <v>4158</v>
      </c>
      <c r="AB1985" t="s">
        <v>181</v>
      </c>
    </row>
    <row r="1986" spans="1:28" x14ac:dyDescent="0.25">
      <c r="A1986" t="s">
        <v>4265</v>
      </c>
      <c r="B1986" t="s">
        <v>4266</v>
      </c>
      <c r="C1986" t="s">
        <v>646</v>
      </c>
      <c r="D1986" t="s">
        <v>3779</v>
      </c>
      <c r="E1986" t="s">
        <v>647</v>
      </c>
      <c r="F1986" t="s">
        <v>666</v>
      </c>
      <c r="G1986" t="s">
        <v>666</v>
      </c>
      <c r="H1986" t="s">
        <v>649</v>
      </c>
      <c r="I1986" t="s">
        <v>4267</v>
      </c>
      <c r="J1986" t="s">
        <v>326</v>
      </c>
      <c r="K1986" t="s">
        <v>166</v>
      </c>
      <c r="L1986" t="s">
        <v>0</v>
      </c>
      <c r="M1986" t="s">
        <v>178</v>
      </c>
      <c r="N1986">
        <v>465</v>
      </c>
      <c r="O1986">
        <v>258</v>
      </c>
      <c r="P1986">
        <v>9656.5400000000009</v>
      </c>
      <c r="Q1986">
        <v>20620.53</v>
      </c>
      <c r="R1986">
        <v>1585.2</v>
      </c>
      <c r="S1986">
        <v>1815.8141045499999</v>
      </c>
      <c r="T1986">
        <v>0</v>
      </c>
      <c r="U1986">
        <v>0</v>
      </c>
      <c r="V1986">
        <v>1585.2</v>
      </c>
      <c r="W1986" t="s">
        <v>450</v>
      </c>
      <c r="X1986" t="s">
        <v>271</v>
      </c>
      <c r="Y1986" t="s">
        <v>4268</v>
      </c>
      <c r="AA1986" t="s">
        <v>4269</v>
      </c>
      <c r="AB1986" t="s">
        <v>181</v>
      </c>
    </row>
    <row r="1987" spans="1:28" x14ac:dyDescent="0.25">
      <c r="A1987" t="s">
        <v>4333</v>
      </c>
      <c r="B1987" t="s">
        <v>4334</v>
      </c>
      <c r="C1987" t="s">
        <v>646</v>
      </c>
      <c r="D1987" t="s">
        <v>3779</v>
      </c>
      <c r="E1987" t="s">
        <v>647</v>
      </c>
      <c r="F1987" t="s">
        <v>666</v>
      </c>
      <c r="G1987" t="s">
        <v>666</v>
      </c>
      <c r="H1987" t="s">
        <v>761</v>
      </c>
      <c r="I1987" t="s">
        <v>3649</v>
      </c>
      <c r="J1987" t="s">
        <v>1567</v>
      </c>
      <c r="K1987" t="s">
        <v>166</v>
      </c>
      <c r="L1987" t="s">
        <v>0</v>
      </c>
      <c r="M1987" t="s">
        <v>178</v>
      </c>
      <c r="N1987">
        <v>390</v>
      </c>
      <c r="O1987">
        <v>345</v>
      </c>
      <c r="P1987">
        <v>13703.93</v>
      </c>
      <c r="Q1987">
        <v>11546.98</v>
      </c>
      <c r="R1987">
        <v>1271.02</v>
      </c>
      <c r="S1987">
        <v>2830.9558539200002</v>
      </c>
      <c r="T1987">
        <v>0</v>
      </c>
      <c r="U1987">
        <v>4.41</v>
      </c>
      <c r="V1987">
        <v>1275.43</v>
      </c>
      <c r="W1987" t="s">
        <v>556</v>
      </c>
      <c r="X1987" t="s">
        <v>271</v>
      </c>
      <c r="Y1987" t="s">
        <v>4335</v>
      </c>
      <c r="AA1987" t="s">
        <v>4336</v>
      </c>
      <c r="AB1987" t="s">
        <v>181</v>
      </c>
    </row>
    <row r="1988" spans="1:28" x14ac:dyDescent="0.25">
      <c r="A1988" t="s">
        <v>4216</v>
      </c>
      <c r="B1988" t="s">
        <v>4217</v>
      </c>
      <c r="C1988" t="s">
        <v>646</v>
      </c>
      <c r="D1988" t="s">
        <v>3779</v>
      </c>
      <c r="E1988" t="s">
        <v>647</v>
      </c>
      <c r="F1988" t="s">
        <v>666</v>
      </c>
      <c r="G1988" t="s">
        <v>666</v>
      </c>
      <c r="H1988" t="s">
        <v>1171</v>
      </c>
      <c r="I1988" t="s">
        <v>1636</v>
      </c>
      <c r="J1988" t="s">
        <v>1637</v>
      </c>
      <c r="K1988" t="s">
        <v>166</v>
      </c>
      <c r="L1988" t="s">
        <v>0</v>
      </c>
      <c r="M1988" t="s">
        <v>178</v>
      </c>
      <c r="N1988">
        <v>216</v>
      </c>
      <c r="O1988">
        <v>198</v>
      </c>
      <c r="P1988">
        <v>13460.62</v>
      </c>
      <c r="Q1988">
        <v>44875.41</v>
      </c>
      <c r="R1988">
        <v>3256.9861061500001</v>
      </c>
      <c r="S1988">
        <v>949.61147552</v>
      </c>
      <c r="T1988">
        <v>0.80610614999999997</v>
      </c>
      <c r="U1988">
        <v>0</v>
      </c>
      <c r="V1988">
        <v>3256.18</v>
      </c>
      <c r="W1988" t="s">
        <v>1638</v>
      </c>
      <c r="X1988" t="s">
        <v>271</v>
      </c>
      <c r="Y1988" t="s">
        <v>1639</v>
      </c>
      <c r="AA1988" t="s">
        <v>4218</v>
      </c>
      <c r="AB1988" t="s">
        <v>181</v>
      </c>
    </row>
    <row r="1989" spans="1:28" x14ac:dyDescent="0.25">
      <c r="A1989" t="s">
        <v>4292</v>
      </c>
      <c r="B1989" t="s">
        <v>4293</v>
      </c>
      <c r="C1989" t="s">
        <v>646</v>
      </c>
      <c r="D1989" t="s">
        <v>3779</v>
      </c>
      <c r="E1989" t="s">
        <v>647</v>
      </c>
      <c r="F1989" t="s">
        <v>3780</v>
      </c>
      <c r="G1989" t="s">
        <v>769</v>
      </c>
      <c r="H1989" t="s">
        <v>713</v>
      </c>
      <c r="I1989" t="s">
        <v>4294</v>
      </c>
      <c r="J1989" t="s">
        <v>4295</v>
      </c>
      <c r="K1989" t="s">
        <v>166</v>
      </c>
      <c r="L1989" t="s">
        <v>0</v>
      </c>
      <c r="M1989" t="s">
        <v>178</v>
      </c>
      <c r="N1989">
        <v>164</v>
      </c>
      <c r="O1989">
        <v>0</v>
      </c>
      <c r="P1989">
        <v>4507.46</v>
      </c>
      <c r="Q1989">
        <v>4228.84</v>
      </c>
      <c r="R1989">
        <v>951.07204706000005</v>
      </c>
      <c r="S1989">
        <v>96.000001650000002</v>
      </c>
      <c r="T1989">
        <v>2.0470599999999999E-3</v>
      </c>
      <c r="U1989">
        <v>0</v>
      </c>
      <c r="V1989">
        <v>951.07</v>
      </c>
      <c r="W1989" t="s">
        <v>0</v>
      </c>
      <c r="X1989" t="s">
        <v>271</v>
      </c>
      <c r="Y1989" t="s">
        <v>4296</v>
      </c>
      <c r="AA1989" t="s">
        <v>4297</v>
      </c>
      <c r="AB1989" t="s">
        <v>181</v>
      </c>
    </row>
    <row r="1990" spans="1:28" x14ac:dyDescent="0.25">
      <c r="A1990" t="s">
        <v>3877</v>
      </c>
      <c r="B1990" t="s">
        <v>3878</v>
      </c>
      <c r="C1990" t="s">
        <v>646</v>
      </c>
      <c r="D1990" t="s">
        <v>3779</v>
      </c>
      <c r="E1990" t="s">
        <v>647</v>
      </c>
      <c r="F1990" t="s">
        <v>648</v>
      </c>
      <c r="G1990" t="s">
        <v>648</v>
      </c>
      <c r="H1990" t="s">
        <v>757</v>
      </c>
      <c r="I1990" t="s">
        <v>3879</v>
      </c>
      <c r="J1990" t="s">
        <v>3880</v>
      </c>
      <c r="K1990" t="s">
        <v>166</v>
      </c>
      <c r="L1990" t="s">
        <v>0</v>
      </c>
      <c r="M1990" t="s">
        <v>178</v>
      </c>
      <c r="N1990">
        <v>13</v>
      </c>
      <c r="O1990">
        <v>7</v>
      </c>
      <c r="P1990">
        <v>221.32</v>
      </c>
      <c r="Q1990">
        <v>555.9</v>
      </c>
      <c r="R1990">
        <v>92.64</v>
      </c>
      <c r="S1990">
        <v>38.264959320000003</v>
      </c>
      <c r="T1990">
        <v>0</v>
      </c>
      <c r="U1990">
        <v>0</v>
      </c>
      <c r="V1990">
        <v>92.64</v>
      </c>
      <c r="W1990" t="s">
        <v>1079</v>
      </c>
      <c r="X1990" t="s">
        <v>271</v>
      </c>
      <c r="Y1990" t="s">
        <v>3881</v>
      </c>
      <c r="AA1990" t="s">
        <v>3882</v>
      </c>
      <c r="AB1990" t="s">
        <v>181</v>
      </c>
    </row>
    <row r="1991" spans="1:28" x14ac:dyDescent="0.25">
      <c r="A1991" t="s">
        <v>3849</v>
      </c>
      <c r="B1991" t="s">
        <v>3850</v>
      </c>
      <c r="C1991" t="s">
        <v>646</v>
      </c>
      <c r="D1991" t="s">
        <v>3779</v>
      </c>
      <c r="E1991" t="s">
        <v>647</v>
      </c>
      <c r="F1991" t="s">
        <v>3780</v>
      </c>
      <c r="G1991" t="s">
        <v>769</v>
      </c>
      <c r="H1991" t="s">
        <v>713</v>
      </c>
      <c r="I1991" t="s">
        <v>1184</v>
      </c>
      <c r="J1991" t="s">
        <v>1185</v>
      </c>
      <c r="K1991" t="s">
        <v>166</v>
      </c>
      <c r="L1991" t="s">
        <v>0</v>
      </c>
      <c r="M1991" t="s">
        <v>178</v>
      </c>
      <c r="N1991">
        <v>96</v>
      </c>
      <c r="O1991">
        <v>15</v>
      </c>
      <c r="P1991">
        <v>2541.23</v>
      </c>
      <c r="Q1991">
        <v>2471.5100000000002</v>
      </c>
      <c r="R1991">
        <v>536.85</v>
      </c>
      <c r="S1991">
        <v>129.35076402000001</v>
      </c>
      <c r="T1991">
        <v>0</v>
      </c>
      <c r="U1991">
        <v>0</v>
      </c>
      <c r="V1991">
        <v>536.85</v>
      </c>
      <c r="W1991" t="s">
        <v>1186</v>
      </c>
      <c r="X1991" t="s">
        <v>271</v>
      </c>
      <c r="Y1991" t="s">
        <v>3851</v>
      </c>
      <c r="AA1991" t="s">
        <v>3852</v>
      </c>
      <c r="AB1991" t="s">
        <v>181</v>
      </c>
    </row>
    <row r="1992" spans="1:28" x14ac:dyDescent="0.25">
      <c r="A1992" t="s">
        <v>4123</v>
      </c>
      <c r="B1992" t="s">
        <v>4124</v>
      </c>
      <c r="C1992" t="s">
        <v>646</v>
      </c>
      <c r="D1992" t="s">
        <v>3779</v>
      </c>
      <c r="E1992" t="s">
        <v>647</v>
      </c>
      <c r="F1992" t="s">
        <v>3780</v>
      </c>
      <c r="G1992" t="s">
        <v>769</v>
      </c>
      <c r="H1992" t="s">
        <v>962</v>
      </c>
      <c r="I1992" t="s">
        <v>746</v>
      </c>
      <c r="J1992" t="s">
        <v>504</v>
      </c>
      <c r="K1992" t="s">
        <v>166</v>
      </c>
      <c r="L1992" t="s">
        <v>0</v>
      </c>
      <c r="M1992" t="s">
        <v>178</v>
      </c>
      <c r="N1992">
        <v>136</v>
      </c>
      <c r="O1992">
        <v>35</v>
      </c>
      <c r="P1992">
        <v>2469.3200000000002</v>
      </c>
      <c r="Q1992">
        <v>7206.75</v>
      </c>
      <c r="R1992">
        <v>779.57444390000001</v>
      </c>
      <c r="S1992">
        <v>692.55485380000005</v>
      </c>
      <c r="T1992">
        <v>4.4438999999999998E-3</v>
      </c>
      <c r="U1992">
        <v>0</v>
      </c>
      <c r="V1992">
        <v>779.57</v>
      </c>
      <c r="W1992" t="s">
        <v>503</v>
      </c>
      <c r="X1992" t="s">
        <v>271</v>
      </c>
      <c r="Y1992" t="s">
        <v>4125</v>
      </c>
      <c r="AA1992" t="s">
        <v>4126</v>
      </c>
      <c r="AB1992" t="s">
        <v>181</v>
      </c>
    </row>
    <row r="1993" spans="1:28" x14ac:dyDescent="0.25">
      <c r="A1993" t="s">
        <v>4370</v>
      </c>
      <c r="B1993" t="s">
        <v>4371</v>
      </c>
      <c r="C1993" t="s">
        <v>646</v>
      </c>
      <c r="D1993" t="s">
        <v>3779</v>
      </c>
      <c r="E1993" t="s">
        <v>647</v>
      </c>
      <c r="F1993" t="s">
        <v>666</v>
      </c>
      <c r="G1993" t="s">
        <v>666</v>
      </c>
      <c r="H1993" t="s">
        <v>730</v>
      </c>
      <c r="I1993" t="s">
        <v>4372</v>
      </c>
      <c r="J1993" t="s">
        <v>355</v>
      </c>
      <c r="K1993" t="s">
        <v>166</v>
      </c>
      <c r="L1993" t="s">
        <v>0</v>
      </c>
      <c r="M1993" t="s">
        <v>178</v>
      </c>
      <c r="N1993">
        <v>20</v>
      </c>
      <c r="O1993">
        <v>20</v>
      </c>
      <c r="P1993">
        <v>331.81</v>
      </c>
      <c r="Q1993">
        <v>969.87</v>
      </c>
      <c r="R1993">
        <v>307.81</v>
      </c>
      <c r="S1993">
        <v>107.19980271</v>
      </c>
      <c r="T1993">
        <v>0</v>
      </c>
      <c r="U1993">
        <v>0</v>
      </c>
      <c r="V1993">
        <v>307.81</v>
      </c>
      <c r="W1993" t="s">
        <v>0</v>
      </c>
      <c r="X1993" t="s">
        <v>271</v>
      </c>
      <c r="Y1993" t="s">
        <v>4373</v>
      </c>
      <c r="AA1993" t="s">
        <v>3894</v>
      </c>
      <c r="AB1993" t="s">
        <v>181</v>
      </c>
    </row>
    <row r="1994" spans="1:28" x14ac:dyDescent="0.25">
      <c r="A1994" t="s">
        <v>3877</v>
      </c>
      <c r="B1994" t="s">
        <v>3878</v>
      </c>
      <c r="C1994" t="s">
        <v>646</v>
      </c>
      <c r="D1994" t="s">
        <v>3779</v>
      </c>
      <c r="E1994" t="s">
        <v>647</v>
      </c>
      <c r="F1994" t="s">
        <v>648</v>
      </c>
      <c r="G1994" t="s">
        <v>648</v>
      </c>
      <c r="H1994" t="s">
        <v>717</v>
      </c>
      <c r="I1994" t="s">
        <v>3879</v>
      </c>
      <c r="J1994" t="s">
        <v>3880</v>
      </c>
      <c r="K1994" t="s">
        <v>166</v>
      </c>
      <c r="L1994" t="s">
        <v>0</v>
      </c>
      <c r="M1994" t="s">
        <v>178</v>
      </c>
      <c r="N1994">
        <v>193</v>
      </c>
      <c r="O1994">
        <v>170</v>
      </c>
      <c r="P1994">
        <v>8037.61</v>
      </c>
      <c r="Q1994">
        <v>19573.689999999999</v>
      </c>
      <c r="R1994">
        <v>896.73924154999997</v>
      </c>
      <c r="S1994">
        <v>1008.5273106</v>
      </c>
      <c r="T1994">
        <v>0.80924154999999998</v>
      </c>
      <c r="U1994">
        <v>0</v>
      </c>
      <c r="V1994">
        <v>895.93</v>
      </c>
      <c r="W1994" t="s">
        <v>1079</v>
      </c>
      <c r="X1994" t="s">
        <v>271</v>
      </c>
      <c r="Y1994" t="s">
        <v>3881</v>
      </c>
      <c r="AA1994" t="s">
        <v>3882</v>
      </c>
      <c r="AB1994" t="s">
        <v>181</v>
      </c>
    </row>
    <row r="1995" spans="1:28" x14ac:dyDescent="0.25">
      <c r="A1995" t="s">
        <v>3952</v>
      </c>
      <c r="B1995" t="s">
        <v>3953</v>
      </c>
      <c r="C1995" t="s">
        <v>646</v>
      </c>
      <c r="D1995" t="s">
        <v>3779</v>
      </c>
      <c r="E1995" t="s">
        <v>647</v>
      </c>
      <c r="F1995" t="s">
        <v>666</v>
      </c>
      <c r="G1995" t="s">
        <v>666</v>
      </c>
      <c r="H1995" t="s">
        <v>1159</v>
      </c>
      <c r="I1995" t="s">
        <v>2032</v>
      </c>
      <c r="J1995" t="s">
        <v>311</v>
      </c>
      <c r="K1995" t="s">
        <v>166</v>
      </c>
      <c r="L1995" t="s">
        <v>0</v>
      </c>
      <c r="M1995" t="s">
        <v>178</v>
      </c>
      <c r="N1995">
        <v>146</v>
      </c>
      <c r="O1995">
        <v>140</v>
      </c>
      <c r="P1995">
        <v>1344.09</v>
      </c>
      <c r="Q1995">
        <v>5996.78</v>
      </c>
      <c r="R1995">
        <v>419.97</v>
      </c>
      <c r="S1995">
        <v>1507.5253</v>
      </c>
      <c r="T1995">
        <v>0</v>
      </c>
      <c r="U1995">
        <v>0</v>
      </c>
      <c r="V1995">
        <v>419.97</v>
      </c>
      <c r="W1995" t="s">
        <v>312</v>
      </c>
      <c r="X1995" t="s">
        <v>271</v>
      </c>
      <c r="Y1995" t="s">
        <v>3954</v>
      </c>
      <c r="AA1995" t="s">
        <v>3955</v>
      </c>
      <c r="AB1995" t="s">
        <v>181</v>
      </c>
    </row>
    <row r="1996" spans="1:28" x14ac:dyDescent="0.25">
      <c r="A1996" t="s">
        <v>4342</v>
      </c>
      <c r="B1996" t="s">
        <v>4343</v>
      </c>
      <c r="C1996" t="s">
        <v>646</v>
      </c>
      <c r="D1996" t="s">
        <v>3779</v>
      </c>
      <c r="E1996" t="s">
        <v>647</v>
      </c>
      <c r="F1996" t="s">
        <v>666</v>
      </c>
      <c r="G1996" t="s">
        <v>666</v>
      </c>
      <c r="H1996" t="s">
        <v>649</v>
      </c>
      <c r="I1996" t="s">
        <v>4344</v>
      </c>
      <c r="J1996" t="s">
        <v>355</v>
      </c>
      <c r="K1996" t="s">
        <v>166</v>
      </c>
      <c r="L1996" t="s">
        <v>0</v>
      </c>
      <c r="M1996" t="s">
        <v>178</v>
      </c>
      <c r="N1996">
        <v>84</v>
      </c>
      <c r="O1996">
        <v>84</v>
      </c>
      <c r="P1996">
        <v>1680</v>
      </c>
      <c r="Q1996">
        <v>5661.27</v>
      </c>
      <c r="R1996">
        <v>200.08</v>
      </c>
      <c r="S1996">
        <v>259.11339161000001</v>
      </c>
      <c r="T1996">
        <v>0</v>
      </c>
      <c r="U1996">
        <v>0</v>
      </c>
      <c r="V1996">
        <v>200.08</v>
      </c>
      <c r="W1996" t="s">
        <v>0</v>
      </c>
      <c r="X1996" t="s">
        <v>271</v>
      </c>
      <c r="Y1996" t="s">
        <v>4345</v>
      </c>
      <c r="AA1996" t="s">
        <v>3894</v>
      </c>
      <c r="AB1996" t="s">
        <v>181</v>
      </c>
    </row>
    <row r="1997" spans="1:28" x14ac:dyDescent="0.25">
      <c r="A1997" t="s">
        <v>4326</v>
      </c>
      <c r="B1997" t="s">
        <v>4327</v>
      </c>
      <c r="C1997" t="s">
        <v>646</v>
      </c>
      <c r="D1997" t="s">
        <v>3779</v>
      </c>
      <c r="E1997" t="s">
        <v>647</v>
      </c>
      <c r="F1997" t="s">
        <v>3780</v>
      </c>
      <c r="G1997" t="s">
        <v>769</v>
      </c>
      <c r="H1997" t="s">
        <v>909</v>
      </c>
      <c r="I1997" t="s">
        <v>936</v>
      </c>
      <c r="J1997" t="s">
        <v>582</v>
      </c>
      <c r="K1997" t="s">
        <v>166</v>
      </c>
      <c r="L1997" t="s">
        <v>0</v>
      </c>
      <c r="M1997" t="s">
        <v>178</v>
      </c>
      <c r="N1997">
        <v>140</v>
      </c>
      <c r="O1997">
        <v>0</v>
      </c>
      <c r="P1997">
        <v>212</v>
      </c>
      <c r="Q1997">
        <v>3480.17</v>
      </c>
      <c r="R1997">
        <v>719.67708904999995</v>
      </c>
      <c r="S1997">
        <v>179.96810991000001</v>
      </c>
      <c r="T1997">
        <v>0.47708905000000001</v>
      </c>
      <c r="U1997">
        <v>0</v>
      </c>
      <c r="V1997">
        <v>719.2</v>
      </c>
      <c r="W1997" t="s">
        <v>361</v>
      </c>
      <c r="X1997" t="s">
        <v>271</v>
      </c>
      <c r="Y1997" t="s">
        <v>4328</v>
      </c>
      <c r="AA1997" t="s">
        <v>4329</v>
      </c>
      <c r="AB1997" t="s">
        <v>181</v>
      </c>
    </row>
    <row r="1998" spans="1:28" x14ac:dyDescent="0.25">
      <c r="A1998" t="s">
        <v>4039</v>
      </c>
      <c r="B1998" t="s">
        <v>4040</v>
      </c>
      <c r="C1998" t="s">
        <v>646</v>
      </c>
      <c r="D1998" t="s">
        <v>3779</v>
      </c>
      <c r="E1998" t="s">
        <v>647</v>
      </c>
      <c r="F1998" t="s">
        <v>3780</v>
      </c>
      <c r="G1998" t="s">
        <v>769</v>
      </c>
      <c r="H1998" t="s">
        <v>1515</v>
      </c>
      <c r="I1998" t="s">
        <v>1595</v>
      </c>
      <c r="J1998" t="s">
        <v>544</v>
      </c>
      <c r="K1998" t="s">
        <v>166</v>
      </c>
      <c r="L1998" t="s">
        <v>0</v>
      </c>
      <c r="M1998" t="s">
        <v>178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 t="s">
        <v>239</v>
      </c>
      <c r="X1998" t="s">
        <v>271</v>
      </c>
      <c r="Y1998" t="s">
        <v>4041</v>
      </c>
      <c r="AA1998" t="s">
        <v>4042</v>
      </c>
      <c r="AB1998" t="s">
        <v>181</v>
      </c>
    </row>
    <row r="1999" spans="1:28" x14ac:dyDescent="0.25">
      <c r="A1999" t="s">
        <v>4353</v>
      </c>
      <c r="B1999" t="s">
        <v>4354</v>
      </c>
      <c r="C1999" t="s">
        <v>646</v>
      </c>
      <c r="D1999" t="s">
        <v>3779</v>
      </c>
      <c r="E1999" t="s">
        <v>647</v>
      </c>
      <c r="F1999" t="s">
        <v>3780</v>
      </c>
      <c r="G1999" t="s">
        <v>769</v>
      </c>
      <c r="H1999" t="s">
        <v>730</v>
      </c>
      <c r="I1999" t="s">
        <v>1160</v>
      </c>
      <c r="J1999" t="s">
        <v>336</v>
      </c>
      <c r="K1999" t="s">
        <v>166</v>
      </c>
      <c r="L1999" t="s">
        <v>0</v>
      </c>
      <c r="M1999" t="s">
        <v>178</v>
      </c>
      <c r="N1999">
        <v>7</v>
      </c>
      <c r="O1999">
        <v>7</v>
      </c>
      <c r="P1999">
        <v>406</v>
      </c>
      <c r="Q1999">
        <v>108.42</v>
      </c>
      <c r="R1999">
        <v>29.62</v>
      </c>
      <c r="S1999">
        <v>27.84878694</v>
      </c>
      <c r="T1999">
        <v>0</v>
      </c>
      <c r="U1999">
        <v>0</v>
      </c>
      <c r="V1999">
        <v>29.62</v>
      </c>
      <c r="W1999" t="s">
        <v>461</v>
      </c>
      <c r="X1999" t="s">
        <v>271</v>
      </c>
      <c r="Y1999" t="s">
        <v>4355</v>
      </c>
      <c r="AA1999" t="s">
        <v>4356</v>
      </c>
      <c r="AB1999" t="s">
        <v>181</v>
      </c>
    </row>
    <row r="2000" spans="1:28" x14ac:dyDescent="0.25">
      <c r="A2000" t="s">
        <v>4324</v>
      </c>
      <c r="B2000" t="s">
        <v>224</v>
      </c>
      <c r="C2000" t="s">
        <v>646</v>
      </c>
      <c r="D2000" t="s">
        <v>3779</v>
      </c>
      <c r="E2000" t="s">
        <v>647</v>
      </c>
      <c r="F2000" t="s">
        <v>3780</v>
      </c>
      <c r="G2000" t="s">
        <v>769</v>
      </c>
      <c r="H2000" t="s">
        <v>672</v>
      </c>
      <c r="I2000" t="s">
        <v>4164</v>
      </c>
      <c r="J2000" t="s">
        <v>985</v>
      </c>
      <c r="K2000" t="s">
        <v>166</v>
      </c>
      <c r="L2000" t="s">
        <v>0</v>
      </c>
      <c r="M2000" t="s">
        <v>178</v>
      </c>
      <c r="N2000">
        <v>185</v>
      </c>
      <c r="O2000">
        <v>185</v>
      </c>
      <c r="P2000">
        <v>2913.75</v>
      </c>
      <c r="Q2000">
        <v>9417.5499999999993</v>
      </c>
      <c r="R2000">
        <v>1497.58</v>
      </c>
      <c r="S2000">
        <v>509.45263061000003</v>
      </c>
      <c r="T2000">
        <v>0</v>
      </c>
      <c r="U2000">
        <v>0</v>
      </c>
      <c r="V2000">
        <v>1497.58</v>
      </c>
      <c r="W2000" t="s">
        <v>986</v>
      </c>
      <c r="X2000" t="s">
        <v>271</v>
      </c>
      <c r="Y2000" t="s">
        <v>4165</v>
      </c>
      <c r="AA2000" t="s">
        <v>4325</v>
      </c>
      <c r="AB2000" t="s">
        <v>181</v>
      </c>
    </row>
    <row r="2001" spans="1:28" x14ac:dyDescent="0.25">
      <c r="A2001" t="s">
        <v>4265</v>
      </c>
      <c r="B2001" t="s">
        <v>4266</v>
      </c>
      <c r="C2001" t="s">
        <v>646</v>
      </c>
      <c r="D2001" t="s">
        <v>3779</v>
      </c>
      <c r="E2001" t="s">
        <v>647</v>
      </c>
      <c r="F2001" t="s">
        <v>666</v>
      </c>
      <c r="G2001" t="s">
        <v>666</v>
      </c>
      <c r="H2001" t="s">
        <v>679</v>
      </c>
      <c r="I2001" t="s">
        <v>4267</v>
      </c>
      <c r="J2001" t="s">
        <v>326</v>
      </c>
      <c r="K2001" t="s">
        <v>166</v>
      </c>
      <c r="L2001" t="s">
        <v>0</v>
      </c>
      <c r="M2001" t="s">
        <v>178</v>
      </c>
      <c r="N2001">
        <v>250</v>
      </c>
      <c r="O2001">
        <v>90</v>
      </c>
      <c r="P2001">
        <v>3650.55</v>
      </c>
      <c r="Q2001">
        <v>13515.44</v>
      </c>
      <c r="R2001">
        <v>453.16612558999998</v>
      </c>
      <c r="S2001">
        <v>1917.52298711</v>
      </c>
      <c r="T2001">
        <v>800.40612558999999</v>
      </c>
      <c r="U2001">
        <v>587.69000000000005</v>
      </c>
      <c r="V2001">
        <v>1142.81</v>
      </c>
      <c r="W2001" t="s">
        <v>450</v>
      </c>
      <c r="X2001" t="s">
        <v>271</v>
      </c>
      <c r="Y2001" t="s">
        <v>4268</v>
      </c>
      <c r="AA2001" t="s">
        <v>4269</v>
      </c>
      <c r="AB2001" t="s">
        <v>181</v>
      </c>
    </row>
    <row r="2002" spans="1:28" x14ac:dyDescent="0.25">
      <c r="A2002" t="s">
        <v>3895</v>
      </c>
      <c r="B2002" t="s">
        <v>3896</v>
      </c>
      <c r="C2002" t="s">
        <v>646</v>
      </c>
      <c r="D2002" t="s">
        <v>3779</v>
      </c>
      <c r="E2002" t="s">
        <v>647</v>
      </c>
      <c r="F2002" t="s">
        <v>3780</v>
      </c>
      <c r="G2002" t="s">
        <v>769</v>
      </c>
      <c r="H2002" t="s">
        <v>797</v>
      </c>
      <c r="I2002" t="s">
        <v>3897</v>
      </c>
      <c r="J2002" t="s">
        <v>437</v>
      </c>
      <c r="K2002" t="s">
        <v>166</v>
      </c>
      <c r="L2002" t="s">
        <v>0</v>
      </c>
      <c r="M2002" t="s">
        <v>178</v>
      </c>
      <c r="N2002">
        <v>261</v>
      </c>
      <c r="O2002">
        <v>245</v>
      </c>
      <c r="P2002">
        <v>2738.79</v>
      </c>
      <c r="Q2002">
        <v>7377.68</v>
      </c>
      <c r="R2002">
        <v>581.69206914999995</v>
      </c>
      <c r="S2002">
        <v>1610.7625295800001</v>
      </c>
      <c r="T2002">
        <v>2.0691500000000001E-3</v>
      </c>
      <c r="U2002">
        <v>0</v>
      </c>
      <c r="V2002">
        <v>581.69000000000005</v>
      </c>
      <c r="W2002" t="s">
        <v>510</v>
      </c>
      <c r="X2002" t="s">
        <v>271</v>
      </c>
      <c r="Y2002" t="s">
        <v>3898</v>
      </c>
      <c r="AA2002" t="s">
        <v>3899</v>
      </c>
      <c r="AB2002" t="s">
        <v>181</v>
      </c>
    </row>
    <row r="2003" spans="1:28" x14ac:dyDescent="0.25">
      <c r="A2003" t="s">
        <v>4265</v>
      </c>
      <c r="B2003" t="s">
        <v>4266</v>
      </c>
      <c r="C2003" t="s">
        <v>646</v>
      </c>
      <c r="D2003" t="s">
        <v>3779</v>
      </c>
      <c r="E2003" t="s">
        <v>647</v>
      </c>
      <c r="F2003" t="s">
        <v>666</v>
      </c>
      <c r="G2003" t="s">
        <v>666</v>
      </c>
      <c r="H2003" t="s">
        <v>761</v>
      </c>
      <c r="I2003" t="s">
        <v>4267</v>
      </c>
      <c r="J2003" t="s">
        <v>326</v>
      </c>
      <c r="K2003" t="s">
        <v>166</v>
      </c>
      <c r="L2003" t="s">
        <v>0</v>
      </c>
      <c r="M2003" t="s">
        <v>178</v>
      </c>
      <c r="N2003">
        <v>127</v>
      </c>
      <c r="O2003">
        <v>106</v>
      </c>
      <c r="P2003">
        <v>4677.6099999999997</v>
      </c>
      <c r="Q2003">
        <v>4079.02</v>
      </c>
      <c r="R2003">
        <v>444.79</v>
      </c>
      <c r="S2003">
        <v>848.58713918000001</v>
      </c>
      <c r="T2003">
        <v>0</v>
      </c>
      <c r="U2003">
        <v>8.82</v>
      </c>
      <c r="V2003">
        <v>453.61</v>
      </c>
      <c r="W2003" t="s">
        <v>450</v>
      </c>
      <c r="X2003" t="s">
        <v>271</v>
      </c>
      <c r="Y2003" t="s">
        <v>4268</v>
      </c>
      <c r="AA2003" t="s">
        <v>4269</v>
      </c>
      <c r="AB2003" t="s">
        <v>181</v>
      </c>
    </row>
    <row r="2004" spans="1:28" x14ac:dyDescent="0.25">
      <c r="A2004" t="s">
        <v>3834</v>
      </c>
      <c r="B2004" t="s">
        <v>3835</v>
      </c>
      <c r="C2004" t="s">
        <v>646</v>
      </c>
      <c r="D2004" t="s">
        <v>3779</v>
      </c>
      <c r="E2004" t="s">
        <v>647</v>
      </c>
      <c r="F2004" t="s">
        <v>3780</v>
      </c>
      <c r="G2004" t="s">
        <v>769</v>
      </c>
      <c r="H2004" t="s">
        <v>708</v>
      </c>
      <c r="I2004" t="s">
        <v>1251</v>
      </c>
      <c r="J2004" t="s">
        <v>821</v>
      </c>
      <c r="K2004" t="s">
        <v>166</v>
      </c>
      <c r="L2004" t="s">
        <v>0</v>
      </c>
      <c r="M2004" t="s">
        <v>178</v>
      </c>
      <c r="N2004">
        <v>41</v>
      </c>
      <c r="O2004">
        <v>28</v>
      </c>
      <c r="P2004">
        <v>261.69</v>
      </c>
      <c r="Q2004">
        <v>871.82</v>
      </c>
      <c r="R2004">
        <v>177.02</v>
      </c>
      <c r="S2004">
        <v>104.70598988</v>
      </c>
      <c r="T2004">
        <v>0</v>
      </c>
      <c r="U2004">
        <v>0</v>
      </c>
      <c r="V2004">
        <v>177.02</v>
      </c>
      <c r="W2004" t="s">
        <v>822</v>
      </c>
      <c r="X2004" t="s">
        <v>269</v>
      </c>
      <c r="Y2004" t="s">
        <v>3836</v>
      </c>
      <c r="AA2004" t="s">
        <v>3837</v>
      </c>
      <c r="AB2004" t="s">
        <v>181</v>
      </c>
    </row>
    <row r="2005" spans="1:28" x14ac:dyDescent="0.25">
      <c r="A2005" t="s">
        <v>4060</v>
      </c>
      <c r="B2005" t="s">
        <v>4061</v>
      </c>
      <c r="C2005" t="s">
        <v>646</v>
      </c>
      <c r="D2005" t="s">
        <v>3779</v>
      </c>
      <c r="E2005" t="s">
        <v>647</v>
      </c>
      <c r="F2005" t="s">
        <v>648</v>
      </c>
      <c r="G2005" t="s">
        <v>648</v>
      </c>
      <c r="H2005" t="s">
        <v>672</v>
      </c>
      <c r="I2005" t="s">
        <v>1114</v>
      </c>
      <c r="J2005" t="s">
        <v>1115</v>
      </c>
      <c r="K2005" t="s">
        <v>166</v>
      </c>
      <c r="L2005" t="s">
        <v>0</v>
      </c>
      <c r="M2005" t="s">
        <v>178</v>
      </c>
      <c r="N2005">
        <v>2319</v>
      </c>
      <c r="O2005">
        <v>2106</v>
      </c>
      <c r="P2005">
        <v>47205.5</v>
      </c>
      <c r="Q2005">
        <v>92112.44</v>
      </c>
      <c r="R2005">
        <v>-46004.924374850001</v>
      </c>
      <c r="S2005">
        <v>53776.117074989997</v>
      </c>
      <c r="T2005">
        <v>430.43562515000002</v>
      </c>
      <c r="U2005">
        <v>1087.1300000000001</v>
      </c>
      <c r="V2005">
        <v>-44978.23</v>
      </c>
      <c r="W2005" t="s">
        <v>0</v>
      </c>
      <c r="X2005" t="s">
        <v>271</v>
      </c>
      <c r="Y2005" t="s">
        <v>4062</v>
      </c>
      <c r="AA2005" t="s">
        <v>4063</v>
      </c>
      <c r="AB2005" t="s">
        <v>181</v>
      </c>
    </row>
    <row r="2006" spans="1:28" x14ac:dyDescent="0.25">
      <c r="A2006" t="s">
        <v>4035</v>
      </c>
      <c r="B2006" t="s">
        <v>4036</v>
      </c>
      <c r="C2006" t="s">
        <v>646</v>
      </c>
      <c r="D2006" t="s">
        <v>3779</v>
      </c>
      <c r="E2006" t="s">
        <v>647</v>
      </c>
      <c r="F2006" t="s">
        <v>3780</v>
      </c>
      <c r="G2006" t="s">
        <v>769</v>
      </c>
      <c r="H2006" t="s">
        <v>672</v>
      </c>
      <c r="I2006" t="s">
        <v>3464</v>
      </c>
      <c r="J2006" t="s">
        <v>688</v>
      </c>
      <c r="K2006" t="s">
        <v>166</v>
      </c>
      <c r="L2006" t="s">
        <v>0</v>
      </c>
      <c r="M2006" t="s">
        <v>178</v>
      </c>
      <c r="N2006">
        <v>218</v>
      </c>
      <c r="O2006">
        <v>206</v>
      </c>
      <c r="P2006">
        <v>3605.28</v>
      </c>
      <c r="Q2006">
        <v>10563.67</v>
      </c>
      <c r="R2006">
        <v>1946.65908625</v>
      </c>
      <c r="S2006">
        <v>2209.7151782199999</v>
      </c>
      <c r="T2006">
        <v>86.929086249999997</v>
      </c>
      <c r="U2006">
        <v>0</v>
      </c>
      <c r="V2006">
        <v>1950.36</v>
      </c>
      <c r="W2006" t="s">
        <v>0</v>
      </c>
      <c r="X2006" t="s">
        <v>271</v>
      </c>
      <c r="Y2006" t="s">
        <v>4037</v>
      </c>
      <c r="AA2006" t="s">
        <v>4038</v>
      </c>
      <c r="AB2006" t="s">
        <v>181</v>
      </c>
    </row>
    <row r="2007" spans="1:28" x14ac:dyDescent="0.25">
      <c r="A2007" t="s">
        <v>3952</v>
      </c>
      <c r="B2007" t="s">
        <v>3953</v>
      </c>
      <c r="C2007" t="s">
        <v>646</v>
      </c>
      <c r="D2007" t="s">
        <v>3779</v>
      </c>
      <c r="E2007" t="s">
        <v>647</v>
      </c>
      <c r="F2007" t="s">
        <v>666</v>
      </c>
      <c r="G2007" t="s">
        <v>666</v>
      </c>
      <c r="H2007" t="s">
        <v>909</v>
      </c>
      <c r="I2007" t="s">
        <v>2032</v>
      </c>
      <c r="J2007" t="s">
        <v>311</v>
      </c>
      <c r="K2007" t="s">
        <v>166</v>
      </c>
      <c r="L2007" t="s">
        <v>0</v>
      </c>
      <c r="M2007" t="s">
        <v>178</v>
      </c>
      <c r="N2007">
        <v>240.66640000000001</v>
      </c>
      <c r="O2007">
        <v>187.66640000000001</v>
      </c>
      <c r="P2007">
        <v>8976.7000000000007</v>
      </c>
      <c r="Q2007">
        <v>7333.28</v>
      </c>
      <c r="R2007">
        <v>390.43</v>
      </c>
      <c r="S2007">
        <v>1089.9923816099999</v>
      </c>
      <c r="T2007">
        <v>0</v>
      </c>
      <c r="U2007">
        <v>203.8</v>
      </c>
      <c r="V2007">
        <v>594.23</v>
      </c>
      <c r="W2007" t="s">
        <v>312</v>
      </c>
      <c r="X2007" t="s">
        <v>271</v>
      </c>
      <c r="Y2007" t="s">
        <v>3954</v>
      </c>
      <c r="AA2007" t="s">
        <v>3955</v>
      </c>
      <c r="AB2007" t="s">
        <v>181</v>
      </c>
    </row>
    <row r="2008" spans="1:28" x14ac:dyDescent="0.25">
      <c r="A2008" t="s">
        <v>3819</v>
      </c>
      <c r="B2008" t="s">
        <v>3820</v>
      </c>
      <c r="C2008" t="s">
        <v>646</v>
      </c>
      <c r="D2008" t="s">
        <v>3779</v>
      </c>
      <c r="E2008" t="s">
        <v>647</v>
      </c>
      <c r="F2008" t="s">
        <v>3780</v>
      </c>
      <c r="G2008" t="s">
        <v>769</v>
      </c>
      <c r="H2008" t="s">
        <v>1045</v>
      </c>
      <c r="I2008" t="s">
        <v>798</v>
      </c>
      <c r="J2008" t="s">
        <v>524</v>
      </c>
      <c r="K2008" t="s">
        <v>166</v>
      </c>
      <c r="L2008" t="s">
        <v>0</v>
      </c>
      <c r="M2008" t="s">
        <v>178</v>
      </c>
      <c r="N2008">
        <v>564</v>
      </c>
      <c r="O2008">
        <v>203</v>
      </c>
      <c r="P2008">
        <v>5891.16</v>
      </c>
      <c r="Q2008">
        <v>87893.74</v>
      </c>
      <c r="R2008">
        <v>6358.28</v>
      </c>
      <c r="S2008">
        <v>1868.1211221799999</v>
      </c>
      <c r="T2008">
        <v>0</v>
      </c>
      <c r="U2008">
        <v>0</v>
      </c>
      <c r="V2008">
        <v>6358.28</v>
      </c>
      <c r="W2008" t="s">
        <v>258</v>
      </c>
      <c r="X2008" t="s">
        <v>271</v>
      </c>
      <c r="Y2008" t="s">
        <v>3821</v>
      </c>
      <c r="AA2008" t="s">
        <v>3822</v>
      </c>
      <c r="AB2008" t="s">
        <v>181</v>
      </c>
    </row>
    <row r="2009" spans="1:28" x14ac:dyDescent="0.25">
      <c r="A2009" t="s">
        <v>4057</v>
      </c>
      <c r="B2009" t="s">
        <v>4058</v>
      </c>
      <c r="C2009" t="s">
        <v>646</v>
      </c>
      <c r="D2009" t="s">
        <v>3779</v>
      </c>
      <c r="E2009" t="s">
        <v>647</v>
      </c>
      <c r="F2009" t="s">
        <v>3780</v>
      </c>
      <c r="G2009" t="s">
        <v>769</v>
      </c>
      <c r="H2009" t="s">
        <v>802</v>
      </c>
      <c r="I2009" t="s">
        <v>1190</v>
      </c>
      <c r="J2009" t="s">
        <v>1191</v>
      </c>
      <c r="K2009" t="s">
        <v>166</v>
      </c>
      <c r="L2009" t="s">
        <v>0</v>
      </c>
      <c r="M2009" t="s">
        <v>178</v>
      </c>
      <c r="N2009">
        <v>509.75</v>
      </c>
      <c r="O2009">
        <v>439.25</v>
      </c>
      <c r="P2009">
        <v>9156.76</v>
      </c>
      <c r="Q2009">
        <v>24154.87</v>
      </c>
      <c r="R2009">
        <v>1787.07</v>
      </c>
      <c r="S2009">
        <v>2415.09447946</v>
      </c>
      <c r="T2009">
        <v>0</v>
      </c>
      <c r="U2009">
        <v>0</v>
      </c>
      <c r="V2009">
        <v>1787.07</v>
      </c>
      <c r="W2009" t="s">
        <v>282</v>
      </c>
      <c r="X2009" t="s">
        <v>271</v>
      </c>
      <c r="Y2009" t="s">
        <v>4059</v>
      </c>
      <c r="AA2009" t="s">
        <v>2171</v>
      </c>
      <c r="AB2009" t="s">
        <v>181</v>
      </c>
    </row>
    <row r="2010" spans="1:28" x14ac:dyDescent="0.25">
      <c r="A2010" t="s">
        <v>3905</v>
      </c>
      <c r="B2010" t="s">
        <v>3906</v>
      </c>
      <c r="C2010" t="s">
        <v>646</v>
      </c>
      <c r="D2010" t="s">
        <v>3779</v>
      </c>
      <c r="E2010" t="s">
        <v>647</v>
      </c>
      <c r="F2010" t="s">
        <v>3780</v>
      </c>
      <c r="G2010" t="s">
        <v>769</v>
      </c>
      <c r="H2010" t="s">
        <v>757</v>
      </c>
      <c r="I2010" t="s">
        <v>3753</v>
      </c>
      <c r="J2010" t="s">
        <v>489</v>
      </c>
      <c r="K2010" t="s">
        <v>166</v>
      </c>
      <c r="L2010" t="s">
        <v>0</v>
      </c>
      <c r="M2010" t="s">
        <v>178</v>
      </c>
      <c r="N2010">
        <v>73</v>
      </c>
      <c r="O2010">
        <v>8</v>
      </c>
      <c r="P2010">
        <v>803.25</v>
      </c>
      <c r="Q2010">
        <v>2042.93</v>
      </c>
      <c r="R2010">
        <v>385.40094005999998</v>
      </c>
      <c r="S2010">
        <v>228.24699681000001</v>
      </c>
      <c r="T2010">
        <v>0.24094006000000001</v>
      </c>
      <c r="U2010">
        <v>0</v>
      </c>
      <c r="V2010">
        <v>385.16</v>
      </c>
      <c r="W2010" t="s">
        <v>488</v>
      </c>
      <c r="X2010" t="s">
        <v>271</v>
      </c>
      <c r="Y2010" t="s">
        <v>3907</v>
      </c>
      <c r="AA2010" t="s">
        <v>3908</v>
      </c>
      <c r="AB2010" t="s">
        <v>181</v>
      </c>
    </row>
    <row r="2011" spans="1:28" x14ac:dyDescent="0.25">
      <c r="A2011" t="s">
        <v>3905</v>
      </c>
      <c r="B2011" t="s">
        <v>3906</v>
      </c>
      <c r="C2011" t="s">
        <v>646</v>
      </c>
      <c r="D2011" t="s">
        <v>3779</v>
      </c>
      <c r="E2011" t="s">
        <v>647</v>
      </c>
      <c r="F2011" t="s">
        <v>3780</v>
      </c>
      <c r="G2011" t="s">
        <v>769</v>
      </c>
      <c r="H2011" t="s">
        <v>802</v>
      </c>
      <c r="I2011" t="s">
        <v>3753</v>
      </c>
      <c r="J2011" t="s">
        <v>489</v>
      </c>
      <c r="K2011" t="s">
        <v>166</v>
      </c>
      <c r="L2011" t="s">
        <v>0</v>
      </c>
      <c r="M2011" t="s">
        <v>178</v>
      </c>
      <c r="N2011">
        <v>25</v>
      </c>
      <c r="O2011">
        <v>12</v>
      </c>
      <c r="P2011">
        <v>151.4</v>
      </c>
      <c r="Q2011">
        <v>914.21</v>
      </c>
      <c r="R2011">
        <v>259.42</v>
      </c>
      <c r="S2011">
        <v>78.732810839999999</v>
      </c>
      <c r="T2011">
        <v>0</v>
      </c>
      <c r="U2011">
        <v>0</v>
      </c>
      <c r="V2011">
        <v>259.42</v>
      </c>
      <c r="W2011" t="s">
        <v>488</v>
      </c>
      <c r="X2011" t="s">
        <v>271</v>
      </c>
      <c r="Y2011" t="s">
        <v>3907</v>
      </c>
      <c r="AA2011" t="s">
        <v>3908</v>
      </c>
      <c r="AB2011" t="s">
        <v>181</v>
      </c>
    </row>
    <row r="2012" spans="1:28" x14ac:dyDescent="0.25">
      <c r="A2012" t="s">
        <v>4298</v>
      </c>
      <c r="B2012" t="s">
        <v>4299</v>
      </c>
      <c r="C2012" t="s">
        <v>646</v>
      </c>
      <c r="D2012" t="s">
        <v>3779</v>
      </c>
      <c r="E2012" t="s">
        <v>647</v>
      </c>
      <c r="F2012" t="s">
        <v>666</v>
      </c>
      <c r="G2012" t="s">
        <v>666</v>
      </c>
      <c r="H2012" t="s">
        <v>1045</v>
      </c>
      <c r="I2012" t="s">
        <v>4300</v>
      </c>
      <c r="J2012" t="s">
        <v>511</v>
      </c>
      <c r="K2012" t="s">
        <v>166</v>
      </c>
      <c r="L2012" t="s">
        <v>0</v>
      </c>
      <c r="M2012" t="s">
        <v>178</v>
      </c>
      <c r="N2012">
        <v>104</v>
      </c>
      <c r="O2012">
        <v>43</v>
      </c>
      <c r="P2012">
        <v>1109</v>
      </c>
      <c r="Q2012">
        <v>12959.17</v>
      </c>
      <c r="R2012">
        <v>444.66</v>
      </c>
      <c r="S2012">
        <v>260.45814861999997</v>
      </c>
      <c r="T2012">
        <v>0</v>
      </c>
      <c r="U2012">
        <v>0</v>
      </c>
      <c r="V2012">
        <v>444.66</v>
      </c>
      <c r="W2012" t="s">
        <v>510</v>
      </c>
      <c r="X2012" t="s">
        <v>271</v>
      </c>
      <c r="Y2012" t="s">
        <v>4301</v>
      </c>
      <c r="Z2012" t="s">
        <v>4302</v>
      </c>
      <c r="AA2012" t="s">
        <v>4303</v>
      </c>
      <c r="AB2012" t="s">
        <v>181</v>
      </c>
    </row>
    <row r="2013" spans="1:28" x14ac:dyDescent="0.25">
      <c r="A2013" t="s">
        <v>4102</v>
      </c>
      <c r="B2013" t="s">
        <v>4103</v>
      </c>
      <c r="C2013" t="s">
        <v>646</v>
      </c>
      <c r="D2013" t="s">
        <v>3779</v>
      </c>
      <c r="E2013" t="s">
        <v>647</v>
      </c>
      <c r="F2013" t="s">
        <v>3780</v>
      </c>
      <c r="G2013" t="s">
        <v>769</v>
      </c>
      <c r="H2013" t="s">
        <v>1171</v>
      </c>
      <c r="I2013" t="s">
        <v>4104</v>
      </c>
      <c r="J2013" t="s">
        <v>4105</v>
      </c>
      <c r="K2013" t="s">
        <v>166</v>
      </c>
      <c r="L2013" t="s">
        <v>0</v>
      </c>
      <c r="M2013" t="s">
        <v>178</v>
      </c>
      <c r="N2013">
        <v>492</v>
      </c>
      <c r="O2013">
        <v>326</v>
      </c>
      <c r="P2013">
        <v>7473.27</v>
      </c>
      <c r="Q2013">
        <v>53990.6</v>
      </c>
      <c r="R2013">
        <v>6896.1083715699997</v>
      </c>
      <c r="S2013">
        <v>83.27714598</v>
      </c>
      <c r="T2013">
        <v>25.88837157</v>
      </c>
      <c r="U2013">
        <v>0</v>
      </c>
      <c r="V2013">
        <v>6870.22</v>
      </c>
      <c r="W2013" t="s">
        <v>4106</v>
      </c>
      <c r="X2013" t="s">
        <v>269</v>
      </c>
      <c r="Y2013" t="s">
        <v>4107</v>
      </c>
      <c r="AA2013" t="s">
        <v>4108</v>
      </c>
      <c r="AB2013" t="s">
        <v>181</v>
      </c>
    </row>
    <row r="2014" spans="1:28" x14ac:dyDescent="0.25">
      <c r="A2014" t="s">
        <v>3875</v>
      </c>
      <c r="B2014" t="s">
        <v>3876</v>
      </c>
      <c r="C2014" t="s">
        <v>646</v>
      </c>
      <c r="D2014" t="s">
        <v>3779</v>
      </c>
      <c r="E2014" t="s">
        <v>647</v>
      </c>
      <c r="F2014" t="s">
        <v>3780</v>
      </c>
      <c r="G2014" t="s">
        <v>769</v>
      </c>
      <c r="H2014" t="s">
        <v>909</v>
      </c>
      <c r="I2014" t="s">
        <v>1190</v>
      </c>
      <c r="J2014" t="s">
        <v>1191</v>
      </c>
      <c r="K2014" t="s">
        <v>166</v>
      </c>
      <c r="L2014" t="s">
        <v>0</v>
      </c>
      <c r="M2014" t="s">
        <v>178</v>
      </c>
      <c r="N2014">
        <v>120</v>
      </c>
      <c r="O2014">
        <v>91</v>
      </c>
      <c r="P2014">
        <v>3845.2</v>
      </c>
      <c r="Q2014">
        <v>4554.53</v>
      </c>
      <c r="R2014">
        <v>318.27</v>
      </c>
      <c r="S2014">
        <v>1227.49547317</v>
      </c>
      <c r="T2014">
        <v>0</v>
      </c>
      <c r="U2014">
        <v>0</v>
      </c>
      <c r="V2014">
        <v>318.27</v>
      </c>
      <c r="W2014" t="s">
        <v>282</v>
      </c>
      <c r="X2014" t="s">
        <v>271</v>
      </c>
      <c r="Y2014" t="s">
        <v>2170</v>
      </c>
      <c r="AA2014" t="s">
        <v>2171</v>
      </c>
      <c r="AB2014" t="s">
        <v>181</v>
      </c>
    </row>
    <row r="2015" spans="1:28" x14ac:dyDescent="0.25">
      <c r="A2015" t="s">
        <v>3929</v>
      </c>
      <c r="B2015" t="s">
        <v>3930</v>
      </c>
      <c r="C2015" t="s">
        <v>646</v>
      </c>
      <c r="D2015" t="s">
        <v>3779</v>
      </c>
      <c r="E2015" t="s">
        <v>647</v>
      </c>
      <c r="F2015" t="s">
        <v>3780</v>
      </c>
      <c r="G2015" t="s">
        <v>769</v>
      </c>
      <c r="H2015" t="s">
        <v>802</v>
      </c>
      <c r="I2015" t="s">
        <v>3649</v>
      </c>
      <c r="J2015" t="s">
        <v>1567</v>
      </c>
      <c r="K2015" t="s">
        <v>166</v>
      </c>
      <c r="L2015" t="s">
        <v>0</v>
      </c>
      <c r="M2015" t="s">
        <v>178</v>
      </c>
      <c r="N2015">
        <v>144.5</v>
      </c>
      <c r="O2015">
        <v>86.125</v>
      </c>
      <c r="P2015">
        <v>2716.06</v>
      </c>
      <c r="Q2015">
        <v>12413.23</v>
      </c>
      <c r="R2015">
        <v>3473.68</v>
      </c>
      <c r="S2015">
        <v>435.86258703999999</v>
      </c>
      <c r="T2015">
        <v>0</v>
      </c>
      <c r="U2015">
        <v>0</v>
      </c>
      <c r="V2015">
        <v>3473.68</v>
      </c>
      <c r="W2015" t="s">
        <v>556</v>
      </c>
      <c r="X2015" t="s">
        <v>271</v>
      </c>
      <c r="Y2015" t="s">
        <v>3931</v>
      </c>
      <c r="AA2015" t="s">
        <v>3932</v>
      </c>
      <c r="AB2015" t="s">
        <v>181</v>
      </c>
    </row>
    <row r="2016" spans="1:28" x14ac:dyDescent="0.25">
      <c r="A2016" t="s">
        <v>4039</v>
      </c>
      <c r="B2016" t="s">
        <v>4040</v>
      </c>
      <c r="C2016" t="s">
        <v>646</v>
      </c>
      <c r="D2016" t="s">
        <v>3779</v>
      </c>
      <c r="E2016" t="s">
        <v>647</v>
      </c>
      <c r="F2016" t="s">
        <v>3780</v>
      </c>
      <c r="G2016" t="s">
        <v>769</v>
      </c>
      <c r="H2016" t="s">
        <v>713</v>
      </c>
      <c r="I2016" t="s">
        <v>1595</v>
      </c>
      <c r="J2016" t="s">
        <v>544</v>
      </c>
      <c r="K2016" t="s">
        <v>166</v>
      </c>
      <c r="L2016" t="s">
        <v>0</v>
      </c>
      <c r="M2016" t="s">
        <v>178</v>
      </c>
      <c r="N2016">
        <v>153</v>
      </c>
      <c r="O2016">
        <v>40</v>
      </c>
      <c r="P2016">
        <v>3982.31</v>
      </c>
      <c r="Q2016">
        <v>6604.73</v>
      </c>
      <c r="R2016">
        <v>2136.4265604799998</v>
      </c>
      <c r="S2016">
        <v>173.42176818999999</v>
      </c>
      <c r="T2016">
        <v>10.276560480000001</v>
      </c>
      <c r="U2016">
        <v>0</v>
      </c>
      <c r="V2016">
        <v>2126.15</v>
      </c>
      <c r="W2016" t="s">
        <v>239</v>
      </c>
      <c r="X2016" t="s">
        <v>271</v>
      </c>
      <c r="Y2016" t="s">
        <v>4041</v>
      </c>
      <c r="AA2016" t="s">
        <v>4042</v>
      </c>
      <c r="AB2016" t="s">
        <v>181</v>
      </c>
    </row>
    <row r="2017" spans="1:28" x14ac:dyDescent="0.25">
      <c r="A2017" t="s">
        <v>3956</v>
      </c>
      <c r="B2017" t="s">
        <v>3957</v>
      </c>
      <c r="C2017" t="s">
        <v>646</v>
      </c>
      <c r="D2017" t="s">
        <v>3779</v>
      </c>
      <c r="E2017" t="s">
        <v>647</v>
      </c>
      <c r="F2017" t="s">
        <v>666</v>
      </c>
      <c r="G2017" t="s">
        <v>666</v>
      </c>
      <c r="H2017" t="s">
        <v>649</v>
      </c>
      <c r="I2017" t="s">
        <v>1068</v>
      </c>
      <c r="J2017" t="s">
        <v>501</v>
      </c>
      <c r="K2017" t="s">
        <v>166</v>
      </c>
      <c r="L2017" t="s">
        <v>0</v>
      </c>
      <c r="M2017" t="s">
        <v>178</v>
      </c>
      <c r="N2017">
        <v>237</v>
      </c>
      <c r="O2017">
        <v>218</v>
      </c>
      <c r="P2017">
        <v>3190.57</v>
      </c>
      <c r="Q2017">
        <v>9456.4699999999993</v>
      </c>
      <c r="R2017">
        <v>2205.2600000000002</v>
      </c>
      <c r="S2017">
        <v>764.98232591999999</v>
      </c>
      <c r="T2017">
        <v>0</v>
      </c>
      <c r="U2017">
        <v>0</v>
      </c>
      <c r="V2017">
        <v>2205.2600000000002</v>
      </c>
      <c r="W2017" t="s">
        <v>500</v>
      </c>
      <c r="X2017" t="s">
        <v>271</v>
      </c>
      <c r="Y2017" t="s">
        <v>3958</v>
      </c>
      <c r="AA2017" t="s">
        <v>3959</v>
      </c>
      <c r="AB2017" t="s">
        <v>181</v>
      </c>
    </row>
    <row r="2018" spans="1:28" x14ac:dyDescent="0.25">
      <c r="A2018" t="s">
        <v>4015</v>
      </c>
      <c r="B2018" t="s">
        <v>4016</v>
      </c>
      <c r="C2018" t="s">
        <v>646</v>
      </c>
      <c r="D2018" t="s">
        <v>3779</v>
      </c>
      <c r="E2018" t="s">
        <v>647</v>
      </c>
      <c r="F2018" t="s">
        <v>3780</v>
      </c>
      <c r="G2018" t="s">
        <v>769</v>
      </c>
      <c r="H2018" t="s">
        <v>757</v>
      </c>
      <c r="I2018" t="s">
        <v>4017</v>
      </c>
      <c r="J2018" t="s">
        <v>4018</v>
      </c>
      <c r="K2018" t="s">
        <v>166</v>
      </c>
      <c r="L2018" t="s">
        <v>0</v>
      </c>
      <c r="M2018" t="s">
        <v>178</v>
      </c>
      <c r="N2018">
        <v>46.9</v>
      </c>
      <c r="O2018">
        <v>35.9</v>
      </c>
      <c r="P2018">
        <v>979.65</v>
      </c>
      <c r="Q2018">
        <v>2047.85</v>
      </c>
      <c r="R2018">
        <v>143.91999999999999</v>
      </c>
      <c r="S2018">
        <v>305.45599162000002</v>
      </c>
      <c r="T2018">
        <v>0</v>
      </c>
      <c r="U2018">
        <v>0</v>
      </c>
      <c r="V2018">
        <v>143.91999999999999</v>
      </c>
      <c r="W2018" t="s">
        <v>4019</v>
      </c>
      <c r="X2018" t="s">
        <v>271</v>
      </c>
      <c r="Y2018" t="s">
        <v>4020</v>
      </c>
      <c r="AA2018" t="s">
        <v>4021</v>
      </c>
      <c r="AB2018" t="s">
        <v>181</v>
      </c>
    </row>
    <row r="2019" spans="1:28" x14ac:dyDescent="0.25">
      <c r="A2019" t="s">
        <v>4147</v>
      </c>
      <c r="B2019" t="s">
        <v>4148</v>
      </c>
      <c r="C2019" t="s">
        <v>646</v>
      </c>
      <c r="D2019" t="s">
        <v>3779</v>
      </c>
      <c r="E2019" t="s">
        <v>647</v>
      </c>
      <c r="F2019" t="s">
        <v>3780</v>
      </c>
      <c r="G2019" t="s">
        <v>769</v>
      </c>
      <c r="H2019" t="s">
        <v>757</v>
      </c>
      <c r="I2019" t="s">
        <v>1301</v>
      </c>
      <c r="J2019" t="s">
        <v>1302</v>
      </c>
      <c r="K2019" t="s">
        <v>166</v>
      </c>
      <c r="L2019" t="s">
        <v>0</v>
      </c>
      <c r="M2019" t="s">
        <v>178</v>
      </c>
      <c r="N2019">
        <v>298.1875</v>
      </c>
      <c r="O2019">
        <v>266.1875</v>
      </c>
      <c r="P2019">
        <v>5509.88</v>
      </c>
      <c r="Q2019">
        <v>7661.6</v>
      </c>
      <c r="R2019">
        <v>905.05</v>
      </c>
      <c r="S2019">
        <v>1803.8693797599999</v>
      </c>
      <c r="T2019">
        <v>3.84</v>
      </c>
      <c r="U2019">
        <v>0</v>
      </c>
      <c r="V2019">
        <v>901.21</v>
      </c>
      <c r="W2019" t="s">
        <v>1303</v>
      </c>
      <c r="X2019" t="s">
        <v>269</v>
      </c>
      <c r="Y2019" t="s">
        <v>4149</v>
      </c>
      <c r="AA2019" t="s">
        <v>4150</v>
      </c>
      <c r="AB2019" t="s">
        <v>181</v>
      </c>
    </row>
    <row r="2020" spans="1:28" x14ac:dyDescent="0.25">
      <c r="A2020" t="s">
        <v>3793</v>
      </c>
      <c r="B2020" t="s">
        <v>3794</v>
      </c>
      <c r="C2020" t="s">
        <v>646</v>
      </c>
      <c r="D2020" t="s">
        <v>3779</v>
      </c>
      <c r="E2020" t="s">
        <v>647</v>
      </c>
      <c r="F2020" t="s">
        <v>666</v>
      </c>
      <c r="G2020" t="s">
        <v>666</v>
      </c>
      <c r="H2020" t="s">
        <v>717</v>
      </c>
      <c r="I2020" t="s">
        <v>1712</v>
      </c>
      <c r="J2020" t="s">
        <v>335</v>
      </c>
      <c r="K2020" t="s">
        <v>166</v>
      </c>
      <c r="L2020" t="s">
        <v>0</v>
      </c>
      <c r="M2020" t="s">
        <v>178</v>
      </c>
      <c r="N2020">
        <v>593</v>
      </c>
      <c r="O2020">
        <v>161</v>
      </c>
      <c r="P2020">
        <v>10993.74</v>
      </c>
      <c r="Q2020">
        <v>51267.92</v>
      </c>
      <c r="R2020">
        <v>12170.306635589999</v>
      </c>
      <c r="S2020">
        <v>1734.2455972800001</v>
      </c>
      <c r="T2020">
        <v>5.6466355899999998</v>
      </c>
      <c r="U2020">
        <v>0</v>
      </c>
      <c r="V2020">
        <v>12164.66</v>
      </c>
      <c r="W2020" t="s">
        <v>572</v>
      </c>
      <c r="X2020" t="s">
        <v>271</v>
      </c>
      <c r="Y2020" t="s">
        <v>3795</v>
      </c>
      <c r="AA2020" t="s">
        <v>3796</v>
      </c>
      <c r="AB2020" t="s">
        <v>181</v>
      </c>
    </row>
    <row r="2021" spans="1:28" x14ac:dyDescent="0.25">
      <c r="A2021" t="s">
        <v>4280</v>
      </c>
      <c r="B2021" t="s">
        <v>4281</v>
      </c>
      <c r="C2021" t="s">
        <v>646</v>
      </c>
      <c r="D2021" t="s">
        <v>3779</v>
      </c>
      <c r="E2021" t="s">
        <v>647</v>
      </c>
      <c r="F2021" t="s">
        <v>3780</v>
      </c>
      <c r="G2021" t="s">
        <v>769</v>
      </c>
      <c r="H2021" t="s">
        <v>909</v>
      </c>
      <c r="I2021" t="s">
        <v>1872</v>
      </c>
      <c r="J2021" t="s">
        <v>1873</v>
      </c>
      <c r="K2021" t="s">
        <v>166</v>
      </c>
      <c r="L2021" t="s">
        <v>0</v>
      </c>
      <c r="M2021" t="s">
        <v>178</v>
      </c>
      <c r="N2021">
        <v>40.933300000000003</v>
      </c>
      <c r="O2021">
        <v>40.833300000000001</v>
      </c>
      <c r="P2021">
        <v>1205.18</v>
      </c>
      <c r="Q2021">
        <v>2205.33</v>
      </c>
      <c r="R2021">
        <v>373.05</v>
      </c>
      <c r="S2021">
        <v>529.88477794999994</v>
      </c>
      <c r="T2021">
        <v>0</v>
      </c>
      <c r="U2021">
        <v>0</v>
      </c>
      <c r="V2021">
        <v>373.05</v>
      </c>
      <c r="W2021" t="s">
        <v>1874</v>
      </c>
      <c r="X2021" t="s">
        <v>271</v>
      </c>
      <c r="Y2021" t="s">
        <v>4282</v>
      </c>
      <c r="AA2021" t="s">
        <v>4283</v>
      </c>
      <c r="AB2021" t="s">
        <v>181</v>
      </c>
    </row>
    <row r="2022" spans="1:28" x14ac:dyDescent="0.25">
      <c r="A2022" t="s">
        <v>4022</v>
      </c>
      <c r="B2022" t="s">
        <v>4023</v>
      </c>
      <c r="C2022" t="s">
        <v>646</v>
      </c>
      <c r="D2022" t="s">
        <v>3779</v>
      </c>
      <c r="E2022" t="s">
        <v>647</v>
      </c>
      <c r="F2022" t="s">
        <v>3780</v>
      </c>
      <c r="G2022" t="s">
        <v>769</v>
      </c>
      <c r="H2022" t="s">
        <v>962</v>
      </c>
      <c r="I2022" t="s">
        <v>4024</v>
      </c>
      <c r="J2022" t="s">
        <v>447</v>
      </c>
      <c r="K2022" t="s">
        <v>166</v>
      </c>
      <c r="L2022" t="s">
        <v>0</v>
      </c>
      <c r="M2022" t="s">
        <v>178</v>
      </c>
      <c r="N2022">
        <v>86</v>
      </c>
      <c r="O2022">
        <v>45</v>
      </c>
      <c r="P2022">
        <v>2249.64</v>
      </c>
      <c r="Q2022">
        <v>7070.12</v>
      </c>
      <c r="R2022">
        <v>1013.92</v>
      </c>
      <c r="S2022">
        <v>404.14169595999999</v>
      </c>
      <c r="T2022">
        <v>0</v>
      </c>
      <c r="U2022">
        <v>0</v>
      </c>
      <c r="V2022">
        <v>1013.92</v>
      </c>
      <c r="W2022" t="s">
        <v>446</v>
      </c>
      <c r="X2022" t="s">
        <v>271</v>
      </c>
      <c r="Y2022" t="s">
        <v>4025</v>
      </c>
      <c r="AA2022" t="s">
        <v>4026</v>
      </c>
      <c r="AB2022" t="s">
        <v>181</v>
      </c>
    </row>
    <row r="2023" spans="1:28" x14ac:dyDescent="0.25">
      <c r="A2023" t="s">
        <v>3788</v>
      </c>
      <c r="B2023" t="s">
        <v>3789</v>
      </c>
      <c r="C2023" t="s">
        <v>646</v>
      </c>
      <c r="D2023" t="s">
        <v>3779</v>
      </c>
      <c r="E2023" t="s">
        <v>647</v>
      </c>
      <c r="F2023" t="s">
        <v>3780</v>
      </c>
      <c r="G2023" t="s">
        <v>769</v>
      </c>
      <c r="H2023" t="s">
        <v>909</v>
      </c>
      <c r="I2023" t="s">
        <v>3790</v>
      </c>
      <c r="J2023" t="s">
        <v>599</v>
      </c>
      <c r="K2023" t="s">
        <v>166</v>
      </c>
      <c r="L2023" t="s">
        <v>0</v>
      </c>
      <c r="M2023" t="s">
        <v>178</v>
      </c>
      <c r="N2023">
        <v>261.66649999999998</v>
      </c>
      <c r="O2023">
        <v>198.66650000000001</v>
      </c>
      <c r="P2023">
        <v>8788.17</v>
      </c>
      <c r="Q2023">
        <v>15498.83</v>
      </c>
      <c r="R2023">
        <v>1121.1967725</v>
      </c>
      <c r="S2023">
        <v>3134.2867699100002</v>
      </c>
      <c r="T2023">
        <v>0.19677249999999999</v>
      </c>
      <c r="U2023">
        <v>2.0099999999999998</v>
      </c>
      <c r="V2023">
        <v>1123.01</v>
      </c>
      <c r="W2023" t="s">
        <v>598</v>
      </c>
      <c r="X2023" t="s">
        <v>271</v>
      </c>
      <c r="Y2023" t="s">
        <v>3791</v>
      </c>
      <c r="AA2023" t="s">
        <v>3792</v>
      </c>
      <c r="AB2023" t="s">
        <v>181</v>
      </c>
    </row>
    <row r="2024" spans="1:28" x14ac:dyDescent="0.25">
      <c r="A2024" t="s">
        <v>4206</v>
      </c>
      <c r="B2024" t="s">
        <v>4207</v>
      </c>
      <c r="C2024" t="s">
        <v>646</v>
      </c>
      <c r="D2024" t="s">
        <v>3779</v>
      </c>
      <c r="E2024" t="s">
        <v>647</v>
      </c>
      <c r="F2024" t="s">
        <v>3780</v>
      </c>
      <c r="G2024" t="s">
        <v>769</v>
      </c>
      <c r="H2024" t="s">
        <v>679</v>
      </c>
      <c r="I2024" t="s">
        <v>4208</v>
      </c>
      <c r="J2024" t="s">
        <v>317</v>
      </c>
      <c r="K2024" t="s">
        <v>166</v>
      </c>
      <c r="L2024" t="s">
        <v>0</v>
      </c>
      <c r="M2024" t="s">
        <v>178</v>
      </c>
      <c r="N2024">
        <v>283.33330000000001</v>
      </c>
      <c r="O2024">
        <v>124.33329999999999</v>
      </c>
      <c r="P2024">
        <v>2695.07</v>
      </c>
      <c r="Q2024">
        <v>13083.61</v>
      </c>
      <c r="R2024">
        <v>2794.93137411</v>
      </c>
      <c r="S2024">
        <v>2241.39833193</v>
      </c>
      <c r="T2024">
        <v>-0.32862588999999998</v>
      </c>
      <c r="U2024">
        <v>0</v>
      </c>
      <c r="V2024">
        <v>2795.26</v>
      </c>
      <c r="W2024" t="s">
        <v>340</v>
      </c>
      <c r="X2024" t="s">
        <v>271</v>
      </c>
      <c r="Y2024" t="s">
        <v>4209</v>
      </c>
      <c r="AA2024" t="s">
        <v>4210</v>
      </c>
      <c r="AB2024" t="s">
        <v>181</v>
      </c>
    </row>
    <row r="2025" spans="1:28" x14ac:dyDescent="0.25">
      <c r="A2025" t="s">
        <v>4147</v>
      </c>
      <c r="B2025" t="s">
        <v>4148</v>
      </c>
      <c r="C2025" t="s">
        <v>646</v>
      </c>
      <c r="D2025" t="s">
        <v>3779</v>
      </c>
      <c r="E2025" t="s">
        <v>647</v>
      </c>
      <c r="F2025" t="s">
        <v>3780</v>
      </c>
      <c r="G2025" t="s">
        <v>769</v>
      </c>
      <c r="H2025" t="s">
        <v>962</v>
      </c>
      <c r="I2025" t="s">
        <v>1301</v>
      </c>
      <c r="J2025" t="s">
        <v>1302</v>
      </c>
      <c r="K2025" t="s">
        <v>166</v>
      </c>
      <c r="L2025" t="s">
        <v>0</v>
      </c>
      <c r="M2025" t="s">
        <v>178</v>
      </c>
      <c r="N2025">
        <v>27</v>
      </c>
      <c r="O2025">
        <v>23</v>
      </c>
      <c r="P2025">
        <v>507.1</v>
      </c>
      <c r="Q2025">
        <v>1672.88</v>
      </c>
      <c r="R2025">
        <v>240.29</v>
      </c>
      <c r="S2025">
        <v>209.35285612000001</v>
      </c>
      <c r="T2025">
        <v>0</v>
      </c>
      <c r="U2025">
        <v>0</v>
      </c>
      <c r="V2025">
        <v>240.29</v>
      </c>
      <c r="W2025" t="s">
        <v>1303</v>
      </c>
      <c r="X2025" t="s">
        <v>269</v>
      </c>
      <c r="Y2025" t="s">
        <v>4149</v>
      </c>
      <c r="AA2025" t="s">
        <v>4150</v>
      </c>
      <c r="AB2025" t="s">
        <v>181</v>
      </c>
    </row>
    <row r="2026" spans="1:28" x14ac:dyDescent="0.25">
      <c r="A2026" t="s">
        <v>4179</v>
      </c>
      <c r="B2026" t="s">
        <v>4180</v>
      </c>
      <c r="C2026" t="s">
        <v>646</v>
      </c>
      <c r="D2026" t="s">
        <v>3779</v>
      </c>
      <c r="E2026" t="s">
        <v>647</v>
      </c>
      <c r="F2026" t="s">
        <v>3780</v>
      </c>
      <c r="G2026" t="s">
        <v>769</v>
      </c>
      <c r="H2026" t="s">
        <v>909</v>
      </c>
      <c r="I2026" t="s">
        <v>4181</v>
      </c>
      <c r="J2026" t="s">
        <v>816</v>
      </c>
      <c r="K2026" t="s">
        <v>166</v>
      </c>
      <c r="L2026" t="s">
        <v>0</v>
      </c>
      <c r="M2026" t="s">
        <v>178</v>
      </c>
      <c r="N2026">
        <v>253</v>
      </c>
      <c r="O2026">
        <v>247</v>
      </c>
      <c r="P2026">
        <v>8244.41</v>
      </c>
      <c r="Q2026">
        <v>12119.78</v>
      </c>
      <c r="R2026">
        <v>542.91</v>
      </c>
      <c r="S2026">
        <v>3267.34142342</v>
      </c>
      <c r="T2026">
        <v>0</v>
      </c>
      <c r="U2026">
        <v>0</v>
      </c>
      <c r="V2026">
        <v>542.91</v>
      </c>
      <c r="W2026" t="s">
        <v>1490</v>
      </c>
      <c r="X2026" t="s">
        <v>271</v>
      </c>
      <c r="Y2026" t="s">
        <v>4182</v>
      </c>
      <c r="AA2026" t="s">
        <v>4183</v>
      </c>
      <c r="AB2026" t="s">
        <v>181</v>
      </c>
    </row>
    <row r="2027" spans="1:28" x14ac:dyDescent="0.25">
      <c r="A2027" t="s">
        <v>4151</v>
      </c>
      <c r="B2027" t="s">
        <v>4152</v>
      </c>
      <c r="C2027" t="s">
        <v>646</v>
      </c>
      <c r="D2027" t="s">
        <v>3779</v>
      </c>
      <c r="E2027" t="s">
        <v>647</v>
      </c>
      <c r="F2027" t="s">
        <v>666</v>
      </c>
      <c r="G2027" t="s">
        <v>666</v>
      </c>
      <c r="H2027" t="s">
        <v>962</v>
      </c>
      <c r="I2027" t="s">
        <v>765</v>
      </c>
      <c r="J2027" t="s">
        <v>436</v>
      </c>
      <c r="K2027" t="s">
        <v>166</v>
      </c>
      <c r="L2027" t="s">
        <v>0</v>
      </c>
      <c r="M2027" t="s">
        <v>178</v>
      </c>
      <c r="N2027">
        <v>408</v>
      </c>
      <c r="O2027">
        <v>345</v>
      </c>
      <c r="P2027">
        <v>6788.92</v>
      </c>
      <c r="Q2027">
        <v>23055.3</v>
      </c>
      <c r="R2027">
        <v>4957.8577755899996</v>
      </c>
      <c r="S2027">
        <v>2945.3679059299998</v>
      </c>
      <c r="T2027">
        <v>1.7775590000000001E-2</v>
      </c>
      <c r="U2027">
        <v>0</v>
      </c>
      <c r="V2027">
        <v>4957.84</v>
      </c>
      <c r="W2027" t="s">
        <v>0</v>
      </c>
      <c r="X2027" t="s">
        <v>271</v>
      </c>
      <c r="Y2027" t="s">
        <v>4153</v>
      </c>
      <c r="AA2027" t="s">
        <v>4154</v>
      </c>
      <c r="AB2027" t="s">
        <v>181</v>
      </c>
    </row>
    <row r="2028" spans="1:28" x14ac:dyDescent="0.25">
      <c r="A2028" t="s">
        <v>4333</v>
      </c>
      <c r="B2028" t="s">
        <v>4334</v>
      </c>
      <c r="C2028" t="s">
        <v>646</v>
      </c>
      <c r="D2028" t="s">
        <v>3779</v>
      </c>
      <c r="E2028" t="s">
        <v>647</v>
      </c>
      <c r="F2028" t="s">
        <v>666</v>
      </c>
      <c r="G2028" t="s">
        <v>666</v>
      </c>
      <c r="H2028" t="s">
        <v>856</v>
      </c>
      <c r="I2028" t="s">
        <v>3649</v>
      </c>
      <c r="J2028" t="s">
        <v>1567</v>
      </c>
      <c r="K2028" t="s">
        <v>166</v>
      </c>
      <c r="L2028" t="s">
        <v>0</v>
      </c>
      <c r="M2028" t="s">
        <v>178</v>
      </c>
      <c r="N2028">
        <v>41</v>
      </c>
      <c r="O2028">
        <v>0</v>
      </c>
      <c r="P2028">
        <v>410</v>
      </c>
      <c r="Q2028">
        <v>1530.5</v>
      </c>
      <c r="R2028">
        <v>153.11000000000001</v>
      </c>
      <c r="S2028">
        <v>25.50028</v>
      </c>
      <c r="T2028">
        <v>0</v>
      </c>
      <c r="U2028">
        <v>0</v>
      </c>
      <c r="V2028">
        <v>153.11000000000001</v>
      </c>
      <c r="W2028" t="s">
        <v>556</v>
      </c>
      <c r="X2028" t="s">
        <v>271</v>
      </c>
      <c r="Y2028" t="s">
        <v>4335</v>
      </c>
      <c r="AA2028" t="s">
        <v>4336</v>
      </c>
      <c r="AB2028" t="s">
        <v>181</v>
      </c>
    </row>
    <row r="2029" spans="1:28" x14ac:dyDescent="0.25">
      <c r="A2029" t="s">
        <v>4206</v>
      </c>
      <c r="B2029" t="s">
        <v>4207</v>
      </c>
      <c r="C2029" t="s">
        <v>646</v>
      </c>
      <c r="D2029" t="s">
        <v>3779</v>
      </c>
      <c r="E2029" t="s">
        <v>647</v>
      </c>
      <c r="F2029" t="s">
        <v>3780</v>
      </c>
      <c r="G2029" t="s">
        <v>769</v>
      </c>
      <c r="H2029" t="s">
        <v>757</v>
      </c>
      <c r="I2029" t="s">
        <v>4208</v>
      </c>
      <c r="J2029" t="s">
        <v>317</v>
      </c>
      <c r="K2029" t="s">
        <v>166</v>
      </c>
      <c r="L2029" t="s">
        <v>0</v>
      </c>
      <c r="M2029" t="s">
        <v>178</v>
      </c>
      <c r="N2029">
        <v>24</v>
      </c>
      <c r="O2029">
        <v>16</v>
      </c>
      <c r="P2029">
        <v>461.64</v>
      </c>
      <c r="Q2029">
        <v>920.36</v>
      </c>
      <c r="R2029">
        <v>102.71</v>
      </c>
      <c r="S2029">
        <v>95.170336680000005</v>
      </c>
      <c r="T2029">
        <v>0</v>
      </c>
      <c r="U2029">
        <v>0</v>
      </c>
      <c r="V2029">
        <v>102.71</v>
      </c>
      <c r="W2029" t="s">
        <v>340</v>
      </c>
      <c r="X2029" t="s">
        <v>271</v>
      </c>
      <c r="Y2029" t="s">
        <v>4209</v>
      </c>
      <c r="AA2029" t="s">
        <v>4210</v>
      </c>
      <c r="AB2029" t="s">
        <v>181</v>
      </c>
    </row>
    <row r="2030" spans="1:28" x14ac:dyDescent="0.25">
      <c r="A2030" t="s">
        <v>4292</v>
      </c>
      <c r="B2030" t="s">
        <v>4293</v>
      </c>
      <c r="C2030" t="s">
        <v>646</v>
      </c>
      <c r="D2030" t="s">
        <v>3779</v>
      </c>
      <c r="E2030" t="s">
        <v>647</v>
      </c>
      <c r="F2030" t="s">
        <v>3780</v>
      </c>
      <c r="G2030" t="s">
        <v>769</v>
      </c>
      <c r="H2030" t="s">
        <v>757</v>
      </c>
      <c r="I2030" t="s">
        <v>4294</v>
      </c>
      <c r="J2030" t="s">
        <v>4295</v>
      </c>
      <c r="K2030" t="s">
        <v>166</v>
      </c>
      <c r="L2030" t="s">
        <v>0</v>
      </c>
      <c r="M2030" t="s">
        <v>178</v>
      </c>
      <c r="N2030">
        <v>572</v>
      </c>
      <c r="O2030">
        <v>2</v>
      </c>
      <c r="P2030">
        <v>13728</v>
      </c>
      <c r="Q2030">
        <v>24888.55</v>
      </c>
      <c r="R2030">
        <v>9542.23</v>
      </c>
      <c r="S2030">
        <v>882.18002911999997</v>
      </c>
      <c r="T2030">
        <v>0</v>
      </c>
      <c r="U2030">
        <v>0</v>
      </c>
      <c r="V2030">
        <v>9542.23</v>
      </c>
      <c r="W2030" t="s">
        <v>0</v>
      </c>
      <c r="X2030" t="s">
        <v>271</v>
      </c>
      <c r="Y2030" t="s">
        <v>4296</v>
      </c>
      <c r="AA2030" t="s">
        <v>4297</v>
      </c>
      <c r="AB2030" t="s">
        <v>181</v>
      </c>
    </row>
    <row r="2031" spans="1:28" x14ac:dyDescent="0.25">
      <c r="A2031" t="s">
        <v>4086</v>
      </c>
      <c r="B2031" t="s">
        <v>4087</v>
      </c>
      <c r="C2031" t="s">
        <v>646</v>
      </c>
      <c r="D2031" t="s">
        <v>3779</v>
      </c>
      <c r="E2031" t="s">
        <v>647</v>
      </c>
      <c r="F2031" t="s">
        <v>3780</v>
      </c>
      <c r="G2031" t="s">
        <v>769</v>
      </c>
      <c r="H2031" t="s">
        <v>802</v>
      </c>
      <c r="I2031" t="s">
        <v>4088</v>
      </c>
      <c r="J2031" t="s">
        <v>480</v>
      </c>
      <c r="K2031" t="s">
        <v>166</v>
      </c>
      <c r="L2031" t="s">
        <v>0</v>
      </c>
      <c r="M2031" t="s">
        <v>178</v>
      </c>
      <c r="N2031">
        <v>362</v>
      </c>
      <c r="O2031">
        <v>348</v>
      </c>
      <c r="P2031">
        <v>6873</v>
      </c>
      <c r="Q2031">
        <v>18057.849999999999</v>
      </c>
      <c r="R2031">
        <v>3336.58</v>
      </c>
      <c r="S2031">
        <v>2063.8160376000001</v>
      </c>
      <c r="T2031">
        <v>0</v>
      </c>
      <c r="U2031">
        <v>0</v>
      </c>
      <c r="V2031">
        <v>3336.58</v>
      </c>
      <c r="W2031" t="s">
        <v>4089</v>
      </c>
      <c r="X2031" t="s">
        <v>271</v>
      </c>
      <c r="Y2031" t="s">
        <v>4090</v>
      </c>
      <c r="AA2031" t="s">
        <v>4091</v>
      </c>
      <c r="AB2031" t="s">
        <v>181</v>
      </c>
    </row>
    <row r="2032" spans="1:28" x14ac:dyDescent="0.25">
      <c r="A2032" t="s">
        <v>4194</v>
      </c>
      <c r="B2032" t="s">
        <v>4195</v>
      </c>
      <c r="C2032" t="s">
        <v>646</v>
      </c>
      <c r="D2032" t="s">
        <v>3779</v>
      </c>
      <c r="E2032" t="s">
        <v>647</v>
      </c>
      <c r="F2032" t="s">
        <v>3780</v>
      </c>
      <c r="G2032" t="s">
        <v>769</v>
      </c>
      <c r="H2032" t="s">
        <v>856</v>
      </c>
      <c r="I2032" t="s">
        <v>1190</v>
      </c>
      <c r="J2032" t="s">
        <v>1191</v>
      </c>
      <c r="K2032" t="s">
        <v>166</v>
      </c>
      <c r="L2032" t="s">
        <v>0</v>
      </c>
      <c r="M2032" t="s">
        <v>178</v>
      </c>
      <c r="N2032">
        <v>1</v>
      </c>
      <c r="O2032">
        <v>0</v>
      </c>
      <c r="P2032">
        <v>31.47</v>
      </c>
      <c r="Q2032">
        <v>80.88</v>
      </c>
      <c r="R2032">
        <v>5.35</v>
      </c>
      <c r="S2032">
        <v>0.75527999999999995</v>
      </c>
      <c r="T2032">
        <v>0</v>
      </c>
      <c r="U2032">
        <v>0</v>
      </c>
      <c r="V2032">
        <v>5.35</v>
      </c>
      <c r="W2032" t="s">
        <v>282</v>
      </c>
      <c r="X2032" t="s">
        <v>271</v>
      </c>
      <c r="Y2032" t="s">
        <v>4059</v>
      </c>
      <c r="AA2032" t="s">
        <v>2171</v>
      </c>
      <c r="AB2032" t="s">
        <v>181</v>
      </c>
    </row>
    <row r="2033" spans="1:28" x14ac:dyDescent="0.25">
      <c r="A2033" t="s">
        <v>3883</v>
      </c>
      <c r="B2033" t="s">
        <v>3884</v>
      </c>
      <c r="C2033" t="s">
        <v>646</v>
      </c>
      <c r="D2033" t="s">
        <v>3779</v>
      </c>
      <c r="E2033" t="s">
        <v>647</v>
      </c>
      <c r="F2033" t="s">
        <v>3780</v>
      </c>
      <c r="G2033" t="s">
        <v>769</v>
      </c>
      <c r="H2033" t="s">
        <v>717</v>
      </c>
      <c r="I2033" t="s">
        <v>3885</v>
      </c>
      <c r="J2033" t="s">
        <v>1861</v>
      </c>
      <c r="K2033" t="s">
        <v>166</v>
      </c>
      <c r="L2033" t="s">
        <v>0</v>
      </c>
      <c r="M2033" t="s">
        <v>178</v>
      </c>
      <c r="N2033">
        <v>3</v>
      </c>
      <c r="O2033">
        <v>0</v>
      </c>
      <c r="P2033">
        <v>39.9</v>
      </c>
      <c r="Q2033">
        <v>112.5</v>
      </c>
      <c r="R2033">
        <v>4.7699999999999996</v>
      </c>
      <c r="S2033">
        <v>1.1970000000000001</v>
      </c>
      <c r="T2033">
        <v>0</v>
      </c>
      <c r="U2033">
        <v>0</v>
      </c>
      <c r="V2033">
        <v>4.7699999999999996</v>
      </c>
      <c r="W2033" t="s">
        <v>1862</v>
      </c>
      <c r="X2033" t="s">
        <v>271</v>
      </c>
      <c r="Y2033" t="s">
        <v>3886</v>
      </c>
      <c r="AA2033" t="s">
        <v>3887</v>
      </c>
      <c r="AB2033" t="s">
        <v>181</v>
      </c>
    </row>
    <row r="2034" spans="1:28" x14ac:dyDescent="0.25">
      <c r="A2034" t="s">
        <v>3960</v>
      </c>
      <c r="B2034" t="s">
        <v>3961</v>
      </c>
      <c r="C2034" t="s">
        <v>646</v>
      </c>
      <c r="D2034" t="s">
        <v>3779</v>
      </c>
      <c r="E2034" t="s">
        <v>647</v>
      </c>
      <c r="F2034" t="s">
        <v>666</v>
      </c>
      <c r="G2034" t="s">
        <v>666</v>
      </c>
      <c r="H2034" t="s">
        <v>797</v>
      </c>
      <c r="I2034" t="s">
        <v>3962</v>
      </c>
      <c r="J2034" t="s">
        <v>575</v>
      </c>
      <c r="K2034" t="s">
        <v>166</v>
      </c>
      <c r="L2034" t="s">
        <v>0</v>
      </c>
      <c r="M2034" t="s">
        <v>178</v>
      </c>
      <c r="N2034">
        <v>1</v>
      </c>
      <c r="O2034">
        <v>1</v>
      </c>
      <c r="P2034">
        <v>10</v>
      </c>
      <c r="Q2034">
        <v>16.420000000000002</v>
      </c>
      <c r="R2034">
        <v>0.52</v>
      </c>
      <c r="S2034">
        <v>1</v>
      </c>
      <c r="T2034">
        <v>0</v>
      </c>
      <c r="U2034">
        <v>0</v>
      </c>
      <c r="V2034">
        <v>0.52</v>
      </c>
      <c r="W2034" t="s">
        <v>0</v>
      </c>
      <c r="X2034" t="s">
        <v>271</v>
      </c>
      <c r="Y2034" t="s">
        <v>3963</v>
      </c>
      <c r="AA2034" t="s">
        <v>3964</v>
      </c>
      <c r="AB2034" t="s">
        <v>181</v>
      </c>
    </row>
    <row r="2035" spans="1:28" x14ac:dyDescent="0.25">
      <c r="A2035" t="s">
        <v>4179</v>
      </c>
      <c r="B2035" t="s">
        <v>4180</v>
      </c>
      <c r="C2035" t="s">
        <v>646</v>
      </c>
      <c r="D2035" t="s">
        <v>3779</v>
      </c>
      <c r="E2035" t="s">
        <v>647</v>
      </c>
      <c r="F2035" t="s">
        <v>3780</v>
      </c>
      <c r="G2035" t="s">
        <v>769</v>
      </c>
      <c r="H2035" t="s">
        <v>1171</v>
      </c>
      <c r="I2035" t="s">
        <v>4181</v>
      </c>
      <c r="J2035" t="s">
        <v>816</v>
      </c>
      <c r="K2035" t="s">
        <v>166</v>
      </c>
      <c r="L2035" t="s">
        <v>0</v>
      </c>
      <c r="M2035" t="s">
        <v>178</v>
      </c>
      <c r="N2035">
        <v>102</v>
      </c>
      <c r="O2035">
        <v>97</v>
      </c>
      <c r="P2035">
        <v>1733.55</v>
      </c>
      <c r="Q2035">
        <v>17664.02</v>
      </c>
      <c r="R2035">
        <v>1787.96893819</v>
      </c>
      <c r="S2035">
        <v>80.050614890000006</v>
      </c>
      <c r="T2035">
        <v>16.968938189999999</v>
      </c>
      <c r="U2035">
        <v>0</v>
      </c>
      <c r="V2035">
        <v>1771</v>
      </c>
      <c r="W2035" t="s">
        <v>1490</v>
      </c>
      <c r="X2035" t="s">
        <v>271</v>
      </c>
      <c r="Y2035" t="s">
        <v>4182</v>
      </c>
      <c r="AA2035" t="s">
        <v>4183</v>
      </c>
      <c r="AB2035" t="s">
        <v>181</v>
      </c>
    </row>
    <row r="2036" spans="1:28" x14ac:dyDescent="0.25">
      <c r="A2036" t="s">
        <v>4240</v>
      </c>
      <c r="B2036" t="s">
        <v>4241</v>
      </c>
      <c r="C2036" t="s">
        <v>646</v>
      </c>
      <c r="D2036" t="s">
        <v>3779</v>
      </c>
      <c r="E2036" t="s">
        <v>647</v>
      </c>
      <c r="F2036" t="s">
        <v>666</v>
      </c>
      <c r="G2036" t="s">
        <v>666</v>
      </c>
      <c r="H2036" t="s">
        <v>770</v>
      </c>
      <c r="I2036" t="s">
        <v>880</v>
      </c>
      <c r="J2036" t="s">
        <v>881</v>
      </c>
      <c r="K2036" t="s">
        <v>166</v>
      </c>
      <c r="L2036" t="s">
        <v>0</v>
      </c>
      <c r="M2036" t="s">
        <v>178</v>
      </c>
      <c r="N2036">
        <v>300</v>
      </c>
      <c r="O2036">
        <v>249</v>
      </c>
      <c r="P2036">
        <v>7013</v>
      </c>
      <c r="Q2036">
        <v>6304.65</v>
      </c>
      <c r="R2036">
        <v>744</v>
      </c>
      <c r="S2036">
        <v>906.72411726999997</v>
      </c>
      <c r="T2036">
        <v>22</v>
      </c>
      <c r="U2036">
        <v>45.29</v>
      </c>
      <c r="V2036">
        <v>789.29</v>
      </c>
      <c r="W2036" t="s">
        <v>0</v>
      </c>
      <c r="X2036" t="s">
        <v>271</v>
      </c>
      <c r="Y2036" t="s">
        <v>4242</v>
      </c>
      <c r="AA2036" t="s">
        <v>4243</v>
      </c>
      <c r="AB2036" t="s">
        <v>181</v>
      </c>
    </row>
    <row r="2037" spans="1:28" x14ac:dyDescent="0.25">
      <c r="A2037" t="s">
        <v>4015</v>
      </c>
      <c r="B2037" t="s">
        <v>4016</v>
      </c>
      <c r="C2037" t="s">
        <v>646</v>
      </c>
      <c r="D2037" t="s">
        <v>3779</v>
      </c>
      <c r="E2037" t="s">
        <v>647</v>
      </c>
      <c r="F2037" t="s">
        <v>3780</v>
      </c>
      <c r="G2037" t="s">
        <v>769</v>
      </c>
      <c r="H2037" t="s">
        <v>909</v>
      </c>
      <c r="I2037" t="s">
        <v>4017</v>
      </c>
      <c r="J2037" t="s">
        <v>4018</v>
      </c>
      <c r="K2037" t="s">
        <v>166</v>
      </c>
      <c r="L2037" t="s">
        <v>0</v>
      </c>
      <c r="M2037" t="s">
        <v>178</v>
      </c>
      <c r="N2037">
        <v>79.916700000000006</v>
      </c>
      <c r="O2037">
        <v>79.416700000000006</v>
      </c>
      <c r="P2037">
        <v>2724.09</v>
      </c>
      <c r="Q2037">
        <v>3056.71</v>
      </c>
      <c r="R2037">
        <v>475.63</v>
      </c>
      <c r="S2037">
        <v>631.00820532</v>
      </c>
      <c r="T2037">
        <v>0</v>
      </c>
      <c r="U2037">
        <v>0</v>
      </c>
      <c r="V2037">
        <v>475.63</v>
      </c>
      <c r="W2037" t="s">
        <v>4019</v>
      </c>
      <c r="X2037" t="s">
        <v>271</v>
      </c>
      <c r="Y2037" t="s">
        <v>4020</v>
      </c>
      <c r="AA2037" t="s">
        <v>4021</v>
      </c>
      <c r="AB2037" t="s">
        <v>181</v>
      </c>
    </row>
    <row r="2038" spans="1:28" x14ac:dyDescent="0.25">
      <c r="A2038" t="s">
        <v>3938</v>
      </c>
      <c r="B2038" t="s">
        <v>3939</v>
      </c>
      <c r="C2038" t="s">
        <v>646</v>
      </c>
      <c r="D2038" t="s">
        <v>3779</v>
      </c>
      <c r="E2038" t="s">
        <v>647</v>
      </c>
      <c r="F2038" t="s">
        <v>3780</v>
      </c>
      <c r="G2038" t="s">
        <v>769</v>
      </c>
      <c r="H2038" t="s">
        <v>909</v>
      </c>
      <c r="I2038" t="s">
        <v>3940</v>
      </c>
      <c r="J2038" t="s">
        <v>3941</v>
      </c>
      <c r="K2038" t="s">
        <v>166</v>
      </c>
      <c r="L2038" t="s">
        <v>0</v>
      </c>
      <c r="M2038" t="s">
        <v>178</v>
      </c>
      <c r="N2038">
        <v>336</v>
      </c>
      <c r="O2038">
        <v>332</v>
      </c>
      <c r="P2038">
        <v>11812</v>
      </c>
      <c r="Q2038">
        <v>6831.8</v>
      </c>
      <c r="R2038">
        <v>534.96</v>
      </c>
      <c r="S2038">
        <v>1271.59971249</v>
      </c>
      <c r="T2038">
        <v>0</v>
      </c>
      <c r="U2038">
        <v>0</v>
      </c>
      <c r="V2038">
        <v>534.96</v>
      </c>
      <c r="W2038" t="s">
        <v>0</v>
      </c>
      <c r="X2038" t="s">
        <v>271</v>
      </c>
      <c r="Y2038" t="s">
        <v>3942</v>
      </c>
      <c r="AA2038" t="s">
        <v>3943</v>
      </c>
      <c r="AB2038" t="s">
        <v>181</v>
      </c>
    </row>
    <row r="2039" spans="1:28" x14ac:dyDescent="0.25">
      <c r="A2039" t="s">
        <v>4357</v>
      </c>
      <c r="B2039" t="s">
        <v>4358</v>
      </c>
      <c r="C2039" t="s">
        <v>646</v>
      </c>
      <c r="D2039" t="s">
        <v>3779</v>
      </c>
      <c r="E2039" t="s">
        <v>647</v>
      </c>
      <c r="F2039" t="s">
        <v>3780</v>
      </c>
      <c r="G2039" t="s">
        <v>769</v>
      </c>
      <c r="H2039" t="s">
        <v>683</v>
      </c>
      <c r="I2039" t="s">
        <v>1599</v>
      </c>
      <c r="J2039" t="s">
        <v>1600</v>
      </c>
      <c r="K2039" t="s">
        <v>166</v>
      </c>
      <c r="L2039" t="s">
        <v>0</v>
      </c>
      <c r="M2039" t="s">
        <v>178</v>
      </c>
      <c r="N2039">
        <v>541.25</v>
      </c>
      <c r="O2039">
        <v>274.25</v>
      </c>
      <c r="P2039">
        <v>5409.39</v>
      </c>
      <c r="Q2039">
        <v>18684.669999999998</v>
      </c>
      <c r="R2039">
        <v>5485.4861685200003</v>
      </c>
      <c r="S2039">
        <v>2917.0928525600002</v>
      </c>
      <c r="T2039">
        <v>-3.83148E-3</v>
      </c>
      <c r="U2039">
        <v>0</v>
      </c>
      <c r="V2039">
        <v>5485.49</v>
      </c>
      <c r="W2039" t="s">
        <v>1601</v>
      </c>
      <c r="X2039" t="s">
        <v>269</v>
      </c>
      <c r="Y2039" t="s">
        <v>4359</v>
      </c>
      <c r="AA2039" t="s">
        <v>4360</v>
      </c>
      <c r="AB2039" t="s">
        <v>181</v>
      </c>
    </row>
    <row r="2040" spans="1:28" x14ac:dyDescent="0.25">
      <c r="A2040" t="s">
        <v>4117</v>
      </c>
      <c r="B2040" t="s">
        <v>4118</v>
      </c>
      <c r="C2040" t="s">
        <v>646</v>
      </c>
      <c r="D2040" t="s">
        <v>3779</v>
      </c>
      <c r="E2040" t="s">
        <v>647</v>
      </c>
      <c r="F2040" t="s">
        <v>3780</v>
      </c>
      <c r="G2040" t="s">
        <v>769</v>
      </c>
      <c r="H2040" t="s">
        <v>797</v>
      </c>
      <c r="I2040" t="s">
        <v>1190</v>
      </c>
      <c r="J2040" t="s">
        <v>1191</v>
      </c>
      <c r="K2040" t="s">
        <v>166</v>
      </c>
      <c r="L2040" t="s">
        <v>0</v>
      </c>
      <c r="M2040" t="s">
        <v>178</v>
      </c>
      <c r="N2040">
        <v>125</v>
      </c>
      <c r="O2040">
        <v>109</v>
      </c>
      <c r="P2040">
        <v>1372</v>
      </c>
      <c r="Q2040">
        <v>3333.68</v>
      </c>
      <c r="R2040">
        <v>219.11587148999999</v>
      </c>
      <c r="S2040">
        <v>880.3062218</v>
      </c>
      <c r="T2040">
        <v>0.10587149</v>
      </c>
      <c r="U2040">
        <v>0</v>
      </c>
      <c r="V2040">
        <v>219.01</v>
      </c>
      <c r="W2040" t="s">
        <v>282</v>
      </c>
      <c r="X2040" t="s">
        <v>271</v>
      </c>
      <c r="Y2040" t="s">
        <v>2170</v>
      </c>
      <c r="AA2040" t="s">
        <v>2171</v>
      </c>
      <c r="AB2040" t="s">
        <v>181</v>
      </c>
    </row>
    <row r="2041" spans="1:28" x14ac:dyDescent="0.25">
      <c r="A2041" t="s">
        <v>3944</v>
      </c>
      <c r="B2041" t="s">
        <v>3945</v>
      </c>
      <c r="C2041" t="s">
        <v>646</v>
      </c>
      <c r="D2041" t="s">
        <v>3779</v>
      </c>
      <c r="E2041" t="s">
        <v>647</v>
      </c>
      <c r="F2041" t="s">
        <v>3780</v>
      </c>
      <c r="G2041" t="s">
        <v>769</v>
      </c>
      <c r="H2041" t="s">
        <v>962</v>
      </c>
      <c r="I2041" t="s">
        <v>798</v>
      </c>
      <c r="J2041" t="s">
        <v>524</v>
      </c>
      <c r="K2041" t="s">
        <v>166</v>
      </c>
      <c r="L2041" t="s">
        <v>0</v>
      </c>
      <c r="M2041" t="s">
        <v>178</v>
      </c>
      <c r="N2041">
        <v>214</v>
      </c>
      <c r="O2041">
        <v>182</v>
      </c>
      <c r="P2041">
        <v>3497.29</v>
      </c>
      <c r="Q2041">
        <v>14779.33</v>
      </c>
      <c r="R2041">
        <v>3461.4366633700001</v>
      </c>
      <c r="S2041">
        <v>1608.6044593500001</v>
      </c>
      <c r="T2041">
        <v>2.6663369999999999E-2</v>
      </c>
      <c r="U2041">
        <v>0</v>
      </c>
      <c r="V2041">
        <v>3461.41</v>
      </c>
      <c r="W2041" t="s">
        <v>258</v>
      </c>
      <c r="X2041" t="s">
        <v>271</v>
      </c>
      <c r="Y2041" t="s">
        <v>3946</v>
      </c>
      <c r="AA2041" t="s">
        <v>3947</v>
      </c>
      <c r="AB2041" t="s">
        <v>181</v>
      </c>
    </row>
    <row r="2042" spans="1:28" x14ac:dyDescent="0.25">
      <c r="A2042" t="s">
        <v>3909</v>
      </c>
      <c r="B2042" t="s">
        <v>3910</v>
      </c>
      <c r="C2042" t="s">
        <v>646</v>
      </c>
      <c r="D2042" t="s">
        <v>3779</v>
      </c>
      <c r="E2042" t="s">
        <v>647</v>
      </c>
      <c r="F2042" t="s">
        <v>666</v>
      </c>
      <c r="G2042" t="s">
        <v>666</v>
      </c>
      <c r="H2042" t="s">
        <v>717</v>
      </c>
      <c r="I2042" t="s">
        <v>3911</v>
      </c>
      <c r="J2042" t="s">
        <v>355</v>
      </c>
      <c r="K2042" t="s">
        <v>166</v>
      </c>
      <c r="L2042" t="s">
        <v>0</v>
      </c>
      <c r="M2042" t="s">
        <v>178</v>
      </c>
      <c r="N2042">
        <v>157</v>
      </c>
      <c r="O2042">
        <v>4</v>
      </c>
      <c r="P2042">
        <v>2080.4</v>
      </c>
      <c r="Q2042">
        <v>7943.38</v>
      </c>
      <c r="R2042">
        <v>2161.59</v>
      </c>
      <c r="S2042">
        <v>61.035166250000003</v>
      </c>
      <c r="T2042">
        <v>0</v>
      </c>
      <c r="U2042">
        <v>0</v>
      </c>
      <c r="V2042">
        <v>2161.59</v>
      </c>
      <c r="W2042" t="s">
        <v>0</v>
      </c>
      <c r="X2042" t="s">
        <v>271</v>
      </c>
      <c r="Y2042" t="s">
        <v>3912</v>
      </c>
      <c r="AA2042" t="s">
        <v>3894</v>
      </c>
      <c r="AB2042" t="s">
        <v>181</v>
      </c>
    </row>
    <row r="2043" spans="1:28" x14ac:dyDescent="0.25">
      <c r="A2043" t="s">
        <v>4270</v>
      </c>
      <c r="B2043" t="s">
        <v>4271</v>
      </c>
      <c r="C2043" t="s">
        <v>646</v>
      </c>
      <c r="D2043" t="s">
        <v>3779</v>
      </c>
      <c r="E2043" t="s">
        <v>647</v>
      </c>
      <c r="F2043" t="s">
        <v>3780</v>
      </c>
      <c r="G2043" t="s">
        <v>769</v>
      </c>
      <c r="H2043" t="s">
        <v>761</v>
      </c>
      <c r="I2043" t="s">
        <v>4272</v>
      </c>
      <c r="J2043" t="s">
        <v>352</v>
      </c>
      <c r="K2043" t="s">
        <v>166</v>
      </c>
      <c r="L2043" t="s">
        <v>0</v>
      </c>
      <c r="M2043" t="s">
        <v>178</v>
      </c>
      <c r="N2043">
        <v>6.4997999999999996</v>
      </c>
      <c r="O2043">
        <v>6.4997999999999996</v>
      </c>
      <c r="P2043">
        <v>218</v>
      </c>
      <c r="Q2043">
        <v>299.64</v>
      </c>
      <c r="R2043">
        <v>82.38</v>
      </c>
      <c r="S2043">
        <v>66.832971799999996</v>
      </c>
      <c r="T2043">
        <v>0</v>
      </c>
      <c r="U2043">
        <v>0</v>
      </c>
      <c r="V2043">
        <v>82.38</v>
      </c>
      <c r="W2043" t="s">
        <v>314</v>
      </c>
      <c r="X2043" t="s">
        <v>271</v>
      </c>
      <c r="Y2043" t="s">
        <v>4273</v>
      </c>
      <c r="AA2043" t="s">
        <v>4274</v>
      </c>
      <c r="AB2043" t="s">
        <v>181</v>
      </c>
    </row>
    <row r="2044" spans="1:28" x14ac:dyDescent="0.25">
      <c r="A2044" t="s">
        <v>3998</v>
      </c>
      <c r="B2044" t="s">
        <v>3999</v>
      </c>
      <c r="C2044" t="s">
        <v>646</v>
      </c>
      <c r="D2044" t="s">
        <v>3779</v>
      </c>
      <c r="E2044" t="s">
        <v>647</v>
      </c>
      <c r="F2044" t="s">
        <v>3780</v>
      </c>
      <c r="G2044" t="s">
        <v>769</v>
      </c>
      <c r="H2044" t="s">
        <v>761</v>
      </c>
      <c r="I2044" t="s">
        <v>1636</v>
      </c>
      <c r="J2044" t="s">
        <v>1637</v>
      </c>
      <c r="K2044" t="s">
        <v>166</v>
      </c>
      <c r="L2044" t="s">
        <v>0</v>
      </c>
      <c r="M2044" t="s">
        <v>178</v>
      </c>
      <c r="N2044">
        <v>8.1667000000000005</v>
      </c>
      <c r="O2044">
        <v>1.1667000000000001</v>
      </c>
      <c r="P2044">
        <v>200.25</v>
      </c>
      <c r="Q2044">
        <v>358.38</v>
      </c>
      <c r="R2044">
        <v>31.6</v>
      </c>
      <c r="S2044">
        <v>57.97084967</v>
      </c>
      <c r="T2044">
        <v>0</v>
      </c>
      <c r="U2044">
        <v>0</v>
      </c>
      <c r="V2044">
        <v>31.6</v>
      </c>
      <c r="W2044" t="s">
        <v>1638</v>
      </c>
      <c r="X2044" t="s">
        <v>271</v>
      </c>
      <c r="Y2044" t="s">
        <v>4000</v>
      </c>
      <c r="AA2044" t="s">
        <v>4001</v>
      </c>
      <c r="AB2044" t="s">
        <v>181</v>
      </c>
    </row>
    <row r="2045" spans="1:28" x14ac:dyDescent="0.25">
      <c r="A2045" t="s">
        <v>4223</v>
      </c>
      <c r="B2045" t="s">
        <v>4224</v>
      </c>
      <c r="C2045" t="s">
        <v>646</v>
      </c>
      <c r="D2045" t="s">
        <v>3779</v>
      </c>
      <c r="E2045" t="s">
        <v>647</v>
      </c>
      <c r="F2045" t="s">
        <v>3780</v>
      </c>
      <c r="G2045" t="s">
        <v>769</v>
      </c>
      <c r="H2045" t="s">
        <v>962</v>
      </c>
      <c r="I2045" t="s">
        <v>4225</v>
      </c>
      <c r="J2045" t="s">
        <v>336</v>
      </c>
      <c r="K2045" t="s">
        <v>166</v>
      </c>
      <c r="L2045" t="s">
        <v>0</v>
      </c>
      <c r="M2045" t="s">
        <v>178</v>
      </c>
      <c r="N2045">
        <v>30</v>
      </c>
      <c r="O2045">
        <v>0</v>
      </c>
      <c r="P2045">
        <v>1764.59</v>
      </c>
      <c r="Q2045">
        <v>3823.82</v>
      </c>
      <c r="R2045">
        <v>1275.73</v>
      </c>
      <c r="S2045">
        <v>109.33824389999999</v>
      </c>
      <c r="T2045">
        <v>0</v>
      </c>
      <c r="U2045">
        <v>0</v>
      </c>
      <c r="V2045">
        <v>1275.73</v>
      </c>
      <c r="W2045" t="s">
        <v>461</v>
      </c>
      <c r="X2045" t="s">
        <v>271</v>
      </c>
      <c r="Y2045" t="s">
        <v>4226</v>
      </c>
      <c r="AA2045" t="s">
        <v>4227</v>
      </c>
      <c r="AB2045" t="s">
        <v>181</v>
      </c>
    </row>
    <row r="2046" spans="1:28" x14ac:dyDescent="0.25">
      <c r="A2046" t="s">
        <v>4211</v>
      </c>
      <c r="B2046" t="s">
        <v>4212</v>
      </c>
      <c r="C2046" t="s">
        <v>646</v>
      </c>
      <c r="D2046" t="s">
        <v>3779</v>
      </c>
      <c r="E2046" t="s">
        <v>647</v>
      </c>
      <c r="F2046" t="s">
        <v>3780</v>
      </c>
      <c r="G2046" t="s">
        <v>769</v>
      </c>
      <c r="H2046" t="s">
        <v>730</v>
      </c>
      <c r="I2046" t="s">
        <v>4213</v>
      </c>
      <c r="J2046" t="s">
        <v>437</v>
      </c>
      <c r="K2046" t="s">
        <v>166</v>
      </c>
      <c r="L2046" t="s">
        <v>0</v>
      </c>
      <c r="M2046" t="s">
        <v>178</v>
      </c>
      <c r="N2046">
        <v>76</v>
      </c>
      <c r="O2046">
        <v>14</v>
      </c>
      <c r="P2046">
        <v>2118.54</v>
      </c>
      <c r="Q2046">
        <v>7346.02</v>
      </c>
      <c r="R2046">
        <v>710.08848671999999</v>
      </c>
      <c r="S2046">
        <v>63.014296170000001</v>
      </c>
      <c r="T2046">
        <v>3169.2084867200001</v>
      </c>
      <c r="U2046">
        <v>0</v>
      </c>
      <c r="V2046">
        <v>724.49</v>
      </c>
      <c r="W2046" t="s">
        <v>510</v>
      </c>
      <c r="X2046" t="s">
        <v>271</v>
      </c>
      <c r="Y2046" t="s">
        <v>4214</v>
      </c>
      <c r="Z2046" t="s">
        <v>4175</v>
      </c>
      <c r="AA2046" t="s">
        <v>4215</v>
      </c>
      <c r="AB2046" t="s">
        <v>181</v>
      </c>
    </row>
    <row r="2047" spans="1:28" x14ac:dyDescent="0.25">
      <c r="A2047" t="s">
        <v>4244</v>
      </c>
      <c r="B2047" t="s">
        <v>4245</v>
      </c>
      <c r="C2047" t="s">
        <v>646</v>
      </c>
      <c r="D2047" t="s">
        <v>3779</v>
      </c>
      <c r="E2047" t="s">
        <v>647</v>
      </c>
      <c r="F2047" t="s">
        <v>3780</v>
      </c>
      <c r="G2047" t="s">
        <v>769</v>
      </c>
      <c r="H2047" t="s">
        <v>797</v>
      </c>
      <c r="I2047" t="s">
        <v>1251</v>
      </c>
      <c r="J2047" t="s">
        <v>821</v>
      </c>
      <c r="K2047" t="s">
        <v>166</v>
      </c>
      <c r="L2047" t="s">
        <v>0</v>
      </c>
      <c r="M2047" t="s">
        <v>178</v>
      </c>
      <c r="N2047">
        <v>32.25</v>
      </c>
      <c r="O2047">
        <v>23</v>
      </c>
      <c r="P2047">
        <v>347</v>
      </c>
      <c r="Q2047">
        <v>1431.67</v>
      </c>
      <c r="R2047">
        <v>355.32</v>
      </c>
      <c r="S2047">
        <v>204.36959747</v>
      </c>
      <c r="T2047">
        <v>0</v>
      </c>
      <c r="U2047">
        <v>0</v>
      </c>
      <c r="V2047">
        <v>355.32</v>
      </c>
      <c r="W2047" t="s">
        <v>822</v>
      </c>
      <c r="X2047" t="s">
        <v>269</v>
      </c>
      <c r="Y2047" t="s">
        <v>4246</v>
      </c>
      <c r="AA2047" t="s">
        <v>4247</v>
      </c>
      <c r="AB2047" t="s">
        <v>181</v>
      </c>
    </row>
    <row r="2048" spans="1:28" x14ac:dyDescent="0.25">
      <c r="A2048" t="s">
        <v>3814</v>
      </c>
      <c r="B2048" t="s">
        <v>3815</v>
      </c>
      <c r="C2048" t="s">
        <v>646</v>
      </c>
      <c r="D2048" t="s">
        <v>3779</v>
      </c>
      <c r="E2048" t="s">
        <v>647</v>
      </c>
      <c r="F2048" t="s">
        <v>3780</v>
      </c>
      <c r="G2048" t="s">
        <v>769</v>
      </c>
      <c r="H2048" t="s">
        <v>708</v>
      </c>
      <c r="I2048" t="s">
        <v>3816</v>
      </c>
      <c r="J2048" t="s">
        <v>548</v>
      </c>
      <c r="K2048" t="s">
        <v>166</v>
      </c>
      <c r="L2048" t="s">
        <v>0</v>
      </c>
      <c r="M2048" t="s">
        <v>178</v>
      </c>
      <c r="N2048">
        <v>81.000100000000003</v>
      </c>
      <c r="O2048">
        <v>59.833399999999997</v>
      </c>
      <c r="P2048">
        <v>931.93</v>
      </c>
      <c r="Q2048">
        <v>2420.04</v>
      </c>
      <c r="R2048">
        <v>-201.88</v>
      </c>
      <c r="S2048">
        <v>883.50773379999998</v>
      </c>
      <c r="T2048">
        <v>0</v>
      </c>
      <c r="U2048">
        <v>323.20999999999998</v>
      </c>
      <c r="V2048">
        <v>121.33</v>
      </c>
      <c r="W2048" t="s">
        <v>241</v>
      </c>
      <c r="X2048" t="s">
        <v>271</v>
      </c>
      <c r="Y2048" t="s">
        <v>3817</v>
      </c>
      <c r="AA2048" t="s">
        <v>3818</v>
      </c>
      <c r="AB2048" t="s">
        <v>181</v>
      </c>
    </row>
    <row r="2049" spans="1:28" x14ac:dyDescent="0.25">
      <c r="A2049" t="s">
        <v>3892</v>
      </c>
      <c r="B2049" t="s">
        <v>3893</v>
      </c>
      <c r="C2049" t="s">
        <v>646</v>
      </c>
      <c r="D2049" t="s">
        <v>3779</v>
      </c>
      <c r="E2049" t="s">
        <v>647</v>
      </c>
      <c r="F2049" t="s">
        <v>666</v>
      </c>
      <c r="G2049" t="s">
        <v>666</v>
      </c>
      <c r="H2049" t="s">
        <v>708</v>
      </c>
      <c r="I2049" t="s">
        <v>2102</v>
      </c>
      <c r="J2049" t="s">
        <v>355</v>
      </c>
      <c r="K2049" t="s">
        <v>166</v>
      </c>
      <c r="L2049" t="s">
        <v>0</v>
      </c>
      <c r="M2049" t="s">
        <v>178</v>
      </c>
      <c r="N2049">
        <v>2.1667000000000001</v>
      </c>
      <c r="O2049">
        <v>1.1667000000000001</v>
      </c>
      <c r="P2049">
        <v>8.02</v>
      </c>
      <c r="Q2049">
        <v>117.79</v>
      </c>
      <c r="R2049">
        <v>17.420000000000002</v>
      </c>
      <c r="S2049">
        <v>29.324038999999999</v>
      </c>
      <c r="T2049">
        <v>0</v>
      </c>
      <c r="U2049">
        <v>0</v>
      </c>
      <c r="V2049">
        <v>17.420000000000002</v>
      </c>
      <c r="W2049" t="s">
        <v>0</v>
      </c>
      <c r="X2049" t="s">
        <v>271</v>
      </c>
      <c r="Y2049" t="s">
        <v>2103</v>
      </c>
      <c r="AA2049" t="s">
        <v>3894</v>
      </c>
      <c r="AB2049" t="s">
        <v>181</v>
      </c>
    </row>
    <row r="2050" spans="1:28" x14ac:dyDescent="0.25">
      <c r="A2050" t="s">
        <v>4194</v>
      </c>
      <c r="B2050" t="s">
        <v>4195</v>
      </c>
      <c r="C2050" t="s">
        <v>646</v>
      </c>
      <c r="D2050" t="s">
        <v>3779</v>
      </c>
      <c r="E2050" t="s">
        <v>647</v>
      </c>
      <c r="F2050" t="s">
        <v>3780</v>
      </c>
      <c r="G2050" t="s">
        <v>769</v>
      </c>
      <c r="H2050" t="s">
        <v>757</v>
      </c>
      <c r="I2050" t="s">
        <v>1190</v>
      </c>
      <c r="J2050" t="s">
        <v>1191</v>
      </c>
      <c r="K2050" t="s">
        <v>166</v>
      </c>
      <c r="L2050" t="s">
        <v>0</v>
      </c>
      <c r="M2050" t="s">
        <v>178</v>
      </c>
      <c r="N2050">
        <v>45</v>
      </c>
      <c r="O2050">
        <v>4</v>
      </c>
      <c r="P2050">
        <v>622.58000000000004</v>
      </c>
      <c r="Q2050">
        <v>679.08</v>
      </c>
      <c r="R2050">
        <v>31.92</v>
      </c>
      <c r="S2050">
        <v>107.80442425</v>
      </c>
      <c r="T2050">
        <v>3.84</v>
      </c>
      <c r="U2050">
        <v>33.479999999999997</v>
      </c>
      <c r="V2050">
        <v>61.56</v>
      </c>
      <c r="W2050" t="s">
        <v>282</v>
      </c>
      <c r="X2050" t="s">
        <v>271</v>
      </c>
      <c r="Y2050" t="s">
        <v>4059</v>
      </c>
      <c r="AA2050" t="s">
        <v>2171</v>
      </c>
      <c r="AB2050" t="s">
        <v>181</v>
      </c>
    </row>
    <row r="2051" spans="1:28" x14ac:dyDescent="0.25">
      <c r="A2051" t="s">
        <v>4179</v>
      </c>
      <c r="B2051" t="s">
        <v>4180</v>
      </c>
      <c r="C2051" t="s">
        <v>646</v>
      </c>
      <c r="D2051" t="s">
        <v>3779</v>
      </c>
      <c r="E2051" t="s">
        <v>647</v>
      </c>
      <c r="F2051" t="s">
        <v>3780</v>
      </c>
      <c r="G2051" t="s">
        <v>769</v>
      </c>
      <c r="H2051" t="s">
        <v>730</v>
      </c>
      <c r="I2051" t="s">
        <v>4181</v>
      </c>
      <c r="J2051" t="s">
        <v>816</v>
      </c>
      <c r="K2051" t="s">
        <v>166</v>
      </c>
      <c r="L2051" t="s">
        <v>0</v>
      </c>
      <c r="M2051" t="s">
        <v>178</v>
      </c>
      <c r="N2051">
        <v>27</v>
      </c>
      <c r="O2051">
        <v>1</v>
      </c>
      <c r="P2051">
        <v>1312.6</v>
      </c>
      <c r="Q2051">
        <v>315.35000000000002</v>
      </c>
      <c r="R2051">
        <v>98.28</v>
      </c>
      <c r="S2051">
        <v>15.124700519999999</v>
      </c>
      <c r="T2051">
        <v>0</v>
      </c>
      <c r="U2051">
        <v>0</v>
      </c>
      <c r="V2051">
        <v>98.28</v>
      </c>
      <c r="W2051" t="s">
        <v>1490</v>
      </c>
      <c r="X2051" t="s">
        <v>271</v>
      </c>
      <c r="Y2051" t="s">
        <v>4182</v>
      </c>
      <c r="AA2051" t="s">
        <v>4183</v>
      </c>
      <c r="AB2051" t="s">
        <v>181</v>
      </c>
    </row>
    <row r="2052" spans="1:28" x14ac:dyDescent="0.25">
      <c r="A2052" t="s">
        <v>4155</v>
      </c>
      <c r="B2052" t="s">
        <v>4156</v>
      </c>
      <c r="C2052" t="s">
        <v>646</v>
      </c>
      <c r="D2052" t="s">
        <v>3779</v>
      </c>
      <c r="E2052" t="s">
        <v>647</v>
      </c>
      <c r="F2052" t="s">
        <v>3780</v>
      </c>
      <c r="G2052" t="s">
        <v>769</v>
      </c>
      <c r="H2052" t="s">
        <v>757</v>
      </c>
      <c r="I2052" t="s">
        <v>885</v>
      </c>
      <c r="J2052" t="s">
        <v>324</v>
      </c>
      <c r="K2052" t="s">
        <v>166</v>
      </c>
      <c r="L2052" t="s">
        <v>0</v>
      </c>
      <c r="M2052" t="s">
        <v>178</v>
      </c>
      <c r="N2052">
        <v>359</v>
      </c>
      <c r="O2052">
        <v>270</v>
      </c>
      <c r="P2052">
        <v>7758.55</v>
      </c>
      <c r="Q2052">
        <v>13488.14</v>
      </c>
      <c r="R2052">
        <v>1218.7704700199999</v>
      </c>
      <c r="S2052">
        <v>2209.9540458900001</v>
      </c>
      <c r="T2052">
        <v>0.12047002</v>
      </c>
      <c r="U2052">
        <v>0</v>
      </c>
      <c r="V2052">
        <v>1218.6500000000001</v>
      </c>
      <c r="W2052" t="s">
        <v>519</v>
      </c>
      <c r="X2052" t="s">
        <v>271</v>
      </c>
      <c r="Y2052" t="s">
        <v>4157</v>
      </c>
      <c r="AA2052" t="s">
        <v>4158</v>
      </c>
      <c r="AB2052" t="s">
        <v>181</v>
      </c>
    </row>
    <row r="2053" spans="1:28" x14ac:dyDescent="0.25">
      <c r="A2053" t="s">
        <v>4349</v>
      </c>
      <c r="B2053" t="s">
        <v>4350</v>
      </c>
      <c r="C2053" t="s">
        <v>646</v>
      </c>
      <c r="D2053" t="s">
        <v>3779</v>
      </c>
      <c r="E2053" t="s">
        <v>647</v>
      </c>
      <c r="F2053" t="s">
        <v>3780</v>
      </c>
      <c r="G2053" t="s">
        <v>769</v>
      </c>
      <c r="H2053" t="s">
        <v>703</v>
      </c>
      <c r="I2053" t="s">
        <v>2242</v>
      </c>
      <c r="J2053" t="s">
        <v>2243</v>
      </c>
      <c r="K2053" t="s">
        <v>166</v>
      </c>
      <c r="L2053" t="s">
        <v>0</v>
      </c>
      <c r="M2053" t="s">
        <v>178</v>
      </c>
      <c r="N2053">
        <v>224</v>
      </c>
      <c r="O2053">
        <v>129</v>
      </c>
      <c r="P2053">
        <v>1652.1</v>
      </c>
      <c r="Q2053">
        <v>8169.23</v>
      </c>
      <c r="R2053">
        <v>3281.4035372899998</v>
      </c>
      <c r="S2053">
        <v>1027.7373813500001</v>
      </c>
      <c r="T2053">
        <v>3.5372899999999998E-3</v>
      </c>
      <c r="U2053">
        <v>0</v>
      </c>
      <c r="V2053">
        <v>3281.4</v>
      </c>
      <c r="W2053" t="s">
        <v>1601</v>
      </c>
      <c r="X2053" t="s">
        <v>269</v>
      </c>
      <c r="Y2053" t="s">
        <v>4351</v>
      </c>
      <c r="AA2053" t="s">
        <v>4352</v>
      </c>
      <c r="AB2053" t="s">
        <v>181</v>
      </c>
    </row>
    <row r="2054" spans="1:28" x14ac:dyDescent="0.25">
      <c r="A2054" t="s">
        <v>4312</v>
      </c>
      <c r="B2054" t="s">
        <v>4313</v>
      </c>
      <c r="C2054" t="s">
        <v>646</v>
      </c>
      <c r="D2054" t="s">
        <v>3779</v>
      </c>
      <c r="E2054" t="s">
        <v>647</v>
      </c>
      <c r="F2054" t="s">
        <v>3780</v>
      </c>
      <c r="G2054" t="s">
        <v>769</v>
      </c>
      <c r="H2054" t="s">
        <v>802</v>
      </c>
      <c r="I2054" t="s">
        <v>4314</v>
      </c>
      <c r="J2054" t="s">
        <v>319</v>
      </c>
      <c r="K2054" t="s">
        <v>166</v>
      </c>
      <c r="L2054" t="s">
        <v>0</v>
      </c>
      <c r="M2054" t="s">
        <v>178</v>
      </c>
      <c r="N2054">
        <v>23.25</v>
      </c>
      <c r="O2054">
        <v>3.25</v>
      </c>
      <c r="P2054">
        <v>229</v>
      </c>
      <c r="Q2054">
        <v>1118.43</v>
      </c>
      <c r="R2054">
        <v>295.10000000000002</v>
      </c>
      <c r="S2054">
        <v>122.66463713</v>
      </c>
      <c r="T2054">
        <v>0</v>
      </c>
      <c r="U2054">
        <v>0</v>
      </c>
      <c r="V2054">
        <v>295.10000000000002</v>
      </c>
      <c r="W2054" t="s">
        <v>0</v>
      </c>
      <c r="X2054" t="s">
        <v>271</v>
      </c>
      <c r="Y2054" t="s">
        <v>4315</v>
      </c>
      <c r="AA2054" t="s">
        <v>3466</v>
      </c>
      <c r="AB2054" t="s">
        <v>181</v>
      </c>
    </row>
    <row r="2055" spans="1:28" x14ac:dyDescent="0.25">
      <c r="A2055" t="s">
        <v>4196</v>
      </c>
      <c r="B2055" t="s">
        <v>4197</v>
      </c>
      <c r="C2055" t="s">
        <v>646</v>
      </c>
      <c r="D2055" t="s">
        <v>3779</v>
      </c>
      <c r="E2055" t="s">
        <v>647</v>
      </c>
      <c r="F2055" t="s">
        <v>3780</v>
      </c>
      <c r="G2055" t="s">
        <v>769</v>
      </c>
      <c r="H2055" t="s">
        <v>683</v>
      </c>
      <c r="I2055" t="s">
        <v>4198</v>
      </c>
      <c r="J2055" t="s">
        <v>870</v>
      </c>
      <c r="K2055" t="s">
        <v>166</v>
      </c>
      <c r="L2055" t="s">
        <v>0</v>
      </c>
      <c r="M2055" t="s">
        <v>178</v>
      </c>
      <c r="N2055">
        <v>212</v>
      </c>
      <c r="O2055">
        <v>211</v>
      </c>
      <c r="P2055">
        <v>3887.41</v>
      </c>
      <c r="Q2055">
        <v>5590.4</v>
      </c>
      <c r="R2055">
        <v>879.2</v>
      </c>
      <c r="S2055">
        <v>1480.2251063000001</v>
      </c>
      <c r="T2055">
        <v>0</v>
      </c>
      <c r="U2055">
        <v>0</v>
      </c>
      <c r="V2055">
        <v>879.2</v>
      </c>
      <c r="W2055" t="s">
        <v>871</v>
      </c>
      <c r="X2055" t="s">
        <v>271</v>
      </c>
      <c r="Y2055" t="s">
        <v>4199</v>
      </c>
      <c r="AA2055" t="s">
        <v>4200</v>
      </c>
      <c r="AB2055" t="s">
        <v>181</v>
      </c>
    </row>
    <row r="2056" spans="1:28" x14ac:dyDescent="0.25">
      <c r="A2056" t="s">
        <v>4370</v>
      </c>
      <c r="B2056" t="s">
        <v>4371</v>
      </c>
      <c r="C2056" t="s">
        <v>646</v>
      </c>
      <c r="D2056" t="s">
        <v>3779</v>
      </c>
      <c r="E2056" t="s">
        <v>647</v>
      </c>
      <c r="F2056" t="s">
        <v>666</v>
      </c>
      <c r="G2056" t="s">
        <v>666</v>
      </c>
      <c r="H2056" t="s">
        <v>713</v>
      </c>
      <c r="I2056" t="s">
        <v>4372</v>
      </c>
      <c r="J2056" t="s">
        <v>355</v>
      </c>
      <c r="K2056" t="s">
        <v>166</v>
      </c>
      <c r="L2056" t="s">
        <v>0</v>
      </c>
      <c r="M2056" t="s">
        <v>178</v>
      </c>
      <c r="N2056">
        <v>568</v>
      </c>
      <c r="O2056">
        <v>0</v>
      </c>
      <c r="P2056">
        <v>16415</v>
      </c>
      <c r="Q2056">
        <v>6480.24</v>
      </c>
      <c r="R2056">
        <v>2109.12</v>
      </c>
      <c r="S2056">
        <v>7.2089999999999996</v>
      </c>
      <c r="T2056">
        <v>0</v>
      </c>
      <c r="U2056">
        <v>0</v>
      </c>
      <c r="V2056">
        <v>2109.12</v>
      </c>
      <c r="W2056" t="s">
        <v>0</v>
      </c>
      <c r="X2056" t="s">
        <v>271</v>
      </c>
      <c r="Y2056" t="s">
        <v>4373</v>
      </c>
      <c r="AA2056" t="s">
        <v>3894</v>
      </c>
      <c r="AB2056" t="s">
        <v>181</v>
      </c>
    </row>
    <row r="2057" spans="1:28" x14ac:dyDescent="0.25">
      <c r="A2057" t="s">
        <v>4064</v>
      </c>
      <c r="B2057" t="s">
        <v>4065</v>
      </c>
      <c r="C2057" t="s">
        <v>646</v>
      </c>
      <c r="D2057" t="s">
        <v>3779</v>
      </c>
      <c r="E2057" t="s">
        <v>647</v>
      </c>
      <c r="F2057" t="s">
        <v>3780</v>
      </c>
      <c r="G2057" t="s">
        <v>769</v>
      </c>
      <c r="H2057" t="s">
        <v>649</v>
      </c>
      <c r="I2057" t="s">
        <v>2469</v>
      </c>
      <c r="J2057" t="s">
        <v>2470</v>
      </c>
      <c r="K2057" t="s">
        <v>166</v>
      </c>
      <c r="L2057" t="s">
        <v>0</v>
      </c>
      <c r="M2057" t="s">
        <v>178</v>
      </c>
      <c r="N2057">
        <v>331</v>
      </c>
      <c r="O2057">
        <v>321</v>
      </c>
      <c r="P2057">
        <v>6523.09</v>
      </c>
      <c r="Q2057">
        <v>12934.11</v>
      </c>
      <c r="R2057">
        <v>1987.23</v>
      </c>
      <c r="S2057">
        <v>326.96141395000001</v>
      </c>
      <c r="T2057">
        <v>0</v>
      </c>
      <c r="U2057">
        <v>0</v>
      </c>
      <c r="V2057">
        <v>1987.23</v>
      </c>
      <c r="W2057" t="s">
        <v>4066</v>
      </c>
      <c r="X2057" t="s">
        <v>271</v>
      </c>
      <c r="Y2057" t="s">
        <v>4067</v>
      </c>
      <c r="AA2057" t="s">
        <v>4068</v>
      </c>
      <c r="AB2057" t="s">
        <v>181</v>
      </c>
    </row>
    <row r="2058" spans="1:28" x14ac:dyDescent="0.25">
      <c r="A2058" t="s">
        <v>4006</v>
      </c>
      <c r="B2058" t="s">
        <v>4007</v>
      </c>
      <c r="C2058" t="s">
        <v>646</v>
      </c>
      <c r="D2058" t="s">
        <v>3779</v>
      </c>
      <c r="E2058" t="s">
        <v>647</v>
      </c>
      <c r="F2058" t="s">
        <v>3780</v>
      </c>
      <c r="G2058" t="s">
        <v>769</v>
      </c>
      <c r="H2058" t="s">
        <v>909</v>
      </c>
      <c r="I2058" t="s">
        <v>4008</v>
      </c>
      <c r="J2058" t="s">
        <v>688</v>
      </c>
      <c r="K2058" t="s">
        <v>166</v>
      </c>
      <c r="L2058" t="s">
        <v>0</v>
      </c>
      <c r="M2058" t="s">
        <v>178</v>
      </c>
      <c r="N2058">
        <v>9</v>
      </c>
      <c r="O2058">
        <v>9</v>
      </c>
      <c r="P2058">
        <v>390</v>
      </c>
      <c r="Q2058">
        <v>385.68</v>
      </c>
      <c r="R2058">
        <v>13.28</v>
      </c>
      <c r="S2058">
        <v>81.385591379999994</v>
      </c>
      <c r="T2058">
        <v>0</v>
      </c>
      <c r="U2058">
        <v>0</v>
      </c>
      <c r="V2058">
        <v>13.28</v>
      </c>
      <c r="W2058" t="s">
        <v>0</v>
      </c>
      <c r="X2058" t="s">
        <v>271</v>
      </c>
      <c r="Y2058" t="s">
        <v>4009</v>
      </c>
      <c r="AA2058" t="s">
        <v>4010</v>
      </c>
      <c r="AB2058" t="s">
        <v>181</v>
      </c>
    </row>
    <row r="2059" spans="1:28" x14ac:dyDescent="0.25">
      <c r="A2059" t="s">
        <v>4280</v>
      </c>
      <c r="B2059" t="s">
        <v>4281</v>
      </c>
      <c r="C2059" t="s">
        <v>646</v>
      </c>
      <c r="D2059" t="s">
        <v>3779</v>
      </c>
      <c r="E2059" t="s">
        <v>647</v>
      </c>
      <c r="F2059" t="s">
        <v>3780</v>
      </c>
      <c r="G2059" t="s">
        <v>769</v>
      </c>
      <c r="H2059" t="s">
        <v>679</v>
      </c>
      <c r="I2059" t="s">
        <v>1872</v>
      </c>
      <c r="J2059" t="s">
        <v>1873</v>
      </c>
      <c r="K2059" t="s">
        <v>166</v>
      </c>
      <c r="L2059" t="s">
        <v>0</v>
      </c>
      <c r="M2059" t="s">
        <v>178</v>
      </c>
      <c r="N2059">
        <v>2</v>
      </c>
      <c r="O2059">
        <v>2</v>
      </c>
      <c r="P2059">
        <v>16.940000000000001</v>
      </c>
      <c r="Q2059">
        <v>25.98</v>
      </c>
      <c r="R2059">
        <v>2.42</v>
      </c>
      <c r="S2059">
        <v>15.59898198</v>
      </c>
      <c r="T2059">
        <v>0</v>
      </c>
      <c r="U2059">
        <v>0</v>
      </c>
      <c r="V2059">
        <v>2.42</v>
      </c>
      <c r="W2059" t="s">
        <v>1874</v>
      </c>
      <c r="X2059" t="s">
        <v>271</v>
      </c>
      <c r="Y2059" t="s">
        <v>4282</v>
      </c>
      <c r="AA2059" t="s">
        <v>4283</v>
      </c>
      <c r="AB2059" t="s">
        <v>181</v>
      </c>
    </row>
    <row r="2060" spans="1:28" x14ac:dyDescent="0.25">
      <c r="A2060" t="s">
        <v>4342</v>
      </c>
      <c r="B2060" t="s">
        <v>4343</v>
      </c>
      <c r="C2060" t="s">
        <v>646</v>
      </c>
      <c r="D2060" t="s">
        <v>3779</v>
      </c>
      <c r="E2060" t="s">
        <v>647</v>
      </c>
      <c r="F2060" t="s">
        <v>666</v>
      </c>
      <c r="G2060" t="s">
        <v>666</v>
      </c>
      <c r="H2060" t="s">
        <v>909</v>
      </c>
      <c r="I2060" t="s">
        <v>4344</v>
      </c>
      <c r="J2060" t="s">
        <v>355</v>
      </c>
      <c r="K2060" t="s">
        <v>166</v>
      </c>
      <c r="L2060" t="s">
        <v>0</v>
      </c>
      <c r="M2060" t="s">
        <v>178</v>
      </c>
      <c r="N2060">
        <v>2</v>
      </c>
      <c r="O2060">
        <v>2</v>
      </c>
      <c r="P2060">
        <v>12.76</v>
      </c>
      <c r="Q2060">
        <v>65.709999999999994</v>
      </c>
      <c r="R2060">
        <v>26.704378129999998</v>
      </c>
      <c r="S2060">
        <v>20.900622739999999</v>
      </c>
      <c r="T2060">
        <v>5.4378129999999997E-2</v>
      </c>
      <c r="U2060">
        <v>0</v>
      </c>
      <c r="V2060">
        <v>26.65</v>
      </c>
      <c r="W2060" t="s">
        <v>0</v>
      </c>
      <c r="X2060" t="s">
        <v>271</v>
      </c>
      <c r="Y2060" t="s">
        <v>4345</v>
      </c>
      <c r="AA2060" t="s">
        <v>3894</v>
      </c>
      <c r="AB2060" t="s">
        <v>181</v>
      </c>
    </row>
    <row r="2061" spans="1:28" x14ac:dyDescent="0.25">
      <c r="A2061" t="s">
        <v>3952</v>
      </c>
      <c r="B2061" t="s">
        <v>3953</v>
      </c>
      <c r="C2061" t="s">
        <v>646</v>
      </c>
      <c r="D2061" t="s">
        <v>3779</v>
      </c>
      <c r="E2061" t="s">
        <v>647</v>
      </c>
      <c r="F2061" t="s">
        <v>666</v>
      </c>
      <c r="G2061" t="s">
        <v>666</v>
      </c>
      <c r="H2061" t="s">
        <v>856</v>
      </c>
      <c r="I2061" t="s">
        <v>2032</v>
      </c>
      <c r="J2061" t="s">
        <v>311</v>
      </c>
      <c r="K2061" t="s">
        <v>166</v>
      </c>
      <c r="L2061" t="s">
        <v>0</v>
      </c>
      <c r="M2061" t="s">
        <v>178</v>
      </c>
      <c r="N2061">
        <v>4</v>
      </c>
      <c r="O2061">
        <v>1</v>
      </c>
      <c r="P2061">
        <v>65.680000000000007</v>
      </c>
      <c r="Q2061">
        <v>334.51</v>
      </c>
      <c r="R2061">
        <v>23.32</v>
      </c>
      <c r="S2061">
        <v>21.430568650000001</v>
      </c>
      <c r="T2061">
        <v>0</v>
      </c>
      <c r="U2061">
        <v>0</v>
      </c>
      <c r="V2061">
        <v>23.32</v>
      </c>
      <c r="W2061" t="s">
        <v>312</v>
      </c>
      <c r="X2061" t="s">
        <v>271</v>
      </c>
      <c r="Y2061" t="s">
        <v>3954</v>
      </c>
      <c r="AA2061" t="s">
        <v>3955</v>
      </c>
      <c r="AB2061" t="s">
        <v>181</v>
      </c>
    </row>
    <row r="2062" spans="1:28" x14ac:dyDescent="0.25">
      <c r="A2062" t="s">
        <v>4039</v>
      </c>
      <c r="B2062" t="s">
        <v>4040</v>
      </c>
      <c r="C2062" t="s">
        <v>646</v>
      </c>
      <c r="D2062" t="s">
        <v>3779</v>
      </c>
      <c r="E2062" t="s">
        <v>647</v>
      </c>
      <c r="F2062" t="s">
        <v>3780</v>
      </c>
      <c r="G2062" t="s">
        <v>769</v>
      </c>
      <c r="H2062" t="s">
        <v>856</v>
      </c>
      <c r="I2062" t="s">
        <v>1595</v>
      </c>
      <c r="J2062" t="s">
        <v>544</v>
      </c>
      <c r="K2062" t="s">
        <v>166</v>
      </c>
      <c r="L2062" t="s">
        <v>0</v>
      </c>
      <c r="M2062" t="s">
        <v>178</v>
      </c>
      <c r="N2062">
        <v>4</v>
      </c>
      <c r="O2062">
        <v>3</v>
      </c>
      <c r="P2062">
        <v>73.010000000000005</v>
      </c>
      <c r="Q2062">
        <v>969.91</v>
      </c>
      <c r="R2062">
        <v>55.86</v>
      </c>
      <c r="S2062">
        <v>17.033044</v>
      </c>
      <c r="T2062">
        <v>0</v>
      </c>
      <c r="U2062">
        <v>0</v>
      </c>
      <c r="V2062">
        <v>55.86</v>
      </c>
      <c r="W2062" t="s">
        <v>239</v>
      </c>
      <c r="X2062" t="s">
        <v>271</v>
      </c>
      <c r="Y2062" t="s">
        <v>4041</v>
      </c>
      <c r="AA2062" t="s">
        <v>4042</v>
      </c>
      <c r="AB2062" t="s">
        <v>181</v>
      </c>
    </row>
    <row r="2063" spans="1:28" x14ac:dyDescent="0.25">
      <c r="A2063" t="s">
        <v>4047</v>
      </c>
      <c r="B2063" t="s">
        <v>4048</v>
      </c>
      <c r="C2063" t="s">
        <v>646</v>
      </c>
      <c r="D2063" t="s">
        <v>3779</v>
      </c>
      <c r="E2063" t="s">
        <v>647</v>
      </c>
      <c r="F2063" t="s">
        <v>666</v>
      </c>
      <c r="G2063" t="s">
        <v>666</v>
      </c>
      <c r="H2063" t="s">
        <v>770</v>
      </c>
      <c r="I2063" t="s">
        <v>2292</v>
      </c>
      <c r="J2063" t="s">
        <v>1847</v>
      </c>
      <c r="K2063" t="s">
        <v>166</v>
      </c>
      <c r="L2063" t="s">
        <v>0</v>
      </c>
      <c r="M2063" t="s">
        <v>178</v>
      </c>
      <c r="N2063">
        <v>117.55</v>
      </c>
      <c r="O2063">
        <v>72.55</v>
      </c>
      <c r="P2063">
        <v>2156.08</v>
      </c>
      <c r="Q2063">
        <v>2616.04</v>
      </c>
      <c r="R2063">
        <v>461.55</v>
      </c>
      <c r="S2063">
        <v>328.34343236000001</v>
      </c>
      <c r="T2063">
        <v>0</v>
      </c>
      <c r="U2063">
        <v>0</v>
      </c>
      <c r="V2063">
        <v>450.43</v>
      </c>
      <c r="W2063" t="s">
        <v>1848</v>
      </c>
      <c r="X2063" t="s">
        <v>269</v>
      </c>
      <c r="Y2063" t="s">
        <v>4049</v>
      </c>
      <c r="AA2063" t="s">
        <v>4050</v>
      </c>
      <c r="AB2063" t="s">
        <v>181</v>
      </c>
    </row>
    <row r="2064" spans="1:28" x14ac:dyDescent="0.25">
      <c r="A2064" t="s">
        <v>3806</v>
      </c>
      <c r="B2064" t="s">
        <v>3807</v>
      </c>
      <c r="C2064" t="s">
        <v>646</v>
      </c>
      <c r="D2064" t="s">
        <v>3779</v>
      </c>
      <c r="E2064" t="s">
        <v>647</v>
      </c>
      <c r="F2064" t="s">
        <v>3780</v>
      </c>
      <c r="G2064" t="s">
        <v>769</v>
      </c>
      <c r="H2064" t="s">
        <v>713</v>
      </c>
      <c r="I2064" t="s">
        <v>2071</v>
      </c>
      <c r="J2064" t="s">
        <v>1664</v>
      </c>
      <c r="K2064" t="s">
        <v>166</v>
      </c>
      <c r="L2064" t="s">
        <v>0</v>
      </c>
      <c r="M2064" t="s">
        <v>178</v>
      </c>
      <c r="N2064">
        <v>1011</v>
      </c>
      <c r="O2064">
        <v>154</v>
      </c>
      <c r="P2064">
        <v>17378.75</v>
      </c>
      <c r="Q2064">
        <v>36566.660000000003</v>
      </c>
      <c r="R2064">
        <v>4003.3880524699998</v>
      </c>
      <c r="S2064">
        <v>2480.8165433499998</v>
      </c>
      <c r="T2064">
        <v>11109.91805247</v>
      </c>
      <c r="U2064">
        <v>0</v>
      </c>
      <c r="V2064">
        <v>4021.44</v>
      </c>
      <c r="W2064" t="s">
        <v>1665</v>
      </c>
      <c r="X2064" t="s">
        <v>271</v>
      </c>
      <c r="Y2064" t="s">
        <v>3808</v>
      </c>
      <c r="AA2064" t="s">
        <v>3809</v>
      </c>
      <c r="AB2064" t="s">
        <v>181</v>
      </c>
    </row>
    <row r="2065" spans="1:28" x14ac:dyDescent="0.25">
      <c r="A2065" t="s">
        <v>4211</v>
      </c>
      <c r="B2065" t="s">
        <v>4212</v>
      </c>
      <c r="C2065" t="s">
        <v>646</v>
      </c>
      <c r="D2065" t="s">
        <v>3779</v>
      </c>
      <c r="E2065" t="s">
        <v>647</v>
      </c>
      <c r="F2065" t="s">
        <v>3780</v>
      </c>
      <c r="G2065" t="s">
        <v>769</v>
      </c>
      <c r="H2065" t="s">
        <v>672</v>
      </c>
      <c r="I2065" t="s">
        <v>4213</v>
      </c>
      <c r="J2065" t="s">
        <v>437</v>
      </c>
      <c r="K2065" t="s">
        <v>166</v>
      </c>
      <c r="L2065" t="s">
        <v>0</v>
      </c>
      <c r="M2065" t="s">
        <v>178</v>
      </c>
      <c r="N2065">
        <v>297</v>
      </c>
      <c r="O2065">
        <v>187</v>
      </c>
      <c r="P2065">
        <v>7315.97</v>
      </c>
      <c r="Q2065">
        <v>11564.84</v>
      </c>
      <c r="R2065">
        <v>605.91473436000001</v>
      </c>
      <c r="S2065">
        <v>2076.8709130500001</v>
      </c>
      <c r="T2065">
        <v>-0.85526564000000005</v>
      </c>
      <c r="U2065">
        <v>0</v>
      </c>
      <c r="V2065">
        <v>606.77</v>
      </c>
      <c r="W2065" t="s">
        <v>510</v>
      </c>
      <c r="X2065" t="s">
        <v>271</v>
      </c>
      <c r="Y2065" t="s">
        <v>4214</v>
      </c>
      <c r="Z2065" t="s">
        <v>4175</v>
      </c>
      <c r="AA2065" t="s">
        <v>4215</v>
      </c>
      <c r="AB2065" t="s">
        <v>181</v>
      </c>
    </row>
    <row r="2066" spans="1:28" x14ac:dyDescent="0.25">
      <c r="A2066" t="s">
        <v>4333</v>
      </c>
      <c r="B2066" t="s">
        <v>4334</v>
      </c>
      <c r="C2066" t="s">
        <v>646</v>
      </c>
      <c r="D2066" t="s">
        <v>3779</v>
      </c>
      <c r="E2066" t="s">
        <v>647</v>
      </c>
      <c r="F2066" t="s">
        <v>666</v>
      </c>
      <c r="G2066" t="s">
        <v>666</v>
      </c>
      <c r="H2066" t="s">
        <v>909</v>
      </c>
      <c r="I2066" t="s">
        <v>3649</v>
      </c>
      <c r="J2066" t="s">
        <v>1567</v>
      </c>
      <c r="K2066" t="s">
        <v>166</v>
      </c>
      <c r="L2066" t="s">
        <v>0</v>
      </c>
      <c r="M2066" t="s">
        <v>178</v>
      </c>
      <c r="N2066">
        <v>224</v>
      </c>
      <c r="O2066">
        <v>220</v>
      </c>
      <c r="P2066">
        <v>6267.28</v>
      </c>
      <c r="Q2066">
        <v>5931.66</v>
      </c>
      <c r="R2066">
        <v>61.865222369999998</v>
      </c>
      <c r="S2066">
        <v>1689.7894813299999</v>
      </c>
      <c r="T2066">
        <v>3.22522237</v>
      </c>
      <c r="U2066">
        <v>536.20000000000005</v>
      </c>
      <c r="V2066">
        <v>595.84</v>
      </c>
      <c r="W2066" t="s">
        <v>556</v>
      </c>
      <c r="X2066" t="s">
        <v>271</v>
      </c>
      <c r="Y2066" t="s">
        <v>4335</v>
      </c>
      <c r="AA2066" t="s">
        <v>4336</v>
      </c>
      <c r="AB2066" t="s">
        <v>181</v>
      </c>
    </row>
    <row r="2067" spans="1:28" x14ac:dyDescent="0.25">
      <c r="A2067" t="s">
        <v>4039</v>
      </c>
      <c r="B2067" t="s">
        <v>4040</v>
      </c>
      <c r="C2067" t="s">
        <v>646</v>
      </c>
      <c r="D2067" t="s">
        <v>3779</v>
      </c>
      <c r="E2067" t="s">
        <v>647</v>
      </c>
      <c r="F2067" t="s">
        <v>3780</v>
      </c>
      <c r="G2067" t="s">
        <v>769</v>
      </c>
      <c r="H2067" t="s">
        <v>703</v>
      </c>
      <c r="I2067" t="s">
        <v>1595</v>
      </c>
      <c r="J2067" t="s">
        <v>544</v>
      </c>
      <c r="K2067" t="s">
        <v>166</v>
      </c>
      <c r="L2067" t="s">
        <v>0</v>
      </c>
      <c r="M2067" t="s">
        <v>178</v>
      </c>
      <c r="N2067">
        <v>636.5</v>
      </c>
      <c r="O2067">
        <v>306.5</v>
      </c>
      <c r="P2067">
        <v>11290.37</v>
      </c>
      <c r="Q2067">
        <v>30797.78</v>
      </c>
      <c r="R2067">
        <v>8296.2033645600004</v>
      </c>
      <c r="S2067">
        <v>4273.9852107400002</v>
      </c>
      <c r="T2067">
        <v>-0.11663544000000001</v>
      </c>
      <c r="U2067">
        <v>0</v>
      </c>
      <c r="V2067">
        <v>8296.32</v>
      </c>
      <c r="W2067" t="s">
        <v>239</v>
      </c>
      <c r="X2067" t="s">
        <v>271</v>
      </c>
      <c r="Y2067" t="s">
        <v>4041</v>
      </c>
      <c r="AA2067" t="s">
        <v>4042</v>
      </c>
      <c r="AB2067" t="s">
        <v>181</v>
      </c>
    </row>
    <row r="2068" spans="1:28" x14ac:dyDescent="0.25">
      <c r="A2068" t="s">
        <v>3921</v>
      </c>
      <c r="B2068" t="s">
        <v>3922</v>
      </c>
      <c r="C2068" t="s">
        <v>646</v>
      </c>
      <c r="D2068" t="s">
        <v>3779</v>
      </c>
      <c r="E2068" t="s">
        <v>647</v>
      </c>
      <c r="F2068" t="s">
        <v>666</v>
      </c>
      <c r="G2068" t="s">
        <v>666</v>
      </c>
      <c r="H2068" t="s">
        <v>761</v>
      </c>
      <c r="I2068" t="s">
        <v>902</v>
      </c>
      <c r="J2068" t="s">
        <v>562</v>
      </c>
      <c r="K2068" t="s">
        <v>166</v>
      </c>
      <c r="L2068" t="s">
        <v>0</v>
      </c>
      <c r="M2068" t="s">
        <v>178</v>
      </c>
      <c r="N2068">
        <v>454.33339999999998</v>
      </c>
      <c r="O2068">
        <v>319</v>
      </c>
      <c r="P2068">
        <v>12430</v>
      </c>
      <c r="Q2068">
        <v>13133.87</v>
      </c>
      <c r="R2068">
        <v>2370.65</v>
      </c>
      <c r="S2068">
        <v>2192.82854378</v>
      </c>
      <c r="T2068">
        <v>0</v>
      </c>
      <c r="U2068">
        <v>0</v>
      </c>
      <c r="V2068">
        <v>2370.65</v>
      </c>
      <c r="W2068" t="s">
        <v>0</v>
      </c>
      <c r="X2068" t="s">
        <v>271</v>
      </c>
      <c r="Y2068" t="s">
        <v>3923</v>
      </c>
      <c r="AA2068" t="s">
        <v>3924</v>
      </c>
      <c r="AB2068" t="s">
        <v>181</v>
      </c>
    </row>
    <row r="2069" spans="1:28" x14ac:dyDescent="0.25">
      <c r="A2069" t="s">
        <v>3985</v>
      </c>
      <c r="B2069" t="s">
        <v>3986</v>
      </c>
      <c r="C2069" t="s">
        <v>646</v>
      </c>
      <c r="D2069" t="s">
        <v>3779</v>
      </c>
      <c r="E2069" t="s">
        <v>647</v>
      </c>
      <c r="F2069" t="s">
        <v>3780</v>
      </c>
      <c r="G2069" t="s">
        <v>769</v>
      </c>
      <c r="H2069" t="s">
        <v>909</v>
      </c>
      <c r="I2069" t="s">
        <v>3987</v>
      </c>
      <c r="J2069" t="s">
        <v>3988</v>
      </c>
      <c r="K2069" t="s">
        <v>166</v>
      </c>
      <c r="L2069" t="s">
        <v>0</v>
      </c>
      <c r="M2069" t="s">
        <v>178</v>
      </c>
      <c r="N2069">
        <v>87.25</v>
      </c>
      <c r="O2069">
        <v>85.25</v>
      </c>
      <c r="P2069">
        <v>2954.01</v>
      </c>
      <c r="Q2069">
        <v>2607.0100000000002</v>
      </c>
      <c r="R2069">
        <v>532.04</v>
      </c>
      <c r="S2069">
        <v>475.78335116</v>
      </c>
      <c r="T2069">
        <v>0</v>
      </c>
      <c r="U2069">
        <v>0</v>
      </c>
      <c r="V2069">
        <v>532.04</v>
      </c>
      <c r="W2069" t="s">
        <v>3989</v>
      </c>
      <c r="X2069" t="s">
        <v>271</v>
      </c>
      <c r="Y2069" t="s">
        <v>3990</v>
      </c>
      <c r="AA2069" t="s">
        <v>3991</v>
      </c>
      <c r="AB2069" t="s">
        <v>181</v>
      </c>
    </row>
    <row r="2070" spans="1:28" x14ac:dyDescent="0.25">
      <c r="A2070" t="s">
        <v>4320</v>
      </c>
      <c r="B2070" t="s">
        <v>4321</v>
      </c>
      <c r="C2070" t="s">
        <v>646</v>
      </c>
      <c r="D2070" t="s">
        <v>3779</v>
      </c>
      <c r="E2070" t="s">
        <v>647</v>
      </c>
      <c r="F2070" t="s">
        <v>3780</v>
      </c>
      <c r="G2070" t="s">
        <v>769</v>
      </c>
      <c r="H2070" t="s">
        <v>672</v>
      </c>
      <c r="I2070" t="s">
        <v>1010</v>
      </c>
      <c r="J2070" t="s">
        <v>1011</v>
      </c>
      <c r="K2070" t="s">
        <v>166</v>
      </c>
      <c r="L2070" t="s">
        <v>0</v>
      </c>
      <c r="M2070" t="s">
        <v>178</v>
      </c>
      <c r="N2070">
        <v>821</v>
      </c>
      <c r="O2070">
        <v>492</v>
      </c>
      <c r="P2070">
        <v>19520.8</v>
      </c>
      <c r="Q2070">
        <v>25656.29</v>
      </c>
      <c r="R2070">
        <v>2529.0504788399999</v>
      </c>
      <c r="S2070">
        <v>5129.8395137999996</v>
      </c>
      <c r="T2070">
        <v>4.2504788400000004</v>
      </c>
      <c r="U2070">
        <v>0</v>
      </c>
      <c r="V2070">
        <v>2524.8000000000002</v>
      </c>
      <c r="W2070" t="s">
        <v>0</v>
      </c>
      <c r="X2070" t="s">
        <v>271</v>
      </c>
      <c r="Y2070" t="s">
        <v>4322</v>
      </c>
      <c r="AA2070" t="s">
        <v>4323</v>
      </c>
      <c r="AB2070" t="s">
        <v>181</v>
      </c>
    </row>
    <row r="2071" spans="1:28" x14ac:dyDescent="0.25">
      <c r="A2071" t="s">
        <v>4092</v>
      </c>
      <c r="B2071" t="s">
        <v>4093</v>
      </c>
      <c r="C2071" t="s">
        <v>646</v>
      </c>
      <c r="D2071" t="s">
        <v>3779</v>
      </c>
      <c r="E2071" t="s">
        <v>647</v>
      </c>
      <c r="F2071" t="s">
        <v>3780</v>
      </c>
      <c r="G2071" t="s">
        <v>769</v>
      </c>
      <c r="H2071" t="s">
        <v>962</v>
      </c>
      <c r="I2071" t="s">
        <v>4094</v>
      </c>
      <c r="J2071" t="s">
        <v>370</v>
      </c>
      <c r="K2071" t="s">
        <v>166</v>
      </c>
      <c r="L2071" t="s">
        <v>0</v>
      </c>
      <c r="M2071" t="s">
        <v>178</v>
      </c>
      <c r="N2071">
        <v>36</v>
      </c>
      <c r="O2071">
        <v>7</v>
      </c>
      <c r="P2071">
        <v>784.89</v>
      </c>
      <c r="Q2071">
        <v>2184.09</v>
      </c>
      <c r="R2071">
        <v>295.41000000000003</v>
      </c>
      <c r="S2071">
        <v>72.855743649999994</v>
      </c>
      <c r="T2071">
        <v>0</v>
      </c>
      <c r="U2071">
        <v>0</v>
      </c>
      <c r="V2071">
        <v>295.41000000000003</v>
      </c>
      <c r="W2071" t="s">
        <v>314</v>
      </c>
      <c r="X2071" t="s">
        <v>271</v>
      </c>
      <c r="Y2071" t="s">
        <v>4095</v>
      </c>
      <c r="Z2071" t="s">
        <v>4096</v>
      </c>
      <c r="AA2071" t="s">
        <v>4097</v>
      </c>
      <c r="AB2071" t="s">
        <v>181</v>
      </c>
    </row>
    <row r="2072" spans="1:28" x14ac:dyDescent="0.25">
      <c r="A2072" t="s">
        <v>4047</v>
      </c>
      <c r="B2072" t="s">
        <v>4048</v>
      </c>
      <c r="C2072" t="s">
        <v>646</v>
      </c>
      <c r="D2072" t="s">
        <v>3779</v>
      </c>
      <c r="E2072" t="s">
        <v>647</v>
      </c>
      <c r="F2072" t="s">
        <v>666</v>
      </c>
      <c r="G2072" t="s">
        <v>666</v>
      </c>
      <c r="H2072" t="s">
        <v>713</v>
      </c>
      <c r="I2072" t="s">
        <v>2292</v>
      </c>
      <c r="J2072" t="s">
        <v>1847</v>
      </c>
      <c r="K2072" t="s">
        <v>166</v>
      </c>
      <c r="L2072" t="s">
        <v>0</v>
      </c>
      <c r="M2072" t="s">
        <v>178</v>
      </c>
      <c r="N2072">
        <v>188.83330000000001</v>
      </c>
      <c r="O2072">
        <v>58</v>
      </c>
      <c r="P2072">
        <v>6392.88</v>
      </c>
      <c r="Q2072">
        <v>10804.19</v>
      </c>
      <c r="R2072">
        <v>1848.43</v>
      </c>
      <c r="S2072">
        <v>1031.30798673</v>
      </c>
      <c r="T2072">
        <v>0</v>
      </c>
      <c r="U2072">
        <v>0</v>
      </c>
      <c r="V2072">
        <v>1848.43</v>
      </c>
      <c r="W2072" t="s">
        <v>1848</v>
      </c>
      <c r="X2072" t="s">
        <v>269</v>
      </c>
      <c r="Y2072" t="s">
        <v>4049</v>
      </c>
      <c r="AA2072" t="s">
        <v>4050</v>
      </c>
      <c r="AB2072" t="s">
        <v>181</v>
      </c>
    </row>
    <row r="2073" spans="1:28" x14ac:dyDescent="0.25">
      <c r="A2073" t="s">
        <v>3981</v>
      </c>
      <c r="B2073" t="s">
        <v>3982</v>
      </c>
      <c r="C2073" t="s">
        <v>646</v>
      </c>
      <c r="D2073" t="s">
        <v>3779</v>
      </c>
      <c r="E2073" t="s">
        <v>647</v>
      </c>
      <c r="F2073" t="s">
        <v>3780</v>
      </c>
      <c r="G2073" t="s">
        <v>769</v>
      </c>
      <c r="H2073" t="s">
        <v>672</v>
      </c>
      <c r="I2073" t="s">
        <v>2384</v>
      </c>
      <c r="J2073" t="s">
        <v>447</v>
      </c>
      <c r="K2073" t="s">
        <v>166</v>
      </c>
      <c r="L2073" t="s">
        <v>0</v>
      </c>
      <c r="M2073" t="s">
        <v>178</v>
      </c>
      <c r="N2073">
        <v>514</v>
      </c>
      <c r="O2073">
        <v>144</v>
      </c>
      <c r="P2073">
        <v>12976.72</v>
      </c>
      <c r="Q2073">
        <v>22174.97</v>
      </c>
      <c r="R2073">
        <v>1220.8983552499999</v>
      </c>
      <c r="S2073">
        <v>3573.9312218199998</v>
      </c>
      <c r="T2073">
        <v>1081.78835525</v>
      </c>
      <c r="U2073">
        <v>435.63</v>
      </c>
      <c r="V2073">
        <v>1654.74</v>
      </c>
      <c r="W2073" t="s">
        <v>446</v>
      </c>
      <c r="X2073" t="s">
        <v>271</v>
      </c>
      <c r="Y2073" t="s">
        <v>3983</v>
      </c>
      <c r="AA2073" t="s">
        <v>3984</v>
      </c>
      <c r="AB2073" t="s">
        <v>181</v>
      </c>
    </row>
    <row r="2074" spans="1:28" x14ac:dyDescent="0.25">
      <c r="A2074" t="s">
        <v>3823</v>
      </c>
      <c r="B2074" t="s">
        <v>3824</v>
      </c>
      <c r="C2074" t="s">
        <v>646</v>
      </c>
      <c r="D2074" t="s">
        <v>3779</v>
      </c>
      <c r="E2074" t="s">
        <v>647</v>
      </c>
      <c r="F2074" t="s">
        <v>3780</v>
      </c>
      <c r="G2074" t="s">
        <v>769</v>
      </c>
      <c r="H2074" t="s">
        <v>672</v>
      </c>
      <c r="I2074" t="s">
        <v>1801</v>
      </c>
      <c r="J2074" t="s">
        <v>437</v>
      </c>
      <c r="K2074" t="s">
        <v>166</v>
      </c>
      <c r="L2074" t="s">
        <v>0</v>
      </c>
      <c r="M2074" t="s">
        <v>178</v>
      </c>
      <c r="N2074">
        <v>160</v>
      </c>
      <c r="O2074">
        <v>56</v>
      </c>
      <c r="P2074">
        <v>4775.3500000000004</v>
      </c>
      <c r="Q2074">
        <v>6885.35</v>
      </c>
      <c r="R2074">
        <v>682.08195069999999</v>
      </c>
      <c r="S2074">
        <v>834.00347857999998</v>
      </c>
      <c r="T2074">
        <v>0.39195069999999999</v>
      </c>
      <c r="U2074">
        <v>0</v>
      </c>
      <c r="V2074">
        <v>681.69</v>
      </c>
      <c r="W2074" t="s">
        <v>510</v>
      </c>
      <c r="X2074" t="s">
        <v>271</v>
      </c>
      <c r="Y2074" t="s">
        <v>3825</v>
      </c>
      <c r="AA2074" t="s">
        <v>3826</v>
      </c>
      <c r="AB2074" t="s">
        <v>181</v>
      </c>
    </row>
    <row r="2075" spans="1:28" x14ac:dyDescent="0.25">
      <c r="A2075" t="s">
        <v>4240</v>
      </c>
      <c r="B2075" t="s">
        <v>4241</v>
      </c>
      <c r="C2075" t="s">
        <v>646</v>
      </c>
      <c r="D2075" t="s">
        <v>3779</v>
      </c>
      <c r="E2075" t="s">
        <v>647</v>
      </c>
      <c r="F2075" t="s">
        <v>666</v>
      </c>
      <c r="G2075" t="s">
        <v>666</v>
      </c>
      <c r="H2075" t="s">
        <v>717</v>
      </c>
      <c r="I2075" t="s">
        <v>880</v>
      </c>
      <c r="J2075" t="s">
        <v>881</v>
      </c>
      <c r="K2075" t="s">
        <v>166</v>
      </c>
      <c r="L2075" t="s">
        <v>0</v>
      </c>
      <c r="M2075" t="s">
        <v>178</v>
      </c>
      <c r="N2075">
        <v>67</v>
      </c>
      <c r="O2075">
        <v>17</v>
      </c>
      <c r="P2075">
        <v>1319.6</v>
      </c>
      <c r="Q2075">
        <v>3644.22</v>
      </c>
      <c r="R2075">
        <v>205.08533310000001</v>
      </c>
      <c r="S2075">
        <v>202.77058331000001</v>
      </c>
      <c r="T2075">
        <v>2.5333100000000001E-2</v>
      </c>
      <c r="U2075">
        <v>0</v>
      </c>
      <c r="V2075">
        <v>205.06</v>
      </c>
      <c r="W2075" t="s">
        <v>0</v>
      </c>
      <c r="X2075" t="s">
        <v>271</v>
      </c>
      <c r="Y2075" t="s">
        <v>4242</v>
      </c>
      <c r="AA2075" t="s">
        <v>4243</v>
      </c>
      <c r="AB2075" t="s">
        <v>181</v>
      </c>
    </row>
    <row r="2076" spans="1:28" x14ac:dyDescent="0.25">
      <c r="A2076" t="s">
        <v>3875</v>
      </c>
      <c r="B2076" t="s">
        <v>3876</v>
      </c>
      <c r="C2076" t="s">
        <v>646</v>
      </c>
      <c r="D2076" t="s">
        <v>3779</v>
      </c>
      <c r="E2076" t="s">
        <v>647</v>
      </c>
      <c r="F2076" t="s">
        <v>3780</v>
      </c>
      <c r="G2076" t="s">
        <v>769</v>
      </c>
      <c r="H2076" t="s">
        <v>797</v>
      </c>
      <c r="I2076" t="s">
        <v>1190</v>
      </c>
      <c r="J2076" t="s">
        <v>1191</v>
      </c>
      <c r="K2076" t="s">
        <v>166</v>
      </c>
      <c r="L2076" t="s">
        <v>0</v>
      </c>
      <c r="M2076" t="s">
        <v>178</v>
      </c>
      <c r="N2076">
        <v>30</v>
      </c>
      <c r="O2076">
        <v>0</v>
      </c>
      <c r="P2076">
        <v>300</v>
      </c>
      <c r="Q2076">
        <v>1487.4</v>
      </c>
      <c r="R2076">
        <v>98.79</v>
      </c>
      <c r="S2076">
        <v>0</v>
      </c>
      <c r="T2076">
        <v>0</v>
      </c>
      <c r="U2076">
        <v>0</v>
      </c>
      <c r="V2076">
        <v>98.79</v>
      </c>
      <c r="W2076" t="s">
        <v>282</v>
      </c>
      <c r="X2076" t="s">
        <v>271</v>
      </c>
      <c r="Y2076" t="s">
        <v>2170</v>
      </c>
      <c r="AA2076" t="s">
        <v>2171</v>
      </c>
      <c r="AB2076" t="s">
        <v>181</v>
      </c>
    </row>
    <row r="2077" spans="1:28" x14ac:dyDescent="0.25">
      <c r="A2077" t="s">
        <v>4270</v>
      </c>
      <c r="B2077" t="s">
        <v>4271</v>
      </c>
      <c r="C2077" t="s">
        <v>646</v>
      </c>
      <c r="D2077" t="s">
        <v>3779</v>
      </c>
      <c r="E2077" t="s">
        <v>647</v>
      </c>
      <c r="F2077" t="s">
        <v>3780</v>
      </c>
      <c r="G2077" t="s">
        <v>769</v>
      </c>
      <c r="H2077" t="s">
        <v>1171</v>
      </c>
      <c r="I2077" t="s">
        <v>4272</v>
      </c>
      <c r="J2077" t="s">
        <v>352</v>
      </c>
      <c r="K2077" t="s">
        <v>166</v>
      </c>
      <c r="L2077" t="s">
        <v>0</v>
      </c>
      <c r="M2077" t="s">
        <v>178</v>
      </c>
      <c r="N2077">
        <v>20</v>
      </c>
      <c r="O2077">
        <v>18</v>
      </c>
      <c r="P2077">
        <v>266.07</v>
      </c>
      <c r="Q2077">
        <v>2470.3000000000002</v>
      </c>
      <c r="R2077">
        <v>341.78804953000002</v>
      </c>
      <c r="S2077">
        <v>8.4155899999999999</v>
      </c>
      <c r="T2077">
        <v>0.54804953000000001</v>
      </c>
      <c r="U2077">
        <v>0</v>
      </c>
      <c r="V2077">
        <v>341.24</v>
      </c>
      <c r="W2077" t="s">
        <v>314</v>
      </c>
      <c r="X2077" t="s">
        <v>271</v>
      </c>
      <c r="Y2077" t="s">
        <v>4273</v>
      </c>
      <c r="AA2077" t="s">
        <v>4274</v>
      </c>
      <c r="AB2077" t="s">
        <v>181</v>
      </c>
    </row>
    <row r="2078" spans="1:28" x14ac:dyDescent="0.25">
      <c r="A2078" t="s">
        <v>4240</v>
      </c>
      <c r="B2078" t="s">
        <v>4241</v>
      </c>
      <c r="C2078" t="s">
        <v>646</v>
      </c>
      <c r="D2078" t="s">
        <v>3779</v>
      </c>
      <c r="E2078" t="s">
        <v>647</v>
      </c>
      <c r="F2078" t="s">
        <v>666</v>
      </c>
      <c r="G2078" t="s">
        <v>666</v>
      </c>
      <c r="H2078" t="s">
        <v>683</v>
      </c>
      <c r="I2078" t="s">
        <v>880</v>
      </c>
      <c r="J2078" t="s">
        <v>881</v>
      </c>
      <c r="K2078" t="s">
        <v>166</v>
      </c>
      <c r="L2078" t="s">
        <v>0</v>
      </c>
      <c r="M2078" t="s">
        <v>178</v>
      </c>
      <c r="N2078">
        <v>169.58340000000001</v>
      </c>
      <c r="O2078">
        <v>74.25</v>
      </c>
      <c r="P2078">
        <v>3185.69</v>
      </c>
      <c r="Q2078">
        <v>5631.55</v>
      </c>
      <c r="R2078">
        <v>580.83070502999999</v>
      </c>
      <c r="S2078">
        <v>825.85136313999999</v>
      </c>
      <c r="T2078">
        <v>150.18070503000001</v>
      </c>
      <c r="U2078">
        <v>0</v>
      </c>
      <c r="V2078">
        <v>604.65</v>
      </c>
      <c r="W2078" t="s">
        <v>0</v>
      </c>
      <c r="X2078" t="s">
        <v>271</v>
      </c>
      <c r="Y2078" t="s">
        <v>4242</v>
      </c>
      <c r="AA2078" t="s">
        <v>4243</v>
      </c>
      <c r="AB2078" t="s">
        <v>181</v>
      </c>
    </row>
    <row r="2079" spans="1:28" x14ac:dyDescent="0.25">
      <c r="A2079" t="s">
        <v>4113</v>
      </c>
      <c r="B2079" t="s">
        <v>4114</v>
      </c>
      <c r="C2079" t="s">
        <v>646</v>
      </c>
      <c r="D2079" t="s">
        <v>3779</v>
      </c>
      <c r="E2079" t="s">
        <v>647</v>
      </c>
      <c r="F2079" t="s">
        <v>3780</v>
      </c>
      <c r="G2079" t="s">
        <v>769</v>
      </c>
      <c r="H2079" t="s">
        <v>757</v>
      </c>
      <c r="I2079" t="s">
        <v>1913</v>
      </c>
      <c r="J2079" t="s">
        <v>1914</v>
      </c>
      <c r="K2079" t="s">
        <v>166</v>
      </c>
      <c r="L2079" t="s">
        <v>0</v>
      </c>
      <c r="M2079" t="s">
        <v>178</v>
      </c>
      <c r="N2079">
        <v>475.1</v>
      </c>
      <c r="O2079">
        <v>262.10000000000002</v>
      </c>
      <c r="P2079">
        <v>8238.64</v>
      </c>
      <c r="Q2079">
        <v>14338.02</v>
      </c>
      <c r="R2079">
        <v>2905.7607050299998</v>
      </c>
      <c r="S2079">
        <v>2367.0077399000002</v>
      </c>
      <c r="T2079">
        <v>0.18070502999999999</v>
      </c>
      <c r="U2079">
        <v>0</v>
      </c>
      <c r="V2079">
        <v>2905.58</v>
      </c>
      <c r="W2079" t="s">
        <v>1915</v>
      </c>
      <c r="X2079" t="s">
        <v>269</v>
      </c>
      <c r="Y2079" t="s">
        <v>4115</v>
      </c>
      <c r="AA2079" t="s">
        <v>4116</v>
      </c>
      <c r="AB2079" t="s">
        <v>181</v>
      </c>
    </row>
    <row r="2080" spans="1:28" x14ac:dyDescent="0.25">
      <c r="A2080" t="s">
        <v>4326</v>
      </c>
      <c r="B2080" t="s">
        <v>4327</v>
      </c>
      <c r="C2080" t="s">
        <v>646</v>
      </c>
      <c r="D2080" t="s">
        <v>3779</v>
      </c>
      <c r="E2080" t="s">
        <v>647</v>
      </c>
      <c r="F2080" t="s">
        <v>3780</v>
      </c>
      <c r="G2080" t="s">
        <v>769</v>
      </c>
      <c r="H2080" t="s">
        <v>683</v>
      </c>
      <c r="I2080" t="s">
        <v>936</v>
      </c>
      <c r="J2080" t="s">
        <v>582</v>
      </c>
      <c r="K2080" t="s">
        <v>166</v>
      </c>
      <c r="L2080" t="s">
        <v>0</v>
      </c>
      <c r="M2080" t="s">
        <v>178</v>
      </c>
      <c r="N2080">
        <v>418</v>
      </c>
      <c r="O2080">
        <v>236</v>
      </c>
      <c r="P2080">
        <v>4487.8</v>
      </c>
      <c r="Q2080">
        <v>23094.83</v>
      </c>
      <c r="R2080">
        <v>1654.6071104499999</v>
      </c>
      <c r="S2080">
        <v>4165.8833239799997</v>
      </c>
      <c r="T2080">
        <v>-2.8895499999999998E-3</v>
      </c>
      <c r="U2080">
        <v>0</v>
      </c>
      <c r="V2080">
        <v>1654.61</v>
      </c>
      <c r="W2080" t="s">
        <v>361</v>
      </c>
      <c r="X2080" t="s">
        <v>271</v>
      </c>
      <c r="Y2080" t="s">
        <v>4328</v>
      </c>
      <c r="AA2080" t="s">
        <v>4329</v>
      </c>
      <c r="AB2080" t="s">
        <v>181</v>
      </c>
    </row>
    <row r="2081" spans="1:28" x14ac:dyDescent="0.25">
      <c r="A2081" t="s">
        <v>4270</v>
      </c>
      <c r="B2081" t="s">
        <v>4271</v>
      </c>
      <c r="C2081" t="s">
        <v>646</v>
      </c>
      <c r="D2081" t="s">
        <v>3779</v>
      </c>
      <c r="E2081" t="s">
        <v>647</v>
      </c>
      <c r="F2081" t="s">
        <v>3780</v>
      </c>
      <c r="G2081" t="s">
        <v>769</v>
      </c>
      <c r="H2081" t="s">
        <v>683</v>
      </c>
      <c r="I2081" t="s">
        <v>4272</v>
      </c>
      <c r="J2081" t="s">
        <v>352</v>
      </c>
      <c r="K2081" t="s">
        <v>166</v>
      </c>
      <c r="L2081" t="s">
        <v>0</v>
      </c>
      <c r="M2081" t="s">
        <v>178</v>
      </c>
      <c r="N2081">
        <v>121</v>
      </c>
      <c r="O2081">
        <v>44</v>
      </c>
      <c r="P2081">
        <v>1800.92</v>
      </c>
      <c r="Q2081">
        <v>7020.79</v>
      </c>
      <c r="R2081">
        <v>1493.89</v>
      </c>
      <c r="S2081">
        <v>803.30160116000002</v>
      </c>
      <c r="T2081">
        <v>0</v>
      </c>
      <c r="U2081">
        <v>0</v>
      </c>
      <c r="V2081">
        <v>1493.89</v>
      </c>
      <c r="W2081" t="s">
        <v>314</v>
      </c>
      <c r="X2081" t="s">
        <v>271</v>
      </c>
      <c r="Y2081" t="s">
        <v>4273</v>
      </c>
      <c r="AA2081" t="s">
        <v>4274</v>
      </c>
      <c r="AB2081" t="s">
        <v>181</v>
      </c>
    </row>
    <row r="2082" spans="1:28" x14ac:dyDescent="0.25">
      <c r="A2082" t="s">
        <v>4015</v>
      </c>
      <c r="B2082" t="s">
        <v>4016</v>
      </c>
      <c r="C2082" t="s">
        <v>646</v>
      </c>
      <c r="D2082" t="s">
        <v>3779</v>
      </c>
      <c r="E2082" t="s">
        <v>647</v>
      </c>
      <c r="F2082" t="s">
        <v>3780</v>
      </c>
      <c r="G2082" t="s">
        <v>769</v>
      </c>
      <c r="H2082" t="s">
        <v>1171</v>
      </c>
      <c r="I2082" t="s">
        <v>4017</v>
      </c>
      <c r="J2082" t="s">
        <v>4018</v>
      </c>
      <c r="K2082" t="s">
        <v>166</v>
      </c>
      <c r="L2082" t="s">
        <v>0</v>
      </c>
      <c r="M2082" t="s">
        <v>178</v>
      </c>
      <c r="N2082">
        <v>63</v>
      </c>
      <c r="O2082">
        <v>49</v>
      </c>
      <c r="P2082">
        <v>2413.98</v>
      </c>
      <c r="Q2082">
        <v>25972.69</v>
      </c>
      <c r="R2082">
        <v>1712.5922647499999</v>
      </c>
      <c r="S2082">
        <v>197.77276588000001</v>
      </c>
      <c r="T2082">
        <v>3.2264750000000002E-2</v>
      </c>
      <c r="U2082">
        <v>0</v>
      </c>
      <c r="V2082">
        <v>1712.56</v>
      </c>
      <c r="W2082" t="s">
        <v>4019</v>
      </c>
      <c r="X2082" t="s">
        <v>271</v>
      </c>
      <c r="Y2082" t="s">
        <v>4020</v>
      </c>
      <c r="AA2082" t="s">
        <v>4021</v>
      </c>
      <c r="AB2082" t="s">
        <v>181</v>
      </c>
    </row>
    <row r="2083" spans="1:28" x14ac:dyDescent="0.25">
      <c r="A2083" t="s">
        <v>3944</v>
      </c>
      <c r="B2083" t="s">
        <v>3945</v>
      </c>
      <c r="C2083" t="s">
        <v>646</v>
      </c>
      <c r="D2083" t="s">
        <v>3779</v>
      </c>
      <c r="E2083" t="s">
        <v>647</v>
      </c>
      <c r="F2083" t="s">
        <v>3780</v>
      </c>
      <c r="G2083" t="s">
        <v>769</v>
      </c>
      <c r="H2083" t="s">
        <v>708</v>
      </c>
      <c r="I2083" t="s">
        <v>798</v>
      </c>
      <c r="J2083" t="s">
        <v>524</v>
      </c>
      <c r="K2083" t="s">
        <v>166</v>
      </c>
      <c r="L2083" t="s">
        <v>0</v>
      </c>
      <c r="M2083" t="s">
        <v>178</v>
      </c>
      <c r="N2083">
        <v>50</v>
      </c>
      <c r="O2083">
        <v>14</v>
      </c>
      <c r="P2083">
        <v>739.34</v>
      </c>
      <c r="Q2083">
        <v>703.52</v>
      </c>
      <c r="R2083">
        <v>82.89</v>
      </c>
      <c r="S2083">
        <v>28.14</v>
      </c>
      <c r="T2083">
        <v>0</v>
      </c>
      <c r="U2083">
        <v>0</v>
      </c>
      <c r="V2083">
        <v>82.89</v>
      </c>
      <c r="W2083" t="s">
        <v>258</v>
      </c>
      <c r="X2083" t="s">
        <v>271</v>
      </c>
      <c r="Y2083" t="s">
        <v>3946</v>
      </c>
      <c r="AA2083" t="s">
        <v>3947</v>
      </c>
      <c r="AB2083" t="s">
        <v>181</v>
      </c>
    </row>
    <row r="2084" spans="1:28" x14ac:dyDescent="0.25">
      <c r="A2084" t="s">
        <v>4074</v>
      </c>
      <c r="B2084" t="s">
        <v>4075</v>
      </c>
      <c r="C2084" t="s">
        <v>646</v>
      </c>
      <c r="D2084" t="s">
        <v>3779</v>
      </c>
      <c r="E2084" t="s">
        <v>647</v>
      </c>
      <c r="F2084" t="s">
        <v>3780</v>
      </c>
      <c r="G2084" t="s">
        <v>769</v>
      </c>
      <c r="H2084" t="s">
        <v>757</v>
      </c>
      <c r="I2084" t="s">
        <v>1284</v>
      </c>
      <c r="J2084" t="s">
        <v>1285</v>
      </c>
      <c r="K2084" t="s">
        <v>166</v>
      </c>
      <c r="L2084" t="s">
        <v>0</v>
      </c>
      <c r="M2084" t="s">
        <v>178</v>
      </c>
      <c r="N2084">
        <v>138</v>
      </c>
      <c r="O2084">
        <v>39</v>
      </c>
      <c r="P2084">
        <v>1721.2</v>
      </c>
      <c r="Q2084">
        <v>2618.98</v>
      </c>
      <c r="R2084">
        <v>370.84</v>
      </c>
      <c r="S2084">
        <v>923.94753436999997</v>
      </c>
      <c r="T2084">
        <v>0</v>
      </c>
      <c r="U2084">
        <v>0</v>
      </c>
      <c r="V2084">
        <v>370.84</v>
      </c>
      <c r="W2084" t="s">
        <v>1286</v>
      </c>
      <c r="X2084" t="s">
        <v>269</v>
      </c>
      <c r="Y2084" t="s">
        <v>4076</v>
      </c>
      <c r="AA2084" t="s">
        <v>4077</v>
      </c>
      <c r="AB2084" t="s">
        <v>181</v>
      </c>
    </row>
    <row r="2085" spans="1:28" x14ac:dyDescent="0.25">
      <c r="A2085" t="s">
        <v>4051</v>
      </c>
      <c r="B2085" t="s">
        <v>4052</v>
      </c>
      <c r="C2085" t="s">
        <v>646</v>
      </c>
      <c r="D2085" t="s">
        <v>3779</v>
      </c>
      <c r="E2085" t="s">
        <v>647</v>
      </c>
      <c r="F2085" t="s">
        <v>3780</v>
      </c>
      <c r="G2085" t="s">
        <v>769</v>
      </c>
      <c r="H2085" t="s">
        <v>683</v>
      </c>
      <c r="I2085" t="s">
        <v>4053</v>
      </c>
      <c r="J2085" t="s">
        <v>4054</v>
      </c>
      <c r="K2085" t="s">
        <v>166</v>
      </c>
      <c r="L2085" t="s">
        <v>0</v>
      </c>
      <c r="M2085" t="s">
        <v>178</v>
      </c>
      <c r="N2085">
        <v>255</v>
      </c>
      <c r="O2085">
        <v>254</v>
      </c>
      <c r="P2085">
        <v>1159.71</v>
      </c>
      <c r="Q2085">
        <v>9048.4599999999991</v>
      </c>
      <c r="R2085">
        <v>543.76</v>
      </c>
      <c r="S2085">
        <v>2543.5101107400001</v>
      </c>
      <c r="T2085">
        <v>0</v>
      </c>
      <c r="U2085">
        <v>0</v>
      </c>
      <c r="V2085">
        <v>543.76</v>
      </c>
      <c r="W2085" t="s">
        <v>2488</v>
      </c>
      <c r="X2085" t="s">
        <v>269</v>
      </c>
      <c r="Y2085" t="s">
        <v>4055</v>
      </c>
      <c r="AA2085" t="s">
        <v>4056</v>
      </c>
      <c r="AB2085" t="s">
        <v>181</v>
      </c>
    </row>
    <row r="2086" spans="1:28" x14ac:dyDescent="0.25">
      <c r="A2086" t="s">
        <v>4139</v>
      </c>
      <c r="B2086" t="s">
        <v>4140</v>
      </c>
      <c r="C2086" t="s">
        <v>646</v>
      </c>
      <c r="D2086" t="s">
        <v>3779</v>
      </c>
      <c r="E2086" t="s">
        <v>647</v>
      </c>
      <c r="F2086" t="s">
        <v>3780</v>
      </c>
      <c r="G2086" t="s">
        <v>769</v>
      </c>
      <c r="H2086" t="s">
        <v>770</v>
      </c>
      <c r="I2086" t="s">
        <v>778</v>
      </c>
      <c r="J2086" t="s">
        <v>428</v>
      </c>
      <c r="K2086" t="s">
        <v>166</v>
      </c>
      <c r="L2086" t="s">
        <v>0</v>
      </c>
      <c r="M2086" t="s">
        <v>178</v>
      </c>
      <c r="N2086">
        <v>2</v>
      </c>
      <c r="O2086">
        <v>2</v>
      </c>
      <c r="P2086">
        <v>100</v>
      </c>
      <c r="Q2086">
        <v>40.5</v>
      </c>
      <c r="R2086">
        <v>5.05</v>
      </c>
      <c r="S2086">
        <v>6.2928823899999999</v>
      </c>
      <c r="T2086">
        <v>0</v>
      </c>
      <c r="U2086">
        <v>0</v>
      </c>
      <c r="V2086">
        <v>5.05</v>
      </c>
      <c r="W2086" t="s">
        <v>547</v>
      </c>
      <c r="X2086" t="s">
        <v>271</v>
      </c>
      <c r="Y2086" t="s">
        <v>4141</v>
      </c>
      <c r="AA2086" t="s">
        <v>4142</v>
      </c>
      <c r="AB2086" t="s">
        <v>181</v>
      </c>
    </row>
    <row r="2087" spans="1:28" x14ac:dyDescent="0.25">
      <c r="A2087" t="s">
        <v>4280</v>
      </c>
      <c r="B2087" t="s">
        <v>4281</v>
      </c>
      <c r="C2087" t="s">
        <v>646</v>
      </c>
      <c r="D2087" t="s">
        <v>3779</v>
      </c>
      <c r="E2087" t="s">
        <v>647</v>
      </c>
      <c r="F2087" t="s">
        <v>3780</v>
      </c>
      <c r="G2087" t="s">
        <v>769</v>
      </c>
      <c r="H2087" t="s">
        <v>730</v>
      </c>
      <c r="I2087" t="s">
        <v>1872</v>
      </c>
      <c r="J2087" t="s">
        <v>1873</v>
      </c>
      <c r="K2087" t="s">
        <v>166</v>
      </c>
      <c r="L2087" t="s">
        <v>0</v>
      </c>
      <c r="M2087" t="s">
        <v>178</v>
      </c>
      <c r="N2087">
        <v>1</v>
      </c>
      <c r="O2087">
        <v>0</v>
      </c>
      <c r="P2087">
        <v>2</v>
      </c>
      <c r="Q2087">
        <v>70.989999999999995</v>
      </c>
      <c r="R2087">
        <v>5.68</v>
      </c>
      <c r="S2087">
        <v>4.22</v>
      </c>
      <c r="T2087">
        <v>0</v>
      </c>
      <c r="U2087">
        <v>0</v>
      </c>
      <c r="V2087">
        <v>5.68</v>
      </c>
      <c r="W2087" t="s">
        <v>1874</v>
      </c>
      <c r="X2087" t="s">
        <v>271</v>
      </c>
      <c r="Y2087" t="s">
        <v>4282</v>
      </c>
      <c r="AA2087" t="s">
        <v>4283</v>
      </c>
      <c r="AB2087" t="s">
        <v>181</v>
      </c>
    </row>
    <row r="2088" spans="1:28" x14ac:dyDescent="0.25">
      <c r="A2088" t="s">
        <v>4342</v>
      </c>
      <c r="B2088" t="s">
        <v>4343</v>
      </c>
      <c r="C2088" t="s">
        <v>646</v>
      </c>
      <c r="D2088" t="s">
        <v>3779</v>
      </c>
      <c r="E2088" t="s">
        <v>647</v>
      </c>
      <c r="F2088" t="s">
        <v>666</v>
      </c>
      <c r="G2088" t="s">
        <v>666</v>
      </c>
      <c r="H2088" t="s">
        <v>683</v>
      </c>
      <c r="I2088" t="s">
        <v>4344</v>
      </c>
      <c r="J2088" t="s">
        <v>355</v>
      </c>
      <c r="K2088" t="s">
        <v>166</v>
      </c>
      <c r="L2088" t="s">
        <v>0</v>
      </c>
      <c r="M2088" t="s">
        <v>178</v>
      </c>
      <c r="N2088">
        <v>107</v>
      </c>
      <c r="O2088">
        <v>23</v>
      </c>
      <c r="P2088">
        <v>1072.25</v>
      </c>
      <c r="Q2088">
        <v>5019.75</v>
      </c>
      <c r="R2088">
        <v>1195.08</v>
      </c>
      <c r="S2088">
        <v>541.63644685999998</v>
      </c>
      <c r="T2088">
        <v>0</v>
      </c>
      <c r="U2088">
        <v>0</v>
      </c>
      <c r="V2088">
        <v>1195.08</v>
      </c>
      <c r="W2088" t="s">
        <v>0</v>
      </c>
      <c r="X2088" t="s">
        <v>271</v>
      </c>
      <c r="Y2088" t="s">
        <v>4345</v>
      </c>
      <c r="AA2088" t="s">
        <v>3894</v>
      </c>
      <c r="AB2088" t="s">
        <v>181</v>
      </c>
    </row>
    <row r="2089" spans="1:28" x14ac:dyDescent="0.25">
      <c r="A2089" t="s">
        <v>3892</v>
      </c>
      <c r="B2089" t="s">
        <v>3893</v>
      </c>
      <c r="C2089" t="s">
        <v>646</v>
      </c>
      <c r="D2089" t="s">
        <v>3779</v>
      </c>
      <c r="E2089" t="s">
        <v>647</v>
      </c>
      <c r="F2089" t="s">
        <v>666</v>
      </c>
      <c r="G2089" t="s">
        <v>666</v>
      </c>
      <c r="H2089" t="s">
        <v>1159</v>
      </c>
      <c r="I2089" t="s">
        <v>2102</v>
      </c>
      <c r="J2089" t="s">
        <v>355</v>
      </c>
      <c r="K2089" t="s">
        <v>166</v>
      </c>
      <c r="L2089" t="s">
        <v>0</v>
      </c>
      <c r="M2089" t="s">
        <v>178</v>
      </c>
      <c r="N2089">
        <v>12</v>
      </c>
      <c r="O2089">
        <v>0</v>
      </c>
      <c r="P2089">
        <v>126</v>
      </c>
      <c r="Q2089">
        <v>826.37</v>
      </c>
      <c r="R2089">
        <v>191.81</v>
      </c>
      <c r="S2089">
        <v>30.291502730000001</v>
      </c>
      <c r="T2089">
        <v>0</v>
      </c>
      <c r="U2089">
        <v>0</v>
      </c>
      <c r="V2089">
        <v>191.81</v>
      </c>
      <c r="W2089" t="s">
        <v>0</v>
      </c>
      <c r="X2089" t="s">
        <v>271</v>
      </c>
      <c r="Y2089" t="s">
        <v>2103</v>
      </c>
      <c r="AA2089" t="s">
        <v>3894</v>
      </c>
      <c r="AB2089" t="s">
        <v>181</v>
      </c>
    </row>
    <row r="2090" spans="1:28" x14ac:dyDescent="0.25">
      <c r="A2090" t="s">
        <v>4370</v>
      </c>
      <c r="B2090" t="s">
        <v>4371</v>
      </c>
      <c r="C2090" t="s">
        <v>646</v>
      </c>
      <c r="D2090" t="s">
        <v>3779</v>
      </c>
      <c r="E2090" t="s">
        <v>647</v>
      </c>
      <c r="F2090" t="s">
        <v>666</v>
      </c>
      <c r="G2090" t="s">
        <v>666</v>
      </c>
      <c r="H2090" t="s">
        <v>802</v>
      </c>
      <c r="I2090" t="s">
        <v>4372</v>
      </c>
      <c r="J2090" t="s">
        <v>355</v>
      </c>
      <c r="K2090" t="s">
        <v>166</v>
      </c>
      <c r="L2090" t="s">
        <v>0</v>
      </c>
      <c r="M2090" t="s">
        <v>178</v>
      </c>
      <c r="N2090">
        <v>18</v>
      </c>
      <c r="O2090">
        <v>18</v>
      </c>
      <c r="P2090">
        <v>360</v>
      </c>
      <c r="Q2090">
        <v>858.77</v>
      </c>
      <c r="R2090">
        <v>180.75</v>
      </c>
      <c r="S2090">
        <v>95.166814869999996</v>
      </c>
      <c r="T2090">
        <v>0</v>
      </c>
      <c r="U2090">
        <v>0</v>
      </c>
      <c r="V2090">
        <v>180.75</v>
      </c>
      <c r="W2090" t="s">
        <v>0</v>
      </c>
      <c r="X2090" t="s">
        <v>271</v>
      </c>
      <c r="Y2090" t="s">
        <v>4373</v>
      </c>
      <c r="AA2090" t="s">
        <v>3894</v>
      </c>
      <c r="AB2090" t="s">
        <v>181</v>
      </c>
    </row>
    <row r="2091" spans="1:28" x14ac:dyDescent="0.25">
      <c r="A2091" t="s">
        <v>4312</v>
      </c>
      <c r="B2091" t="s">
        <v>4313</v>
      </c>
      <c r="C2091" t="s">
        <v>646</v>
      </c>
      <c r="D2091" t="s">
        <v>3779</v>
      </c>
      <c r="E2091" t="s">
        <v>647</v>
      </c>
      <c r="F2091" t="s">
        <v>3780</v>
      </c>
      <c r="G2091" t="s">
        <v>769</v>
      </c>
      <c r="H2091" t="s">
        <v>672</v>
      </c>
      <c r="I2091" t="s">
        <v>4314</v>
      </c>
      <c r="J2091" t="s">
        <v>319</v>
      </c>
      <c r="K2091" t="s">
        <v>166</v>
      </c>
      <c r="L2091" t="s">
        <v>0</v>
      </c>
      <c r="M2091" t="s">
        <v>178</v>
      </c>
      <c r="N2091">
        <v>59</v>
      </c>
      <c r="O2091">
        <v>59</v>
      </c>
      <c r="P2091">
        <v>331.58</v>
      </c>
      <c r="Q2091">
        <v>4325.2700000000004</v>
      </c>
      <c r="R2091">
        <v>1260.31</v>
      </c>
      <c r="S2091">
        <v>1012.8612490199999</v>
      </c>
      <c r="T2091">
        <v>0</v>
      </c>
      <c r="U2091">
        <v>0</v>
      </c>
      <c r="V2091">
        <v>1260.31</v>
      </c>
      <c r="W2091" t="s">
        <v>0</v>
      </c>
      <c r="X2091" t="s">
        <v>271</v>
      </c>
      <c r="Y2091" t="s">
        <v>4315</v>
      </c>
      <c r="AA2091" t="s">
        <v>3466</v>
      </c>
      <c r="AB2091" t="s">
        <v>181</v>
      </c>
    </row>
    <row r="2092" spans="1:28" x14ac:dyDescent="0.25">
      <c r="A2092" t="s">
        <v>3865</v>
      </c>
      <c r="B2092" t="s">
        <v>3866</v>
      </c>
      <c r="C2092" t="s">
        <v>646</v>
      </c>
      <c r="D2092" t="s">
        <v>3779</v>
      </c>
      <c r="E2092" t="s">
        <v>647</v>
      </c>
      <c r="F2092" t="s">
        <v>3780</v>
      </c>
      <c r="G2092" t="s">
        <v>769</v>
      </c>
      <c r="H2092" t="s">
        <v>703</v>
      </c>
      <c r="I2092" t="s">
        <v>3867</v>
      </c>
      <c r="J2092" t="s">
        <v>881</v>
      </c>
      <c r="K2092" t="s">
        <v>166</v>
      </c>
      <c r="L2092" t="s">
        <v>0</v>
      </c>
      <c r="M2092" t="s">
        <v>178</v>
      </c>
      <c r="N2092">
        <v>193.58330000000001</v>
      </c>
      <c r="O2092">
        <v>136.5</v>
      </c>
      <c r="P2092">
        <v>4107.26</v>
      </c>
      <c r="Q2092">
        <v>5874.22</v>
      </c>
      <c r="R2092">
        <v>1298.99</v>
      </c>
      <c r="S2092">
        <v>1270.6019286400001</v>
      </c>
      <c r="T2092">
        <v>0</v>
      </c>
      <c r="U2092">
        <v>0</v>
      </c>
      <c r="V2092">
        <v>1298.99</v>
      </c>
      <c r="W2092" t="s">
        <v>0</v>
      </c>
      <c r="X2092" t="s">
        <v>271</v>
      </c>
      <c r="Y2092" t="s">
        <v>3868</v>
      </c>
      <c r="AA2092" t="s">
        <v>3869</v>
      </c>
      <c r="AB2092" t="s">
        <v>181</v>
      </c>
    </row>
    <row r="2093" spans="1:28" x14ac:dyDescent="0.25">
      <c r="A2093" t="s">
        <v>4320</v>
      </c>
      <c r="B2093" t="s">
        <v>4321</v>
      </c>
      <c r="C2093" t="s">
        <v>646</v>
      </c>
      <c r="D2093" t="s">
        <v>3779</v>
      </c>
      <c r="E2093" t="s">
        <v>647</v>
      </c>
      <c r="F2093" t="s">
        <v>3780</v>
      </c>
      <c r="G2093" t="s">
        <v>769</v>
      </c>
      <c r="H2093" t="s">
        <v>703</v>
      </c>
      <c r="I2093" t="s">
        <v>1010</v>
      </c>
      <c r="J2093" t="s">
        <v>1011</v>
      </c>
      <c r="K2093" t="s">
        <v>166</v>
      </c>
      <c r="L2093" t="s">
        <v>0</v>
      </c>
      <c r="M2093" t="s">
        <v>178</v>
      </c>
      <c r="N2093">
        <v>1516.3334</v>
      </c>
      <c r="O2093">
        <v>822.33360000000005</v>
      </c>
      <c r="P2093">
        <v>21877.17</v>
      </c>
      <c r="Q2093">
        <v>45399.46</v>
      </c>
      <c r="R2093">
        <v>6202.1076237799998</v>
      </c>
      <c r="S2093">
        <v>10626.268668369999</v>
      </c>
      <c r="T2093">
        <v>0.31762378000000002</v>
      </c>
      <c r="U2093">
        <v>0</v>
      </c>
      <c r="V2093">
        <v>6201.79</v>
      </c>
      <c r="W2093" t="s">
        <v>0</v>
      </c>
      <c r="X2093" t="s">
        <v>271</v>
      </c>
      <c r="Y2093" t="s">
        <v>4322</v>
      </c>
      <c r="AA2093" t="s">
        <v>4323</v>
      </c>
      <c r="AB2093" t="s">
        <v>181</v>
      </c>
    </row>
    <row r="2094" spans="1:28" x14ac:dyDescent="0.25">
      <c r="A2094" t="s">
        <v>3853</v>
      </c>
      <c r="B2094" t="s">
        <v>3854</v>
      </c>
      <c r="C2094" t="s">
        <v>646</v>
      </c>
      <c r="D2094" t="s">
        <v>3779</v>
      </c>
      <c r="E2094" t="s">
        <v>647</v>
      </c>
      <c r="F2094" t="s">
        <v>3780</v>
      </c>
      <c r="G2094" t="s">
        <v>769</v>
      </c>
      <c r="H2094" t="s">
        <v>703</v>
      </c>
      <c r="I2094" t="s">
        <v>746</v>
      </c>
      <c r="J2094" t="s">
        <v>504</v>
      </c>
      <c r="K2094" t="s">
        <v>166</v>
      </c>
      <c r="L2094" t="s">
        <v>0</v>
      </c>
      <c r="M2094" t="s">
        <v>178</v>
      </c>
      <c r="N2094">
        <v>269.20010000000002</v>
      </c>
      <c r="O2094">
        <v>205.7499</v>
      </c>
      <c r="P2094">
        <v>7384.49</v>
      </c>
      <c r="Q2094">
        <v>8019.43</v>
      </c>
      <c r="R2094">
        <v>1379.64</v>
      </c>
      <c r="S2094">
        <v>1603.3065874399999</v>
      </c>
      <c r="T2094">
        <v>0</v>
      </c>
      <c r="U2094">
        <v>0</v>
      </c>
      <c r="V2094">
        <v>1379.64</v>
      </c>
      <c r="W2094" t="s">
        <v>503</v>
      </c>
      <c r="X2094" t="s">
        <v>271</v>
      </c>
      <c r="Y2094" t="s">
        <v>3855</v>
      </c>
      <c r="AA2094" t="s">
        <v>3856</v>
      </c>
      <c r="AB2094" t="s">
        <v>181</v>
      </c>
    </row>
    <row r="2095" spans="1:28" x14ac:dyDescent="0.25">
      <c r="A2095" t="s">
        <v>4353</v>
      </c>
      <c r="B2095" t="s">
        <v>4354</v>
      </c>
      <c r="C2095" t="s">
        <v>646</v>
      </c>
      <c r="D2095" t="s">
        <v>3779</v>
      </c>
      <c r="E2095" t="s">
        <v>647</v>
      </c>
      <c r="F2095" t="s">
        <v>3780</v>
      </c>
      <c r="G2095" t="s">
        <v>769</v>
      </c>
      <c r="H2095" t="s">
        <v>672</v>
      </c>
      <c r="I2095" t="s">
        <v>1160</v>
      </c>
      <c r="J2095" t="s">
        <v>336</v>
      </c>
      <c r="K2095" t="s">
        <v>166</v>
      </c>
      <c r="L2095" t="s">
        <v>0</v>
      </c>
      <c r="M2095" t="s">
        <v>178</v>
      </c>
      <c r="N2095">
        <v>110</v>
      </c>
      <c r="O2095">
        <v>83</v>
      </c>
      <c r="P2095">
        <v>1909.38</v>
      </c>
      <c r="Q2095">
        <v>4299.3</v>
      </c>
      <c r="R2095">
        <v>877.25992442999996</v>
      </c>
      <c r="S2095">
        <v>748.55226282000001</v>
      </c>
      <c r="T2095">
        <v>-0.51007557000000003</v>
      </c>
      <c r="U2095">
        <v>0</v>
      </c>
      <c r="V2095">
        <v>877.77</v>
      </c>
      <c r="W2095" t="s">
        <v>461</v>
      </c>
      <c r="X2095" t="s">
        <v>271</v>
      </c>
      <c r="Y2095" t="s">
        <v>4355</v>
      </c>
      <c r="AA2095" t="s">
        <v>4356</v>
      </c>
      <c r="AB2095" t="s">
        <v>181</v>
      </c>
    </row>
    <row r="2096" spans="1:28" x14ac:dyDescent="0.25">
      <c r="A2096" t="s">
        <v>4260</v>
      </c>
      <c r="B2096" t="s">
        <v>4261</v>
      </c>
      <c r="C2096" t="s">
        <v>646</v>
      </c>
      <c r="D2096" t="s">
        <v>3779</v>
      </c>
      <c r="E2096" t="s">
        <v>647</v>
      </c>
      <c r="F2096" t="s">
        <v>666</v>
      </c>
      <c r="G2096" t="s">
        <v>666</v>
      </c>
      <c r="H2096" t="s">
        <v>757</v>
      </c>
      <c r="I2096" t="s">
        <v>4262</v>
      </c>
      <c r="J2096" t="s">
        <v>1180</v>
      </c>
      <c r="K2096" t="s">
        <v>166</v>
      </c>
      <c r="L2096" t="s">
        <v>0</v>
      </c>
      <c r="M2096" t="s">
        <v>178</v>
      </c>
      <c r="N2096">
        <v>190</v>
      </c>
      <c r="O2096">
        <v>187</v>
      </c>
      <c r="P2096">
        <v>6451.05</v>
      </c>
      <c r="Q2096">
        <v>11505.25</v>
      </c>
      <c r="R2096">
        <v>326.56</v>
      </c>
      <c r="S2096">
        <v>1711.62805015</v>
      </c>
      <c r="T2096">
        <v>0</v>
      </c>
      <c r="U2096">
        <v>0</v>
      </c>
      <c r="V2096">
        <v>326.56</v>
      </c>
      <c r="W2096" t="s">
        <v>0</v>
      </c>
      <c r="X2096" t="s">
        <v>271</v>
      </c>
      <c r="Y2096" t="s">
        <v>4263</v>
      </c>
      <c r="AA2096" t="s">
        <v>4264</v>
      </c>
      <c r="AB2096" t="s">
        <v>181</v>
      </c>
    </row>
    <row r="2097" spans="1:28" x14ac:dyDescent="0.25">
      <c r="A2097" t="s">
        <v>4275</v>
      </c>
      <c r="B2097" t="s">
        <v>4276</v>
      </c>
      <c r="C2097" t="s">
        <v>646</v>
      </c>
      <c r="D2097" t="s">
        <v>3779</v>
      </c>
      <c r="E2097" t="s">
        <v>647</v>
      </c>
      <c r="F2097" t="s">
        <v>3780</v>
      </c>
      <c r="G2097" t="s">
        <v>769</v>
      </c>
      <c r="H2097" t="s">
        <v>909</v>
      </c>
      <c r="I2097" t="s">
        <v>4277</v>
      </c>
      <c r="J2097" t="s">
        <v>562</v>
      </c>
      <c r="K2097" t="s">
        <v>166</v>
      </c>
      <c r="L2097" t="s">
        <v>0</v>
      </c>
      <c r="M2097" t="s">
        <v>178</v>
      </c>
      <c r="N2097">
        <v>627</v>
      </c>
      <c r="O2097">
        <v>627</v>
      </c>
      <c r="P2097">
        <v>21886.63</v>
      </c>
      <c r="Q2097">
        <v>15429.18</v>
      </c>
      <c r="R2097">
        <v>1515.3967725</v>
      </c>
      <c r="S2097">
        <v>3262.0409592599999</v>
      </c>
      <c r="T2097">
        <v>0.19677249999999999</v>
      </c>
      <c r="U2097">
        <v>0</v>
      </c>
      <c r="V2097">
        <v>1515.2</v>
      </c>
      <c r="W2097" t="s">
        <v>0</v>
      </c>
      <c r="X2097" t="s">
        <v>271</v>
      </c>
      <c r="Y2097" t="s">
        <v>4278</v>
      </c>
      <c r="AA2097" t="s">
        <v>4279</v>
      </c>
      <c r="AB2097" t="s">
        <v>181</v>
      </c>
    </row>
    <row r="2098" spans="1:28" x14ac:dyDescent="0.25">
      <c r="A2098" t="s">
        <v>4057</v>
      </c>
      <c r="B2098" t="s">
        <v>4058</v>
      </c>
      <c r="C2098" t="s">
        <v>646</v>
      </c>
      <c r="D2098" t="s">
        <v>3779</v>
      </c>
      <c r="E2098" t="s">
        <v>647</v>
      </c>
      <c r="F2098" t="s">
        <v>3780</v>
      </c>
      <c r="G2098" t="s">
        <v>769</v>
      </c>
      <c r="H2098" t="s">
        <v>717</v>
      </c>
      <c r="I2098" t="s">
        <v>1190</v>
      </c>
      <c r="J2098" t="s">
        <v>1191</v>
      </c>
      <c r="K2098" t="s">
        <v>166</v>
      </c>
      <c r="L2098" t="s">
        <v>0</v>
      </c>
      <c r="M2098" t="s">
        <v>178</v>
      </c>
      <c r="N2098">
        <v>1350</v>
      </c>
      <c r="O2098">
        <v>229</v>
      </c>
      <c r="P2098">
        <v>14205.61</v>
      </c>
      <c r="Q2098">
        <v>49731.08</v>
      </c>
      <c r="R2098">
        <v>3030.29</v>
      </c>
      <c r="S2098">
        <v>801.26624896999999</v>
      </c>
      <c r="T2098">
        <v>453.33</v>
      </c>
      <c r="U2098">
        <v>474.2</v>
      </c>
      <c r="V2098">
        <v>3849.49</v>
      </c>
      <c r="W2098" t="s">
        <v>282</v>
      </c>
      <c r="X2098" t="s">
        <v>271</v>
      </c>
      <c r="Y2098" t="s">
        <v>4059</v>
      </c>
      <c r="AA2098" t="s">
        <v>2171</v>
      </c>
      <c r="AB2098" t="s">
        <v>181</v>
      </c>
    </row>
    <row r="2099" spans="1:28" x14ac:dyDescent="0.25">
      <c r="A2099" t="s">
        <v>3849</v>
      </c>
      <c r="B2099" t="s">
        <v>3850</v>
      </c>
      <c r="C2099" t="s">
        <v>646</v>
      </c>
      <c r="D2099" t="s">
        <v>3779</v>
      </c>
      <c r="E2099" t="s">
        <v>647</v>
      </c>
      <c r="F2099" t="s">
        <v>3780</v>
      </c>
      <c r="G2099" t="s">
        <v>769</v>
      </c>
      <c r="H2099" t="s">
        <v>962</v>
      </c>
      <c r="I2099" t="s">
        <v>1184</v>
      </c>
      <c r="J2099" t="s">
        <v>1185</v>
      </c>
      <c r="K2099" t="s">
        <v>166</v>
      </c>
      <c r="L2099" t="s">
        <v>0</v>
      </c>
      <c r="M2099" t="s">
        <v>178</v>
      </c>
      <c r="N2099">
        <v>10</v>
      </c>
      <c r="O2099">
        <v>4</v>
      </c>
      <c r="P2099">
        <v>150.19999999999999</v>
      </c>
      <c r="Q2099">
        <v>407.16</v>
      </c>
      <c r="R2099">
        <v>64.63</v>
      </c>
      <c r="S2099">
        <v>25.139282340000001</v>
      </c>
      <c r="T2099">
        <v>0</v>
      </c>
      <c r="U2099">
        <v>0</v>
      </c>
      <c r="V2099">
        <v>64.63</v>
      </c>
      <c r="W2099" t="s">
        <v>1186</v>
      </c>
      <c r="X2099" t="s">
        <v>271</v>
      </c>
      <c r="Y2099" t="s">
        <v>3851</v>
      </c>
      <c r="AA2099" t="s">
        <v>3852</v>
      </c>
      <c r="AB2099" t="s">
        <v>181</v>
      </c>
    </row>
    <row r="2100" spans="1:28" x14ac:dyDescent="0.25">
      <c r="A2100" t="s">
        <v>3925</v>
      </c>
      <c r="B2100" t="s">
        <v>3926</v>
      </c>
      <c r="C2100" t="s">
        <v>646</v>
      </c>
      <c r="D2100" t="s">
        <v>3779</v>
      </c>
      <c r="E2100" t="s">
        <v>647</v>
      </c>
      <c r="F2100" t="s">
        <v>3780</v>
      </c>
      <c r="G2100" t="s">
        <v>769</v>
      </c>
      <c r="H2100" t="s">
        <v>802</v>
      </c>
      <c r="I2100" t="s">
        <v>2284</v>
      </c>
      <c r="J2100" t="s">
        <v>2285</v>
      </c>
      <c r="K2100" t="s">
        <v>166</v>
      </c>
      <c r="L2100" t="s">
        <v>0</v>
      </c>
      <c r="M2100" t="s">
        <v>178</v>
      </c>
      <c r="N2100">
        <v>175.58330000000001</v>
      </c>
      <c r="O2100">
        <v>155.58330000000001</v>
      </c>
      <c r="P2100">
        <v>1939.29</v>
      </c>
      <c r="Q2100">
        <v>10063.43</v>
      </c>
      <c r="R2100">
        <v>3754.35</v>
      </c>
      <c r="S2100">
        <v>741.37474683999994</v>
      </c>
      <c r="T2100">
        <v>0</v>
      </c>
      <c r="U2100">
        <v>0</v>
      </c>
      <c r="V2100">
        <v>3754.35</v>
      </c>
      <c r="W2100" t="s">
        <v>453</v>
      </c>
      <c r="X2100" t="s">
        <v>271</v>
      </c>
      <c r="Y2100" t="s">
        <v>3927</v>
      </c>
      <c r="AA2100" t="s">
        <v>3928</v>
      </c>
      <c r="AB2100" t="s">
        <v>181</v>
      </c>
    </row>
    <row r="2101" spans="1:28" x14ac:dyDescent="0.25">
      <c r="A2101" t="s">
        <v>4256</v>
      </c>
      <c r="B2101" t="s">
        <v>4257</v>
      </c>
      <c r="C2101" t="s">
        <v>646</v>
      </c>
      <c r="D2101" t="s">
        <v>3779</v>
      </c>
      <c r="E2101" t="s">
        <v>647</v>
      </c>
      <c r="F2101" t="s">
        <v>3780</v>
      </c>
      <c r="G2101" t="s">
        <v>769</v>
      </c>
      <c r="H2101" t="s">
        <v>683</v>
      </c>
      <c r="I2101" t="s">
        <v>2284</v>
      </c>
      <c r="J2101" t="s">
        <v>2285</v>
      </c>
      <c r="K2101" t="s">
        <v>166</v>
      </c>
      <c r="L2101" t="s">
        <v>0</v>
      </c>
      <c r="M2101" t="s">
        <v>178</v>
      </c>
      <c r="N2101">
        <v>134.25</v>
      </c>
      <c r="O2101">
        <v>97.25</v>
      </c>
      <c r="P2101">
        <v>2123.9499999999998</v>
      </c>
      <c r="Q2101">
        <v>6468.25</v>
      </c>
      <c r="R2101">
        <v>1669.57070503</v>
      </c>
      <c r="S2101">
        <v>1146.91641749</v>
      </c>
      <c r="T2101">
        <v>0.18070502999999999</v>
      </c>
      <c r="U2101">
        <v>0</v>
      </c>
      <c r="V2101">
        <v>1669.39</v>
      </c>
      <c r="W2101" t="s">
        <v>453</v>
      </c>
      <c r="X2101" t="s">
        <v>271</v>
      </c>
      <c r="Y2101" t="s">
        <v>4258</v>
      </c>
      <c r="AA2101" t="s">
        <v>4259</v>
      </c>
      <c r="AB2101" t="s">
        <v>181</v>
      </c>
    </row>
    <row r="2102" spans="1:28" x14ac:dyDescent="0.25">
      <c r="A2102" t="s">
        <v>4260</v>
      </c>
      <c r="B2102" t="s">
        <v>4261</v>
      </c>
      <c r="C2102" t="s">
        <v>646</v>
      </c>
      <c r="D2102" t="s">
        <v>3779</v>
      </c>
      <c r="E2102" t="s">
        <v>647</v>
      </c>
      <c r="F2102" t="s">
        <v>666</v>
      </c>
      <c r="G2102" t="s">
        <v>666</v>
      </c>
      <c r="H2102" t="s">
        <v>730</v>
      </c>
      <c r="I2102" t="s">
        <v>4262</v>
      </c>
      <c r="J2102" t="s">
        <v>1180</v>
      </c>
      <c r="K2102" t="s">
        <v>166</v>
      </c>
      <c r="L2102" t="s">
        <v>0</v>
      </c>
      <c r="M2102" t="s">
        <v>178</v>
      </c>
      <c r="N2102">
        <v>114</v>
      </c>
      <c r="O2102">
        <v>85</v>
      </c>
      <c r="P2102">
        <v>2100.21</v>
      </c>
      <c r="Q2102">
        <v>8377.69</v>
      </c>
      <c r="R2102">
        <v>1915.6987203799999</v>
      </c>
      <c r="S2102">
        <v>683.54537540000001</v>
      </c>
      <c r="T2102">
        <v>862.45872038000005</v>
      </c>
      <c r="U2102">
        <v>0</v>
      </c>
      <c r="V2102">
        <v>1918.15</v>
      </c>
      <c r="W2102" t="s">
        <v>0</v>
      </c>
      <c r="X2102" t="s">
        <v>271</v>
      </c>
      <c r="Y2102" t="s">
        <v>4263</v>
      </c>
      <c r="AA2102" t="s">
        <v>4264</v>
      </c>
      <c r="AB2102" t="s">
        <v>181</v>
      </c>
    </row>
    <row r="2103" spans="1:28" x14ac:dyDescent="0.25">
      <c r="A2103" t="s">
        <v>4196</v>
      </c>
      <c r="B2103" t="s">
        <v>4197</v>
      </c>
      <c r="C2103" t="s">
        <v>646</v>
      </c>
      <c r="D2103" t="s">
        <v>3779</v>
      </c>
      <c r="E2103" t="s">
        <v>647</v>
      </c>
      <c r="F2103" t="s">
        <v>3780</v>
      </c>
      <c r="G2103" t="s">
        <v>769</v>
      </c>
      <c r="H2103" t="s">
        <v>672</v>
      </c>
      <c r="I2103" t="s">
        <v>4198</v>
      </c>
      <c r="J2103" t="s">
        <v>870</v>
      </c>
      <c r="K2103" t="s">
        <v>166</v>
      </c>
      <c r="L2103" t="s">
        <v>0</v>
      </c>
      <c r="M2103" t="s">
        <v>178</v>
      </c>
      <c r="N2103">
        <v>76</v>
      </c>
      <c r="O2103">
        <v>76</v>
      </c>
      <c r="P2103">
        <v>1206</v>
      </c>
      <c r="Q2103">
        <v>4332.82</v>
      </c>
      <c r="R2103">
        <v>248.12</v>
      </c>
      <c r="S2103">
        <v>1408.46265468</v>
      </c>
      <c r="T2103">
        <v>0</v>
      </c>
      <c r="U2103">
        <v>0</v>
      </c>
      <c r="V2103">
        <v>248.12</v>
      </c>
      <c r="W2103" t="s">
        <v>871</v>
      </c>
      <c r="X2103" t="s">
        <v>271</v>
      </c>
      <c r="Y2103" t="s">
        <v>4199</v>
      </c>
      <c r="AA2103" t="s">
        <v>4200</v>
      </c>
      <c r="AB2103" t="s">
        <v>181</v>
      </c>
    </row>
    <row r="2104" spans="1:28" x14ac:dyDescent="0.25">
      <c r="A2104" t="s">
        <v>4292</v>
      </c>
      <c r="B2104" t="s">
        <v>4293</v>
      </c>
      <c r="C2104" t="s">
        <v>646</v>
      </c>
      <c r="D2104" t="s">
        <v>3779</v>
      </c>
      <c r="E2104" t="s">
        <v>647</v>
      </c>
      <c r="F2104" t="s">
        <v>3780</v>
      </c>
      <c r="G2104" t="s">
        <v>769</v>
      </c>
      <c r="H2104" t="s">
        <v>703</v>
      </c>
      <c r="I2104" t="s">
        <v>4294</v>
      </c>
      <c r="J2104" t="s">
        <v>4295</v>
      </c>
      <c r="K2104" t="s">
        <v>166</v>
      </c>
      <c r="L2104" t="s">
        <v>0</v>
      </c>
      <c r="M2104" t="s">
        <v>178</v>
      </c>
      <c r="N2104">
        <v>338</v>
      </c>
      <c r="O2104">
        <v>0</v>
      </c>
      <c r="P2104">
        <v>3345.86</v>
      </c>
      <c r="Q2104">
        <v>20398.88</v>
      </c>
      <c r="R2104">
        <v>3139.22</v>
      </c>
      <c r="S2104">
        <v>490.12489190000002</v>
      </c>
      <c r="T2104">
        <v>0</v>
      </c>
      <c r="U2104">
        <v>0</v>
      </c>
      <c r="V2104">
        <v>3139.22</v>
      </c>
      <c r="W2104" t="s">
        <v>0</v>
      </c>
      <c r="X2104" t="s">
        <v>271</v>
      </c>
      <c r="Y2104" t="s">
        <v>4296</v>
      </c>
      <c r="AA2104" t="s">
        <v>4297</v>
      </c>
      <c r="AB2104" t="s">
        <v>181</v>
      </c>
    </row>
    <row r="2105" spans="1:28" x14ac:dyDescent="0.25">
      <c r="A2105" t="s">
        <v>3865</v>
      </c>
      <c r="B2105" t="s">
        <v>3866</v>
      </c>
      <c r="C2105" t="s">
        <v>646</v>
      </c>
      <c r="D2105" t="s">
        <v>3779</v>
      </c>
      <c r="E2105" t="s">
        <v>647</v>
      </c>
      <c r="F2105" t="s">
        <v>3780</v>
      </c>
      <c r="G2105" t="s">
        <v>769</v>
      </c>
      <c r="H2105" t="s">
        <v>962</v>
      </c>
      <c r="I2105" t="s">
        <v>3867</v>
      </c>
      <c r="J2105" t="s">
        <v>881</v>
      </c>
      <c r="K2105" t="s">
        <v>166</v>
      </c>
      <c r="L2105" t="s">
        <v>0</v>
      </c>
      <c r="M2105" t="s">
        <v>178</v>
      </c>
      <c r="N2105">
        <v>62</v>
      </c>
      <c r="O2105">
        <v>24</v>
      </c>
      <c r="P2105">
        <v>655.56</v>
      </c>
      <c r="Q2105">
        <v>3608.79</v>
      </c>
      <c r="R2105">
        <v>1003.4644439</v>
      </c>
      <c r="S2105">
        <v>220.93852383000001</v>
      </c>
      <c r="T2105">
        <v>4.4438999999999998E-3</v>
      </c>
      <c r="U2105">
        <v>0</v>
      </c>
      <c r="V2105">
        <v>1003.46</v>
      </c>
      <c r="W2105" t="s">
        <v>0</v>
      </c>
      <c r="X2105" t="s">
        <v>271</v>
      </c>
      <c r="Y2105" t="s">
        <v>3868</v>
      </c>
      <c r="AA2105" t="s">
        <v>3869</v>
      </c>
      <c r="AB2105" t="s">
        <v>181</v>
      </c>
    </row>
    <row r="2106" spans="1:28" x14ac:dyDescent="0.25">
      <c r="A2106" t="s">
        <v>4098</v>
      </c>
      <c r="B2106" t="s">
        <v>4099</v>
      </c>
      <c r="C2106" t="s">
        <v>646</v>
      </c>
      <c r="D2106" t="s">
        <v>3779</v>
      </c>
      <c r="E2106" t="s">
        <v>647</v>
      </c>
      <c r="F2106" t="s">
        <v>666</v>
      </c>
      <c r="G2106" t="s">
        <v>666</v>
      </c>
      <c r="H2106" t="s">
        <v>761</v>
      </c>
      <c r="I2106" t="s">
        <v>765</v>
      </c>
      <c r="J2106" t="s">
        <v>436</v>
      </c>
      <c r="K2106" t="s">
        <v>166</v>
      </c>
      <c r="L2106" t="s">
        <v>0</v>
      </c>
      <c r="M2106" t="s">
        <v>178</v>
      </c>
      <c r="N2106">
        <v>743.25</v>
      </c>
      <c r="O2106">
        <v>597</v>
      </c>
      <c r="P2106">
        <v>22683.43</v>
      </c>
      <c r="Q2106">
        <v>24362.95</v>
      </c>
      <c r="R2106">
        <v>2681.37</v>
      </c>
      <c r="S2106">
        <v>4817.0718016500005</v>
      </c>
      <c r="T2106">
        <v>5</v>
      </c>
      <c r="U2106">
        <v>34.32</v>
      </c>
      <c r="V2106">
        <v>2715.69</v>
      </c>
      <c r="W2106" t="s">
        <v>0</v>
      </c>
      <c r="X2106" t="s">
        <v>271</v>
      </c>
      <c r="Y2106" t="s">
        <v>4100</v>
      </c>
      <c r="AA2106" t="s">
        <v>4101</v>
      </c>
      <c r="AB2106" t="s">
        <v>181</v>
      </c>
    </row>
    <row r="2107" spans="1:28" x14ac:dyDescent="0.25">
      <c r="A2107" t="s">
        <v>4256</v>
      </c>
      <c r="B2107" t="s">
        <v>4257</v>
      </c>
      <c r="C2107" t="s">
        <v>646</v>
      </c>
      <c r="D2107" t="s">
        <v>3779</v>
      </c>
      <c r="E2107" t="s">
        <v>647</v>
      </c>
      <c r="F2107" t="s">
        <v>3780</v>
      </c>
      <c r="G2107" t="s">
        <v>769</v>
      </c>
      <c r="H2107" t="s">
        <v>962</v>
      </c>
      <c r="I2107" t="s">
        <v>2284</v>
      </c>
      <c r="J2107" t="s">
        <v>2285</v>
      </c>
      <c r="K2107" t="s">
        <v>166</v>
      </c>
      <c r="L2107" t="s">
        <v>0</v>
      </c>
      <c r="M2107" t="s">
        <v>178</v>
      </c>
      <c r="N2107">
        <v>89</v>
      </c>
      <c r="O2107">
        <v>29</v>
      </c>
      <c r="P2107">
        <v>4166.51</v>
      </c>
      <c r="Q2107">
        <v>9529.43</v>
      </c>
      <c r="R2107">
        <v>3010.77</v>
      </c>
      <c r="S2107">
        <v>377.91543399</v>
      </c>
      <c r="T2107">
        <v>0</v>
      </c>
      <c r="U2107">
        <v>0</v>
      </c>
      <c r="V2107">
        <v>3010.77</v>
      </c>
      <c r="W2107" t="s">
        <v>453</v>
      </c>
      <c r="X2107" t="s">
        <v>271</v>
      </c>
      <c r="Y2107" t="s">
        <v>4258</v>
      </c>
      <c r="AA2107" t="s">
        <v>4259</v>
      </c>
      <c r="AB2107" t="s">
        <v>181</v>
      </c>
    </row>
    <row r="2108" spans="1:28" x14ac:dyDescent="0.25">
      <c r="A2108" t="s">
        <v>4117</v>
      </c>
      <c r="B2108" t="s">
        <v>4118</v>
      </c>
      <c r="C2108" t="s">
        <v>646</v>
      </c>
      <c r="D2108" t="s">
        <v>3779</v>
      </c>
      <c r="E2108" t="s">
        <v>647</v>
      </c>
      <c r="F2108" t="s">
        <v>3780</v>
      </c>
      <c r="G2108" t="s">
        <v>769</v>
      </c>
      <c r="H2108" t="s">
        <v>713</v>
      </c>
      <c r="I2108" t="s">
        <v>1190</v>
      </c>
      <c r="J2108" t="s">
        <v>1191</v>
      </c>
      <c r="K2108" t="s">
        <v>166</v>
      </c>
      <c r="L2108" t="s">
        <v>0</v>
      </c>
      <c r="M2108" t="s">
        <v>178</v>
      </c>
      <c r="N2108">
        <v>218</v>
      </c>
      <c r="O2108">
        <v>47</v>
      </c>
      <c r="P2108">
        <v>3982.75</v>
      </c>
      <c r="Q2108">
        <v>7462.36</v>
      </c>
      <c r="R2108">
        <v>509.70242361999999</v>
      </c>
      <c r="S2108">
        <v>642.08933537999997</v>
      </c>
      <c r="T2108">
        <v>94.502423620000002</v>
      </c>
      <c r="U2108">
        <v>32.28</v>
      </c>
      <c r="V2108">
        <v>541.98</v>
      </c>
      <c r="W2108" t="s">
        <v>282</v>
      </c>
      <c r="X2108" t="s">
        <v>271</v>
      </c>
      <c r="Y2108" t="s">
        <v>2170</v>
      </c>
      <c r="AA2108" t="s">
        <v>2171</v>
      </c>
      <c r="AB2108" t="s">
        <v>181</v>
      </c>
    </row>
    <row r="2109" spans="1:28" x14ac:dyDescent="0.25">
      <c r="A2109" t="s">
        <v>3973</v>
      </c>
      <c r="B2109" t="s">
        <v>3974</v>
      </c>
      <c r="C2109" t="s">
        <v>646</v>
      </c>
      <c r="D2109" t="s">
        <v>3779</v>
      </c>
      <c r="E2109" t="s">
        <v>647</v>
      </c>
      <c r="F2109" t="s">
        <v>3780</v>
      </c>
      <c r="G2109" t="s">
        <v>769</v>
      </c>
      <c r="H2109" t="s">
        <v>757</v>
      </c>
      <c r="I2109" t="s">
        <v>880</v>
      </c>
      <c r="J2109" t="s">
        <v>881</v>
      </c>
      <c r="K2109" t="s">
        <v>166</v>
      </c>
      <c r="L2109" t="s">
        <v>0</v>
      </c>
      <c r="M2109" t="s">
        <v>178</v>
      </c>
      <c r="N2109">
        <v>353.3331</v>
      </c>
      <c r="O2109">
        <v>323.3331</v>
      </c>
      <c r="P2109">
        <v>9624.07</v>
      </c>
      <c r="Q2109">
        <v>15480.6</v>
      </c>
      <c r="R2109">
        <v>-2368.62</v>
      </c>
      <c r="S2109">
        <v>5351.6314810499998</v>
      </c>
      <c r="T2109">
        <v>337.67</v>
      </c>
      <c r="U2109">
        <v>3469.45</v>
      </c>
      <c r="V2109">
        <v>1114.52</v>
      </c>
      <c r="W2109" t="s">
        <v>0</v>
      </c>
      <c r="X2109" t="s">
        <v>271</v>
      </c>
      <c r="Y2109" t="s">
        <v>3975</v>
      </c>
      <c r="AA2109" t="s">
        <v>3976</v>
      </c>
      <c r="AB2109" t="s">
        <v>181</v>
      </c>
    </row>
    <row r="2110" spans="1:28" x14ac:dyDescent="0.25">
      <c r="A2110" t="s">
        <v>3810</v>
      </c>
      <c r="B2110" t="s">
        <v>3811</v>
      </c>
      <c r="C2110" t="s">
        <v>646</v>
      </c>
      <c r="D2110" t="s">
        <v>3779</v>
      </c>
      <c r="E2110" t="s">
        <v>647</v>
      </c>
      <c r="F2110" t="s">
        <v>3780</v>
      </c>
      <c r="G2110" t="s">
        <v>769</v>
      </c>
      <c r="H2110" t="s">
        <v>717</v>
      </c>
      <c r="I2110" t="s">
        <v>771</v>
      </c>
      <c r="J2110" t="s">
        <v>319</v>
      </c>
      <c r="K2110" t="s">
        <v>166</v>
      </c>
      <c r="L2110" t="s">
        <v>0</v>
      </c>
      <c r="M2110" t="s">
        <v>178</v>
      </c>
      <c r="N2110">
        <v>478</v>
      </c>
      <c r="O2110">
        <v>467</v>
      </c>
      <c r="P2110">
        <v>7626.43</v>
      </c>
      <c r="Q2110">
        <v>25800.560000000001</v>
      </c>
      <c r="R2110">
        <v>1093.77</v>
      </c>
      <c r="S2110">
        <v>4853.7753779200002</v>
      </c>
      <c r="T2110">
        <v>0</v>
      </c>
      <c r="U2110">
        <v>0</v>
      </c>
      <c r="V2110">
        <v>1093.77</v>
      </c>
      <c r="W2110" t="s">
        <v>0</v>
      </c>
      <c r="X2110" t="s">
        <v>271</v>
      </c>
      <c r="Y2110" t="s">
        <v>3812</v>
      </c>
      <c r="AA2110" t="s">
        <v>3813</v>
      </c>
      <c r="AB2110" t="s">
        <v>181</v>
      </c>
    </row>
    <row r="2111" spans="1:28" x14ac:dyDescent="0.25">
      <c r="A2111" t="s">
        <v>4043</v>
      </c>
      <c r="B2111" t="s">
        <v>4044</v>
      </c>
      <c r="C2111" t="s">
        <v>646</v>
      </c>
      <c r="D2111" t="s">
        <v>3779</v>
      </c>
      <c r="E2111" t="s">
        <v>647</v>
      </c>
      <c r="F2111" t="s">
        <v>666</v>
      </c>
      <c r="G2111" t="s">
        <v>666</v>
      </c>
      <c r="H2111" t="s">
        <v>672</v>
      </c>
      <c r="I2111" t="s">
        <v>1431</v>
      </c>
      <c r="J2111" t="s">
        <v>1432</v>
      </c>
      <c r="K2111" t="s">
        <v>166</v>
      </c>
      <c r="L2111" t="s">
        <v>0</v>
      </c>
      <c r="M2111" t="s">
        <v>178</v>
      </c>
      <c r="N2111">
        <v>62</v>
      </c>
      <c r="O2111">
        <v>60</v>
      </c>
      <c r="P2111">
        <v>1043.57</v>
      </c>
      <c r="Q2111">
        <v>4019.07</v>
      </c>
      <c r="R2111">
        <v>557.96987115000002</v>
      </c>
      <c r="S2111">
        <v>1207.4694729</v>
      </c>
      <c r="T2111">
        <v>-0.65012884999999998</v>
      </c>
      <c r="U2111">
        <v>0</v>
      </c>
      <c r="V2111">
        <v>558.62</v>
      </c>
      <c r="W2111" t="s">
        <v>1433</v>
      </c>
      <c r="X2111" t="s">
        <v>271</v>
      </c>
      <c r="Y2111" t="s">
        <v>4045</v>
      </c>
      <c r="AA2111" t="s">
        <v>4046</v>
      </c>
      <c r="AB2111" t="s">
        <v>181</v>
      </c>
    </row>
    <row r="2112" spans="1:28" x14ac:dyDescent="0.25">
      <c r="A2112" t="s">
        <v>4216</v>
      </c>
      <c r="B2112" t="s">
        <v>4217</v>
      </c>
      <c r="C2112" t="s">
        <v>646</v>
      </c>
      <c r="D2112" t="s">
        <v>3779</v>
      </c>
      <c r="E2112" t="s">
        <v>647</v>
      </c>
      <c r="F2112" t="s">
        <v>666</v>
      </c>
      <c r="G2112" t="s">
        <v>666</v>
      </c>
      <c r="H2112" t="s">
        <v>679</v>
      </c>
      <c r="I2112" t="s">
        <v>1636</v>
      </c>
      <c r="J2112" t="s">
        <v>1637</v>
      </c>
      <c r="K2112" t="s">
        <v>166</v>
      </c>
      <c r="L2112" t="s">
        <v>0</v>
      </c>
      <c r="M2112" t="s">
        <v>178</v>
      </c>
      <c r="N2112">
        <v>10</v>
      </c>
      <c r="O2112">
        <v>3</v>
      </c>
      <c r="P2112">
        <v>9.59</v>
      </c>
      <c r="Q2112">
        <v>213.58</v>
      </c>
      <c r="R2112">
        <v>17.579999999999998</v>
      </c>
      <c r="S2112">
        <v>54.833779659999998</v>
      </c>
      <c r="T2112">
        <v>0</v>
      </c>
      <c r="U2112">
        <v>0</v>
      </c>
      <c r="V2112">
        <v>17.579999999999998</v>
      </c>
      <c r="W2112" t="s">
        <v>1638</v>
      </c>
      <c r="X2112" t="s">
        <v>271</v>
      </c>
      <c r="Y2112" t="s">
        <v>1639</v>
      </c>
      <c r="AA2112" t="s">
        <v>4218</v>
      </c>
      <c r="AB2112" t="s">
        <v>181</v>
      </c>
    </row>
    <row r="2113" spans="1:28" x14ac:dyDescent="0.25">
      <c r="A2113" t="s">
        <v>3783</v>
      </c>
      <c r="B2113" t="s">
        <v>3784</v>
      </c>
      <c r="C2113" t="s">
        <v>646</v>
      </c>
      <c r="D2113" t="s">
        <v>3779</v>
      </c>
      <c r="E2113" t="s">
        <v>647</v>
      </c>
      <c r="F2113" t="s">
        <v>666</v>
      </c>
      <c r="G2113" t="s">
        <v>666</v>
      </c>
      <c r="H2113" t="s">
        <v>962</v>
      </c>
      <c r="I2113" t="s">
        <v>3785</v>
      </c>
      <c r="J2113" t="s">
        <v>432</v>
      </c>
      <c r="K2113" t="s">
        <v>166</v>
      </c>
      <c r="L2113" t="s">
        <v>0</v>
      </c>
      <c r="M2113" t="s">
        <v>178</v>
      </c>
      <c r="N2113">
        <v>211</v>
      </c>
      <c r="O2113">
        <v>203</v>
      </c>
      <c r="P2113">
        <v>3356.77</v>
      </c>
      <c r="Q2113">
        <v>13191.83</v>
      </c>
      <c r="R2113">
        <v>3460.02</v>
      </c>
      <c r="S2113">
        <v>1807.28946935</v>
      </c>
      <c r="T2113">
        <v>0</v>
      </c>
      <c r="U2113">
        <v>0</v>
      </c>
      <c r="V2113">
        <v>3460.02</v>
      </c>
      <c r="W2113" t="s">
        <v>0</v>
      </c>
      <c r="X2113" t="s">
        <v>271</v>
      </c>
      <c r="Y2113" t="s">
        <v>3786</v>
      </c>
      <c r="AA2113" t="s">
        <v>3787</v>
      </c>
      <c r="AB2113" t="s">
        <v>181</v>
      </c>
    </row>
    <row r="2114" spans="1:28" x14ac:dyDescent="0.25">
      <c r="A2114" t="s">
        <v>3938</v>
      </c>
      <c r="B2114" t="s">
        <v>3939</v>
      </c>
      <c r="C2114" t="s">
        <v>646</v>
      </c>
      <c r="D2114" t="s">
        <v>3779</v>
      </c>
      <c r="E2114" t="s">
        <v>647</v>
      </c>
      <c r="F2114" t="s">
        <v>3780</v>
      </c>
      <c r="G2114" t="s">
        <v>769</v>
      </c>
      <c r="H2114" t="s">
        <v>683</v>
      </c>
      <c r="I2114" t="s">
        <v>3940</v>
      </c>
      <c r="J2114" t="s">
        <v>3941</v>
      </c>
      <c r="K2114" t="s">
        <v>166</v>
      </c>
      <c r="L2114" t="s">
        <v>0</v>
      </c>
      <c r="M2114" t="s">
        <v>178</v>
      </c>
      <c r="N2114">
        <v>78.25</v>
      </c>
      <c r="O2114">
        <v>57.25</v>
      </c>
      <c r="P2114">
        <v>2047.3</v>
      </c>
      <c r="Q2114">
        <v>3075.71</v>
      </c>
      <c r="R2114">
        <v>562.57000000000005</v>
      </c>
      <c r="S2114">
        <v>719.16400662000001</v>
      </c>
      <c r="T2114">
        <v>0</v>
      </c>
      <c r="U2114">
        <v>0</v>
      </c>
      <c r="V2114">
        <v>562.57000000000005</v>
      </c>
      <c r="W2114" t="s">
        <v>0</v>
      </c>
      <c r="X2114" t="s">
        <v>271</v>
      </c>
      <c r="Y2114" t="s">
        <v>3942</v>
      </c>
      <c r="AA2114" t="s">
        <v>3943</v>
      </c>
      <c r="AB2114" t="s">
        <v>181</v>
      </c>
    </row>
    <row r="2115" spans="1:28" x14ac:dyDescent="0.25">
      <c r="A2115" t="s">
        <v>4069</v>
      </c>
      <c r="B2115" t="s">
        <v>4070</v>
      </c>
      <c r="C2115" t="s">
        <v>646</v>
      </c>
      <c r="D2115" t="s">
        <v>3779</v>
      </c>
      <c r="E2115" t="s">
        <v>647</v>
      </c>
      <c r="F2115" t="s">
        <v>3780</v>
      </c>
      <c r="G2115" t="s">
        <v>769</v>
      </c>
      <c r="H2115" t="s">
        <v>672</v>
      </c>
      <c r="I2115" t="s">
        <v>4071</v>
      </c>
      <c r="J2115" t="s">
        <v>785</v>
      </c>
      <c r="K2115" t="s">
        <v>166</v>
      </c>
      <c r="L2115" t="s">
        <v>0</v>
      </c>
      <c r="M2115" t="s">
        <v>178</v>
      </c>
      <c r="N2115">
        <v>187</v>
      </c>
      <c r="O2115">
        <v>145</v>
      </c>
      <c r="P2115">
        <v>4722.95</v>
      </c>
      <c r="Q2115">
        <v>7386.43</v>
      </c>
      <c r="R2115">
        <v>474.51222369999999</v>
      </c>
      <c r="S2115">
        <v>1567.0658100999999</v>
      </c>
      <c r="T2115">
        <v>9.2223700000000006E-2</v>
      </c>
      <c r="U2115">
        <v>0</v>
      </c>
      <c r="V2115">
        <v>474.42</v>
      </c>
      <c r="W2115" t="s">
        <v>0</v>
      </c>
      <c r="X2115" t="s">
        <v>271</v>
      </c>
      <c r="Y2115" t="s">
        <v>4072</v>
      </c>
      <c r="AA2115" t="s">
        <v>4073</v>
      </c>
      <c r="AB2115" t="s">
        <v>181</v>
      </c>
    </row>
    <row r="2116" spans="1:28" x14ac:dyDescent="0.25">
      <c r="A2116" t="s">
        <v>4298</v>
      </c>
      <c r="B2116" t="s">
        <v>4299</v>
      </c>
      <c r="C2116" t="s">
        <v>646</v>
      </c>
      <c r="D2116" t="s">
        <v>3779</v>
      </c>
      <c r="E2116" t="s">
        <v>647</v>
      </c>
      <c r="F2116" t="s">
        <v>666</v>
      </c>
      <c r="G2116" t="s">
        <v>666</v>
      </c>
      <c r="H2116" t="s">
        <v>802</v>
      </c>
      <c r="I2116" t="s">
        <v>4300</v>
      </c>
      <c r="J2116" t="s">
        <v>511</v>
      </c>
      <c r="K2116" t="s">
        <v>166</v>
      </c>
      <c r="L2116" t="s">
        <v>0</v>
      </c>
      <c r="M2116" t="s">
        <v>178</v>
      </c>
      <c r="N2116">
        <v>11.249599999999999</v>
      </c>
      <c r="O2116">
        <v>11.249599999999999</v>
      </c>
      <c r="P2116">
        <v>158.85</v>
      </c>
      <c r="Q2116">
        <v>461.58</v>
      </c>
      <c r="R2116">
        <v>58.69</v>
      </c>
      <c r="S2116">
        <v>32.229104419999999</v>
      </c>
      <c r="T2116">
        <v>0</v>
      </c>
      <c r="U2116">
        <v>0</v>
      </c>
      <c r="V2116">
        <v>58.69</v>
      </c>
      <c r="W2116" t="s">
        <v>510</v>
      </c>
      <c r="X2116" t="s">
        <v>271</v>
      </c>
      <c r="Y2116" t="s">
        <v>4301</v>
      </c>
      <c r="Z2116" t="s">
        <v>4302</v>
      </c>
      <c r="AA2116" t="s">
        <v>4303</v>
      </c>
      <c r="AB2116" t="s">
        <v>181</v>
      </c>
    </row>
    <row r="2117" spans="1:28" x14ac:dyDescent="0.25">
      <c r="A2117" t="s">
        <v>4102</v>
      </c>
      <c r="B2117" t="s">
        <v>4103</v>
      </c>
      <c r="C2117" t="s">
        <v>646</v>
      </c>
      <c r="D2117" t="s">
        <v>3779</v>
      </c>
      <c r="E2117" t="s">
        <v>647</v>
      </c>
      <c r="F2117" t="s">
        <v>3780</v>
      </c>
      <c r="G2117" t="s">
        <v>769</v>
      </c>
      <c r="H2117" t="s">
        <v>1159</v>
      </c>
      <c r="I2117" t="s">
        <v>4104</v>
      </c>
      <c r="J2117" t="s">
        <v>4105</v>
      </c>
      <c r="K2117" t="s">
        <v>166</v>
      </c>
      <c r="L2117" t="s">
        <v>0</v>
      </c>
      <c r="M2117" t="s">
        <v>178</v>
      </c>
      <c r="N2117">
        <v>1</v>
      </c>
      <c r="O2117">
        <v>1</v>
      </c>
      <c r="P2117">
        <v>9.56</v>
      </c>
      <c r="Q2117">
        <v>49.3</v>
      </c>
      <c r="R2117">
        <v>9.99</v>
      </c>
      <c r="S2117">
        <v>16.4893</v>
      </c>
      <c r="T2117">
        <v>0</v>
      </c>
      <c r="U2117">
        <v>0</v>
      </c>
      <c r="V2117">
        <v>9.99</v>
      </c>
      <c r="W2117" t="s">
        <v>4106</v>
      </c>
      <c r="X2117" t="s">
        <v>269</v>
      </c>
      <c r="Y2117" t="s">
        <v>4107</v>
      </c>
      <c r="AA2117" t="s">
        <v>4108</v>
      </c>
      <c r="AB2117" t="s">
        <v>181</v>
      </c>
    </row>
    <row r="2118" spans="1:28" x14ac:dyDescent="0.25">
      <c r="A2118" t="s">
        <v>4092</v>
      </c>
      <c r="B2118" t="s">
        <v>4093</v>
      </c>
      <c r="C2118" t="s">
        <v>646</v>
      </c>
      <c r="D2118" t="s">
        <v>3779</v>
      </c>
      <c r="E2118" t="s">
        <v>647</v>
      </c>
      <c r="F2118" t="s">
        <v>3780</v>
      </c>
      <c r="G2118" t="s">
        <v>769</v>
      </c>
      <c r="H2118" t="s">
        <v>1045</v>
      </c>
      <c r="I2118" t="s">
        <v>4094</v>
      </c>
      <c r="J2118" t="s">
        <v>370</v>
      </c>
      <c r="K2118" t="s">
        <v>166</v>
      </c>
      <c r="L2118" t="s">
        <v>0</v>
      </c>
      <c r="M2118" t="s">
        <v>178</v>
      </c>
      <c r="N2118">
        <v>7</v>
      </c>
      <c r="O2118">
        <v>7</v>
      </c>
      <c r="P2118">
        <v>85</v>
      </c>
      <c r="Q2118">
        <v>515.57000000000005</v>
      </c>
      <c r="R2118">
        <v>74.63</v>
      </c>
      <c r="S2118">
        <v>66.600487209999997</v>
      </c>
      <c r="T2118">
        <v>0</v>
      </c>
      <c r="U2118">
        <v>0</v>
      </c>
      <c r="V2118">
        <v>74.63</v>
      </c>
      <c r="W2118" t="s">
        <v>314</v>
      </c>
      <c r="X2118" t="s">
        <v>271</v>
      </c>
      <c r="Y2118" t="s">
        <v>4095</v>
      </c>
      <c r="Z2118" t="s">
        <v>4096</v>
      </c>
      <c r="AA2118" t="s">
        <v>4097</v>
      </c>
      <c r="AB2118" t="s">
        <v>181</v>
      </c>
    </row>
    <row r="2119" spans="1:28" x14ac:dyDescent="0.25">
      <c r="A2119" t="s">
        <v>4135</v>
      </c>
      <c r="B2119" t="s">
        <v>4136</v>
      </c>
      <c r="C2119" t="s">
        <v>646</v>
      </c>
      <c r="D2119" t="s">
        <v>3779</v>
      </c>
      <c r="E2119" t="s">
        <v>647</v>
      </c>
      <c r="F2119" t="s">
        <v>3780</v>
      </c>
      <c r="G2119" t="s">
        <v>769</v>
      </c>
      <c r="H2119" t="s">
        <v>856</v>
      </c>
      <c r="I2119" t="s">
        <v>1083</v>
      </c>
      <c r="J2119" t="s">
        <v>731</v>
      </c>
      <c r="K2119" t="s">
        <v>166</v>
      </c>
      <c r="L2119" t="s">
        <v>0</v>
      </c>
      <c r="M2119" t="s">
        <v>178</v>
      </c>
      <c r="N2119">
        <v>3</v>
      </c>
      <c r="O2119">
        <v>0</v>
      </c>
      <c r="P2119">
        <v>60</v>
      </c>
      <c r="Q2119">
        <v>304.97000000000003</v>
      </c>
      <c r="R2119">
        <v>44.17</v>
      </c>
      <c r="S2119">
        <v>17.885200000000001</v>
      </c>
      <c r="T2119">
        <v>0</v>
      </c>
      <c r="U2119">
        <v>0</v>
      </c>
      <c r="V2119">
        <v>44.17</v>
      </c>
      <c r="W2119" t="s">
        <v>0</v>
      </c>
      <c r="X2119" t="s">
        <v>271</v>
      </c>
      <c r="Y2119" t="s">
        <v>4137</v>
      </c>
      <c r="AA2119" t="s">
        <v>4138</v>
      </c>
      <c r="AB2119" t="s">
        <v>181</v>
      </c>
    </row>
    <row r="2120" spans="1:28" x14ac:dyDescent="0.25">
      <c r="A2120" t="s">
        <v>4060</v>
      </c>
      <c r="B2120" t="s">
        <v>4061</v>
      </c>
      <c r="C2120" t="s">
        <v>646</v>
      </c>
      <c r="D2120" t="s">
        <v>3779</v>
      </c>
      <c r="E2120" t="s">
        <v>647</v>
      </c>
      <c r="F2120" t="s">
        <v>648</v>
      </c>
      <c r="G2120" t="s">
        <v>648</v>
      </c>
      <c r="H2120" t="s">
        <v>1159</v>
      </c>
      <c r="I2120" t="s">
        <v>1114</v>
      </c>
      <c r="J2120" t="s">
        <v>1115</v>
      </c>
      <c r="K2120" t="s">
        <v>166</v>
      </c>
      <c r="L2120" t="s">
        <v>0</v>
      </c>
      <c r="M2120" t="s">
        <v>178</v>
      </c>
      <c r="N2120">
        <v>5</v>
      </c>
      <c r="O2120">
        <v>0</v>
      </c>
      <c r="P2120">
        <v>52.5</v>
      </c>
      <c r="Q2120">
        <v>229.1</v>
      </c>
      <c r="R2120">
        <v>14.8</v>
      </c>
      <c r="S2120">
        <v>13.00828804</v>
      </c>
      <c r="T2120">
        <v>0</v>
      </c>
      <c r="U2120">
        <v>0</v>
      </c>
      <c r="V2120">
        <v>14.8</v>
      </c>
      <c r="W2120" t="s">
        <v>0</v>
      </c>
      <c r="X2120" t="s">
        <v>271</v>
      </c>
      <c r="Y2120" t="s">
        <v>4062</v>
      </c>
      <c r="AA2120" t="s">
        <v>4063</v>
      </c>
      <c r="AB2120" t="s">
        <v>181</v>
      </c>
    </row>
    <row r="2121" spans="1:28" x14ac:dyDescent="0.25">
      <c r="A2121" t="s">
        <v>3948</v>
      </c>
      <c r="B2121" t="s">
        <v>3949</v>
      </c>
      <c r="C2121" t="s">
        <v>646</v>
      </c>
      <c r="D2121" t="s">
        <v>3779</v>
      </c>
      <c r="E2121" t="s">
        <v>647</v>
      </c>
      <c r="F2121" t="s">
        <v>3780</v>
      </c>
      <c r="G2121" t="s">
        <v>769</v>
      </c>
      <c r="H2121" t="s">
        <v>761</v>
      </c>
      <c r="I2121" t="s">
        <v>2250</v>
      </c>
      <c r="J2121" t="s">
        <v>358</v>
      </c>
      <c r="K2121" t="s">
        <v>166</v>
      </c>
      <c r="L2121" t="s">
        <v>0</v>
      </c>
      <c r="M2121" t="s">
        <v>178</v>
      </c>
      <c r="N2121">
        <v>9</v>
      </c>
      <c r="O2121">
        <v>0</v>
      </c>
      <c r="P2121">
        <v>90</v>
      </c>
      <c r="Q2121">
        <v>297.83999999999997</v>
      </c>
      <c r="R2121">
        <v>116.78505228</v>
      </c>
      <c r="S2121">
        <v>95.169027880000002</v>
      </c>
      <c r="T2121">
        <v>2.505228E-2</v>
      </c>
      <c r="U2121">
        <v>0</v>
      </c>
      <c r="V2121">
        <v>116.76</v>
      </c>
      <c r="W2121" t="s">
        <v>357</v>
      </c>
      <c r="X2121" t="s">
        <v>271</v>
      </c>
      <c r="Y2121" t="s">
        <v>3950</v>
      </c>
      <c r="AA2121" t="s">
        <v>3951</v>
      </c>
      <c r="AB2121" t="s">
        <v>181</v>
      </c>
    </row>
    <row r="2122" spans="1:28" x14ac:dyDescent="0.25">
      <c r="A2122" t="s">
        <v>4357</v>
      </c>
      <c r="B2122" t="s">
        <v>4358</v>
      </c>
      <c r="C2122" t="s">
        <v>646</v>
      </c>
      <c r="D2122" t="s">
        <v>3779</v>
      </c>
      <c r="E2122" t="s">
        <v>647</v>
      </c>
      <c r="F2122" t="s">
        <v>3780</v>
      </c>
      <c r="G2122" t="s">
        <v>769</v>
      </c>
      <c r="H2122" t="s">
        <v>1515</v>
      </c>
      <c r="I2122" t="s">
        <v>1599</v>
      </c>
      <c r="J2122" t="s">
        <v>1600</v>
      </c>
      <c r="K2122" t="s">
        <v>166</v>
      </c>
      <c r="L2122" t="s">
        <v>0</v>
      </c>
      <c r="M2122" t="s">
        <v>178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 t="s">
        <v>1601</v>
      </c>
      <c r="X2122" t="s">
        <v>269</v>
      </c>
      <c r="Y2122" t="s">
        <v>4359</v>
      </c>
      <c r="AA2122" t="s">
        <v>4360</v>
      </c>
      <c r="AB2122" t="s">
        <v>181</v>
      </c>
    </row>
    <row r="2123" spans="1:28" x14ac:dyDescent="0.25">
      <c r="A2123" t="s">
        <v>4312</v>
      </c>
      <c r="B2123" t="s">
        <v>4313</v>
      </c>
      <c r="C2123" t="s">
        <v>646</v>
      </c>
      <c r="D2123" t="s">
        <v>3779</v>
      </c>
      <c r="E2123" t="s">
        <v>647</v>
      </c>
      <c r="F2123" t="s">
        <v>3780</v>
      </c>
      <c r="G2123" t="s">
        <v>769</v>
      </c>
      <c r="H2123" t="s">
        <v>962</v>
      </c>
      <c r="I2123" t="s">
        <v>4314</v>
      </c>
      <c r="J2123" t="s">
        <v>319</v>
      </c>
      <c r="K2123" t="s">
        <v>166</v>
      </c>
      <c r="L2123" t="s">
        <v>0</v>
      </c>
      <c r="M2123" t="s">
        <v>178</v>
      </c>
      <c r="N2123">
        <v>9</v>
      </c>
      <c r="O2123">
        <v>9</v>
      </c>
      <c r="P2123">
        <v>75.319999999999993</v>
      </c>
      <c r="Q2123">
        <v>452.15</v>
      </c>
      <c r="R2123">
        <v>89.14</v>
      </c>
      <c r="S2123">
        <v>22.291599999999999</v>
      </c>
      <c r="T2123">
        <v>0</v>
      </c>
      <c r="U2123">
        <v>0</v>
      </c>
      <c r="V2123">
        <v>89.14</v>
      </c>
      <c r="W2123" t="s">
        <v>0</v>
      </c>
      <c r="X2123" t="s">
        <v>271</v>
      </c>
      <c r="Y2123" t="s">
        <v>4315</v>
      </c>
      <c r="AA2123" t="s">
        <v>3466</v>
      </c>
      <c r="AB2123" t="s">
        <v>181</v>
      </c>
    </row>
    <row r="2124" spans="1:28" x14ac:dyDescent="0.25">
      <c r="A2124" t="s">
        <v>4260</v>
      </c>
      <c r="B2124" t="s">
        <v>4261</v>
      </c>
      <c r="C2124" t="s">
        <v>646</v>
      </c>
      <c r="D2124" t="s">
        <v>3779</v>
      </c>
      <c r="E2124" t="s">
        <v>647</v>
      </c>
      <c r="F2124" t="s">
        <v>666</v>
      </c>
      <c r="G2124" t="s">
        <v>666</v>
      </c>
      <c r="H2124" t="s">
        <v>1045</v>
      </c>
      <c r="I2124" t="s">
        <v>4262</v>
      </c>
      <c r="J2124" t="s">
        <v>1180</v>
      </c>
      <c r="K2124" t="s">
        <v>166</v>
      </c>
      <c r="L2124" t="s">
        <v>0</v>
      </c>
      <c r="M2124" t="s">
        <v>178</v>
      </c>
      <c r="N2124">
        <v>2</v>
      </c>
      <c r="O2124">
        <v>2</v>
      </c>
      <c r="P2124">
        <v>16</v>
      </c>
      <c r="Q2124">
        <v>217.96</v>
      </c>
      <c r="R2124">
        <v>21.22</v>
      </c>
      <c r="S2124">
        <v>28</v>
      </c>
      <c r="T2124">
        <v>0</v>
      </c>
      <c r="U2124">
        <v>0</v>
      </c>
      <c r="V2124">
        <v>21.22</v>
      </c>
      <c r="W2124" t="s">
        <v>0</v>
      </c>
      <c r="X2124" t="s">
        <v>271</v>
      </c>
      <c r="Y2124" t="s">
        <v>4263</v>
      </c>
      <c r="AA2124" t="s">
        <v>4264</v>
      </c>
      <c r="AB2124" t="s">
        <v>181</v>
      </c>
    </row>
    <row r="2125" spans="1:28" x14ac:dyDescent="0.25">
      <c r="A2125" t="s">
        <v>4228</v>
      </c>
      <c r="B2125" t="s">
        <v>4229</v>
      </c>
      <c r="C2125" t="s">
        <v>646</v>
      </c>
      <c r="D2125" t="s">
        <v>3779</v>
      </c>
      <c r="E2125" t="s">
        <v>647</v>
      </c>
      <c r="F2125" t="s">
        <v>3780</v>
      </c>
      <c r="G2125" t="s">
        <v>769</v>
      </c>
      <c r="H2125" t="s">
        <v>708</v>
      </c>
      <c r="I2125" t="s">
        <v>1971</v>
      </c>
      <c r="J2125" t="s">
        <v>1972</v>
      </c>
      <c r="K2125" t="s">
        <v>166</v>
      </c>
      <c r="L2125" t="s">
        <v>0</v>
      </c>
      <c r="M2125" t="s">
        <v>178</v>
      </c>
      <c r="N2125">
        <v>286</v>
      </c>
      <c r="O2125">
        <v>264</v>
      </c>
      <c r="P2125">
        <v>3897.09</v>
      </c>
      <c r="Q2125">
        <v>14005.7</v>
      </c>
      <c r="R2125">
        <v>616.52</v>
      </c>
      <c r="S2125">
        <v>4290.1820735399997</v>
      </c>
      <c r="T2125">
        <v>0</v>
      </c>
      <c r="U2125">
        <v>0</v>
      </c>
      <c r="V2125">
        <v>616.52</v>
      </c>
      <c r="W2125" t="s">
        <v>1973</v>
      </c>
      <c r="X2125" t="s">
        <v>271</v>
      </c>
      <c r="Y2125" t="s">
        <v>4230</v>
      </c>
      <c r="AA2125" t="s">
        <v>4231</v>
      </c>
      <c r="AB2125" t="s">
        <v>181</v>
      </c>
    </row>
    <row r="2126" spans="1:28" x14ac:dyDescent="0.25">
      <c r="A2126" t="s">
        <v>4147</v>
      </c>
      <c r="B2126" t="s">
        <v>4148</v>
      </c>
      <c r="C2126" t="s">
        <v>646</v>
      </c>
      <c r="D2126" t="s">
        <v>3779</v>
      </c>
      <c r="E2126" t="s">
        <v>647</v>
      </c>
      <c r="F2126" t="s">
        <v>3780</v>
      </c>
      <c r="G2126" t="s">
        <v>769</v>
      </c>
      <c r="H2126" t="s">
        <v>683</v>
      </c>
      <c r="I2126" t="s">
        <v>1301</v>
      </c>
      <c r="J2126" t="s">
        <v>1302</v>
      </c>
      <c r="K2126" t="s">
        <v>166</v>
      </c>
      <c r="L2126" t="s">
        <v>0</v>
      </c>
      <c r="M2126" t="s">
        <v>178</v>
      </c>
      <c r="N2126">
        <v>304.5</v>
      </c>
      <c r="O2126">
        <v>251.5</v>
      </c>
      <c r="P2126">
        <v>7490.33</v>
      </c>
      <c r="Q2126">
        <v>12244.49</v>
      </c>
      <c r="R2126">
        <v>2701.95</v>
      </c>
      <c r="S2126">
        <v>3227.9053520299999</v>
      </c>
      <c r="T2126">
        <v>0</v>
      </c>
      <c r="U2126">
        <v>0</v>
      </c>
      <c r="V2126">
        <v>2701.95</v>
      </c>
      <c r="W2126" t="s">
        <v>1303</v>
      </c>
      <c r="X2126" t="s">
        <v>269</v>
      </c>
      <c r="Y2126" t="s">
        <v>4149</v>
      </c>
      <c r="AA2126" t="s">
        <v>4150</v>
      </c>
      <c r="AB2126" t="s">
        <v>181</v>
      </c>
    </row>
    <row r="2127" spans="1:28" x14ac:dyDescent="0.25">
      <c r="A2127" t="s">
        <v>3793</v>
      </c>
      <c r="B2127" t="s">
        <v>3794</v>
      </c>
      <c r="C2127" t="s">
        <v>646</v>
      </c>
      <c r="D2127" t="s">
        <v>3779</v>
      </c>
      <c r="E2127" t="s">
        <v>647</v>
      </c>
      <c r="F2127" t="s">
        <v>666</v>
      </c>
      <c r="G2127" t="s">
        <v>666</v>
      </c>
      <c r="H2127" t="s">
        <v>708</v>
      </c>
      <c r="I2127" t="s">
        <v>1712</v>
      </c>
      <c r="J2127" t="s">
        <v>335</v>
      </c>
      <c r="K2127" t="s">
        <v>166</v>
      </c>
      <c r="L2127" t="s">
        <v>0</v>
      </c>
      <c r="M2127" t="s">
        <v>178</v>
      </c>
      <c r="N2127">
        <v>489.66669999999999</v>
      </c>
      <c r="O2127">
        <v>234.66669999999999</v>
      </c>
      <c r="P2127">
        <v>10385.4</v>
      </c>
      <c r="Q2127">
        <v>8074.56</v>
      </c>
      <c r="R2127">
        <v>-1754.62</v>
      </c>
      <c r="S2127">
        <v>3459.7837468500002</v>
      </c>
      <c r="T2127">
        <v>0</v>
      </c>
      <c r="U2127">
        <v>0</v>
      </c>
      <c r="V2127">
        <v>-1754.62</v>
      </c>
      <c r="W2127" t="s">
        <v>572</v>
      </c>
      <c r="X2127" t="s">
        <v>271</v>
      </c>
      <c r="Y2127" t="s">
        <v>3795</v>
      </c>
      <c r="AA2127" t="s">
        <v>3796</v>
      </c>
      <c r="AB2127" t="s">
        <v>181</v>
      </c>
    </row>
    <row r="2128" spans="1:28" x14ac:dyDescent="0.25">
      <c r="A2128" t="s">
        <v>4092</v>
      </c>
      <c r="B2128" t="s">
        <v>4093</v>
      </c>
      <c r="C2128" t="s">
        <v>646</v>
      </c>
      <c r="D2128" t="s">
        <v>3779</v>
      </c>
      <c r="E2128" t="s">
        <v>647</v>
      </c>
      <c r="F2128" t="s">
        <v>3780</v>
      </c>
      <c r="G2128" t="s">
        <v>769</v>
      </c>
      <c r="H2128" t="s">
        <v>802</v>
      </c>
      <c r="I2128" t="s">
        <v>4094</v>
      </c>
      <c r="J2128" t="s">
        <v>370</v>
      </c>
      <c r="K2128" t="s">
        <v>166</v>
      </c>
      <c r="L2128" t="s">
        <v>0</v>
      </c>
      <c r="M2128" t="s">
        <v>178</v>
      </c>
      <c r="N2128">
        <v>130.91669999999999</v>
      </c>
      <c r="O2128">
        <v>106</v>
      </c>
      <c r="P2128">
        <v>1933.81</v>
      </c>
      <c r="Q2128">
        <v>6128.86</v>
      </c>
      <c r="R2128">
        <v>1145.22</v>
      </c>
      <c r="S2128">
        <v>624.88550583999995</v>
      </c>
      <c r="T2128">
        <v>0</v>
      </c>
      <c r="U2128">
        <v>0</v>
      </c>
      <c r="V2128">
        <v>1145.22</v>
      </c>
      <c r="W2128" t="s">
        <v>314</v>
      </c>
      <c r="X2128" t="s">
        <v>271</v>
      </c>
      <c r="Y2128" t="s">
        <v>4095</v>
      </c>
      <c r="Z2128" t="s">
        <v>4096</v>
      </c>
      <c r="AA2128" t="s">
        <v>4097</v>
      </c>
      <c r="AB2128" t="s">
        <v>181</v>
      </c>
    </row>
    <row r="2129" spans="1:28" x14ac:dyDescent="0.25">
      <c r="A2129" t="s">
        <v>4240</v>
      </c>
      <c r="B2129" t="s">
        <v>4241</v>
      </c>
      <c r="C2129" t="s">
        <v>646</v>
      </c>
      <c r="D2129" t="s">
        <v>3779</v>
      </c>
      <c r="E2129" t="s">
        <v>647</v>
      </c>
      <c r="F2129" t="s">
        <v>666</v>
      </c>
      <c r="G2129" t="s">
        <v>666</v>
      </c>
      <c r="H2129" t="s">
        <v>679</v>
      </c>
      <c r="I2129" t="s">
        <v>880</v>
      </c>
      <c r="J2129" t="s">
        <v>881</v>
      </c>
      <c r="K2129" t="s">
        <v>166</v>
      </c>
      <c r="L2129" t="s">
        <v>0</v>
      </c>
      <c r="M2129" t="s">
        <v>178</v>
      </c>
      <c r="N2129">
        <v>66.583399999999997</v>
      </c>
      <c r="O2129">
        <v>48.5</v>
      </c>
      <c r="P2129">
        <v>606.91</v>
      </c>
      <c r="Q2129">
        <v>1793.83</v>
      </c>
      <c r="R2129">
        <v>50.829126170000002</v>
      </c>
      <c r="S2129">
        <v>491.90746861999997</v>
      </c>
      <c r="T2129">
        <v>3.3591261700000001</v>
      </c>
      <c r="U2129">
        <v>113.22</v>
      </c>
      <c r="V2129">
        <v>164.29</v>
      </c>
      <c r="W2129" t="s">
        <v>0</v>
      </c>
      <c r="X2129" t="s">
        <v>271</v>
      </c>
      <c r="Y2129" t="s">
        <v>4242</v>
      </c>
      <c r="AA2129" t="s">
        <v>4243</v>
      </c>
      <c r="AB2129" t="s">
        <v>181</v>
      </c>
    </row>
    <row r="2130" spans="1:28" x14ac:dyDescent="0.25">
      <c r="A2130" t="s">
        <v>4304</v>
      </c>
      <c r="B2130" t="s">
        <v>4305</v>
      </c>
      <c r="C2130" t="s">
        <v>646</v>
      </c>
      <c r="D2130" t="s">
        <v>3779</v>
      </c>
      <c r="E2130" t="s">
        <v>647</v>
      </c>
      <c r="F2130" t="s">
        <v>648</v>
      </c>
      <c r="G2130" t="s">
        <v>648</v>
      </c>
      <c r="H2130" t="s">
        <v>679</v>
      </c>
      <c r="I2130" t="s">
        <v>4306</v>
      </c>
      <c r="J2130" t="s">
        <v>436</v>
      </c>
      <c r="K2130" t="s">
        <v>166</v>
      </c>
      <c r="L2130" t="s">
        <v>0</v>
      </c>
      <c r="M2130" t="s">
        <v>178</v>
      </c>
      <c r="N2130">
        <v>2187</v>
      </c>
      <c r="O2130">
        <v>1693</v>
      </c>
      <c r="P2130">
        <v>22980.26</v>
      </c>
      <c r="Q2130">
        <v>67616.05</v>
      </c>
      <c r="R2130">
        <v>-23837.21290726</v>
      </c>
      <c r="S2130">
        <v>45924.342951259998</v>
      </c>
      <c r="T2130">
        <v>1095.8170927399999</v>
      </c>
      <c r="U2130">
        <v>29733.57</v>
      </c>
      <c r="V2130">
        <v>6516.47</v>
      </c>
      <c r="W2130" t="s">
        <v>0</v>
      </c>
      <c r="X2130" t="s">
        <v>271</v>
      </c>
      <c r="Y2130" t="s">
        <v>4307</v>
      </c>
      <c r="AA2130" t="s">
        <v>4101</v>
      </c>
      <c r="AB2130" t="s">
        <v>181</v>
      </c>
    </row>
    <row r="2131" spans="1:28" x14ac:dyDescent="0.25">
      <c r="A2131" t="s">
        <v>3838</v>
      </c>
      <c r="B2131" t="s">
        <v>3839</v>
      </c>
      <c r="C2131" t="s">
        <v>646</v>
      </c>
      <c r="D2131" t="s">
        <v>3779</v>
      </c>
      <c r="E2131" t="s">
        <v>647</v>
      </c>
      <c r="F2131" t="s">
        <v>3780</v>
      </c>
      <c r="G2131" t="s">
        <v>769</v>
      </c>
      <c r="H2131" t="s">
        <v>770</v>
      </c>
      <c r="I2131" t="s">
        <v>906</v>
      </c>
      <c r="J2131" t="s">
        <v>907</v>
      </c>
      <c r="K2131" t="s">
        <v>166</v>
      </c>
      <c r="L2131" t="s">
        <v>0</v>
      </c>
      <c r="M2131" t="s">
        <v>178</v>
      </c>
      <c r="N2131">
        <v>844.25</v>
      </c>
      <c r="O2131">
        <v>656.25</v>
      </c>
      <c r="P2131">
        <v>15901.2</v>
      </c>
      <c r="Q2131">
        <v>21219.96</v>
      </c>
      <c r="R2131">
        <v>5049.49</v>
      </c>
      <c r="S2131">
        <v>2430.5601888299998</v>
      </c>
      <c r="T2131">
        <v>0</v>
      </c>
      <c r="U2131">
        <v>0</v>
      </c>
      <c r="V2131">
        <v>5049.49</v>
      </c>
      <c r="W2131" t="s">
        <v>272</v>
      </c>
      <c r="X2131" t="s">
        <v>269</v>
      </c>
      <c r="Y2131" t="s">
        <v>3840</v>
      </c>
      <c r="AA2131" t="s">
        <v>3841</v>
      </c>
      <c r="AB2131" t="s">
        <v>181</v>
      </c>
    </row>
    <row r="2132" spans="1:28" x14ac:dyDescent="0.25">
      <c r="A2132" t="s">
        <v>3977</v>
      </c>
      <c r="B2132" t="s">
        <v>3978</v>
      </c>
      <c r="C2132" t="s">
        <v>646</v>
      </c>
      <c r="D2132" t="s">
        <v>3779</v>
      </c>
      <c r="E2132" t="s">
        <v>647</v>
      </c>
      <c r="F2132" t="s">
        <v>3780</v>
      </c>
      <c r="G2132" t="s">
        <v>769</v>
      </c>
      <c r="H2132" t="s">
        <v>713</v>
      </c>
      <c r="I2132" t="s">
        <v>1489</v>
      </c>
      <c r="J2132" t="s">
        <v>816</v>
      </c>
      <c r="K2132" t="s">
        <v>166</v>
      </c>
      <c r="L2132" t="s">
        <v>0</v>
      </c>
      <c r="M2132" t="s">
        <v>178</v>
      </c>
      <c r="N2132">
        <v>522.22220000000004</v>
      </c>
      <c r="O2132">
        <v>63</v>
      </c>
      <c r="P2132">
        <v>15825.19</v>
      </c>
      <c r="Q2132">
        <v>17540.23</v>
      </c>
      <c r="R2132">
        <v>3184.0454168900001</v>
      </c>
      <c r="S2132">
        <v>639.20979714999999</v>
      </c>
      <c r="T2132">
        <v>72.735416889999996</v>
      </c>
      <c r="U2132">
        <v>6.2</v>
      </c>
      <c r="V2132">
        <v>3117.51</v>
      </c>
      <c r="W2132" t="s">
        <v>817</v>
      </c>
      <c r="X2132" t="s">
        <v>271</v>
      </c>
      <c r="Y2132" t="s">
        <v>3979</v>
      </c>
      <c r="AA2132" t="s">
        <v>3980</v>
      </c>
      <c r="AB2132" t="s">
        <v>181</v>
      </c>
    </row>
    <row r="2133" spans="1:28" x14ac:dyDescent="0.25">
      <c r="A2133" t="s">
        <v>4086</v>
      </c>
      <c r="B2133" t="s">
        <v>4087</v>
      </c>
      <c r="C2133" t="s">
        <v>646</v>
      </c>
      <c r="D2133" t="s">
        <v>3779</v>
      </c>
      <c r="E2133" t="s">
        <v>647</v>
      </c>
      <c r="F2133" t="s">
        <v>3780</v>
      </c>
      <c r="G2133" t="s">
        <v>769</v>
      </c>
      <c r="H2133" t="s">
        <v>713</v>
      </c>
      <c r="I2133" t="s">
        <v>4088</v>
      </c>
      <c r="J2133" t="s">
        <v>480</v>
      </c>
      <c r="K2133" t="s">
        <v>166</v>
      </c>
      <c r="L2133" t="s">
        <v>0</v>
      </c>
      <c r="M2133" t="s">
        <v>178</v>
      </c>
      <c r="N2133">
        <v>86.083299999999994</v>
      </c>
      <c r="O2133">
        <v>84.083299999999994</v>
      </c>
      <c r="P2133">
        <v>1559.64</v>
      </c>
      <c r="Q2133">
        <v>2629.35</v>
      </c>
      <c r="R2133">
        <v>688.95</v>
      </c>
      <c r="S2133">
        <v>438.31257374</v>
      </c>
      <c r="T2133">
        <v>0</v>
      </c>
      <c r="U2133">
        <v>0</v>
      </c>
      <c r="V2133">
        <v>688.95</v>
      </c>
      <c r="W2133" t="s">
        <v>4089</v>
      </c>
      <c r="X2133" t="s">
        <v>271</v>
      </c>
      <c r="Y2133" t="s">
        <v>4090</v>
      </c>
      <c r="AA2133" t="s">
        <v>4091</v>
      </c>
      <c r="AB2133" t="s">
        <v>181</v>
      </c>
    </row>
    <row r="2134" spans="1:28" x14ac:dyDescent="0.25">
      <c r="A2134" t="s">
        <v>4361</v>
      </c>
      <c r="B2134" t="s">
        <v>4362</v>
      </c>
      <c r="C2134" t="s">
        <v>646</v>
      </c>
      <c r="D2134" t="s">
        <v>3779</v>
      </c>
      <c r="E2134" t="s">
        <v>647</v>
      </c>
      <c r="F2134" t="s">
        <v>3780</v>
      </c>
      <c r="G2134" t="s">
        <v>769</v>
      </c>
      <c r="H2134" t="s">
        <v>703</v>
      </c>
      <c r="I2134" t="s">
        <v>1712</v>
      </c>
      <c r="J2134" t="s">
        <v>335</v>
      </c>
      <c r="K2134" t="s">
        <v>166</v>
      </c>
      <c r="L2134" t="s">
        <v>0</v>
      </c>
      <c r="M2134" t="s">
        <v>178</v>
      </c>
      <c r="N2134">
        <v>39.5</v>
      </c>
      <c r="O2134">
        <v>14.25</v>
      </c>
      <c r="P2134">
        <v>542.03</v>
      </c>
      <c r="Q2134">
        <v>1535.28</v>
      </c>
      <c r="R2134">
        <v>301.29000000000002</v>
      </c>
      <c r="S2134">
        <v>223.23489308000001</v>
      </c>
      <c r="T2134">
        <v>0</v>
      </c>
      <c r="U2134">
        <v>0</v>
      </c>
      <c r="V2134">
        <v>301.29000000000002</v>
      </c>
      <c r="W2134" t="s">
        <v>572</v>
      </c>
      <c r="X2134" t="s">
        <v>271</v>
      </c>
      <c r="Y2134" t="s">
        <v>4363</v>
      </c>
      <c r="AA2134" t="s">
        <v>4364</v>
      </c>
      <c r="AB2134" t="s">
        <v>181</v>
      </c>
    </row>
    <row r="2135" spans="1:28" x14ac:dyDescent="0.25">
      <c r="A2135" t="s">
        <v>3777</v>
      </c>
      <c r="B2135" t="s">
        <v>3778</v>
      </c>
      <c r="C2135" t="s">
        <v>646</v>
      </c>
      <c r="D2135" t="s">
        <v>3779</v>
      </c>
      <c r="E2135" t="s">
        <v>647</v>
      </c>
      <c r="F2135" t="s">
        <v>3780</v>
      </c>
      <c r="G2135" t="s">
        <v>769</v>
      </c>
      <c r="H2135" t="s">
        <v>730</v>
      </c>
      <c r="I2135" t="s">
        <v>798</v>
      </c>
      <c r="J2135" t="s">
        <v>524</v>
      </c>
      <c r="K2135" t="s">
        <v>166</v>
      </c>
      <c r="L2135" t="s">
        <v>0</v>
      </c>
      <c r="M2135" t="s">
        <v>178</v>
      </c>
      <c r="N2135">
        <v>3</v>
      </c>
      <c r="O2135">
        <v>1</v>
      </c>
      <c r="P2135">
        <v>66.69</v>
      </c>
      <c r="Q2135">
        <v>163.69</v>
      </c>
      <c r="R2135">
        <v>12.03165199</v>
      </c>
      <c r="S2135">
        <v>3.74482968</v>
      </c>
      <c r="T2135">
        <v>-0.46834800999999998</v>
      </c>
      <c r="U2135">
        <v>0</v>
      </c>
      <c r="V2135">
        <v>12.5</v>
      </c>
      <c r="W2135" t="s">
        <v>258</v>
      </c>
      <c r="X2135" t="s">
        <v>271</v>
      </c>
      <c r="Y2135" t="s">
        <v>3781</v>
      </c>
      <c r="AA2135" t="s">
        <v>3782</v>
      </c>
      <c r="AB2135" t="s">
        <v>181</v>
      </c>
    </row>
    <row r="2136" spans="1:28" x14ac:dyDescent="0.25">
      <c r="A2136" t="s">
        <v>3810</v>
      </c>
      <c r="B2136" t="s">
        <v>3811</v>
      </c>
      <c r="C2136" t="s">
        <v>646</v>
      </c>
      <c r="D2136" t="s">
        <v>3779</v>
      </c>
      <c r="E2136" t="s">
        <v>647</v>
      </c>
      <c r="F2136" t="s">
        <v>3780</v>
      </c>
      <c r="G2136" t="s">
        <v>769</v>
      </c>
      <c r="H2136" t="s">
        <v>679</v>
      </c>
      <c r="I2136" t="s">
        <v>771</v>
      </c>
      <c r="J2136" t="s">
        <v>319</v>
      </c>
      <c r="K2136" t="s">
        <v>166</v>
      </c>
      <c r="L2136" t="s">
        <v>0</v>
      </c>
      <c r="M2136" t="s">
        <v>178</v>
      </c>
      <c r="N2136">
        <v>2117</v>
      </c>
      <c r="O2136">
        <v>434</v>
      </c>
      <c r="P2136">
        <v>19873.93</v>
      </c>
      <c r="Q2136">
        <v>70244.23</v>
      </c>
      <c r="R2136">
        <v>5551.3359643599997</v>
      </c>
      <c r="S2136">
        <v>9220.5180836500003</v>
      </c>
      <c r="T2136">
        <v>1323.25596436</v>
      </c>
      <c r="U2136">
        <v>0</v>
      </c>
      <c r="V2136">
        <v>5581.62</v>
      </c>
      <c r="W2136" t="s">
        <v>0</v>
      </c>
      <c r="X2136" t="s">
        <v>271</v>
      </c>
      <c r="Y2136" t="s">
        <v>3812</v>
      </c>
      <c r="AA2136" t="s">
        <v>3813</v>
      </c>
      <c r="AB2136" t="s">
        <v>181</v>
      </c>
    </row>
    <row r="2137" spans="1:28" x14ac:dyDescent="0.25">
      <c r="A2137" t="s">
        <v>3944</v>
      </c>
      <c r="B2137" t="s">
        <v>3945</v>
      </c>
      <c r="C2137" t="s">
        <v>646</v>
      </c>
      <c r="D2137" t="s">
        <v>3779</v>
      </c>
      <c r="E2137" t="s">
        <v>647</v>
      </c>
      <c r="F2137" t="s">
        <v>3780</v>
      </c>
      <c r="G2137" t="s">
        <v>769</v>
      </c>
      <c r="H2137" t="s">
        <v>761</v>
      </c>
      <c r="I2137" t="s">
        <v>798</v>
      </c>
      <c r="J2137" t="s">
        <v>524</v>
      </c>
      <c r="K2137" t="s">
        <v>166</v>
      </c>
      <c r="L2137" t="s">
        <v>0</v>
      </c>
      <c r="M2137" t="s">
        <v>178</v>
      </c>
      <c r="N2137">
        <v>132</v>
      </c>
      <c r="O2137">
        <v>111</v>
      </c>
      <c r="P2137">
        <v>4502.2700000000004</v>
      </c>
      <c r="Q2137">
        <v>5026.08</v>
      </c>
      <c r="R2137">
        <v>1262.64437813</v>
      </c>
      <c r="S2137">
        <v>806.11027889000002</v>
      </c>
      <c r="T2137">
        <v>5.4378129999999997E-2</v>
      </c>
      <c r="U2137">
        <v>0</v>
      </c>
      <c r="V2137">
        <v>1262.5899999999999</v>
      </c>
      <c r="W2137" t="s">
        <v>258</v>
      </c>
      <c r="X2137" t="s">
        <v>271</v>
      </c>
      <c r="Y2137" t="s">
        <v>3946</v>
      </c>
      <c r="AA2137" t="s">
        <v>3947</v>
      </c>
      <c r="AB2137" t="s">
        <v>181</v>
      </c>
    </row>
    <row r="2138" spans="1:28" x14ac:dyDescent="0.25">
      <c r="A2138" t="s">
        <v>3777</v>
      </c>
      <c r="B2138" t="s">
        <v>3778</v>
      </c>
      <c r="C2138" t="s">
        <v>646</v>
      </c>
      <c r="D2138" t="s">
        <v>3779</v>
      </c>
      <c r="E2138" t="s">
        <v>647</v>
      </c>
      <c r="F2138" t="s">
        <v>3780</v>
      </c>
      <c r="G2138" t="s">
        <v>769</v>
      </c>
      <c r="H2138" t="s">
        <v>672</v>
      </c>
      <c r="I2138" t="s">
        <v>798</v>
      </c>
      <c r="J2138" t="s">
        <v>524</v>
      </c>
      <c r="K2138" t="s">
        <v>166</v>
      </c>
      <c r="L2138" t="s">
        <v>0</v>
      </c>
      <c r="M2138" t="s">
        <v>178</v>
      </c>
      <c r="N2138">
        <v>109</v>
      </c>
      <c r="O2138">
        <v>72</v>
      </c>
      <c r="P2138">
        <v>2127.67</v>
      </c>
      <c r="Q2138">
        <v>4231.05</v>
      </c>
      <c r="R2138">
        <v>497.59</v>
      </c>
      <c r="S2138">
        <v>785.35339404000001</v>
      </c>
      <c r="T2138">
        <v>0</v>
      </c>
      <c r="U2138">
        <v>0</v>
      </c>
      <c r="V2138">
        <v>497.59</v>
      </c>
      <c r="W2138" t="s">
        <v>258</v>
      </c>
      <c r="X2138" t="s">
        <v>271</v>
      </c>
      <c r="Y2138" t="s">
        <v>3781</v>
      </c>
      <c r="AA2138" t="s">
        <v>3782</v>
      </c>
      <c r="AB2138" t="s">
        <v>181</v>
      </c>
    </row>
    <row r="2139" spans="1:28" x14ac:dyDescent="0.25">
      <c r="A2139" t="s">
        <v>3938</v>
      </c>
      <c r="B2139" t="s">
        <v>3939</v>
      </c>
      <c r="C2139" t="s">
        <v>646</v>
      </c>
      <c r="D2139" t="s">
        <v>3779</v>
      </c>
      <c r="E2139" t="s">
        <v>647</v>
      </c>
      <c r="F2139" t="s">
        <v>3780</v>
      </c>
      <c r="G2139" t="s">
        <v>769</v>
      </c>
      <c r="H2139" t="s">
        <v>672</v>
      </c>
      <c r="I2139" t="s">
        <v>3940</v>
      </c>
      <c r="J2139" t="s">
        <v>3941</v>
      </c>
      <c r="K2139" t="s">
        <v>166</v>
      </c>
      <c r="L2139" t="s">
        <v>0</v>
      </c>
      <c r="M2139" t="s">
        <v>178</v>
      </c>
      <c r="N2139">
        <v>465</v>
      </c>
      <c r="O2139">
        <v>141</v>
      </c>
      <c r="P2139">
        <v>11257.4</v>
      </c>
      <c r="Q2139">
        <v>15765.17</v>
      </c>
      <c r="R2139">
        <v>674.90570828</v>
      </c>
      <c r="S2139">
        <v>2551.0111406999999</v>
      </c>
      <c r="T2139">
        <v>0.31570828000000001</v>
      </c>
      <c r="U2139">
        <v>0</v>
      </c>
      <c r="V2139">
        <v>674.59</v>
      </c>
      <c r="W2139" t="s">
        <v>0</v>
      </c>
      <c r="X2139" t="s">
        <v>271</v>
      </c>
      <c r="Y2139" t="s">
        <v>3942</v>
      </c>
      <c r="AA2139" t="s">
        <v>3943</v>
      </c>
      <c r="AB2139" t="s">
        <v>181</v>
      </c>
    </row>
    <row r="2140" spans="1:28" x14ac:dyDescent="0.25">
      <c r="A2140" t="s">
        <v>4119</v>
      </c>
      <c r="B2140" t="s">
        <v>4120</v>
      </c>
      <c r="C2140" t="s">
        <v>646</v>
      </c>
      <c r="D2140" t="s">
        <v>3779</v>
      </c>
      <c r="E2140" t="s">
        <v>647</v>
      </c>
      <c r="F2140" t="s">
        <v>3780</v>
      </c>
      <c r="G2140" t="s">
        <v>769</v>
      </c>
      <c r="H2140" t="s">
        <v>797</v>
      </c>
      <c r="I2140" t="s">
        <v>1374</v>
      </c>
      <c r="J2140" t="s">
        <v>441</v>
      </c>
      <c r="K2140" t="s">
        <v>166</v>
      </c>
      <c r="L2140" t="s">
        <v>0</v>
      </c>
      <c r="M2140" t="s">
        <v>178</v>
      </c>
      <c r="N2140">
        <v>314</v>
      </c>
      <c r="O2140">
        <v>59</v>
      </c>
      <c r="P2140">
        <v>3249.49</v>
      </c>
      <c r="Q2140">
        <v>13482.72</v>
      </c>
      <c r="R2140">
        <v>1978.2822773400001</v>
      </c>
      <c r="S2140">
        <v>556.27363864999995</v>
      </c>
      <c r="T2140">
        <v>6.227734E-2</v>
      </c>
      <c r="U2140">
        <v>0</v>
      </c>
      <c r="V2140">
        <v>1978.22</v>
      </c>
      <c r="W2140" t="s">
        <v>440</v>
      </c>
      <c r="X2140" t="s">
        <v>271</v>
      </c>
      <c r="Y2140" t="s">
        <v>4121</v>
      </c>
      <c r="AA2140" t="s">
        <v>4122</v>
      </c>
      <c r="AB2140" t="s">
        <v>181</v>
      </c>
    </row>
    <row r="2141" spans="1:28" x14ac:dyDescent="0.25">
      <c r="A2141" t="s">
        <v>3969</v>
      </c>
      <c r="B2141" t="s">
        <v>3970</v>
      </c>
      <c r="C2141" t="s">
        <v>646</v>
      </c>
      <c r="D2141" t="s">
        <v>3779</v>
      </c>
      <c r="E2141" t="s">
        <v>647</v>
      </c>
      <c r="F2141" t="s">
        <v>3780</v>
      </c>
      <c r="G2141" t="s">
        <v>769</v>
      </c>
      <c r="H2141" t="s">
        <v>757</v>
      </c>
      <c r="I2141" t="s">
        <v>1518</v>
      </c>
      <c r="J2141" t="s">
        <v>1519</v>
      </c>
      <c r="K2141" t="s">
        <v>166</v>
      </c>
      <c r="L2141" t="s">
        <v>0</v>
      </c>
      <c r="M2141" t="s">
        <v>178</v>
      </c>
      <c r="N2141">
        <v>1112.1667</v>
      </c>
      <c r="O2141">
        <v>402</v>
      </c>
      <c r="P2141">
        <v>14584.6</v>
      </c>
      <c r="Q2141">
        <v>23416.75</v>
      </c>
      <c r="R2141">
        <v>3897.46</v>
      </c>
      <c r="S2141">
        <v>3493.89218428</v>
      </c>
      <c r="T2141">
        <v>25.2</v>
      </c>
      <c r="U2141">
        <v>0</v>
      </c>
      <c r="V2141">
        <v>3872.26</v>
      </c>
      <c r="W2141" t="s">
        <v>1485</v>
      </c>
      <c r="X2141" t="s">
        <v>271</v>
      </c>
      <c r="Y2141" t="s">
        <v>3971</v>
      </c>
      <c r="AA2141" t="s">
        <v>3972</v>
      </c>
      <c r="AB2141" t="s">
        <v>181</v>
      </c>
    </row>
    <row r="2142" spans="1:28" x14ac:dyDescent="0.25">
      <c r="A2142" t="s">
        <v>4248</v>
      </c>
      <c r="B2142" t="s">
        <v>4249</v>
      </c>
      <c r="C2142" t="s">
        <v>646</v>
      </c>
      <c r="D2142" t="s">
        <v>3779</v>
      </c>
      <c r="E2142" t="s">
        <v>647</v>
      </c>
      <c r="F2142" t="s">
        <v>3780</v>
      </c>
      <c r="G2142" t="s">
        <v>769</v>
      </c>
      <c r="H2142" t="s">
        <v>649</v>
      </c>
      <c r="I2142" t="s">
        <v>1913</v>
      </c>
      <c r="J2142" t="s">
        <v>1914</v>
      </c>
      <c r="K2142" t="s">
        <v>166</v>
      </c>
      <c r="L2142" t="s">
        <v>0</v>
      </c>
      <c r="M2142" t="s">
        <v>178</v>
      </c>
      <c r="N2142">
        <v>509</v>
      </c>
      <c r="O2142">
        <v>410</v>
      </c>
      <c r="P2142">
        <v>10249.879999999999</v>
      </c>
      <c r="Q2142">
        <v>30402.720000000001</v>
      </c>
      <c r="R2142">
        <v>1233.08</v>
      </c>
      <c r="S2142">
        <v>1321.8556786199999</v>
      </c>
      <c r="T2142">
        <v>0</v>
      </c>
      <c r="U2142">
        <v>0</v>
      </c>
      <c r="V2142">
        <v>1233.08</v>
      </c>
      <c r="W2142" t="s">
        <v>1915</v>
      </c>
      <c r="X2142" t="s">
        <v>269</v>
      </c>
      <c r="Y2142" t="s">
        <v>4250</v>
      </c>
      <c r="AA2142" t="s">
        <v>4251</v>
      </c>
      <c r="AB2142" t="s">
        <v>181</v>
      </c>
    </row>
    <row r="2143" spans="1:28" x14ac:dyDescent="0.25">
      <c r="A2143" t="s">
        <v>3969</v>
      </c>
      <c r="B2143" t="s">
        <v>3970</v>
      </c>
      <c r="C2143" t="s">
        <v>646</v>
      </c>
      <c r="D2143" t="s">
        <v>3779</v>
      </c>
      <c r="E2143" t="s">
        <v>647</v>
      </c>
      <c r="F2143" t="s">
        <v>3780</v>
      </c>
      <c r="G2143" t="s">
        <v>769</v>
      </c>
      <c r="H2143" t="s">
        <v>713</v>
      </c>
      <c r="I2143" t="s">
        <v>1518</v>
      </c>
      <c r="J2143" t="s">
        <v>1519</v>
      </c>
      <c r="K2143" t="s">
        <v>166</v>
      </c>
      <c r="L2143" t="s">
        <v>0</v>
      </c>
      <c r="M2143" t="s">
        <v>178</v>
      </c>
      <c r="N2143">
        <v>525</v>
      </c>
      <c r="O2143">
        <v>0</v>
      </c>
      <c r="P2143">
        <v>9674.8799999999992</v>
      </c>
      <c r="Q2143">
        <v>7424.16</v>
      </c>
      <c r="R2143">
        <v>991.25</v>
      </c>
      <c r="S2143">
        <v>111.34605628</v>
      </c>
      <c r="T2143">
        <v>0</v>
      </c>
      <c r="U2143">
        <v>0</v>
      </c>
      <c r="V2143">
        <v>991.25</v>
      </c>
      <c r="W2143" t="s">
        <v>1485</v>
      </c>
      <c r="X2143" t="s">
        <v>271</v>
      </c>
      <c r="Y2143" t="s">
        <v>3971</v>
      </c>
      <c r="AA2143" t="s">
        <v>3972</v>
      </c>
      <c r="AB2143" t="s">
        <v>181</v>
      </c>
    </row>
    <row r="2144" spans="1:28" x14ac:dyDescent="0.25">
      <c r="A2144" t="s">
        <v>4228</v>
      </c>
      <c r="B2144" t="s">
        <v>4229</v>
      </c>
      <c r="C2144" t="s">
        <v>646</v>
      </c>
      <c r="D2144" t="s">
        <v>3779</v>
      </c>
      <c r="E2144" t="s">
        <v>647</v>
      </c>
      <c r="F2144" t="s">
        <v>3780</v>
      </c>
      <c r="G2144" t="s">
        <v>769</v>
      </c>
      <c r="H2144" t="s">
        <v>713</v>
      </c>
      <c r="I2144" t="s">
        <v>1971</v>
      </c>
      <c r="J2144" t="s">
        <v>1972</v>
      </c>
      <c r="K2144" t="s">
        <v>166</v>
      </c>
      <c r="L2144" t="s">
        <v>0</v>
      </c>
      <c r="M2144" t="s">
        <v>178</v>
      </c>
      <c r="N2144">
        <v>625.16669999999999</v>
      </c>
      <c r="O2144">
        <v>40.166699999999999</v>
      </c>
      <c r="P2144">
        <v>15561.71</v>
      </c>
      <c r="Q2144">
        <v>51010.67</v>
      </c>
      <c r="R2144">
        <v>6189.21</v>
      </c>
      <c r="S2144">
        <v>3238.5097165400002</v>
      </c>
      <c r="T2144">
        <v>0</v>
      </c>
      <c r="U2144">
        <v>0</v>
      </c>
      <c r="V2144">
        <v>6189.21</v>
      </c>
      <c r="W2144" t="s">
        <v>1973</v>
      </c>
      <c r="X2144" t="s">
        <v>271</v>
      </c>
      <c r="Y2144" t="s">
        <v>4230</v>
      </c>
      <c r="AA2144" t="s">
        <v>4231</v>
      </c>
      <c r="AB2144" t="s">
        <v>181</v>
      </c>
    </row>
    <row r="2145" spans="1:28" x14ac:dyDescent="0.25">
      <c r="A2145" t="s">
        <v>4167</v>
      </c>
      <c r="B2145" t="s">
        <v>4168</v>
      </c>
      <c r="C2145" t="s">
        <v>646</v>
      </c>
      <c r="D2145" t="s">
        <v>3779</v>
      </c>
      <c r="E2145" t="s">
        <v>647</v>
      </c>
      <c r="F2145" t="s">
        <v>3780</v>
      </c>
      <c r="G2145" t="s">
        <v>769</v>
      </c>
      <c r="H2145" t="s">
        <v>708</v>
      </c>
      <c r="I2145" t="s">
        <v>4169</v>
      </c>
      <c r="J2145" t="s">
        <v>662</v>
      </c>
      <c r="K2145" t="s">
        <v>166</v>
      </c>
      <c r="L2145" t="s">
        <v>0</v>
      </c>
      <c r="M2145" t="s">
        <v>178</v>
      </c>
      <c r="N2145">
        <v>9</v>
      </c>
      <c r="O2145">
        <v>9</v>
      </c>
      <c r="P2145">
        <v>351</v>
      </c>
      <c r="Q2145">
        <v>271.70999999999998</v>
      </c>
      <c r="R2145">
        <v>-180.27</v>
      </c>
      <c r="S2145">
        <v>200.80822578999999</v>
      </c>
      <c r="T2145">
        <v>0</v>
      </c>
      <c r="U2145">
        <v>219.51</v>
      </c>
      <c r="V2145">
        <v>39.24</v>
      </c>
      <c r="W2145" t="s">
        <v>586</v>
      </c>
      <c r="X2145" t="s">
        <v>271</v>
      </c>
      <c r="Y2145" t="s">
        <v>4170</v>
      </c>
      <c r="AA2145" t="s">
        <v>4171</v>
      </c>
      <c r="AB2145" t="s">
        <v>181</v>
      </c>
    </row>
    <row r="2146" spans="1:28" x14ac:dyDescent="0.25">
      <c r="A2146" t="s">
        <v>3857</v>
      </c>
      <c r="B2146" t="s">
        <v>3858</v>
      </c>
      <c r="C2146" t="s">
        <v>646</v>
      </c>
      <c r="D2146" t="s">
        <v>3779</v>
      </c>
      <c r="E2146" t="s">
        <v>647</v>
      </c>
      <c r="F2146" t="s">
        <v>3780</v>
      </c>
      <c r="G2146" t="s">
        <v>769</v>
      </c>
      <c r="H2146" t="s">
        <v>649</v>
      </c>
      <c r="I2146" t="s">
        <v>952</v>
      </c>
      <c r="J2146" t="s">
        <v>434</v>
      </c>
      <c r="K2146" t="s">
        <v>166</v>
      </c>
      <c r="L2146" t="s">
        <v>0</v>
      </c>
      <c r="M2146" t="s">
        <v>178</v>
      </c>
      <c r="N2146">
        <v>189</v>
      </c>
      <c r="O2146">
        <v>73</v>
      </c>
      <c r="P2146">
        <v>2790.09</v>
      </c>
      <c r="Q2146">
        <v>9944.56</v>
      </c>
      <c r="R2146">
        <v>1791.85</v>
      </c>
      <c r="S2146">
        <v>746.61291818999996</v>
      </c>
      <c r="T2146">
        <v>0</v>
      </c>
      <c r="U2146">
        <v>0</v>
      </c>
      <c r="V2146">
        <v>1791.85</v>
      </c>
      <c r="W2146" t="s">
        <v>466</v>
      </c>
      <c r="X2146" t="s">
        <v>271</v>
      </c>
      <c r="Y2146" t="s">
        <v>3859</v>
      </c>
      <c r="AA2146" t="s">
        <v>3860</v>
      </c>
      <c r="AB2146" t="s">
        <v>181</v>
      </c>
    </row>
    <row r="2147" spans="1:28" x14ac:dyDescent="0.25">
      <c r="A2147" t="s">
        <v>4035</v>
      </c>
      <c r="B2147" t="s">
        <v>4036</v>
      </c>
      <c r="C2147" t="s">
        <v>646</v>
      </c>
      <c r="D2147" t="s">
        <v>3779</v>
      </c>
      <c r="E2147" t="s">
        <v>647</v>
      </c>
      <c r="F2147" t="s">
        <v>3780</v>
      </c>
      <c r="G2147" t="s">
        <v>769</v>
      </c>
      <c r="H2147" t="s">
        <v>1045</v>
      </c>
      <c r="I2147" t="s">
        <v>3464</v>
      </c>
      <c r="J2147" t="s">
        <v>688</v>
      </c>
      <c r="K2147" t="s">
        <v>166</v>
      </c>
      <c r="L2147" t="s">
        <v>0</v>
      </c>
      <c r="M2147" t="s">
        <v>178</v>
      </c>
      <c r="N2147">
        <v>21</v>
      </c>
      <c r="O2147">
        <v>21</v>
      </c>
      <c r="P2147">
        <v>210</v>
      </c>
      <c r="Q2147">
        <v>1138.43</v>
      </c>
      <c r="R2147">
        <v>144.31</v>
      </c>
      <c r="S2147">
        <v>138.07933305</v>
      </c>
      <c r="T2147">
        <v>0</v>
      </c>
      <c r="U2147">
        <v>0</v>
      </c>
      <c r="V2147">
        <v>144.31</v>
      </c>
      <c r="W2147" t="s">
        <v>0</v>
      </c>
      <c r="X2147" t="s">
        <v>271</v>
      </c>
      <c r="Y2147" t="s">
        <v>4037</v>
      </c>
      <c r="AA2147" t="s">
        <v>4038</v>
      </c>
      <c r="AB2147" t="s">
        <v>181</v>
      </c>
    </row>
    <row r="2148" spans="1:28" x14ac:dyDescent="0.25">
      <c r="A2148" t="s">
        <v>4252</v>
      </c>
      <c r="B2148" t="s">
        <v>4253</v>
      </c>
      <c r="C2148" t="s">
        <v>646</v>
      </c>
      <c r="D2148" t="s">
        <v>3779</v>
      </c>
      <c r="E2148" t="s">
        <v>647</v>
      </c>
      <c r="F2148" t="s">
        <v>3780</v>
      </c>
      <c r="G2148" t="s">
        <v>769</v>
      </c>
      <c r="H2148" t="s">
        <v>672</v>
      </c>
      <c r="I2148" t="s">
        <v>1046</v>
      </c>
      <c r="J2148" t="s">
        <v>971</v>
      </c>
      <c r="K2148" t="s">
        <v>166</v>
      </c>
      <c r="L2148" t="s">
        <v>0</v>
      </c>
      <c r="M2148" t="s">
        <v>178</v>
      </c>
      <c r="N2148">
        <v>712</v>
      </c>
      <c r="O2148">
        <v>130</v>
      </c>
      <c r="P2148">
        <v>19287</v>
      </c>
      <c r="Q2148">
        <v>22490.880000000001</v>
      </c>
      <c r="R2148">
        <v>2331.1799999999998</v>
      </c>
      <c r="S2148">
        <v>3340.4714936400001</v>
      </c>
      <c r="T2148">
        <v>0</v>
      </c>
      <c r="U2148">
        <v>0</v>
      </c>
      <c r="V2148">
        <v>2331.1799999999998</v>
      </c>
      <c r="W2148" t="s">
        <v>972</v>
      </c>
      <c r="X2148" t="s">
        <v>269</v>
      </c>
      <c r="Y2148" t="s">
        <v>4254</v>
      </c>
      <c r="AA2148" t="s">
        <v>4255</v>
      </c>
      <c r="AB2148" t="s">
        <v>181</v>
      </c>
    </row>
    <row r="2149" spans="1:28" x14ac:dyDescent="0.25">
      <c r="A2149" t="s">
        <v>4109</v>
      </c>
      <c r="B2149" t="s">
        <v>4110</v>
      </c>
      <c r="C2149" t="s">
        <v>646</v>
      </c>
      <c r="D2149" t="s">
        <v>3779</v>
      </c>
      <c r="E2149" t="s">
        <v>647</v>
      </c>
      <c r="F2149" t="s">
        <v>3780</v>
      </c>
      <c r="G2149" t="s">
        <v>769</v>
      </c>
      <c r="H2149" t="s">
        <v>802</v>
      </c>
      <c r="I2149" t="s">
        <v>1046</v>
      </c>
      <c r="J2149" t="s">
        <v>971</v>
      </c>
      <c r="K2149" t="s">
        <v>166</v>
      </c>
      <c r="L2149" t="s">
        <v>0</v>
      </c>
      <c r="M2149" t="s">
        <v>178</v>
      </c>
      <c r="N2149">
        <v>30</v>
      </c>
      <c r="O2149">
        <v>21.75</v>
      </c>
      <c r="P2149">
        <v>438.44</v>
      </c>
      <c r="Q2149">
        <v>1505.74</v>
      </c>
      <c r="R2149">
        <v>285.5</v>
      </c>
      <c r="S2149">
        <v>150.85999102</v>
      </c>
      <c r="T2149">
        <v>0</v>
      </c>
      <c r="U2149">
        <v>0</v>
      </c>
      <c r="V2149">
        <v>285.5</v>
      </c>
      <c r="W2149" t="s">
        <v>972</v>
      </c>
      <c r="X2149" t="s">
        <v>269</v>
      </c>
      <c r="Y2149" t="s">
        <v>4111</v>
      </c>
      <c r="AA2149" t="s">
        <v>4112</v>
      </c>
      <c r="AB2149" t="s">
        <v>181</v>
      </c>
    </row>
    <row r="2150" spans="1:28" x14ac:dyDescent="0.25">
      <c r="A2150" t="s">
        <v>4357</v>
      </c>
      <c r="B2150" t="s">
        <v>4358</v>
      </c>
      <c r="C2150" t="s">
        <v>646</v>
      </c>
      <c r="D2150" t="s">
        <v>3779</v>
      </c>
      <c r="E2150" t="s">
        <v>647</v>
      </c>
      <c r="F2150" t="s">
        <v>3780</v>
      </c>
      <c r="G2150" t="s">
        <v>769</v>
      </c>
      <c r="H2150" t="s">
        <v>1045</v>
      </c>
      <c r="I2150" t="s">
        <v>1599</v>
      </c>
      <c r="J2150" t="s">
        <v>1600</v>
      </c>
      <c r="K2150" t="s">
        <v>166</v>
      </c>
      <c r="L2150" t="s">
        <v>0</v>
      </c>
      <c r="M2150" t="s">
        <v>178</v>
      </c>
      <c r="N2150">
        <v>61</v>
      </c>
      <c r="O2150">
        <v>10</v>
      </c>
      <c r="P2150">
        <v>466.5</v>
      </c>
      <c r="Q2150">
        <v>3164.72</v>
      </c>
      <c r="R2150">
        <v>922.22</v>
      </c>
      <c r="S2150">
        <v>143.06828651999999</v>
      </c>
      <c r="T2150">
        <v>0</v>
      </c>
      <c r="U2150">
        <v>0</v>
      </c>
      <c r="V2150">
        <v>922.22</v>
      </c>
      <c r="W2150" t="s">
        <v>1601</v>
      </c>
      <c r="X2150" t="s">
        <v>269</v>
      </c>
      <c r="Y2150" t="s">
        <v>4359</v>
      </c>
      <c r="AA2150" t="s">
        <v>4360</v>
      </c>
      <c r="AB2150" t="s">
        <v>181</v>
      </c>
    </row>
    <row r="2151" spans="1:28" x14ac:dyDescent="0.25">
      <c r="A2151" t="s">
        <v>4280</v>
      </c>
      <c r="B2151" t="s">
        <v>4281</v>
      </c>
      <c r="C2151" t="s">
        <v>646</v>
      </c>
      <c r="D2151" t="s">
        <v>3779</v>
      </c>
      <c r="E2151" t="s">
        <v>647</v>
      </c>
      <c r="F2151" t="s">
        <v>3780</v>
      </c>
      <c r="G2151" t="s">
        <v>769</v>
      </c>
      <c r="H2151" t="s">
        <v>1159</v>
      </c>
      <c r="I2151" t="s">
        <v>1872</v>
      </c>
      <c r="J2151" t="s">
        <v>1873</v>
      </c>
      <c r="K2151" t="s">
        <v>166</v>
      </c>
      <c r="L2151" t="s">
        <v>0</v>
      </c>
      <c r="M2151" t="s">
        <v>178</v>
      </c>
      <c r="N2151">
        <v>3</v>
      </c>
      <c r="O2151">
        <v>1</v>
      </c>
      <c r="P2151">
        <v>42.31</v>
      </c>
      <c r="Q2151">
        <v>362.47</v>
      </c>
      <c r="R2151">
        <v>62.09</v>
      </c>
      <c r="S2151">
        <v>29.371616249999999</v>
      </c>
      <c r="T2151">
        <v>0</v>
      </c>
      <c r="U2151">
        <v>0</v>
      </c>
      <c r="V2151">
        <v>62.09</v>
      </c>
      <c r="W2151" t="s">
        <v>1874</v>
      </c>
      <c r="X2151" t="s">
        <v>271</v>
      </c>
      <c r="Y2151" t="s">
        <v>4282</v>
      </c>
      <c r="AA2151" t="s">
        <v>4283</v>
      </c>
      <c r="AB2151" t="s">
        <v>181</v>
      </c>
    </row>
    <row r="2152" spans="1:28" x14ac:dyDescent="0.25">
      <c r="A2152" t="s">
        <v>4127</v>
      </c>
      <c r="B2152" t="s">
        <v>4128</v>
      </c>
      <c r="C2152" t="s">
        <v>646</v>
      </c>
      <c r="D2152" t="s">
        <v>3779</v>
      </c>
      <c r="E2152" t="s">
        <v>647</v>
      </c>
      <c r="F2152" t="s">
        <v>3780</v>
      </c>
      <c r="G2152" t="s">
        <v>769</v>
      </c>
      <c r="H2152" t="s">
        <v>708</v>
      </c>
      <c r="I2152" t="s">
        <v>4129</v>
      </c>
      <c r="J2152" t="s">
        <v>2057</v>
      </c>
      <c r="K2152" t="s">
        <v>166</v>
      </c>
      <c r="L2152" t="s">
        <v>0</v>
      </c>
      <c r="M2152" t="s">
        <v>178</v>
      </c>
      <c r="N2152">
        <v>49</v>
      </c>
      <c r="O2152">
        <v>45</v>
      </c>
      <c r="P2152">
        <v>145.36000000000001</v>
      </c>
      <c r="Q2152">
        <v>1124.47</v>
      </c>
      <c r="R2152">
        <v>221.86</v>
      </c>
      <c r="S2152">
        <v>95.22</v>
      </c>
      <c r="T2152">
        <v>0</v>
      </c>
      <c r="U2152">
        <v>0</v>
      </c>
      <c r="V2152">
        <v>221.86</v>
      </c>
      <c r="W2152" t="s">
        <v>2058</v>
      </c>
      <c r="X2152" t="s">
        <v>271</v>
      </c>
      <c r="Y2152" t="s">
        <v>4130</v>
      </c>
      <c r="AA2152" t="s">
        <v>4131</v>
      </c>
      <c r="AB2152" t="s">
        <v>181</v>
      </c>
    </row>
    <row r="2153" spans="1:28" x14ac:dyDescent="0.25">
      <c r="A2153" t="s">
        <v>4064</v>
      </c>
      <c r="B2153" t="s">
        <v>4065</v>
      </c>
      <c r="C2153" t="s">
        <v>646</v>
      </c>
      <c r="D2153" t="s">
        <v>3779</v>
      </c>
      <c r="E2153" t="s">
        <v>647</v>
      </c>
      <c r="F2153" t="s">
        <v>3780</v>
      </c>
      <c r="G2153" t="s">
        <v>769</v>
      </c>
      <c r="H2153" t="s">
        <v>672</v>
      </c>
      <c r="I2153" t="s">
        <v>2469</v>
      </c>
      <c r="J2153" t="s">
        <v>2470</v>
      </c>
      <c r="K2153" t="s">
        <v>166</v>
      </c>
      <c r="L2153" t="s">
        <v>0</v>
      </c>
      <c r="M2153" t="s">
        <v>178</v>
      </c>
      <c r="N2153">
        <v>9</v>
      </c>
      <c r="O2153">
        <v>0</v>
      </c>
      <c r="P2153">
        <v>225</v>
      </c>
      <c r="Q2153">
        <v>244.87</v>
      </c>
      <c r="R2153">
        <v>35.5</v>
      </c>
      <c r="S2153">
        <v>15.33704268</v>
      </c>
      <c r="T2153">
        <v>79.56</v>
      </c>
      <c r="U2153">
        <v>0</v>
      </c>
      <c r="V2153">
        <v>35.5</v>
      </c>
      <c r="W2153" t="s">
        <v>4066</v>
      </c>
      <c r="X2153" t="s">
        <v>271</v>
      </c>
      <c r="Y2153" t="s">
        <v>4067</v>
      </c>
      <c r="AA2153" t="s">
        <v>4068</v>
      </c>
      <c r="AB2153" t="s">
        <v>181</v>
      </c>
    </row>
    <row r="2154" spans="1:28" x14ac:dyDescent="0.25">
      <c r="A2154" t="s">
        <v>4069</v>
      </c>
      <c r="B2154" t="s">
        <v>4070</v>
      </c>
      <c r="C2154" t="s">
        <v>646</v>
      </c>
      <c r="D2154" t="s">
        <v>3779</v>
      </c>
      <c r="E2154" t="s">
        <v>647</v>
      </c>
      <c r="F2154" t="s">
        <v>3780</v>
      </c>
      <c r="G2154" t="s">
        <v>769</v>
      </c>
      <c r="H2154" t="s">
        <v>761</v>
      </c>
      <c r="I2154" t="s">
        <v>4071</v>
      </c>
      <c r="J2154" t="s">
        <v>785</v>
      </c>
      <c r="K2154" t="s">
        <v>166</v>
      </c>
      <c r="L2154" t="s">
        <v>0</v>
      </c>
      <c r="M2154" t="s">
        <v>178</v>
      </c>
      <c r="N2154">
        <v>32</v>
      </c>
      <c r="O2154">
        <v>16</v>
      </c>
      <c r="P2154">
        <v>1127.19</v>
      </c>
      <c r="Q2154">
        <v>1062.01</v>
      </c>
      <c r="R2154">
        <v>161.72999999999999</v>
      </c>
      <c r="S2154">
        <v>153.92889076</v>
      </c>
      <c r="T2154">
        <v>0</v>
      </c>
      <c r="U2154">
        <v>0</v>
      </c>
      <c r="V2154">
        <v>161.72999999999999</v>
      </c>
      <c r="W2154" t="s">
        <v>0</v>
      </c>
      <c r="X2154" t="s">
        <v>271</v>
      </c>
      <c r="Y2154" t="s">
        <v>4072</v>
      </c>
      <c r="AA2154" t="s">
        <v>4073</v>
      </c>
      <c r="AB2154" t="s">
        <v>181</v>
      </c>
    </row>
    <row r="2155" spans="1:28" x14ac:dyDescent="0.25">
      <c r="A2155" t="s">
        <v>4035</v>
      </c>
      <c r="B2155" t="s">
        <v>4036</v>
      </c>
      <c r="C2155" t="s">
        <v>646</v>
      </c>
      <c r="D2155" t="s">
        <v>3779</v>
      </c>
      <c r="E2155" t="s">
        <v>647</v>
      </c>
      <c r="F2155" t="s">
        <v>3780</v>
      </c>
      <c r="G2155" t="s">
        <v>769</v>
      </c>
      <c r="H2155" t="s">
        <v>797</v>
      </c>
      <c r="I2155" t="s">
        <v>3464</v>
      </c>
      <c r="J2155" t="s">
        <v>688</v>
      </c>
      <c r="K2155" t="s">
        <v>166</v>
      </c>
      <c r="L2155" t="s">
        <v>0</v>
      </c>
      <c r="M2155" t="s">
        <v>178</v>
      </c>
      <c r="N2155">
        <v>17</v>
      </c>
      <c r="O2155">
        <v>9</v>
      </c>
      <c r="P2155">
        <v>185</v>
      </c>
      <c r="Q2155">
        <v>669.43</v>
      </c>
      <c r="R2155">
        <v>139.09</v>
      </c>
      <c r="S2155">
        <v>64.846009879999997</v>
      </c>
      <c r="T2155">
        <v>0</v>
      </c>
      <c r="U2155">
        <v>0</v>
      </c>
      <c r="V2155">
        <v>139.09</v>
      </c>
      <c r="W2155" t="s">
        <v>0</v>
      </c>
      <c r="X2155" t="s">
        <v>271</v>
      </c>
      <c r="Y2155" t="s">
        <v>4037</v>
      </c>
      <c r="AA2155" t="s">
        <v>4038</v>
      </c>
      <c r="AB2155" t="s">
        <v>181</v>
      </c>
    </row>
    <row r="2156" spans="1:28" x14ac:dyDescent="0.25">
      <c r="A2156" t="s">
        <v>4006</v>
      </c>
      <c r="B2156" t="s">
        <v>4007</v>
      </c>
      <c r="C2156" t="s">
        <v>646</v>
      </c>
      <c r="D2156" t="s">
        <v>3779</v>
      </c>
      <c r="E2156" t="s">
        <v>647</v>
      </c>
      <c r="F2156" t="s">
        <v>3780</v>
      </c>
      <c r="G2156" t="s">
        <v>769</v>
      </c>
      <c r="H2156" t="s">
        <v>856</v>
      </c>
      <c r="I2156" t="s">
        <v>4008</v>
      </c>
      <c r="J2156" t="s">
        <v>688</v>
      </c>
      <c r="K2156" t="s">
        <v>166</v>
      </c>
      <c r="L2156" t="s">
        <v>0</v>
      </c>
      <c r="M2156" t="s">
        <v>178</v>
      </c>
      <c r="N2156">
        <v>4</v>
      </c>
      <c r="O2156">
        <v>0</v>
      </c>
      <c r="P2156">
        <v>79</v>
      </c>
      <c r="Q2156">
        <v>402.47</v>
      </c>
      <c r="R2156">
        <v>73.28</v>
      </c>
      <c r="S2156">
        <v>17.811058559999999</v>
      </c>
      <c r="T2156">
        <v>0</v>
      </c>
      <c r="U2156">
        <v>0</v>
      </c>
      <c r="V2156">
        <v>73.28</v>
      </c>
      <c r="W2156" t="s">
        <v>0</v>
      </c>
      <c r="X2156" t="s">
        <v>271</v>
      </c>
      <c r="Y2156" t="s">
        <v>4009</v>
      </c>
      <c r="AA2156" t="s">
        <v>4010</v>
      </c>
      <c r="AB2156" t="s">
        <v>181</v>
      </c>
    </row>
    <row r="2157" spans="1:28" x14ac:dyDescent="0.25">
      <c r="A2157" t="s">
        <v>3842</v>
      </c>
      <c r="B2157" t="s">
        <v>3843</v>
      </c>
      <c r="C2157" t="s">
        <v>646</v>
      </c>
      <c r="D2157" t="s">
        <v>3779</v>
      </c>
      <c r="E2157" t="s">
        <v>647</v>
      </c>
      <c r="F2157" t="s">
        <v>3780</v>
      </c>
      <c r="G2157" t="s">
        <v>769</v>
      </c>
      <c r="H2157" t="s">
        <v>856</v>
      </c>
      <c r="I2157" t="s">
        <v>3844</v>
      </c>
      <c r="J2157" t="s">
        <v>3845</v>
      </c>
      <c r="K2157" t="s">
        <v>166</v>
      </c>
      <c r="L2157" t="s">
        <v>0</v>
      </c>
      <c r="M2157" t="s">
        <v>178</v>
      </c>
      <c r="N2157">
        <v>9</v>
      </c>
      <c r="O2157">
        <v>0</v>
      </c>
      <c r="P2157">
        <v>180</v>
      </c>
      <c r="Q2157">
        <v>861.84</v>
      </c>
      <c r="R2157">
        <v>78.78</v>
      </c>
      <c r="S2157">
        <v>59.6556</v>
      </c>
      <c r="T2157">
        <v>0</v>
      </c>
      <c r="U2157">
        <v>0</v>
      </c>
      <c r="V2157">
        <v>78.78</v>
      </c>
      <c r="W2157" t="s">
        <v>3846</v>
      </c>
      <c r="X2157" t="s">
        <v>271</v>
      </c>
      <c r="Y2157" t="s">
        <v>3847</v>
      </c>
      <c r="AA2157" t="s">
        <v>3848</v>
      </c>
      <c r="AB2157" t="s">
        <v>181</v>
      </c>
    </row>
    <row r="2158" spans="1:28" x14ac:dyDescent="0.25">
      <c r="A2158" t="s">
        <v>4260</v>
      </c>
      <c r="B2158" t="s">
        <v>4261</v>
      </c>
      <c r="C2158" t="s">
        <v>646</v>
      </c>
      <c r="D2158" t="s">
        <v>3779</v>
      </c>
      <c r="E2158" t="s">
        <v>647</v>
      </c>
      <c r="F2158" t="s">
        <v>666</v>
      </c>
      <c r="G2158" t="s">
        <v>666</v>
      </c>
      <c r="H2158" t="s">
        <v>1515</v>
      </c>
      <c r="I2158" t="s">
        <v>4262</v>
      </c>
      <c r="J2158" t="s">
        <v>1180</v>
      </c>
      <c r="K2158" t="s">
        <v>166</v>
      </c>
      <c r="L2158" t="s">
        <v>0</v>
      </c>
      <c r="M2158" t="s">
        <v>178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 t="s">
        <v>0</v>
      </c>
      <c r="X2158" t="s">
        <v>271</v>
      </c>
      <c r="Y2158" t="s">
        <v>4263</v>
      </c>
      <c r="AA2158" t="s">
        <v>4264</v>
      </c>
      <c r="AB2158" t="s">
        <v>181</v>
      </c>
    </row>
    <row r="2159" spans="1:28" x14ac:dyDescent="0.25">
      <c r="A2159" t="s">
        <v>3960</v>
      </c>
      <c r="B2159" t="s">
        <v>3961</v>
      </c>
      <c r="C2159" t="s">
        <v>646</v>
      </c>
      <c r="D2159" t="s">
        <v>3779</v>
      </c>
      <c r="E2159" t="s">
        <v>647</v>
      </c>
      <c r="F2159" t="s">
        <v>666</v>
      </c>
      <c r="G2159" t="s">
        <v>666</v>
      </c>
      <c r="H2159" t="s">
        <v>962</v>
      </c>
      <c r="I2159" t="s">
        <v>3962</v>
      </c>
      <c r="J2159" t="s">
        <v>575</v>
      </c>
      <c r="K2159" t="s">
        <v>166</v>
      </c>
      <c r="L2159" t="s">
        <v>0</v>
      </c>
      <c r="M2159" t="s">
        <v>178</v>
      </c>
      <c r="N2159">
        <v>49</v>
      </c>
      <c r="O2159">
        <v>49</v>
      </c>
      <c r="P2159">
        <v>405.33</v>
      </c>
      <c r="Q2159">
        <v>2337.7199999999998</v>
      </c>
      <c r="R2159">
        <v>383.99</v>
      </c>
      <c r="S2159">
        <v>123.9949</v>
      </c>
      <c r="T2159">
        <v>0</v>
      </c>
      <c r="U2159">
        <v>0</v>
      </c>
      <c r="V2159">
        <v>383.99</v>
      </c>
      <c r="W2159" t="s">
        <v>0</v>
      </c>
      <c r="X2159" t="s">
        <v>271</v>
      </c>
      <c r="Y2159" t="s">
        <v>3963</v>
      </c>
      <c r="AA2159" t="s">
        <v>3964</v>
      </c>
      <c r="AB2159" t="s">
        <v>181</v>
      </c>
    </row>
    <row r="2160" spans="1:28" x14ac:dyDescent="0.25">
      <c r="A2160" t="s">
        <v>3888</v>
      </c>
      <c r="B2160" t="s">
        <v>3889</v>
      </c>
      <c r="C2160" t="s">
        <v>646</v>
      </c>
      <c r="D2160" t="s">
        <v>3779</v>
      </c>
      <c r="E2160" t="s">
        <v>647</v>
      </c>
      <c r="F2160" t="s">
        <v>3780</v>
      </c>
      <c r="G2160" t="s">
        <v>769</v>
      </c>
      <c r="H2160" t="s">
        <v>1045</v>
      </c>
      <c r="I2160" t="s">
        <v>1368</v>
      </c>
      <c r="J2160" t="s">
        <v>1369</v>
      </c>
      <c r="K2160" t="s">
        <v>166</v>
      </c>
      <c r="L2160" t="s">
        <v>0</v>
      </c>
      <c r="M2160" t="s">
        <v>178</v>
      </c>
      <c r="N2160">
        <v>1</v>
      </c>
      <c r="O2160">
        <v>0</v>
      </c>
      <c r="P2160">
        <v>22.05</v>
      </c>
      <c r="Q2160">
        <v>169.47</v>
      </c>
      <c r="R2160">
        <v>6.3</v>
      </c>
      <c r="S2160">
        <v>1.5435000000000001</v>
      </c>
      <c r="T2160">
        <v>0</v>
      </c>
      <c r="U2160">
        <v>0</v>
      </c>
      <c r="V2160">
        <v>6.3</v>
      </c>
      <c r="W2160" t="s">
        <v>1370</v>
      </c>
      <c r="X2160" t="s">
        <v>271</v>
      </c>
      <c r="Y2160" t="s">
        <v>3890</v>
      </c>
      <c r="AA2160" t="s">
        <v>3891</v>
      </c>
      <c r="AB2160" t="s">
        <v>181</v>
      </c>
    </row>
    <row r="2161" spans="1:28" x14ac:dyDescent="0.25">
      <c r="A2161" t="s">
        <v>4002</v>
      </c>
      <c r="B2161" t="s">
        <v>4003</v>
      </c>
      <c r="C2161" t="s">
        <v>646</v>
      </c>
      <c r="D2161" t="s">
        <v>3779</v>
      </c>
      <c r="E2161" t="s">
        <v>647</v>
      </c>
      <c r="F2161" t="s">
        <v>3780</v>
      </c>
      <c r="G2161" t="s">
        <v>769</v>
      </c>
      <c r="H2161" t="s">
        <v>1175</v>
      </c>
      <c r="I2161" t="s">
        <v>2635</v>
      </c>
      <c r="J2161" t="s">
        <v>2636</v>
      </c>
      <c r="K2161" t="s">
        <v>166</v>
      </c>
      <c r="L2161" t="s">
        <v>0</v>
      </c>
      <c r="M2161" t="s">
        <v>178</v>
      </c>
      <c r="N2161">
        <v>13</v>
      </c>
      <c r="O2161">
        <v>13</v>
      </c>
      <c r="P2161">
        <v>208</v>
      </c>
      <c r="Q2161">
        <v>361.08</v>
      </c>
      <c r="R2161">
        <v>75</v>
      </c>
      <c r="S2161">
        <v>58.254770909999998</v>
      </c>
      <c r="T2161">
        <v>0</v>
      </c>
      <c r="U2161">
        <v>0</v>
      </c>
      <c r="V2161">
        <v>75</v>
      </c>
      <c r="W2161" t="s">
        <v>1609</v>
      </c>
      <c r="X2161" t="s">
        <v>271</v>
      </c>
      <c r="Y2161" t="s">
        <v>4004</v>
      </c>
      <c r="AA2161" t="s">
        <v>4005</v>
      </c>
      <c r="AB2161" t="s">
        <v>181</v>
      </c>
    </row>
    <row r="2162" spans="1:28" x14ac:dyDescent="0.25">
      <c r="A2162" t="s">
        <v>3965</v>
      </c>
      <c r="B2162" t="s">
        <v>3966</v>
      </c>
      <c r="C2162" t="s">
        <v>646</v>
      </c>
      <c r="D2162" t="s">
        <v>3779</v>
      </c>
      <c r="E2162" t="s">
        <v>647</v>
      </c>
      <c r="F2162" t="s">
        <v>3780</v>
      </c>
      <c r="G2162" t="s">
        <v>769</v>
      </c>
      <c r="H2162" t="s">
        <v>797</v>
      </c>
      <c r="I2162" t="s">
        <v>2339</v>
      </c>
      <c r="J2162" t="s">
        <v>2165</v>
      </c>
      <c r="K2162" t="s">
        <v>166</v>
      </c>
      <c r="L2162" t="s">
        <v>0</v>
      </c>
      <c r="M2162" t="s">
        <v>178</v>
      </c>
      <c r="N2162">
        <v>15</v>
      </c>
      <c r="O2162">
        <v>15</v>
      </c>
      <c r="P2162">
        <v>150</v>
      </c>
      <c r="Q2162">
        <v>430.83</v>
      </c>
      <c r="R2162">
        <v>21.678683199999998</v>
      </c>
      <c r="S2162">
        <v>88.353532659999999</v>
      </c>
      <c r="T2162">
        <v>1.8683200000000001E-2</v>
      </c>
      <c r="U2162">
        <v>0</v>
      </c>
      <c r="V2162">
        <v>21.66</v>
      </c>
      <c r="W2162" t="s">
        <v>2166</v>
      </c>
      <c r="X2162" t="s">
        <v>271</v>
      </c>
      <c r="Y2162" t="s">
        <v>3967</v>
      </c>
      <c r="AA2162" t="s">
        <v>3968</v>
      </c>
      <c r="AB2162" t="s">
        <v>181</v>
      </c>
    </row>
    <row r="2163" spans="1:28" x14ac:dyDescent="0.25">
      <c r="A2163" t="s">
        <v>3933</v>
      </c>
      <c r="B2163" t="s">
        <v>3934</v>
      </c>
      <c r="C2163" t="s">
        <v>646</v>
      </c>
      <c r="D2163" t="s">
        <v>3779</v>
      </c>
      <c r="E2163" t="s">
        <v>647</v>
      </c>
      <c r="F2163" t="s">
        <v>3780</v>
      </c>
      <c r="G2163" t="s">
        <v>769</v>
      </c>
      <c r="H2163" t="s">
        <v>757</v>
      </c>
      <c r="I2163" t="s">
        <v>3935</v>
      </c>
      <c r="J2163" t="s">
        <v>1214</v>
      </c>
      <c r="K2163" t="s">
        <v>166</v>
      </c>
      <c r="L2163" t="s">
        <v>0</v>
      </c>
      <c r="M2163" t="s">
        <v>178</v>
      </c>
      <c r="N2163">
        <v>682.1</v>
      </c>
      <c r="O2163">
        <v>197.1</v>
      </c>
      <c r="P2163">
        <v>9126.1200000000008</v>
      </c>
      <c r="Q2163">
        <v>18480.57</v>
      </c>
      <c r="R2163">
        <v>3566.23070504</v>
      </c>
      <c r="S2163">
        <v>1814.42957241</v>
      </c>
      <c r="T2163">
        <v>2.1807050399999999</v>
      </c>
      <c r="U2163">
        <v>0</v>
      </c>
      <c r="V2163">
        <v>3564.05</v>
      </c>
      <c r="W2163" t="s">
        <v>0</v>
      </c>
      <c r="X2163" t="s">
        <v>271</v>
      </c>
      <c r="Y2163" t="s">
        <v>3936</v>
      </c>
      <c r="AA2163" t="s">
        <v>3937</v>
      </c>
      <c r="AB2163" t="s">
        <v>181</v>
      </c>
    </row>
    <row r="2164" spans="1:28" x14ac:dyDescent="0.25">
      <c r="A2164" t="s">
        <v>3788</v>
      </c>
      <c r="B2164" t="s">
        <v>3789</v>
      </c>
      <c r="C2164" t="s">
        <v>646</v>
      </c>
      <c r="D2164" t="s">
        <v>3779</v>
      </c>
      <c r="E2164" t="s">
        <v>647</v>
      </c>
      <c r="F2164" t="s">
        <v>3780</v>
      </c>
      <c r="G2164" t="s">
        <v>769</v>
      </c>
      <c r="H2164" t="s">
        <v>1171</v>
      </c>
      <c r="I2164" t="s">
        <v>3790</v>
      </c>
      <c r="J2164" t="s">
        <v>599</v>
      </c>
      <c r="K2164" t="s">
        <v>166</v>
      </c>
      <c r="L2164" t="s">
        <v>0</v>
      </c>
      <c r="M2164" t="s">
        <v>178</v>
      </c>
      <c r="N2164">
        <v>238</v>
      </c>
      <c r="O2164">
        <v>218</v>
      </c>
      <c r="P2164">
        <v>3531.4</v>
      </c>
      <c r="Q2164">
        <v>31499.49</v>
      </c>
      <c r="R2164">
        <v>849.64374910000004</v>
      </c>
      <c r="S2164">
        <v>207.94871513999999</v>
      </c>
      <c r="T2164">
        <v>15.6937491</v>
      </c>
      <c r="U2164">
        <v>8.98</v>
      </c>
      <c r="V2164">
        <v>842.93</v>
      </c>
      <c r="W2164" t="s">
        <v>598</v>
      </c>
      <c r="X2164" t="s">
        <v>271</v>
      </c>
      <c r="Y2164" t="s">
        <v>3791</v>
      </c>
      <c r="AA2164" t="s">
        <v>3792</v>
      </c>
      <c r="AB2164" t="s">
        <v>181</v>
      </c>
    </row>
    <row r="2165" spans="1:28" x14ac:dyDescent="0.25">
      <c r="A2165" t="s">
        <v>4288</v>
      </c>
      <c r="B2165" t="s">
        <v>4289</v>
      </c>
      <c r="C2165" t="s">
        <v>646</v>
      </c>
      <c r="D2165" t="s">
        <v>3779</v>
      </c>
      <c r="E2165" t="s">
        <v>647</v>
      </c>
      <c r="F2165" t="s">
        <v>3780</v>
      </c>
      <c r="G2165" t="s">
        <v>769</v>
      </c>
      <c r="H2165" t="s">
        <v>757</v>
      </c>
      <c r="I2165" t="s">
        <v>1453</v>
      </c>
      <c r="J2165" t="s">
        <v>1454</v>
      </c>
      <c r="K2165" t="s">
        <v>166</v>
      </c>
      <c r="L2165" t="s">
        <v>0</v>
      </c>
      <c r="M2165" t="s">
        <v>178</v>
      </c>
      <c r="N2165">
        <v>276.39999999999998</v>
      </c>
      <c r="O2165">
        <v>218.4</v>
      </c>
      <c r="P2165">
        <v>7446.77</v>
      </c>
      <c r="Q2165">
        <v>11556.52</v>
      </c>
      <c r="R2165">
        <v>1881.4</v>
      </c>
      <c r="S2165">
        <v>1681.4137712300001</v>
      </c>
      <c r="T2165">
        <v>0</v>
      </c>
      <c r="U2165">
        <v>0</v>
      </c>
      <c r="V2165">
        <v>1881.4</v>
      </c>
      <c r="W2165" t="s">
        <v>1455</v>
      </c>
      <c r="X2165" t="s">
        <v>271</v>
      </c>
      <c r="Y2165" t="s">
        <v>4290</v>
      </c>
      <c r="AA2165" t="s">
        <v>4291</v>
      </c>
      <c r="AB2165" t="s">
        <v>181</v>
      </c>
    </row>
    <row r="2166" spans="1:28" x14ac:dyDescent="0.25">
      <c r="A2166" t="s">
        <v>3797</v>
      </c>
      <c r="B2166" t="s">
        <v>3798</v>
      </c>
      <c r="C2166" t="s">
        <v>646</v>
      </c>
      <c r="D2166" t="s">
        <v>3779</v>
      </c>
      <c r="E2166" t="s">
        <v>647</v>
      </c>
      <c r="F2166" t="s">
        <v>3780</v>
      </c>
      <c r="G2166" t="s">
        <v>769</v>
      </c>
      <c r="H2166" t="s">
        <v>683</v>
      </c>
      <c r="I2166" t="s">
        <v>725</v>
      </c>
      <c r="J2166" t="s">
        <v>726</v>
      </c>
      <c r="K2166" t="s">
        <v>166</v>
      </c>
      <c r="L2166" t="s">
        <v>0</v>
      </c>
      <c r="M2166" t="s">
        <v>178</v>
      </c>
      <c r="N2166">
        <v>879.65560000000005</v>
      </c>
      <c r="O2166">
        <v>380.66669999999999</v>
      </c>
      <c r="P2166">
        <v>12054.72</v>
      </c>
      <c r="Q2166">
        <v>31926.639999999999</v>
      </c>
      <c r="R2166">
        <v>2114.82069357</v>
      </c>
      <c r="S2166">
        <v>5891.7590109900002</v>
      </c>
      <c r="T2166">
        <v>649.10069356999998</v>
      </c>
      <c r="U2166">
        <v>301.43</v>
      </c>
      <c r="V2166">
        <v>2416.23</v>
      </c>
      <c r="W2166" t="s">
        <v>0</v>
      </c>
      <c r="X2166" t="s">
        <v>271</v>
      </c>
      <c r="Y2166" t="s">
        <v>3799</v>
      </c>
      <c r="AA2166" t="s">
        <v>3800</v>
      </c>
      <c r="AB2166" t="s">
        <v>181</v>
      </c>
    </row>
    <row r="2167" spans="1:28" x14ac:dyDescent="0.25">
      <c r="A2167" t="s">
        <v>3857</v>
      </c>
      <c r="B2167" t="s">
        <v>3858</v>
      </c>
      <c r="C2167" t="s">
        <v>646</v>
      </c>
      <c r="D2167" t="s">
        <v>3779</v>
      </c>
      <c r="E2167" t="s">
        <v>647</v>
      </c>
      <c r="F2167" t="s">
        <v>3780</v>
      </c>
      <c r="G2167" t="s">
        <v>769</v>
      </c>
      <c r="H2167" t="s">
        <v>802</v>
      </c>
      <c r="I2167" t="s">
        <v>952</v>
      </c>
      <c r="J2167" t="s">
        <v>434</v>
      </c>
      <c r="K2167" t="s">
        <v>166</v>
      </c>
      <c r="L2167" t="s">
        <v>0</v>
      </c>
      <c r="M2167" t="s">
        <v>178</v>
      </c>
      <c r="N2167">
        <v>69.666700000000006</v>
      </c>
      <c r="O2167">
        <v>55.666699999999999</v>
      </c>
      <c r="P2167">
        <v>609.59</v>
      </c>
      <c r="Q2167">
        <v>2965.53</v>
      </c>
      <c r="R2167">
        <v>868.08</v>
      </c>
      <c r="S2167">
        <v>258.50564324999999</v>
      </c>
      <c r="T2167">
        <v>0</v>
      </c>
      <c r="U2167">
        <v>0</v>
      </c>
      <c r="V2167">
        <v>868.08</v>
      </c>
      <c r="W2167" t="s">
        <v>466</v>
      </c>
      <c r="X2167" t="s">
        <v>271</v>
      </c>
      <c r="Y2167" t="s">
        <v>3859</v>
      </c>
      <c r="AA2167" t="s">
        <v>3860</v>
      </c>
      <c r="AB2167" t="s">
        <v>181</v>
      </c>
    </row>
    <row r="2168" spans="1:28" x14ac:dyDescent="0.25">
      <c r="A2168" t="s">
        <v>3981</v>
      </c>
      <c r="B2168" t="s">
        <v>3982</v>
      </c>
      <c r="C2168" t="s">
        <v>646</v>
      </c>
      <c r="D2168" t="s">
        <v>3779</v>
      </c>
      <c r="E2168" t="s">
        <v>647</v>
      </c>
      <c r="F2168" t="s">
        <v>3780</v>
      </c>
      <c r="G2168" t="s">
        <v>769</v>
      </c>
      <c r="H2168" t="s">
        <v>802</v>
      </c>
      <c r="I2168" t="s">
        <v>2384</v>
      </c>
      <c r="J2168" t="s">
        <v>447</v>
      </c>
      <c r="K2168" t="s">
        <v>166</v>
      </c>
      <c r="L2168" t="s">
        <v>0</v>
      </c>
      <c r="M2168" t="s">
        <v>178</v>
      </c>
      <c r="N2168">
        <v>222.7747</v>
      </c>
      <c r="O2168">
        <v>146.24969999999999</v>
      </c>
      <c r="P2168">
        <v>3088.73</v>
      </c>
      <c r="Q2168">
        <v>10023.23</v>
      </c>
      <c r="R2168">
        <v>1401.29</v>
      </c>
      <c r="S2168">
        <v>842.74722513999995</v>
      </c>
      <c r="T2168">
        <v>0</v>
      </c>
      <c r="U2168">
        <v>45.49</v>
      </c>
      <c r="V2168">
        <v>1446.78</v>
      </c>
      <c r="W2168" t="s">
        <v>446</v>
      </c>
      <c r="X2168" t="s">
        <v>271</v>
      </c>
      <c r="Y2168" t="s">
        <v>3983</v>
      </c>
      <c r="AA2168" t="s">
        <v>3984</v>
      </c>
      <c r="AB2168" t="s">
        <v>181</v>
      </c>
    </row>
    <row r="2169" spans="1:28" x14ac:dyDescent="0.25">
      <c r="A2169" t="s">
        <v>4039</v>
      </c>
      <c r="B2169" t="s">
        <v>4040</v>
      </c>
      <c r="C2169" t="s">
        <v>646</v>
      </c>
      <c r="D2169" t="s">
        <v>3779</v>
      </c>
      <c r="E2169" t="s">
        <v>647</v>
      </c>
      <c r="F2169" t="s">
        <v>3780</v>
      </c>
      <c r="G2169" t="s">
        <v>769</v>
      </c>
      <c r="H2169" t="s">
        <v>683</v>
      </c>
      <c r="I2169" t="s">
        <v>1595</v>
      </c>
      <c r="J2169" t="s">
        <v>544</v>
      </c>
      <c r="K2169" t="s">
        <v>166</v>
      </c>
      <c r="L2169" t="s">
        <v>0</v>
      </c>
      <c r="M2169" t="s">
        <v>178</v>
      </c>
      <c r="N2169">
        <v>214.25</v>
      </c>
      <c r="O2169">
        <v>159</v>
      </c>
      <c r="P2169">
        <v>2928.74</v>
      </c>
      <c r="Q2169">
        <v>8649.25</v>
      </c>
      <c r="R2169">
        <v>1918.92</v>
      </c>
      <c r="S2169">
        <v>1401.3992044500001</v>
      </c>
      <c r="T2169">
        <v>0</v>
      </c>
      <c r="U2169">
        <v>0</v>
      </c>
      <c r="V2169">
        <v>1918.92</v>
      </c>
      <c r="W2169" t="s">
        <v>239</v>
      </c>
      <c r="X2169" t="s">
        <v>271</v>
      </c>
      <c r="Y2169" t="s">
        <v>4041</v>
      </c>
      <c r="AA2169" t="s">
        <v>4042</v>
      </c>
      <c r="AB2169" t="s">
        <v>181</v>
      </c>
    </row>
    <row r="2170" spans="1:28" x14ac:dyDescent="0.25">
      <c r="A2170" t="s">
        <v>4172</v>
      </c>
      <c r="B2170" t="s">
        <v>4173</v>
      </c>
      <c r="C2170" t="s">
        <v>646</v>
      </c>
      <c r="D2170" t="s">
        <v>3779</v>
      </c>
      <c r="E2170" t="s">
        <v>647</v>
      </c>
      <c r="F2170" t="s">
        <v>3780</v>
      </c>
      <c r="G2170" t="s">
        <v>769</v>
      </c>
      <c r="H2170" t="s">
        <v>679</v>
      </c>
      <c r="I2170" t="s">
        <v>1801</v>
      </c>
      <c r="J2170" t="s">
        <v>437</v>
      </c>
      <c r="K2170" t="s">
        <v>166</v>
      </c>
      <c r="L2170" t="s">
        <v>0</v>
      </c>
      <c r="M2170" t="s">
        <v>178</v>
      </c>
      <c r="N2170">
        <v>142</v>
      </c>
      <c r="O2170">
        <v>117</v>
      </c>
      <c r="P2170">
        <v>2172.64</v>
      </c>
      <c r="Q2170">
        <v>4952.8999999999996</v>
      </c>
      <c r="R2170">
        <v>462.81653942999998</v>
      </c>
      <c r="S2170">
        <v>1229.99205373</v>
      </c>
      <c r="T2170">
        <v>-1.7934605699999999</v>
      </c>
      <c r="U2170">
        <v>0</v>
      </c>
      <c r="V2170">
        <v>464.61</v>
      </c>
      <c r="W2170" t="s">
        <v>510</v>
      </c>
      <c r="X2170" t="s">
        <v>271</v>
      </c>
      <c r="Y2170" t="s">
        <v>4174</v>
      </c>
      <c r="Z2170" t="s">
        <v>4175</v>
      </c>
      <c r="AA2170" t="s">
        <v>4176</v>
      </c>
      <c r="AB2170" t="s">
        <v>181</v>
      </c>
    </row>
    <row r="2171" spans="1:28" x14ac:dyDescent="0.25">
      <c r="A2171" t="s">
        <v>4337</v>
      </c>
      <c r="B2171" t="s">
        <v>4338</v>
      </c>
      <c r="C2171" t="s">
        <v>646</v>
      </c>
      <c r="D2171" t="s">
        <v>3779</v>
      </c>
      <c r="E2171" t="s">
        <v>647</v>
      </c>
      <c r="F2171" t="s">
        <v>3780</v>
      </c>
      <c r="G2171" t="s">
        <v>769</v>
      </c>
      <c r="H2171" t="s">
        <v>679</v>
      </c>
      <c r="I2171" t="s">
        <v>4339</v>
      </c>
      <c r="J2171" t="s">
        <v>821</v>
      </c>
      <c r="K2171" t="s">
        <v>166</v>
      </c>
      <c r="L2171" t="s">
        <v>0</v>
      </c>
      <c r="M2171" t="s">
        <v>178</v>
      </c>
      <c r="N2171">
        <v>130.5</v>
      </c>
      <c r="O2171">
        <v>114</v>
      </c>
      <c r="P2171">
        <v>1668.39</v>
      </c>
      <c r="Q2171">
        <v>5200.2299999999996</v>
      </c>
      <c r="R2171">
        <v>587.99585284</v>
      </c>
      <c r="S2171">
        <v>1914.49049612</v>
      </c>
      <c r="T2171">
        <v>-2.50414716</v>
      </c>
      <c r="U2171">
        <v>0</v>
      </c>
      <c r="V2171">
        <v>590.5</v>
      </c>
      <c r="W2171" t="s">
        <v>822</v>
      </c>
      <c r="X2171" t="s">
        <v>269</v>
      </c>
      <c r="Y2171" t="s">
        <v>4340</v>
      </c>
      <c r="AA2171" t="s">
        <v>4341</v>
      </c>
      <c r="AB2171" t="s">
        <v>181</v>
      </c>
    </row>
    <row r="2172" spans="1:28" x14ac:dyDescent="0.25">
      <c r="A2172" t="s">
        <v>4228</v>
      </c>
      <c r="B2172" t="s">
        <v>4229</v>
      </c>
      <c r="C2172" t="s">
        <v>646</v>
      </c>
      <c r="D2172" t="s">
        <v>3779</v>
      </c>
      <c r="E2172" t="s">
        <v>647</v>
      </c>
      <c r="F2172" t="s">
        <v>3780</v>
      </c>
      <c r="G2172" t="s">
        <v>769</v>
      </c>
      <c r="H2172" t="s">
        <v>679</v>
      </c>
      <c r="I2172" t="s">
        <v>1971</v>
      </c>
      <c r="J2172" t="s">
        <v>1972</v>
      </c>
      <c r="K2172" t="s">
        <v>166</v>
      </c>
      <c r="L2172" t="s">
        <v>0</v>
      </c>
      <c r="M2172" t="s">
        <v>178</v>
      </c>
      <c r="N2172">
        <v>672</v>
      </c>
      <c r="O2172">
        <v>625</v>
      </c>
      <c r="P2172">
        <v>7277.59</v>
      </c>
      <c r="Q2172">
        <v>20454.169999999998</v>
      </c>
      <c r="R2172">
        <v>-5555.0573016600001</v>
      </c>
      <c r="S2172">
        <v>15987.798111599999</v>
      </c>
      <c r="T2172">
        <v>-11.187301659999999</v>
      </c>
      <c r="U2172">
        <v>0</v>
      </c>
      <c r="V2172">
        <v>-5543.87</v>
      </c>
      <c r="W2172" t="s">
        <v>1973</v>
      </c>
      <c r="X2172" t="s">
        <v>271</v>
      </c>
      <c r="Y2172" t="s">
        <v>4230</v>
      </c>
      <c r="AA2172" t="s">
        <v>4231</v>
      </c>
      <c r="AB2172" t="s">
        <v>181</v>
      </c>
    </row>
    <row r="2173" spans="1:28" x14ac:dyDescent="0.25">
      <c r="A2173" t="s">
        <v>3793</v>
      </c>
      <c r="B2173" t="s">
        <v>3794</v>
      </c>
      <c r="C2173" t="s">
        <v>646</v>
      </c>
      <c r="D2173" t="s">
        <v>3779</v>
      </c>
      <c r="E2173" t="s">
        <v>647</v>
      </c>
      <c r="F2173" t="s">
        <v>666</v>
      </c>
      <c r="G2173" t="s">
        <v>666</v>
      </c>
      <c r="H2173" t="s">
        <v>679</v>
      </c>
      <c r="I2173" t="s">
        <v>1712</v>
      </c>
      <c r="J2173" t="s">
        <v>335</v>
      </c>
      <c r="K2173" t="s">
        <v>166</v>
      </c>
      <c r="L2173" t="s">
        <v>0</v>
      </c>
      <c r="M2173" t="s">
        <v>178</v>
      </c>
      <c r="N2173">
        <v>204.7499</v>
      </c>
      <c r="O2173">
        <v>177.66659999999999</v>
      </c>
      <c r="P2173">
        <v>1501.47</v>
      </c>
      <c r="Q2173">
        <v>6423.9</v>
      </c>
      <c r="R2173">
        <v>-751.40402644999995</v>
      </c>
      <c r="S2173">
        <v>3079.5690959200001</v>
      </c>
      <c r="T2173">
        <v>-2.1640264500000002</v>
      </c>
      <c r="U2173">
        <v>0</v>
      </c>
      <c r="V2173">
        <v>-749.24</v>
      </c>
      <c r="W2173" t="s">
        <v>572</v>
      </c>
      <c r="X2173" t="s">
        <v>271</v>
      </c>
      <c r="Y2173" t="s">
        <v>3795</v>
      </c>
      <c r="AA2173" t="s">
        <v>3796</v>
      </c>
      <c r="AB2173" t="s">
        <v>181</v>
      </c>
    </row>
    <row r="2174" spans="1:28" x14ac:dyDescent="0.25">
      <c r="A2174" t="s">
        <v>4232</v>
      </c>
      <c r="B2174" t="s">
        <v>4233</v>
      </c>
      <c r="C2174" t="s">
        <v>646</v>
      </c>
      <c r="D2174" t="s">
        <v>3779</v>
      </c>
      <c r="E2174" t="s">
        <v>647</v>
      </c>
      <c r="F2174" t="s">
        <v>3780</v>
      </c>
      <c r="G2174" t="s">
        <v>769</v>
      </c>
      <c r="H2174" t="s">
        <v>703</v>
      </c>
      <c r="I2174" t="s">
        <v>1296</v>
      </c>
      <c r="J2174" t="s">
        <v>996</v>
      </c>
      <c r="K2174" t="s">
        <v>166</v>
      </c>
      <c r="L2174" t="s">
        <v>0</v>
      </c>
      <c r="M2174" t="s">
        <v>178</v>
      </c>
      <c r="N2174">
        <v>446.66669999999999</v>
      </c>
      <c r="O2174">
        <v>375.5</v>
      </c>
      <c r="P2174">
        <v>15683.19</v>
      </c>
      <c r="Q2174">
        <v>8719.16</v>
      </c>
      <c r="R2174">
        <v>1711.9390773499999</v>
      </c>
      <c r="S2174">
        <v>1663.63512468</v>
      </c>
      <c r="T2174">
        <v>-9.0922649999999994E-2</v>
      </c>
      <c r="U2174">
        <v>0</v>
      </c>
      <c r="V2174">
        <v>1712.03</v>
      </c>
      <c r="W2174" t="s">
        <v>1683</v>
      </c>
      <c r="X2174" t="s">
        <v>271</v>
      </c>
      <c r="Y2174" t="s">
        <v>4234</v>
      </c>
      <c r="AA2174" t="s">
        <v>4235</v>
      </c>
      <c r="AB2174" t="s">
        <v>181</v>
      </c>
    </row>
    <row r="2175" spans="1:28" x14ac:dyDescent="0.25">
      <c r="A2175" t="s">
        <v>3973</v>
      </c>
      <c r="B2175" t="s">
        <v>3974</v>
      </c>
      <c r="C2175" t="s">
        <v>646</v>
      </c>
      <c r="D2175" t="s">
        <v>3779</v>
      </c>
      <c r="E2175" t="s">
        <v>647</v>
      </c>
      <c r="F2175" t="s">
        <v>3780</v>
      </c>
      <c r="G2175" t="s">
        <v>769</v>
      </c>
      <c r="H2175" t="s">
        <v>802</v>
      </c>
      <c r="I2175" t="s">
        <v>880</v>
      </c>
      <c r="J2175" t="s">
        <v>881</v>
      </c>
      <c r="K2175" t="s">
        <v>166</v>
      </c>
      <c r="L2175" t="s">
        <v>0</v>
      </c>
      <c r="M2175" t="s">
        <v>178</v>
      </c>
      <c r="N2175">
        <v>147.66669999999999</v>
      </c>
      <c r="O2175">
        <v>124.16670000000001</v>
      </c>
      <c r="P2175">
        <v>1722.45</v>
      </c>
      <c r="Q2175">
        <v>7014.9</v>
      </c>
      <c r="R2175">
        <v>270.3</v>
      </c>
      <c r="S2175">
        <v>1115.2042181100001</v>
      </c>
      <c r="T2175">
        <v>0</v>
      </c>
      <c r="U2175">
        <v>44.28</v>
      </c>
      <c r="V2175">
        <v>314.58</v>
      </c>
      <c r="W2175" t="s">
        <v>0</v>
      </c>
      <c r="X2175" t="s">
        <v>271</v>
      </c>
      <c r="Y2175" t="s">
        <v>3975</v>
      </c>
      <c r="AA2175" t="s">
        <v>3976</v>
      </c>
      <c r="AB2175" t="s">
        <v>181</v>
      </c>
    </row>
    <row r="2176" spans="1:28" x14ac:dyDescent="0.25">
      <c r="A2176" t="s">
        <v>3892</v>
      </c>
      <c r="B2176" t="s">
        <v>3893</v>
      </c>
      <c r="C2176" t="s">
        <v>646</v>
      </c>
      <c r="D2176" t="s">
        <v>3779</v>
      </c>
      <c r="E2176" t="s">
        <v>647</v>
      </c>
      <c r="F2176" t="s">
        <v>666</v>
      </c>
      <c r="G2176" t="s">
        <v>666</v>
      </c>
      <c r="H2176" t="s">
        <v>730</v>
      </c>
      <c r="I2176" t="s">
        <v>2102</v>
      </c>
      <c r="J2176" t="s">
        <v>355</v>
      </c>
      <c r="K2176" t="s">
        <v>166</v>
      </c>
      <c r="L2176" t="s">
        <v>0</v>
      </c>
      <c r="M2176" t="s">
        <v>178</v>
      </c>
      <c r="N2176">
        <v>25</v>
      </c>
      <c r="O2176">
        <v>25</v>
      </c>
      <c r="P2176">
        <v>398.9</v>
      </c>
      <c r="Q2176">
        <v>1357.2</v>
      </c>
      <c r="R2176">
        <v>437.26</v>
      </c>
      <c r="S2176">
        <v>147.22129072000001</v>
      </c>
      <c r="T2176">
        <v>0</v>
      </c>
      <c r="U2176">
        <v>0</v>
      </c>
      <c r="V2176">
        <v>437.26</v>
      </c>
      <c r="W2176" t="s">
        <v>0</v>
      </c>
      <c r="X2176" t="s">
        <v>271</v>
      </c>
      <c r="Y2176" t="s">
        <v>2103</v>
      </c>
      <c r="AA2176" t="s">
        <v>3894</v>
      </c>
      <c r="AB2176" t="s">
        <v>181</v>
      </c>
    </row>
    <row r="2177" spans="1:28" x14ac:dyDescent="0.25">
      <c r="A2177" t="s">
        <v>3888</v>
      </c>
      <c r="B2177" t="s">
        <v>3889</v>
      </c>
      <c r="C2177" t="s">
        <v>646</v>
      </c>
      <c r="D2177" t="s">
        <v>3779</v>
      </c>
      <c r="E2177" t="s">
        <v>647</v>
      </c>
      <c r="F2177" t="s">
        <v>3780</v>
      </c>
      <c r="G2177" t="s">
        <v>769</v>
      </c>
      <c r="H2177" t="s">
        <v>713</v>
      </c>
      <c r="I2177" t="s">
        <v>1368</v>
      </c>
      <c r="J2177" t="s">
        <v>1369</v>
      </c>
      <c r="K2177" t="s">
        <v>166</v>
      </c>
      <c r="L2177" t="s">
        <v>0</v>
      </c>
      <c r="M2177" t="s">
        <v>178</v>
      </c>
      <c r="N2177">
        <v>54</v>
      </c>
      <c r="O2177">
        <v>2</v>
      </c>
      <c r="P2177">
        <v>562.14</v>
      </c>
      <c r="Q2177">
        <v>6684.75</v>
      </c>
      <c r="R2177">
        <v>766.65355352999995</v>
      </c>
      <c r="S2177">
        <v>369.34667879</v>
      </c>
      <c r="T2177">
        <v>0.46355352999999999</v>
      </c>
      <c r="U2177">
        <v>0</v>
      </c>
      <c r="V2177">
        <v>766.19</v>
      </c>
      <c r="W2177" t="s">
        <v>1370</v>
      </c>
      <c r="X2177" t="s">
        <v>271</v>
      </c>
      <c r="Y2177" t="s">
        <v>3890</v>
      </c>
      <c r="AA2177" t="s">
        <v>3891</v>
      </c>
      <c r="AB2177" t="s">
        <v>181</v>
      </c>
    </row>
    <row r="2178" spans="1:28" x14ac:dyDescent="0.25">
      <c r="A2178" t="s">
        <v>4119</v>
      </c>
      <c r="B2178" t="s">
        <v>4120</v>
      </c>
      <c r="C2178" t="s">
        <v>646</v>
      </c>
      <c r="D2178" t="s">
        <v>3779</v>
      </c>
      <c r="E2178" t="s">
        <v>647</v>
      </c>
      <c r="F2178" t="s">
        <v>3780</v>
      </c>
      <c r="G2178" t="s">
        <v>769</v>
      </c>
      <c r="H2178" t="s">
        <v>1045</v>
      </c>
      <c r="I2178" t="s">
        <v>1374</v>
      </c>
      <c r="J2178" t="s">
        <v>441</v>
      </c>
      <c r="K2178" t="s">
        <v>166</v>
      </c>
      <c r="L2178" t="s">
        <v>0</v>
      </c>
      <c r="M2178" t="s">
        <v>178</v>
      </c>
      <c r="N2178">
        <v>75</v>
      </c>
      <c r="O2178">
        <v>73</v>
      </c>
      <c r="P2178">
        <v>745</v>
      </c>
      <c r="Q2178">
        <v>4096.51</v>
      </c>
      <c r="R2178">
        <v>310.8</v>
      </c>
      <c r="S2178">
        <v>336.12275056999999</v>
      </c>
      <c r="T2178">
        <v>0</v>
      </c>
      <c r="U2178">
        <v>0</v>
      </c>
      <c r="V2178">
        <v>310.8</v>
      </c>
      <c r="W2178" t="s">
        <v>440</v>
      </c>
      <c r="X2178" t="s">
        <v>271</v>
      </c>
      <c r="Y2178" t="s">
        <v>4121</v>
      </c>
      <c r="AA2178" t="s">
        <v>4122</v>
      </c>
      <c r="AB2178" t="s">
        <v>181</v>
      </c>
    </row>
    <row r="2179" spans="1:28" x14ac:dyDescent="0.25">
      <c r="A2179" t="s">
        <v>4098</v>
      </c>
      <c r="B2179" t="s">
        <v>4099</v>
      </c>
      <c r="C2179" t="s">
        <v>646</v>
      </c>
      <c r="D2179" t="s">
        <v>3779</v>
      </c>
      <c r="E2179" t="s">
        <v>647</v>
      </c>
      <c r="F2179" t="s">
        <v>666</v>
      </c>
      <c r="G2179" t="s">
        <v>666</v>
      </c>
      <c r="H2179" t="s">
        <v>1171</v>
      </c>
      <c r="I2179" t="s">
        <v>765</v>
      </c>
      <c r="J2179" t="s">
        <v>436</v>
      </c>
      <c r="K2179" t="s">
        <v>166</v>
      </c>
      <c r="L2179" t="s">
        <v>0</v>
      </c>
      <c r="M2179" t="s">
        <v>178</v>
      </c>
      <c r="N2179">
        <v>783</v>
      </c>
      <c r="O2179">
        <v>655</v>
      </c>
      <c r="P2179">
        <v>22854.99</v>
      </c>
      <c r="Q2179">
        <v>218194.62</v>
      </c>
      <c r="R2179">
        <v>12768.419808520001</v>
      </c>
      <c r="S2179">
        <v>1720.5013037199999</v>
      </c>
      <c r="T2179">
        <v>23.119808519999999</v>
      </c>
      <c r="U2179">
        <v>0</v>
      </c>
      <c r="V2179">
        <v>12745.3</v>
      </c>
      <c r="W2179" t="s">
        <v>0</v>
      </c>
      <c r="X2179" t="s">
        <v>271</v>
      </c>
      <c r="Y2179" t="s">
        <v>4100</v>
      </c>
      <c r="AA2179" t="s">
        <v>4101</v>
      </c>
      <c r="AB2179" t="s">
        <v>181</v>
      </c>
    </row>
    <row r="2180" spans="1:28" x14ac:dyDescent="0.25">
      <c r="A2180" t="s">
        <v>4179</v>
      </c>
      <c r="B2180" t="s">
        <v>4180</v>
      </c>
      <c r="C2180" t="s">
        <v>646</v>
      </c>
      <c r="D2180" t="s">
        <v>3779</v>
      </c>
      <c r="E2180" t="s">
        <v>647</v>
      </c>
      <c r="F2180" t="s">
        <v>3780</v>
      </c>
      <c r="G2180" t="s">
        <v>769</v>
      </c>
      <c r="H2180" t="s">
        <v>962</v>
      </c>
      <c r="I2180" t="s">
        <v>4181</v>
      </c>
      <c r="J2180" t="s">
        <v>816</v>
      </c>
      <c r="K2180" t="s">
        <v>166</v>
      </c>
      <c r="L2180" t="s">
        <v>0</v>
      </c>
      <c r="M2180" t="s">
        <v>178</v>
      </c>
      <c r="N2180">
        <v>119</v>
      </c>
      <c r="O2180">
        <v>106</v>
      </c>
      <c r="P2180">
        <v>1936.21</v>
      </c>
      <c r="Q2180">
        <v>8509.9699999999993</v>
      </c>
      <c r="R2180">
        <v>1633.1632948900001</v>
      </c>
      <c r="S2180">
        <v>993.23398572999997</v>
      </c>
      <c r="T2180">
        <v>5.3294889999999998E-2</v>
      </c>
      <c r="U2180">
        <v>0</v>
      </c>
      <c r="V2180">
        <v>1633.11</v>
      </c>
      <c r="W2180" t="s">
        <v>1490</v>
      </c>
      <c r="X2180" t="s">
        <v>271</v>
      </c>
      <c r="Y2180" t="s">
        <v>4182</v>
      </c>
      <c r="AA2180" t="s">
        <v>4183</v>
      </c>
      <c r="AB2180" t="s">
        <v>181</v>
      </c>
    </row>
    <row r="2181" spans="1:28" x14ac:dyDescent="0.25">
      <c r="A2181" t="s">
        <v>4357</v>
      </c>
      <c r="B2181" t="s">
        <v>4358</v>
      </c>
      <c r="C2181" t="s">
        <v>646</v>
      </c>
      <c r="D2181" t="s">
        <v>3779</v>
      </c>
      <c r="E2181" t="s">
        <v>647</v>
      </c>
      <c r="F2181" t="s">
        <v>3780</v>
      </c>
      <c r="G2181" t="s">
        <v>769</v>
      </c>
      <c r="H2181" t="s">
        <v>708</v>
      </c>
      <c r="I2181" t="s">
        <v>1599</v>
      </c>
      <c r="J2181" t="s">
        <v>1600</v>
      </c>
      <c r="K2181" t="s">
        <v>166</v>
      </c>
      <c r="L2181" t="s">
        <v>0</v>
      </c>
      <c r="M2181" t="s">
        <v>178</v>
      </c>
      <c r="N2181">
        <v>193</v>
      </c>
      <c r="O2181">
        <v>27</v>
      </c>
      <c r="P2181">
        <v>528.54999999999995</v>
      </c>
      <c r="Q2181">
        <v>5663.69</v>
      </c>
      <c r="R2181">
        <v>523.22619320000001</v>
      </c>
      <c r="S2181">
        <v>497.65080353000002</v>
      </c>
      <c r="T2181">
        <v>6.1932000000000003E-3</v>
      </c>
      <c r="U2181">
        <v>0</v>
      </c>
      <c r="V2181">
        <v>523.22</v>
      </c>
      <c r="W2181" t="s">
        <v>1601</v>
      </c>
      <c r="X2181" t="s">
        <v>269</v>
      </c>
      <c r="Y2181" t="s">
        <v>4359</v>
      </c>
      <c r="AA2181" t="s">
        <v>4360</v>
      </c>
      <c r="AB2181" t="s">
        <v>181</v>
      </c>
    </row>
    <row r="2182" spans="1:28" x14ac:dyDescent="0.25">
      <c r="A2182" t="s">
        <v>4057</v>
      </c>
      <c r="B2182" t="s">
        <v>4058</v>
      </c>
      <c r="C2182" t="s">
        <v>646</v>
      </c>
      <c r="D2182" t="s">
        <v>3779</v>
      </c>
      <c r="E2182" t="s">
        <v>647</v>
      </c>
      <c r="F2182" t="s">
        <v>3780</v>
      </c>
      <c r="G2182" t="s">
        <v>769</v>
      </c>
      <c r="H2182" t="s">
        <v>672</v>
      </c>
      <c r="I2182" t="s">
        <v>1190</v>
      </c>
      <c r="J2182" t="s">
        <v>1191</v>
      </c>
      <c r="K2182" t="s">
        <v>166</v>
      </c>
      <c r="L2182" t="s">
        <v>0</v>
      </c>
      <c r="M2182" t="s">
        <v>178</v>
      </c>
      <c r="N2182">
        <v>2195</v>
      </c>
      <c r="O2182">
        <v>464</v>
      </c>
      <c r="P2182">
        <v>58277.62</v>
      </c>
      <c r="Q2182">
        <v>69009.23</v>
      </c>
      <c r="R2182">
        <v>2004.16377485</v>
      </c>
      <c r="S2182">
        <v>9703.62352741</v>
      </c>
      <c r="T2182">
        <v>14056.35377485</v>
      </c>
      <c r="U2182">
        <v>1521.62</v>
      </c>
      <c r="V2182">
        <v>3719.35</v>
      </c>
      <c r="W2182" t="s">
        <v>282</v>
      </c>
      <c r="X2182" t="s">
        <v>271</v>
      </c>
      <c r="Y2182" t="s">
        <v>4059</v>
      </c>
      <c r="AA2182" t="s">
        <v>2171</v>
      </c>
      <c r="AB2182" t="s">
        <v>181</v>
      </c>
    </row>
    <row r="2183" spans="1:28" x14ac:dyDescent="0.25">
      <c r="A2183" t="s">
        <v>4172</v>
      </c>
      <c r="B2183" t="s">
        <v>4173</v>
      </c>
      <c r="C2183" t="s">
        <v>646</v>
      </c>
      <c r="D2183" t="s">
        <v>3779</v>
      </c>
      <c r="E2183" t="s">
        <v>647</v>
      </c>
      <c r="F2183" t="s">
        <v>3780</v>
      </c>
      <c r="G2183" t="s">
        <v>769</v>
      </c>
      <c r="H2183" t="s">
        <v>708</v>
      </c>
      <c r="I2183" t="s">
        <v>1801</v>
      </c>
      <c r="J2183" t="s">
        <v>437</v>
      </c>
      <c r="K2183" t="s">
        <v>166</v>
      </c>
      <c r="L2183" t="s">
        <v>0</v>
      </c>
      <c r="M2183" t="s">
        <v>178</v>
      </c>
      <c r="N2183">
        <v>19.166699999999999</v>
      </c>
      <c r="O2183">
        <v>4.1666999999999996</v>
      </c>
      <c r="P2183">
        <v>192.45</v>
      </c>
      <c r="Q2183">
        <v>817.27</v>
      </c>
      <c r="R2183">
        <v>100.84</v>
      </c>
      <c r="S2183">
        <v>81.367170909999999</v>
      </c>
      <c r="T2183">
        <v>0</v>
      </c>
      <c r="U2183">
        <v>0</v>
      </c>
      <c r="V2183">
        <v>100.84</v>
      </c>
      <c r="W2183" t="s">
        <v>510</v>
      </c>
      <c r="X2183" t="s">
        <v>271</v>
      </c>
      <c r="Y2183" t="s">
        <v>4174</v>
      </c>
      <c r="Z2183" t="s">
        <v>4175</v>
      </c>
      <c r="AA2183" t="s">
        <v>4176</v>
      </c>
      <c r="AB2183" t="s">
        <v>181</v>
      </c>
    </row>
    <row r="2184" spans="1:28" x14ac:dyDescent="0.25">
      <c r="A2184" t="s">
        <v>3929</v>
      </c>
      <c r="B2184" t="s">
        <v>3930</v>
      </c>
      <c r="C2184" t="s">
        <v>646</v>
      </c>
      <c r="D2184" t="s">
        <v>3779</v>
      </c>
      <c r="E2184" t="s">
        <v>647</v>
      </c>
      <c r="F2184" t="s">
        <v>3780</v>
      </c>
      <c r="G2184" t="s">
        <v>769</v>
      </c>
      <c r="H2184" t="s">
        <v>909</v>
      </c>
      <c r="I2184" t="s">
        <v>3649</v>
      </c>
      <c r="J2184" t="s">
        <v>1567</v>
      </c>
      <c r="K2184" t="s">
        <v>166</v>
      </c>
      <c r="L2184" t="s">
        <v>0</v>
      </c>
      <c r="M2184" t="s">
        <v>178</v>
      </c>
      <c r="N2184">
        <v>75</v>
      </c>
      <c r="O2184">
        <v>72</v>
      </c>
      <c r="P2184">
        <v>2068.6999999999998</v>
      </c>
      <c r="Q2184">
        <v>5613.62</v>
      </c>
      <c r="R2184">
        <v>1293.6600000000001</v>
      </c>
      <c r="S2184">
        <v>1056.3404926000001</v>
      </c>
      <c r="T2184">
        <v>0</v>
      </c>
      <c r="U2184">
        <v>0</v>
      </c>
      <c r="V2184">
        <v>1293.6600000000001</v>
      </c>
      <c r="W2184" t="s">
        <v>556</v>
      </c>
      <c r="X2184" t="s">
        <v>271</v>
      </c>
      <c r="Y2184" t="s">
        <v>3931</v>
      </c>
      <c r="AA2184" t="s">
        <v>3932</v>
      </c>
      <c r="AB2184" t="s">
        <v>181</v>
      </c>
    </row>
    <row r="2185" spans="1:28" x14ac:dyDescent="0.25">
      <c r="A2185" t="s">
        <v>3900</v>
      </c>
      <c r="B2185" t="s">
        <v>3901</v>
      </c>
      <c r="C2185" t="s">
        <v>646</v>
      </c>
      <c r="D2185" t="s">
        <v>3779</v>
      </c>
      <c r="E2185" t="s">
        <v>647</v>
      </c>
      <c r="F2185" t="s">
        <v>3780</v>
      </c>
      <c r="G2185" t="s">
        <v>769</v>
      </c>
      <c r="H2185" t="s">
        <v>703</v>
      </c>
      <c r="I2185" t="s">
        <v>3902</v>
      </c>
      <c r="J2185" t="s">
        <v>1225</v>
      </c>
      <c r="K2185" t="s">
        <v>166</v>
      </c>
      <c r="L2185" t="s">
        <v>0</v>
      </c>
      <c r="M2185" t="s">
        <v>178</v>
      </c>
      <c r="N2185">
        <v>150.25</v>
      </c>
      <c r="O2185">
        <v>85</v>
      </c>
      <c r="P2185">
        <v>2807.08</v>
      </c>
      <c r="Q2185">
        <v>3933.7</v>
      </c>
      <c r="R2185">
        <v>400.52</v>
      </c>
      <c r="S2185">
        <v>554.33202312000003</v>
      </c>
      <c r="T2185">
        <v>0</v>
      </c>
      <c r="U2185">
        <v>0</v>
      </c>
      <c r="V2185">
        <v>400.52</v>
      </c>
      <c r="W2185" t="s">
        <v>0</v>
      </c>
      <c r="X2185" t="s">
        <v>271</v>
      </c>
      <c r="Y2185" t="s">
        <v>3903</v>
      </c>
      <c r="AA2185" t="s">
        <v>3904</v>
      </c>
      <c r="AB2185" t="s">
        <v>181</v>
      </c>
    </row>
    <row r="2186" spans="1:28" x14ac:dyDescent="0.25">
      <c r="A2186" t="s">
        <v>4167</v>
      </c>
      <c r="B2186" t="s">
        <v>4168</v>
      </c>
      <c r="C2186" t="s">
        <v>646</v>
      </c>
      <c r="D2186" t="s">
        <v>3779</v>
      </c>
      <c r="E2186" t="s">
        <v>647</v>
      </c>
      <c r="F2186" t="s">
        <v>3780</v>
      </c>
      <c r="G2186" t="s">
        <v>769</v>
      </c>
      <c r="H2186" t="s">
        <v>679</v>
      </c>
      <c r="I2186" t="s">
        <v>4169</v>
      </c>
      <c r="J2186" t="s">
        <v>662</v>
      </c>
      <c r="K2186" t="s">
        <v>166</v>
      </c>
      <c r="L2186" t="s">
        <v>0</v>
      </c>
      <c r="M2186" t="s">
        <v>178</v>
      </c>
      <c r="N2186">
        <v>456.2</v>
      </c>
      <c r="O2186">
        <v>430.2</v>
      </c>
      <c r="P2186">
        <v>4326.46</v>
      </c>
      <c r="Q2186">
        <v>13690.78</v>
      </c>
      <c r="R2186">
        <v>-541.83173643999999</v>
      </c>
      <c r="S2186">
        <v>6611.3684495799998</v>
      </c>
      <c r="T2186">
        <v>-18.411736439999999</v>
      </c>
      <c r="U2186">
        <v>1739.54</v>
      </c>
      <c r="V2186">
        <v>1217.92</v>
      </c>
      <c r="W2186" t="s">
        <v>586</v>
      </c>
      <c r="X2186" t="s">
        <v>271</v>
      </c>
      <c r="Y2186" t="s">
        <v>4170</v>
      </c>
      <c r="AA2186" t="s">
        <v>4171</v>
      </c>
      <c r="AB2186" t="s">
        <v>181</v>
      </c>
    </row>
    <row r="2187" spans="1:28" x14ac:dyDescent="0.25">
      <c r="A2187" t="s">
        <v>3913</v>
      </c>
      <c r="B2187" t="s">
        <v>3914</v>
      </c>
      <c r="C2187" t="s">
        <v>646</v>
      </c>
      <c r="D2187" t="s">
        <v>3779</v>
      </c>
      <c r="E2187" t="s">
        <v>647</v>
      </c>
      <c r="F2187" t="s">
        <v>3780</v>
      </c>
      <c r="G2187" t="s">
        <v>769</v>
      </c>
      <c r="H2187" t="s">
        <v>1171</v>
      </c>
      <c r="I2187" t="s">
        <v>984</v>
      </c>
      <c r="J2187" t="s">
        <v>985</v>
      </c>
      <c r="K2187" t="s">
        <v>166</v>
      </c>
      <c r="L2187" t="s">
        <v>0</v>
      </c>
      <c r="M2187" t="s">
        <v>178</v>
      </c>
      <c r="N2187">
        <v>48</v>
      </c>
      <c r="O2187">
        <v>14</v>
      </c>
      <c r="P2187">
        <v>2504.88</v>
      </c>
      <c r="Q2187">
        <v>23584.86</v>
      </c>
      <c r="R2187">
        <v>1215.53855127</v>
      </c>
      <c r="S2187">
        <v>192.04142580000001</v>
      </c>
      <c r="T2187">
        <v>0.32855127000000001</v>
      </c>
      <c r="U2187">
        <v>0</v>
      </c>
      <c r="V2187">
        <v>1215.21</v>
      </c>
      <c r="W2187" t="s">
        <v>986</v>
      </c>
      <c r="X2187" t="s">
        <v>271</v>
      </c>
      <c r="Y2187" t="s">
        <v>3915</v>
      </c>
      <c r="AA2187" t="s">
        <v>3916</v>
      </c>
      <c r="AB2187" t="s">
        <v>181</v>
      </c>
    </row>
    <row r="2188" spans="1:28" x14ac:dyDescent="0.25">
      <c r="A2188" t="s">
        <v>3838</v>
      </c>
      <c r="B2188" t="s">
        <v>3839</v>
      </c>
      <c r="C2188" t="s">
        <v>646</v>
      </c>
      <c r="D2188" t="s">
        <v>3779</v>
      </c>
      <c r="E2188" t="s">
        <v>647</v>
      </c>
      <c r="F2188" t="s">
        <v>3780</v>
      </c>
      <c r="G2188" t="s">
        <v>769</v>
      </c>
      <c r="H2188" t="s">
        <v>708</v>
      </c>
      <c r="I2188" t="s">
        <v>906</v>
      </c>
      <c r="J2188" t="s">
        <v>907</v>
      </c>
      <c r="K2188" t="s">
        <v>166</v>
      </c>
      <c r="L2188" t="s">
        <v>0</v>
      </c>
      <c r="M2188" t="s">
        <v>178</v>
      </c>
      <c r="N2188">
        <v>138.5001</v>
      </c>
      <c r="O2188">
        <v>45.500100000000003</v>
      </c>
      <c r="P2188">
        <v>1506.63</v>
      </c>
      <c r="Q2188">
        <v>4905.3900000000003</v>
      </c>
      <c r="R2188">
        <v>625.70786938000003</v>
      </c>
      <c r="S2188">
        <v>499.95735671</v>
      </c>
      <c r="T2188">
        <v>2.7869379999999999E-2</v>
      </c>
      <c r="U2188">
        <v>0</v>
      </c>
      <c r="V2188">
        <v>625.67999999999995</v>
      </c>
      <c r="W2188" t="s">
        <v>272</v>
      </c>
      <c r="X2188" t="s">
        <v>269</v>
      </c>
      <c r="Y2188" t="s">
        <v>3840</v>
      </c>
      <c r="AA2188" t="s">
        <v>3841</v>
      </c>
      <c r="AB2188" t="s">
        <v>181</v>
      </c>
    </row>
    <row r="2189" spans="1:28" x14ac:dyDescent="0.25">
      <c r="A2189" t="s">
        <v>3823</v>
      </c>
      <c r="B2189" t="s">
        <v>3824</v>
      </c>
      <c r="C2189" t="s">
        <v>646</v>
      </c>
      <c r="D2189" t="s">
        <v>3779</v>
      </c>
      <c r="E2189" t="s">
        <v>647</v>
      </c>
      <c r="F2189" t="s">
        <v>3780</v>
      </c>
      <c r="G2189" t="s">
        <v>769</v>
      </c>
      <c r="H2189" t="s">
        <v>1171</v>
      </c>
      <c r="I2189" t="s">
        <v>1801</v>
      </c>
      <c r="J2189" t="s">
        <v>437</v>
      </c>
      <c r="K2189" t="s">
        <v>166</v>
      </c>
      <c r="L2189" t="s">
        <v>0</v>
      </c>
      <c r="M2189" t="s">
        <v>178</v>
      </c>
      <c r="N2189">
        <v>13</v>
      </c>
      <c r="O2189">
        <v>6</v>
      </c>
      <c r="P2189">
        <v>178.45</v>
      </c>
      <c r="Q2189">
        <v>1323.77</v>
      </c>
      <c r="R2189">
        <v>140.78</v>
      </c>
      <c r="S2189">
        <v>0.80800000000000005</v>
      </c>
      <c r="T2189">
        <v>0</v>
      </c>
      <c r="U2189">
        <v>0</v>
      </c>
      <c r="V2189">
        <v>140.78</v>
      </c>
      <c r="W2189" t="s">
        <v>510</v>
      </c>
      <c r="X2189" t="s">
        <v>271</v>
      </c>
      <c r="Y2189" t="s">
        <v>3825</v>
      </c>
      <c r="AA2189" t="s">
        <v>3826</v>
      </c>
      <c r="AB2189" t="s">
        <v>181</v>
      </c>
    </row>
    <row r="2190" spans="1:28" x14ac:dyDescent="0.25">
      <c r="A2190" t="s">
        <v>3842</v>
      </c>
      <c r="B2190" t="s">
        <v>3843</v>
      </c>
      <c r="C2190" t="s">
        <v>646</v>
      </c>
      <c r="D2190" t="s">
        <v>3779</v>
      </c>
      <c r="E2190" t="s">
        <v>647</v>
      </c>
      <c r="F2190" t="s">
        <v>3780</v>
      </c>
      <c r="G2190" t="s">
        <v>769</v>
      </c>
      <c r="H2190" t="s">
        <v>909</v>
      </c>
      <c r="I2190" t="s">
        <v>3844</v>
      </c>
      <c r="J2190" t="s">
        <v>3845</v>
      </c>
      <c r="K2190" t="s">
        <v>166</v>
      </c>
      <c r="L2190" t="s">
        <v>0</v>
      </c>
      <c r="M2190" t="s">
        <v>178</v>
      </c>
      <c r="N2190">
        <v>341.25</v>
      </c>
      <c r="O2190">
        <v>275</v>
      </c>
      <c r="P2190">
        <v>10630.5</v>
      </c>
      <c r="Q2190">
        <v>9390.7999999999993</v>
      </c>
      <c r="R2190">
        <v>1432.4302982300001</v>
      </c>
      <c r="S2190">
        <v>1623.09128093</v>
      </c>
      <c r="T2190">
        <v>0.51029822999999996</v>
      </c>
      <c r="U2190">
        <v>0</v>
      </c>
      <c r="V2190">
        <v>1431.92</v>
      </c>
      <c r="W2190" t="s">
        <v>3846</v>
      </c>
      <c r="X2190" t="s">
        <v>271</v>
      </c>
      <c r="Y2190" t="s">
        <v>3847</v>
      </c>
      <c r="AA2190" t="s">
        <v>3848</v>
      </c>
      <c r="AB2190" t="s">
        <v>181</v>
      </c>
    </row>
    <row r="2191" spans="1:28" x14ac:dyDescent="0.25">
      <c r="A2191" t="s">
        <v>3944</v>
      </c>
      <c r="B2191" t="s">
        <v>3945</v>
      </c>
      <c r="C2191" t="s">
        <v>646</v>
      </c>
      <c r="D2191" t="s">
        <v>3779</v>
      </c>
      <c r="E2191" t="s">
        <v>647</v>
      </c>
      <c r="F2191" t="s">
        <v>3780</v>
      </c>
      <c r="G2191" t="s">
        <v>769</v>
      </c>
      <c r="H2191" t="s">
        <v>856</v>
      </c>
      <c r="I2191" t="s">
        <v>798</v>
      </c>
      <c r="J2191" t="s">
        <v>524</v>
      </c>
      <c r="K2191" t="s">
        <v>166</v>
      </c>
      <c r="L2191" t="s">
        <v>0</v>
      </c>
      <c r="M2191" t="s">
        <v>178</v>
      </c>
      <c r="N2191">
        <v>16</v>
      </c>
      <c r="O2191">
        <v>5</v>
      </c>
      <c r="P2191">
        <v>269.89999999999998</v>
      </c>
      <c r="Q2191">
        <v>4306.7700000000004</v>
      </c>
      <c r="R2191">
        <v>394.61</v>
      </c>
      <c r="S2191">
        <v>40.223399999999998</v>
      </c>
      <c r="T2191">
        <v>0</v>
      </c>
      <c r="U2191">
        <v>0</v>
      </c>
      <c r="V2191">
        <v>394.61</v>
      </c>
      <c r="W2191" t="s">
        <v>258</v>
      </c>
      <c r="X2191" t="s">
        <v>271</v>
      </c>
      <c r="Y2191" t="s">
        <v>3946</v>
      </c>
      <c r="AA2191" t="s">
        <v>3947</v>
      </c>
      <c r="AB2191" t="s">
        <v>181</v>
      </c>
    </row>
    <row r="2192" spans="1:28" x14ac:dyDescent="0.25">
      <c r="A2192" t="s">
        <v>3883</v>
      </c>
      <c r="B2192" t="s">
        <v>3884</v>
      </c>
      <c r="C2192" t="s">
        <v>646</v>
      </c>
      <c r="D2192" t="s">
        <v>3779</v>
      </c>
      <c r="E2192" t="s">
        <v>647</v>
      </c>
      <c r="F2192" t="s">
        <v>3780</v>
      </c>
      <c r="G2192" t="s">
        <v>769</v>
      </c>
      <c r="H2192" t="s">
        <v>730</v>
      </c>
      <c r="I2192" t="s">
        <v>3885</v>
      </c>
      <c r="J2192" t="s">
        <v>1861</v>
      </c>
      <c r="K2192" t="s">
        <v>166</v>
      </c>
      <c r="L2192" t="s">
        <v>0</v>
      </c>
      <c r="M2192" t="s">
        <v>178</v>
      </c>
      <c r="N2192">
        <v>1</v>
      </c>
      <c r="O2192">
        <v>1</v>
      </c>
      <c r="P2192">
        <v>13</v>
      </c>
      <c r="Q2192">
        <v>20.75</v>
      </c>
      <c r="R2192">
        <v>0.39</v>
      </c>
      <c r="S2192">
        <v>-0.24298001</v>
      </c>
      <c r="T2192">
        <v>0</v>
      </c>
      <c r="U2192">
        <v>0</v>
      </c>
      <c r="V2192">
        <v>0.39</v>
      </c>
      <c r="W2192" t="s">
        <v>1862</v>
      </c>
      <c r="X2192" t="s">
        <v>271</v>
      </c>
      <c r="Y2192" t="s">
        <v>3886</v>
      </c>
      <c r="AA2192" t="s">
        <v>3887</v>
      </c>
      <c r="AB2192" t="s">
        <v>181</v>
      </c>
    </row>
    <row r="2193" spans="1:28" x14ac:dyDescent="0.25">
      <c r="A2193" t="s">
        <v>4320</v>
      </c>
      <c r="B2193" t="s">
        <v>4321</v>
      </c>
      <c r="C2193" t="s">
        <v>646</v>
      </c>
      <c r="D2193" t="s">
        <v>3779</v>
      </c>
      <c r="E2193" t="s">
        <v>647</v>
      </c>
      <c r="F2193" t="s">
        <v>3780</v>
      </c>
      <c r="G2193" t="s">
        <v>769</v>
      </c>
      <c r="H2193" t="s">
        <v>1045</v>
      </c>
      <c r="I2193" t="s">
        <v>1010</v>
      </c>
      <c r="J2193" t="s">
        <v>1011</v>
      </c>
      <c r="K2193" t="s">
        <v>166</v>
      </c>
      <c r="L2193" t="s">
        <v>0</v>
      </c>
      <c r="M2193" t="s">
        <v>178</v>
      </c>
      <c r="N2193">
        <v>133</v>
      </c>
      <c r="O2193">
        <v>58</v>
      </c>
      <c r="P2193">
        <v>1330</v>
      </c>
      <c r="Q2193">
        <v>6590.73</v>
      </c>
      <c r="R2193">
        <v>738.92</v>
      </c>
      <c r="S2193">
        <v>565.18910622999999</v>
      </c>
      <c r="T2193">
        <v>0</v>
      </c>
      <c r="U2193">
        <v>0</v>
      </c>
      <c r="V2193">
        <v>738.92</v>
      </c>
      <c r="W2193" t="s">
        <v>0</v>
      </c>
      <c r="X2193" t="s">
        <v>271</v>
      </c>
      <c r="Y2193" t="s">
        <v>4322</v>
      </c>
      <c r="AA2193" t="s">
        <v>4323</v>
      </c>
      <c r="AB2193" t="s">
        <v>181</v>
      </c>
    </row>
    <row r="2194" spans="1:28" x14ac:dyDescent="0.25">
      <c r="A2194" t="s">
        <v>3956</v>
      </c>
      <c r="B2194" t="s">
        <v>3957</v>
      </c>
      <c r="C2194" t="s">
        <v>646</v>
      </c>
      <c r="D2194" t="s">
        <v>3779</v>
      </c>
      <c r="E2194" t="s">
        <v>647</v>
      </c>
      <c r="F2194" t="s">
        <v>666</v>
      </c>
      <c r="G2194" t="s">
        <v>666</v>
      </c>
      <c r="H2194" t="s">
        <v>757</v>
      </c>
      <c r="I2194" t="s">
        <v>1068</v>
      </c>
      <c r="J2194" t="s">
        <v>501</v>
      </c>
      <c r="K2194" t="s">
        <v>166</v>
      </c>
      <c r="L2194" t="s">
        <v>0</v>
      </c>
      <c r="M2194" t="s">
        <v>178</v>
      </c>
      <c r="N2194">
        <v>28</v>
      </c>
      <c r="O2194">
        <v>28</v>
      </c>
      <c r="P2194">
        <v>280</v>
      </c>
      <c r="Q2194">
        <v>713.23</v>
      </c>
      <c r="R2194">
        <v>189.08</v>
      </c>
      <c r="S2194">
        <v>48.959232499999999</v>
      </c>
      <c r="T2194">
        <v>0</v>
      </c>
      <c r="U2194">
        <v>0</v>
      </c>
      <c r="V2194">
        <v>189.08</v>
      </c>
      <c r="W2194" t="s">
        <v>500</v>
      </c>
      <c r="X2194" t="s">
        <v>271</v>
      </c>
      <c r="Y2194" t="s">
        <v>3958</v>
      </c>
      <c r="AA2194" t="s">
        <v>3959</v>
      </c>
      <c r="AB2194" t="s">
        <v>181</v>
      </c>
    </row>
    <row r="2195" spans="1:28" x14ac:dyDescent="0.25">
      <c r="A2195" t="s">
        <v>3888</v>
      </c>
      <c r="B2195" t="s">
        <v>3889</v>
      </c>
      <c r="C2195" t="s">
        <v>646</v>
      </c>
      <c r="D2195" t="s">
        <v>3779</v>
      </c>
      <c r="E2195" t="s">
        <v>647</v>
      </c>
      <c r="F2195" t="s">
        <v>3780</v>
      </c>
      <c r="G2195" t="s">
        <v>769</v>
      </c>
      <c r="H2195" t="s">
        <v>649</v>
      </c>
      <c r="I2195" t="s">
        <v>1368</v>
      </c>
      <c r="J2195" t="s">
        <v>1369</v>
      </c>
      <c r="K2195" t="s">
        <v>166</v>
      </c>
      <c r="L2195" t="s">
        <v>0</v>
      </c>
      <c r="M2195" t="s">
        <v>178</v>
      </c>
      <c r="N2195">
        <v>247</v>
      </c>
      <c r="O2195">
        <v>104</v>
      </c>
      <c r="P2195">
        <v>3656.88</v>
      </c>
      <c r="Q2195">
        <v>9479.14</v>
      </c>
      <c r="R2195">
        <v>137.37</v>
      </c>
      <c r="S2195">
        <v>666.13466665999999</v>
      </c>
      <c r="T2195">
        <v>0</v>
      </c>
      <c r="U2195">
        <v>0</v>
      </c>
      <c r="V2195">
        <v>137.37</v>
      </c>
      <c r="W2195" t="s">
        <v>1370</v>
      </c>
      <c r="X2195" t="s">
        <v>271</v>
      </c>
      <c r="Y2195" t="s">
        <v>3890</v>
      </c>
      <c r="AA2195" t="s">
        <v>3891</v>
      </c>
      <c r="AB2195" t="s">
        <v>181</v>
      </c>
    </row>
    <row r="2196" spans="1:28" x14ac:dyDescent="0.25">
      <c r="A2196" t="s">
        <v>3973</v>
      </c>
      <c r="B2196" t="s">
        <v>3974</v>
      </c>
      <c r="C2196" t="s">
        <v>646</v>
      </c>
      <c r="D2196" t="s">
        <v>3779</v>
      </c>
      <c r="E2196" t="s">
        <v>647</v>
      </c>
      <c r="F2196" t="s">
        <v>3780</v>
      </c>
      <c r="G2196" t="s">
        <v>769</v>
      </c>
      <c r="H2196" t="s">
        <v>1171</v>
      </c>
      <c r="I2196" t="s">
        <v>880</v>
      </c>
      <c r="J2196" t="s">
        <v>881</v>
      </c>
      <c r="K2196" t="s">
        <v>166</v>
      </c>
      <c r="L2196" t="s">
        <v>0</v>
      </c>
      <c r="M2196" t="s">
        <v>178</v>
      </c>
      <c r="N2196">
        <v>7</v>
      </c>
      <c r="O2196">
        <v>7</v>
      </c>
      <c r="P2196">
        <v>90.18</v>
      </c>
      <c r="Q2196">
        <v>602.08000000000004</v>
      </c>
      <c r="R2196">
        <v>27.128702050000001</v>
      </c>
      <c r="S2196">
        <v>65.366725099999996</v>
      </c>
      <c r="T2196">
        <v>0.26870205000000003</v>
      </c>
      <c r="U2196">
        <v>0</v>
      </c>
      <c r="V2196">
        <v>26.86</v>
      </c>
      <c r="W2196" t="s">
        <v>0</v>
      </c>
      <c r="X2196" t="s">
        <v>271</v>
      </c>
      <c r="Y2196" t="s">
        <v>3975</v>
      </c>
      <c r="AA2196" t="s">
        <v>3976</v>
      </c>
      <c r="AB2196" t="s">
        <v>181</v>
      </c>
    </row>
    <row r="2197" spans="1:28" x14ac:dyDescent="0.25">
      <c r="A2197" t="s">
        <v>4256</v>
      </c>
      <c r="B2197" t="s">
        <v>4257</v>
      </c>
      <c r="C2197" t="s">
        <v>646</v>
      </c>
      <c r="D2197" t="s">
        <v>3779</v>
      </c>
      <c r="E2197" t="s">
        <v>647</v>
      </c>
      <c r="F2197" t="s">
        <v>3780</v>
      </c>
      <c r="G2197" t="s">
        <v>769</v>
      </c>
      <c r="H2197" t="s">
        <v>730</v>
      </c>
      <c r="I2197" t="s">
        <v>2284</v>
      </c>
      <c r="J2197" t="s">
        <v>2285</v>
      </c>
      <c r="K2197" t="s">
        <v>166</v>
      </c>
      <c r="L2197" t="s">
        <v>0</v>
      </c>
      <c r="M2197" t="s">
        <v>178</v>
      </c>
      <c r="N2197">
        <v>7</v>
      </c>
      <c r="O2197">
        <v>1</v>
      </c>
      <c r="P2197">
        <v>317.7</v>
      </c>
      <c r="Q2197">
        <v>106.93</v>
      </c>
      <c r="R2197">
        <v>26.31</v>
      </c>
      <c r="S2197">
        <v>5.1270034200000003</v>
      </c>
      <c r="T2197">
        <v>0</v>
      </c>
      <c r="U2197">
        <v>0</v>
      </c>
      <c r="V2197">
        <v>26.31</v>
      </c>
      <c r="W2197" t="s">
        <v>453</v>
      </c>
      <c r="X2197" t="s">
        <v>271</v>
      </c>
      <c r="Y2197" t="s">
        <v>4258</v>
      </c>
      <c r="AA2197" t="s">
        <v>4259</v>
      </c>
      <c r="AB2197" t="s">
        <v>181</v>
      </c>
    </row>
    <row r="2198" spans="1:28" x14ac:dyDescent="0.25">
      <c r="A2198" t="s">
        <v>4349</v>
      </c>
      <c r="B2198" t="s">
        <v>4350</v>
      </c>
      <c r="C2198" t="s">
        <v>646</v>
      </c>
      <c r="D2198" t="s">
        <v>3779</v>
      </c>
      <c r="E2198" t="s">
        <v>647</v>
      </c>
      <c r="F2198" t="s">
        <v>3780</v>
      </c>
      <c r="G2198" t="s">
        <v>769</v>
      </c>
      <c r="H2198" t="s">
        <v>761</v>
      </c>
      <c r="I2198" t="s">
        <v>2242</v>
      </c>
      <c r="J2198" t="s">
        <v>2243</v>
      </c>
      <c r="K2198" t="s">
        <v>166</v>
      </c>
      <c r="L2198" t="s">
        <v>0</v>
      </c>
      <c r="M2198" t="s">
        <v>178</v>
      </c>
      <c r="N2198">
        <v>4</v>
      </c>
      <c r="O2198">
        <v>0</v>
      </c>
      <c r="P2198">
        <v>40</v>
      </c>
      <c r="Q2198">
        <v>124.16</v>
      </c>
      <c r="R2198">
        <v>46.41</v>
      </c>
      <c r="S2198">
        <v>42.54977555</v>
      </c>
      <c r="T2198">
        <v>0</v>
      </c>
      <c r="U2198">
        <v>0</v>
      </c>
      <c r="V2198">
        <v>46.41</v>
      </c>
      <c r="W2198" t="s">
        <v>1601</v>
      </c>
      <c r="X2198" t="s">
        <v>269</v>
      </c>
      <c r="Y2198" t="s">
        <v>4351</v>
      </c>
      <c r="AA2198" t="s">
        <v>4352</v>
      </c>
      <c r="AB2198" t="s">
        <v>181</v>
      </c>
    </row>
    <row r="2199" spans="1:28" x14ac:dyDescent="0.25">
      <c r="A2199" t="s">
        <v>3875</v>
      </c>
      <c r="B2199" t="s">
        <v>3876</v>
      </c>
      <c r="C2199" t="s">
        <v>646</v>
      </c>
      <c r="D2199" t="s">
        <v>3779</v>
      </c>
      <c r="E2199" t="s">
        <v>647</v>
      </c>
      <c r="F2199" t="s">
        <v>3780</v>
      </c>
      <c r="G2199" t="s">
        <v>769</v>
      </c>
      <c r="H2199" t="s">
        <v>708</v>
      </c>
      <c r="I2199" t="s">
        <v>1190</v>
      </c>
      <c r="J2199" t="s">
        <v>1191</v>
      </c>
      <c r="K2199" t="s">
        <v>166</v>
      </c>
      <c r="L2199" t="s">
        <v>0</v>
      </c>
      <c r="M2199" t="s">
        <v>178</v>
      </c>
      <c r="N2199">
        <v>7</v>
      </c>
      <c r="O2199">
        <v>7</v>
      </c>
      <c r="P2199">
        <v>31.94</v>
      </c>
      <c r="Q2199">
        <v>314.45999999999998</v>
      </c>
      <c r="R2199">
        <v>23.28</v>
      </c>
      <c r="S2199">
        <v>187.74</v>
      </c>
      <c r="T2199">
        <v>0</v>
      </c>
      <c r="U2199">
        <v>0</v>
      </c>
      <c r="V2199">
        <v>23.28</v>
      </c>
      <c r="W2199" t="s">
        <v>282</v>
      </c>
      <c r="X2199" t="s">
        <v>271</v>
      </c>
      <c r="Y2199" t="s">
        <v>2170</v>
      </c>
      <c r="AA2199" t="s">
        <v>2171</v>
      </c>
      <c r="AB2199" t="s">
        <v>181</v>
      </c>
    </row>
    <row r="2200" spans="1:28" x14ac:dyDescent="0.25">
      <c r="A2200" t="s">
        <v>3892</v>
      </c>
      <c r="B2200" t="s">
        <v>3893</v>
      </c>
      <c r="C2200" t="s">
        <v>646</v>
      </c>
      <c r="D2200" t="s">
        <v>3779</v>
      </c>
      <c r="E2200" t="s">
        <v>647</v>
      </c>
      <c r="F2200" t="s">
        <v>666</v>
      </c>
      <c r="G2200" t="s">
        <v>666</v>
      </c>
      <c r="H2200" t="s">
        <v>1515</v>
      </c>
      <c r="I2200" t="s">
        <v>2102</v>
      </c>
      <c r="J2200" t="s">
        <v>355</v>
      </c>
      <c r="K2200" t="s">
        <v>166</v>
      </c>
      <c r="L2200" t="s">
        <v>0</v>
      </c>
      <c r="M2200" t="s">
        <v>178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 t="s">
        <v>0</v>
      </c>
      <c r="X2200" t="s">
        <v>271</v>
      </c>
      <c r="Y2200" t="s">
        <v>2103</v>
      </c>
      <c r="AA2200" t="s">
        <v>3894</v>
      </c>
      <c r="AB2200" t="s">
        <v>181</v>
      </c>
    </row>
    <row r="2201" spans="1:28" x14ac:dyDescent="0.25">
      <c r="A2201" t="s">
        <v>3933</v>
      </c>
      <c r="B2201" t="s">
        <v>3934</v>
      </c>
      <c r="C2201" t="s">
        <v>646</v>
      </c>
      <c r="D2201" t="s">
        <v>3779</v>
      </c>
      <c r="E2201" t="s">
        <v>647</v>
      </c>
      <c r="F2201" t="s">
        <v>3780</v>
      </c>
      <c r="G2201" t="s">
        <v>769</v>
      </c>
      <c r="H2201" t="s">
        <v>1515</v>
      </c>
      <c r="I2201" t="s">
        <v>3935</v>
      </c>
      <c r="J2201" t="s">
        <v>1214</v>
      </c>
      <c r="K2201" t="s">
        <v>166</v>
      </c>
      <c r="L2201" t="s">
        <v>0</v>
      </c>
      <c r="M2201" t="s">
        <v>178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 t="s">
        <v>0</v>
      </c>
      <c r="X2201" t="s">
        <v>271</v>
      </c>
      <c r="Y2201" t="s">
        <v>3936</v>
      </c>
      <c r="AA2201" t="s">
        <v>3937</v>
      </c>
      <c r="AB2201" t="s">
        <v>181</v>
      </c>
    </row>
    <row r="2202" spans="1:28" x14ac:dyDescent="0.25">
      <c r="A2202" t="s">
        <v>3917</v>
      </c>
      <c r="B2202" t="s">
        <v>3918</v>
      </c>
      <c r="C2202" t="s">
        <v>646</v>
      </c>
      <c r="D2202" t="s">
        <v>3779</v>
      </c>
      <c r="E2202" t="s">
        <v>647</v>
      </c>
      <c r="F2202" t="s">
        <v>3780</v>
      </c>
      <c r="G2202" t="s">
        <v>769</v>
      </c>
      <c r="H2202" t="s">
        <v>1515</v>
      </c>
      <c r="I2202" t="s">
        <v>1083</v>
      </c>
      <c r="J2202" t="s">
        <v>731</v>
      </c>
      <c r="K2202" t="s">
        <v>166</v>
      </c>
      <c r="L2202" t="s">
        <v>0</v>
      </c>
      <c r="M2202" t="s">
        <v>178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 t="s">
        <v>0</v>
      </c>
      <c r="X2202" t="s">
        <v>271</v>
      </c>
      <c r="Y2202" t="s">
        <v>3919</v>
      </c>
      <c r="AA2202" t="s">
        <v>3920</v>
      </c>
      <c r="AB2202" t="s">
        <v>181</v>
      </c>
    </row>
    <row r="2203" spans="1:28" x14ac:dyDescent="0.25">
      <c r="A2203" t="s">
        <v>3777</v>
      </c>
      <c r="B2203" t="s">
        <v>3778</v>
      </c>
      <c r="C2203" t="s">
        <v>646</v>
      </c>
      <c r="D2203" t="s">
        <v>3779</v>
      </c>
      <c r="E2203" t="s">
        <v>647</v>
      </c>
      <c r="F2203" t="s">
        <v>3780</v>
      </c>
      <c r="G2203" t="s">
        <v>769</v>
      </c>
      <c r="H2203" t="s">
        <v>1515</v>
      </c>
      <c r="I2203" t="s">
        <v>798</v>
      </c>
      <c r="J2203" t="s">
        <v>524</v>
      </c>
      <c r="K2203" t="s">
        <v>166</v>
      </c>
      <c r="L2203" t="s">
        <v>0</v>
      </c>
      <c r="M2203" t="s">
        <v>178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 t="s">
        <v>258</v>
      </c>
      <c r="X2203" t="s">
        <v>271</v>
      </c>
      <c r="Y2203" t="s">
        <v>3781</v>
      </c>
      <c r="AA2203" t="s">
        <v>3782</v>
      </c>
      <c r="AB2203" t="s">
        <v>181</v>
      </c>
    </row>
    <row r="2204" spans="1:28" x14ac:dyDescent="0.25">
      <c r="A2204" t="s">
        <v>4189</v>
      </c>
      <c r="B2204" t="s">
        <v>4190</v>
      </c>
      <c r="C2204" t="s">
        <v>646</v>
      </c>
      <c r="D2204" t="s">
        <v>3779</v>
      </c>
      <c r="E2204" t="s">
        <v>647</v>
      </c>
      <c r="F2204" t="s">
        <v>666</v>
      </c>
      <c r="G2204" t="s">
        <v>666</v>
      </c>
      <c r="H2204" t="s">
        <v>909</v>
      </c>
      <c r="I2204" t="s">
        <v>4191</v>
      </c>
      <c r="J2204" t="s">
        <v>355</v>
      </c>
      <c r="K2204" t="s">
        <v>166</v>
      </c>
      <c r="L2204" t="s">
        <v>0</v>
      </c>
      <c r="M2204" t="s">
        <v>178</v>
      </c>
      <c r="N2204">
        <v>2</v>
      </c>
      <c r="O2204">
        <v>2</v>
      </c>
      <c r="P2204">
        <v>12.76</v>
      </c>
      <c r="Q2204">
        <v>59.52</v>
      </c>
      <c r="R2204">
        <v>20.514378130000001</v>
      </c>
      <c r="S2204">
        <v>20.8644</v>
      </c>
      <c r="T2204">
        <v>5.4378129999999997E-2</v>
      </c>
      <c r="U2204">
        <v>0</v>
      </c>
      <c r="V2204">
        <v>20.46</v>
      </c>
      <c r="W2204" t="s">
        <v>0</v>
      </c>
      <c r="X2204" t="s">
        <v>271</v>
      </c>
      <c r="Y2204" t="s">
        <v>4192</v>
      </c>
      <c r="AA2204" t="s">
        <v>4193</v>
      </c>
      <c r="AB2204" t="s">
        <v>181</v>
      </c>
    </row>
    <row r="2205" spans="1:28" x14ac:dyDescent="0.25">
      <c r="A2205" t="s">
        <v>4022</v>
      </c>
      <c r="B2205" t="s">
        <v>4023</v>
      </c>
      <c r="C2205" t="s">
        <v>646</v>
      </c>
      <c r="D2205" t="s">
        <v>3779</v>
      </c>
      <c r="E2205" t="s">
        <v>647</v>
      </c>
      <c r="F2205" t="s">
        <v>3780</v>
      </c>
      <c r="G2205" t="s">
        <v>769</v>
      </c>
      <c r="H2205" t="s">
        <v>703</v>
      </c>
      <c r="I2205" t="s">
        <v>4024</v>
      </c>
      <c r="J2205" t="s">
        <v>447</v>
      </c>
      <c r="K2205" t="s">
        <v>166</v>
      </c>
      <c r="L2205" t="s">
        <v>0</v>
      </c>
      <c r="M2205" t="s">
        <v>178</v>
      </c>
      <c r="N2205">
        <v>719.00009999999997</v>
      </c>
      <c r="O2205">
        <v>347.50009999999997</v>
      </c>
      <c r="P2205">
        <v>11473.78</v>
      </c>
      <c r="Q2205">
        <v>28395.1</v>
      </c>
      <c r="R2205">
        <v>4861.64333197</v>
      </c>
      <c r="S2205">
        <v>5106.8538195000001</v>
      </c>
      <c r="T2205">
        <v>1.14333197</v>
      </c>
      <c r="U2205">
        <v>0</v>
      </c>
      <c r="V2205">
        <v>4860.5</v>
      </c>
      <c r="W2205" t="s">
        <v>446</v>
      </c>
      <c r="X2205" t="s">
        <v>271</v>
      </c>
      <c r="Y2205" t="s">
        <v>4025</v>
      </c>
      <c r="AA2205" t="s">
        <v>4026</v>
      </c>
      <c r="AB2205" t="s">
        <v>181</v>
      </c>
    </row>
    <row r="2206" spans="1:28" x14ac:dyDescent="0.25">
      <c r="A2206" t="s">
        <v>3797</v>
      </c>
      <c r="B2206" t="s">
        <v>3798</v>
      </c>
      <c r="C2206" t="s">
        <v>646</v>
      </c>
      <c r="D2206" t="s">
        <v>3779</v>
      </c>
      <c r="E2206" t="s">
        <v>647</v>
      </c>
      <c r="F2206" t="s">
        <v>3780</v>
      </c>
      <c r="G2206" t="s">
        <v>769</v>
      </c>
      <c r="H2206" t="s">
        <v>672</v>
      </c>
      <c r="I2206" t="s">
        <v>725</v>
      </c>
      <c r="J2206" t="s">
        <v>726</v>
      </c>
      <c r="K2206" t="s">
        <v>166</v>
      </c>
      <c r="L2206" t="s">
        <v>0</v>
      </c>
      <c r="M2206" t="s">
        <v>178</v>
      </c>
      <c r="N2206">
        <v>952.83330000000001</v>
      </c>
      <c r="O2206">
        <v>142</v>
      </c>
      <c r="P2206">
        <v>24067</v>
      </c>
      <c r="Q2206">
        <v>32798.11</v>
      </c>
      <c r="R2206">
        <v>1760.4026639900001</v>
      </c>
      <c r="S2206">
        <v>2851.7862284900002</v>
      </c>
      <c r="T2206">
        <v>2276.7126639899998</v>
      </c>
      <c r="U2206">
        <v>807.3</v>
      </c>
      <c r="V2206">
        <v>2566.15</v>
      </c>
      <c r="W2206" t="s">
        <v>0</v>
      </c>
      <c r="X2206" t="s">
        <v>271</v>
      </c>
      <c r="Y2206" t="s">
        <v>3799</v>
      </c>
      <c r="AA2206" t="s">
        <v>3800</v>
      </c>
      <c r="AB2206" t="s">
        <v>181</v>
      </c>
    </row>
    <row r="2207" spans="1:28" x14ac:dyDescent="0.25">
      <c r="A2207" t="s">
        <v>3925</v>
      </c>
      <c r="B2207" t="s">
        <v>3926</v>
      </c>
      <c r="C2207" t="s">
        <v>646</v>
      </c>
      <c r="D2207" t="s">
        <v>3779</v>
      </c>
      <c r="E2207" t="s">
        <v>647</v>
      </c>
      <c r="F2207" t="s">
        <v>3780</v>
      </c>
      <c r="G2207" t="s">
        <v>769</v>
      </c>
      <c r="H2207" t="s">
        <v>797</v>
      </c>
      <c r="I2207" t="s">
        <v>2284</v>
      </c>
      <c r="J2207" t="s">
        <v>2285</v>
      </c>
      <c r="K2207" t="s">
        <v>166</v>
      </c>
      <c r="L2207" t="s">
        <v>0</v>
      </c>
      <c r="M2207" t="s">
        <v>178</v>
      </c>
      <c r="N2207">
        <v>98</v>
      </c>
      <c r="O2207">
        <v>56</v>
      </c>
      <c r="P2207">
        <v>1089.01</v>
      </c>
      <c r="Q2207">
        <v>4686.1899999999996</v>
      </c>
      <c r="R2207">
        <v>1683.03951708</v>
      </c>
      <c r="S2207">
        <v>507.38389852</v>
      </c>
      <c r="T2207">
        <v>-4.8292000000000002E-4</v>
      </c>
      <c r="U2207">
        <v>0</v>
      </c>
      <c r="V2207">
        <v>1683.04</v>
      </c>
      <c r="W2207" t="s">
        <v>453</v>
      </c>
      <c r="X2207" t="s">
        <v>271</v>
      </c>
      <c r="Y2207" t="s">
        <v>3927</v>
      </c>
      <c r="AA2207" t="s">
        <v>3928</v>
      </c>
      <c r="AB2207" t="s">
        <v>181</v>
      </c>
    </row>
    <row r="2208" spans="1:28" x14ac:dyDescent="0.25">
      <c r="A2208" t="s">
        <v>4057</v>
      </c>
      <c r="B2208" t="s">
        <v>4058</v>
      </c>
      <c r="C2208" t="s">
        <v>646</v>
      </c>
      <c r="D2208" t="s">
        <v>3779</v>
      </c>
      <c r="E2208" t="s">
        <v>647</v>
      </c>
      <c r="F2208" t="s">
        <v>3780</v>
      </c>
      <c r="G2208" t="s">
        <v>769</v>
      </c>
      <c r="H2208" t="s">
        <v>679</v>
      </c>
      <c r="I2208" t="s">
        <v>1190</v>
      </c>
      <c r="J2208" t="s">
        <v>1191</v>
      </c>
      <c r="K2208" t="s">
        <v>166</v>
      </c>
      <c r="L2208" t="s">
        <v>0</v>
      </c>
      <c r="M2208" t="s">
        <v>178</v>
      </c>
      <c r="N2208">
        <v>1667.6</v>
      </c>
      <c r="O2208">
        <v>354.6</v>
      </c>
      <c r="P2208">
        <v>25607.22</v>
      </c>
      <c r="Q2208">
        <v>73798.14</v>
      </c>
      <c r="R2208">
        <v>4604.4468490500003</v>
      </c>
      <c r="S2208">
        <v>12053.99949787</v>
      </c>
      <c r="T2208">
        <v>766.85684905000005</v>
      </c>
      <c r="U2208">
        <v>871.15</v>
      </c>
      <c r="V2208">
        <v>5674.35</v>
      </c>
      <c r="W2208" t="s">
        <v>282</v>
      </c>
      <c r="X2208" t="s">
        <v>271</v>
      </c>
      <c r="Y2208" t="s">
        <v>4059</v>
      </c>
      <c r="AA2208" t="s">
        <v>2171</v>
      </c>
      <c r="AB2208" t="s">
        <v>181</v>
      </c>
    </row>
    <row r="2209" spans="1:28" x14ac:dyDescent="0.25">
      <c r="A2209" t="s">
        <v>4337</v>
      </c>
      <c r="B2209" t="s">
        <v>4338</v>
      </c>
      <c r="C2209" t="s">
        <v>646</v>
      </c>
      <c r="D2209" t="s">
        <v>3779</v>
      </c>
      <c r="E2209" t="s">
        <v>647</v>
      </c>
      <c r="F2209" t="s">
        <v>3780</v>
      </c>
      <c r="G2209" t="s">
        <v>769</v>
      </c>
      <c r="H2209" t="s">
        <v>1175</v>
      </c>
      <c r="I2209" t="s">
        <v>4339</v>
      </c>
      <c r="J2209" t="s">
        <v>821</v>
      </c>
      <c r="K2209" t="s">
        <v>166</v>
      </c>
      <c r="L2209" t="s">
        <v>0</v>
      </c>
      <c r="M2209" t="s">
        <v>178</v>
      </c>
      <c r="N2209">
        <v>5</v>
      </c>
      <c r="O2209">
        <v>4</v>
      </c>
      <c r="P2209">
        <v>76</v>
      </c>
      <c r="Q2209">
        <v>149.19999999999999</v>
      </c>
      <c r="R2209">
        <v>29.88</v>
      </c>
      <c r="S2209">
        <v>19.84</v>
      </c>
      <c r="T2209">
        <v>0</v>
      </c>
      <c r="U2209">
        <v>0</v>
      </c>
      <c r="V2209">
        <v>29.88</v>
      </c>
      <c r="W2209" t="s">
        <v>822</v>
      </c>
      <c r="X2209" t="s">
        <v>269</v>
      </c>
      <c r="Y2209" t="s">
        <v>4340</v>
      </c>
      <c r="AA2209" t="s">
        <v>4341</v>
      </c>
      <c r="AB2209" t="s">
        <v>181</v>
      </c>
    </row>
    <row r="2210" spans="1:28" x14ac:dyDescent="0.25">
      <c r="A2210" t="s">
        <v>3905</v>
      </c>
      <c r="B2210" t="s">
        <v>3906</v>
      </c>
      <c r="C2210" t="s">
        <v>646</v>
      </c>
      <c r="D2210" t="s">
        <v>3779</v>
      </c>
      <c r="E2210" t="s">
        <v>647</v>
      </c>
      <c r="F2210" t="s">
        <v>3780</v>
      </c>
      <c r="G2210" t="s">
        <v>769</v>
      </c>
      <c r="H2210" t="s">
        <v>761</v>
      </c>
      <c r="I2210" t="s">
        <v>3753</v>
      </c>
      <c r="J2210" t="s">
        <v>489</v>
      </c>
      <c r="K2210" t="s">
        <v>166</v>
      </c>
      <c r="L2210" t="s">
        <v>0</v>
      </c>
      <c r="M2210" t="s">
        <v>178</v>
      </c>
      <c r="N2210">
        <v>70</v>
      </c>
      <c r="O2210">
        <v>46</v>
      </c>
      <c r="P2210">
        <v>1862.83</v>
      </c>
      <c r="Q2210">
        <v>3174.62</v>
      </c>
      <c r="R2210">
        <v>836.11</v>
      </c>
      <c r="S2210">
        <v>412.94173093000001</v>
      </c>
      <c r="T2210">
        <v>0</v>
      </c>
      <c r="U2210">
        <v>0</v>
      </c>
      <c r="V2210">
        <v>836.11</v>
      </c>
      <c r="W2210" t="s">
        <v>488</v>
      </c>
      <c r="X2210" t="s">
        <v>271</v>
      </c>
      <c r="Y2210" t="s">
        <v>3907</v>
      </c>
      <c r="AA2210" t="s">
        <v>3908</v>
      </c>
      <c r="AB2210" t="s">
        <v>181</v>
      </c>
    </row>
    <row r="2211" spans="1:28" x14ac:dyDescent="0.25">
      <c r="A2211" t="s">
        <v>3806</v>
      </c>
      <c r="B2211" t="s">
        <v>3807</v>
      </c>
      <c r="C2211" t="s">
        <v>646</v>
      </c>
      <c r="D2211" t="s">
        <v>3779</v>
      </c>
      <c r="E2211" t="s">
        <v>647</v>
      </c>
      <c r="F2211" t="s">
        <v>3780</v>
      </c>
      <c r="G2211" t="s">
        <v>769</v>
      </c>
      <c r="H2211" t="s">
        <v>1171</v>
      </c>
      <c r="I2211" t="s">
        <v>2071</v>
      </c>
      <c r="J2211" t="s">
        <v>1664</v>
      </c>
      <c r="K2211" t="s">
        <v>166</v>
      </c>
      <c r="L2211" t="s">
        <v>0</v>
      </c>
      <c r="M2211" t="s">
        <v>178</v>
      </c>
      <c r="N2211">
        <v>139</v>
      </c>
      <c r="O2211">
        <v>121</v>
      </c>
      <c r="P2211">
        <v>2454.42</v>
      </c>
      <c r="Q2211">
        <v>30180.17</v>
      </c>
      <c r="R2211">
        <v>2683.9099454699999</v>
      </c>
      <c r="S2211">
        <v>124.96960799</v>
      </c>
      <c r="T2211">
        <v>1.35994547</v>
      </c>
      <c r="U2211">
        <v>0</v>
      </c>
      <c r="V2211">
        <v>2682.55</v>
      </c>
      <c r="W2211" t="s">
        <v>1665</v>
      </c>
      <c r="X2211" t="s">
        <v>271</v>
      </c>
      <c r="Y2211" t="s">
        <v>3808</v>
      </c>
      <c r="AA2211" t="s">
        <v>3809</v>
      </c>
      <c r="AB2211" t="s">
        <v>181</v>
      </c>
    </row>
    <row r="2212" spans="1:28" x14ac:dyDescent="0.25">
      <c r="A2212" t="s">
        <v>4288</v>
      </c>
      <c r="B2212" t="s">
        <v>4289</v>
      </c>
      <c r="C2212" t="s">
        <v>646</v>
      </c>
      <c r="D2212" t="s">
        <v>3779</v>
      </c>
      <c r="E2212" t="s">
        <v>647</v>
      </c>
      <c r="F2212" t="s">
        <v>3780</v>
      </c>
      <c r="G2212" t="s">
        <v>769</v>
      </c>
      <c r="H2212" t="s">
        <v>679</v>
      </c>
      <c r="I2212" t="s">
        <v>1453</v>
      </c>
      <c r="J2212" t="s">
        <v>1454</v>
      </c>
      <c r="K2212" t="s">
        <v>166</v>
      </c>
      <c r="L2212" t="s">
        <v>0</v>
      </c>
      <c r="M2212" t="s">
        <v>178</v>
      </c>
      <c r="N2212">
        <v>44</v>
      </c>
      <c r="O2212">
        <v>34</v>
      </c>
      <c r="P2212">
        <v>318.44</v>
      </c>
      <c r="Q2212">
        <v>1235.79</v>
      </c>
      <c r="R2212">
        <v>67.88017653</v>
      </c>
      <c r="S2212">
        <v>639.16107565000004</v>
      </c>
      <c r="T2212">
        <v>-1.2098234699999999</v>
      </c>
      <c r="U2212">
        <v>0</v>
      </c>
      <c r="V2212">
        <v>69.09</v>
      </c>
      <c r="W2212" t="s">
        <v>1455</v>
      </c>
      <c r="X2212" t="s">
        <v>271</v>
      </c>
      <c r="Y2212" t="s">
        <v>4290</v>
      </c>
      <c r="AA2212" t="s">
        <v>4291</v>
      </c>
      <c r="AB2212" t="s">
        <v>181</v>
      </c>
    </row>
    <row r="2213" spans="1:28" x14ac:dyDescent="0.25">
      <c r="A2213" t="s">
        <v>3892</v>
      </c>
      <c r="B2213" t="s">
        <v>3893</v>
      </c>
      <c r="C2213" t="s">
        <v>646</v>
      </c>
      <c r="D2213" t="s">
        <v>3779</v>
      </c>
      <c r="E2213" t="s">
        <v>647</v>
      </c>
      <c r="F2213" t="s">
        <v>666</v>
      </c>
      <c r="G2213" t="s">
        <v>666</v>
      </c>
      <c r="H2213" t="s">
        <v>703</v>
      </c>
      <c r="I2213" t="s">
        <v>2102</v>
      </c>
      <c r="J2213" t="s">
        <v>355</v>
      </c>
      <c r="K2213" t="s">
        <v>166</v>
      </c>
      <c r="L2213" t="s">
        <v>0</v>
      </c>
      <c r="M2213" t="s">
        <v>178</v>
      </c>
      <c r="N2213">
        <v>348.5</v>
      </c>
      <c r="O2213">
        <v>144.5</v>
      </c>
      <c r="P2213">
        <v>3875.95</v>
      </c>
      <c r="Q2213">
        <v>11369.96</v>
      </c>
      <c r="R2213">
        <v>3368.65482071</v>
      </c>
      <c r="S2213">
        <v>931.72653883999999</v>
      </c>
      <c r="T2213">
        <v>-3.5179290000000002E-2</v>
      </c>
      <c r="U2213">
        <v>0</v>
      </c>
      <c r="V2213">
        <v>3368.69</v>
      </c>
      <c r="W2213" t="s">
        <v>0</v>
      </c>
      <c r="X2213" t="s">
        <v>271</v>
      </c>
      <c r="Y2213" t="s">
        <v>2103</v>
      </c>
      <c r="AA2213" t="s">
        <v>3894</v>
      </c>
      <c r="AB2213" t="s">
        <v>181</v>
      </c>
    </row>
    <row r="2214" spans="1:28" x14ac:dyDescent="0.25">
      <c r="A2214" t="s">
        <v>3870</v>
      </c>
      <c r="B2214" t="s">
        <v>3871</v>
      </c>
      <c r="C2214" t="s">
        <v>646</v>
      </c>
      <c r="D2214" t="s">
        <v>3779</v>
      </c>
      <c r="E2214" t="s">
        <v>647</v>
      </c>
      <c r="F2214" t="s">
        <v>666</v>
      </c>
      <c r="G2214" t="s">
        <v>666</v>
      </c>
      <c r="H2214" t="s">
        <v>717</v>
      </c>
      <c r="I2214" t="s">
        <v>3872</v>
      </c>
      <c r="J2214" t="s">
        <v>355</v>
      </c>
      <c r="K2214" t="s">
        <v>166</v>
      </c>
      <c r="L2214" t="s">
        <v>0</v>
      </c>
      <c r="M2214" t="s">
        <v>178</v>
      </c>
      <c r="N2214">
        <v>189</v>
      </c>
      <c r="O2214">
        <v>25</v>
      </c>
      <c r="P2214">
        <v>2431.1999999999998</v>
      </c>
      <c r="Q2214">
        <v>10086.98</v>
      </c>
      <c r="R2214">
        <v>2617.7399999999998</v>
      </c>
      <c r="S2214">
        <v>65.407892529999998</v>
      </c>
      <c r="T2214">
        <v>0</v>
      </c>
      <c r="U2214">
        <v>0</v>
      </c>
      <c r="V2214">
        <v>2617.7399999999998</v>
      </c>
      <c r="W2214" t="s">
        <v>0</v>
      </c>
      <c r="X2214" t="s">
        <v>271</v>
      </c>
      <c r="Y2214" t="s">
        <v>3873</v>
      </c>
      <c r="AA2214" t="s">
        <v>3874</v>
      </c>
      <c r="AB2214" t="s">
        <v>181</v>
      </c>
    </row>
    <row r="2215" spans="1:28" x14ac:dyDescent="0.25">
      <c r="A2215" t="s">
        <v>4074</v>
      </c>
      <c r="B2215" t="s">
        <v>4075</v>
      </c>
      <c r="C2215" t="s">
        <v>646</v>
      </c>
      <c r="D2215" t="s">
        <v>3779</v>
      </c>
      <c r="E2215" t="s">
        <v>647</v>
      </c>
      <c r="F2215" t="s">
        <v>3780</v>
      </c>
      <c r="G2215" t="s">
        <v>769</v>
      </c>
      <c r="H2215" t="s">
        <v>703</v>
      </c>
      <c r="I2215" t="s">
        <v>1284</v>
      </c>
      <c r="J2215" t="s">
        <v>1285</v>
      </c>
      <c r="K2215" t="s">
        <v>166</v>
      </c>
      <c r="L2215" t="s">
        <v>0</v>
      </c>
      <c r="M2215" t="s">
        <v>178</v>
      </c>
      <c r="N2215">
        <v>330.74990000000003</v>
      </c>
      <c r="O2215">
        <v>53.749899999999997</v>
      </c>
      <c r="P2215">
        <v>8440.08</v>
      </c>
      <c r="Q2215">
        <v>7000.15</v>
      </c>
      <c r="R2215">
        <v>1606.46</v>
      </c>
      <c r="S2215">
        <v>462.56124540000002</v>
      </c>
      <c r="T2215">
        <v>0</v>
      </c>
      <c r="U2215">
        <v>0</v>
      </c>
      <c r="V2215">
        <v>1606.46</v>
      </c>
      <c r="W2215" t="s">
        <v>1286</v>
      </c>
      <c r="X2215" t="s">
        <v>269</v>
      </c>
      <c r="Y2215" t="s">
        <v>4076</v>
      </c>
      <c r="AA2215" t="s">
        <v>4077</v>
      </c>
      <c r="AB2215" t="s">
        <v>181</v>
      </c>
    </row>
    <row r="2216" spans="1:28" x14ac:dyDescent="0.25">
      <c r="A2216" t="s">
        <v>4051</v>
      </c>
      <c r="B2216" t="s">
        <v>4052</v>
      </c>
      <c r="C2216" t="s">
        <v>646</v>
      </c>
      <c r="D2216" t="s">
        <v>3779</v>
      </c>
      <c r="E2216" t="s">
        <v>647</v>
      </c>
      <c r="F2216" t="s">
        <v>3780</v>
      </c>
      <c r="G2216" t="s">
        <v>769</v>
      </c>
      <c r="H2216" t="s">
        <v>679</v>
      </c>
      <c r="I2216" t="s">
        <v>4053</v>
      </c>
      <c r="J2216" t="s">
        <v>4054</v>
      </c>
      <c r="K2216" t="s">
        <v>166</v>
      </c>
      <c r="L2216" t="s">
        <v>0</v>
      </c>
      <c r="M2216" t="s">
        <v>178</v>
      </c>
      <c r="N2216">
        <v>718</v>
      </c>
      <c r="O2216">
        <v>736</v>
      </c>
      <c r="P2216">
        <v>17195.95</v>
      </c>
      <c r="Q2216">
        <v>19122.52</v>
      </c>
      <c r="R2216">
        <v>1756.1996045000001</v>
      </c>
      <c r="S2216">
        <v>2320.97265234</v>
      </c>
      <c r="T2216">
        <v>-18.110395499999999</v>
      </c>
      <c r="U2216">
        <v>245.95</v>
      </c>
      <c r="V2216">
        <v>2020.26</v>
      </c>
      <c r="W2216" t="s">
        <v>2488</v>
      </c>
      <c r="X2216" t="s">
        <v>269</v>
      </c>
      <c r="Y2216" t="s">
        <v>4055</v>
      </c>
      <c r="AA2216" t="s">
        <v>4056</v>
      </c>
      <c r="AB2216" t="s">
        <v>181</v>
      </c>
    </row>
    <row r="2217" spans="1:28" x14ac:dyDescent="0.25">
      <c r="A2217" t="s">
        <v>3814</v>
      </c>
      <c r="B2217" t="s">
        <v>3815</v>
      </c>
      <c r="C2217" t="s">
        <v>646</v>
      </c>
      <c r="D2217" t="s">
        <v>3779</v>
      </c>
      <c r="E2217" t="s">
        <v>647</v>
      </c>
      <c r="F2217" t="s">
        <v>3780</v>
      </c>
      <c r="G2217" t="s">
        <v>769</v>
      </c>
      <c r="H2217" t="s">
        <v>713</v>
      </c>
      <c r="I2217" t="s">
        <v>3816</v>
      </c>
      <c r="J2217" t="s">
        <v>548</v>
      </c>
      <c r="K2217" t="s">
        <v>166</v>
      </c>
      <c r="L2217" t="s">
        <v>0</v>
      </c>
      <c r="M2217" t="s">
        <v>178</v>
      </c>
      <c r="N2217">
        <v>357.5</v>
      </c>
      <c r="O2217">
        <v>84.333299999999994</v>
      </c>
      <c r="P2217">
        <v>10397.99</v>
      </c>
      <c r="Q2217">
        <v>5853.58</v>
      </c>
      <c r="R2217">
        <v>563.97559113</v>
      </c>
      <c r="S2217">
        <v>566.64066747000004</v>
      </c>
      <c r="T2217">
        <v>514.22559113</v>
      </c>
      <c r="U2217">
        <v>1.1399999999999999</v>
      </c>
      <c r="V2217">
        <v>565.1</v>
      </c>
      <c r="W2217" t="s">
        <v>241</v>
      </c>
      <c r="X2217" t="s">
        <v>271</v>
      </c>
      <c r="Y2217" t="s">
        <v>3817</v>
      </c>
      <c r="AA2217" t="s">
        <v>3818</v>
      </c>
      <c r="AB2217" t="s">
        <v>181</v>
      </c>
    </row>
    <row r="2218" spans="1:28" x14ac:dyDescent="0.25">
      <c r="A2218" t="s">
        <v>3857</v>
      </c>
      <c r="B2218" t="s">
        <v>3858</v>
      </c>
      <c r="C2218" t="s">
        <v>646</v>
      </c>
      <c r="D2218" t="s">
        <v>3779</v>
      </c>
      <c r="E2218" t="s">
        <v>647</v>
      </c>
      <c r="F2218" t="s">
        <v>3780</v>
      </c>
      <c r="G2218" t="s">
        <v>769</v>
      </c>
      <c r="H2218" t="s">
        <v>703</v>
      </c>
      <c r="I2218" t="s">
        <v>952</v>
      </c>
      <c r="J2218" t="s">
        <v>434</v>
      </c>
      <c r="K2218" t="s">
        <v>166</v>
      </c>
      <c r="L2218" t="s">
        <v>0</v>
      </c>
      <c r="M2218" t="s">
        <v>178</v>
      </c>
      <c r="N2218">
        <v>113</v>
      </c>
      <c r="O2218">
        <v>75</v>
      </c>
      <c r="P2218">
        <v>2201.6999999999998</v>
      </c>
      <c r="Q2218">
        <v>4274.49</v>
      </c>
      <c r="R2218">
        <v>945.83037657</v>
      </c>
      <c r="S2218">
        <v>787.32768707000002</v>
      </c>
      <c r="T2218">
        <v>3.7657000000000001E-4</v>
      </c>
      <c r="U2218">
        <v>0</v>
      </c>
      <c r="V2218">
        <v>945.83</v>
      </c>
      <c r="W2218" t="s">
        <v>466</v>
      </c>
      <c r="X2218" t="s">
        <v>271</v>
      </c>
      <c r="Y2218" t="s">
        <v>3859</v>
      </c>
      <c r="AA2218" t="s">
        <v>3860</v>
      </c>
      <c r="AB2218" t="s">
        <v>181</v>
      </c>
    </row>
    <row r="2219" spans="1:28" x14ac:dyDescent="0.25">
      <c r="A2219" t="s">
        <v>4113</v>
      </c>
      <c r="B2219" t="s">
        <v>4114</v>
      </c>
      <c r="C2219" t="s">
        <v>646</v>
      </c>
      <c r="D2219" t="s">
        <v>3779</v>
      </c>
      <c r="E2219" t="s">
        <v>647</v>
      </c>
      <c r="F2219" t="s">
        <v>3780</v>
      </c>
      <c r="G2219" t="s">
        <v>769</v>
      </c>
      <c r="H2219" t="s">
        <v>856</v>
      </c>
      <c r="I2219" t="s">
        <v>1913</v>
      </c>
      <c r="J2219" t="s">
        <v>1914</v>
      </c>
      <c r="K2219" t="s">
        <v>166</v>
      </c>
      <c r="L2219" t="s">
        <v>0</v>
      </c>
      <c r="M2219" t="s">
        <v>178</v>
      </c>
      <c r="N2219">
        <v>10</v>
      </c>
      <c r="O2219">
        <v>9</v>
      </c>
      <c r="P2219">
        <v>197.97</v>
      </c>
      <c r="Q2219">
        <v>1941.16</v>
      </c>
      <c r="R2219">
        <v>258.91000000000003</v>
      </c>
      <c r="S2219">
        <v>57.298276000000001</v>
      </c>
      <c r="T2219">
        <v>0</v>
      </c>
      <c r="U2219">
        <v>0</v>
      </c>
      <c r="V2219">
        <v>258.91000000000003</v>
      </c>
      <c r="W2219" t="s">
        <v>1915</v>
      </c>
      <c r="X2219" t="s">
        <v>269</v>
      </c>
      <c r="Y2219" t="s">
        <v>4115</v>
      </c>
      <c r="AA2219" t="s">
        <v>4116</v>
      </c>
      <c r="AB2219" t="s">
        <v>181</v>
      </c>
    </row>
    <row r="2220" spans="1:28" x14ac:dyDescent="0.25">
      <c r="A2220" t="s">
        <v>4127</v>
      </c>
      <c r="B2220" t="s">
        <v>4128</v>
      </c>
      <c r="C2220" t="s">
        <v>646</v>
      </c>
      <c r="D2220" t="s">
        <v>3779</v>
      </c>
      <c r="E2220" t="s">
        <v>647</v>
      </c>
      <c r="F2220" t="s">
        <v>3780</v>
      </c>
      <c r="G2220" t="s">
        <v>769</v>
      </c>
      <c r="H2220" t="s">
        <v>679</v>
      </c>
      <c r="I2220" t="s">
        <v>4129</v>
      </c>
      <c r="J2220" t="s">
        <v>2057</v>
      </c>
      <c r="K2220" t="s">
        <v>166</v>
      </c>
      <c r="L2220" t="s">
        <v>0</v>
      </c>
      <c r="M2220" t="s">
        <v>178</v>
      </c>
      <c r="N2220">
        <v>21</v>
      </c>
      <c r="O2220">
        <v>17</v>
      </c>
      <c r="P2220">
        <v>177.7</v>
      </c>
      <c r="Q2220">
        <v>1322.59</v>
      </c>
      <c r="R2220">
        <v>114.21098565</v>
      </c>
      <c r="S2220">
        <v>538.36145106000004</v>
      </c>
      <c r="T2220">
        <v>1.098565E-2</v>
      </c>
      <c r="U2220">
        <v>0</v>
      </c>
      <c r="V2220">
        <v>114.2</v>
      </c>
      <c r="W2220" t="s">
        <v>2058</v>
      </c>
      <c r="X2220" t="s">
        <v>271</v>
      </c>
      <c r="Y2220" t="s">
        <v>4130</v>
      </c>
      <c r="AA2220" t="s">
        <v>4131</v>
      </c>
      <c r="AB2220" t="s">
        <v>181</v>
      </c>
    </row>
    <row r="2221" spans="1:28" x14ac:dyDescent="0.25">
      <c r="A2221" t="s">
        <v>3981</v>
      </c>
      <c r="B2221" t="s">
        <v>3982</v>
      </c>
      <c r="C2221" t="s">
        <v>646</v>
      </c>
      <c r="D2221" t="s">
        <v>3779</v>
      </c>
      <c r="E2221" t="s">
        <v>647</v>
      </c>
      <c r="F2221" t="s">
        <v>3780</v>
      </c>
      <c r="G2221" t="s">
        <v>769</v>
      </c>
      <c r="H2221" t="s">
        <v>962</v>
      </c>
      <c r="I2221" t="s">
        <v>2384</v>
      </c>
      <c r="J2221" t="s">
        <v>447</v>
      </c>
      <c r="K2221" t="s">
        <v>166</v>
      </c>
      <c r="L2221" t="s">
        <v>0</v>
      </c>
      <c r="M2221" t="s">
        <v>178</v>
      </c>
      <c r="N2221">
        <v>398</v>
      </c>
      <c r="O2221">
        <v>351</v>
      </c>
      <c r="P2221">
        <v>6456.19</v>
      </c>
      <c r="Q2221">
        <v>20149.189999999999</v>
      </c>
      <c r="R2221">
        <v>1091.17221948</v>
      </c>
      <c r="S2221">
        <v>3111.4795777099998</v>
      </c>
      <c r="T2221">
        <v>2.221948E-2</v>
      </c>
      <c r="U2221">
        <v>965.5</v>
      </c>
      <c r="V2221">
        <v>2056.65</v>
      </c>
      <c r="W2221" t="s">
        <v>446</v>
      </c>
      <c r="X2221" t="s">
        <v>271</v>
      </c>
      <c r="Y2221" t="s">
        <v>3983</v>
      </c>
      <c r="AA2221" t="s">
        <v>3984</v>
      </c>
      <c r="AB2221" t="s">
        <v>181</v>
      </c>
    </row>
    <row r="2222" spans="1:28" x14ac:dyDescent="0.25">
      <c r="A2222" t="s">
        <v>4069</v>
      </c>
      <c r="B2222" t="s">
        <v>4070</v>
      </c>
      <c r="C2222" t="s">
        <v>646</v>
      </c>
      <c r="D2222" t="s">
        <v>3779</v>
      </c>
      <c r="E2222" t="s">
        <v>647</v>
      </c>
      <c r="F2222" t="s">
        <v>3780</v>
      </c>
      <c r="G2222" t="s">
        <v>769</v>
      </c>
      <c r="H2222" t="s">
        <v>962</v>
      </c>
      <c r="I2222" t="s">
        <v>4071</v>
      </c>
      <c r="J2222" t="s">
        <v>785</v>
      </c>
      <c r="K2222" t="s">
        <v>166</v>
      </c>
      <c r="L2222" t="s">
        <v>0</v>
      </c>
      <c r="M2222" t="s">
        <v>178</v>
      </c>
      <c r="N2222">
        <v>39</v>
      </c>
      <c r="O2222">
        <v>24</v>
      </c>
      <c r="P2222">
        <v>716.77</v>
      </c>
      <c r="Q2222">
        <v>2621.79</v>
      </c>
      <c r="R2222">
        <v>198.13</v>
      </c>
      <c r="S2222">
        <v>306.00683445999999</v>
      </c>
      <c r="T2222">
        <v>0</v>
      </c>
      <c r="U2222">
        <v>0</v>
      </c>
      <c r="V2222">
        <v>198.13</v>
      </c>
      <c r="W2222" t="s">
        <v>0</v>
      </c>
      <c r="X2222" t="s">
        <v>271</v>
      </c>
      <c r="Y2222" t="s">
        <v>4072</v>
      </c>
      <c r="AA2222" t="s">
        <v>4073</v>
      </c>
      <c r="AB2222" t="s">
        <v>181</v>
      </c>
    </row>
    <row r="2223" spans="1:28" x14ac:dyDescent="0.25">
      <c r="A2223" t="s">
        <v>3842</v>
      </c>
      <c r="B2223" t="s">
        <v>3843</v>
      </c>
      <c r="C2223" t="s">
        <v>646</v>
      </c>
      <c r="D2223" t="s">
        <v>3779</v>
      </c>
      <c r="E2223" t="s">
        <v>647</v>
      </c>
      <c r="F2223" t="s">
        <v>3780</v>
      </c>
      <c r="G2223" t="s">
        <v>769</v>
      </c>
      <c r="H2223" t="s">
        <v>761</v>
      </c>
      <c r="I2223" t="s">
        <v>3844</v>
      </c>
      <c r="J2223" t="s">
        <v>3845</v>
      </c>
      <c r="K2223" t="s">
        <v>166</v>
      </c>
      <c r="L2223" t="s">
        <v>0</v>
      </c>
      <c r="M2223" t="s">
        <v>178</v>
      </c>
      <c r="N2223">
        <v>154</v>
      </c>
      <c r="O2223">
        <v>98</v>
      </c>
      <c r="P2223">
        <v>4898.78</v>
      </c>
      <c r="Q2223">
        <v>5765.1</v>
      </c>
      <c r="R2223">
        <v>992.16505228000005</v>
      </c>
      <c r="S2223">
        <v>994.52858347999995</v>
      </c>
      <c r="T2223">
        <v>2.505228E-2</v>
      </c>
      <c r="U2223">
        <v>0</v>
      </c>
      <c r="V2223">
        <v>992.14</v>
      </c>
      <c r="W2223" t="s">
        <v>3846</v>
      </c>
      <c r="X2223" t="s">
        <v>271</v>
      </c>
      <c r="Y2223" t="s">
        <v>3847</v>
      </c>
      <c r="AA2223" t="s">
        <v>3848</v>
      </c>
      <c r="AB2223" t="s">
        <v>181</v>
      </c>
    </row>
    <row r="2224" spans="1:28" x14ac:dyDescent="0.25">
      <c r="A2224" t="s">
        <v>3913</v>
      </c>
      <c r="B2224" t="s">
        <v>3914</v>
      </c>
      <c r="C2224" t="s">
        <v>646</v>
      </c>
      <c r="D2224" t="s">
        <v>3779</v>
      </c>
      <c r="E2224" t="s">
        <v>647</v>
      </c>
      <c r="F2224" t="s">
        <v>3780</v>
      </c>
      <c r="G2224" t="s">
        <v>769</v>
      </c>
      <c r="H2224" t="s">
        <v>797</v>
      </c>
      <c r="I2224" t="s">
        <v>984</v>
      </c>
      <c r="J2224" t="s">
        <v>985</v>
      </c>
      <c r="K2224" t="s">
        <v>166</v>
      </c>
      <c r="L2224" t="s">
        <v>0</v>
      </c>
      <c r="M2224" t="s">
        <v>178</v>
      </c>
      <c r="N2224">
        <v>86</v>
      </c>
      <c r="O2224">
        <v>52</v>
      </c>
      <c r="P2224">
        <v>907.85</v>
      </c>
      <c r="Q2224">
        <v>3117.34</v>
      </c>
      <c r="R2224">
        <v>588.67578716000003</v>
      </c>
      <c r="S2224">
        <v>386.29245397</v>
      </c>
      <c r="T2224">
        <v>2.578716E-2</v>
      </c>
      <c r="U2224">
        <v>0</v>
      </c>
      <c r="V2224">
        <v>588.65</v>
      </c>
      <c r="W2224" t="s">
        <v>986</v>
      </c>
      <c r="X2224" t="s">
        <v>271</v>
      </c>
      <c r="Y2224" t="s">
        <v>3915</v>
      </c>
      <c r="AA2224" t="s">
        <v>3916</v>
      </c>
      <c r="AB2224" t="s">
        <v>181</v>
      </c>
    </row>
    <row r="2225" spans="1:28" x14ac:dyDescent="0.25">
      <c r="A2225" t="s">
        <v>3965</v>
      </c>
      <c r="B2225" t="s">
        <v>3966</v>
      </c>
      <c r="C2225" t="s">
        <v>646</v>
      </c>
      <c r="D2225" t="s">
        <v>3779</v>
      </c>
      <c r="E2225" t="s">
        <v>647</v>
      </c>
      <c r="F2225" t="s">
        <v>3780</v>
      </c>
      <c r="G2225" t="s">
        <v>769</v>
      </c>
      <c r="H2225" t="s">
        <v>730</v>
      </c>
      <c r="I2225" t="s">
        <v>2339</v>
      </c>
      <c r="J2225" t="s">
        <v>2165</v>
      </c>
      <c r="K2225" t="s">
        <v>166</v>
      </c>
      <c r="L2225" t="s">
        <v>0</v>
      </c>
      <c r="M2225" t="s">
        <v>178</v>
      </c>
      <c r="N2225">
        <v>22</v>
      </c>
      <c r="O2225">
        <v>2</v>
      </c>
      <c r="P2225">
        <v>469.84</v>
      </c>
      <c r="Q2225">
        <v>3873</v>
      </c>
      <c r="R2225">
        <v>374.80482432000002</v>
      </c>
      <c r="S2225">
        <v>27.01831997</v>
      </c>
      <c r="T2225">
        <v>514.88482432000001</v>
      </c>
      <c r="U2225">
        <v>0</v>
      </c>
      <c r="V2225">
        <v>406.71</v>
      </c>
      <c r="W2225" t="s">
        <v>2166</v>
      </c>
      <c r="X2225" t="s">
        <v>271</v>
      </c>
      <c r="Y2225" t="s">
        <v>3967</v>
      </c>
      <c r="AA2225" t="s">
        <v>3968</v>
      </c>
      <c r="AB2225" t="s">
        <v>181</v>
      </c>
    </row>
    <row r="2226" spans="1:28" x14ac:dyDescent="0.25">
      <c r="A2226" t="s">
        <v>3929</v>
      </c>
      <c r="B2226" t="s">
        <v>3930</v>
      </c>
      <c r="C2226" t="s">
        <v>646</v>
      </c>
      <c r="D2226" t="s">
        <v>3779</v>
      </c>
      <c r="E2226" t="s">
        <v>647</v>
      </c>
      <c r="F2226" t="s">
        <v>3780</v>
      </c>
      <c r="G2226" t="s">
        <v>769</v>
      </c>
      <c r="H2226" t="s">
        <v>1045</v>
      </c>
      <c r="I2226" t="s">
        <v>3649</v>
      </c>
      <c r="J2226" t="s">
        <v>1567</v>
      </c>
      <c r="K2226" t="s">
        <v>166</v>
      </c>
      <c r="L2226" t="s">
        <v>0</v>
      </c>
      <c r="M2226" t="s">
        <v>178</v>
      </c>
      <c r="N2226">
        <v>10</v>
      </c>
      <c r="O2226">
        <v>10</v>
      </c>
      <c r="P2226">
        <v>100</v>
      </c>
      <c r="Q2226">
        <v>582.98</v>
      </c>
      <c r="R2226">
        <v>151.91</v>
      </c>
      <c r="S2226">
        <v>56.321593620000002</v>
      </c>
      <c r="T2226">
        <v>0</v>
      </c>
      <c r="U2226">
        <v>0</v>
      </c>
      <c r="V2226">
        <v>151.91</v>
      </c>
      <c r="W2226" t="s">
        <v>556</v>
      </c>
      <c r="X2226" t="s">
        <v>271</v>
      </c>
      <c r="Y2226" t="s">
        <v>3931</v>
      </c>
      <c r="AA2226" t="s">
        <v>3932</v>
      </c>
      <c r="AB2226" t="s">
        <v>181</v>
      </c>
    </row>
    <row r="2227" spans="1:28" x14ac:dyDescent="0.25">
      <c r="A2227" t="s">
        <v>3921</v>
      </c>
      <c r="B2227" t="s">
        <v>3922</v>
      </c>
      <c r="C2227" t="s">
        <v>646</v>
      </c>
      <c r="D2227" t="s">
        <v>3779</v>
      </c>
      <c r="E2227" t="s">
        <v>647</v>
      </c>
      <c r="F2227" t="s">
        <v>666</v>
      </c>
      <c r="G2227" t="s">
        <v>666</v>
      </c>
      <c r="H2227" t="s">
        <v>649</v>
      </c>
      <c r="I2227" t="s">
        <v>902</v>
      </c>
      <c r="J2227" t="s">
        <v>562</v>
      </c>
      <c r="K2227" t="s">
        <v>166</v>
      </c>
      <c r="L2227" t="s">
        <v>0</v>
      </c>
      <c r="M2227" t="s">
        <v>178</v>
      </c>
      <c r="N2227">
        <v>203</v>
      </c>
      <c r="O2227">
        <v>107</v>
      </c>
      <c r="P2227">
        <v>3218.46</v>
      </c>
      <c r="Q2227">
        <v>8320.35</v>
      </c>
      <c r="R2227">
        <v>1309.8800000000001</v>
      </c>
      <c r="S2227">
        <v>855.87606442000003</v>
      </c>
      <c r="T2227">
        <v>0</v>
      </c>
      <c r="U2227">
        <v>0</v>
      </c>
      <c r="V2227">
        <v>1309.8800000000001</v>
      </c>
      <c r="W2227" t="s">
        <v>0</v>
      </c>
      <c r="X2227" t="s">
        <v>271</v>
      </c>
      <c r="Y2227" t="s">
        <v>3923</v>
      </c>
      <c r="AA2227" t="s">
        <v>3924</v>
      </c>
      <c r="AB2227" t="s">
        <v>181</v>
      </c>
    </row>
    <row r="2228" spans="1:28" x14ac:dyDescent="0.25">
      <c r="A2228" t="s">
        <v>4275</v>
      </c>
      <c r="B2228" t="s">
        <v>4276</v>
      </c>
      <c r="C2228" t="s">
        <v>646</v>
      </c>
      <c r="D2228" t="s">
        <v>3779</v>
      </c>
      <c r="E2228" t="s">
        <v>647</v>
      </c>
      <c r="F2228" t="s">
        <v>3780</v>
      </c>
      <c r="G2228" t="s">
        <v>769</v>
      </c>
      <c r="H2228" t="s">
        <v>761</v>
      </c>
      <c r="I2228" t="s">
        <v>4277</v>
      </c>
      <c r="J2228" t="s">
        <v>562</v>
      </c>
      <c r="K2228" t="s">
        <v>166</v>
      </c>
      <c r="L2228" t="s">
        <v>0</v>
      </c>
      <c r="M2228" t="s">
        <v>178</v>
      </c>
      <c r="N2228">
        <v>3</v>
      </c>
      <c r="O2228">
        <v>2</v>
      </c>
      <c r="P2228">
        <v>70</v>
      </c>
      <c r="Q2228">
        <v>130.32</v>
      </c>
      <c r="R2228">
        <v>29.61</v>
      </c>
      <c r="S2228">
        <v>21.326699999999999</v>
      </c>
      <c r="T2228">
        <v>0</v>
      </c>
      <c r="U2228">
        <v>0</v>
      </c>
      <c r="V2228">
        <v>29.61</v>
      </c>
      <c r="W2228" t="s">
        <v>0</v>
      </c>
      <c r="X2228" t="s">
        <v>271</v>
      </c>
      <c r="Y2228" t="s">
        <v>4278</v>
      </c>
      <c r="AA2228" t="s">
        <v>4279</v>
      </c>
      <c r="AB2228" t="s">
        <v>181</v>
      </c>
    </row>
    <row r="2229" spans="1:28" x14ac:dyDescent="0.25">
      <c r="A2229" t="s">
        <v>4057</v>
      </c>
      <c r="B2229" t="s">
        <v>4058</v>
      </c>
      <c r="C2229" t="s">
        <v>646</v>
      </c>
      <c r="D2229" t="s">
        <v>3779</v>
      </c>
      <c r="E2229" t="s">
        <v>647</v>
      </c>
      <c r="F2229" t="s">
        <v>3780</v>
      </c>
      <c r="G2229" t="s">
        <v>769</v>
      </c>
      <c r="H2229" t="s">
        <v>1045</v>
      </c>
      <c r="I2229" t="s">
        <v>1190</v>
      </c>
      <c r="J2229" t="s">
        <v>1191</v>
      </c>
      <c r="K2229" t="s">
        <v>166</v>
      </c>
      <c r="L2229" t="s">
        <v>0</v>
      </c>
      <c r="M2229" t="s">
        <v>178</v>
      </c>
      <c r="N2229">
        <v>6</v>
      </c>
      <c r="O2229">
        <v>5</v>
      </c>
      <c r="P2229">
        <v>66</v>
      </c>
      <c r="Q2229">
        <v>573.55999999999995</v>
      </c>
      <c r="R2229">
        <v>45.81</v>
      </c>
      <c r="S2229">
        <v>101.88354044</v>
      </c>
      <c r="T2229">
        <v>0</v>
      </c>
      <c r="U2229">
        <v>0</v>
      </c>
      <c r="V2229">
        <v>45.81</v>
      </c>
      <c r="W2229" t="s">
        <v>282</v>
      </c>
      <c r="X2229" t="s">
        <v>271</v>
      </c>
      <c r="Y2229" t="s">
        <v>4059</v>
      </c>
      <c r="AA2229" t="s">
        <v>2171</v>
      </c>
      <c r="AB2229" t="s">
        <v>181</v>
      </c>
    </row>
    <row r="2230" spans="1:28" x14ac:dyDescent="0.25">
      <c r="A2230" t="s">
        <v>4333</v>
      </c>
      <c r="B2230" t="s">
        <v>4334</v>
      </c>
      <c r="C2230" t="s">
        <v>646</v>
      </c>
      <c r="D2230" t="s">
        <v>3779</v>
      </c>
      <c r="E2230" t="s">
        <v>647</v>
      </c>
      <c r="F2230" t="s">
        <v>666</v>
      </c>
      <c r="G2230" t="s">
        <v>666</v>
      </c>
      <c r="H2230" t="s">
        <v>1159</v>
      </c>
      <c r="I2230" t="s">
        <v>3649</v>
      </c>
      <c r="J2230" t="s">
        <v>1567</v>
      </c>
      <c r="K2230" t="s">
        <v>166</v>
      </c>
      <c r="L2230" t="s">
        <v>0</v>
      </c>
      <c r="M2230" t="s">
        <v>178</v>
      </c>
      <c r="N2230">
        <v>23</v>
      </c>
      <c r="O2230">
        <v>4</v>
      </c>
      <c r="P2230">
        <v>267.25</v>
      </c>
      <c r="Q2230">
        <v>1430</v>
      </c>
      <c r="R2230">
        <v>143.04</v>
      </c>
      <c r="S2230">
        <v>78.682028459999998</v>
      </c>
      <c r="T2230">
        <v>0</v>
      </c>
      <c r="U2230">
        <v>0</v>
      </c>
      <c r="V2230">
        <v>143.04</v>
      </c>
      <c r="W2230" t="s">
        <v>556</v>
      </c>
      <c r="X2230" t="s">
        <v>271</v>
      </c>
      <c r="Y2230" t="s">
        <v>4335</v>
      </c>
      <c r="AA2230" t="s">
        <v>4336</v>
      </c>
      <c r="AB2230" t="s">
        <v>181</v>
      </c>
    </row>
    <row r="2231" spans="1:28" x14ac:dyDescent="0.25">
      <c r="A2231" t="s">
        <v>4256</v>
      </c>
      <c r="B2231" t="s">
        <v>4257</v>
      </c>
      <c r="C2231" t="s">
        <v>646</v>
      </c>
      <c r="D2231" t="s">
        <v>3779</v>
      </c>
      <c r="E2231" t="s">
        <v>647</v>
      </c>
      <c r="F2231" t="s">
        <v>3780</v>
      </c>
      <c r="G2231" t="s">
        <v>769</v>
      </c>
      <c r="H2231" t="s">
        <v>797</v>
      </c>
      <c r="I2231" t="s">
        <v>2284</v>
      </c>
      <c r="J2231" t="s">
        <v>2285</v>
      </c>
      <c r="K2231" t="s">
        <v>166</v>
      </c>
      <c r="L2231" t="s">
        <v>0</v>
      </c>
      <c r="M2231" t="s">
        <v>178</v>
      </c>
      <c r="N2231">
        <v>18</v>
      </c>
      <c r="O2231">
        <v>18</v>
      </c>
      <c r="P2231">
        <v>216.56</v>
      </c>
      <c r="Q2231">
        <v>1100.1400000000001</v>
      </c>
      <c r="R2231">
        <v>256.06</v>
      </c>
      <c r="S2231">
        <v>55.747844520000001</v>
      </c>
      <c r="T2231">
        <v>0</v>
      </c>
      <c r="U2231">
        <v>0</v>
      </c>
      <c r="V2231">
        <v>256.06</v>
      </c>
      <c r="W2231" t="s">
        <v>453</v>
      </c>
      <c r="X2231" t="s">
        <v>271</v>
      </c>
      <c r="Y2231" t="s">
        <v>4258</v>
      </c>
      <c r="AA2231" t="s">
        <v>4259</v>
      </c>
      <c r="AB2231" t="s">
        <v>181</v>
      </c>
    </row>
    <row r="2232" spans="1:28" x14ac:dyDescent="0.25">
      <c r="A2232" t="s">
        <v>4216</v>
      </c>
      <c r="B2232" t="s">
        <v>4217</v>
      </c>
      <c r="C2232" t="s">
        <v>646</v>
      </c>
      <c r="D2232" t="s">
        <v>3779</v>
      </c>
      <c r="E2232" t="s">
        <v>647</v>
      </c>
      <c r="F2232" t="s">
        <v>666</v>
      </c>
      <c r="G2232" t="s">
        <v>666</v>
      </c>
      <c r="H2232" t="s">
        <v>708</v>
      </c>
      <c r="I2232" t="s">
        <v>1636</v>
      </c>
      <c r="J2232" t="s">
        <v>1637</v>
      </c>
      <c r="K2232" t="s">
        <v>166</v>
      </c>
      <c r="L2232" t="s">
        <v>0</v>
      </c>
      <c r="M2232" t="s">
        <v>178</v>
      </c>
      <c r="N2232">
        <v>6</v>
      </c>
      <c r="O2232">
        <v>2</v>
      </c>
      <c r="P2232">
        <v>29.05</v>
      </c>
      <c r="Q2232">
        <v>117.74</v>
      </c>
      <c r="R2232">
        <v>13.23</v>
      </c>
      <c r="S2232">
        <v>13.821066249999999</v>
      </c>
      <c r="T2232">
        <v>0</v>
      </c>
      <c r="U2232">
        <v>0</v>
      </c>
      <c r="V2232">
        <v>13.23</v>
      </c>
      <c r="W2232" t="s">
        <v>1638</v>
      </c>
      <c r="X2232" t="s">
        <v>271</v>
      </c>
      <c r="Y2232" t="s">
        <v>1639</v>
      </c>
      <c r="AA2232" t="s">
        <v>4218</v>
      </c>
      <c r="AB2232" t="s">
        <v>181</v>
      </c>
    </row>
    <row r="2233" spans="1:28" x14ac:dyDescent="0.25">
      <c r="A2233" t="s">
        <v>4324</v>
      </c>
      <c r="B2233" t="s">
        <v>224</v>
      </c>
      <c r="C2233" t="s">
        <v>646</v>
      </c>
      <c r="D2233" t="s">
        <v>3779</v>
      </c>
      <c r="E2233" t="s">
        <v>647</v>
      </c>
      <c r="F2233" t="s">
        <v>3780</v>
      </c>
      <c r="G2233" t="s">
        <v>769</v>
      </c>
      <c r="H2233" t="s">
        <v>757</v>
      </c>
      <c r="I2233" t="s">
        <v>4164</v>
      </c>
      <c r="J2233" t="s">
        <v>985</v>
      </c>
      <c r="K2233" t="s">
        <v>166</v>
      </c>
      <c r="L2233" t="s">
        <v>0</v>
      </c>
      <c r="M2233" t="s">
        <v>178</v>
      </c>
      <c r="N2233">
        <v>375</v>
      </c>
      <c r="O2233">
        <v>117</v>
      </c>
      <c r="P2233">
        <v>3665.91</v>
      </c>
      <c r="Q2233">
        <v>7437.82</v>
      </c>
      <c r="R2233">
        <v>1311.54</v>
      </c>
      <c r="S2233">
        <v>1156.9006464199999</v>
      </c>
      <c r="T2233">
        <v>10.56</v>
      </c>
      <c r="U2233">
        <v>0</v>
      </c>
      <c r="V2233">
        <v>1300.98</v>
      </c>
      <c r="W2233" t="s">
        <v>986</v>
      </c>
      <c r="X2233" t="s">
        <v>271</v>
      </c>
      <c r="Y2233" t="s">
        <v>4165</v>
      </c>
      <c r="AA2233" t="s">
        <v>4325</v>
      </c>
      <c r="AB2233" t="s">
        <v>181</v>
      </c>
    </row>
    <row r="2234" spans="1:28" x14ac:dyDescent="0.25">
      <c r="A2234" t="s">
        <v>4304</v>
      </c>
      <c r="B2234" t="s">
        <v>4305</v>
      </c>
      <c r="C2234" t="s">
        <v>646</v>
      </c>
      <c r="D2234" t="s">
        <v>3779</v>
      </c>
      <c r="E2234" t="s">
        <v>647</v>
      </c>
      <c r="F2234" t="s">
        <v>648</v>
      </c>
      <c r="G2234" t="s">
        <v>648</v>
      </c>
      <c r="H2234" t="s">
        <v>770</v>
      </c>
      <c r="I2234" t="s">
        <v>4306</v>
      </c>
      <c r="J2234" t="s">
        <v>436</v>
      </c>
      <c r="K2234" t="s">
        <v>166</v>
      </c>
      <c r="L2234" t="s">
        <v>0</v>
      </c>
      <c r="M2234" t="s">
        <v>178</v>
      </c>
      <c r="N2234">
        <v>14</v>
      </c>
      <c r="O2234">
        <v>14</v>
      </c>
      <c r="P2234">
        <v>96</v>
      </c>
      <c r="Q2234">
        <v>254.63</v>
      </c>
      <c r="R2234">
        <v>30.52</v>
      </c>
      <c r="S2234">
        <v>38.243651010000001</v>
      </c>
      <c r="T2234">
        <v>0</v>
      </c>
      <c r="U2234">
        <v>0</v>
      </c>
      <c r="V2234">
        <v>30.52</v>
      </c>
      <c r="W2234" t="s">
        <v>0</v>
      </c>
      <c r="X2234" t="s">
        <v>271</v>
      </c>
      <c r="Y2234" t="s">
        <v>4307</v>
      </c>
      <c r="AA2234" t="s">
        <v>4101</v>
      </c>
      <c r="AB2234" t="s">
        <v>181</v>
      </c>
    </row>
    <row r="2235" spans="1:28" x14ac:dyDescent="0.25">
      <c r="A2235" t="s">
        <v>3921</v>
      </c>
      <c r="B2235" t="s">
        <v>3922</v>
      </c>
      <c r="C2235" t="s">
        <v>646</v>
      </c>
      <c r="D2235" t="s">
        <v>3779</v>
      </c>
      <c r="E2235" t="s">
        <v>647</v>
      </c>
      <c r="F2235" t="s">
        <v>666</v>
      </c>
      <c r="G2235" t="s">
        <v>666</v>
      </c>
      <c r="H2235" t="s">
        <v>1045</v>
      </c>
      <c r="I2235" t="s">
        <v>902</v>
      </c>
      <c r="J2235" t="s">
        <v>562</v>
      </c>
      <c r="K2235" t="s">
        <v>166</v>
      </c>
      <c r="L2235" t="s">
        <v>0</v>
      </c>
      <c r="M2235" t="s">
        <v>178</v>
      </c>
      <c r="N2235">
        <v>14</v>
      </c>
      <c r="O2235">
        <v>14</v>
      </c>
      <c r="P2235">
        <v>154</v>
      </c>
      <c r="Q2235">
        <v>1713.56</v>
      </c>
      <c r="R2235">
        <v>136.46</v>
      </c>
      <c r="S2235">
        <v>108.64</v>
      </c>
      <c r="T2235">
        <v>0</v>
      </c>
      <c r="U2235">
        <v>0</v>
      </c>
      <c r="V2235">
        <v>136.46</v>
      </c>
      <c r="W2235" t="s">
        <v>0</v>
      </c>
      <c r="X2235" t="s">
        <v>271</v>
      </c>
      <c r="Y2235" t="s">
        <v>3923</v>
      </c>
      <c r="AA2235" t="s">
        <v>3924</v>
      </c>
      <c r="AB2235" t="s">
        <v>181</v>
      </c>
    </row>
    <row r="2236" spans="1:28" x14ac:dyDescent="0.25">
      <c r="A2236" t="s">
        <v>4232</v>
      </c>
      <c r="B2236" t="s">
        <v>4233</v>
      </c>
      <c r="C2236" t="s">
        <v>646</v>
      </c>
      <c r="D2236" t="s">
        <v>3779</v>
      </c>
      <c r="E2236" t="s">
        <v>647</v>
      </c>
      <c r="F2236" t="s">
        <v>3780</v>
      </c>
      <c r="G2236" t="s">
        <v>769</v>
      </c>
      <c r="H2236" t="s">
        <v>856</v>
      </c>
      <c r="I2236" t="s">
        <v>1296</v>
      </c>
      <c r="J2236" t="s">
        <v>996</v>
      </c>
      <c r="K2236" t="s">
        <v>166</v>
      </c>
      <c r="L2236" t="s">
        <v>0</v>
      </c>
      <c r="M2236" t="s">
        <v>178</v>
      </c>
      <c r="N2236">
        <v>56</v>
      </c>
      <c r="O2236">
        <v>0</v>
      </c>
      <c r="P2236">
        <v>1764.24</v>
      </c>
      <c r="Q2236">
        <v>4769.22</v>
      </c>
      <c r="R2236">
        <v>535.04999999999995</v>
      </c>
      <c r="S2236">
        <v>42.341760000000001</v>
      </c>
      <c r="T2236">
        <v>0</v>
      </c>
      <c r="U2236">
        <v>0</v>
      </c>
      <c r="V2236">
        <v>535.04999999999995</v>
      </c>
      <c r="W2236" t="s">
        <v>1683</v>
      </c>
      <c r="X2236" t="s">
        <v>271</v>
      </c>
      <c r="Y2236" t="s">
        <v>4234</v>
      </c>
      <c r="AA2236" t="s">
        <v>4235</v>
      </c>
      <c r="AB2236" t="s">
        <v>181</v>
      </c>
    </row>
    <row r="2237" spans="1:28" x14ac:dyDescent="0.25">
      <c r="A2237" t="s">
        <v>4119</v>
      </c>
      <c r="B2237" t="s">
        <v>4120</v>
      </c>
      <c r="C2237" t="s">
        <v>646</v>
      </c>
      <c r="D2237" t="s">
        <v>3779</v>
      </c>
      <c r="E2237" t="s">
        <v>647</v>
      </c>
      <c r="F2237" t="s">
        <v>3780</v>
      </c>
      <c r="G2237" t="s">
        <v>769</v>
      </c>
      <c r="H2237" t="s">
        <v>708</v>
      </c>
      <c r="I2237" t="s">
        <v>1374</v>
      </c>
      <c r="J2237" t="s">
        <v>441</v>
      </c>
      <c r="K2237" t="s">
        <v>166</v>
      </c>
      <c r="L2237" t="s">
        <v>0</v>
      </c>
      <c r="M2237" t="s">
        <v>178</v>
      </c>
      <c r="N2237">
        <v>3.1667000000000001</v>
      </c>
      <c r="O2237">
        <v>1.1667000000000001</v>
      </c>
      <c r="P2237">
        <v>45.77</v>
      </c>
      <c r="Q2237">
        <v>196.69</v>
      </c>
      <c r="R2237">
        <v>5.08</v>
      </c>
      <c r="S2237">
        <v>24.308226779999998</v>
      </c>
      <c r="T2237">
        <v>0</v>
      </c>
      <c r="U2237">
        <v>0</v>
      </c>
      <c r="V2237">
        <v>5.08</v>
      </c>
      <c r="W2237" t="s">
        <v>440</v>
      </c>
      <c r="X2237" t="s">
        <v>271</v>
      </c>
      <c r="Y2237" t="s">
        <v>4121</v>
      </c>
      <c r="AA2237" t="s">
        <v>4122</v>
      </c>
      <c r="AB2237" t="s">
        <v>181</v>
      </c>
    </row>
    <row r="2238" spans="1:28" x14ac:dyDescent="0.25">
      <c r="A2238" t="s">
        <v>4189</v>
      </c>
      <c r="B2238" t="s">
        <v>4190</v>
      </c>
      <c r="C2238" t="s">
        <v>646</v>
      </c>
      <c r="D2238" t="s">
        <v>3779</v>
      </c>
      <c r="E2238" t="s">
        <v>647</v>
      </c>
      <c r="F2238" t="s">
        <v>666</v>
      </c>
      <c r="G2238" t="s">
        <v>666</v>
      </c>
      <c r="H2238" t="s">
        <v>1515</v>
      </c>
      <c r="I2238" t="s">
        <v>4191</v>
      </c>
      <c r="J2238" t="s">
        <v>355</v>
      </c>
      <c r="K2238" t="s">
        <v>166</v>
      </c>
      <c r="L2238" t="s">
        <v>0</v>
      </c>
      <c r="M2238" t="s">
        <v>178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 t="s">
        <v>0</v>
      </c>
      <c r="X2238" t="s">
        <v>271</v>
      </c>
      <c r="Y2238" t="s">
        <v>4192</v>
      </c>
      <c r="AA2238" t="s">
        <v>4193</v>
      </c>
      <c r="AB2238" t="s">
        <v>181</v>
      </c>
    </row>
    <row r="2239" spans="1:28" x14ac:dyDescent="0.25">
      <c r="A2239" t="s">
        <v>3905</v>
      </c>
      <c r="B2239" t="s">
        <v>3906</v>
      </c>
      <c r="C2239" t="s">
        <v>646</v>
      </c>
      <c r="D2239" t="s">
        <v>3779</v>
      </c>
      <c r="E2239" t="s">
        <v>647</v>
      </c>
      <c r="F2239" t="s">
        <v>3780</v>
      </c>
      <c r="G2239" t="s">
        <v>769</v>
      </c>
      <c r="H2239" t="s">
        <v>1515</v>
      </c>
      <c r="I2239" t="s">
        <v>3753</v>
      </c>
      <c r="J2239" t="s">
        <v>489</v>
      </c>
      <c r="K2239" t="s">
        <v>166</v>
      </c>
      <c r="L2239" t="s">
        <v>0</v>
      </c>
      <c r="M2239" t="s">
        <v>178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 t="s">
        <v>488</v>
      </c>
      <c r="X2239" t="s">
        <v>271</v>
      </c>
      <c r="Y2239" t="s">
        <v>3907</v>
      </c>
      <c r="AA2239" t="s">
        <v>3908</v>
      </c>
      <c r="AB2239" t="s">
        <v>181</v>
      </c>
    </row>
    <row r="2240" spans="1:28" x14ac:dyDescent="0.25">
      <c r="A2240" t="s">
        <v>4275</v>
      </c>
      <c r="B2240" t="s">
        <v>4276</v>
      </c>
      <c r="C2240" t="s">
        <v>646</v>
      </c>
      <c r="D2240" t="s">
        <v>3779</v>
      </c>
      <c r="E2240" t="s">
        <v>647</v>
      </c>
      <c r="F2240" t="s">
        <v>3780</v>
      </c>
      <c r="G2240" t="s">
        <v>769</v>
      </c>
      <c r="H2240" t="s">
        <v>1515</v>
      </c>
      <c r="I2240" t="s">
        <v>4277</v>
      </c>
      <c r="J2240" t="s">
        <v>562</v>
      </c>
      <c r="K2240" t="s">
        <v>166</v>
      </c>
      <c r="L2240" t="s">
        <v>0</v>
      </c>
      <c r="M2240" t="s">
        <v>178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 t="s">
        <v>0</v>
      </c>
      <c r="X2240" t="s">
        <v>271</v>
      </c>
      <c r="Y2240" t="s">
        <v>4278</v>
      </c>
      <c r="AA2240" t="s">
        <v>4279</v>
      </c>
      <c r="AB2240" t="s">
        <v>181</v>
      </c>
    </row>
    <row r="2241" spans="1:28" x14ac:dyDescent="0.25">
      <c r="A2241" t="s">
        <v>4189</v>
      </c>
      <c r="B2241" t="s">
        <v>4190</v>
      </c>
      <c r="C2241" t="s">
        <v>646</v>
      </c>
      <c r="D2241" t="s">
        <v>3779</v>
      </c>
      <c r="E2241" t="s">
        <v>647</v>
      </c>
      <c r="F2241" t="s">
        <v>666</v>
      </c>
      <c r="G2241" t="s">
        <v>666</v>
      </c>
      <c r="H2241" t="s">
        <v>802</v>
      </c>
      <c r="I2241" t="s">
        <v>4191</v>
      </c>
      <c r="J2241" t="s">
        <v>355</v>
      </c>
      <c r="K2241" t="s">
        <v>166</v>
      </c>
      <c r="L2241" t="s">
        <v>0</v>
      </c>
      <c r="M2241" t="s">
        <v>178</v>
      </c>
      <c r="N2241">
        <v>15.25</v>
      </c>
      <c r="O2241">
        <v>15.25</v>
      </c>
      <c r="P2241">
        <v>305</v>
      </c>
      <c r="Q2241">
        <v>716.79</v>
      </c>
      <c r="R2241">
        <v>155.08000000000001</v>
      </c>
      <c r="S2241">
        <v>80.461998730000005</v>
      </c>
      <c r="T2241">
        <v>0</v>
      </c>
      <c r="U2241">
        <v>0</v>
      </c>
      <c r="V2241">
        <v>155.08000000000001</v>
      </c>
      <c r="W2241" t="s">
        <v>0</v>
      </c>
      <c r="X2241" t="s">
        <v>271</v>
      </c>
      <c r="Y2241" t="s">
        <v>4192</v>
      </c>
      <c r="AA2241" t="s">
        <v>4193</v>
      </c>
      <c r="AB2241" t="s">
        <v>181</v>
      </c>
    </row>
    <row r="2242" spans="1:28" x14ac:dyDescent="0.25">
      <c r="A2242" t="s">
        <v>4179</v>
      </c>
      <c r="B2242" t="s">
        <v>4180</v>
      </c>
      <c r="C2242" t="s">
        <v>646</v>
      </c>
      <c r="D2242" t="s">
        <v>3779</v>
      </c>
      <c r="E2242" t="s">
        <v>647</v>
      </c>
      <c r="F2242" t="s">
        <v>3780</v>
      </c>
      <c r="G2242" t="s">
        <v>769</v>
      </c>
      <c r="H2242" t="s">
        <v>1159</v>
      </c>
      <c r="I2242" t="s">
        <v>4181</v>
      </c>
      <c r="J2242" t="s">
        <v>816</v>
      </c>
      <c r="K2242" t="s">
        <v>166</v>
      </c>
      <c r="L2242" t="s">
        <v>0</v>
      </c>
      <c r="M2242" t="s">
        <v>178</v>
      </c>
      <c r="N2242">
        <v>2</v>
      </c>
      <c r="O2242">
        <v>0</v>
      </c>
      <c r="P2242">
        <v>20</v>
      </c>
      <c r="Q2242">
        <v>245.62</v>
      </c>
      <c r="R2242">
        <v>45.62</v>
      </c>
      <c r="S2242">
        <v>11.328023249999999</v>
      </c>
      <c r="T2242">
        <v>0</v>
      </c>
      <c r="U2242">
        <v>0</v>
      </c>
      <c r="V2242">
        <v>45.62</v>
      </c>
      <c r="W2242" t="s">
        <v>1490</v>
      </c>
      <c r="X2242" t="s">
        <v>271</v>
      </c>
      <c r="Y2242" t="s">
        <v>4182</v>
      </c>
      <c r="AA2242" t="s">
        <v>4183</v>
      </c>
      <c r="AB2242" t="s">
        <v>181</v>
      </c>
    </row>
    <row r="2243" spans="1:28" x14ac:dyDescent="0.25">
      <c r="A2243" t="s">
        <v>3913</v>
      </c>
      <c r="B2243" t="s">
        <v>3914</v>
      </c>
      <c r="C2243" t="s">
        <v>646</v>
      </c>
      <c r="D2243" t="s">
        <v>3779</v>
      </c>
      <c r="E2243" t="s">
        <v>647</v>
      </c>
      <c r="F2243" t="s">
        <v>3780</v>
      </c>
      <c r="G2243" t="s">
        <v>769</v>
      </c>
      <c r="H2243" t="s">
        <v>703</v>
      </c>
      <c r="I2243" t="s">
        <v>984</v>
      </c>
      <c r="J2243" t="s">
        <v>985</v>
      </c>
      <c r="K2243" t="s">
        <v>166</v>
      </c>
      <c r="L2243" t="s">
        <v>0</v>
      </c>
      <c r="M2243" t="s">
        <v>178</v>
      </c>
      <c r="N2243">
        <v>283.78339999999997</v>
      </c>
      <c r="O2243">
        <v>159.58340000000001</v>
      </c>
      <c r="P2243">
        <v>5378.46</v>
      </c>
      <c r="Q2243">
        <v>10190.02</v>
      </c>
      <c r="R2243">
        <v>2137.7772896000001</v>
      </c>
      <c r="S2243">
        <v>2059.8947053400002</v>
      </c>
      <c r="T2243">
        <v>-7.2710399999999994E-2</v>
      </c>
      <c r="U2243">
        <v>0</v>
      </c>
      <c r="V2243">
        <v>2137.85</v>
      </c>
      <c r="W2243" t="s">
        <v>986</v>
      </c>
      <c r="X2243" t="s">
        <v>271</v>
      </c>
      <c r="Y2243" t="s">
        <v>3915</v>
      </c>
      <c r="AA2243" t="s">
        <v>3916</v>
      </c>
      <c r="AB2243" t="s">
        <v>181</v>
      </c>
    </row>
    <row r="2244" spans="1:28" x14ac:dyDescent="0.25">
      <c r="A2244" t="s">
        <v>3895</v>
      </c>
      <c r="B2244" t="s">
        <v>3896</v>
      </c>
      <c r="C2244" t="s">
        <v>646</v>
      </c>
      <c r="D2244" t="s">
        <v>3779</v>
      </c>
      <c r="E2244" t="s">
        <v>647</v>
      </c>
      <c r="F2244" t="s">
        <v>3780</v>
      </c>
      <c r="G2244" t="s">
        <v>769</v>
      </c>
      <c r="H2244" t="s">
        <v>703</v>
      </c>
      <c r="I2244" t="s">
        <v>3897</v>
      </c>
      <c r="J2244" t="s">
        <v>437</v>
      </c>
      <c r="K2244" t="s">
        <v>166</v>
      </c>
      <c r="L2244" t="s">
        <v>0</v>
      </c>
      <c r="M2244" t="s">
        <v>178</v>
      </c>
      <c r="N2244">
        <v>1637.1241</v>
      </c>
      <c r="O2244">
        <v>1032.7492</v>
      </c>
      <c r="P2244">
        <v>38716.42</v>
      </c>
      <c r="Q2244">
        <v>49174.51</v>
      </c>
      <c r="R2244">
        <v>3348.25</v>
      </c>
      <c r="S2244">
        <v>11127.1046895</v>
      </c>
      <c r="T2244">
        <v>0</v>
      </c>
      <c r="U2244">
        <v>617.52</v>
      </c>
      <c r="V2244">
        <v>3965.77</v>
      </c>
      <c r="W2244" t="s">
        <v>510</v>
      </c>
      <c r="X2244" t="s">
        <v>271</v>
      </c>
      <c r="Y2244" t="s">
        <v>3898</v>
      </c>
      <c r="AA2244" t="s">
        <v>3899</v>
      </c>
      <c r="AB2244" t="s">
        <v>181</v>
      </c>
    </row>
    <row r="2245" spans="1:28" x14ac:dyDescent="0.25">
      <c r="A2245" t="s">
        <v>3973</v>
      </c>
      <c r="B2245" t="s">
        <v>3974</v>
      </c>
      <c r="C2245" t="s">
        <v>646</v>
      </c>
      <c r="D2245" t="s">
        <v>3779</v>
      </c>
      <c r="E2245" t="s">
        <v>647</v>
      </c>
      <c r="F2245" t="s">
        <v>3780</v>
      </c>
      <c r="G2245" t="s">
        <v>769</v>
      </c>
      <c r="H2245" t="s">
        <v>703</v>
      </c>
      <c r="I2245" t="s">
        <v>880</v>
      </c>
      <c r="J2245" t="s">
        <v>881</v>
      </c>
      <c r="K2245" t="s">
        <v>166</v>
      </c>
      <c r="L2245" t="s">
        <v>0</v>
      </c>
      <c r="M2245" t="s">
        <v>178</v>
      </c>
      <c r="N2245">
        <v>444.75</v>
      </c>
      <c r="O2245">
        <v>246.33359999999999</v>
      </c>
      <c r="P2245">
        <v>8968.14</v>
      </c>
      <c r="Q2245">
        <v>15090.67</v>
      </c>
      <c r="R2245">
        <v>1005.01437813</v>
      </c>
      <c r="S2245">
        <v>2936.2318182600002</v>
      </c>
      <c r="T2245">
        <v>178.55437813</v>
      </c>
      <c r="U2245">
        <v>159</v>
      </c>
      <c r="V2245">
        <v>1163.96</v>
      </c>
      <c r="W2245" t="s">
        <v>0</v>
      </c>
      <c r="X2245" t="s">
        <v>271</v>
      </c>
      <c r="Y2245" t="s">
        <v>3975</v>
      </c>
      <c r="AA2245" t="s">
        <v>3976</v>
      </c>
      <c r="AB2245" t="s">
        <v>181</v>
      </c>
    </row>
    <row r="2246" spans="1:28" x14ac:dyDescent="0.25">
      <c r="A2246" t="s">
        <v>4223</v>
      </c>
      <c r="B2246" t="s">
        <v>4224</v>
      </c>
      <c r="C2246" t="s">
        <v>646</v>
      </c>
      <c r="D2246" t="s">
        <v>3779</v>
      </c>
      <c r="E2246" t="s">
        <v>647</v>
      </c>
      <c r="F2246" t="s">
        <v>3780</v>
      </c>
      <c r="G2246" t="s">
        <v>769</v>
      </c>
      <c r="H2246" t="s">
        <v>909</v>
      </c>
      <c r="I2246" t="s">
        <v>4225</v>
      </c>
      <c r="J2246" t="s">
        <v>336</v>
      </c>
      <c r="K2246" t="s">
        <v>166</v>
      </c>
      <c r="L2246" t="s">
        <v>0</v>
      </c>
      <c r="M2246" t="s">
        <v>178</v>
      </c>
      <c r="N2246">
        <v>68</v>
      </c>
      <c r="O2246">
        <v>55</v>
      </c>
      <c r="P2246">
        <v>1869.14</v>
      </c>
      <c r="Q2246">
        <v>2064.5700000000002</v>
      </c>
      <c r="R2246">
        <v>421.95552875999999</v>
      </c>
      <c r="S2246">
        <v>273.76965362999999</v>
      </c>
      <c r="T2246">
        <v>0.30552876000000001</v>
      </c>
      <c r="U2246">
        <v>0</v>
      </c>
      <c r="V2246">
        <v>421.65</v>
      </c>
      <c r="W2246" t="s">
        <v>461</v>
      </c>
      <c r="X2246" t="s">
        <v>271</v>
      </c>
      <c r="Y2246" t="s">
        <v>4226</v>
      </c>
      <c r="AA2246" t="s">
        <v>4227</v>
      </c>
      <c r="AB2246" t="s">
        <v>181</v>
      </c>
    </row>
    <row r="2247" spans="1:28" x14ac:dyDescent="0.25">
      <c r="A2247" t="s">
        <v>4047</v>
      </c>
      <c r="B2247" t="s">
        <v>4048</v>
      </c>
      <c r="C2247" t="s">
        <v>646</v>
      </c>
      <c r="D2247" t="s">
        <v>3779</v>
      </c>
      <c r="E2247" t="s">
        <v>647</v>
      </c>
      <c r="F2247" t="s">
        <v>666</v>
      </c>
      <c r="G2247" t="s">
        <v>666</v>
      </c>
      <c r="H2247" t="s">
        <v>1171</v>
      </c>
      <c r="I2247" t="s">
        <v>2292</v>
      </c>
      <c r="J2247" t="s">
        <v>1847</v>
      </c>
      <c r="K2247" t="s">
        <v>166</v>
      </c>
      <c r="L2247" t="s">
        <v>0</v>
      </c>
      <c r="M2247" t="s">
        <v>178</v>
      </c>
      <c r="N2247">
        <v>14</v>
      </c>
      <c r="O2247">
        <v>0</v>
      </c>
      <c r="P2247">
        <v>1134.2</v>
      </c>
      <c r="Q2247">
        <v>5383.13</v>
      </c>
      <c r="R2247">
        <v>568.54999999999995</v>
      </c>
      <c r="S2247">
        <v>95.547762289999994</v>
      </c>
      <c r="T2247">
        <v>0</v>
      </c>
      <c r="U2247">
        <v>0</v>
      </c>
      <c r="V2247">
        <v>568.54999999999995</v>
      </c>
      <c r="W2247" t="s">
        <v>1848</v>
      </c>
      <c r="X2247" t="s">
        <v>269</v>
      </c>
      <c r="Y2247" t="s">
        <v>4049</v>
      </c>
      <c r="AA2247" t="s">
        <v>4050</v>
      </c>
      <c r="AB2247" t="s">
        <v>181</v>
      </c>
    </row>
    <row r="2248" spans="1:28" x14ac:dyDescent="0.25">
      <c r="A2248" t="s">
        <v>4162</v>
      </c>
      <c r="B2248" t="s">
        <v>4163</v>
      </c>
      <c r="C2248" t="s">
        <v>646</v>
      </c>
      <c r="D2248" t="s">
        <v>3779</v>
      </c>
      <c r="E2248" t="s">
        <v>647</v>
      </c>
      <c r="F2248" t="s">
        <v>3780</v>
      </c>
      <c r="G2248" t="s">
        <v>769</v>
      </c>
      <c r="H2248" t="s">
        <v>909</v>
      </c>
      <c r="I2248" t="s">
        <v>4164</v>
      </c>
      <c r="J2248" t="s">
        <v>985</v>
      </c>
      <c r="K2248" t="s">
        <v>166</v>
      </c>
      <c r="L2248" t="s">
        <v>0</v>
      </c>
      <c r="M2248" t="s">
        <v>178</v>
      </c>
      <c r="N2248">
        <v>55</v>
      </c>
      <c r="O2248">
        <v>55</v>
      </c>
      <c r="P2248">
        <v>1797</v>
      </c>
      <c r="Q2248">
        <v>1278.07</v>
      </c>
      <c r="R2248">
        <v>125.3</v>
      </c>
      <c r="S2248">
        <v>247.59546165</v>
      </c>
      <c r="T2248">
        <v>0</v>
      </c>
      <c r="U2248">
        <v>0</v>
      </c>
      <c r="V2248">
        <v>125.3</v>
      </c>
      <c r="W2248" t="s">
        <v>986</v>
      </c>
      <c r="X2248" t="s">
        <v>271</v>
      </c>
      <c r="Y2248" t="s">
        <v>4165</v>
      </c>
      <c r="AA2248" t="s">
        <v>4166</v>
      </c>
      <c r="AB2248" t="s">
        <v>181</v>
      </c>
    </row>
    <row r="2249" spans="1:28" x14ac:dyDescent="0.25">
      <c r="A2249" t="s">
        <v>3853</v>
      </c>
      <c r="B2249" t="s">
        <v>3854</v>
      </c>
      <c r="C2249" t="s">
        <v>646</v>
      </c>
      <c r="D2249" t="s">
        <v>3779</v>
      </c>
      <c r="E2249" t="s">
        <v>647</v>
      </c>
      <c r="F2249" t="s">
        <v>3780</v>
      </c>
      <c r="G2249" t="s">
        <v>769</v>
      </c>
      <c r="H2249" t="s">
        <v>757</v>
      </c>
      <c r="I2249" t="s">
        <v>746</v>
      </c>
      <c r="J2249" t="s">
        <v>504</v>
      </c>
      <c r="K2249" t="s">
        <v>166</v>
      </c>
      <c r="L2249" t="s">
        <v>0</v>
      </c>
      <c r="M2249" t="s">
        <v>178</v>
      </c>
      <c r="N2249">
        <v>281</v>
      </c>
      <c r="O2249">
        <v>276</v>
      </c>
      <c r="P2249">
        <v>7082.32</v>
      </c>
      <c r="Q2249">
        <v>8199.5300000000007</v>
      </c>
      <c r="R2249">
        <v>235.06</v>
      </c>
      <c r="S2249">
        <v>1864.85045513</v>
      </c>
      <c r="T2249">
        <v>0</v>
      </c>
      <c r="U2249">
        <v>0</v>
      </c>
      <c r="V2249">
        <v>235.06</v>
      </c>
      <c r="W2249" t="s">
        <v>503</v>
      </c>
      <c r="X2249" t="s">
        <v>271</v>
      </c>
      <c r="Y2249" t="s">
        <v>3855</v>
      </c>
      <c r="AA2249" t="s">
        <v>3856</v>
      </c>
      <c r="AB2249" t="s">
        <v>181</v>
      </c>
    </row>
    <row r="2250" spans="1:28" x14ac:dyDescent="0.25">
      <c r="A2250" t="s">
        <v>3814</v>
      </c>
      <c r="B2250" t="s">
        <v>3815</v>
      </c>
      <c r="C2250" t="s">
        <v>646</v>
      </c>
      <c r="D2250" t="s">
        <v>3779</v>
      </c>
      <c r="E2250" t="s">
        <v>647</v>
      </c>
      <c r="F2250" t="s">
        <v>3780</v>
      </c>
      <c r="G2250" t="s">
        <v>769</v>
      </c>
      <c r="H2250" t="s">
        <v>797</v>
      </c>
      <c r="I2250" t="s">
        <v>3816</v>
      </c>
      <c r="J2250" t="s">
        <v>548</v>
      </c>
      <c r="K2250" t="s">
        <v>166</v>
      </c>
      <c r="L2250" t="s">
        <v>0</v>
      </c>
      <c r="M2250" t="s">
        <v>178</v>
      </c>
      <c r="N2250">
        <v>102</v>
      </c>
      <c r="O2250">
        <v>44</v>
      </c>
      <c r="P2250">
        <v>1032</v>
      </c>
      <c r="Q2250">
        <v>3373.26</v>
      </c>
      <c r="R2250">
        <v>91.035655379999994</v>
      </c>
      <c r="S2250">
        <v>334.92510473999999</v>
      </c>
      <c r="T2250">
        <v>6.5655379999999999E-2</v>
      </c>
      <c r="U2250">
        <v>0</v>
      </c>
      <c r="V2250">
        <v>90.97</v>
      </c>
      <c r="W2250" t="s">
        <v>241</v>
      </c>
      <c r="X2250" t="s">
        <v>271</v>
      </c>
      <c r="Y2250" t="s">
        <v>3817</v>
      </c>
      <c r="AA2250" t="s">
        <v>3818</v>
      </c>
      <c r="AB2250" t="s">
        <v>181</v>
      </c>
    </row>
    <row r="2251" spans="1:28" x14ac:dyDescent="0.25">
      <c r="A2251" t="s">
        <v>4057</v>
      </c>
      <c r="B2251" t="s">
        <v>4058</v>
      </c>
      <c r="C2251" t="s">
        <v>646</v>
      </c>
      <c r="D2251" t="s">
        <v>3779</v>
      </c>
      <c r="E2251" t="s">
        <v>647</v>
      </c>
      <c r="F2251" t="s">
        <v>3780</v>
      </c>
      <c r="G2251" t="s">
        <v>769</v>
      </c>
      <c r="H2251" t="s">
        <v>683</v>
      </c>
      <c r="I2251" t="s">
        <v>1190</v>
      </c>
      <c r="J2251" t="s">
        <v>1191</v>
      </c>
      <c r="K2251" t="s">
        <v>166</v>
      </c>
      <c r="L2251" t="s">
        <v>0</v>
      </c>
      <c r="M2251" t="s">
        <v>178</v>
      </c>
      <c r="N2251">
        <v>3817.5001000000002</v>
      </c>
      <c r="O2251">
        <v>79.500100000000003</v>
      </c>
      <c r="P2251">
        <v>59332.6</v>
      </c>
      <c r="Q2251">
        <v>101045.3</v>
      </c>
      <c r="R2251">
        <v>5068.9218316099996</v>
      </c>
      <c r="S2251">
        <v>6984.07711285</v>
      </c>
      <c r="T2251">
        <v>29545.781831609998</v>
      </c>
      <c r="U2251">
        <v>962.18</v>
      </c>
      <c r="V2251">
        <v>6674.64</v>
      </c>
      <c r="W2251" t="s">
        <v>282</v>
      </c>
      <c r="X2251" t="s">
        <v>271</v>
      </c>
      <c r="Y2251" t="s">
        <v>4059</v>
      </c>
      <c r="AA2251" t="s">
        <v>2171</v>
      </c>
      <c r="AB2251" t="s">
        <v>181</v>
      </c>
    </row>
    <row r="2252" spans="1:28" x14ac:dyDescent="0.25">
      <c r="A2252" t="s">
        <v>4184</v>
      </c>
      <c r="B2252" t="s">
        <v>4185</v>
      </c>
      <c r="C2252" t="s">
        <v>646</v>
      </c>
      <c r="D2252" t="s">
        <v>3779</v>
      </c>
      <c r="E2252" t="s">
        <v>647</v>
      </c>
      <c r="F2252" t="s">
        <v>3780</v>
      </c>
      <c r="G2252" t="s">
        <v>769</v>
      </c>
      <c r="H2252" t="s">
        <v>713</v>
      </c>
      <c r="I2252" t="s">
        <v>4186</v>
      </c>
      <c r="J2252" t="s">
        <v>1164</v>
      </c>
      <c r="K2252" t="s">
        <v>166</v>
      </c>
      <c r="L2252" t="s">
        <v>0</v>
      </c>
      <c r="M2252" t="s">
        <v>178</v>
      </c>
      <c r="N2252">
        <v>2633.5835000000002</v>
      </c>
      <c r="O2252">
        <v>51.416800000000002</v>
      </c>
      <c r="P2252">
        <v>71779.59</v>
      </c>
      <c r="Q2252">
        <v>27471.31</v>
      </c>
      <c r="R2252">
        <v>1714.1724809</v>
      </c>
      <c r="S2252">
        <v>1507.2458591899999</v>
      </c>
      <c r="T2252">
        <v>191.5924809</v>
      </c>
      <c r="U2252">
        <v>2904.39</v>
      </c>
      <c r="V2252">
        <v>4618.22</v>
      </c>
      <c r="W2252" t="s">
        <v>1165</v>
      </c>
      <c r="X2252" t="s">
        <v>271</v>
      </c>
      <c r="Y2252" t="s">
        <v>4187</v>
      </c>
      <c r="AA2252" t="s">
        <v>4188</v>
      </c>
      <c r="AB2252" t="s">
        <v>181</v>
      </c>
    </row>
    <row r="2253" spans="1:28" x14ac:dyDescent="0.25">
      <c r="A2253" t="s">
        <v>4357</v>
      </c>
      <c r="B2253" t="s">
        <v>4358</v>
      </c>
      <c r="C2253" t="s">
        <v>646</v>
      </c>
      <c r="D2253" t="s">
        <v>3779</v>
      </c>
      <c r="E2253" t="s">
        <v>647</v>
      </c>
      <c r="F2253" t="s">
        <v>3780</v>
      </c>
      <c r="G2253" t="s">
        <v>769</v>
      </c>
      <c r="H2253" t="s">
        <v>713</v>
      </c>
      <c r="I2253" t="s">
        <v>1599</v>
      </c>
      <c r="J2253" t="s">
        <v>1600</v>
      </c>
      <c r="K2253" t="s">
        <v>166</v>
      </c>
      <c r="L2253" t="s">
        <v>0</v>
      </c>
      <c r="M2253" t="s">
        <v>178</v>
      </c>
      <c r="N2253">
        <v>187.49979999999999</v>
      </c>
      <c r="O2253">
        <v>117.49979999999999</v>
      </c>
      <c r="P2253">
        <v>4275.38</v>
      </c>
      <c r="Q2253">
        <v>2191.0700000000002</v>
      </c>
      <c r="R2253">
        <v>438.50649866999998</v>
      </c>
      <c r="S2253">
        <v>242.25101913</v>
      </c>
      <c r="T2253">
        <v>26.64649867</v>
      </c>
      <c r="U2253">
        <v>0</v>
      </c>
      <c r="V2253">
        <v>423.43</v>
      </c>
      <c r="W2253" t="s">
        <v>1601</v>
      </c>
      <c r="X2253" t="s">
        <v>269</v>
      </c>
      <c r="Y2253" t="s">
        <v>4359</v>
      </c>
      <c r="AA2253" t="s">
        <v>4360</v>
      </c>
      <c r="AB2253" t="s">
        <v>181</v>
      </c>
    </row>
    <row r="2254" spans="1:28" x14ac:dyDescent="0.25">
      <c r="A2254" t="s">
        <v>3956</v>
      </c>
      <c r="B2254" t="s">
        <v>3957</v>
      </c>
      <c r="C2254" t="s">
        <v>646</v>
      </c>
      <c r="D2254" t="s">
        <v>3779</v>
      </c>
      <c r="E2254" t="s">
        <v>647</v>
      </c>
      <c r="F2254" t="s">
        <v>666</v>
      </c>
      <c r="G2254" t="s">
        <v>666</v>
      </c>
      <c r="H2254" t="s">
        <v>770</v>
      </c>
      <c r="I2254" t="s">
        <v>1068</v>
      </c>
      <c r="J2254" t="s">
        <v>501</v>
      </c>
      <c r="K2254" t="s">
        <v>166</v>
      </c>
      <c r="L2254" t="s">
        <v>0</v>
      </c>
      <c r="M2254" t="s">
        <v>178</v>
      </c>
      <c r="N2254">
        <v>67</v>
      </c>
      <c r="O2254">
        <v>12</v>
      </c>
      <c r="P2254">
        <v>1567</v>
      </c>
      <c r="Q2254">
        <v>1439.42</v>
      </c>
      <c r="R2254">
        <v>264.22000000000003</v>
      </c>
      <c r="S2254">
        <v>204.15049296000001</v>
      </c>
      <c r="T2254">
        <v>0</v>
      </c>
      <c r="U2254">
        <v>0</v>
      </c>
      <c r="V2254">
        <v>264.22000000000003</v>
      </c>
      <c r="W2254" t="s">
        <v>500</v>
      </c>
      <c r="X2254" t="s">
        <v>271</v>
      </c>
      <c r="Y2254" t="s">
        <v>3958</v>
      </c>
      <c r="AA2254" t="s">
        <v>3959</v>
      </c>
      <c r="AB2254" t="s">
        <v>181</v>
      </c>
    </row>
    <row r="2255" spans="1:28" x14ac:dyDescent="0.25">
      <c r="A2255" t="s">
        <v>3870</v>
      </c>
      <c r="B2255" t="s">
        <v>3871</v>
      </c>
      <c r="C2255" t="s">
        <v>646</v>
      </c>
      <c r="D2255" t="s">
        <v>3779</v>
      </c>
      <c r="E2255" t="s">
        <v>647</v>
      </c>
      <c r="F2255" t="s">
        <v>666</v>
      </c>
      <c r="G2255" t="s">
        <v>666</v>
      </c>
      <c r="H2255" t="s">
        <v>683</v>
      </c>
      <c r="I2255" t="s">
        <v>3872</v>
      </c>
      <c r="J2255" t="s">
        <v>355</v>
      </c>
      <c r="K2255" t="s">
        <v>166</v>
      </c>
      <c r="L2255" t="s">
        <v>0</v>
      </c>
      <c r="M2255" t="s">
        <v>178</v>
      </c>
      <c r="N2255">
        <v>180.25</v>
      </c>
      <c r="O2255">
        <v>17.25</v>
      </c>
      <c r="P2255">
        <v>1722.96</v>
      </c>
      <c r="Q2255">
        <v>7845.39</v>
      </c>
      <c r="R2255">
        <v>2223.29</v>
      </c>
      <c r="S2255">
        <v>734.81826211999999</v>
      </c>
      <c r="T2255">
        <v>0</v>
      </c>
      <c r="U2255">
        <v>0</v>
      </c>
      <c r="V2255">
        <v>2223.29</v>
      </c>
      <c r="W2255" t="s">
        <v>0</v>
      </c>
      <c r="X2255" t="s">
        <v>271</v>
      </c>
      <c r="Y2255" t="s">
        <v>3873</v>
      </c>
      <c r="AA2255" t="s">
        <v>3874</v>
      </c>
      <c r="AB2255" t="s">
        <v>181</v>
      </c>
    </row>
    <row r="2256" spans="1:28" x14ac:dyDescent="0.25">
      <c r="A2256" t="s">
        <v>3819</v>
      </c>
      <c r="B2256" t="s">
        <v>3820</v>
      </c>
      <c r="C2256" t="s">
        <v>646</v>
      </c>
      <c r="D2256" t="s">
        <v>3779</v>
      </c>
      <c r="E2256" t="s">
        <v>647</v>
      </c>
      <c r="F2256" t="s">
        <v>3780</v>
      </c>
      <c r="G2256" t="s">
        <v>769</v>
      </c>
      <c r="H2256" t="s">
        <v>909</v>
      </c>
      <c r="I2256" t="s">
        <v>798</v>
      </c>
      <c r="J2256" t="s">
        <v>524</v>
      </c>
      <c r="K2256" t="s">
        <v>166</v>
      </c>
      <c r="L2256" t="s">
        <v>0</v>
      </c>
      <c r="M2256" t="s">
        <v>178</v>
      </c>
      <c r="N2256">
        <v>856</v>
      </c>
      <c r="O2256">
        <v>851</v>
      </c>
      <c r="P2256">
        <v>27204.91</v>
      </c>
      <c r="Q2256">
        <v>28883.86</v>
      </c>
      <c r="R2256">
        <v>3770.9067725</v>
      </c>
      <c r="S2256">
        <v>6779.1200441299998</v>
      </c>
      <c r="T2256">
        <v>0.19677249999999999</v>
      </c>
      <c r="U2256">
        <v>0</v>
      </c>
      <c r="V2256">
        <v>3770.71</v>
      </c>
      <c r="W2256" t="s">
        <v>258</v>
      </c>
      <c r="X2256" t="s">
        <v>271</v>
      </c>
      <c r="Y2256" t="s">
        <v>3821</v>
      </c>
      <c r="AA2256" t="s">
        <v>3822</v>
      </c>
      <c r="AB2256" t="s">
        <v>181</v>
      </c>
    </row>
    <row r="2257" spans="1:28" x14ac:dyDescent="0.25">
      <c r="A2257" t="s">
        <v>4201</v>
      </c>
      <c r="B2257" t="s">
        <v>4202</v>
      </c>
      <c r="C2257" t="s">
        <v>646</v>
      </c>
      <c r="D2257" t="s">
        <v>3779</v>
      </c>
      <c r="E2257" t="s">
        <v>647</v>
      </c>
      <c r="F2257" t="s">
        <v>3780</v>
      </c>
      <c r="G2257" t="s">
        <v>769</v>
      </c>
      <c r="H2257" t="s">
        <v>1171</v>
      </c>
      <c r="I2257" t="s">
        <v>4203</v>
      </c>
      <c r="J2257" t="s">
        <v>688</v>
      </c>
      <c r="K2257" t="s">
        <v>166</v>
      </c>
      <c r="L2257" t="s">
        <v>0</v>
      </c>
      <c r="M2257" t="s">
        <v>178</v>
      </c>
      <c r="N2257">
        <v>23</v>
      </c>
      <c r="O2257">
        <v>12</v>
      </c>
      <c r="P2257">
        <v>492.7</v>
      </c>
      <c r="Q2257">
        <v>1912.33</v>
      </c>
      <c r="R2257">
        <v>177.97951707999999</v>
      </c>
      <c r="S2257">
        <v>189.09312510000001</v>
      </c>
      <c r="T2257">
        <v>-4.8292000000000002E-4</v>
      </c>
      <c r="U2257">
        <v>0</v>
      </c>
      <c r="V2257">
        <v>177.98</v>
      </c>
      <c r="W2257" t="s">
        <v>0</v>
      </c>
      <c r="X2257" t="s">
        <v>271</v>
      </c>
      <c r="Y2257" t="s">
        <v>4204</v>
      </c>
      <c r="AA2257" t="s">
        <v>4205</v>
      </c>
      <c r="AB2257" t="s">
        <v>181</v>
      </c>
    </row>
    <row r="2258" spans="1:28" x14ac:dyDescent="0.25">
      <c r="A2258" t="s">
        <v>4047</v>
      </c>
      <c r="B2258" t="s">
        <v>4048</v>
      </c>
      <c r="C2258" t="s">
        <v>646</v>
      </c>
      <c r="D2258" t="s">
        <v>3779</v>
      </c>
      <c r="E2258" t="s">
        <v>647</v>
      </c>
      <c r="F2258" t="s">
        <v>666</v>
      </c>
      <c r="G2258" t="s">
        <v>666</v>
      </c>
      <c r="H2258" t="s">
        <v>1045</v>
      </c>
      <c r="I2258" t="s">
        <v>2292</v>
      </c>
      <c r="J2258" t="s">
        <v>1847</v>
      </c>
      <c r="K2258" t="s">
        <v>166</v>
      </c>
      <c r="L2258" t="s">
        <v>0</v>
      </c>
      <c r="M2258" t="s">
        <v>178</v>
      </c>
      <c r="N2258">
        <v>97.5</v>
      </c>
      <c r="O2258">
        <v>39.5</v>
      </c>
      <c r="P2258">
        <v>1111.5999999999999</v>
      </c>
      <c r="Q2258">
        <v>8704.69</v>
      </c>
      <c r="R2258">
        <v>1139.8</v>
      </c>
      <c r="S2258">
        <v>364.47562046000002</v>
      </c>
      <c r="T2258">
        <v>0</v>
      </c>
      <c r="U2258">
        <v>0</v>
      </c>
      <c r="V2258">
        <v>1139.8</v>
      </c>
      <c r="W2258" t="s">
        <v>1848</v>
      </c>
      <c r="X2258" t="s">
        <v>269</v>
      </c>
      <c r="Y2258" t="s">
        <v>4049</v>
      </c>
      <c r="AA2258" t="s">
        <v>4050</v>
      </c>
      <c r="AB2258" t="s">
        <v>181</v>
      </c>
    </row>
    <row r="2259" spans="1:28" x14ac:dyDescent="0.25">
      <c r="A2259" t="s">
        <v>4127</v>
      </c>
      <c r="B2259" t="s">
        <v>4128</v>
      </c>
      <c r="C2259" t="s">
        <v>646</v>
      </c>
      <c r="D2259" t="s">
        <v>3779</v>
      </c>
      <c r="E2259" t="s">
        <v>647</v>
      </c>
      <c r="F2259" t="s">
        <v>3780</v>
      </c>
      <c r="G2259" t="s">
        <v>769</v>
      </c>
      <c r="H2259" t="s">
        <v>962</v>
      </c>
      <c r="I2259" t="s">
        <v>4129</v>
      </c>
      <c r="J2259" t="s">
        <v>2057</v>
      </c>
      <c r="K2259" t="s">
        <v>166</v>
      </c>
      <c r="L2259" t="s">
        <v>0</v>
      </c>
      <c r="M2259" t="s">
        <v>178</v>
      </c>
      <c r="N2259">
        <v>77</v>
      </c>
      <c r="O2259">
        <v>4</v>
      </c>
      <c r="P2259">
        <v>1100.55</v>
      </c>
      <c r="Q2259">
        <v>5519.03</v>
      </c>
      <c r="R2259">
        <v>1153.25</v>
      </c>
      <c r="S2259">
        <v>176.50517259</v>
      </c>
      <c r="T2259">
        <v>0</v>
      </c>
      <c r="U2259">
        <v>0</v>
      </c>
      <c r="V2259">
        <v>1153.25</v>
      </c>
      <c r="W2259" t="s">
        <v>2058</v>
      </c>
      <c r="X2259" t="s">
        <v>271</v>
      </c>
      <c r="Y2259" t="s">
        <v>4130</v>
      </c>
      <c r="AA2259" t="s">
        <v>4131</v>
      </c>
      <c r="AB2259" t="s">
        <v>181</v>
      </c>
    </row>
    <row r="2260" spans="1:28" x14ac:dyDescent="0.25">
      <c r="A2260" t="s">
        <v>4151</v>
      </c>
      <c r="B2260" t="s">
        <v>4152</v>
      </c>
      <c r="C2260" t="s">
        <v>646</v>
      </c>
      <c r="D2260" t="s">
        <v>3779</v>
      </c>
      <c r="E2260" t="s">
        <v>647</v>
      </c>
      <c r="F2260" t="s">
        <v>666</v>
      </c>
      <c r="G2260" t="s">
        <v>666</v>
      </c>
      <c r="H2260" t="s">
        <v>717</v>
      </c>
      <c r="I2260" t="s">
        <v>765</v>
      </c>
      <c r="J2260" t="s">
        <v>436</v>
      </c>
      <c r="K2260" t="s">
        <v>166</v>
      </c>
      <c r="L2260" t="s">
        <v>0</v>
      </c>
      <c r="M2260" t="s">
        <v>178</v>
      </c>
      <c r="N2260">
        <v>52</v>
      </c>
      <c r="O2260">
        <v>24</v>
      </c>
      <c r="P2260">
        <v>396</v>
      </c>
      <c r="Q2260">
        <v>1802.75</v>
      </c>
      <c r="R2260">
        <v>174.92</v>
      </c>
      <c r="S2260">
        <v>53.223137909999998</v>
      </c>
      <c r="T2260">
        <v>0</v>
      </c>
      <c r="U2260">
        <v>0</v>
      </c>
      <c r="V2260">
        <v>174.92</v>
      </c>
      <c r="W2260" t="s">
        <v>0</v>
      </c>
      <c r="X2260" t="s">
        <v>271</v>
      </c>
      <c r="Y2260" t="s">
        <v>4153</v>
      </c>
      <c r="AA2260" t="s">
        <v>4154</v>
      </c>
      <c r="AB2260" t="s">
        <v>181</v>
      </c>
    </row>
    <row r="2261" spans="1:28" x14ac:dyDescent="0.25">
      <c r="A2261" t="s">
        <v>4069</v>
      </c>
      <c r="B2261" t="s">
        <v>4070</v>
      </c>
      <c r="C2261" t="s">
        <v>646</v>
      </c>
      <c r="D2261" t="s">
        <v>3779</v>
      </c>
      <c r="E2261" t="s">
        <v>647</v>
      </c>
      <c r="F2261" t="s">
        <v>3780</v>
      </c>
      <c r="G2261" t="s">
        <v>769</v>
      </c>
      <c r="H2261" t="s">
        <v>713</v>
      </c>
      <c r="I2261" t="s">
        <v>4071</v>
      </c>
      <c r="J2261" t="s">
        <v>785</v>
      </c>
      <c r="K2261" t="s">
        <v>166</v>
      </c>
      <c r="L2261" t="s">
        <v>0</v>
      </c>
      <c r="M2261" t="s">
        <v>178</v>
      </c>
      <c r="N2261">
        <v>1370.3333</v>
      </c>
      <c r="O2261">
        <v>1274</v>
      </c>
      <c r="P2261">
        <v>37010.39</v>
      </c>
      <c r="Q2261">
        <v>5996.79</v>
      </c>
      <c r="R2261">
        <v>771.32668192000006</v>
      </c>
      <c r="S2261">
        <v>1382.39826019</v>
      </c>
      <c r="T2261">
        <v>6.68192E-3</v>
      </c>
      <c r="U2261">
        <v>0</v>
      </c>
      <c r="V2261">
        <v>771.32</v>
      </c>
      <c r="W2261" t="s">
        <v>0</v>
      </c>
      <c r="X2261" t="s">
        <v>271</v>
      </c>
      <c r="Y2261" t="s">
        <v>4072</v>
      </c>
      <c r="AA2261" t="s">
        <v>4073</v>
      </c>
      <c r="AB2261" t="s">
        <v>181</v>
      </c>
    </row>
    <row r="2262" spans="1:28" x14ac:dyDescent="0.25">
      <c r="A2262" t="s">
        <v>4228</v>
      </c>
      <c r="B2262" t="s">
        <v>4229</v>
      </c>
      <c r="C2262" t="s">
        <v>646</v>
      </c>
      <c r="D2262" t="s">
        <v>3779</v>
      </c>
      <c r="E2262" t="s">
        <v>647</v>
      </c>
      <c r="F2262" t="s">
        <v>3780</v>
      </c>
      <c r="G2262" t="s">
        <v>769</v>
      </c>
      <c r="H2262" t="s">
        <v>1175</v>
      </c>
      <c r="I2262" t="s">
        <v>1971</v>
      </c>
      <c r="J2262" t="s">
        <v>1972</v>
      </c>
      <c r="K2262" t="s">
        <v>166</v>
      </c>
      <c r="L2262" t="s">
        <v>0</v>
      </c>
      <c r="M2262" t="s">
        <v>178</v>
      </c>
      <c r="N2262">
        <v>24</v>
      </c>
      <c r="O2262">
        <v>22</v>
      </c>
      <c r="P2262">
        <v>332</v>
      </c>
      <c r="Q2262">
        <v>612.69000000000005</v>
      </c>
      <c r="R2262">
        <v>105.71</v>
      </c>
      <c r="S2262">
        <v>93.261124339999995</v>
      </c>
      <c r="T2262">
        <v>0</v>
      </c>
      <c r="U2262">
        <v>0</v>
      </c>
      <c r="V2262">
        <v>105.71</v>
      </c>
      <c r="W2262" t="s">
        <v>1973</v>
      </c>
      <c r="X2262" t="s">
        <v>271</v>
      </c>
      <c r="Y2262" t="s">
        <v>4230</v>
      </c>
      <c r="AA2262" t="s">
        <v>4231</v>
      </c>
      <c r="AB2262" t="s">
        <v>181</v>
      </c>
    </row>
    <row r="2263" spans="1:28" x14ac:dyDescent="0.25">
      <c r="A2263" t="s">
        <v>4342</v>
      </c>
      <c r="B2263" t="s">
        <v>4343</v>
      </c>
      <c r="C2263" t="s">
        <v>646</v>
      </c>
      <c r="D2263" t="s">
        <v>3779</v>
      </c>
      <c r="E2263" t="s">
        <v>647</v>
      </c>
      <c r="F2263" t="s">
        <v>666</v>
      </c>
      <c r="G2263" t="s">
        <v>666</v>
      </c>
      <c r="H2263" t="s">
        <v>1045</v>
      </c>
      <c r="I2263" t="s">
        <v>4344</v>
      </c>
      <c r="J2263" t="s">
        <v>355</v>
      </c>
      <c r="K2263" t="s">
        <v>166</v>
      </c>
      <c r="L2263" t="s">
        <v>0</v>
      </c>
      <c r="M2263" t="s">
        <v>178</v>
      </c>
      <c r="N2263">
        <v>4</v>
      </c>
      <c r="O2263">
        <v>4</v>
      </c>
      <c r="P2263">
        <v>40</v>
      </c>
      <c r="Q2263">
        <v>142.52000000000001</v>
      </c>
      <c r="R2263">
        <v>27.92</v>
      </c>
      <c r="S2263">
        <v>24.316189940000001</v>
      </c>
      <c r="T2263">
        <v>0</v>
      </c>
      <c r="U2263">
        <v>0</v>
      </c>
      <c r="V2263">
        <v>27.92</v>
      </c>
      <c r="W2263" t="s">
        <v>0</v>
      </c>
      <c r="X2263" t="s">
        <v>271</v>
      </c>
      <c r="Y2263" t="s">
        <v>4345</v>
      </c>
      <c r="AA2263" t="s">
        <v>3894</v>
      </c>
      <c r="AB2263" t="s">
        <v>181</v>
      </c>
    </row>
    <row r="2264" spans="1:28" x14ac:dyDescent="0.25">
      <c r="A2264" t="s">
        <v>4015</v>
      </c>
      <c r="B2264" t="s">
        <v>4016</v>
      </c>
      <c r="C2264" t="s">
        <v>646</v>
      </c>
      <c r="D2264" t="s">
        <v>3779</v>
      </c>
      <c r="E2264" t="s">
        <v>647</v>
      </c>
      <c r="F2264" t="s">
        <v>3780</v>
      </c>
      <c r="G2264" t="s">
        <v>769</v>
      </c>
      <c r="H2264" t="s">
        <v>649</v>
      </c>
      <c r="I2264" t="s">
        <v>4017</v>
      </c>
      <c r="J2264" t="s">
        <v>4018</v>
      </c>
      <c r="K2264" t="s">
        <v>166</v>
      </c>
      <c r="L2264" t="s">
        <v>0</v>
      </c>
      <c r="M2264" t="s">
        <v>178</v>
      </c>
      <c r="N2264">
        <v>67</v>
      </c>
      <c r="O2264">
        <v>40</v>
      </c>
      <c r="P2264">
        <v>1350.07</v>
      </c>
      <c r="Q2264">
        <v>2918.26</v>
      </c>
      <c r="R2264">
        <v>241.01</v>
      </c>
      <c r="S2264">
        <v>329.49757946</v>
      </c>
      <c r="T2264">
        <v>0</v>
      </c>
      <c r="U2264">
        <v>0</v>
      </c>
      <c r="V2264">
        <v>241.01</v>
      </c>
      <c r="W2264" t="s">
        <v>4019</v>
      </c>
      <c r="X2264" t="s">
        <v>271</v>
      </c>
      <c r="Y2264" t="s">
        <v>4020</v>
      </c>
      <c r="AA2264" t="s">
        <v>4021</v>
      </c>
      <c r="AB2264" t="s">
        <v>181</v>
      </c>
    </row>
    <row r="2265" spans="1:28" x14ac:dyDescent="0.25">
      <c r="A2265" t="s">
        <v>3952</v>
      </c>
      <c r="B2265" t="s">
        <v>3953</v>
      </c>
      <c r="C2265" t="s">
        <v>646</v>
      </c>
      <c r="D2265" t="s">
        <v>3779</v>
      </c>
      <c r="E2265" t="s">
        <v>647</v>
      </c>
      <c r="F2265" t="s">
        <v>666</v>
      </c>
      <c r="G2265" t="s">
        <v>666</v>
      </c>
      <c r="H2265" t="s">
        <v>730</v>
      </c>
      <c r="I2265" t="s">
        <v>2032</v>
      </c>
      <c r="J2265" t="s">
        <v>311</v>
      </c>
      <c r="K2265" t="s">
        <v>166</v>
      </c>
      <c r="L2265" t="s">
        <v>0</v>
      </c>
      <c r="M2265" t="s">
        <v>178</v>
      </c>
      <c r="N2265">
        <v>17</v>
      </c>
      <c r="O2265">
        <v>17</v>
      </c>
      <c r="P2265">
        <v>642.4</v>
      </c>
      <c r="Q2265">
        <v>453.29</v>
      </c>
      <c r="R2265">
        <v>13.9</v>
      </c>
      <c r="S2265">
        <v>74.858298520000005</v>
      </c>
      <c r="T2265">
        <v>0</v>
      </c>
      <c r="U2265">
        <v>24.14</v>
      </c>
      <c r="V2265">
        <v>38.04</v>
      </c>
      <c r="W2265" t="s">
        <v>312</v>
      </c>
      <c r="X2265" t="s">
        <v>271</v>
      </c>
      <c r="Y2265" t="s">
        <v>3954</v>
      </c>
      <c r="AA2265" t="s">
        <v>3955</v>
      </c>
      <c r="AB2265" t="s">
        <v>181</v>
      </c>
    </row>
    <row r="2266" spans="1:28" x14ac:dyDescent="0.25">
      <c r="A2266" t="s">
        <v>3834</v>
      </c>
      <c r="B2266" t="s">
        <v>3835</v>
      </c>
      <c r="C2266" t="s">
        <v>646</v>
      </c>
      <c r="D2266" t="s">
        <v>3779</v>
      </c>
      <c r="E2266" t="s">
        <v>647</v>
      </c>
      <c r="F2266" t="s">
        <v>3780</v>
      </c>
      <c r="G2266" t="s">
        <v>769</v>
      </c>
      <c r="H2266" t="s">
        <v>757</v>
      </c>
      <c r="I2266" t="s">
        <v>1251</v>
      </c>
      <c r="J2266" t="s">
        <v>821</v>
      </c>
      <c r="K2266" t="s">
        <v>166</v>
      </c>
      <c r="L2266" t="s">
        <v>0</v>
      </c>
      <c r="M2266" t="s">
        <v>178</v>
      </c>
      <c r="N2266">
        <v>22</v>
      </c>
      <c r="O2266">
        <v>22</v>
      </c>
      <c r="P2266">
        <v>334.8</v>
      </c>
      <c r="Q2266">
        <v>1102.69</v>
      </c>
      <c r="R2266">
        <v>443.36</v>
      </c>
      <c r="S2266">
        <v>116.92397649</v>
      </c>
      <c r="T2266">
        <v>0</v>
      </c>
      <c r="U2266">
        <v>0</v>
      </c>
      <c r="V2266">
        <v>443.36</v>
      </c>
      <c r="W2266" t="s">
        <v>822</v>
      </c>
      <c r="X2266" t="s">
        <v>269</v>
      </c>
      <c r="Y2266" t="s">
        <v>3836</v>
      </c>
      <c r="AA2266" t="s">
        <v>3837</v>
      </c>
      <c r="AB2266" t="s">
        <v>181</v>
      </c>
    </row>
    <row r="2267" spans="1:28" x14ac:dyDescent="0.25">
      <c r="A2267" t="s">
        <v>4288</v>
      </c>
      <c r="B2267" t="s">
        <v>4289</v>
      </c>
      <c r="C2267" t="s">
        <v>646</v>
      </c>
      <c r="D2267" t="s">
        <v>3779</v>
      </c>
      <c r="E2267" t="s">
        <v>647</v>
      </c>
      <c r="F2267" t="s">
        <v>3780</v>
      </c>
      <c r="G2267" t="s">
        <v>769</v>
      </c>
      <c r="H2267" t="s">
        <v>708</v>
      </c>
      <c r="I2267" t="s">
        <v>1453</v>
      </c>
      <c r="J2267" t="s">
        <v>1454</v>
      </c>
      <c r="K2267" t="s">
        <v>166</v>
      </c>
      <c r="L2267" t="s">
        <v>0</v>
      </c>
      <c r="M2267" t="s">
        <v>178</v>
      </c>
      <c r="N2267">
        <v>41</v>
      </c>
      <c r="O2267">
        <v>26</v>
      </c>
      <c r="P2267">
        <v>1064.0999999999999</v>
      </c>
      <c r="Q2267">
        <v>2514.46</v>
      </c>
      <c r="R2267">
        <v>168.33</v>
      </c>
      <c r="S2267">
        <v>673.68043753999996</v>
      </c>
      <c r="T2267">
        <v>0</v>
      </c>
      <c r="U2267">
        <v>0</v>
      </c>
      <c r="V2267">
        <v>168.33</v>
      </c>
      <c r="W2267" t="s">
        <v>1455</v>
      </c>
      <c r="X2267" t="s">
        <v>271</v>
      </c>
      <c r="Y2267" t="s">
        <v>4290</v>
      </c>
      <c r="AA2267" t="s">
        <v>4291</v>
      </c>
      <c r="AB2267" t="s">
        <v>181</v>
      </c>
    </row>
    <row r="2268" spans="1:28" x14ac:dyDescent="0.25">
      <c r="A2268" t="s">
        <v>4298</v>
      </c>
      <c r="B2268" t="s">
        <v>4299</v>
      </c>
      <c r="C2268" t="s">
        <v>646</v>
      </c>
      <c r="D2268" t="s">
        <v>3779</v>
      </c>
      <c r="E2268" t="s">
        <v>647</v>
      </c>
      <c r="F2268" t="s">
        <v>666</v>
      </c>
      <c r="G2268" t="s">
        <v>666</v>
      </c>
      <c r="H2268" t="s">
        <v>708</v>
      </c>
      <c r="I2268" t="s">
        <v>4300</v>
      </c>
      <c r="J2268" t="s">
        <v>511</v>
      </c>
      <c r="K2268" t="s">
        <v>166</v>
      </c>
      <c r="L2268" t="s">
        <v>0</v>
      </c>
      <c r="M2268" t="s">
        <v>178</v>
      </c>
      <c r="N2268">
        <v>12</v>
      </c>
      <c r="O2268">
        <v>0</v>
      </c>
      <c r="P2268">
        <v>410</v>
      </c>
      <c r="Q2268">
        <v>296.37</v>
      </c>
      <c r="R2268">
        <v>26.99</v>
      </c>
      <c r="S2268">
        <v>6.88069826</v>
      </c>
      <c r="T2268">
        <v>0</v>
      </c>
      <c r="U2268">
        <v>0</v>
      </c>
      <c r="V2268">
        <v>26.99</v>
      </c>
      <c r="W2268" t="s">
        <v>510</v>
      </c>
      <c r="X2268" t="s">
        <v>271</v>
      </c>
      <c r="Y2268" t="s">
        <v>4301</v>
      </c>
      <c r="Z2268" t="s">
        <v>4302</v>
      </c>
      <c r="AA2268" t="s">
        <v>4303</v>
      </c>
      <c r="AB2268" t="s">
        <v>181</v>
      </c>
    </row>
    <row r="2269" spans="1:28" x14ac:dyDescent="0.25">
      <c r="A2269" t="s">
        <v>3849</v>
      </c>
      <c r="B2269" t="s">
        <v>3850</v>
      </c>
      <c r="C2269" t="s">
        <v>646</v>
      </c>
      <c r="D2269" t="s">
        <v>3779</v>
      </c>
      <c r="E2269" t="s">
        <v>647</v>
      </c>
      <c r="F2269" t="s">
        <v>3780</v>
      </c>
      <c r="G2269" t="s">
        <v>769</v>
      </c>
      <c r="H2269" t="s">
        <v>649</v>
      </c>
      <c r="I2269" t="s">
        <v>1184</v>
      </c>
      <c r="J2269" t="s">
        <v>1185</v>
      </c>
      <c r="K2269" t="s">
        <v>166</v>
      </c>
      <c r="L2269" t="s">
        <v>0</v>
      </c>
      <c r="M2269" t="s">
        <v>178</v>
      </c>
      <c r="N2269">
        <v>264</v>
      </c>
      <c r="O2269">
        <v>264</v>
      </c>
      <c r="P2269">
        <v>6064.8</v>
      </c>
      <c r="Q2269">
        <v>17184.05</v>
      </c>
      <c r="R2269">
        <v>814.48512604999996</v>
      </c>
      <c r="S2269">
        <v>830.60110113999997</v>
      </c>
      <c r="T2269">
        <v>0.46512605000000001</v>
      </c>
      <c r="U2269">
        <v>0</v>
      </c>
      <c r="V2269">
        <v>814.02</v>
      </c>
      <c r="W2269" t="s">
        <v>1186</v>
      </c>
      <c r="X2269" t="s">
        <v>271</v>
      </c>
      <c r="Y2269" t="s">
        <v>3851</v>
      </c>
      <c r="AA2269" t="s">
        <v>3852</v>
      </c>
      <c r="AB2269" t="s">
        <v>181</v>
      </c>
    </row>
    <row r="2270" spans="1:28" x14ac:dyDescent="0.25">
      <c r="A2270" t="s">
        <v>4172</v>
      </c>
      <c r="B2270" t="s">
        <v>4173</v>
      </c>
      <c r="C2270" t="s">
        <v>646</v>
      </c>
      <c r="D2270" t="s">
        <v>3779</v>
      </c>
      <c r="E2270" t="s">
        <v>647</v>
      </c>
      <c r="F2270" t="s">
        <v>3780</v>
      </c>
      <c r="G2270" t="s">
        <v>769</v>
      </c>
      <c r="H2270" t="s">
        <v>1159</v>
      </c>
      <c r="I2270" t="s">
        <v>1801</v>
      </c>
      <c r="J2270" t="s">
        <v>437</v>
      </c>
      <c r="K2270" t="s">
        <v>166</v>
      </c>
      <c r="L2270" t="s">
        <v>0</v>
      </c>
      <c r="M2270" t="s">
        <v>178</v>
      </c>
      <c r="N2270">
        <v>1</v>
      </c>
      <c r="O2270">
        <v>1</v>
      </c>
      <c r="P2270">
        <v>9.56</v>
      </c>
      <c r="Q2270">
        <v>47.87</v>
      </c>
      <c r="R2270">
        <v>8.56</v>
      </c>
      <c r="S2270">
        <v>9.4893000000000001</v>
      </c>
      <c r="T2270">
        <v>0</v>
      </c>
      <c r="U2270">
        <v>0</v>
      </c>
      <c r="V2270">
        <v>8.56</v>
      </c>
      <c r="W2270" t="s">
        <v>510</v>
      </c>
      <c r="X2270" t="s">
        <v>271</v>
      </c>
      <c r="Y2270" t="s">
        <v>4174</v>
      </c>
      <c r="Z2270" t="s">
        <v>4175</v>
      </c>
      <c r="AA2270" t="s">
        <v>4176</v>
      </c>
      <c r="AB2270" t="s">
        <v>181</v>
      </c>
    </row>
    <row r="2271" spans="1:28" x14ac:dyDescent="0.25">
      <c r="A2271" t="s">
        <v>3810</v>
      </c>
      <c r="B2271" t="s">
        <v>3811</v>
      </c>
      <c r="C2271" t="s">
        <v>646</v>
      </c>
      <c r="D2271" t="s">
        <v>3779</v>
      </c>
      <c r="E2271" t="s">
        <v>647</v>
      </c>
      <c r="F2271" t="s">
        <v>3780</v>
      </c>
      <c r="G2271" t="s">
        <v>769</v>
      </c>
      <c r="H2271" t="s">
        <v>856</v>
      </c>
      <c r="I2271" t="s">
        <v>771</v>
      </c>
      <c r="J2271" t="s">
        <v>319</v>
      </c>
      <c r="K2271" t="s">
        <v>166</v>
      </c>
      <c r="L2271" t="s">
        <v>0</v>
      </c>
      <c r="M2271" t="s">
        <v>178</v>
      </c>
      <c r="N2271">
        <v>1</v>
      </c>
      <c r="O2271">
        <v>0</v>
      </c>
      <c r="P2271">
        <v>7</v>
      </c>
      <c r="Q2271">
        <v>39.909999999999997</v>
      </c>
      <c r="R2271">
        <v>3.63</v>
      </c>
      <c r="S2271">
        <v>1.86704359</v>
      </c>
      <c r="T2271">
        <v>0</v>
      </c>
      <c r="U2271">
        <v>0</v>
      </c>
      <c r="V2271">
        <v>3.63</v>
      </c>
      <c r="W2271" t="s">
        <v>0</v>
      </c>
      <c r="X2271" t="s">
        <v>271</v>
      </c>
      <c r="Y2271" t="s">
        <v>3812</v>
      </c>
      <c r="AA2271" t="s">
        <v>3813</v>
      </c>
      <c r="AB2271" t="s">
        <v>181</v>
      </c>
    </row>
    <row r="2272" spans="1:28" x14ac:dyDescent="0.25">
      <c r="A2272" t="s">
        <v>4370</v>
      </c>
      <c r="B2272" t="s">
        <v>4371</v>
      </c>
      <c r="C2272" t="s">
        <v>646</v>
      </c>
      <c r="D2272" t="s">
        <v>3779</v>
      </c>
      <c r="E2272" t="s">
        <v>647</v>
      </c>
      <c r="F2272" t="s">
        <v>666</v>
      </c>
      <c r="G2272" t="s">
        <v>666</v>
      </c>
      <c r="H2272" t="s">
        <v>1159</v>
      </c>
      <c r="I2272" t="s">
        <v>4372</v>
      </c>
      <c r="J2272" t="s">
        <v>355</v>
      </c>
      <c r="K2272" t="s">
        <v>166</v>
      </c>
      <c r="L2272" t="s">
        <v>0</v>
      </c>
      <c r="M2272" t="s">
        <v>178</v>
      </c>
      <c r="N2272">
        <v>13</v>
      </c>
      <c r="O2272">
        <v>0</v>
      </c>
      <c r="P2272">
        <v>136.5</v>
      </c>
      <c r="Q2272">
        <v>892.79</v>
      </c>
      <c r="R2272">
        <v>205.35</v>
      </c>
      <c r="S2272">
        <v>32.931400629999999</v>
      </c>
      <c r="T2272">
        <v>0</v>
      </c>
      <c r="U2272">
        <v>0</v>
      </c>
      <c r="V2272">
        <v>205.35</v>
      </c>
      <c r="W2272" t="s">
        <v>0</v>
      </c>
      <c r="X2272" t="s">
        <v>271</v>
      </c>
      <c r="Y2272" t="s">
        <v>4373</v>
      </c>
      <c r="AA2272" t="s">
        <v>3894</v>
      </c>
      <c r="AB2272" t="s">
        <v>181</v>
      </c>
    </row>
    <row r="2273" spans="1:28" x14ac:dyDescent="0.25">
      <c r="A2273" t="s">
        <v>3900</v>
      </c>
      <c r="B2273" t="s">
        <v>3901</v>
      </c>
      <c r="C2273" t="s">
        <v>646</v>
      </c>
      <c r="D2273" t="s">
        <v>3779</v>
      </c>
      <c r="E2273" t="s">
        <v>647</v>
      </c>
      <c r="F2273" t="s">
        <v>3780</v>
      </c>
      <c r="G2273" t="s">
        <v>769</v>
      </c>
      <c r="H2273" t="s">
        <v>713</v>
      </c>
      <c r="I2273" t="s">
        <v>3902</v>
      </c>
      <c r="J2273" t="s">
        <v>1225</v>
      </c>
      <c r="K2273" t="s">
        <v>166</v>
      </c>
      <c r="L2273" t="s">
        <v>0</v>
      </c>
      <c r="M2273" t="s">
        <v>178</v>
      </c>
      <c r="N2273">
        <v>10</v>
      </c>
      <c r="O2273">
        <v>10</v>
      </c>
      <c r="P2273">
        <v>270</v>
      </c>
      <c r="Q2273">
        <v>27.7</v>
      </c>
      <c r="R2273">
        <v>3.2</v>
      </c>
      <c r="S2273">
        <v>9.6464372199999993</v>
      </c>
      <c r="T2273">
        <v>0</v>
      </c>
      <c r="U2273">
        <v>0</v>
      </c>
      <c r="V2273">
        <v>3.2</v>
      </c>
      <c r="W2273" t="s">
        <v>0</v>
      </c>
      <c r="X2273" t="s">
        <v>271</v>
      </c>
      <c r="Y2273" t="s">
        <v>3903</v>
      </c>
      <c r="AA2273" t="s">
        <v>3904</v>
      </c>
      <c r="AB2273" t="s">
        <v>181</v>
      </c>
    </row>
    <row r="2274" spans="1:28" x14ac:dyDescent="0.25">
      <c r="A2274" t="s">
        <v>4216</v>
      </c>
      <c r="B2274" t="s">
        <v>4217</v>
      </c>
      <c r="C2274" t="s">
        <v>646</v>
      </c>
      <c r="D2274" t="s">
        <v>3779</v>
      </c>
      <c r="E2274" t="s">
        <v>647</v>
      </c>
      <c r="F2274" t="s">
        <v>666</v>
      </c>
      <c r="G2274" t="s">
        <v>666</v>
      </c>
      <c r="H2274" t="s">
        <v>856</v>
      </c>
      <c r="I2274" t="s">
        <v>1636</v>
      </c>
      <c r="J2274" t="s">
        <v>1637</v>
      </c>
      <c r="K2274" t="s">
        <v>166</v>
      </c>
      <c r="L2274" t="s">
        <v>0</v>
      </c>
      <c r="M2274" t="s">
        <v>178</v>
      </c>
      <c r="N2274">
        <v>2</v>
      </c>
      <c r="O2274">
        <v>1</v>
      </c>
      <c r="P2274">
        <v>25</v>
      </c>
      <c r="Q2274">
        <v>228.05</v>
      </c>
      <c r="R2274">
        <v>12.95</v>
      </c>
      <c r="S2274">
        <v>4.6159999999999997</v>
      </c>
      <c r="T2274">
        <v>0</v>
      </c>
      <c r="U2274">
        <v>0</v>
      </c>
      <c r="V2274">
        <v>12.95</v>
      </c>
      <c r="W2274" t="s">
        <v>1638</v>
      </c>
      <c r="X2274" t="s">
        <v>271</v>
      </c>
      <c r="Y2274" t="s">
        <v>1639</v>
      </c>
      <c r="AA2274" t="s">
        <v>4218</v>
      </c>
      <c r="AB2274" t="s">
        <v>181</v>
      </c>
    </row>
    <row r="2275" spans="1:28" x14ac:dyDescent="0.25">
      <c r="A2275" t="s">
        <v>4260</v>
      </c>
      <c r="B2275" t="s">
        <v>4261</v>
      </c>
      <c r="C2275" t="s">
        <v>646</v>
      </c>
      <c r="D2275" t="s">
        <v>3779</v>
      </c>
      <c r="E2275" t="s">
        <v>647</v>
      </c>
      <c r="F2275" t="s">
        <v>666</v>
      </c>
      <c r="G2275" t="s">
        <v>666</v>
      </c>
      <c r="H2275" t="s">
        <v>703</v>
      </c>
      <c r="I2275" t="s">
        <v>4262</v>
      </c>
      <c r="J2275" t="s">
        <v>1180</v>
      </c>
      <c r="K2275" t="s">
        <v>166</v>
      </c>
      <c r="L2275" t="s">
        <v>0</v>
      </c>
      <c r="M2275" t="s">
        <v>178</v>
      </c>
      <c r="N2275">
        <v>254.33369999999999</v>
      </c>
      <c r="O2275">
        <v>216.25030000000001</v>
      </c>
      <c r="P2275">
        <v>7818.95</v>
      </c>
      <c r="Q2275">
        <v>9808.9500000000007</v>
      </c>
      <c r="R2275">
        <v>2384.9</v>
      </c>
      <c r="S2275">
        <v>1884.42455105</v>
      </c>
      <c r="T2275">
        <v>0</v>
      </c>
      <c r="U2275">
        <v>0</v>
      </c>
      <c r="V2275">
        <v>2384.9</v>
      </c>
      <c r="W2275" t="s">
        <v>0</v>
      </c>
      <c r="X2275" t="s">
        <v>271</v>
      </c>
      <c r="Y2275" t="s">
        <v>4263</v>
      </c>
      <c r="AA2275" t="s">
        <v>4264</v>
      </c>
      <c r="AB2275" t="s">
        <v>181</v>
      </c>
    </row>
    <row r="2276" spans="1:28" x14ac:dyDescent="0.25">
      <c r="A2276" t="s">
        <v>4270</v>
      </c>
      <c r="B2276" t="s">
        <v>4271</v>
      </c>
      <c r="C2276" t="s">
        <v>646</v>
      </c>
      <c r="D2276" t="s">
        <v>3779</v>
      </c>
      <c r="E2276" t="s">
        <v>647</v>
      </c>
      <c r="F2276" t="s">
        <v>3780</v>
      </c>
      <c r="G2276" t="s">
        <v>769</v>
      </c>
      <c r="H2276" t="s">
        <v>679</v>
      </c>
      <c r="I2276" t="s">
        <v>4272</v>
      </c>
      <c r="J2276" t="s">
        <v>352</v>
      </c>
      <c r="K2276" t="s">
        <v>166</v>
      </c>
      <c r="L2276" t="s">
        <v>0</v>
      </c>
      <c r="M2276" t="s">
        <v>178</v>
      </c>
      <c r="N2276">
        <v>321.33330000000001</v>
      </c>
      <c r="O2276">
        <v>267</v>
      </c>
      <c r="P2276">
        <v>3593.46</v>
      </c>
      <c r="Q2276">
        <v>16074.09</v>
      </c>
      <c r="R2276">
        <v>982.40253430999996</v>
      </c>
      <c r="S2276">
        <v>5339.8041300799996</v>
      </c>
      <c r="T2276">
        <v>-6.6674656900000002</v>
      </c>
      <c r="U2276">
        <v>0</v>
      </c>
      <c r="V2276">
        <v>989.07</v>
      </c>
      <c r="W2276" t="s">
        <v>314</v>
      </c>
      <c r="X2276" t="s">
        <v>271</v>
      </c>
      <c r="Y2276" t="s">
        <v>4273</v>
      </c>
      <c r="AA2276" t="s">
        <v>4274</v>
      </c>
      <c r="AB2276" t="s">
        <v>181</v>
      </c>
    </row>
    <row r="2277" spans="1:28" x14ac:dyDescent="0.25">
      <c r="A2277" t="s">
        <v>4015</v>
      </c>
      <c r="B2277" t="s">
        <v>4016</v>
      </c>
      <c r="C2277" t="s">
        <v>646</v>
      </c>
      <c r="D2277" t="s">
        <v>3779</v>
      </c>
      <c r="E2277" t="s">
        <v>647</v>
      </c>
      <c r="F2277" t="s">
        <v>3780</v>
      </c>
      <c r="G2277" t="s">
        <v>769</v>
      </c>
      <c r="H2277" t="s">
        <v>683</v>
      </c>
      <c r="I2277" t="s">
        <v>4017</v>
      </c>
      <c r="J2277" t="s">
        <v>4018</v>
      </c>
      <c r="K2277" t="s">
        <v>166</v>
      </c>
      <c r="L2277" t="s">
        <v>0</v>
      </c>
      <c r="M2277" t="s">
        <v>178</v>
      </c>
      <c r="N2277">
        <v>243.2945</v>
      </c>
      <c r="O2277">
        <v>196.33340000000001</v>
      </c>
      <c r="P2277">
        <v>3388.95</v>
      </c>
      <c r="Q2277">
        <v>10917.53</v>
      </c>
      <c r="R2277">
        <v>2070.4299999999998</v>
      </c>
      <c r="S2277">
        <v>2110.84530885</v>
      </c>
      <c r="T2277">
        <v>0</v>
      </c>
      <c r="U2277">
        <v>0</v>
      </c>
      <c r="V2277">
        <v>2070.4299999999998</v>
      </c>
      <c r="W2277" t="s">
        <v>4019</v>
      </c>
      <c r="X2277" t="s">
        <v>271</v>
      </c>
      <c r="Y2277" t="s">
        <v>4020</v>
      </c>
      <c r="AA2277" t="s">
        <v>4021</v>
      </c>
      <c r="AB2277" t="s">
        <v>181</v>
      </c>
    </row>
    <row r="2278" spans="1:28" x14ac:dyDescent="0.25">
      <c r="A2278" t="s">
        <v>4109</v>
      </c>
      <c r="B2278" t="s">
        <v>4110</v>
      </c>
      <c r="C2278" t="s">
        <v>646</v>
      </c>
      <c r="D2278" t="s">
        <v>3779</v>
      </c>
      <c r="E2278" t="s">
        <v>647</v>
      </c>
      <c r="F2278" t="s">
        <v>3780</v>
      </c>
      <c r="G2278" t="s">
        <v>769</v>
      </c>
      <c r="H2278" t="s">
        <v>909</v>
      </c>
      <c r="I2278" t="s">
        <v>1046</v>
      </c>
      <c r="J2278" t="s">
        <v>971</v>
      </c>
      <c r="K2278" t="s">
        <v>166</v>
      </c>
      <c r="L2278" t="s">
        <v>0</v>
      </c>
      <c r="M2278" t="s">
        <v>178</v>
      </c>
      <c r="N2278">
        <v>78</v>
      </c>
      <c r="O2278">
        <v>78</v>
      </c>
      <c r="P2278">
        <v>2513.31</v>
      </c>
      <c r="Q2278">
        <v>2408.46</v>
      </c>
      <c r="R2278">
        <v>251.93914760000001</v>
      </c>
      <c r="S2278">
        <v>577.55697094000004</v>
      </c>
      <c r="T2278">
        <v>0.25914759999999998</v>
      </c>
      <c r="U2278">
        <v>0</v>
      </c>
      <c r="V2278">
        <v>251.68</v>
      </c>
      <c r="W2278" t="s">
        <v>972</v>
      </c>
      <c r="X2278" t="s">
        <v>269</v>
      </c>
      <c r="Y2278" t="s">
        <v>4111</v>
      </c>
      <c r="AA2278" t="s">
        <v>4112</v>
      </c>
      <c r="AB2278" t="s">
        <v>181</v>
      </c>
    </row>
    <row r="2279" spans="1:28" x14ac:dyDescent="0.25">
      <c r="A2279" t="s">
        <v>4035</v>
      </c>
      <c r="B2279" t="s">
        <v>4036</v>
      </c>
      <c r="C2279" t="s">
        <v>646</v>
      </c>
      <c r="D2279" t="s">
        <v>3779</v>
      </c>
      <c r="E2279" t="s">
        <v>647</v>
      </c>
      <c r="F2279" t="s">
        <v>3780</v>
      </c>
      <c r="G2279" t="s">
        <v>769</v>
      </c>
      <c r="H2279" t="s">
        <v>757</v>
      </c>
      <c r="I2279" t="s">
        <v>3464</v>
      </c>
      <c r="J2279" t="s">
        <v>688</v>
      </c>
      <c r="K2279" t="s">
        <v>166</v>
      </c>
      <c r="L2279" t="s">
        <v>0</v>
      </c>
      <c r="M2279" t="s">
        <v>178</v>
      </c>
      <c r="N2279">
        <v>43</v>
      </c>
      <c r="O2279">
        <v>3</v>
      </c>
      <c r="P2279">
        <v>285.7</v>
      </c>
      <c r="Q2279">
        <v>625.57000000000005</v>
      </c>
      <c r="R2279">
        <v>48.04</v>
      </c>
      <c r="S2279">
        <v>87.765417310000004</v>
      </c>
      <c r="T2279">
        <v>0</v>
      </c>
      <c r="U2279">
        <v>0</v>
      </c>
      <c r="V2279">
        <v>48.04</v>
      </c>
      <c r="W2279" t="s">
        <v>0</v>
      </c>
      <c r="X2279" t="s">
        <v>271</v>
      </c>
      <c r="Y2279" t="s">
        <v>4037</v>
      </c>
      <c r="AA2279" t="s">
        <v>4038</v>
      </c>
      <c r="AB2279" t="s">
        <v>181</v>
      </c>
    </row>
    <row r="2280" spans="1:28" x14ac:dyDescent="0.25">
      <c r="A2280" t="s">
        <v>4184</v>
      </c>
      <c r="B2280" t="s">
        <v>4185</v>
      </c>
      <c r="C2280" t="s">
        <v>646</v>
      </c>
      <c r="D2280" t="s">
        <v>3779</v>
      </c>
      <c r="E2280" t="s">
        <v>647</v>
      </c>
      <c r="F2280" t="s">
        <v>3780</v>
      </c>
      <c r="G2280" t="s">
        <v>769</v>
      </c>
      <c r="H2280" t="s">
        <v>761</v>
      </c>
      <c r="I2280" t="s">
        <v>4186</v>
      </c>
      <c r="J2280" t="s">
        <v>1164</v>
      </c>
      <c r="K2280" t="s">
        <v>166</v>
      </c>
      <c r="L2280" t="s">
        <v>0</v>
      </c>
      <c r="M2280" t="s">
        <v>178</v>
      </c>
      <c r="N2280">
        <v>140</v>
      </c>
      <c r="O2280">
        <v>112</v>
      </c>
      <c r="P2280">
        <v>4734.8900000000003</v>
      </c>
      <c r="Q2280">
        <v>3876.81</v>
      </c>
      <c r="R2280">
        <v>307.67</v>
      </c>
      <c r="S2280">
        <v>834.13250554000001</v>
      </c>
      <c r="T2280">
        <v>0</v>
      </c>
      <c r="U2280">
        <v>0</v>
      </c>
      <c r="V2280">
        <v>307.67</v>
      </c>
      <c r="W2280" t="s">
        <v>1165</v>
      </c>
      <c r="X2280" t="s">
        <v>271</v>
      </c>
      <c r="Y2280" t="s">
        <v>4187</v>
      </c>
      <c r="AA2280" t="s">
        <v>4188</v>
      </c>
      <c r="AB2280" t="s">
        <v>181</v>
      </c>
    </row>
    <row r="2281" spans="1:28" x14ac:dyDescent="0.25">
      <c r="A2281" t="s">
        <v>3838</v>
      </c>
      <c r="B2281" t="s">
        <v>3839</v>
      </c>
      <c r="C2281" t="s">
        <v>646</v>
      </c>
      <c r="D2281" t="s">
        <v>3779</v>
      </c>
      <c r="E2281" t="s">
        <v>647</v>
      </c>
      <c r="F2281" t="s">
        <v>3780</v>
      </c>
      <c r="G2281" t="s">
        <v>769</v>
      </c>
      <c r="H2281" t="s">
        <v>679</v>
      </c>
      <c r="I2281" t="s">
        <v>906</v>
      </c>
      <c r="J2281" t="s">
        <v>907</v>
      </c>
      <c r="K2281" t="s">
        <v>166</v>
      </c>
      <c r="L2281" t="s">
        <v>0</v>
      </c>
      <c r="M2281" t="s">
        <v>178</v>
      </c>
      <c r="N2281">
        <v>118.1</v>
      </c>
      <c r="O2281">
        <v>53</v>
      </c>
      <c r="P2281">
        <v>1768.3</v>
      </c>
      <c r="Q2281">
        <v>5987.6</v>
      </c>
      <c r="R2281">
        <v>890.38603207999995</v>
      </c>
      <c r="S2281">
        <v>780.51397831999998</v>
      </c>
      <c r="T2281">
        <v>-1.0739679200000001</v>
      </c>
      <c r="U2281">
        <v>0</v>
      </c>
      <c r="V2281">
        <v>891.46</v>
      </c>
      <c r="W2281" t="s">
        <v>272</v>
      </c>
      <c r="X2281" t="s">
        <v>269</v>
      </c>
      <c r="Y2281" t="s">
        <v>3840</v>
      </c>
      <c r="AA2281" t="s">
        <v>3841</v>
      </c>
      <c r="AB2281" t="s">
        <v>181</v>
      </c>
    </row>
    <row r="2282" spans="1:28" x14ac:dyDescent="0.25">
      <c r="A2282" t="s">
        <v>3788</v>
      </c>
      <c r="B2282" t="s">
        <v>3789</v>
      </c>
      <c r="C2282" t="s">
        <v>646</v>
      </c>
      <c r="D2282" t="s">
        <v>3779</v>
      </c>
      <c r="E2282" t="s">
        <v>647</v>
      </c>
      <c r="F2282" t="s">
        <v>3780</v>
      </c>
      <c r="G2282" t="s">
        <v>769</v>
      </c>
      <c r="H2282" t="s">
        <v>717</v>
      </c>
      <c r="I2282" t="s">
        <v>3790</v>
      </c>
      <c r="J2282" t="s">
        <v>599</v>
      </c>
      <c r="K2282" t="s">
        <v>166</v>
      </c>
      <c r="L2282" t="s">
        <v>0</v>
      </c>
      <c r="M2282" t="s">
        <v>178</v>
      </c>
      <c r="N2282">
        <v>168</v>
      </c>
      <c r="O2282">
        <v>68</v>
      </c>
      <c r="P2282">
        <v>2973.91</v>
      </c>
      <c r="Q2282">
        <v>11532.99</v>
      </c>
      <c r="R2282">
        <v>340.79</v>
      </c>
      <c r="S2282">
        <v>623.03087051</v>
      </c>
      <c r="T2282">
        <v>0</v>
      </c>
      <c r="U2282">
        <v>0</v>
      </c>
      <c r="V2282">
        <v>340.79</v>
      </c>
      <c r="W2282" t="s">
        <v>598</v>
      </c>
      <c r="X2282" t="s">
        <v>271</v>
      </c>
      <c r="Y2282" t="s">
        <v>3791</v>
      </c>
      <c r="AA2282" t="s">
        <v>3792</v>
      </c>
      <c r="AB2282" t="s">
        <v>181</v>
      </c>
    </row>
    <row r="2283" spans="1:28" x14ac:dyDescent="0.25">
      <c r="A2283" t="s">
        <v>4365</v>
      </c>
      <c r="B2283" t="s">
        <v>4366</v>
      </c>
      <c r="C2283" t="s">
        <v>646</v>
      </c>
      <c r="D2283" t="s">
        <v>3779</v>
      </c>
      <c r="E2283" t="s">
        <v>647</v>
      </c>
      <c r="F2283" t="s">
        <v>666</v>
      </c>
      <c r="G2283" t="s">
        <v>666</v>
      </c>
      <c r="H2283" t="s">
        <v>761</v>
      </c>
      <c r="I2283" t="s">
        <v>4367</v>
      </c>
      <c r="J2283" t="s">
        <v>318</v>
      </c>
      <c r="K2283" t="s">
        <v>166</v>
      </c>
      <c r="L2283" t="s">
        <v>0</v>
      </c>
      <c r="M2283" t="s">
        <v>178</v>
      </c>
      <c r="N2283">
        <v>1831</v>
      </c>
      <c r="O2283">
        <v>1066</v>
      </c>
      <c r="P2283">
        <v>73407</v>
      </c>
      <c r="Q2283">
        <v>43446.6</v>
      </c>
      <c r="R2283">
        <v>-6294.62</v>
      </c>
      <c r="S2283">
        <v>9943.0770020100008</v>
      </c>
      <c r="T2283">
        <v>0</v>
      </c>
      <c r="U2283">
        <v>0</v>
      </c>
      <c r="V2283">
        <v>-6294.62</v>
      </c>
      <c r="W2283" t="s">
        <v>472</v>
      </c>
      <c r="X2283" t="s">
        <v>271</v>
      </c>
      <c r="Y2283" t="s">
        <v>4368</v>
      </c>
      <c r="AA2283" t="s">
        <v>4369</v>
      </c>
      <c r="AB2283" t="s">
        <v>181</v>
      </c>
    </row>
    <row r="2284" spans="1:28" x14ac:dyDescent="0.25">
      <c r="A2284" t="s">
        <v>4031</v>
      </c>
      <c r="B2284" t="s">
        <v>4032</v>
      </c>
      <c r="C2284" t="s">
        <v>646</v>
      </c>
      <c r="D2284" t="s">
        <v>3779</v>
      </c>
      <c r="E2284" t="s">
        <v>647</v>
      </c>
      <c r="F2284" t="s">
        <v>3780</v>
      </c>
      <c r="G2284" t="s">
        <v>769</v>
      </c>
      <c r="H2284" t="s">
        <v>962</v>
      </c>
      <c r="I2284" t="s">
        <v>1513</v>
      </c>
      <c r="J2284" t="s">
        <v>333</v>
      </c>
      <c r="K2284" t="s">
        <v>166</v>
      </c>
      <c r="L2284" t="s">
        <v>0</v>
      </c>
      <c r="M2284" t="s">
        <v>178</v>
      </c>
      <c r="N2284">
        <v>1446</v>
      </c>
      <c r="O2284">
        <v>1365</v>
      </c>
      <c r="P2284">
        <v>25748.32</v>
      </c>
      <c r="Q2284">
        <v>77659.88</v>
      </c>
      <c r="R2284">
        <v>2586.5094603299999</v>
      </c>
      <c r="S2284">
        <v>13604.5565978</v>
      </c>
      <c r="T2284">
        <v>1.5894603300000001</v>
      </c>
      <c r="U2284">
        <v>4656.8500000000004</v>
      </c>
      <c r="V2284">
        <v>7241.77</v>
      </c>
      <c r="W2284" t="s">
        <v>718</v>
      </c>
      <c r="X2284" t="s">
        <v>271</v>
      </c>
      <c r="Y2284" t="s">
        <v>4033</v>
      </c>
      <c r="AA2284" t="s">
        <v>4034</v>
      </c>
      <c r="AB2284" t="s">
        <v>181</v>
      </c>
    </row>
    <row r="2285" spans="1:28" x14ac:dyDescent="0.25">
      <c r="A2285" t="s">
        <v>4143</v>
      </c>
      <c r="B2285" t="s">
        <v>4144</v>
      </c>
      <c r="C2285" t="s">
        <v>646</v>
      </c>
      <c r="D2285" t="s">
        <v>3779</v>
      </c>
      <c r="E2285" t="s">
        <v>647</v>
      </c>
      <c r="F2285" t="s">
        <v>3780</v>
      </c>
      <c r="G2285" t="s">
        <v>769</v>
      </c>
      <c r="H2285" t="s">
        <v>703</v>
      </c>
      <c r="I2285" t="s">
        <v>1828</v>
      </c>
      <c r="J2285" t="s">
        <v>1829</v>
      </c>
      <c r="K2285" t="s">
        <v>166</v>
      </c>
      <c r="L2285" t="s">
        <v>0</v>
      </c>
      <c r="M2285" t="s">
        <v>178</v>
      </c>
      <c r="N2285">
        <v>94.666700000000006</v>
      </c>
      <c r="O2285">
        <v>74.416700000000006</v>
      </c>
      <c r="P2285">
        <v>2258.9899999999998</v>
      </c>
      <c r="Q2285">
        <v>3506.97</v>
      </c>
      <c r="R2285">
        <v>955.39</v>
      </c>
      <c r="S2285">
        <v>601.37390075999997</v>
      </c>
      <c r="T2285">
        <v>0</v>
      </c>
      <c r="U2285">
        <v>0</v>
      </c>
      <c r="V2285">
        <v>955.39</v>
      </c>
      <c r="W2285" t="s">
        <v>1361</v>
      </c>
      <c r="X2285" t="s">
        <v>271</v>
      </c>
      <c r="Y2285" t="s">
        <v>4145</v>
      </c>
      <c r="AA2285" t="s">
        <v>4146</v>
      </c>
      <c r="AB2285" t="s">
        <v>181</v>
      </c>
    </row>
    <row r="2286" spans="1:28" x14ac:dyDescent="0.25">
      <c r="A2286" t="s">
        <v>4022</v>
      </c>
      <c r="B2286" t="s">
        <v>4023</v>
      </c>
      <c r="C2286" t="s">
        <v>646</v>
      </c>
      <c r="D2286" t="s">
        <v>3779</v>
      </c>
      <c r="E2286" t="s">
        <v>647</v>
      </c>
      <c r="F2286" t="s">
        <v>3780</v>
      </c>
      <c r="G2286" t="s">
        <v>769</v>
      </c>
      <c r="H2286" t="s">
        <v>1171</v>
      </c>
      <c r="I2286" t="s">
        <v>4024</v>
      </c>
      <c r="J2286" t="s">
        <v>447</v>
      </c>
      <c r="K2286" t="s">
        <v>166</v>
      </c>
      <c r="L2286" t="s">
        <v>0</v>
      </c>
      <c r="M2286" t="s">
        <v>178</v>
      </c>
      <c r="N2286">
        <v>23</v>
      </c>
      <c r="O2286">
        <v>17</v>
      </c>
      <c r="P2286">
        <v>779.19</v>
      </c>
      <c r="Q2286">
        <v>7521.09</v>
      </c>
      <c r="R2286">
        <v>952.06757333999997</v>
      </c>
      <c r="S2286">
        <v>30.062990379999999</v>
      </c>
      <c r="T2286">
        <v>0.84757333999999995</v>
      </c>
      <c r="U2286">
        <v>0</v>
      </c>
      <c r="V2286">
        <v>951.22</v>
      </c>
      <c r="W2286" t="s">
        <v>446</v>
      </c>
      <c r="X2286" t="s">
        <v>271</v>
      </c>
      <c r="Y2286" t="s">
        <v>4025</v>
      </c>
      <c r="AA2286" t="s">
        <v>4026</v>
      </c>
      <c r="AB2286" t="s">
        <v>181</v>
      </c>
    </row>
    <row r="2287" spans="1:28" x14ac:dyDescent="0.25">
      <c r="A2287" t="s">
        <v>4035</v>
      </c>
      <c r="B2287" t="s">
        <v>4036</v>
      </c>
      <c r="C2287" t="s">
        <v>646</v>
      </c>
      <c r="D2287" t="s">
        <v>3779</v>
      </c>
      <c r="E2287" t="s">
        <v>647</v>
      </c>
      <c r="F2287" t="s">
        <v>3780</v>
      </c>
      <c r="G2287" t="s">
        <v>769</v>
      </c>
      <c r="H2287" t="s">
        <v>1175</v>
      </c>
      <c r="I2287" t="s">
        <v>3464</v>
      </c>
      <c r="J2287" t="s">
        <v>688</v>
      </c>
      <c r="K2287" t="s">
        <v>166</v>
      </c>
      <c r="L2287" t="s">
        <v>0</v>
      </c>
      <c r="M2287" t="s">
        <v>178</v>
      </c>
      <c r="N2287">
        <v>13</v>
      </c>
      <c r="O2287">
        <v>13</v>
      </c>
      <c r="P2287">
        <v>188</v>
      </c>
      <c r="Q2287">
        <v>374.13</v>
      </c>
      <c r="R2287">
        <v>47.03</v>
      </c>
      <c r="S2287">
        <v>53.839848619999998</v>
      </c>
      <c r="T2287">
        <v>0</v>
      </c>
      <c r="U2287">
        <v>0</v>
      </c>
      <c r="V2287">
        <v>47.03</v>
      </c>
      <c r="W2287" t="s">
        <v>0</v>
      </c>
      <c r="X2287" t="s">
        <v>271</v>
      </c>
      <c r="Y2287" t="s">
        <v>4037</v>
      </c>
      <c r="AA2287" t="s">
        <v>4038</v>
      </c>
      <c r="AB2287" t="s">
        <v>181</v>
      </c>
    </row>
    <row r="2288" spans="1:28" x14ac:dyDescent="0.25">
      <c r="A2288" t="s">
        <v>4031</v>
      </c>
      <c r="B2288" t="s">
        <v>4032</v>
      </c>
      <c r="C2288" t="s">
        <v>646</v>
      </c>
      <c r="D2288" t="s">
        <v>3779</v>
      </c>
      <c r="E2288" t="s">
        <v>647</v>
      </c>
      <c r="F2288" t="s">
        <v>3780</v>
      </c>
      <c r="G2288" t="s">
        <v>769</v>
      </c>
      <c r="H2288" t="s">
        <v>1159</v>
      </c>
      <c r="I2288" t="s">
        <v>1513</v>
      </c>
      <c r="J2288" t="s">
        <v>333</v>
      </c>
      <c r="K2288" t="s">
        <v>166</v>
      </c>
      <c r="L2288" t="s">
        <v>0</v>
      </c>
      <c r="M2288" t="s">
        <v>178</v>
      </c>
      <c r="N2288">
        <v>3</v>
      </c>
      <c r="O2288">
        <v>0</v>
      </c>
      <c r="P2288">
        <v>45</v>
      </c>
      <c r="Q2288">
        <v>197.7</v>
      </c>
      <c r="R2288">
        <v>13.84</v>
      </c>
      <c r="S2288">
        <v>8.4287666100000003</v>
      </c>
      <c r="T2288">
        <v>0</v>
      </c>
      <c r="U2288">
        <v>0</v>
      </c>
      <c r="V2288">
        <v>13.84</v>
      </c>
      <c r="W2288" t="s">
        <v>718</v>
      </c>
      <c r="X2288" t="s">
        <v>271</v>
      </c>
      <c r="Y2288" t="s">
        <v>4033</v>
      </c>
      <c r="AA2288" t="s">
        <v>4034</v>
      </c>
      <c r="AB2288" t="s">
        <v>181</v>
      </c>
    </row>
    <row r="2289" spans="1:28" x14ac:dyDescent="0.25">
      <c r="A2289" t="s">
        <v>3875</v>
      </c>
      <c r="B2289" t="s">
        <v>3876</v>
      </c>
      <c r="C2289" t="s">
        <v>646</v>
      </c>
      <c r="D2289" t="s">
        <v>3779</v>
      </c>
      <c r="E2289" t="s">
        <v>647</v>
      </c>
      <c r="F2289" t="s">
        <v>3780</v>
      </c>
      <c r="G2289" t="s">
        <v>769</v>
      </c>
      <c r="H2289" t="s">
        <v>802</v>
      </c>
      <c r="I2289" t="s">
        <v>1190</v>
      </c>
      <c r="J2289" t="s">
        <v>1191</v>
      </c>
      <c r="K2289" t="s">
        <v>166</v>
      </c>
      <c r="L2289" t="s">
        <v>0</v>
      </c>
      <c r="M2289" t="s">
        <v>178</v>
      </c>
      <c r="N2289">
        <v>240</v>
      </c>
      <c r="O2289">
        <v>240</v>
      </c>
      <c r="P2289">
        <v>4800</v>
      </c>
      <c r="Q2289">
        <v>10659.25</v>
      </c>
      <c r="R2289">
        <v>922.09</v>
      </c>
      <c r="S2289">
        <v>1198.4505706499999</v>
      </c>
      <c r="T2289">
        <v>0</v>
      </c>
      <c r="U2289">
        <v>0</v>
      </c>
      <c r="V2289">
        <v>922.09</v>
      </c>
      <c r="W2289" t="s">
        <v>282</v>
      </c>
      <c r="X2289" t="s">
        <v>271</v>
      </c>
      <c r="Y2289" t="s">
        <v>2170</v>
      </c>
      <c r="AA2289" t="s">
        <v>2171</v>
      </c>
      <c r="AB2289" t="s">
        <v>181</v>
      </c>
    </row>
    <row r="2290" spans="1:28" x14ac:dyDescent="0.25">
      <c r="A2290" t="s">
        <v>4270</v>
      </c>
      <c r="B2290" t="s">
        <v>4271</v>
      </c>
      <c r="C2290" t="s">
        <v>646</v>
      </c>
      <c r="D2290" t="s">
        <v>3779</v>
      </c>
      <c r="E2290" t="s">
        <v>647</v>
      </c>
      <c r="F2290" t="s">
        <v>3780</v>
      </c>
      <c r="G2290" t="s">
        <v>769</v>
      </c>
      <c r="H2290" t="s">
        <v>770</v>
      </c>
      <c r="I2290" t="s">
        <v>4272</v>
      </c>
      <c r="J2290" t="s">
        <v>352</v>
      </c>
      <c r="K2290" t="s">
        <v>166</v>
      </c>
      <c r="L2290" t="s">
        <v>0</v>
      </c>
      <c r="M2290" t="s">
        <v>178</v>
      </c>
      <c r="N2290">
        <v>31</v>
      </c>
      <c r="O2290">
        <v>16</v>
      </c>
      <c r="P2290">
        <v>517.35</v>
      </c>
      <c r="Q2290">
        <v>747.7</v>
      </c>
      <c r="R2290">
        <v>144.93</v>
      </c>
      <c r="S2290">
        <v>79.933150400000002</v>
      </c>
      <c r="T2290">
        <v>0</v>
      </c>
      <c r="U2290">
        <v>0</v>
      </c>
      <c r="V2290">
        <v>144.93</v>
      </c>
      <c r="W2290" t="s">
        <v>314</v>
      </c>
      <c r="X2290" t="s">
        <v>271</v>
      </c>
      <c r="Y2290" t="s">
        <v>4273</v>
      </c>
      <c r="AA2290" t="s">
        <v>4274</v>
      </c>
      <c r="AB2290" t="s">
        <v>181</v>
      </c>
    </row>
    <row r="2291" spans="1:28" x14ac:dyDescent="0.25">
      <c r="A2291" t="s">
        <v>4349</v>
      </c>
      <c r="B2291" t="s">
        <v>4350</v>
      </c>
      <c r="C2291" t="s">
        <v>646</v>
      </c>
      <c r="D2291" t="s">
        <v>3779</v>
      </c>
      <c r="E2291" t="s">
        <v>647</v>
      </c>
      <c r="F2291" t="s">
        <v>3780</v>
      </c>
      <c r="G2291" t="s">
        <v>769</v>
      </c>
      <c r="H2291" t="s">
        <v>757</v>
      </c>
      <c r="I2291" t="s">
        <v>2242</v>
      </c>
      <c r="J2291" t="s">
        <v>2243</v>
      </c>
      <c r="K2291" t="s">
        <v>166</v>
      </c>
      <c r="L2291" t="s">
        <v>0</v>
      </c>
      <c r="M2291" t="s">
        <v>178</v>
      </c>
      <c r="N2291">
        <v>732.75</v>
      </c>
      <c r="O2291">
        <v>305.75</v>
      </c>
      <c r="P2291">
        <v>10109.61</v>
      </c>
      <c r="Q2291">
        <v>20030.46</v>
      </c>
      <c r="R2291">
        <v>5543.78</v>
      </c>
      <c r="S2291">
        <v>2668.8756931600001</v>
      </c>
      <c r="T2291">
        <v>21.6</v>
      </c>
      <c r="U2291">
        <v>0</v>
      </c>
      <c r="V2291">
        <v>5522.18</v>
      </c>
      <c r="W2291" t="s">
        <v>1601</v>
      </c>
      <c r="X2291" t="s">
        <v>269</v>
      </c>
      <c r="Y2291" t="s">
        <v>4351</v>
      </c>
      <c r="AA2291" t="s">
        <v>4352</v>
      </c>
      <c r="AB2291" t="s">
        <v>181</v>
      </c>
    </row>
    <row r="2292" spans="1:28" x14ac:dyDescent="0.25">
      <c r="A2292" t="s">
        <v>4308</v>
      </c>
      <c r="B2292" t="s">
        <v>4309</v>
      </c>
      <c r="C2292" t="s">
        <v>646</v>
      </c>
      <c r="D2292" t="s">
        <v>3779</v>
      </c>
      <c r="E2292" t="s">
        <v>647</v>
      </c>
      <c r="F2292" t="s">
        <v>3780</v>
      </c>
      <c r="G2292" t="s">
        <v>769</v>
      </c>
      <c r="H2292" t="s">
        <v>683</v>
      </c>
      <c r="I2292" t="s">
        <v>1184</v>
      </c>
      <c r="J2292" t="s">
        <v>1185</v>
      </c>
      <c r="K2292" t="s">
        <v>166</v>
      </c>
      <c r="L2292" t="s">
        <v>0</v>
      </c>
      <c r="M2292" t="s">
        <v>178</v>
      </c>
      <c r="N2292">
        <v>124.08329999999999</v>
      </c>
      <c r="O2292">
        <v>35.5</v>
      </c>
      <c r="P2292">
        <v>1400.1</v>
      </c>
      <c r="Q2292">
        <v>7606.53</v>
      </c>
      <c r="R2292">
        <v>2549.98</v>
      </c>
      <c r="S2292">
        <v>657.88522393999995</v>
      </c>
      <c r="T2292">
        <v>0</v>
      </c>
      <c r="U2292">
        <v>0</v>
      </c>
      <c r="V2292">
        <v>2549.98</v>
      </c>
      <c r="W2292" t="s">
        <v>1186</v>
      </c>
      <c r="X2292" t="s">
        <v>271</v>
      </c>
      <c r="Y2292" t="s">
        <v>4310</v>
      </c>
      <c r="AA2292" t="s">
        <v>4311</v>
      </c>
      <c r="AB2292" t="s">
        <v>181</v>
      </c>
    </row>
    <row r="2293" spans="1:28" x14ac:dyDescent="0.25">
      <c r="A2293" t="s">
        <v>3992</v>
      </c>
      <c r="B2293" t="s">
        <v>3993</v>
      </c>
      <c r="C2293" t="s">
        <v>646</v>
      </c>
      <c r="D2293" t="s">
        <v>3779</v>
      </c>
      <c r="E2293" t="s">
        <v>647</v>
      </c>
      <c r="F2293" t="s">
        <v>3780</v>
      </c>
      <c r="G2293" t="s">
        <v>769</v>
      </c>
      <c r="H2293" t="s">
        <v>797</v>
      </c>
      <c r="I2293" t="s">
        <v>3994</v>
      </c>
      <c r="J2293" t="s">
        <v>3995</v>
      </c>
      <c r="K2293" t="s">
        <v>166</v>
      </c>
      <c r="L2293" t="s">
        <v>0</v>
      </c>
      <c r="M2293" t="s">
        <v>178</v>
      </c>
      <c r="N2293">
        <v>19</v>
      </c>
      <c r="O2293">
        <v>1</v>
      </c>
      <c r="P2293">
        <v>222</v>
      </c>
      <c r="Q2293">
        <v>540.39</v>
      </c>
      <c r="R2293">
        <v>48.48</v>
      </c>
      <c r="S2293">
        <v>26.577999999999999</v>
      </c>
      <c r="T2293">
        <v>21</v>
      </c>
      <c r="U2293">
        <v>0</v>
      </c>
      <c r="V2293">
        <v>48.48</v>
      </c>
      <c r="W2293" t="s">
        <v>250</v>
      </c>
      <c r="X2293" t="s">
        <v>269</v>
      </c>
      <c r="Y2293" t="s">
        <v>3996</v>
      </c>
      <c r="AA2293" t="s">
        <v>3997</v>
      </c>
      <c r="AB2293" t="s">
        <v>181</v>
      </c>
    </row>
    <row r="2294" spans="1:28" x14ac:dyDescent="0.25">
      <c r="A2294" t="s">
        <v>4117</v>
      </c>
      <c r="B2294" t="s">
        <v>4118</v>
      </c>
      <c r="C2294" t="s">
        <v>646</v>
      </c>
      <c r="D2294" t="s">
        <v>3779</v>
      </c>
      <c r="E2294" t="s">
        <v>647</v>
      </c>
      <c r="F2294" t="s">
        <v>3780</v>
      </c>
      <c r="G2294" t="s">
        <v>769</v>
      </c>
      <c r="H2294" t="s">
        <v>730</v>
      </c>
      <c r="I2294" t="s">
        <v>1190</v>
      </c>
      <c r="J2294" t="s">
        <v>1191</v>
      </c>
      <c r="K2294" t="s">
        <v>166</v>
      </c>
      <c r="L2294" t="s">
        <v>0</v>
      </c>
      <c r="M2294" t="s">
        <v>178</v>
      </c>
      <c r="N2294">
        <v>9</v>
      </c>
      <c r="O2294">
        <v>9</v>
      </c>
      <c r="P2294">
        <v>186</v>
      </c>
      <c r="Q2294">
        <v>684.66</v>
      </c>
      <c r="R2294">
        <v>50.7</v>
      </c>
      <c r="S2294">
        <v>110.88539946</v>
      </c>
      <c r="T2294">
        <v>0</v>
      </c>
      <c r="U2294">
        <v>0</v>
      </c>
      <c r="V2294">
        <v>50.7</v>
      </c>
      <c r="W2294" t="s">
        <v>282</v>
      </c>
      <c r="X2294" t="s">
        <v>271</v>
      </c>
      <c r="Y2294" t="s">
        <v>2170</v>
      </c>
      <c r="AA2294" t="s">
        <v>2171</v>
      </c>
      <c r="AB2294" t="s">
        <v>181</v>
      </c>
    </row>
    <row r="2295" spans="1:28" x14ac:dyDescent="0.25">
      <c r="A2295" t="s">
        <v>3788</v>
      </c>
      <c r="B2295" t="s">
        <v>3789</v>
      </c>
      <c r="C2295" t="s">
        <v>646</v>
      </c>
      <c r="D2295" t="s">
        <v>3779</v>
      </c>
      <c r="E2295" t="s">
        <v>647</v>
      </c>
      <c r="F2295" t="s">
        <v>3780</v>
      </c>
      <c r="G2295" t="s">
        <v>769</v>
      </c>
      <c r="H2295" t="s">
        <v>1175</v>
      </c>
      <c r="I2295" t="s">
        <v>3790</v>
      </c>
      <c r="J2295" t="s">
        <v>599</v>
      </c>
      <c r="K2295" t="s">
        <v>166</v>
      </c>
      <c r="L2295" t="s">
        <v>0</v>
      </c>
      <c r="M2295" t="s">
        <v>178</v>
      </c>
      <c r="N2295">
        <v>21</v>
      </c>
      <c r="O2295">
        <v>12</v>
      </c>
      <c r="P2295">
        <v>262</v>
      </c>
      <c r="Q2295">
        <v>497.69</v>
      </c>
      <c r="R2295">
        <v>38.950000000000003</v>
      </c>
      <c r="S2295">
        <v>74.320535489999997</v>
      </c>
      <c r="T2295">
        <v>0</v>
      </c>
      <c r="U2295">
        <v>0</v>
      </c>
      <c r="V2295">
        <v>38.950000000000003</v>
      </c>
      <c r="W2295" t="s">
        <v>598</v>
      </c>
      <c r="X2295" t="s">
        <v>271</v>
      </c>
      <c r="Y2295" t="s">
        <v>3791</v>
      </c>
      <c r="AA2295" t="s">
        <v>3792</v>
      </c>
      <c r="AB2295" t="s">
        <v>181</v>
      </c>
    </row>
    <row r="2296" spans="1:28" x14ac:dyDescent="0.25">
      <c r="A2296" t="s">
        <v>4211</v>
      </c>
      <c r="B2296" t="s">
        <v>4212</v>
      </c>
      <c r="C2296" t="s">
        <v>646</v>
      </c>
      <c r="D2296" t="s">
        <v>3779</v>
      </c>
      <c r="E2296" t="s">
        <v>647</v>
      </c>
      <c r="F2296" t="s">
        <v>3780</v>
      </c>
      <c r="G2296" t="s">
        <v>769</v>
      </c>
      <c r="H2296" t="s">
        <v>1175</v>
      </c>
      <c r="I2296" t="s">
        <v>4213</v>
      </c>
      <c r="J2296" t="s">
        <v>437</v>
      </c>
      <c r="K2296" t="s">
        <v>166</v>
      </c>
      <c r="L2296" t="s">
        <v>0</v>
      </c>
      <c r="M2296" t="s">
        <v>178</v>
      </c>
      <c r="N2296">
        <v>10</v>
      </c>
      <c r="O2296">
        <v>6</v>
      </c>
      <c r="P2296">
        <v>142</v>
      </c>
      <c r="Q2296">
        <v>282.60000000000002</v>
      </c>
      <c r="R2296">
        <v>29.8</v>
      </c>
      <c r="S2296">
        <v>39.66932551</v>
      </c>
      <c r="T2296">
        <v>0</v>
      </c>
      <c r="U2296">
        <v>0</v>
      </c>
      <c r="V2296">
        <v>29.8</v>
      </c>
      <c r="W2296" t="s">
        <v>510</v>
      </c>
      <c r="X2296" t="s">
        <v>271</v>
      </c>
      <c r="Y2296" t="s">
        <v>4214</v>
      </c>
      <c r="Z2296" t="s">
        <v>4175</v>
      </c>
      <c r="AA2296" t="s">
        <v>4215</v>
      </c>
      <c r="AB2296" t="s">
        <v>181</v>
      </c>
    </row>
    <row r="2297" spans="1:28" x14ac:dyDescent="0.25">
      <c r="A2297" t="s">
        <v>4082</v>
      </c>
      <c r="B2297" t="s">
        <v>257</v>
      </c>
      <c r="C2297" t="s">
        <v>646</v>
      </c>
      <c r="D2297" t="s">
        <v>3779</v>
      </c>
      <c r="E2297" t="s">
        <v>647</v>
      </c>
      <c r="F2297" t="s">
        <v>3780</v>
      </c>
      <c r="G2297" t="s">
        <v>769</v>
      </c>
      <c r="H2297" t="s">
        <v>770</v>
      </c>
      <c r="I2297" t="s">
        <v>4083</v>
      </c>
      <c r="J2297" t="s">
        <v>1972</v>
      </c>
      <c r="K2297" t="s">
        <v>166</v>
      </c>
      <c r="L2297" t="s">
        <v>0</v>
      </c>
      <c r="M2297" t="s">
        <v>178</v>
      </c>
      <c r="N2297">
        <v>235</v>
      </c>
      <c r="O2297">
        <v>114</v>
      </c>
      <c r="P2297">
        <v>9252</v>
      </c>
      <c r="Q2297">
        <v>7721.99</v>
      </c>
      <c r="R2297">
        <v>1320.95</v>
      </c>
      <c r="S2297">
        <v>805.57362234000004</v>
      </c>
      <c r="T2297">
        <v>0</v>
      </c>
      <c r="U2297">
        <v>0</v>
      </c>
      <c r="V2297">
        <v>1320.95</v>
      </c>
      <c r="W2297" t="s">
        <v>1973</v>
      </c>
      <c r="X2297" t="s">
        <v>271</v>
      </c>
      <c r="Y2297" t="s">
        <v>4084</v>
      </c>
      <c r="AA2297" t="s">
        <v>4085</v>
      </c>
      <c r="AB2297" t="s">
        <v>181</v>
      </c>
    </row>
    <row r="2298" spans="1:28" x14ac:dyDescent="0.25">
      <c r="A2298" t="s">
        <v>4143</v>
      </c>
      <c r="B2298" t="s">
        <v>4144</v>
      </c>
      <c r="C2298" t="s">
        <v>646</v>
      </c>
      <c r="D2298" t="s">
        <v>3779</v>
      </c>
      <c r="E2298" t="s">
        <v>647</v>
      </c>
      <c r="F2298" t="s">
        <v>3780</v>
      </c>
      <c r="G2298" t="s">
        <v>769</v>
      </c>
      <c r="H2298" t="s">
        <v>683</v>
      </c>
      <c r="I2298" t="s">
        <v>1828</v>
      </c>
      <c r="J2298" t="s">
        <v>1829</v>
      </c>
      <c r="K2298" t="s">
        <v>166</v>
      </c>
      <c r="L2298" t="s">
        <v>0</v>
      </c>
      <c r="M2298" t="s">
        <v>178</v>
      </c>
      <c r="N2298">
        <v>8.5832999999999995</v>
      </c>
      <c r="O2298">
        <v>8.5832999999999995</v>
      </c>
      <c r="P2298">
        <v>276.74</v>
      </c>
      <c r="Q2298">
        <v>288.58999999999997</v>
      </c>
      <c r="R2298">
        <v>65.63</v>
      </c>
      <c r="S2298">
        <v>75.751800380000006</v>
      </c>
      <c r="T2298">
        <v>0</v>
      </c>
      <c r="U2298">
        <v>0</v>
      </c>
      <c r="V2298">
        <v>65.63</v>
      </c>
      <c r="W2298" t="s">
        <v>1361</v>
      </c>
      <c r="X2298" t="s">
        <v>271</v>
      </c>
      <c r="Y2298" t="s">
        <v>4145</v>
      </c>
      <c r="AA2298" t="s">
        <v>4146</v>
      </c>
      <c r="AB2298" t="s">
        <v>181</v>
      </c>
    </row>
    <row r="2299" spans="1:28" x14ac:dyDescent="0.25">
      <c r="A2299" t="s">
        <v>4206</v>
      </c>
      <c r="B2299" t="s">
        <v>4207</v>
      </c>
      <c r="C2299" t="s">
        <v>646</v>
      </c>
      <c r="D2299" t="s">
        <v>3779</v>
      </c>
      <c r="E2299" t="s">
        <v>647</v>
      </c>
      <c r="F2299" t="s">
        <v>3780</v>
      </c>
      <c r="G2299" t="s">
        <v>769</v>
      </c>
      <c r="H2299" t="s">
        <v>1045</v>
      </c>
      <c r="I2299" t="s">
        <v>4208</v>
      </c>
      <c r="J2299" t="s">
        <v>317</v>
      </c>
      <c r="K2299" t="s">
        <v>166</v>
      </c>
      <c r="L2299" t="s">
        <v>0</v>
      </c>
      <c r="M2299" t="s">
        <v>178</v>
      </c>
      <c r="N2299">
        <v>47.499899999999997</v>
      </c>
      <c r="O2299">
        <v>23.4999</v>
      </c>
      <c r="P2299">
        <v>506.5</v>
      </c>
      <c r="Q2299">
        <v>4892.7700000000004</v>
      </c>
      <c r="R2299">
        <v>1008.19</v>
      </c>
      <c r="S2299">
        <v>176.90118107000001</v>
      </c>
      <c r="T2299">
        <v>0</v>
      </c>
      <c r="U2299">
        <v>0</v>
      </c>
      <c r="V2299">
        <v>1008.19</v>
      </c>
      <c r="W2299" t="s">
        <v>340</v>
      </c>
      <c r="X2299" t="s">
        <v>271</v>
      </c>
      <c r="Y2299" t="s">
        <v>4209</v>
      </c>
      <c r="AA2299" t="s">
        <v>4210</v>
      </c>
      <c r="AB2299" t="s">
        <v>181</v>
      </c>
    </row>
    <row r="2300" spans="1:28" x14ac:dyDescent="0.25">
      <c r="A2300" t="s">
        <v>3783</v>
      </c>
      <c r="B2300" t="s">
        <v>3784</v>
      </c>
      <c r="C2300" t="s">
        <v>646</v>
      </c>
      <c r="D2300" t="s">
        <v>3779</v>
      </c>
      <c r="E2300" t="s">
        <v>647</v>
      </c>
      <c r="F2300" t="s">
        <v>666</v>
      </c>
      <c r="G2300" t="s">
        <v>666</v>
      </c>
      <c r="H2300" t="s">
        <v>797</v>
      </c>
      <c r="I2300" t="s">
        <v>3785</v>
      </c>
      <c r="J2300" t="s">
        <v>432</v>
      </c>
      <c r="K2300" t="s">
        <v>166</v>
      </c>
      <c r="L2300" t="s">
        <v>0</v>
      </c>
      <c r="M2300" t="s">
        <v>178</v>
      </c>
      <c r="N2300">
        <v>90</v>
      </c>
      <c r="O2300">
        <v>4</v>
      </c>
      <c r="P2300">
        <v>900</v>
      </c>
      <c r="Q2300">
        <v>3099.85</v>
      </c>
      <c r="R2300">
        <v>552.61</v>
      </c>
      <c r="S2300">
        <v>39.31393731</v>
      </c>
      <c r="T2300">
        <v>0</v>
      </c>
      <c r="U2300">
        <v>0</v>
      </c>
      <c r="V2300">
        <v>552.61</v>
      </c>
      <c r="W2300" t="s">
        <v>0</v>
      </c>
      <c r="X2300" t="s">
        <v>271</v>
      </c>
      <c r="Y2300" t="s">
        <v>3786</v>
      </c>
      <c r="AA2300" t="s">
        <v>3787</v>
      </c>
      <c r="AB2300" t="s">
        <v>181</v>
      </c>
    </row>
    <row r="2301" spans="1:28" x14ac:dyDescent="0.25">
      <c r="A2301" t="s">
        <v>4074</v>
      </c>
      <c r="B2301" t="s">
        <v>4075</v>
      </c>
      <c r="C2301" t="s">
        <v>646</v>
      </c>
      <c r="D2301" t="s">
        <v>3779</v>
      </c>
      <c r="E2301" t="s">
        <v>647</v>
      </c>
      <c r="F2301" t="s">
        <v>3780</v>
      </c>
      <c r="G2301" t="s">
        <v>769</v>
      </c>
      <c r="H2301" t="s">
        <v>1171</v>
      </c>
      <c r="I2301" t="s">
        <v>1284</v>
      </c>
      <c r="J2301" t="s">
        <v>1285</v>
      </c>
      <c r="K2301" t="s">
        <v>166</v>
      </c>
      <c r="L2301" t="s">
        <v>0</v>
      </c>
      <c r="M2301" t="s">
        <v>178</v>
      </c>
      <c r="N2301">
        <v>11</v>
      </c>
      <c r="O2301">
        <v>11</v>
      </c>
      <c r="P2301">
        <v>178.3</v>
      </c>
      <c r="Q2301">
        <v>1023.32</v>
      </c>
      <c r="R2301">
        <v>250.9</v>
      </c>
      <c r="S2301">
        <v>192.07315019999999</v>
      </c>
      <c r="T2301">
        <v>0</v>
      </c>
      <c r="U2301">
        <v>0</v>
      </c>
      <c r="V2301">
        <v>250.9</v>
      </c>
      <c r="W2301" t="s">
        <v>1286</v>
      </c>
      <c r="X2301" t="s">
        <v>269</v>
      </c>
      <c r="Y2301" t="s">
        <v>4076</v>
      </c>
      <c r="AA2301" t="s">
        <v>4077</v>
      </c>
      <c r="AB2301" t="s">
        <v>181</v>
      </c>
    </row>
    <row r="2302" spans="1:28" x14ac:dyDescent="0.25">
      <c r="A2302" t="s">
        <v>4196</v>
      </c>
      <c r="B2302" t="s">
        <v>4197</v>
      </c>
      <c r="C2302" t="s">
        <v>646</v>
      </c>
      <c r="D2302" t="s">
        <v>3779</v>
      </c>
      <c r="E2302" t="s">
        <v>647</v>
      </c>
      <c r="F2302" t="s">
        <v>3780</v>
      </c>
      <c r="G2302" t="s">
        <v>769</v>
      </c>
      <c r="H2302" t="s">
        <v>802</v>
      </c>
      <c r="I2302" t="s">
        <v>4198</v>
      </c>
      <c r="J2302" t="s">
        <v>870</v>
      </c>
      <c r="K2302" t="s">
        <v>166</v>
      </c>
      <c r="L2302" t="s">
        <v>0</v>
      </c>
      <c r="M2302" t="s">
        <v>178</v>
      </c>
      <c r="N2302">
        <v>11</v>
      </c>
      <c r="O2302">
        <v>11</v>
      </c>
      <c r="P2302">
        <v>115</v>
      </c>
      <c r="Q2302">
        <v>327.19</v>
      </c>
      <c r="R2302">
        <v>55.44</v>
      </c>
      <c r="S2302">
        <v>22.90758121</v>
      </c>
      <c r="T2302">
        <v>0</v>
      </c>
      <c r="U2302">
        <v>0</v>
      </c>
      <c r="V2302">
        <v>55.44</v>
      </c>
      <c r="W2302" t="s">
        <v>871</v>
      </c>
      <c r="X2302" t="s">
        <v>271</v>
      </c>
      <c r="Y2302" t="s">
        <v>4199</v>
      </c>
      <c r="AA2302" t="s">
        <v>4200</v>
      </c>
      <c r="AB2302" t="s">
        <v>181</v>
      </c>
    </row>
    <row r="2303" spans="1:28" x14ac:dyDescent="0.25">
      <c r="A2303" t="s">
        <v>4117</v>
      </c>
      <c r="B2303" t="s">
        <v>4118</v>
      </c>
      <c r="C2303" t="s">
        <v>646</v>
      </c>
      <c r="D2303" t="s">
        <v>3779</v>
      </c>
      <c r="E2303" t="s">
        <v>647</v>
      </c>
      <c r="F2303" t="s">
        <v>3780</v>
      </c>
      <c r="G2303" t="s">
        <v>769</v>
      </c>
      <c r="H2303" t="s">
        <v>1159</v>
      </c>
      <c r="I2303" t="s">
        <v>1190</v>
      </c>
      <c r="J2303" t="s">
        <v>1191</v>
      </c>
      <c r="K2303" t="s">
        <v>166</v>
      </c>
      <c r="L2303" t="s">
        <v>0</v>
      </c>
      <c r="M2303" t="s">
        <v>178</v>
      </c>
      <c r="N2303">
        <v>26</v>
      </c>
      <c r="O2303">
        <v>0</v>
      </c>
      <c r="P2303">
        <v>273</v>
      </c>
      <c r="Q2303">
        <v>1436.24</v>
      </c>
      <c r="R2303">
        <v>93.86</v>
      </c>
      <c r="S2303">
        <v>65.378869179999995</v>
      </c>
      <c r="T2303">
        <v>32.5</v>
      </c>
      <c r="U2303">
        <v>0</v>
      </c>
      <c r="V2303">
        <v>93.86</v>
      </c>
      <c r="W2303" t="s">
        <v>282</v>
      </c>
      <c r="X2303" t="s">
        <v>271</v>
      </c>
      <c r="Y2303" t="s">
        <v>2170</v>
      </c>
      <c r="AA2303" t="s">
        <v>2171</v>
      </c>
      <c r="AB2303" t="s">
        <v>181</v>
      </c>
    </row>
    <row r="2304" spans="1:28" x14ac:dyDescent="0.25">
      <c r="A2304" t="s">
        <v>3965</v>
      </c>
      <c r="B2304" t="s">
        <v>3966</v>
      </c>
      <c r="C2304" t="s">
        <v>646</v>
      </c>
      <c r="D2304" t="s">
        <v>3779</v>
      </c>
      <c r="E2304" t="s">
        <v>647</v>
      </c>
      <c r="F2304" t="s">
        <v>3780</v>
      </c>
      <c r="G2304" t="s">
        <v>769</v>
      </c>
      <c r="H2304" t="s">
        <v>708</v>
      </c>
      <c r="I2304" t="s">
        <v>2339</v>
      </c>
      <c r="J2304" t="s">
        <v>2165</v>
      </c>
      <c r="K2304" t="s">
        <v>166</v>
      </c>
      <c r="L2304" t="s">
        <v>0</v>
      </c>
      <c r="M2304" t="s">
        <v>178</v>
      </c>
      <c r="N2304">
        <v>1</v>
      </c>
      <c r="O2304">
        <v>1</v>
      </c>
      <c r="P2304">
        <v>5.54</v>
      </c>
      <c r="Q2304">
        <v>54.38</v>
      </c>
      <c r="R2304">
        <v>4.0999999999999996</v>
      </c>
      <c r="S2304">
        <v>37.088503500000002</v>
      </c>
      <c r="T2304">
        <v>0</v>
      </c>
      <c r="U2304">
        <v>0</v>
      </c>
      <c r="V2304">
        <v>4.0999999999999996</v>
      </c>
      <c r="W2304" t="s">
        <v>2166</v>
      </c>
      <c r="X2304" t="s">
        <v>271</v>
      </c>
      <c r="Y2304" t="s">
        <v>3967</v>
      </c>
      <c r="AA2304" t="s">
        <v>3968</v>
      </c>
      <c r="AB2304" t="s">
        <v>181</v>
      </c>
    </row>
    <row r="2305" spans="1:28" x14ac:dyDescent="0.25">
      <c r="A2305" t="s">
        <v>3875</v>
      </c>
      <c r="B2305" t="s">
        <v>3876</v>
      </c>
      <c r="C2305" t="s">
        <v>646</v>
      </c>
      <c r="D2305" t="s">
        <v>3779</v>
      </c>
      <c r="E2305" t="s">
        <v>647</v>
      </c>
      <c r="F2305" t="s">
        <v>3780</v>
      </c>
      <c r="G2305" t="s">
        <v>769</v>
      </c>
      <c r="H2305" t="s">
        <v>1515</v>
      </c>
      <c r="I2305" t="s">
        <v>1190</v>
      </c>
      <c r="J2305" t="s">
        <v>1191</v>
      </c>
      <c r="K2305" t="s">
        <v>166</v>
      </c>
      <c r="L2305" t="s">
        <v>0</v>
      </c>
      <c r="M2305" t="s">
        <v>178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 t="s">
        <v>282</v>
      </c>
      <c r="X2305" t="s">
        <v>271</v>
      </c>
      <c r="Y2305" t="s">
        <v>2170</v>
      </c>
      <c r="AA2305" t="s">
        <v>2171</v>
      </c>
      <c r="AB2305" t="s">
        <v>181</v>
      </c>
    </row>
    <row r="2306" spans="1:28" x14ac:dyDescent="0.25">
      <c r="A2306" t="s">
        <v>4370</v>
      </c>
      <c r="B2306" t="s">
        <v>4371</v>
      </c>
      <c r="C2306" t="s">
        <v>646</v>
      </c>
      <c r="D2306" t="s">
        <v>3779</v>
      </c>
      <c r="E2306" t="s">
        <v>647</v>
      </c>
      <c r="F2306" t="s">
        <v>666</v>
      </c>
      <c r="G2306" t="s">
        <v>666</v>
      </c>
      <c r="H2306" t="s">
        <v>717</v>
      </c>
      <c r="I2306" t="s">
        <v>4372</v>
      </c>
      <c r="J2306" t="s">
        <v>355</v>
      </c>
      <c r="K2306" t="s">
        <v>166</v>
      </c>
      <c r="L2306" t="s">
        <v>0</v>
      </c>
      <c r="M2306" t="s">
        <v>178</v>
      </c>
      <c r="N2306">
        <v>163</v>
      </c>
      <c r="O2306">
        <v>0</v>
      </c>
      <c r="P2306">
        <v>2167.9</v>
      </c>
      <c r="Q2306">
        <v>8073.93</v>
      </c>
      <c r="R2306">
        <v>2220.6</v>
      </c>
      <c r="S2306">
        <v>65.026702040000004</v>
      </c>
      <c r="T2306">
        <v>0</v>
      </c>
      <c r="U2306">
        <v>0</v>
      </c>
      <c r="V2306">
        <v>2220.6</v>
      </c>
      <c r="W2306" t="s">
        <v>0</v>
      </c>
      <c r="X2306" t="s">
        <v>271</v>
      </c>
      <c r="Y2306" t="s">
        <v>4373</v>
      </c>
      <c r="AA2306" t="s">
        <v>3894</v>
      </c>
      <c r="AB2306" t="s">
        <v>181</v>
      </c>
    </row>
    <row r="2307" spans="1:28" x14ac:dyDescent="0.25">
      <c r="A2307" t="s">
        <v>4316</v>
      </c>
      <c r="B2307" t="s">
        <v>4317</v>
      </c>
      <c r="C2307" t="s">
        <v>646</v>
      </c>
      <c r="D2307" t="s">
        <v>3779</v>
      </c>
      <c r="E2307" t="s">
        <v>647</v>
      </c>
      <c r="F2307" t="s">
        <v>3780</v>
      </c>
      <c r="G2307" t="s">
        <v>769</v>
      </c>
      <c r="H2307" t="s">
        <v>703</v>
      </c>
      <c r="I2307" t="s">
        <v>1290</v>
      </c>
      <c r="J2307" t="s">
        <v>1291</v>
      </c>
      <c r="K2307" t="s">
        <v>166</v>
      </c>
      <c r="L2307" t="s">
        <v>0</v>
      </c>
      <c r="M2307" t="s">
        <v>178</v>
      </c>
      <c r="N2307">
        <v>462.41669999999999</v>
      </c>
      <c r="O2307">
        <v>241.91659999999999</v>
      </c>
      <c r="P2307">
        <v>7665.25</v>
      </c>
      <c r="Q2307">
        <v>17075.849999999999</v>
      </c>
      <c r="R2307">
        <v>4245.5038760799998</v>
      </c>
      <c r="S2307">
        <v>2468.0974140600001</v>
      </c>
      <c r="T2307">
        <v>-4.6123919999999999E-2</v>
      </c>
      <c r="U2307">
        <v>0</v>
      </c>
      <c r="V2307">
        <v>4245.55</v>
      </c>
      <c r="W2307" t="s">
        <v>1292</v>
      </c>
      <c r="X2307" t="s">
        <v>271</v>
      </c>
      <c r="Y2307" t="s">
        <v>4318</v>
      </c>
      <c r="AA2307" t="s">
        <v>4319</v>
      </c>
      <c r="AB2307" t="s">
        <v>181</v>
      </c>
    </row>
    <row r="2308" spans="1:28" x14ac:dyDescent="0.25">
      <c r="A2308" t="s">
        <v>4155</v>
      </c>
      <c r="B2308" t="s">
        <v>4156</v>
      </c>
      <c r="C2308" t="s">
        <v>646</v>
      </c>
      <c r="D2308" t="s">
        <v>3779</v>
      </c>
      <c r="E2308" t="s">
        <v>647</v>
      </c>
      <c r="F2308" t="s">
        <v>3780</v>
      </c>
      <c r="G2308" t="s">
        <v>769</v>
      </c>
      <c r="H2308" t="s">
        <v>679</v>
      </c>
      <c r="I2308" t="s">
        <v>885</v>
      </c>
      <c r="J2308" t="s">
        <v>324</v>
      </c>
      <c r="K2308" t="s">
        <v>166</v>
      </c>
      <c r="L2308" t="s">
        <v>0</v>
      </c>
      <c r="M2308" t="s">
        <v>178</v>
      </c>
      <c r="N2308">
        <v>708</v>
      </c>
      <c r="O2308">
        <v>611</v>
      </c>
      <c r="P2308">
        <v>5655.71</v>
      </c>
      <c r="Q2308">
        <v>17889.18</v>
      </c>
      <c r="R2308">
        <v>-1358.2089911</v>
      </c>
      <c r="S2308">
        <v>7156.5216177499997</v>
      </c>
      <c r="T2308">
        <v>-25.698991100000001</v>
      </c>
      <c r="U2308">
        <v>0</v>
      </c>
      <c r="V2308">
        <v>-1332.51</v>
      </c>
      <c r="W2308" t="s">
        <v>519</v>
      </c>
      <c r="X2308" t="s">
        <v>271</v>
      </c>
      <c r="Y2308" t="s">
        <v>4157</v>
      </c>
      <c r="AA2308" t="s">
        <v>4158</v>
      </c>
      <c r="AB2308" t="s">
        <v>181</v>
      </c>
    </row>
    <row r="2309" spans="1:28" x14ac:dyDescent="0.25">
      <c r="A2309" t="s">
        <v>4206</v>
      </c>
      <c r="B2309" t="s">
        <v>4207</v>
      </c>
      <c r="C2309" t="s">
        <v>646</v>
      </c>
      <c r="D2309" t="s">
        <v>3779</v>
      </c>
      <c r="E2309" t="s">
        <v>647</v>
      </c>
      <c r="F2309" t="s">
        <v>3780</v>
      </c>
      <c r="G2309" t="s">
        <v>769</v>
      </c>
      <c r="H2309" t="s">
        <v>703</v>
      </c>
      <c r="I2309" t="s">
        <v>4208</v>
      </c>
      <c r="J2309" t="s">
        <v>317</v>
      </c>
      <c r="K2309" t="s">
        <v>166</v>
      </c>
      <c r="L2309" t="s">
        <v>0</v>
      </c>
      <c r="M2309" t="s">
        <v>178</v>
      </c>
      <c r="N2309">
        <v>1173.2249999999999</v>
      </c>
      <c r="O2309">
        <v>291.125</v>
      </c>
      <c r="P2309">
        <v>12647.5</v>
      </c>
      <c r="Q2309">
        <v>38821.15</v>
      </c>
      <c r="R2309">
        <v>13403.20699678</v>
      </c>
      <c r="S2309">
        <v>4616.8852352599997</v>
      </c>
      <c r="T2309">
        <v>0.20699677999999999</v>
      </c>
      <c r="U2309">
        <v>0</v>
      </c>
      <c r="V2309">
        <v>13403</v>
      </c>
      <c r="W2309" t="s">
        <v>340</v>
      </c>
      <c r="X2309" t="s">
        <v>271</v>
      </c>
      <c r="Y2309" t="s">
        <v>4209</v>
      </c>
      <c r="AA2309" t="s">
        <v>4210</v>
      </c>
      <c r="AB2309" t="s">
        <v>181</v>
      </c>
    </row>
    <row r="2310" spans="1:28" x14ac:dyDescent="0.25">
      <c r="A2310" t="s">
        <v>3973</v>
      </c>
      <c r="B2310" t="s">
        <v>3974</v>
      </c>
      <c r="C2310" t="s">
        <v>646</v>
      </c>
      <c r="D2310" t="s">
        <v>3779</v>
      </c>
      <c r="E2310" t="s">
        <v>647</v>
      </c>
      <c r="F2310" t="s">
        <v>3780</v>
      </c>
      <c r="G2310" t="s">
        <v>769</v>
      </c>
      <c r="H2310" t="s">
        <v>713</v>
      </c>
      <c r="I2310" t="s">
        <v>880</v>
      </c>
      <c r="J2310" t="s">
        <v>881</v>
      </c>
      <c r="K2310" t="s">
        <v>166</v>
      </c>
      <c r="L2310" t="s">
        <v>0</v>
      </c>
      <c r="M2310" t="s">
        <v>178</v>
      </c>
      <c r="N2310">
        <v>587.75</v>
      </c>
      <c r="O2310">
        <v>152</v>
      </c>
      <c r="P2310">
        <v>12620.19</v>
      </c>
      <c r="Q2310">
        <v>8892.44</v>
      </c>
      <c r="R2310">
        <v>1010.70569009</v>
      </c>
      <c r="S2310">
        <v>435.07063331000001</v>
      </c>
      <c r="T2310">
        <v>89.555690089999999</v>
      </c>
      <c r="U2310">
        <v>2.37</v>
      </c>
      <c r="V2310">
        <v>943.52</v>
      </c>
      <c r="W2310" t="s">
        <v>0</v>
      </c>
      <c r="X2310" t="s">
        <v>271</v>
      </c>
      <c r="Y2310" t="s">
        <v>3975</v>
      </c>
      <c r="AA2310" t="s">
        <v>3976</v>
      </c>
      <c r="AB2310" t="s">
        <v>181</v>
      </c>
    </row>
    <row r="2311" spans="1:28" x14ac:dyDescent="0.25">
      <c r="A2311" t="s">
        <v>4031</v>
      </c>
      <c r="B2311" t="s">
        <v>4032</v>
      </c>
      <c r="C2311" t="s">
        <v>646</v>
      </c>
      <c r="D2311" t="s">
        <v>3779</v>
      </c>
      <c r="E2311" t="s">
        <v>647</v>
      </c>
      <c r="F2311" t="s">
        <v>3780</v>
      </c>
      <c r="G2311" t="s">
        <v>769</v>
      </c>
      <c r="H2311" t="s">
        <v>909</v>
      </c>
      <c r="I2311" t="s">
        <v>1513</v>
      </c>
      <c r="J2311" t="s">
        <v>333</v>
      </c>
      <c r="K2311" t="s">
        <v>166</v>
      </c>
      <c r="L2311" t="s">
        <v>0</v>
      </c>
      <c r="M2311" t="s">
        <v>178</v>
      </c>
      <c r="N2311">
        <v>553.75</v>
      </c>
      <c r="O2311">
        <v>553.75</v>
      </c>
      <c r="P2311">
        <v>18219.080000000002</v>
      </c>
      <c r="Q2311">
        <v>19317.43</v>
      </c>
      <c r="R2311">
        <v>680.65805852999995</v>
      </c>
      <c r="S2311">
        <v>5526.3104875899999</v>
      </c>
      <c r="T2311">
        <v>1.8780585299999999</v>
      </c>
      <c r="U2311">
        <v>971.62</v>
      </c>
      <c r="V2311">
        <v>1650.4</v>
      </c>
      <c r="W2311" t="s">
        <v>718</v>
      </c>
      <c r="X2311" t="s">
        <v>271</v>
      </c>
      <c r="Y2311" t="s">
        <v>4033</v>
      </c>
      <c r="AA2311" t="s">
        <v>4034</v>
      </c>
      <c r="AB2311" t="s">
        <v>181</v>
      </c>
    </row>
    <row r="2312" spans="1:28" x14ac:dyDescent="0.25">
      <c r="A2312" t="s">
        <v>4098</v>
      </c>
      <c r="B2312" t="s">
        <v>4099</v>
      </c>
      <c r="C2312" t="s">
        <v>646</v>
      </c>
      <c r="D2312" t="s">
        <v>3779</v>
      </c>
      <c r="E2312" t="s">
        <v>647</v>
      </c>
      <c r="F2312" t="s">
        <v>666</v>
      </c>
      <c r="G2312" t="s">
        <v>666</v>
      </c>
      <c r="H2312" t="s">
        <v>683</v>
      </c>
      <c r="I2312" t="s">
        <v>765</v>
      </c>
      <c r="J2312" t="s">
        <v>436</v>
      </c>
      <c r="K2312" t="s">
        <v>166</v>
      </c>
      <c r="L2312" t="s">
        <v>0</v>
      </c>
      <c r="M2312" t="s">
        <v>178</v>
      </c>
      <c r="N2312">
        <v>2007.8055999999999</v>
      </c>
      <c r="O2312">
        <v>622.25</v>
      </c>
      <c r="P2312">
        <v>29876.34</v>
      </c>
      <c r="Q2312">
        <v>77686.73</v>
      </c>
      <c r="R2312">
        <v>7896.0491015500002</v>
      </c>
      <c r="S2312">
        <v>8418.1552241499994</v>
      </c>
      <c r="T2312">
        <v>102.85910155000001</v>
      </c>
      <c r="U2312">
        <v>0</v>
      </c>
      <c r="V2312">
        <v>7901.19</v>
      </c>
      <c r="W2312" t="s">
        <v>0</v>
      </c>
      <c r="X2312" t="s">
        <v>271</v>
      </c>
      <c r="Y2312" t="s">
        <v>4100</v>
      </c>
      <c r="AA2312" t="s">
        <v>4101</v>
      </c>
      <c r="AB2312" t="s">
        <v>181</v>
      </c>
    </row>
    <row r="2313" spans="1:28" x14ac:dyDescent="0.25">
      <c r="A2313" t="s">
        <v>3938</v>
      </c>
      <c r="B2313" t="s">
        <v>3939</v>
      </c>
      <c r="C2313" t="s">
        <v>646</v>
      </c>
      <c r="D2313" t="s">
        <v>3779</v>
      </c>
      <c r="E2313" t="s">
        <v>647</v>
      </c>
      <c r="F2313" t="s">
        <v>3780</v>
      </c>
      <c r="G2313" t="s">
        <v>769</v>
      </c>
      <c r="H2313" t="s">
        <v>770</v>
      </c>
      <c r="I2313" t="s">
        <v>3940</v>
      </c>
      <c r="J2313" t="s">
        <v>3941</v>
      </c>
      <c r="K2313" t="s">
        <v>166</v>
      </c>
      <c r="L2313" t="s">
        <v>0</v>
      </c>
      <c r="M2313" t="s">
        <v>178</v>
      </c>
      <c r="N2313">
        <v>500.25</v>
      </c>
      <c r="O2313">
        <v>324.25</v>
      </c>
      <c r="P2313">
        <v>6038.25</v>
      </c>
      <c r="Q2313">
        <v>9205.5300000000007</v>
      </c>
      <c r="R2313">
        <v>1212.5899999999999</v>
      </c>
      <c r="S2313">
        <v>1529.74321145</v>
      </c>
      <c r="T2313">
        <v>0</v>
      </c>
      <c r="U2313">
        <v>0</v>
      </c>
      <c r="V2313">
        <v>1212.5899999999999</v>
      </c>
      <c r="W2313" t="s">
        <v>0</v>
      </c>
      <c r="X2313" t="s">
        <v>271</v>
      </c>
      <c r="Y2313" t="s">
        <v>3942</v>
      </c>
      <c r="AA2313" t="s">
        <v>3943</v>
      </c>
      <c r="AB2313" t="s">
        <v>181</v>
      </c>
    </row>
    <row r="2314" spans="1:28" x14ac:dyDescent="0.25">
      <c r="A2314" t="s">
        <v>4092</v>
      </c>
      <c r="B2314" t="s">
        <v>4093</v>
      </c>
      <c r="C2314" t="s">
        <v>646</v>
      </c>
      <c r="D2314" t="s">
        <v>3779</v>
      </c>
      <c r="E2314" t="s">
        <v>647</v>
      </c>
      <c r="F2314" t="s">
        <v>3780</v>
      </c>
      <c r="G2314" t="s">
        <v>769</v>
      </c>
      <c r="H2314" t="s">
        <v>761</v>
      </c>
      <c r="I2314" t="s">
        <v>4094</v>
      </c>
      <c r="J2314" t="s">
        <v>370</v>
      </c>
      <c r="K2314" t="s">
        <v>166</v>
      </c>
      <c r="L2314" t="s">
        <v>0</v>
      </c>
      <c r="M2314" t="s">
        <v>178</v>
      </c>
      <c r="N2314">
        <v>37</v>
      </c>
      <c r="O2314">
        <v>26</v>
      </c>
      <c r="P2314">
        <v>1068.4100000000001</v>
      </c>
      <c r="Q2314">
        <v>1406.77</v>
      </c>
      <c r="R2314">
        <v>212.77</v>
      </c>
      <c r="S2314">
        <v>231.52124140999999</v>
      </c>
      <c r="T2314">
        <v>0</v>
      </c>
      <c r="U2314">
        <v>0</v>
      </c>
      <c r="V2314">
        <v>212.77</v>
      </c>
      <c r="W2314" t="s">
        <v>314</v>
      </c>
      <c r="X2314" t="s">
        <v>271</v>
      </c>
      <c r="Y2314" t="s">
        <v>4095</v>
      </c>
      <c r="Z2314" t="s">
        <v>4096</v>
      </c>
      <c r="AA2314" t="s">
        <v>4097</v>
      </c>
      <c r="AB2314" t="s">
        <v>181</v>
      </c>
    </row>
    <row r="2315" spans="1:28" x14ac:dyDescent="0.25">
      <c r="A2315" t="s">
        <v>4135</v>
      </c>
      <c r="B2315" t="s">
        <v>4136</v>
      </c>
      <c r="C2315" t="s">
        <v>646</v>
      </c>
      <c r="D2315" t="s">
        <v>3779</v>
      </c>
      <c r="E2315" t="s">
        <v>647</v>
      </c>
      <c r="F2315" t="s">
        <v>3780</v>
      </c>
      <c r="G2315" t="s">
        <v>769</v>
      </c>
      <c r="H2315" t="s">
        <v>703</v>
      </c>
      <c r="I2315" t="s">
        <v>1083</v>
      </c>
      <c r="J2315" t="s">
        <v>731</v>
      </c>
      <c r="K2315" t="s">
        <v>166</v>
      </c>
      <c r="L2315" t="s">
        <v>0</v>
      </c>
      <c r="M2315" t="s">
        <v>178</v>
      </c>
      <c r="N2315">
        <v>1963.9161999999999</v>
      </c>
      <c r="O2315">
        <v>1120.0830000000001</v>
      </c>
      <c r="P2315">
        <v>27058.68</v>
      </c>
      <c r="Q2315">
        <v>74176.33</v>
      </c>
      <c r="R2315">
        <v>19734.854997729999</v>
      </c>
      <c r="S2315">
        <v>11894.90255796</v>
      </c>
      <c r="T2315">
        <v>0.18499773</v>
      </c>
      <c r="U2315">
        <v>0</v>
      </c>
      <c r="V2315">
        <v>19734.669999999998</v>
      </c>
      <c r="W2315" t="s">
        <v>0</v>
      </c>
      <c r="X2315" t="s">
        <v>271</v>
      </c>
      <c r="Y2315" t="s">
        <v>4137</v>
      </c>
      <c r="AA2315" t="s">
        <v>4138</v>
      </c>
      <c r="AB2315" t="s">
        <v>181</v>
      </c>
    </row>
    <row r="2316" spans="1:28" x14ac:dyDescent="0.25">
      <c r="A2316" t="s">
        <v>4092</v>
      </c>
      <c r="B2316" t="s">
        <v>4093</v>
      </c>
      <c r="C2316" t="s">
        <v>646</v>
      </c>
      <c r="D2316" t="s">
        <v>3779</v>
      </c>
      <c r="E2316" t="s">
        <v>647</v>
      </c>
      <c r="F2316" t="s">
        <v>3780</v>
      </c>
      <c r="G2316" t="s">
        <v>769</v>
      </c>
      <c r="H2316" t="s">
        <v>717</v>
      </c>
      <c r="I2316" t="s">
        <v>4094</v>
      </c>
      <c r="J2316" t="s">
        <v>370</v>
      </c>
      <c r="K2316" t="s">
        <v>166</v>
      </c>
      <c r="L2316" t="s">
        <v>0</v>
      </c>
      <c r="M2316" t="s">
        <v>178</v>
      </c>
      <c r="N2316">
        <v>66</v>
      </c>
      <c r="O2316">
        <v>22</v>
      </c>
      <c r="P2316">
        <v>997.1</v>
      </c>
      <c r="Q2316">
        <v>3704.95</v>
      </c>
      <c r="R2316">
        <v>365.61</v>
      </c>
      <c r="S2316">
        <v>95.011973670000003</v>
      </c>
      <c r="T2316">
        <v>0</v>
      </c>
      <c r="U2316">
        <v>0</v>
      </c>
      <c r="V2316">
        <v>365.61</v>
      </c>
      <c r="W2316" t="s">
        <v>314</v>
      </c>
      <c r="X2316" t="s">
        <v>271</v>
      </c>
      <c r="Y2316" t="s">
        <v>4095</v>
      </c>
      <c r="Z2316" t="s">
        <v>4096</v>
      </c>
      <c r="AA2316" t="s">
        <v>4097</v>
      </c>
      <c r="AB2316" t="s">
        <v>181</v>
      </c>
    </row>
    <row r="2317" spans="1:28" x14ac:dyDescent="0.25">
      <c r="A2317" t="s">
        <v>3877</v>
      </c>
      <c r="B2317" t="s">
        <v>3878</v>
      </c>
      <c r="C2317" t="s">
        <v>646</v>
      </c>
      <c r="D2317" t="s">
        <v>3779</v>
      </c>
      <c r="E2317" t="s">
        <v>647</v>
      </c>
      <c r="F2317" t="s">
        <v>648</v>
      </c>
      <c r="G2317" t="s">
        <v>648</v>
      </c>
      <c r="H2317" t="s">
        <v>713</v>
      </c>
      <c r="I2317" t="s">
        <v>3879</v>
      </c>
      <c r="J2317" t="s">
        <v>3880</v>
      </c>
      <c r="K2317" t="s">
        <v>166</v>
      </c>
      <c r="L2317" t="s">
        <v>0</v>
      </c>
      <c r="M2317" t="s">
        <v>178</v>
      </c>
      <c r="N2317">
        <v>25</v>
      </c>
      <c r="O2317">
        <v>0</v>
      </c>
      <c r="P2317">
        <v>1207.21</v>
      </c>
      <c r="Q2317">
        <v>1922.95</v>
      </c>
      <c r="R2317">
        <v>95.795149359999996</v>
      </c>
      <c r="S2317">
        <v>0</v>
      </c>
      <c r="T2317">
        <v>8.4951493599999992</v>
      </c>
      <c r="U2317">
        <v>0</v>
      </c>
      <c r="V2317">
        <v>87.3</v>
      </c>
      <c r="W2317" t="s">
        <v>1079</v>
      </c>
      <c r="X2317" t="s">
        <v>271</v>
      </c>
      <c r="Y2317" t="s">
        <v>3881</v>
      </c>
      <c r="AA2317" t="s">
        <v>3882</v>
      </c>
      <c r="AB2317" t="s">
        <v>181</v>
      </c>
    </row>
    <row r="2318" spans="1:28" x14ac:dyDescent="0.25">
      <c r="A2318" t="s">
        <v>4092</v>
      </c>
      <c r="B2318" t="s">
        <v>4093</v>
      </c>
      <c r="C2318" t="s">
        <v>646</v>
      </c>
      <c r="D2318" t="s">
        <v>3779</v>
      </c>
      <c r="E2318" t="s">
        <v>647</v>
      </c>
      <c r="F2318" t="s">
        <v>3780</v>
      </c>
      <c r="G2318" t="s">
        <v>769</v>
      </c>
      <c r="H2318" t="s">
        <v>713</v>
      </c>
      <c r="I2318" t="s">
        <v>4094</v>
      </c>
      <c r="J2318" t="s">
        <v>370</v>
      </c>
      <c r="K2318" t="s">
        <v>166</v>
      </c>
      <c r="L2318" t="s">
        <v>0</v>
      </c>
      <c r="M2318" t="s">
        <v>178</v>
      </c>
      <c r="N2318">
        <v>211</v>
      </c>
      <c r="O2318">
        <v>50</v>
      </c>
      <c r="P2318">
        <v>5019.54</v>
      </c>
      <c r="Q2318">
        <v>5236.18</v>
      </c>
      <c r="R2318">
        <v>617.59696096000005</v>
      </c>
      <c r="S2318">
        <v>289.09206482000002</v>
      </c>
      <c r="T2318">
        <v>93.456960960000004</v>
      </c>
      <c r="U2318">
        <v>0</v>
      </c>
      <c r="V2318">
        <v>571.78</v>
      </c>
      <c r="W2318" t="s">
        <v>314</v>
      </c>
      <c r="X2318" t="s">
        <v>271</v>
      </c>
      <c r="Y2318" t="s">
        <v>4095</v>
      </c>
      <c r="Z2318" t="s">
        <v>4096</v>
      </c>
      <c r="AA2318" t="s">
        <v>4097</v>
      </c>
      <c r="AB2318" t="s">
        <v>181</v>
      </c>
    </row>
    <row r="2319" spans="1:28" x14ac:dyDescent="0.25">
      <c r="A2319" t="s">
        <v>4353</v>
      </c>
      <c r="B2319" t="s">
        <v>4354</v>
      </c>
      <c r="C2319" t="s">
        <v>646</v>
      </c>
      <c r="D2319" t="s">
        <v>3779</v>
      </c>
      <c r="E2319" t="s">
        <v>647</v>
      </c>
      <c r="F2319" t="s">
        <v>3780</v>
      </c>
      <c r="G2319" t="s">
        <v>769</v>
      </c>
      <c r="H2319" t="s">
        <v>802</v>
      </c>
      <c r="I2319" t="s">
        <v>1160</v>
      </c>
      <c r="J2319" t="s">
        <v>336</v>
      </c>
      <c r="K2319" t="s">
        <v>166</v>
      </c>
      <c r="L2319" t="s">
        <v>0</v>
      </c>
      <c r="M2319" t="s">
        <v>178</v>
      </c>
      <c r="N2319">
        <v>61.666499999999999</v>
      </c>
      <c r="O2319">
        <v>45.833199999999998</v>
      </c>
      <c r="P2319">
        <v>652.13</v>
      </c>
      <c r="Q2319">
        <v>3117.67</v>
      </c>
      <c r="R2319">
        <v>772.24</v>
      </c>
      <c r="S2319">
        <v>344.54339329999999</v>
      </c>
      <c r="T2319">
        <v>0</v>
      </c>
      <c r="U2319">
        <v>0</v>
      </c>
      <c r="V2319">
        <v>772.24</v>
      </c>
      <c r="W2319" t="s">
        <v>461</v>
      </c>
      <c r="X2319" t="s">
        <v>271</v>
      </c>
      <c r="Y2319" t="s">
        <v>4355</v>
      </c>
      <c r="AA2319" t="s">
        <v>4356</v>
      </c>
      <c r="AB2319" t="s">
        <v>181</v>
      </c>
    </row>
    <row r="2320" spans="1:28" x14ac:dyDescent="0.25">
      <c r="A2320" t="s">
        <v>4216</v>
      </c>
      <c r="B2320" t="s">
        <v>4217</v>
      </c>
      <c r="C2320" t="s">
        <v>646</v>
      </c>
      <c r="D2320" t="s">
        <v>3779</v>
      </c>
      <c r="E2320" t="s">
        <v>647</v>
      </c>
      <c r="F2320" t="s">
        <v>666</v>
      </c>
      <c r="G2320" t="s">
        <v>666</v>
      </c>
      <c r="H2320" t="s">
        <v>713</v>
      </c>
      <c r="I2320" t="s">
        <v>1636</v>
      </c>
      <c r="J2320" t="s">
        <v>1637</v>
      </c>
      <c r="K2320" t="s">
        <v>166</v>
      </c>
      <c r="L2320" t="s">
        <v>0</v>
      </c>
      <c r="M2320" t="s">
        <v>178</v>
      </c>
      <c r="N2320">
        <v>114</v>
      </c>
      <c r="O2320">
        <v>5</v>
      </c>
      <c r="P2320">
        <v>1640.84</v>
      </c>
      <c r="Q2320">
        <v>3316.27</v>
      </c>
      <c r="R2320">
        <v>292.46376569</v>
      </c>
      <c r="S2320">
        <v>208.89668843000001</v>
      </c>
      <c r="T2320">
        <v>3.7656899999999999E-3</v>
      </c>
      <c r="U2320">
        <v>0</v>
      </c>
      <c r="V2320">
        <v>292.45999999999998</v>
      </c>
      <c r="W2320" t="s">
        <v>1638</v>
      </c>
      <c r="X2320" t="s">
        <v>271</v>
      </c>
      <c r="Y2320" t="s">
        <v>1639</v>
      </c>
      <c r="AA2320" t="s">
        <v>4218</v>
      </c>
      <c r="AB2320" t="s">
        <v>181</v>
      </c>
    </row>
    <row r="2321" spans="1:28" x14ac:dyDescent="0.25">
      <c r="A2321" t="s">
        <v>3938</v>
      </c>
      <c r="B2321" t="s">
        <v>3939</v>
      </c>
      <c r="C2321" t="s">
        <v>646</v>
      </c>
      <c r="D2321" t="s">
        <v>3779</v>
      </c>
      <c r="E2321" t="s">
        <v>647</v>
      </c>
      <c r="F2321" t="s">
        <v>3780</v>
      </c>
      <c r="G2321" t="s">
        <v>769</v>
      </c>
      <c r="H2321" t="s">
        <v>802</v>
      </c>
      <c r="I2321" t="s">
        <v>3940</v>
      </c>
      <c r="J2321" t="s">
        <v>3941</v>
      </c>
      <c r="K2321" t="s">
        <v>166</v>
      </c>
      <c r="L2321" t="s">
        <v>0</v>
      </c>
      <c r="M2321" t="s">
        <v>178</v>
      </c>
      <c r="N2321">
        <v>391.91680000000002</v>
      </c>
      <c r="O2321">
        <v>383.08330000000001</v>
      </c>
      <c r="P2321">
        <v>7712</v>
      </c>
      <c r="Q2321">
        <v>18566.68</v>
      </c>
      <c r="R2321">
        <v>2609.3000000000002</v>
      </c>
      <c r="S2321">
        <v>1819.0894611399999</v>
      </c>
      <c r="T2321">
        <v>0</v>
      </c>
      <c r="U2321">
        <v>0</v>
      </c>
      <c r="V2321">
        <v>2609.3000000000002</v>
      </c>
      <c r="W2321" t="s">
        <v>0</v>
      </c>
      <c r="X2321" t="s">
        <v>271</v>
      </c>
      <c r="Y2321" t="s">
        <v>3942</v>
      </c>
      <c r="AA2321" t="s">
        <v>3943</v>
      </c>
      <c r="AB2321" t="s">
        <v>181</v>
      </c>
    </row>
    <row r="2322" spans="1:28" x14ac:dyDescent="0.25">
      <c r="A2322" t="s">
        <v>3814</v>
      </c>
      <c r="B2322" t="s">
        <v>3815</v>
      </c>
      <c r="C2322" t="s">
        <v>646</v>
      </c>
      <c r="D2322" t="s">
        <v>3779</v>
      </c>
      <c r="E2322" t="s">
        <v>647</v>
      </c>
      <c r="F2322" t="s">
        <v>3780</v>
      </c>
      <c r="G2322" t="s">
        <v>769</v>
      </c>
      <c r="H2322" t="s">
        <v>757</v>
      </c>
      <c r="I2322" t="s">
        <v>3816</v>
      </c>
      <c r="J2322" t="s">
        <v>548</v>
      </c>
      <c r="K2322" t="s">
        <v>166</v>
      </c>
      <c r="L2322" t="s">
        <v>0</v>
      </c>
      <c r="M2322" t="s">
        <v>178</v>
      </c>
      <c r="N2322">
        <v>90.222099999999998</v>
      </c>
      <c r="O2322">
        <v>63.222099999999998</v>
      </c>
      <c r="P2322">
        <v>1579.37</v>
      </c>
      <c r="Q2322">
        <v>3088.55</v>
      </c>
      <c r="R2322">
        <v>202.51</v>
      </c>
      <c r="S2322">
        <v>415.73473941999998</v>
      </c>
      <c r="T2322">
        <v>0</v>
      </c>
      <c r="U2322">
        <v>68.540000000000006</v>
      </c>
      <c r="V2322">
        <v>271.05</v>
      </c>
      <c r="W2322" t="s">
        <v>241</v>
      </c>
      <c r="X2322" t="s">
        <v>271</v>
      </c>
      <c r="Y2322" t="s">
        <v>3817</v>
      </c>
      <c r="AA2322" t="s">
        <v>3818</v>
      </c>
      <c r="AB2322" t="s">
        <v>181</v>
      </c>
    </row>
    <row r="2323" spans="1:28" x14ac:dyDescent="0.25">
      <c r="A2323" t="s">
        <v>4346</v>
      </c>
      <c r="B2323" t="s">
        <v>257</v>
      </c>
      <c r="C2323" t="s">
        <v>646</v>
      </c>
      <c r="D2323" t="s">
        <v>3779</v>
      </c>
      <c r="E2323" t="s">
        <v>647</v>
      </c>
      <c r="F2323" t="s">
        <v>3780</v>
      </c>
      <c r="G2323" t="s">
        <v>769</v>
      </c>
      <c r="H2323" t="s">
        <v>757</v>
      </c>
      <c r="I2323" t="s">
        <v>746</v>
      </c>
      <c r="J2323" t="s">
        <v>504</v>
      </c>
      <c r="K2323" t="s">
        <v>166</v>
      </c>
      <c r="L2323" t="s">
        <v>0</v>
      </c>
      <c r="M2323" t="s">
        <v>178</v>
      </c>
      <c r="N2323">
        <v>656</v>
      </c>
      <c r="O2323">
        <v>339</v>
      </c>
      <c r="P2323">
        <v>9665.2800000000007</v>
      </c>
      <c r="Q2323">
        <v>11066.6</v>
      </c>
      <c r="R2323">
        <v>226.8</v>
      </c>
      <c r="S2323">
        <v>2775.73629188</v>
      </c>
      <c r="T2323">
        <v>0</v>
      </c>
      <c r="U2323">
        <v>463.6</v>
      </c>
      <c r="V2323">
        <v>690.4</v>
      </c>
      <c r="W2323" t="s">
        <v>503</v>
      </c>
      <c r="X2323" t="s">
        <v>271</v>
      </c>
      <c r="Y2323" t="s">
        <v>4347</v>
      </c>
      <c r="AA2323" t="s">
        <v>4348</v>
      </c>
      <c r="AB2323" t="s">
        <v>181</v>
      </c>
    </row>
    <row r="2324" spans="1:28" x14ac:dyDescent="0.25">
      <c r="A2324" t="s">
        <v>3977</v>
      </c>
      <c r="B2324" t="s">
        <v>3978</v>
      </c>
      <c r="C2324" t="s">
        <v>646</v>
      </c>
      <c r="D2324" t="s">
        <v>3779</v>
      </c>
      <c r="E2324" t="s">
        <v>647</v>
      </c>
      <c r="F2324" t="s">
        <v>3780</v>
      </c>
      <c r="G2324" t="s">
        <v>769</v>
      </c>
      <c r="H2324" t="s">
        <v>757</v>
      </c>
      <c r="I2324" t="s">
        <v>1489</v>
      </c>
      <c r="J2324" t="s">
        <v>816</v>
      </c>
      <c r="K2324" t="s">
        <v>166</v>
      </c>
      <c r="L2324" t="s">
        <v>0</v>
      </c>
      <c r="M2324" t="s">
        <v>178</v>
      </c>
      <c r="N2324">
        <v>72.8</v>
      </c>
      <c r="O2324">
        <v>61.8</v>
      </c>
      <c r="P2324">
        <v>1740.25</v>
      </c>
      <c r="Q2324">
        <v>3037.94</v>
      </c>
      <c r="R2324">
        <v>396.33</v>
      </c>
      <c r="S2324">
        <v>596.19122202000005</v>
      </c>
      <c r="T2324">
        <v>0</v>
      </c>
      <c r="U2324">
        <v>0</v>
      </c>
      <c r="V2324">
        <v>396.33</v>
      </c>
      <c r="W2324" t="s">
        <v>817</v>
      </c>
      <c r="X2324" t="s">
        <v>271</v>
      </c>
      <c r="Y2324" t="s">
        <v>3979</v>
      </c>
      <c r="AA2324" t="s">
        <v>3980</v>
      </c>
      <c r="AB2324" t="s">
        <v>181</v>
      </c>
    </row>
    <row r="2325" spans="1:28" x14ac:dyDescent="0.25">
      <c r="A2325" t="s">
        <v>4248</v>
      </c>
      <c r="B2325" t="s">
        <v>4249</v>
      </c>
      <c r="C2325" t="s">
        <v>646</v>
      </c>
      <c r="D2325" t="s">
        <v>3779</v>
      </c>
      <c r="E2325" t="s">
        <v>647</v>
      </c>
      <c r="F2325" t="s">
        <v>3780</v>
      </c>
      <c r="G2325" t="s">
        <v>769</v>
      </c>
      <c r="H2325" t="s">
        <v>703</v>
      </c>
      <c r="I2325" t="s">
        <v>1913</v>
      </c>
      <c r="J2325" t="s">
        <v>1914</v>
      </c>
      <c r="K2325" t="s">
        <v>166</v>
      </c>
      <c r="L2325" t="s">
        <v>0</v>
      </c>
      <c r="M2325" t="s">
        <v>178</v>
      </c>
      <c r="N2325">
        <v>193.83330000000001</v>
      </c>
      <c r="O2325">
        <v>135</v>
      </c>
      <c r="P2325">
        <v>2860.79</v>
      </c>
      <c r="Q2325">
        <v>9113.4699999999993</v>
      </c>
      <c r="R2325">
        <v>849.43</v>
      </c>
      <c r="S2325">
        <v>3030.6579547800002</v>
      </c>
      <c r="T2325">
        <v>0</v>
      </c>
      <c r="U2325">
        <v>0</v>
      </c>
      <c r="V2325">
        <v>849.43</v>
      </c>
      <c r="W2325" t="s">
        <v>1915</v>
      </c>
      <c r="X2325" t="s">
        <v>269</v>
      </c>
      <c r="Y2325" t="s">
        <v>4250</v>
      </c>
      <c r="AA2325" t="s">
        <v>4251</v>
      </c>
      <c r="AB2325" t="s">
        <v>181</v>
      </c>
    </row>
    <row r="2326" spans="1:28" x14ac:dyDescent="0.25">
      <c r="A2326" t="s">
        <v>3977</v>
      </c>
      <c r="B2326" t="s">
        <v>3978</v>
      </c>
      <c r="C2326" t="s">
        <v>646</v>
      </c>
      <c r="D2326" t="s">
        <v>3779</v>
      </c>
      <c r="E2326" t="s">
        <v>647</v>
      </c>
      <c r="F2326" t="s">
        <v>3780</v>
      </c>
      <c r="G2326" t="s">
        <v>769</v>
      </c>
      <c r="H2326" t="s">
        <v>761</v>
      </c>
      <c r="I2326" t="s">
        <v>1489</v>
      </c>
      <c r="J2326" t="s">
        <v>816</v>
      </c>
      <c r="K2326" t="s">
        <v>166</v>
      </c>
      <c r="L2326" t="s">
        <v>0</v>
      </c>
      <c r="M2326" t="s">
        <v>178</v>
      </c>
      <c r="N2326">
        <v>41</v>
      </c>
      <c r="O2326">
        <v>33</v>
      </c>
      <c r="P2326">
        <v>1325.27</v>
      </c>
      <c r="Q2326">
        <v>1973.55</v>
      </c>
      <c r="R2326">
        <v>451.38</v>
      </c>
      <c r="S2326">
        <v>352.92233300999999</v>
      </c>
      <c r="T2326">
        <v>0</v>
      </c>
      <c r="U2326">
        <v>0</v>
      </c>
      <c r="V2326">
        <v>451.38</v>
      </c>
      <c r="W2326" t="s">
        <v>817</v>
      </c>
      <c r="X2326" t="s">
        <v>271</v>
      </c>
      <c r="Y2326" t="s">
        <v>3979</v>
      </c>
      <c r="AA2326" t="s">
        <v>3980</v>
      </c>
      <c r="AB2326" t="s">
        <v>181</v>
      </c>
    </row>
    <row r="2327" spans="1:28" x14ac:dyDescent="0.25">
      <c r="A2327" t="s">
        <v>3892</v>
      </c>
      <c r="B2327" t="s">
        <v>3893</v>
      </c>
      <c r="C2327" t="s">
        <v>646</v>
      </c>
      <c r="D2327" t="s">
        <v>3779</v>
      </c>
      <c r="E2327" t="s">
        <v>647</v>
      </c>
      <c r="F2327" t="s">
        <v>666</v>
      </c>
      <c r="G2327" t="s">
        <v>666</v>
      </c>
      <c r="H2327" t="s">
        <v>770</v>
      </c>
      <c r="I2327" t="s">
        <v>2102</v>
      </c>
      <c r="J2327" t="s">
        <v>355</v>
      </c>
      <c r="K2327" t="s">
        <v>166</v>
      </c>
      <c r="L2327" t="s">
        <v>0</v>
      </c>
      <c r="M2327" t="s">
        <v>178</v>
      </c>
      <c r="N2327">
        <v>2</v>
      </c>
      <c r="O2327">
        <v>2</v>
      </c>
      <c r="P2327">
        <v>24</v>
      </c>
      <c r="Q2327">
        <v>36.340000000000003</v>
      </c>
      <c r="R2327">
        <v>0.23</v>
      </c>
      <c r="S2327">
        <v>6.1838950700000002</v>
      </c>
      <c r="T2327">
        <v>0</v>
      </c>
      <c r="U2327">
        <v>0</v>
      </c>
      <c r="V2327">
        <v>0.23</v>
      </c>
      <c r="W2327" t="s">
        <v>0</v>
      </c>
      <c r="X2327" t="s">
        <v>271</v>
      </c>
      <c r="Y2327" t="s">
        <v>2103</v>
      </c>
      <c r="AA2327" t="s">
        <v>3894</v>
      </c>
      <c r="AB2327" t="s">
        <v>181</v>
      </c>
    </row>
    <row r="2328" spans="1:28" x14ac:dyDescent="0.25">
      <c r="A2328" t="s">
        <v>3834</v>
      </c>
      <c r="B2328" t="s">
        <v>3835</v>
      </c>
      <c r="C2328" t="s">
        <v>646</v>
      </c>
      <c r="D2328" t="s">
        <v>3779</v>
      </c>
      <c r="E2328" t="s">
        <v>647</v>
      </c>
      <c r="F2328" t="s">
        <v>3780</v>
      </c>
      <c r="G2328" t="s">
        <v>769</v>
      </c>
      <c r="H2328" t="s">
        <v>713</v>
      </c>
      <c r="I2328" t="s">
        <v>1251</v>
      </c>
      <c r="J2328" t="s">
        <v>821</v>
      </c>
      <c r="K2328" t="s">
        <v>166</v>
      </c>
      <c r="L2328" t="s">
        <v>0</v>
      </c>
      <c r="M2328" t="s">
        <v>178</v>
      </c>
      <c r="N2328">
        <v>29</v>
      </c>
      <c r="O2328">
        <v>18</v>
      </c>
      <c r="P2328">
        <v>501.28</v>
      </c>
      <c r="Q2328">
        <v>996.89</v>
      </c>
      <c r="R2328">
        <v>340.87737491000001</v>
      </c>
      <c r="S2328">
        <v>137.48120660000001</v>
      </c>
      <c r="T2328">
        <v>-0.28262509000000002</v>
      </c>
      <c r="U2328">
        <v>0</v>
      </c>
      <c r="V2328">
        <v>341.16</v>
      </c>
      <c r="W2328" t="s">
        <v>822</v>
      </c>
      <c r="X2328" t="s">
        <v>269</v>
      </c>
      <c r="Y2328" t="s">
        <v>3836</v>
      </c>
      <c r="AA2328" t="s">
        <v>3837</v>
      </c>
      <c r="AB2328" t="s">
        <v>181</v>
      </c>
    </row>
    <row r="2329" spans="1:28" x14ac:dyDescent="0.25">
      <c r="A2329" t="s">
        <v>4256</v>
      </c>
      <c r="B2329" t="s">
        <v>4257</v>
      </c>
      <c r="C2329" t="s">
        <v>646</v>
      </c>
      <c r="D2329" t="s">
        <v>3779</v>
      </c>
      <c r="E2329" t="s">
        <v>647</v>
      </c>
      <c r="F2329" t="s">
        <v>3780</v>
      </c>
      <c r="G2329" t="s">
        <v>769</v>
      </c>
      <c r="H2329" t="s">
        <v>649</v>
      </c>
      <c r="I2329" t="s">
        <v>2284</v>
      </c>
      <c r="J2329" t="s">
        <v>2285</v>
      </c>
      <c r="K2329" t="s">
        <v>166</v>
      </c>
      <c r="L2329" t="s">
        <v>0</v>
      </c>
      <c r="M2329" t="s">
        <v>178</v>
      </c>
      <c r="N2329">
        <v>211</v>
      </c>
      <c r="O2329">
        <v>173</v>
      </c>
      <c r="P2329">
        <v>7185.28</v>
      </c>
      <c r="Q2329">
        <v>12573.5</v>
      </c>
      <c r="R2329">
        <v>3210.01</v>
      </c>
      <c r="S2329">
        <v>778.26481330000001</v>
      </c>
      <c r="T2329">
        <v>0</v>
      </c>
      <c r="U2329">
        <v>0</v>
      </c>
      <c r="V2329">
        <v>3210.01</v>
      </c>
      <c r="W2329" t="s">
        <v>453</v>
      </c>
      <c r="X2329" t="s">
        <v>271</v>
      </c>
      <c r="Y2329" t="s">
        <v>4258</v>
      </c>
      <c r="AA2329" t="s">
        <v>4259</v>
      </c>
      <c r="AB2329" t="s">
        <v>181</v>
      </c>
    </row>
    <row r="2330" spans="1:28" x14ac:dyDescent="0.25">
      <c r="A2330" t="s">
        <v>4143</v>
      </c>
      <c r="B2330" t="s">
        <v>4144</v>
      </c>
      <c r="C2330" t="s">
        <v>646</v>
      </c>
      <c r="D2330" t="s">
        <v>3779</v>
      </c>
      <c r="E2330" t="s">
        <v>647</v>
      </c>
      <c r="F2330" t="s">
        <v>3780</v>
      </c>
      <c r="G2330" t="s">
        <v>769</v>
      </c>
      <c r="H2330" t="s">
        <v>672</v>
      </c>
      <c r="I2330" t="s">
        <v>1828</v>
      </c>
      <c r="J2330" t="s">
        <v>1829</v>
      </c>
      <c r="K2330" t="s">
        <v>166</v>
      </c>
      <c r="L2330" t="s">
        <v>0</v>
      </c>
      <c r="M2330" t="s">
        <v>178</v>
      </c>
      <c r="N2330">
        <v>52</v>
      </c>
      <c r="O2330">
        <v>40</v>
      </c>
      <c r="P2330">
        <v>1199.92</v>
      </c>
      <c r="Q2330">
        <v>2186.36</v>
      </c>
      <c r="R2330">
        <v>329.06305592000001</v>
      </c>
      <c r="S2330">
        <v>368.83382035</v>
      </c>
      <c r="T2330">
        <v>2.3055920000000001E-2</v>
      </c>
      <c r="U2330">
        <v>0</v>
      </c>
      <c r="V2330">
        <v>329.04</v>
      </c>
      <c r="W2330" t="s">
        <v>1361</v>
      </c>
      <c r="X2330" t="s">
        <v>271</v>
      </c>
      <c r="Y2330" t="s">
        <v>4145</v>
      </c>
      <c r="AA2330" t="s">
        <v>4146</v>
      </c>
      <c r="AB2330" t="s">
        <v>181</v>
      </c>
    </row>
    <row r="2331" spans="1:28" x14ac:dyDescent="0.25">
      <c r="A2331" t="s">
        <v>4280</v>
      </c>
      <c r="B2331" t="s">
        <v>4281</v>
      </c>
      <c r="C2331" t="s">
        <v>646</v>
      </c>
      <c r="D2331" t="s">
        <v>3779</v>
      </c>
      <c r="E2331" t="s">
        <v>647</v>
      </c>
      <c r="F2331" t="s">
        <v>3780</v>
      </c>
      <c r="G2331" t="s">
        <v>769</v>
      </c>
      <c r="H2331" t="s">
        <v>1045</v>
      </c>
      <c r="I2331" t="s">
        <v>1872</v>
      </c>
      <c r="J2331" t="s">
        <v>1873</v>
      </c>
      <c r="K2331" t="s">
        <v>166</v>
      </c>
      <c r="L2331" t="s">
        <v>0</v>
      </c>
      <c r="M2331" t="s">
        <v>178</v>
      </c>
      <c r="N2331">
        <v>51</v>
      </c>
      <c r="O2331">
        <v>51</v>
      </c>
      <c r="P2331">
        <v>666</v>
      </c>
      <c r="Q2331">
        <v>6254.99</v>
      </c>
      <c r="R2331">
        <v>1422.58</v>
      </c>
      <c r="S2331">
        <v>1100.51462352</v>
      </c>
      <c r="T2331">
        <v>0</v>
      </c>
      <c r="U2331">
        <v>0</v>
      </c>
      <c r="V2331">
        <v>1422.58</v>
      </c>
      <c r="W2331" t="s">
        <v>1874</v>
      </c>
      <c r="X2331" t="s">
        <v>271</v>
      </c>
      <c r="Y2331" t="s">
        <v>4282</v>
      </c>
      <c r="AA2331" t="s">
        <v>4283</v>
      </c>
      <c r="AB2331" t="s">
        <v>181</v>
      </c>
    </row>
    <row r="2332" spans="1:28" x14ac:dyDescent="0.25">
      <c r="A2332" t="s">
        <v>3861</v>
      </c>
      <c r="B2332" t="s">
        <v>3862</v>
      </c>
      <c r="C2332" t="s">
        <v>646</v>
      </c>
      <c r="D2332" t="s">
        <v>3779</v>
      </c>
      <c r="E2332" t="s">
        <v>647</v>
      </c>
      <c r="F2332" t="s">
        <v>3780</v>
      </c>
      <c r="G2332" t="s">
        <v>769</v>
      </c>
      <c r="H2332" t="s">
        <v>649</v>
      </c>
      <c r="I2332" t="s">
        <v>2065</v>
      </c>
      <c r="J2332" t="s">
        <v>2066</v>
      </c>
      <c r="K2332" t="s">
        <v>166</v>
      </c>
      <c r="L2332" t="s">
        <v>0</v>
      </c>
      <c r="M2332" t="s">
        <v>178</v>
      </c>
      <c r="N2332">
        <v>202</v>
      </c>
      <c r="O2332">
        <v>199</v>
      </c>
      <c r="P2332">
        <v>5429.97</v>
      </c>
      <c r="Q2332">
        <v>11732.67</v>
      </c>
      <c r="R2332">
        <v>1207.67</v>
      </c>
      <c r="S2332">
        <v>748.90526220000004</v>
      </c>
      <c r="T2332">
        <v>0</v>
      </c>
      <c r="U2332">
        <v>0</v>
      </c>
      <c r="V2332">
        <v>1207.67</v>
      </c>
      <c r="W2332" t="s">
        <v>2067</v>
      </c>
      <c r="X2332" t="s">
        <v>271</v>
      </c>
      <c r="Y2332" t="s">
        <v>3863</v>
      </c>
      <c r="AA2332" t="s">
        <v>3864</v>
      </c>
      <c r="AB2332" t="s">
        <v>181</v>
      </c>
    </row>
    <row r="2333" spans="1:28" x14ac:dyDescent="0.25">
      <c r="A2333" t="s">
        <v>4117</v>
      </c>
      <c r="B2333" t="s">
        <v>4118</v>
      </c>
      <c r="C2333" t="s">
        <v>646</v>
      </c>
      <c r="D2333" t="s">
        <v>3779</v>
      </c>
      <c r="E2333" t="s">
        <v>647</v>
      </c>
      <c r="F2333" t="s">
        <v>3780</v>
      </c>
      <c r="G2333" t="s">
        <v>769</v>
      </c>
      <c r="H2333" t="s">
        <v>708</v>
      </c>
      <c r="I2333" t="s">
        <v>1190</v>
      </c>
      <c r="J2333" t="s">
        <v>1191</v>
      </c>
      <c r="K2333" t="s">
        <v>166</v>
      </c>
      <c r="L2333" t="s">
        <v>0</v>
      </c>
      <c r="M2333" t="s">
        <v>178</v>
      </c>
      <c r="N2333">
        <v>13</v>
      </c>
      <c r="O2333">
        <v>13</v>
      </c>
      <c r="P2333">
        <v>507</v>
      </c>
      <c r="Q2333">
        <v>705.12</v>
      </c>
      <c r="R2333">
        <v>52.26</v>
      </c>
      <c r="S2333">
        <v>292.41599726999999</v>
      </c>
      <c r="T2333">
        <v>0</v>
      </c>
      <c r="U2333">
        <v>0</v>
      </c>
      <c r="V2333">
        <v>52.26</v>
      </c>
      <c r="W2333" t="s">
        <v>282</v>
      </c>
      <c r="X2333" t="s">
        <v>271</v>
      </c>
      <c r="Y2333" t="s">
        <v>2170</v>
      </c>
      <c r="AA2333" t="s">
        <v>2171</v>
      </c>
      <c r="AB2333" t="s">
        <v>181</v>
      </c>
    </row>
    <row r="2334" spans="1:28" x14ac:dyDescent="0.25">
      <c r="A2334" t="s">
        <v>3819</v>
      </c>
      <c r="B2334" t="s">
        <v>3820</v>
      </c>
      <c r="C2334" t="s">
        <v>646</v>
      </c>
      <c r="D2334" t="s">
        <v>3779</v>
      </c>
      <c r="E2334" t="s">
        <v>647</v>
      </c>
      <c r="F2334" t="s">
        <v>3780</v>
      </c>
      <c r="G2334" t="s">
        <v>769</v>
      </c>
      <c r="H2334" t="s">
        <v>1175</v>
      </c>
      <c r="I2334" t="s">
        <v>798</v>
      </c>
      <c r="J2334" t="s">
        <v>524</v>
      </c>
      <c r="K2334" t="s">
        <v>166</v>
      </c>
      <c r="L2334" t="s">
        <v>0</v>
      </c>
      <c r="M2334" t="s">
        <v>178</v>
      </c>
      <c r="N2334">
        <v>15</v>
      </c>
      <c r="O2334">
        <v>15</v>
      </c>
      <c r="P2334">
        <v>240</v>
      </c>
      <c r="Q2334">
        <v>583.37</v>
      </c>
      <c r="R2334">
        <v>146.43</v>
      </c>
      <c r="S2334">
        <v>60.141888129999998</v>
      </c>
      <c r="T2334">
        <v>0</v>
      </c>
      <c r="U2334">
        <v>0</v>
      </c>
      <c r="V2334">
        <v>146.43</v>
      </c>
      <c r="W2334" t="s">
        <v>258</v>
      </c>
      <c r="X2334" t="s">
        <v>271</v>
      </c>
      <c r="Y2334" t="s">
        <v>3821</v>
      </c>
      <c r="AA2334" t="s">
        <v>3822</v>
      </c>
      <c r="AB2334" t="s">
        <v>181</v>
      </c>
    </row>
    <row r="2335" spans="1:28" x14ac:dyDescent="0.25">
      <c r="A2335" t="s">
        <v>4151</v>
      </c>
      <c r="B2335" t="s">
        <v>4152</v>
      </c>
      <c r="C2335" t="s">
        <v>646</v>
      </c>
      <c r="D2335" t="s">
        <v>3779</v>
      </c>
      <c r="E2335" t="s">
        <v>647</v>
      </c>
      <c r="F2335" t="s">
        <v>666</v>
      </c>
      <c r="G2335" t="s">
        <v>666</v>
      </c>
      <c r="H2335" t="s">
        <v>797</v>
      </c>
      <c r="I2335" t="s">
        <v>765</v>
      </c>
      <c r="J2335" t="s">
        <v>436</v>
      </c>
      <c r="K2335" t="s">
        <v>166</v>
      </c>
      <c r="L2335" t="s">
        <v>0</v>
      </c>
      <c r="M2335" t="s">
        <v>178</v>
      </c>
      <c r="N2335">
        <v>147</v>
      </c>
      <c r="O2335">
        <v>52</v>
      </c>
      <c r="P2335">
        <v>1616.66</v>
      </c>
      <c r="Q2335">
        <v>6375.82</v>
      </c>
      <c r="R2335">
        <v>1388.9495250499999</v>
      </c>
      <c r="S2335">
        <v>443.81115068000003</v>
      </c>
      <c r="T2335">
        <v>-4.7495000000000002E-4</v>
      </c>
      <c r="U2335">
        <v>0</v>
      </c>
      <c r="V2335">
        <v>1388.95</v>
      </c>
      <c r="W2335" t="s">
        <v>0</v>
      </c>
      <c r="X2335" t="s">
        <v>271</v>
      </c>
      <c r="Y2335" t="s">
        <v>4153</v>
      </c>
      <c r="AA2335" t="s">
        <v>4154</v>
      </c>
      <c r="AB2335" t="s">
        <v>181</v>
      </c>
    </row>
    <row r="2336" spans="1:28" x14ac:dyDescent="0.25">
      <c r="A2336" t="s">
        <v>4184</v>
      </c>
      <c r="B2336" t="s">
        <v>4185</v>
      </c>
      <c r="C2336" t="s">
        <v>646</v>
      </c>
      <c r="D2336" t="s">
        <v>3779</v>
      </c>
      <c r="E2336" t="s">
        <v>647</v>
      </c>
      <c r="F2336" t="s">
        <v>3780</v>
      </c>
      <c r="G2336" t="s">
        <v>769</v>
      </c>
      <c r="H2336" t="s">
        <v>730</v>
      </c>
      <c r="I2336" t="s">
        <v>4186</v>
      </c>
      <c r="J2336" t="s">
        <v>1164</v>
      </c>
      <c r="K2336" t="s">
        <v>166</v>
      </c>
      <c r="L2336" t="s">
        <v>0</v>
      </c>
      <c r="M2336" t="s">
        <v>178</v>
      </c>
      <c r="N2336">
        <v>52</v>
      </c>
      <c r="O2336">
        <v>38</v>
      </c>
      <c r="P2336">
        <v>2389.65</v>
      </c>
      <c r="Q2336">
        <v>1565.18</v>
      </c>
      <c r="R2336">
        <v>159.13701813</v>
      </c>
      <c r="S2336">
        <v>179.13612362000001</v>
      </c>
      <c r="T2336">
        <v>633.77701812999999</v>
      </c>
      <c r="U2336">
        <v>0</v>
      </c>
      <c r="V2336">
        <v>162.37</v>
      </c>
      <c r="W2336" t="s">
        <v>1165</v>
      </c>
      <c r="X2336" t="s">
        <v>271</v>
      </c>
      <c r="Y2336" t="s">
        <v>4187</v>
      </c>
      <c r="AA2336" t="s">
        <v>4188</v>
      </c>
      <c r="AB2336" t="s">
        <v>181</v>
      </c>
    </row>
    <row r="2337" spans="1:28" x14ac:dyDescent="0.25">
      <c r="A2337" t="s">
        <v>4132</v>
      </c>
      <c r="B2337" t="s">
        <v>4133</v>
      </c>
      <c r="C2337" t="s">
        <v>646</v>
      </c>
      <c r="D2337" t="s">
        <v>3779</v>
      </c>
      <c r="E2337" t="s">
        <v>647</v>
      </c>
      <c r="F2337" t="s">
        <v>666</v>
      </c>
      <c r="G2337" t="s">
        <v>666</v>
      </c>
      <c r="H2337" t="s">
        <v>683</v>
      </c>
      <c r="I2337" t="s">
        <v>3911</v>
      </c>
      <c r="J2337" t="s">
        <v>355</v>
      </c>
      <c r="K2337" t="s">
        <v>166</v>
      </c>
      <c r="L2337" t="s">
        <v>0</v>
      </c>
      <c r="M2337" t="s">
        <v>178</v>
      </c>
      <c r="N2337">
        <v>92</v>
      </c>
      <c r="O2337">
        <v>18</v>
      </c>
      <c r="P2337">
        <v>913.5</v>
      </c>
      <c r="Q2337">
        <v>4332.8</v>
      </c>
      <c r="R2337">
        <v>1079.8499999999999</v>
      </c>
      <c r="S2337">
        <v>465.32438739999998</v>
      </c>
      <c r="T2337">
        <v>0</v>
      </c>
      <c r="U2337">
        <v>0</v>
      </c>
      <c r="V2337">
        <v>1079.8499999999999</v>
      </c>
      <c r="W2337" t="s">
        <v>0</v>
      </c>
      <c r="X2337" t="s">
        <v>271</v>
      </c>
      <c r="Y2337" t="s">
        <v>4134</v>
      </c>
      <c r="AA2337" t="s">
        <v>3894</v>
      </c>
      <c r="AB2337" t="s">
        <v>181</v>
      </c>
    </row>
    <row r="2338" spans="1:28" x14ac:dyDescent="0.25">
      <c r="A2338" t="s">
        <v>4135</v>
      </c>
      <c r="B2338" t="s">
        <v>4136</v>
      </c>
      <c r="C2338" t="s">
        <v>646</v>
      </c>
      <c r="D2338" t="s">
        <v>3779</v>
      </c>
      <c r="E2338" t="s">
        <v>647</v>
      </c>
      <c r="F2338" t="s">
        <v>3780</v>
      </c>
      <c r="G2338" t="s">
        <v>769</v>
      </c>
      <c r="H2338" t="s">
        <v>649</v>
      </c>
      <c r="I2338" t="s">
        <v>1083</v>
      </c>
      <c r="J2338" t="s">
        <v>731</v>
      </c>
      <c r="K2338" t="s">
        <v>166</v>
      </c>
      <c r="L2338" t="s">
        <v>0</v>
      </c>
      <c r="M2338" t="s">
        <v>178</v>
      </c>
      <c r="N2338">
        <v>4</v>
      </c>
      <c r="O2338">
        <v>0</v>
      </c>
      <c r="P2338">
        <v>36</v>
      </c>
      <c r="Q2338">
        <v>215</v>
      </c>
      <c r="R2338">
        <v>21.28</v>
      </c>
      <c r="S2338">
        <v>6.84</v>
      </c>
      <c r="T2338">
        <v>0</v>
      </c>
      <c r="U2338">
        <v>0</v>
      </c>
      <c r="V2338">
        <v>21.28</v>
      </c>
      <c r="W2338" t="s">
        <v>0</v>
      </c>
      <c r="X2338" t="s">
        <v>271</v>
      </c>
      <c r="Y2338" t="s">
        <v>4137</v>
      </c>
      <c r="AA2338" t="s">
        <v>4138</v>
      </c>
      <c r="AB2338" t="s">
        <v>181</v>
      </c>
    </row>
    <row r="2339" spans="1:28" x14ac:dyDescent="0.25">
      <c r="A2339" t="s">
        <v>4349</v>
      </c>
      <c r="B2339" t="s">
        <v>4350</v>
      </c>
      <c r="C2339" t="s">
        <v>646</v>
      </c>
      <c r="D2339" t="s">
        <v>3779</v>
      </c>
      <c r="E2339" t="s">
        <v>647</v>
      </c>
      <c r="F2339" t="s">
        <v>3780</v>
      </c>
      <c r="G2339" t="s">
        <v>769</v>
      </c>
      <c r="H2339" t="s">
        <v>909</v>
      </c>
      <c r="I2339" t="s">
        <v>2242</v>
      </c>
      <c r="J2339" t="s">
        <v>2243</v>
      </c>
      <c r="K2339" t="s">
        <v>166</v>
      </c>
      <c r="L2339" t="s">
        <v>0</v>
      </c>
      <c r="M2339" t="s">
        <v>178</v>
      </c>
      <c r="N2339">
        <v>18</v>
      </c>
      <c r="O2339">
        <v>18</v>
      </c>
      <c r="P2339">
        <v>150.24</v>
      </c>
      <c r="Q2339">
        <v>438.78</v>
      </c>
      <c r="R2339">
        <v>102.75115063</v>
      </c>
      <c r="S2339">
        <v>140.91707625000001</v>
      </c>
      <c r="T2339">
        <v>0.25115062999999999</v>
      </c>
      <c r="U2339">
        <v>0</v>
      </c>
      <c r="V2339">
        <v>102.5</v>
      </c>
      <c r="W2339" t="s">
        <v>1601</v>
      </c>
      <c r="X2339" t="s">
        <v>269</v>
      </c>
      <c r="Y2339" t="s">
        <v>4351</v>
      </c>
      <c r="AA2339" t="s">
        <v>4352</v>
      </c>
      <c r="AB2339" t="s">
        <v>181</v>
      </c>
    </row>
    <row r="2340" spans="1:28" x14ac:dyDescent="0.25">
      <c r="A2340" t="s">
        <v>4151</v>
      </c>
      <c r="B2340" t="s">
        <v>4152</v>
      </c>
      <c r="C2340" t="s">
        <v>646</v>
      </c>
      <c r="D2340" t="s">
        <v>3779</v>
      </c>
      <c r="E2340" t="s">
        <v>647</v>
      </c>
      <c r="F2340" t="s">
        <v>666</v>
      </c>
      <c r="G2340" t="s">
        <v>666</v>
      </c>
      <c r="H2340" t="s">
        <v>1515</v>
      </c>
      <c r="I2340" t="s">
        <v>765</v>
      </c>
      <c r="J2340" t="s">
        <v>436</v>
      </c>
      <c r="K2340" t="s">
        <v>166</v>
      </c>
      <c r="L2340" t="s">
        <v>0</v>
      </c>
      <c r="M2340" t="s">
        <v>178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 t="s">
        <v>0</v>
      </c>
      <c r="X2340" t="s">
        <v>271</v>
      </c>
      <c r="Y2340" t="s">
        <v>4153</v>
      </c>
      <c r="AA2340" t="s">
        <v>4154</v>
      </c>
      <c r="AB2340" t="s">
        <v>181</v>
      </c>
    </row>
    <row r="2341" spans="1:28" x14ac:dyDescent="0.25">
      <c r="A2341" t="s">
        <v>4139</v>
      </c>
      <c r="B2341" t="s">
        <v>4140</v>
      </c>
      <c r="C2341" t="s">
        <v>646</v>
      </c>
      <c r="D2341" t="s">
        <v>3779</v>
      </c>
      <c r="E2341" t="s">
        <v>647</v>
      </c>
      <c r="F2341" t="s">
        <v>3780</v>
      </c>
      <c r="G2341" t="s">
        <v>769</v>
      </c>
      <c r="H2341" t="s">
        <v>1515</v>
      </c>
      <c r="I2341" t="s">
        <v>778</v>
      </c>
      <c r="J2341" t="s">
        <v>428</v>
      </c>
      <c r="K2341" t="s">
        <v>166</v>
      </c>
      <c r="L2341" t="s">
        <v>0</v>
      </c>
      <c r="M2341" t="s">
        <v>178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 t="s">
        <v>547</v>
      </c>
      <c r="X2341" t="s">
        <v>271</v>
      </c>
      <c r="Y2341" t="s">
        <v>4141</v>
      </c>
      <c r="AA2341" t="s">
        <v>4142</v>
      </c>
      <c r="AB2341" t="s">
        <v>181</v>
      </c>
    </row>
    <row r="2342" spans="1:28" x14ac:dyDescent="0.25">
      <c r="A2342" t="s">
        <v>3877</v>
      </c>
      <c r="B2342" t="s">
        <v>3878</v>
      </c>
      <c r="C2342" t="s">
        <v>646</v>
      </c>
      <c r="D2342" t="s">
        <v>3779</v>
      </c>
      <c r="E2342" t="s">
        <v>647</v>
      </c>
      <c r="F2342" t="s">
        <v>648</v>
      </c>
      <c r="G2342" t="s">
        <v>648</v>
      </c>
      <c r="H2342" t="s">
        <v>1515</v>
      </c>
      <c r="I2342" t="s">
        <v>3879</v>
      </c>
      <c r="J2342" t="s">
        <v>3880</v>
      </c>
      <c r="K2342" t="s">
        <v>166</v>
      </c>
      <c r="L2342" t="s">
        <v>0</v>
      </c>
      <c r="M2342" t="s">
        <v>178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 t="s">
        <v>1079</v>
      </c>
      <c r="X2342" t="s">
        <v>271</v>
      </c>
      <c r="Y2342" t="s">
        <v>3881</v>
      </c>
      <c r="AA2342" t="s">
        <v>3882</v>
      </c>
      <c r="AB2342" t="s">
        <v>181</v>
      </c>
    </row>
    <row r="2343" spans="1:28" x14ac:dyDescent="0.25">
      <c r="A2343" t="s">
        <v>4298</v>
      </c>
      <c r="B2343" t="s">
        <v>4299</v>
      </c>
      <c r="C2343" t="s">
        <v>646</v>
      </c>
      <c r="D2343" t="s">
        <v>3779</v>
      </c>
      <c r="E2343" t="s">
        <v>647</v>
      </c>
      <c r="F2343" t="s">
        <v>666</v>
      </c>
      <c r="G2343" t="s">
        <v>666</v>
      </c>
      <c r="H2343" t="s">
        <v>730</v>
      </c>
      <c r="I2343" t="s">
        <v>4300</v>
      </c>
      <c r="J2343" t="s">
        <v>511</v>
      </c>
      <c r="K2343" t="s">
        <v>166</v>
      </c>
      <c r="L2343" t="s">
        <v>0</v>
      </c>
      <c r="M2343" t="s">
        <v>178</v>
      </c>
      <c r="N2343">
        <v>40</v>
      </c>
      <c r="O2343">
        <v>0</v>
      </c>
      <c r="P2343">
        <v>2000</v>
      </c>
      <c r="Q2343">
        <v>335.86</v>
      </c>
      <c r="R2343">
        <v>56.06</v>
      </c>
      <c r="S2343">
        <v>11.942433400000001</v>
      </c>
      <c r="T2343">
        <v>0</v>
      </c>
      <c r="U2343">
        <v>0</v>
      </c>
      <c r="V2343">
        <v>56.06</v>
      </c>
      <c r="W2343" t="s">
        <v>510</v>
      </c>
      <c r="X2343" t="s">
        <v>271</v>
      </c>
      <c r="Y2343" t="s">
        <v>4301</v>
      </c>
      <c r="Z2343" t="s">
        <v>4302</v>
      </c>
      <c r="AA2343" t="s">
        <v>4303</v>
      </c>
      <c r="AB2343" t="s">
        <v>181</v>
      </c>
    </row>
    <row r="2344" spans="1:28" x14ac:dyDescent="0.25">
      <c r="A2344" t="s">
        <v>4098</v>
      </c>
      <c r="B2344" t="s">
        <v>4099</v>
      </c>
      <c r="C2344" t="s">
        <v>646</v>
      </c>
      <c r="D2344" t="s">
        <v>3779</v>
      </c>
      <c r="E2344" t="s">
        <v>647</v>
      </c>
      <c r="F2344" t="s">
        <v>666</v>
      </c>
      <c r="G2344" t="s">
        <v>666</v>
      </c>
      <c r="H2344" t="s">
        <v>1515</v>
      </c>
      <c r="I2344" t="s">
        <v>765</v>
      </c>
      <c r="J2344" t="s">
        <v>436</v>
      </c>
      <c r="K2344" t="s">
        <v>166</v>
      </c>
      <c r="L2344" t="s">
        <v>0</v>
      </c>
      <c r="M2344" t="s">
        <v>178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 t="s">
        <v>0</v>
      </c>
      <c r="X2344" t="s">
        <v>271</v>
      </c>
      <c r="Y2344" t="s">
        <v>4100</v>
      </c>
      <c r="AA2344" t="s">
        <v>4101</v>
      </c>
      <c r="AB2344" t="s">
        <v>181</v>
      </c>
    </row>
    <row r="2345" spans="1:28" x14ac:dyDescent="0.25">
      <c r="A2345" t="s">
        <v>3838</v>
      </c>
      <c r="B2345" t="s">
        <v>3839</v>
      </c>
      <c r="C2345" t="s">
        <v>646</v>
      </c>
      <c r="D2345" t="s">
        <v>3779</v>
      </c>
      <c r="E2345" t="s">
        <v>647</v>
      </c>
      <c r="F2345" t="s">
        <v>3780</v>
      </c>
      <c r="G2345" t="s">
        <v>769</v>
      </c>
      <c r="H2345" t="s">
        <v>1175</v>
      </c>
      <c r="I2345" t="s">
        <v>906</v>
      </c>
      <c r="J2345" t="s">
        <v>907</v>
      </c>
      <c r="K2345" t="s">
        <v>166</v>
      </c>
      <c r="L2345" t="s">
        <v>0</v>
      </c>
      <c r="M2345" t="s">
        <v>178</v>
      </c>
      <c r="N2345">
        <v>5</v>
      </c>
      <c r="O2345">
        <v>0</v>
      </c>
      <c r="P2345">
        <v>120</v>
      </c>
      <c r="Q2345">
        <v>180</v>
      </c>
      <c r="R2345">
        <v>19.2</v>
      </c>
      <c r="S2345">
        <v>33.608862549999998</v>
      </c>
      <c r="T2345">
        <v>0</v>
      </c>
      <c r="U2345">
        <v>0</v>
      </c>
      <c r="V2345">
        <v>19.2</v>
      </c>
      <c r="W2345" t="s">
        <v>272</v>
      </c>
      <c r="X2345" t="s">
        <v>269</v>
      </c>
      <c r="Y2345" t="s">
        <v>3840</v>
      </c>
      <c r="AA2345" t="s">
        <v>3841</v>
      </c>
      <c r="AB2345" t="s">
        <v>181</v>
      </c>
    </row>
    <row r="2346" spans="1:28" x14ac:dyDescent="0.25">
      <c r="A2346" t="s">
        <v>3801</v>
      </c>
      <c r="B2346" t="s">
        <v>3802</v>
      </c>
      <c r="C2346" t="s">
        <v>646</v>
      </c>
      <c r="D2346" t="s">
        <v>3779</v>
      </c>
      <c r="E2346" t="s">
        <v>647</v>
      </c>
      <c r="F2346" t="s">
        <v>666</v>
      </c>
      <c r="G2346" t="s">
        <v>666</v>
      </c>
      <c r="H2346" t="s">
        <v>703</v>
      </c>
      <c r="I2346" t="s">
        <v>3803</v>
      </c>
      <c r="J2346" t="s">
        <v>2577</v>
      </c>
      <c r="K2346" t="s">
        <v>166</v>
      </c>
      <c r="L2346" t="s">
        <v>0</v>
      </c>
      <c r="M2346" t="s">
        <v>178</v>
      </c>
      <c r="N2346">
        <v>511.41669999999999</v>
      </c>
      <c r="O2346">
        <v>333.66669999999999</v>
      </c>
      <c r="P2346">
        <v>9804.6</v>
      </c>
      <c r="Q2346">
        <v>28932.54</v>
      </c>
      <c r="R2346">
        <v>9450.8777719699992</v>
      </c>
      <c r="S2346">
        <v>5209.4895880900003</v>
      </c>
      <c r="T2346">
        <v>0.28777196999999999</v>
      </c>
      <c r="U2346">
        <v>0</v>
      </c>
      <c r="V2346">
        <v>9450.59</v>
      </c>
      <c r="W2346" t="s">
        <v>2578</v>
      </c>
      <c r="X2346" t="s">
        <v>271</v>
      </c>
      <c r="Y2346" t="s">
        <v>3804</v>
      </c>
      <c r="AA2346" t="s">
        <v>3805</v>
      </c>
      <c r="AB2346" t="s">
        <v>181</v>
      </c>
    </row>
    <row r="2347" spans="1:28" x14ac:dyDescent="0.25">
      <c r="A2347" t="s">
        <v>4240</v>
      </c>
      <c r="B2347" t="s">
        <v>4241</v>
      </c>
      <c r="C2347" t="s">
        <v>646</v>
      </c>
      <c r="D2347" t="s">
        <v>3779</v>
      </c>
      <c r="E2347" t="s">
        <v>647</v>
      </c>
      <c r="F2347" t="s">
        <v>666</v>
      </c>
      <c r="G2347" t="s">
        <v>666</v>
      </c>
      <c r="H2347" t="s">
        <v>703</v>
      </c>
      <c r="I2347" t="s">
        <v>880</v>
      </c>
      <c r="J2347" t="s">
        <v>881</v>
      </c>
      <c r="K2347" t="s">
        <v>166</v>
      </c>
      <c r="L2347" t="s">
        <v>0</v>
      </c>
      <c r="M2347" t="s">
        <v>178</v>
      </c>
      <c r="N2347">
        <v>310.08339999999998</v>
      </c>
      <c r="O2347">
        <v>182.33349999999999</v>
      </c>
      <c r="P2347">
        <v>4241.9399999999996</v>
      </c>
      <c r="Q2347">
        <v>7250.89</v>
      </c>
      <c r="R2347">
        <v>784.73826272999997</v>
      </c>
      <c r="S2347">
        <v>1648.19027805</v>
      </c>
      <c r="T2347">
        <v>38.058262730000003</v>
      </c>
      <c r="U2347">
        <v>27.6</v>
      </c>
      <c r="V2347">
        <v>812.14</v>
      </c>
      <c r="W2347" t="s">
        <v>0</v>
      </c>
      <c r="X2347" t="s">
        <v>271</v>
      </c>
      <c r="Y2347" t="s">
        <v>4242</v>
      </c>
      <c r="AA2347" t="s">
        <v>4243</v>
      </c>
      <c r="AB2347" t="s">
        <v>181</v>
      </c>
    </row>
    <row r="2348" spans="1:28" x14ac:dyDescent="0.25">
      <c r="A2348" t="s">
        <v>3892</v>
      </c>
      <c r="B2348" t="s">
        <v>3893</v>
      </c>
      <c r="C2348" t="s">
        <v>646</v>
      </c>
      <c r="D2348" t="s">
        <v>3779</v>
      </c>
      <c r="E2348" t="s">
        <v>647</v>
      </c>
      <c r="F2348" t="s">
        <v>666</v>
      </c>
      <c r="G2348" t="s">
        <v>666</v>
      </c>
      <c r="H2348" t="s">
        <v>679</v>
      </c>
      <c r="I2348" t="s">
        <v>2102</v>
      </c>
      <c r="J2348" t="s">
        <v>355</v>
      </c>
      <c r="K2348" t="s">
        <v>166</v>
      </c>
      <c r="L2348" t="s">
        <v>0</v>
      </c>
      <c r="M2348" t="s">
        <v>178</v>
      </c>
      <c r="N2348">
        <v>229</v>
      </c>
      <c r="O2348">
        <v>179</v>
      </c>
      <c r="P2348">
        <v>3821.23</v>
      </c>
      <c r="Q2348">
        <v>12456.76</v>
      </c>
      <c r="R2348">
        <v>-293.51499840000002</v>
      </c>
      <c r="S2348">
        <v>6778.3332624100003</v>
      </c>
      <c r="T2348">
        <v>-19.054998399999999</v>
      </c>
      <c r="U2348">
        <v>0</v>
      </c>
      <c r="V2348">
        <v>-274.45999999999998</v>
      </c>
      <c r="W2348" t="s">
        <v>0</v>
      </c>
      <c r="X2348" t="s">
        <v>271</v>
      </c>
      <c r="Y2348" t="s">
        <v>2103</v>
      </c>
      <c r="AA2348" t="s">
        <v>3894</v>
      </c>
      <c r="AB2348" t="s">
        <v>181</v>
      </c>
    </row>
    <row r="2349" spans="1:28" x14ac:dyDescent="0.25">
      <c r="A2349" t="s">
        <v>4216</v>
      </c>
      <c r="B2349" t="s">
        <v>4217</v>
      </c>
      <c r="C2349" t="s">
        <v>646</v>
      </c>
      <c r="D2349" t="s">
        <v>3779</v>
      </c>
      <c r="E2349" t="s">
        <v>647</v>
      </c>
      <c r="F2349" t="s">
        <v>666</v>
      </c>
      <c r="G2349" t="s">
        <v>666</v>
      </c>
      <c r="H2349" t="s">
        <v>703</v>
      </c>
      <c r="I2349" t="s">
        <v>1636</v>
      </c>
      <c r="J2349" t="s">
        <v>1637</v>
      </c>
      <c r="K2349" t="s">
        <v>166</v>
      </c>
      <c r="L2349" t="s">
        <v>0</v>
      </c>
      <c r="M2349" t="s">
        <v>178</v>
      </c>
      <c r="N2349">
        <v>609.49980000000005</v>
      </c>
      <c r="O2349">
        <v>362.5</v>
      </c>
      <c r="P2349">
        <v>15475.93</v>
      </c>
      <c r="Q2349">
        <v>17440.900000000001</v>
      </c>
      <c r="R2349">
        <v>1669.3178164399999</v>
      </c>
      <c r="S2349">
        <v>3523.2868486500001</v>
      </c>
      <c r="T2349">
        <v>1.1078164399999999</v>
      </c>
      <c r="U2349">
        <v>0</v>
      </c>
      <c r="V2349">
        <v>1668.21</v>
      </c>
      <c r="W2349" t="s">
        <v>1638</v>
      </c>
      <c r="X2349" t="s">
        <v>271</v>
      </c>
      <c r="Y2349" t="s">
        <v>1639</v>
      </c>
      <c r="AA2349" t="s">
        <v>4218</v>
      </c>
      <c r="AB2349" t="s">
        <v>181</v>
      </c>
    </row>
    <row r="2350" spans="1:28" x14ac:dyDescent="0.25">
      <c r="A2350" t="s">
        <v>3810</v>
      </c>
      <c r="B2350" t="s">
        <v>3811</v>
      </c>
      <c r="C2350" t="s">
        <v>646</v>
      </c>
      <c r="D2350" t="s">
        <v>3779</v>
      </c>
      <c r="E2350" t="s">
        <v>647</v>
      </c>
      <c r="F2350" t="s">
        <v>3780</v>
      </c>
      <c r="G2350" t="s">
        <v>769</v>
      </c>
      <c r="H2350" t="s">
        <v>1045</v>
      </c>
      <c r="I2350" t="s">
        <v>771</v>
      </c>
      <c r="J2350" t="s">
        <v>319</v>
      </c>
      <c r="K2350" t="s">
        <v>166</v>
      </c>
      <c r="L2350" t="s">
        <v>0</v>
      </c>
      <c r="M2350" t="s">
        <v>178</v>
      </c>
      <c r="N2350">
        <v>2234</v>
      </c>
      <c r="O2350">
        <v>888</v>
      </c>
      <c r="P2350">
        <v>34381.68</v>
      </c>
      <c r="Q2350">
        <v>247220.9</v>
      </c>
      <c r="R2350">
        <v>4753.43</v>
      </c>
      <c r="S2350">
        <v>8373.6903567699992</v>
      </c>
      <c r="T2350">
        <v>0</v>
      </c>
      <c r="U2350">
        <v>0</v>
      </c>
      <c r="V2350">
        <v>4753.43</v>
      </c>
      <c r="W2350" t="s">
        <v>0</v>
      </c>
      <c r="X2350" t="s">
        <v>271</v>
      </c>
      <c r="Y2350" t="s">
        <v>3812</v>
      </c>
      <c r="AA2350" t="s">
        <v>3813</v>
      </c>
      <c r="AB2350" t="s">
        <v>181</v>
      </c>
    </row>
    <row r="2351" spans="1:28" x14ac:dyDescent="0.25">
      <c r="A2351" t="s">
        <v>4086</v>
      </c>
      <c r="B2351" t="s">
        <v>4087</v>
      </c>
      <c r="C2351" t="s">
        <v>646</v>
      </c>
      <c r="D2351" t="s">
        <v>3779</v>
      </c>
      <c r="E2351" t="s">
        <v>647</v>
      </c>
      <c r="F2351" t="s">
        <v>3780</v>
      </c>
      <c r="G2351" t="s">
        <v>769</v>
      </c>
      <c r="H2351" t="s">
        <v>703</v>
      </c>
      <c r="I2351" t="s">
        <v>4088</v>
      </c>
      <c r="J2351" t="s">
        <v>480</v>
      </c>
      <c r="K2351" t="s">
        <v>166</v>
      </c>
      <c r="L2351" t="s">
        <v>0</v>
      </c>
      <c r="M2351" t="s">
        <v>178</v>
      </c>
      <c r="N2351">
        <v>211.25</v>
      </c>
      <c r="O2351">
        <v>70.25</v>
      </c>
      <c r="P2351">
        <v>5620.23</v>
      </c>
      <c r="Q2351">
        <v>8038.27</v>
      </c>
      <c r="R2351">
        <v>1724.53029823</v>
      </c>
      <c r="S2351">
        <v>936.80187063999995</v>
      </c>
      <c r="T2351">
        <v>0.51029822999999996</v>
      </c>
      <c r="U2351">
        <v>0</v>
      </c>
      <c r="V2351">
        <v>1724.02</v>
      </c>
      <c r="W2351" t="s">
        <v>4089</v>
      </c>
      <c r="X2351" t="s">
        <v>271</v>
      </c>
      <c r="Y2351" t="s">
        <v>4090</v>
      </c>
      <c r="AA2351" t="s">
        <v>4091</v>
      </c>
      <c r="AB2351" t="s">
        <v>181</v>
      </c>
    </row>
    <row r="2352" spans="1:28" x14ac:dyDescent="0.25">
      <c r="A2352" t="s">
        <v>3998</v>
      </c>
      <c r="B2352" t="s">
        <v>3999</v>
      </c>
      <c r="C2352" t="s">
        <v>646</v>
      </c>
      <c r="D2352" t="s">
        <v>3779</v>
      </c>
      <c r="E2352" t="s">
        <v>647</v>
      </c>
      <c r="F2352" t="s">
        <v>3780</v>
      </c>
      <c r="G2352" t="s">
        <v>769</v>
      </c>
      <c r="H2352" t="s">
        <v>683</v>
      </c>
      <c r="I2352" t="s">
        <v>1636</v>
      </c>
      <c r="J2352" t="s">
        <v>1637</v>
      </c>
      <c r="K2352" t="s">
        <v>166</v>
      </c>
      <c r="L2352" t="s">
        <v>0</v>
      </c>
      <c r="M2352" t="s">
        <v>178</v>
      </c>
      <c r="N2352">
        <v>365.33330000000001</v>
      </c>
      <c r="O2352">
        <v>87</v>
      </c>
      <c r="P2352">
        <v>4795.07</v>
      </c>
      <c r="Q2352">
        <v>15125.06</v>
      </c>
      <c r="R2352">
        <v>1606.5314002099999</v>
      </c>
      <c r="S2352">
        <v>1787.9483901000001</v>
      </c>
      <c r="T2352">
        <v>0.60140020999999999</v>
      </c>
      <c r="U2352">
        <v>0</v>
      </c>
      <c r="V2352">
        <v>1605.93</v>
      </c>
      <c r="W2352" t="s">
        <v>1638</v>
      </c>
      <c r="X2352" t="s">
        <v>271</v>
      </c>
      <c r="Y2352" t="s">
        <v>4000</v>
      </c>
      <c r="AA2352" t="s">
        <v>4001</v>
      </c>
      <c r="AB2352" t="s">
        <v>181</v>
      </c>
    </row>
    <row r="2353" spans="1:28" x14ac:dyDescent="0.25">
      <c r="A2353" t="s">
        <v>4069</v>
      </c>
      <c r="B2353" t="s">
        <v>4070</v>
      </c>
      <c r="C2353" t="s">
        <v>646</v>
      </c>
      <c r="D2353" t="s">
        <v>3779</v>
      </c>
      <c r="E2353" t="s">
        <v>647</v>
      </c>
      <c r="F2353" t="s">
        <v>3780</v>
      </c>
      <c r="G2353" t="s">
        <v>769</v>
      </c>
      <c r="H2353" t="s">
        <v>649</v>
      </c>
      <c r="I2353" t="s">
        <v>4071</v>
      </c>
      <c r="J2353" t="s">
        <v>785</v>
      </c>
      <c r="K2353" t="s">
        <v>166</v>
      </c>
      <c r="L2353" t="s">
        <v>0</v>
      </c>
      <c r="M2353" t="s">
        <v>178</v>
      </c>
      <c r="N2353">
        <v>62</v>
      </c>
      <c r="O2353">
        <v>16</v>
      </c>
      <c r="P2353">
        <v>665.18</v>
      </c>
      <c r="Q2353">
        <v>2495.2600000000002</v>
      </c>
      <c r="R2353">
        <v>262.55</v>
      </c>
      <c r="S2353">
        <v>204.24174318999999</v>
      </c>
      <c r="T2353">
        <v>0</v>
      </c>
      <c r="U2353">
        <v>0</v>
      </c>
      <c r="V2353">
        <v>262.55</v>
      </c>
      <c r="W2353" t="s">
        <v>0</v>
      </c>
      <c r="X2353" t="s">
        <v>271</v>
      </c>
      <c r="Y2353" t="s">
        <v>4072</v>
      </c>
      <c r="AA2353" t="s">
        <v>4073</v>
      </c>
      <c r="AB2353" t="s">
        <v>181</v>
      </c>
    </row>
    <row r="2354" spans="1:28" x14ac:dyDescent="0.25">
      <c r="A2354" t="s">
        <v>4109</v>
      </c>
      <c r="B2354" t="s">
        <v>4110</v>
      </c>
      <c r="C2354" t="s">
        <v>646</v>
      </c>
      <c r="D2354" t="s">
        <v>3779</v>
      </c>
      <c r="E2354" t="s">
        <v>647</v>
      </c>
      <c r="F2354" t="s">
        <v>3780</v>
      </c>
      <c r="G2354" t="s">
        <v>769</v>
      </c>
      <c r="H2354" t="s">
        <v>962</v>
      </c>
      <c r="I2354" t="s">
        <v>1046</v>
      </c>
      <c r="J2354" t="s">
        <v>971</v>
      </c>
      <c r="K2354" t="s">
        <v>166</v>
      </c>
      <c r="L2354" t="s">
        <v>0</v>
      </c>
      <c r="M2354" t="s">
        <v>178</v>
      </c>
      <c r="N2354">
        <v>31.75</v>
      </c>
      <c r="O2354">
        <v>17</v>
      </c>
      <c r="P2354">
        <v>739.11</v>
      </c>
      <c r="Q2354">
        <v>2498.56</v>
      </c>
      <c r="R2354">
        <v>313.85200186999998</v>
      </c>
      <c r="S2354">
        <v>96.674702969999998</v>
      </c>
      <c r="T2354">
        <v>0.28200186999999999</v>
      </c>
      <c r="U2354">
        <v>0</v>
      </c>
      <c r="V2354">
        <v>313.57</v>
      </c>
      <c r="W2354" t="s">
        <v>972</v>
      </c>
      <c r="X2354" t="s">
        <v>269</v>
      </c>
      <c r="Y2354" t="s">
        <v>4111</v>
      </c>
      <c r="AA2354" t="s">
        <v>4112</v>
      </c>
      <c r="AB2354" t="s">
        <v>181</v>
      </c>
    </row>
    <row r="2355" spans="1:28" x14ac:dyDescent="0.25">
      <c r="A2355" t="s">
        <v>4113</v>
      </c>
      <c r="B2355" t="s">
        <v>4114</v>
      </c>
      <c r="C2355" t="s">
        <v>646</v>
      </c>
      <c r="D2355" t="s">
        <v>3779</v>
      </c>
      <c r="E2355" t="s">
        <v>647</v>
      </c>
      <c r="F2355" t="s">
        <v>3780</v>
      </c>
      <c r="G2355" t="s">
        <v>769</v>
      </c>
      <c r="H2355" t="s">
        <v>1171</v>
      </c>
      <c r="I2355" t="s">
        <v>1913</v>
      </c>
      <c r="J2355" t="s">
        <v>1914</v>
      </c>
      <c r="K2355" t="s">
        <v>166</v>
      </c>
      <c r="L2355" t="s">
        <v>0</v>
      </c>
      <c r="M2355" t="s">
        <v>178</v>
      </c>
      <c r="N2355">
        <v>130</v>
      </c>
      <c r="O2355">
        <v>85</v>
      </c>
      <c r="P2355">
        <v>3462.99</v>
      </c>
      <c r="Q2355">
        <v>33459.86</v>
      </c>
      <c r="R2355">
        <v>1075.1992966099999</v>
      </c>
      <c r="S2355">
        <v>320.96002365999999</v>
      </c>
      <c r="T2355">
        <v>1.0892966100000001</v>
      </c>
      <c r="U2355">
        <v>0</v>
      </c>
      <c r="V2355">
        <v>1074.1099999999999</v>
      </c>
      <c r="W2355" t="s">
        <v>1915</v>
      </c>
      <c r="X2355" t="s">
        <v>269</v>
      </c>
      <c r="Y2355" t="s">
        <v>4115</v>
      </c>
      <c r="AA2355" t="s">
        <v>4116</v>
      </c>
      <c r="AB2355" t="s">
        <v>181</v>
      </c>
    </row>
    <row r="2356" spans="1:28" x14ac:dyDescent="0.25">
      <c r="A2356" t="s">
        <v>3842</v>
      </c>
      <c r="B2356" t="s">
        <v>3843</v>
      </c>
      <c r="C2356" t="s">
        <v>646</v>
      </c>
      <c r="D2356" t="s">
        <v>3779</v>
      </c>
      <c r="E2356" t="s">
        <v>647</v>
      </c>
      <c r="F2356" t="s">
        <v>3780</v>
      </c>
      <c r="G2356" t="s">
        <v>769</v>
      </c>
      <c r="H2356" t="s">
        <v>962</v>
      </c>
      <c r="I2356" t="s">
        <v>3844</v>
      </c>
      <c r="J2356" t="s">
        <v>3845</v>
      </c>
      <c r="K2356" t="s">
        <v>166</v>
      </c>
      <c r="L2356" t="s">
        <v>0</v>
      </c>
      <c r="M2356" t="s">
        <v>178</v>
      </c>
      <c r="N2356">
        <v>9</v>
      </c>
      <c r="O2356">
        <v>2</v>
      </c>
      <c r="P2356">
        <v>106.08</v>
      </c>
      <c r="Q2356">
        <v>437.26</v>
      </c>
      <c r="R2356">
        <v>90.62</v>
      </c>
      <c r="S2356">
        <v>15.55436999</v>
      </c>
      <c r="T2356">
        <v>0</v>
      </c>
      <c r="U2356">
        <v>0</v>
      </c>
      <c r="V2356">
        <v>90.62</v>
      </c>
      <c r="W2356" t="s">
        <v>3846</v>
      </c>
      <c r="X2356" t="s">
        <v>271</v>
      </c>
      <c r="Y2356" t="s">
        <v>3847</v>
      </c>
      <c r="AA2356" t="s">
        <v>3848</v>
      </c>
      <c r="AB2356" t="s">
        <v>181</v>
      </c>
    </row>
    <row r="2357" spans="1:28" x14ac:dyDescent="0.25">
      <c r="A2357" t="s">
        <v>4069</v>
      </c>
      <c r="B2357" t="s">
        <v>4070</v>
      </c>
      <c r="C2357" t="s">
        <v>646</v>
      </c>
      <c r="D2357" t="s">
        <v>3779</v>
      </c>
      <c r="E2357" t="s">
        <v>647</v>
      </c>
      <c r="F2357" t="s">
        <v>3780</v>
      </c>
      <c r="G2357" t="s">
        <v>769</v>
      </c>
      <c r="H2357" t="s">
        <v>1175</v>
      </c>
      <c r="I2357" t="s">
        <v>4071</v>
      </c>
      <c r="J2357" t="s">
        <v>785</v>
      </c>
      <c r="K2357" t="s">
        <v>166</v>
      </c>
      <c r="L2357" t="s">
        <v>0</v>
      </c>
      <c r="M2357" t="s">
        <v>178</v>
      </c>
      <c r="N2357">
        <v>14</v>
      </c>
      <c r="O2357">
        <v>14</v>
      </c>
      <c r="P2357">
        <v>220</v>
      </c>
      <c r="Q2357">
        <v>332.37</v>
      </c>
      <c r="R2357">
        <v>37.29</v>
      </c>
      <c r="S2357">
        <v>62.355908360000001</v>
      </c>
      <c r="T2357">
        <v>0</v>
      </c>
      <c r="U2357">
        <v>0</v>
      </c>
      <c r="V2357">
        <v>37.29</v>
      </c>
      <c r="W2357" t="s">
        <v>0</v>
      </c>
      <c r="X2357" t="s">
        <v>271</v>
      </c>
      <c r="Y2357" t="s">
        <v>4072</v>
      </c>
      <c r="AA2357" t="s">
        <v>4073</v>
      </c>
      <c r="AB2357" t="s">
        <v>181</v>
      </c>
    </row>
    <row r="2358" spans="1:28" x14ac:dyDescent="0.25">
      <c r="A2358" t="s">
        <v>4361</v>
      </c>
      <c r="B2358" t="s">
        <v>4362</v>
      </c>
      <c r="C2358" t="s">
        <v>646</v>
      </c>
      <c r="D2358" t="s">
        <v>3779</v>
      </c>
      <c r="E2358" t="s">
        <v>647</v>
      </c>
      <c r="F2358" t="s">
        <v>3780</v>
      </c>
      <c r="G2358" t="s">
        <v>769</v>
      </c>
      <c r="H2358" t="s">
        <v>962</v>
      </c>
      <c r="I2358" t="s">
        <v>1712</v>
      </c>
      <c r="J2358" t="s">
        <v>335</v>
      </c>
      <c r="K2358" t="s">
        <v>166</v>
      </c>
      <c r="L2358" t="s">
        <v>0</v>
      </c>
      <c r="M2358" t="s">
        <v>178</v>
      </c>
      <c r="N2358">
        <v>19</v>
      </c>
      <c r="O2358">
        <v>1</v>
      </c>
      <c r="P2358">
        <v>286.64999999999998</v>
      </c>
      <c r="Q2358">
        <v>1023.07</v>
      </c>
      <c r="R2358">
        <v>219.62</v>
      </c>
      <c r="S2358">
        <v>16.378939330000001</v>
      </c>
      <c r="T2358">
        <v>0</v>
      </c>
      <c r="U2358">
        <v>0</v>
      </c>
      <c r="V2358">
        <v>219.62</v>
      </c>
      <c r="W2358" t="s">
        <v>572</v>
      </c>
      <c r="X2358" t="s">
        <v>271</v>
      </c>
      <c r="Y2358" t="s">
        <v>4363</v>
      </c>
      <c r="AA2358" t="s">
        <v>4364</v>
      </c>
      <c r="AB2358" t="s">
        <v>181</v>
      </c>
    </row>
    <row r="2359" spans="1:28" x14ac:dyDescent="0.25">
      <c r="A2359" t="s">
        <v>4308</v>
      </c>
      <c r="B2359" t="s">
        <v>4309</v>
      </c>
      <c r="C2359" t="s">
        <v>646</v>
      </c>
      <c r="D2359" t="s">
        <v>3779</v>
      </c>
      <c r="E2359" t="s">
        <v>647</v>
      </c>
      <c r="F2359" t="s">
        <v>3780</v>
      </c>
      <c r="G2359" t="s">
        <v>769</v>
      </c>
      <c r="H2359" t="s">
        <v>962</v>
      </c>
      <c r="I2359" t="s">
        <v>1184</v>
      </c>
      <c r="J2359" t="s">
        <v>1185</v>
      </c>
      <c r="K2359" t="s">
        <v>166</v>
      </c>
      <c r="L2359" t="s">
        <v>0</v>
      </c>
      <c r="M2359" t="s">
        <v>178</v>
      </c>
      <c r="N2359">
        <v>116</v>
      </c>
      <c r="O2359">
        <v>35</v>
      </c>
      <c r="P2359">
        <v>2307.1799999999998</v>
      </c>
      <c r="Q2359">
        <v>6885.32</v>
      </c>
      <c r="R2359">
        <v>1769.3944438999999</v>
      </c>
      <c r="S2359">
        <v>402.19807997999999</v>
      </c>
      <c r="T2359">
        <v>4.4438999999999998E-3</v>
      </c>
      <c r="U2359">
        <v>0</v>
      </c>
      <c r="V2359">
        <v>1769.39</v>
      </c>
      <c r="W2359" t="s">
        <v>1186</v>
      </c>
      <c r="X2359" t="s">
        <v>271</v>
      </c>
      <c r="Y2359" t="s">
        <v>4310</v>
      </c>
      <c r="AA2359" t="s">
        <v>4311</v>
      </c>
      <c r="AB2359" t="s">
        <v>181</v>
      </c>
    </row>
    <row r="2360" spans="1:28" x14ac:dyDescent="0.25">
      <c r="A2360" t="s">
        <v>4298</v>
      </c>
      <c r="B2360" t="s">
        <v>4299</v>
      </c>
      <c r="C2360" t="s">
        <v>646</v>
      </c>
      <c r="D2360" t="s">
        <v>3779</v>
      </c>
      <c r="E2360" t="s">
        <v>647</v>
      </c>
      <c r="F2360" t="s">
        <v>666</v>
      </c>
      <c r="G2360" t="s">
        <v>666</v>
      </c>
      <c r="H2360" t="s">
        <v>909</v>
      </c>
      <c r="I2360" t="s">
        <v>4300</v>
      </c>
      <c r="J2360" t="s">
        <v>511</v>
      </c>
      <c r="K2360" t="s">
        <v>166</v>
      </c>
      <c r="L2360" t="s">
        <v>0</v>
      </c>
      <c r="M2360" t="s">
        <v>178</v>
      </c>
      <c r="N2360">
        <v>109.45</v>
      </c>
      <c r="O2360">
        <v>109.25</v>
      </c>
      <c r="P2360">
        <v>2824.43</v>
      </c>
      <c r="Q2360">
        <v>5481.96</v>
      </c>
      <c r="R2360">
        <v>524.68707072999996</v>
      </c>
      <c r="S2360">
        <v>1100.92425314</v>
      </c>
      <c r="T2360">
        <v>0.70707072999999998</v>
      </c>
      <c r="U2360">
        <v>0</v>
      </c>
      <c r="V2360">
        <v>523.98</v>
      </c>
      <c r="W2360" t="s">
        <v>510</v>
      </c>
      <c r="X2360" t="s">
        <v>271</v>
      </c>
      <c r="Y2360" t="s">
        <v>4301</v>
      </c>
      <c r="Z2360" t="s">
        <v>4302</v>
      </c>
      <c r="AA2360" t="s">
        <v>4303</v>
      </c>
      <c r="AB2360" t="s">
        <v>181</v>
      </c>
    </row>
    <row r="2361" spans="1:28" x14ac:dyDescent="0.25">
      <c r="A2361" t="s">
        <v>4244</v>
      </c>
      <c r="B2361" t="s">
        <v>4245</v>
      </c>
      <c r="C2361" t="s">
        <v>646</v>
      </c>
      <c r="D2361" t="s">
        <v>3779</v>
      </c>
      <c r="E2361" t="s">
        <v>647</v>
      </c>
      <c r="F2361" t="s">
        <v>3780</v>
      </c>
      <c r="G2361" t="s">
        <v>769</v>
      </c>
      <c r="H2361" t="s">
        <v>757</v>
      </c>
      <c r="I2361" t="s">
        <v>1251</v>
      </c>
      <c r="J2361" t="s">
        <v>821</v>
      </c>
      <c r="K2361" t="s">
        <v>166</v>
      </c>
      <c r="L2361" t="s">
        <v>0</v>
      </c>
      <c r="M2361" t="s">
        <v>178</v>
      </c>
      <c r="N2361">
        <v>87.8887</v>
      </c>
      <c r="O2361">
        <v>78.8887</v>
      </c>
      <c r="P2361">
        <v>2279.1999999999998</v>
      </c>
      <c r="Q2361">
        <v>3905.18</v>
      </c>
      <c r="R2361">
        <v>945.3</v>
      </c>
      <c r="S2361">
        <v>628.20062461999999</v>
      </c>
      <c r="T2361">
        <v>0</v>
      </c>
      <c r="U2361">
        <v>0</v>
      </c>
      <c r="V2361">
        <v>945.3</v>
      </c>
      <c r="W2361" t="s">
        <v>822</v>
      </c>
      <c r="X2361" t="s">
        <v>269</v>
      </c>
      <c r="Y2361" t="s">
        <v>4246</v>
      </c>
      <c r="AA2361" t="s">
        <v>4247</v>
      </c>
      <c r="AB2361" t="s">
        <v>181</v>
      </c>
    </row>
    <row r="2362" spans="1:28" x14ac:dyDescent="0.25">
      <c r="A2362" t="s">
        <v>4002</v>
      </c>
      <c r="B2362" t="s">
        <v>4003</v>
      </c>
      <c r="C2362" t="s">
        <v>646</v>
      </c>
      <c r="D2362" t="s">
        <v>3779</v>
      </c>
      <c r="E2362" t="s">
        <v>647</v>
      </c>
      <c r="F2362" t="s">
        <v>3780</v>
      </c>
      <c r="G2362" t="s">
        <v>769</v>
      </c>
      <c r="H2362" t="s">
        <v>770</v>
      </c>
      <c r="I2362" t="s">
        <v>2635</v>
      </c>
      <c r="J2362" t="s">
        <v>2636</v>
      </c>
      <c r="K2362" t="s">
        <v>166</v>
      </c>
      <c r="L2362" t="s">
        <v>0</v>
      </c>
      <c r="M2362" t="s">
        <v>178</v>
      </c>
      <c r="N2362">
        <v>13.5</v>
      </c>
      <c r="O2362">
        <v>8.5</v>
      </c>
      <c r="P2362">
        <v>186.75</v>
      </c>
      <c r="Q2362">
        <v>334.84</v>
      </c>
      <c r="R2362">
        <v>72.680000000000007</v>
      </c>
      <c r="S2362">
        <v>31.08113187</v>
      </c>
      <c r="T2362">
        <v>0</v>
      </c>
      <c r="U2362">
        <v>0</v>
      </c>
      <c r="V2362">
        <v>72.680000000000007</v>
      </c>
      <c r="W2362" t="s">
        <v>1609</v>
      </c>
      <c r="X2362" t="s">
        <v>271</v>
      </c>
      <c r="Y2362" t="s">
        <v>4004</v>
      </c>
      <c r="AA2362" t="s">
        <v>4005</v>
      </c>
      <c r="AB2362" t="s">
        <v>181</v>
      </c>
    </row>
    <row r="2363" spans="1:28" x14ac:dyDescent="0.25">
      <c r="A2363" t="s">
        <v>4027</v>
      </c>
      <c r="B2363" t="s">
        <v>4028</v>
      </c>
      <c r="C2363" t="s">
        <v>646</v>
      </c>
      <c r="D2363" t="s">
        <v>3779</v>
      </c>
      <c r="E2363" t="s">
        <v>647</v>
      </c>
      <c r="F2363" t="s">
        <v>3780</v>
      </c>
      <c r="G2363" t="s">
        <v>769</v>
      </c>
      <c r="H2363" t="s">
        <v>649</v>
      </c>
      <c r="I2363" t="s">
        <v>1251</v>
      </c>
      <c r="J2363" t="s">
        <v>821</v>
      </c>
      <c r="K2363" t="s">
        <v>166</v>
      </c>
      <c r="L2363" t="s">
        <v>0</v>
      </c>
      <c r="M2363" t="s">
        <v>178</v>
      </c>
      <c r="N2363">
        <v>1415</v>
      </c>
      <c r="O2363">
        <v>561</v>
      </c>
      <c r="P2363">
        <v>27267.71</v>
      </c>
      <c r="Q2363">
        <v>83654.960000000006</v>
      </c>
      <c r="R2363">
        <v>10801.46</v>
      </c>
      <c r="S2363">
        <v>4064.4392519899998</v>
      </c>
      <c r="T2363">
        <v>367</v>
      </c>
      <c r="U2363">
        <v>0</v>
      </c>
      <c r="V2363">
        <v>10801.46</v>
      </c>
      <c r="W2363" t="s">
        <v>822</v>
      </c>
      <c r="X2363" t="s">
        <v>269</v>
      </c>
      <c r="Y2363" t="s">
        <v>4029</v>
      </c>
      <c r="AA2363" t="s">
        <v>4030</v>
      </c>
      <c r="AB2363" t="s">
        <v>181</v>
      </c>
    </row>
    <row r="2364" spans="1:28" x14ac:dyDescent="0.25">
      <c r="A2364" t="s">
        <v>4011</v>
      </c>
      <c r="B2364" t="s">
        <v>4012</v>
      </c>
      <c r="C2364" t="s">
        <v>646</v>
      </c>
      <c r="D2364" t="s">
        <v>3779</v>
      </c>
      <c r="E2364" t="s">
        <v>647</v>
      </c>
      <c r="F2364" t="s">
        <v>3780</v>
      </c>
      <c r="G2364" t="s">
        <v>769</v>
      </c>
      <c r="H2364" t="s">
        <v>703</v>
      </c>
      <c r="I2364" t="s">
        <v>2142</v>
      </c>
      <c r="J2364" t="s">
        <v>1924</v>
      </c>
      <c r="K2364" t="s">
        <v>166</v>
      </c>
      <c r="L2364" t="s">
        <v>0</v>
      </c>
      <c r="M2364" t="s">
        <v>178</v>
      </c>
      <c r="N2364">
        <v>378.75</v>
      </c>
      <c r="O2364">
        <v>63.75</v>
      </c>
      <c r="P2364">
        <v>10720.91</v>
      </c>
      <c r="Q2364">
        <v>13165.36</v>
      </c>
      <c r="R2364">
        <v>2175.49687825</v>
      </c>
      <c r="S2364">
        <v>915.72991563000005</v>
      </c>
      <c r="T2364">
        <v>31.75687825</v>
      </c>
      <c r="U2364">
        <v>0</v>
      </c>
      <c r="V2364">
        <v>2143.7399999999998</v>
      </c>
      <c r="W2364" t="s">
        <v>1925</v>
      </c>
      <c r="X2364" t="s">
        <v>271</v>
      </c>
      <c r="Y2364" t="s">
        <v>4013</v>
      </c>
      <c r="AA2364" t="s">
        <v>4014</v>
      </c>
      <c r="AB2364" t="s">
        <v>181</v>
      </c>
    </row>
    <row r="2365" spans="1:28" x14ac:dyDescent="0.25">
      <c r="A2365" t="s">
        <v>3857</v>
      </c>
      <c r="B2365" t="s">
        <v>3858</v>
      </c>
      <c r="C2365" t="s">
        <v>646</v>
      </c>
      <c r="D2365" t="s">
        <v>3779</v>
      </c>
      <c r="E2365" t="s">
        <v>647</v>
      </c>
      <c r="F2365" t="s">
        <v>3780</v>
      </c>
      <c r="G2365" t="s">
        <v>769</v>
      </c>
      <c r="H2365" t="s">
        <v>713</v>
      </c>
      <c r="I2365" t="s">
        <v>952</v>
      </c>
      <c r="J2365" t="s">
        <v>434</v>
      </c>
      <c r="K2365" t="s">
        <v>166</v>
      </c>
      <c r="L2365" t="s">
        <v>0</v>
      </c>
      <c r="M2365" t="s">
        <v>178</v>
      </c>
      <c r="N2365">
        <v>40</v>
      </c>
      <c r="O2365">
        <v>21</v>
      </c>
      <c r="P2365">
        <v>1005</v>
      </c>
      <c r="Q2365">
        <v>525.89</v>
      </c>
      <c r="R2365">
        <v>109.72</v>
      </c>
      <c r="S2365">
        <v>45.158822989999997</v>
      </c>
      <c r="T2365">
        <v>0</v>
      </c>
      <c r="U2365">
        <v>0</v>
      </c>
      <c r="V2365">
        <v>109.72</v>
      </c>
      <c r="W2365" t="s">
        <v>466</v>
      </c>
      <c r="X2365" t="s">
        <v>271</v>
      </c>
      <c r="Y2365" t="s">
        <v>3859</v>
      </c>
      <c r="AA2365" t="s">
        <v>3860</v>
      </c>
      <c r="AB2365" t="s">
        <v>181</v>
      </c>
    </row>
    <row r="2366" spans="1:28" x14ac:dyDescent="0.25">
      <c r="A2366" t="s">
        <v>3977</v>
      </c>
      <c r="B2366" t="s">
        <v>3978</v>
      </c>
      <c r="C2366" t="s">
        <v>646</v>
      </c>
      <c r="D2366" t="s">
        <v>3779</v>
      </c>
      <c r="E2366" t="s">
        <v>647</v>
      </c>
      <c r="F2366" t="s">
        <v>3780</v>
      </c>
      <c r="G2366" t="s">
        <v>769</v>
      </c>
      <c r="H2366" t="s">
        <v>679</v>
      </c>
      <c r="I2366" t="s">
        <v>1489</v>
      </c>
      <c r="J2366" t="s">
        <v>816</v>
      </c>
      <c r="K2366" t="s">
        <v>166</v>
      </c>
      <c r="L2366" t="s">
        <v>0</v>
      </c>
      <c r="M2366" t="s">
        <v>178</v>
      </c>
      <c r="N2366">
        <v>12</v>
      </c>
      <c r="O2366">
        <v>12</v>
      </c>
      <c r="P2366">
        <v>269.56</v>
      </c>
      <c r="Q2366">
        <v>790.44</v>
      </c>
      <c r="R2366">
        <v>80.878408840000006</v>
      </c>
      <c r="S2366">
        <v>222.69683474000001</v>
      </c>
      <c r="T2366">
        <v>-0.18159116</v>
      </c>
      <c r="U2366">
        <v>0</v>
      </c>
      <c r="V2366">
        <v>81.06</v>
      </c>
      <c r="W2366" t="s">
        <v>817</v>
      </c>
      <c r="X2366" t="s">
        <v>271</v>
      </c>
      <c r="Y2366" t="s">
        <v>3979</v>
      </c>
      <c r="AA2366" t="s">
        <v>3980</v>
      </c>
      <c r="AB2366" t="s">
        <v>181</v>
      </c>
    </row>
    <row r="2367" spans="1:28" x14ac:dyDescent="0.25">
      <c r="A2367" t="s">
        <v>3921</v>
      </c>
      <c r="B2367" t="s">
        <v>3922</v>
      </c>
      <c r="C2367" t="s">
        <v>646</v>
      </c>
      <c r="D2367" t="s">
        <v>3779</v>
      </c>
      <c r="E2367" t="s">
        <v>647</v>
      </c>
      <c r="F2367" t="s">
        <v>666</v>
      </c>
      <c r="G2367" t="s">
        <v>666</v>
      </c>
      <c r="H2367" t="s">
        <v>770</v>
      </c>
      <c r="I2367" t="s">
        <v>902</v>
      </c>
      <c r="J2367" t="s">
        <v>562</v>
      </c>
      <c r="K2367" t="s">
        <v>166</v>
      </c>
      <c r="L2367" t="s">
        <v>0</v>
      </c>
      <c r="M2367" t="s">
        <v>178</v>
      </c>
      <c r="N2367">
        <v>438</v>
      </c>
      <c r="O2367">
        <v>207</v>
      </c>
      <c r="P2367">
        <v>4558</v>
      </c>
      <c r="Q2367">
        <v>9268.93</v>
      </c>
      <c r="R2367">
        <v>1734.77</v>
      </c>
      <c r="S2367">
        <v>718.17193761999999</v>
      </c>
      <c r="T2367">
        <v>0</v>
      </c>
      <c r="U2367">
        <v>0</v>
      </c>
      <c r="V2367">
        <v>1734.77</v>
      </c>
      <c r="W2367" t="s">
        <v>0</v>
      </c>
      <c r="X2367" t="s">
        <v>271</v>
      </c>
      <c r="Y2367" t="s">
        <v>3923</v>
      </c>
      <c r="AA2367" t="s">
        <v>3924</v>
      </c>
      <c r="AB2367" t="s">
        <v>181</v>
      </c>
    </row>
    <row r="2368" spans="1:28" x14ac:dyDescent="0.25">
      <c r="A2368" t="s">
        <v>3783</v>
      </c>
      <c r="B2368" t="s">
        <v>3784</v>
      </c>
      <c r="C2368" t="s">
        <v>646</v>
      </c>
      <c r="D2368" t="s">
        <v>3779</v>
      </c>
      <c r="E2368" t="s">
        <v>647</v>
      </c>
      <c r="F2368" t="s">
        <v>666</v>
      </c>
      <c r="G2368" t="s">
        <v>666</v>
      </c>
      <c r="H2368" t="s">
        <v>730</v>
      </c>
      <c r="I2368" t="s">
        <v>3785</v>
      </c>
      <c r="J2368" t="s">
        <v>432</v>
      </c>
      <c r="K2368" t="s">
        <v>166</v>
      </c>
      <c r="L2368" t="s">
        <v>0</v>
      </c>
      <c r="M2368" t="s">
        <v>178</v>
      </c>
      <c r="N2368">
        <v>2</v>
      </c>
      <c r="O2368">
        <v>2</v>
      </c>
      <c r="P2368">
        <v>25.2</v>
      </c>
      <c r="Q2368">
        <v>95.4</v>
      </c>
      <c r="R2368">
        <v>7.6</v>
      </c>
      <c r="S2368">
        <v>14.23251722</v>
      </c>
      <c r="T2368">
        <v>0</v>
      </c>
      <c r="U2368">
        <v>0</v>
      </c>
      <c r="V2368">
        <v>7.6</v>
      </c>
      <c r="W2368" t="s">
        <v>0</v>
      </c>
      <c r="X2368" t="s">
        <v>271</v>
      </c>
      <c r="Y2368" t="s">
        <v>3786</v>
      </c>
      <c r="AA2368" t="s">
        <v>3787</v>
      </c>
      <c r="AB2368" t="s">
        <v>181</v>
      </c>
    </row>
    <row r="2369" spans="1:28" x14ac:dyDescent="0.25">
      <c r="A2369" t="s">
        <v>4280</v>
      </c>
      <c r="B2369" t="s">
        <v>4281</v>
      </c>
      <c r="C2369" t="s">
        <v>646</v>
      </c>
      <c r="D2369" t="s">
        <v>3779</v>
      </c>
      <c r="E2369" t="s">
        <v>647</v>
      </c>
      <c r="F2369" t="s">
        <v>3780</v>
      </c>
      <c r="G2369" t="s">
        <v>769</v>
      </c>
      <c r="H2369" t="s">
        <v>856</v>
      </c>
      <c r="I2369" t="s">
        <v>1872</v>
      </c>
      <c r="J2369" t="s">
        <v>1873</v>
      </c>
      <c r="K2369" t="s">
        <v>166</v>
      </c>
      <c r="L2369" t="s">
        <v>0</v>
      </c>
      <c r="M2369" t="s">
        <v>178</v>
      </c>
      <c r="N2369">
        <v>5</v>
      </c>
      <c r="O2369">
        <v>0</v>
      </c>
      <c r="P2369">
        <v>70.16</v>
      </c>
      <c r="Q2369">
        <v>622.15</v>
      </c>
      <c r="R2369">
        <v>68.66</v>
      </c>
      <c r="S2369">
        <v>31.306369159999999</v>
      </c>
      <c r="T2369">
        <v>0</v>
      </c>
      <c r="U2369">
        <v>0</v>
      </c>
      <c r="V2369">
        <v>68.66</v>
      </c>
      <c r="W2369" t="s">
        <v>1874</v>
      </c>
      <c r="X2369" t="s">
        <v>271</v>
      </c>
      <c r="Y2369" t="s">
        <v>4282</v>
      </c>
      <c r="AA2369" t="s">
        <v>4283</v>
      </c>
      <c r="AB2369" t="s">
        <v>181</v>
      </c>
    </row>
    <row r="2370" spans="1:28" x14ac:dyDescent="0.25">
      <c r="A2370" t="s">
        <v>3913</v>
      </c>
      <c r="B2370" t="s">
        <v>3914</v>
      </c>
      <c r="C2370" t="s">
        <v>646</v>
      </c>
      <c r="D2370" t="s">
        <v>3779</v>
      </c>
      <c r="E2370" t="s">
        <v>647</v>
      </c>
      <c r="F2370" t="s">
        <v>3780</v>
      </c>
      <c r="G2370" t="s">
        <v>769</v>
      </c>
      <c r="H2370" t="s">
        <v>730</v>
      </c>
      <c r="I2370" t="s">
        <v>984</v>
      </c>
      <c r="J2370" t="s">
        <v>985</v>
      </c>
      <c r="K2370" t="s">
        <v>166</v>
      </c>
      <c r="L2370" t="s">
        <v>0</v>
      </c>
      <c r="M2370" t="s">
        <v>178</v>
      </c>
      <c r="N2370">
        <v>39</v>
      </c>
      <c r="O2370">
        <v>0</v>
      </c>
      <c r="P2370">
        <v>1360.4</v>
      </c>
      <c r="Q2370">
        <v>7285.65</v>
      </c>
      <c r="R2370">
        <v>1534.45164903</v>
      </c>
      <c r="S2370">
        <v>-0.20136256</v>
      </c>
      <c r="T2370">
        <v>741.93164903000002</v>
      </c>
      <c r="U2370">
        <v>0</v>
      </c>
      <c r="V2370">
        <v>1563.06</v>
      </c>
      <c r="W2370" t="s">
        <v>986</v>
      </c>
      <c r="X2370" t="s">
        <v>271</v>
      </c>
      <c r="Y2370" t="s">
        <v>3915</v>
      </c>
      <c r="AA2370" t="s">
        <v>3916</v>
      </c>
      <c r="AB2370" t="s">
        <v>181</v>
      </c>
    </row>
    <row r="2371" spans="1:28" x14ac:dyDescent="0.25">
      <c r="A2371" t="s">
        <v>3777</v>
      </c>
      <c r="B2371" t="s">
        <v>3778</v>
      </c>
      <c r="C2371" t="s">
        <v>646</v>
      </c>
      <c r="D2371" t="s">
        <v>3779</v>
      </c>
      <c r="E2371" t="s">
        <v>647</v>
      </c>
      <c r="F2371" t="s">
        <v>3780</v>
      </c>
      <c r="G2371" t="s">
        <v>769</v>
      </c>
      <c r="H2371" t="s">
        <v>649</v>
      </c>
      <c r="I2371" t="s">
        <v>798</v>
      </c>
      <c r="J2371" t="s">
        <v>524</v>
      </c>
      <c r="K2371" t="s">
        <v>166</v>
      </c>
      <c r="L2371" t="s">
        <v>0</v>
      </c>
      <c r="M2371" t="s">
        <v>178</v>
      </c>
      <c r="N2371">
        <v>232</v>
      </c>
      <c r="O2371">
        <v>146</v>
      </c>
      <c r="P2371">
        <v>3581.06</v>
      </c>
      <c r="Q2371">
        <v>11650.25</v>
      </c>
      <c r="R2371">
        <v>1729.16</v>
      </c>
      <c r="S2371">
        <v>953.11590315000001</v>
      </c>
      <c r="T2371">
        <v>0</v>
      </c>
      <c r="U2371">
        <v>0</v>
      </c>
      <c r="V2371">
        <v>1729.16</v>
      </c>
      <c r="W2371" t="s">
        <v>258</v>
      </c>
      <c r="X2371" t="s">
        <v>271</v>
      </c>
      <c r="Y2371" t="s">
        <v>3781</v>
      </c>
      <c r="AA2371" t="s">
        <v>3782</v>
      </c>
      <c r="AB2371" t="s">
        <v>181</v>
      </c>
    </row>
    <row r="2372" spans="1:28" x14ac:dyDescent="0.25">
      <c r="A2372" t="s">
        <v>3933</v>
      </c>
      <c r="B2372" t="s">
        <v>3934</v>
      </c>
      <c r="C2372" t="s">
        <v>646</v>
      </c>
      <c r="D2372" t="s">
        <v>3779</v>
      </c>
      <c r="E2372" t="s">
        <v>647</v>
      </c>
      <c r="F2372" t="s">
        <v>3780</v>
      </c>
      <c r="G2372" t="s">
        <v>769</v>
      </c>
      <c r="H2372" t="s">
        <v>1045</v>
      </c>
      <c r="I2372" t="s">
        <v>3935</v>
      </c>
      <c r="J2372" t="s">
        <v>1214</v>
      </c>
      <c r="K2372" t="s">
        <v>166</v>
      </c>
      <c r="L2372" t="s">
        <v>0</v>
      </c>
      <c r="M2372" t="s">
        <v>178</v>
      </c>
      <c r="N2372">
        <v>18</v>
      </c>
      <c r="O2372">
        <v>18</v>
      </c>
      <c r="P2372">
        <v>215</v>
      </c>
      <c r="Q2372">
        <v>1440.36</v>
      </c>
      <c r="R2372">
        <v>182.44</v>
      </c>
      <c r="S2372">
        <v>148.49337722000001</v>
      </c>
      <c r="T2372">
        <v>0</v>
      </c>
      <c r="U2372">
        <v>0</v>
      </c>
      <c r="V2372">
        <v>182.44</v>
      </c>
      <c r="W2372" t="s">
        <v>0</v>
      </c>
      <c r="X2372" t="s">
        <v>271</v>
      </c>
      <c r="Y2372" t="s">
        <v>3936</v>
      </c>
      <c r="AA2372" t="s">
        <v>3937</v>
      </c>
      <c r="AB2372" t="s">
        <v>181</v>
      </c>
    </row>
    <row r="2373" spans="1:28" x14ac:dyDescent="0.25">
      <c r="A2373" t="s">
        <v>4051</v>
      </c>
      <c r="B2373" t="s">
        <v>4052</v>
      </c>
      <c r="C2373" t="s">
        <v>646</v>
      </c>
      <c r="D2373" t="s">
        <v>3779</v>
      </c>
      <c r="E2373" t="s">
        <v>647</v>
      </c>
      <c r="F2373" t="s">
        <v>3780</v>
      </c>
      <c r="G2373" t="s">
        <v>769</v>
      </c>
      <c r="H2373" t="s">
        <v>703</v>
      </c>
      <c r="I2373" t="s">
        <v>4053</v>
      </c>
      <c r="J2373" t="s">
        <v>4054</v>
      </c>
      <c r="K2373" t="s">
        <v>166</v>
      </c>
      <c r="L2373" t="s">
        <v>0</v>
      </c>
      <c r="M2373" t="s">
        <v>178</v>
      </c>
      <c r="N2373">
        <v>45</v>
      </c>
      <c r="O2373">
        <v>0</v>
      </c>
      <c r="P2373">
        <v>926</v>
      </c>
      <c r="Q2373">
        <v>2827.37</v>
      </c>
      <c r="R2373">
        <v>71.38</v>
      </c>
      <c r="S2373">
        <v>92.837684019999998</v>
      </c>
      <c r="T2373">
        <v>0</v>
      </c>
      <c r="U2373">
        <v>0</v>
      </c>
      <c r="V2373">
        <v>71.38</v>
      </c>
      <c r="W2373" t="s">
        <v>2488</v>
      </c>
      <c r="X2373" t="s">
        <v>269</v>
      </c>
      <c r="Y2373" t="s">
        <v>4055</v>
      </c>
      <c r="AA2373" t="s">
        <v>4056</v>
      </c>
      <c r="AB2373" t="s">
        <v>181</v>
      </c>
    </row>
    <row r="2374" spans="1:28" x14ac:dyDescent="0.25">
      <c r="A2374" t="s">
        <v>4320</v>
      </c>
      <c r="B2374" t="s">
        <v>4321</v>
      </c>
      <c r="C2374" t="s">
        <v>646</v>
      </c>
      <c r="D2374" t="s">
        <v>3779</v>
      </c>
      <c r="E2374" t="s">
        <v>647</v>
      </c>
      <c r="F2374" t="s">
        <v>3780</v>
      </c>
      <c r="G2374" t="s">
        <v>769</v>
      </c>
      <c r="H2374" t="s">
        <v>1515</v>
      </c>
      <c r="I2374" t="s">
        <v>1010</v>
      </c>
      <c r="J2374" t="s">
        <v>1011</v>
      </c>
      <c r="K2374" t="s">
        <v>166</v>
      </c>
      <c r="L2374" t="s">
        <v>0</v>
      </c>
      <c r="M2374" t="s">
        <v>178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 t="s">
        <v>0</v>
      </c>
      <c r="X2374" t="s">
        <v>271</v>
      </c>
      <c r="Y2374" t="s">
        <v>4322</v>
      </c>
      <c r="AA2374" t="s">
        <v>4323</v>
      </c>
      <c r="AB2374" t="s">
        <v>181</v>
      </c>
    </row>
    <row r="2375" spans="1:28" x14ac:dyDescent="0.25">
      <c r="A2375" t="s">
        <v>4064</v>
      </c>
      <c r="B2375" t="s">
        <v>4065</v>
      </c>
      <c r="C2375" t="s">
        <v>646</v>
      </c>
      <c r="D2375" t="s">
        <v>3779</v>
      </c>
      <c r="E2375" t="s">
        <v>647</v>
      </c>
      <c r="F2375" t="s">
        <v>3780</v>
      </c>
      <c r="G2375" t="s">
        <v>769</v>
      </c>
      <c r="H2375" t="s">
        <v>1515</v>
      </c>
      <c r="I2375" t="s">
        <v>2469</v>
      </c>
      <c r="J2375" t="s">
        <v>2470</v>
      </c>
      <c r="K2375" t="s">
        <v>166</v>
      </c>
      <c r="L2375" t="s">
        <v>0</v>
      </c>
      <c r="M2375" t="s">
        <v>178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 t="s">
        <v>4066</v>
      </c>
      <c r="X2375" t="s">
        <v>271</v>
      </c>
      <c r="Y2375" t="s">
        <v>4067</v>
      </c>
      <c r="AA2375" t="s">
        <v>4068</v>
      </c>
      <c r="AB2375" t="s">
        <v>181</v>
      </c>
    </row>
    <row r="2376" spans="1:28" x14ac:dyDescent="0.25">
      <c r="A2376" t="s">
        <v>4011</v>
      </c>
      <c r="B2376" t="s">
        <v>4012</v>
      </c>
      <c r="C2376" t="s">
        <v>646</v>
      </c>
      <c r="D2376" t="s">
        <v>3779</v>
      </c>
      <c r="E2376" t="s">
        <v>647</v>
      </c>
      <c r="F2376" t="s">
        <v>3780</v>
      </c>
      <c r="G2376" t="s">
        <v>769</v>
      </c>
      <c r="H2376" t="s">
        <v>1171</v>
      </c>
      <c r="I2376" t="s">
        <v>2142</v>
      </c>
      <c r="J2376" t="s">
        <v>1924</v>
      </c>
      <c r="K2376" t="s">
        <v>166</v>
      </c>
      <c r="L2376" t="s">
        <v>0</v>
      </c>
      <c r="M2376" t="s">
        <v>178</v>
      </c>
      <c r="N2376">
        <v>19</v>
      </c>
      <c r="O2376">
        <v>0</v>
      </c>
      <c r="P2376">
        <v>418</v>
      </c>
      <c r="Q2376">
        <v>1188.67</v>
      </c>
      <c r="R2376">
        <v>149.37</v>
      </c>
      <c r="S2376">
        <v>0</v>
      </c>
      <c r="T2376">
        <v>0</v>
      </c>
      <c r="U2376">
        <v>0</v>
      </c>
      <c r="V2376">
        <v>149.37</v>
      </c>
      <c r="W2376" t="s">
        <v>1925</v>
      </c>
      <c r="X2376" t="s">
        <v>271</v>
      </c>
      <c r="Y2376" t="s">
        <v>4013</v>
      </c>
      <c r="AA2376" t="s">
        <v>4014</v>
      </c>
      <c r="AB2376" t="s">
        <v>181</v>
      </c>
    </row>
    <row r="2377" spans="1:28" x14ac:dyDescent="0.25">
      <c r="A2377" t="s">
        <v>4308</v>
      </c>
      <c r="B2377" t="s">
        <v>4309</v>
      </c>
      <c r="C2377" t="s">
        <v>646</v>
      </c>
      <c r="D2377" t="s">
        <v>3779</v>
      </c>
      <c r="E2377" t="s">
        <v>647</v>
      </c>
      <c r="F2377" t="s">
        <v>3780</v>
      </c>
      <c r="G2377" t="s">
        <v>769</v>
      </c>
      <c r="H2377" t="s">
        <v>797</v>
      </c>
      <c r="I2377" t="s">
        <v>1184</v>
      </c>
      <c r="J2377" t="s">
        <v>1185</v>
      </c>
      <c r="K2377" t="s">
        <v>166</v>
      </c>
      <c r="L2377" t="s">
        <v>0</v>
      </c>
      <c r="M2377" t="s">
        <v>178</v>
      </c>
      <c r="N2377">
        <v>3</v>
      </c>
      <c r="O2377">
        <v>3</v>
      </c>
      <c r="P2377">
        <v>30</v>
      </c>
      <c r="Q2377">
        <v>119.58</v>
      </c>
      <c r="R2377">
        <v>41.1</v>
      </c>
      <c r="S2377">
        <v>21.97462195</v>
      </c>
      <c r="T2377">
        <v>0</v>
      </c>
      <c r="U2377">
        <v>0</v>
      </c>
      <c r="V2377">
        <v>41.1</v>
      </c>
      <c r="W2377" t="s">
        <v>1186</v>
      </c>
      <c r="X2377" t="s">
        <v>271</v>
      </c>
      <c r="Y2377" t="s">
        <v>4310</v>
      </c>
      <c r="AA2377" t="s">
        <v>4311</v>
      </c>
      <c r="AB2377" t="s">
        <v>181</v>
      </c>
    </row>
    <row r="2378" spans="1:28" x14ac:dyDescent="0.25">
      <c r="A2378" t="s">
        <v>4365</v>
      </c>
      <c r="B2378" t="s">
        <v>4366</v>
      </c>
      <c r="C2378" t="s">
        <v>646</v>
      </c>
      <c r="D2378" t="s">
        <v>3779</v>
      </c>
      <c r="E2378" t="s">
        <v>647</v>
      </c>
      <c r="F2378" t="s">
        <v>666</v>
      </c>
      <c r="G2378" t="s">
        <v>666</v>
      </c>
      <c r="H2378" t="s">
        <v>683</v>
      </c>
      <c r="I2378" t="s">
        <v>4367</v>
      </c>
      <c r="J2378" t="s">
        <v>318</v>
      </c>
      <c r="K2378" t="s">
        <v>166</v>
      </c>
      <c r="L2378" t="s">
        <v>0</v>
      </c>
      <c r="M2378" t="s">
        <v>178</v>
      </c>
      <c r="N2378">
        <v>390</v>
      </c>
      <c r="O2378">
        <v>0</v>
      </c>
      <c r="P2378">
        <v>4387.5</v>
      </c>
      <c r="Q2378">
        <v>5655.75</v>
      </c>
      <c r="R2378">
        <v>493.62</v>
      </c>
      <c r="S2378">
        <v>639.6</v>
      </c>
      <c r="T2378">
        <v>0</v>
      </c>
      <c r="U2378">
        <v>0</v>
      </c>
      <c r="V2378">
        <v>493.62</v>
      </c>
      <c r="W2378" t="s">
        <v>472</v>
      </c>
      <c r="X2378" t="s">
        <v>271</v>
      </c>
      <c r="Y2378" t="s">
        <v>4368</v>
      </c>
      <c r="AA2378" t="s">
        <v>4369</v>
      </c>
      <c r="AB2378" t="s">
        <v>181</v>
      </c>
    </row>
    <row r="2379" spans="1:28" x14ac:dyDescent="0.25">
      <c r="A2379" t="s">
        <v>3861</v>
      </c>
      <c r="B2379" t="s">
        <v>3862</v>
      </c>
      <c r="C2379" t="s">
        <v>646</v>
      </c>
      <c r="D2379" t="s">
        <v>3779</v>
      </c>
      <c r="E2379" t="s">
        <v>647</v>
      </c>
      <c r="F2379" t="s">
        <v>3780</v>
      </c>
      <c r="G2379" t="s">
        <v>769</v>
      </c>
      <c r="H2379" t="s">
        <v>761</v>
      </c>
      <c r="I2379" t="s">
        <v>2065</v>
      </c>
      <c r="J2379" t="s">
        <v>2066</v>
      </c>
      <c r="K2379" t="s">
        <v>166</v>
      </c>
      <c r="L2379" t="s">
        <v>0</v>
      </c>
      <c r="M2379" t="s">
        <v>178</v>
      </c>
      <c r="N2379">
        <v>237</v>
      </c>
      <c r="O2379">
        <v>231</v>
      </c>
      <c r="P2379">
        <v>9071</v>
      </c>
      <c r="Q2379">
        <v>6957.67</v>
      </c>
      <c r="R2379">
        <v>1212.46</v>
      </c>
      <c r="S2379">
        <v>1106.6884953000001</v>
      </c>
      <c r="T2379">
        <v>0</v>
      </c>
      <c r="U2379">
        <v>0</v>
      </c>
      <c r="V2379">
        <v>1212.46</v>
      </c>
      <c r="W2379" t="s">
        <v>2067</v>
      </c>
      <c r="X2379" t="s">
        <v>271</v>
      </c>
      <c r="Y2379" t="s">
        <v>3863</v>
      </c>
      <c r="AA2379" t="s">
        <v>3864</v>
      </c>
      <c r="AB2379" t="s">
        <v>181</v>
      </c>
    </row>
    <row r="2380" spans="1:28" x14ac:dyDescent="0.25">
      <c r="A2380" t="s">
        <v>4162</v>
      </c>
      <c r="B2380" t="s">
        <v>4163</v>
      </c>
      <c r="C2380" t="s">
        <v>646</v>
      </c>
      <c r="D2380" t="s">
        <v>3779</v>
      </c>
      <c r="E2380" t="s">
        <v>647</v>
      </c>
      <c r="F2380" t="s">
        <v>3780</v>
      </c>
      <c r="G2380" t="s">
        <v>769</v>
      </c>
      <c r="H2380" t="s">
        <v>770</v>
      </c>
      <c r="I2380" t="s">
        <v>4164</v>
      </c>
      <c r="J2380" t="s">
        <v>985</v>
      </c>
      <c r="K2380" t="s">
        <v>166</v>
      </c>
      <c r="L2380" t="s">
        <v>0</v>
      </c>
      <c r="M2380" t="s">
        <v>178</v>
      </c>
      <c r="N2380">
        <v>705.07140000000004</v>
      </c>
      <c r="O2380">
        <v>478.07139999999998</v>
      </c>
      <c r="P2380">
        <v>21509.919999999998</v>
      </c>
      <c r="Q2380">
        <v>17639.7</v>
      </c>
      <c r="R2380">
        <v>2065.4830156600001</v>
      </c>
      <c r="S2380">
        <v>2243.9765809199998</v>
      </c>
      <c r="T2380">
        <v>0.20301565999999999</v>
      </c>
      <c r="U2380">
        <v>0</v>
      </c>
      <c r="V2380">
        <v>2065.2800000000002</v>
      </c>
      <c r="W2380" t="s">
        <v>986</v>
      </c>
      <c r="X2380" t="s">
        <v>271</v>
      </c>
      <c r="Y2380" t="s">
        <v>4165</v>
      </c>
      <c r="AA2380" t="s">
        <v>4166</v>
      </c>
      <c r="AB2380" t="s">
        <v>181</v>
      </c>
    </row>
    <row r="2381" spans="1:28" x14ac:dyDescent="0.25">
      <c r="A2381" t="s">
        <v>4201</v>
      </c>
      <c r="B2381" t="s">
        <v>4202</v>
      </c>
      <c r="C2381" t="s">
        <v>646</v>
      </c>
      <c r="D2381" t="s">
        <v>3779</v>
      </c>
      <c r="E2381" t="s">
        <v>647</v>
      </c>
      <c r="F2381" t="s">
        <v>3780</v>
      </c>
      <c r="G2381" t="s">
        <v>769</v>
      </c>
      <c r="H2381" t="s">
        <v>672</v>
      </c>
      <c r="I2381" t="s">
        <v>4203</v>
      </c>
      <c r="J2381" t="s">
        <v>688</v>
      </c>
      <c r="K2381" t="s">
        <v>166</v>
      </c>
      <c r="L2381" t="s">
        <v>0</v>
      </c>
      <c r="M2381" t="s">
        <v>178</v>
      </c>
      <c r="N2381">
        <v>147</v>
      </c>
      <c r="O2381">
        <v>142</v>
      </c>
      <c r="P2381">
        <v>3897</v>
      </c>
      <c r="Q2381">
        <v>5626.74</v>
      </c>
      <c r="R2381">
        <v>520.52919940000004</v>
      </c>
      <c r="S2381">
        <v>1497.5371598700001</v>
      </c>
      <c r="T2381">
        <v>0.9191994</v>
      </c>
      <c r="U2381">
        <v>0</v>
      </c>
      <c r="V2381">
        <v>519.61</v>
      </c>
      <c r="W2381" t="s">
        <v>0</v>
      </c>
      <c r="X2381" t="s">
        <v>271</v>
      </c>
      <c r="Y2381" t="s">
        <v>4204</v>
      </c>
      <c r="AA2381" t="s">
        <v>4205</v>
      </c>
      <c r="AB2381" t="s">
        <v>181</v>
      </c>
    </row>
    <row r="2382" spans="1:28" x14ac:dyDescent="0.25">
      <c r="A2382" t="s">
        <v>3777</v>
      </c>
      <c r="B2382" t="s">
        <v>3778</v>
      </c>
      <c r="C2382" t="s">
        <v>646</v>
      </c>
      <c r="D2382" t="s">
        <v>3779</v>
      </c>
      <c r="E2382" t="s">
        <v>647</v>
      </c>
      <c r="F2382" t="s">
        <v>3780</v>
      </c>
      <c r="G2382" t="s">
        <v>769</v>
      </c>
      <c r="H2382" t="s">
        <v>802</v>
      </c>
      <c r="I2382" t="s">
        <v>798</v>
      </c>
      <c r="J2382" t="s">
        <v>524</v>
      </c>
      <c r="K2382" t="s">
        <v>166</v>
      </c>
      <c r="L2382" t="s">
        <v>0</v>
      </c>
      <c r="M2382" t="s">
        <v>178</v>
      </c>
      <c r="N2382">
        <v>99.166600000000003</v>
      </c>
      <c r="O2382">
        <v>44.166600000000003</v>
      </c>
      <c r="P2382">
        <v>1592.44</v>
      </c>
      <c r="Q2382">
        <v>5812.86</v>
      </c>
      <c r="R2382">
        <v>1195.3900000000001</v>
      </c>
      <c r="S2382">
        <v>306.60532049</v>
      </c>
      <c r="T2382">
        <v>0</v>
      </c>
      <c r="U2382">
        <v>0</v>
      </c>
      <c r="V2382">
        <v>1195.3900000000001</v>
      </c>
      <c r="W2382" t="s">
        <v>258</v>
      </c>
      <c r="X2382" t="s">
        <v>271</v>
      </c>
      <c r="Y2382" t="s">
        <v>3781</v>
      </c>
      <c r="AA2382" t="s">
        <v>3782</v>
      </c>
      <c r="AB2382" t="s">
        <v>181</v>
      </c>
    </row>
    <row r="2383" spans="1:28" x14ac:dyDescent="0.25">
      <c r="A2383" t="s">
        <v>4006</v>
      </c>
      <c r="B2383" t="s">
        <v>4007</v>
      </c>
      <c r="C2383" t="s">
        <v>646</v>
      </c>
      <c r="D2383" t="s">
        <v>3779</v>
      </c>
      <c r="E2383" t="s">
        <v>647</v>
      </c>
      <c r="F2383" t="s">
        <v>3780</v>
      </c>
      <c r="G2383" t="s">
        <v>769</v>
      </c>
      <c r="H2383" t="s">
        <v>679</v>
      </c>
      <c r="I2383" t="s">
        <v>4008</v>
      </c>
      <c r="J2383" t="s">
        <v>688</v>
      </c>
      <c r="K2383" t="s">
        <v>166</v>
      </c>
      <c r="L2383" t="s">
        <v>0</v>
      </c>
      <c r="M2383" t="s">
        <v>178</v>
      </c>
      <c r="N2383">
        <v>41</v>
      </c>
      <c r="O2383">
        <v>13</v>
      </c>
      <c r="P2383">
        <v>811</v>
      </c>
      <c r="Q2383">
        <v>2039.07</v>
      </c>
      <c r="R2383">
        <v>201.47100940000001</v>
      </c>
      <c r="S2383">
        <v>219.36000529</v>
      </c>
      <c r="T2383">
        <v>1.1009400000000001E-2</v>
      </c>
      <c r="U2383">
        <v>0</v>
      </c>
      <c r="V2383">
        <v>201.46</v>
      </c>
      <c r="W2383" t="s">
        <v>0</v>
      </c>
      <c r="X2383" t="s">
        <v>271</v>
      </c>
      <c r="Y2383" t="s">
        <v>4009</v>
      </c>
      <c r="AA2383" t="s">
        <v>4010</v>
      </c>
      <c r="AB2383" t="s">
        <v>181</v>
      </c>
    </row>
    <row r="2384" spans="1:28" x14ac:dyDescent="0.25">
      <c r="A2384" t="s">
        <v>4320</v>
      </c>
      <c r="B2384" t="s">
        <v>4321</v>
      </c>
      <c r="C2384" t="s">
        <v>646</v>
      </c>
      <c r="D2384" t="s">
        <v>3779</v>
      </c>
      <c r="E2384" t="s">
        <v>647</v>
      </c>
      <c r="F2384" t="s">
        <v>3780</v>
      </c>
      <c r="G2384" t="s">
        <v>769</v>
      </c>
      <c r="H2384" t="s">
        <v>757</v>
      </c>
      <c r="I2384" t="s">
        <v>1010</v>
      </c>
      <c r="J2384" t="s">
        <v>1011</v>
      </c>
      <c r="K2384" t="s">
        <v>166</v>
      </c>
      <c r="L2384" t="s">
        <v>0</v>
      </c>
      <c r="M2384" t="s">
        <v>178</v>
      </c>
      <c r="N2384">
        <v>922</v>
      </c>
      <c r="O2384">
        <v>94</v>
      </c>
      <c r="P2384">
        <v>6298.59</v>
      </c>
      <c r="Q2384">
        <v>12587.81</v>
      </c>
      <c r="R2384">
        <v>1419.68493524</v>
      </c>
      <c r="S2384">
        <v>1553.7510793199999</v>
      </c>
      <c r="T2384">
        <v>1.26493524</v>
      </c>
      <c r="U2384">
        <v>0</v>
      </c>
      <c r="V2384">
        <v>1418.42</v>
      </c>
      <c r="W2384" t="s">
        <v>0</v>
      </c>
      <c r="X2384" t="s">
        <v>271</v>
      </c>
      <c r="Y2384" t="s">
        <v>4322</v>
      </c>
      <c r="AA2384" t="s">
        <v>4323</v>
      </c>
      <c r="AB2384" t="s">
        <v>181</v>
      </c>
    </row>
    <row r="2385" spans="1:28" x14ac:dyDescent="0.25">
      <c r="A2385" t="s">
        <v>3810</v>
      </c>
      <c r="B2385" t="s">
        <v>3811</v>
      </c>
      <c r="C2385" t="s">
        <v>646</v>
      </c>
      <c r="D2385" t="s">
        <v>3779</v>
      </c>
      <c r="E2385" t="s">
        <v>647</v>
      </c>
      <c r="F2385" t="s">
        <v>3780</v>
      </c>
      <c r="G2385" t="s">
        <v>769</v>
      </c>
      <c r="H2385" t="s">
        <v>713</v>
      </c>
      <c r="I2385" t="s">
        <v>771</v>
      </c>
      <c r="J2385" t="s">
        <v>319</v>
      </c>
      <c r="K2385" t="s">
        <v>166</v>
      </c>
      <c r="L2385" t="s">
        <v>0</v>
      </c>
      <c r="M2385" t="s">
        <v>178</v>
      </c>
      <c r="N2385">
        <v>1753</v>
      </c>
      <c r="O2385">
        <v>180</v>
      </c>
      <c r="P2385">
        <v>44578.23</v>
      </c>
      <c r="Q2385">
        <v>35825.79</v>
      </c>
      <c r="R2385">
        <v>2730.5963275200002</v>
      </c>
      <c r="S2385">
        <v>2637.7650839600001</v>
      </c>
      <c r="T2385">
        <v>-0.58367248000000005</v>
      </c>
      <c r="U2385">
        <v>0</v>
      </c>
      <c r="V2385">
        <v>2731.18</v>
      </c>
      <c r="W2385" t="s">
        <v>0</v>
      </c>
      <c r="X2385" t="s">
        <v>271</v>
      </c>
      <c r="Y2385" t="s">
        <v>3812</v>
      </c>
      <c r="AA2385" t="s">
        <v>3813</v>
      </c>
      <c r="AB2385" t="s">
        <v>181</v>
      </c>
    </row>
    <row r="2386" spans="1:28" x14ac:dyDescent="0.25">
      <c r="A2386" t="s">
        <v>4139</v>
      </c>
      <c r="B2386" t="s">
        <v>4140</v>
      </c>
      <c r="C2386" t="s">
        <v>646</v>
      </c>
      <c r="D2386" t="s">
        <v>3779</v>
      </c>
      <c r="E2386" t="s">
        <v>647</v>
      </c>
      <c r="F2386" t="s">
        <v>3780</v>
      </c>
      <c r="G2386" t="s">
        <v>769</v>
      </c>
      <c r="H2386" t="s">
        <v>683</v>
      </c>
      <c r="I2386" t="s">
        <v>778</v>
      </c>
      <c r="J2386" t="s">
        <v>428</v>
      </c>
      <c r="K2386" t="s">
        <v>166</v>
      </c>
      <c r="L2386" t="s">
        <v>0</v>
      </c>
      <c r="M2386" t="s">
        <v>178</v>
      </c>
      <c r="N2386">
        <v>42.1111</v>
      </c>
      <c r="O2386">
        <v>14</v>
      </c>
      <c r="P2386">
        <v>805.25</v>
      </c>
      <c r="Q2386">
        <v>1847.68</v>
      </c>
      <c r="R2386">
        <v>388.21</v>
      </c>
      <c r="S2386">
        <v>298.10491651000001</v>
      </c>
      <c r="T2386">
        <v>0</v>
      </c>
      <c r="U2386">
        <v>0</v>
      </c>
      <c r="V2386">
        <v>388.21</v>
      </c>
      <c r="W2386" t="s">
        <v>547</v>
      </c>
      <c r="X2386" t="s">
        <v>271</v>
      </c>
      <c r="Y2386" t="s">
        <v>4141</v>
      </c>
      <c r="AA2386" t="s">
        <v>4142</v>
      </c>
      <c r="AB2386" t="s">
        <v>181</v>
      </c>
    </row>
    <row r="2387" spans="1:28" x14ac:dyDescent="0.25">
      <c r="A2387" t="s">
        <v>3921</v>
      </c>
      <c r="B2387" t="s">
        <v>3922</v>
      </c>
      <c r="C2387" t="s">
        <v>646</v>
      </c>
      <c r="D2387" t="s">
        <v>3779</v>
      </c>
      <c r="E2387" t="s">
        <v>647</v>
      </c>
      <c r="F2387" t="s">
        <v>666</v>
      </c>
      <c r="G2387" t="s">
        <v>666</v>
      </c>
      <c r="H2387" t="s">
        <v>1171</v>
      </c>
      <c r="I2387" t="s">
        <v>902</v>
      </c>
      <c r="J2387" t="s">
        <v>562</v>
      </c>
      <c r="K2387" t="s">
        <v>166</v>
      </c>
      <c r="L2387" t="s">
        <v>0</v>
      </c>
      <c r="M2387" t="s">
        <v>178</v>
      </c>
      <c r="N2387">
        <v>392</v>
      </c>
      <c r="O2387">
        <v>15</v>
      </c>
      <c r="P2387">
        <v>26796.39</v>
      </c>
      <c r="Q2387">
        <v>199672.09</v>
      </c>
      <c r="R2387">
        <v>16265.09</v>
      </c>
      <c r="S2387">
        <v>2454.09904843</v>
      </c>
      <c r="T2387">
        <v>0</v>
      </c>
      <c r="U2387">
        <v>0</v>
      </c>
      <c r="V2387">
        <v>16265.09</v>
      </c>
      <c r="W2387" t="s">
        <v>0</v>
      </c>
      <c r="X2387" t="s">
        <v>271</v>
      </c>
      <c r="Y2387" t="s">
        <v>3923</v>
      </c>
      <c r="AA2387" t="s">
        <v>3924</v>
      </c>
      <c r="AB2387" t="s">
        <v>181</v>
      </c>
    </row>
    <row r="2388" spans="1:28" x14ac:dyDescent="0.25">
      <c r="A2388" t="s">
        <v>4228</v>
      </c>
      <c r="B2388" t="s">
        <v>4229</v>
      </c>
      <c r="C2388" t="s">
        <v>646</v>
      </c>
      <c r="D2388" t="s">
        <v>3779</v>
      </c>
      <c r="E2388" t="s">
        <v>647</v>
      </c>
      <c r="F2388" t="s">
        <v>3780</v>
      </c>
      <c r="G2388" t="s">
        <v>769</v>
      </c>
      <c r="H2388" t="s">
        <v>962</v>
      </c>
      <c r="I2388" t="s">
        <v>1971</v>
      </c>
      <c r="J2388" t="s">
        <v>1972</v>
      </c>
      <c r="K2388" t="s">
        <v>166</v>
      </c>
      <c r="L2388" t="s">
        <v>0</v>
      </c>
      <c r="M2388" t="s">
        <v>178</v>
      </c>
      <c r="N2388">
        <v>677</v>
      </c>
      <c r="O2388">
        <v>654</v>
      </c>
      <c r="P2388">
        <v>10793.49</v>
      </c>
      <c r="Q2388">
        <v>40210.959999999999</v>
      </c>
      <c r="R2388">
        <v>10428.574434009999</v>
      </c>
      <c r="S2388">
        <v>5818.51452264</v>
      </c>
      <c r="T2388">
        <v>8.4434010000000004E-2</v>
      </c>
      <c r="U2388">
        <v>0</v>
      </c>
      <c r="V2388">
        <v>10428.49</v>
      </c>
      <c r="W2388" t="s">
        <v>1973</v>
      </c>
      <c r="X2388" t="s">
        <v>271</v>
      </c>
      <c r="Y2388" t="s">
        <v>4230</v>
      </c>
      <c r="AA2388" t="s">
        <v>4231</v>
      </c>
      <c r="AB2388" t="s">
        <v>181</v>
      </c>
    </row>
    <row r="2389" spans="1:28" x14ac:dyDescent="0.25">
      <c r="A2389" t="s">
        <v>4047</v>
      </c>
      <c r="B2389" t="s">
        <v>4048</v>
      </c>
      <c r="C2389" t="s">
        <v>646</v>
      </c>
      <c r="D2389" t="s">
        <v>3779</v>
      </c>
      <c r="E2389" t="s">
        <v>647</v>
      </c>
      <c r="F2389" t="s">
        <v>666</v>
      </c>
      <c r="G2389" t="s">
        <v>666</v>
      </c>
      <c r="H2389" t="s">
        <v>672</v>
      </c>
      <c r="I2389" t="s">
        <v>2292</v>
      </c>
      <c r="J2389" t="s">
        <v>1847</v>
      </c>
      <c r="K2389" t="s">
        <v>166</v>
      </c>
      <c r="L2389" t="s">
        <v>0</v>
      </c>
      <c r="M2389" t="s">
        <v>178</v>
      </c>
      <c r="N2389">
        <v>65</v>
      </c>
      <c r="O2389">
        <v>30</v>
      </c>
      <c r="P2389">
        <v>1039.24</v>
      </c>
      <c r="Q2389">
        <v>2340.64</v>
      </c>
      <c r="R2389">
        <v>471.73</v>
      </c>
      <c r="S2389">
        <v>290.09448960999998</v>
      </c>
      <c r="T2389">
        <v>0</v>
      </c>
      <c r="U2389">
        <v>0</v>
      </c>
      <c r="V2389">
        <v>471.73</v>
      </c>
      <c r="W2389" t="s">
        <v>1848</v>
      </c>
      <c r="X2389" t="s">
        <v>269</v>
      </c>
      <c r="Y2389" t="s">
        <v>4049</v>
      </c>
      <c r="AA2389" t="s">
        <v>4050</v>
      </c>
      <c r="AB2389" t="s">
        <v>181</v>
      </c>
    </row>
    <row r="2390" spans="1:28" x14ac:dyDescent="0.25">
      <c r="A2390" t="s">
        <v>3783</v>
      </c>
      <c r="B2390" t="s">
        <v>3784</v>
      </c>
      <c r="C2390" t="s">
        <v>646</v>
      </c>
      <c r="D2390" t="s">
        <v>3779</v>
      </c>
      <c r="E2390" t="s">
        <v>647</v>
      </c>
      <c r="F2390" t="s">
        <v>666</v>
      </c>
      <c r="G2390" t="s">
        <v>666</v>
      </c>
      <c r="H2390" t="s">
        <v>770</v>
      </c>
      <c r="I2390" t="s">
        <v>3785</v>
      </c>
      <c r="J2390" t="s">
        <v>432</v>
      </c>
      <c r="K2390" t="s">
        <v>166</v>
      </c>
      <c r="L2390" t="s">
        <v>0</v>
      </c>
      <c r="M2390" t="s">
        <v>178</v>
      </c>
      <c r="N2390">
        <v>85</v>
      </c>
      <c r="O2390">
        <v>46</v>
      </c>
      <c r="P2390">
        <v>1197.5</v>
      </c>
      <c r="Q2390">
        <v>2229.0300000000002</v>
      </c>
      <c r="R2390">
        <v>450.03</v>
      </c>
      <c r="S2390">
        <v>175.34093888999999</v>
      </c>
      <c r="T2390">
        <v>0</v>
      </c>
      <c r="U2390">
        <v>0</v>
      </c>
      <c r="V2390">
        <v>450.03</v>
      </c>
      <c r="W2390" t="s">
        <v>0</v>
      </c>
      <c r="X2390" t="s">
        <v>271</v>
      </c>
      <c r="Y2390" t="s">
        <v>3786</v>
      </c>
      <c r="AA2390" t="s">
        <v>3787</v>
      </c>
      <c r="AB2390" t="s">
        <v>181</v>
      </c>
    </row>
    <row r="2391" spans="1:28" x14ac:dyDescent="0.25">
      <c r="A2391" t="s">
        <v>4194</v>
      </c>
      <c r="B2391" t="s">
        <v>4195</v>
      </c>
      <c r="C2391" t="s">
        <v>646</v>
      </c>
      <c r="D2391" t="s">
        <v>3779</v>
      </c>
      <c r="E2391" t="s">
        <v>647</v>
      </c>
      <c r="F2391" t="s">
        <v>3780</v>
      </c>
      <c r="G2391" t="s">
        <v>769</v>
      </c>
      <c r="H2391" t="s">
        <v>683</v>
      </c>
      <c r="I2391" t="s">
        <v>1190</v>
      </c>
      <c r="J2391" t="s">
        <v>1191</v>
      </c>
      <c r="K2391" t="s">
        <v>166</v>
      </c>
      <c r="L2391" t="s">
        <v>0</v>
      </c>
      <c r="M2391" t="s">
        <v>178</v>
      </c>
      <c r="N2391">
        <v>336</v>
      </c>
      <c r="O2391">
        <v>255</v>
      </c>
      <c r="P2391">
        <v>6055.32</v>
      </c>
      <c r="Q2391">
        <v>9926.31</v>
      </c>
      <c r="R2391">
        <v>-2141.8228178300001</v>
      </c>
      <c r="S2391">
        <v>5257.0678400699999</v>
      </c>
      <c r="T2391">
        <v>4.7182170000000002E-2</v>
      </c>
      <c r="U2391">
        <v>2617.87</v>
      </c>
      <c r="V2391">
        <v>476</v>
      </c>
      <c r="W2391" t="s">
        <v>282</v>
      </c>
      <c r="X2391" t="s">
        <v>271</v>
      </c>
      <c r="Y2391" t="s">
        <v>4059</v>
      </c>
      <c r="AA2391" t="s">
        <v>2171</v>
      </c>
      <c r="AB2391" t="s">
        <v>181</v>
      </c>
    </row>
    <row r="2392" spans="1:28" x14ac:dyDescent="0.25">
      <c r="A2392" t="s">
        <v>3777</v>
      </c>
      <c r="B2392" t="s">
        <v>3778</v>
      </c>
      <c r="C2392" t="s">
        <v>646</v>
      </c>
      <c r="D2392" t="s">
        <v>3779</v>
      </c>
      <c r="E2392" t="s">
        <v>647</v>
      </c>
      <c r="F2392" t="s">
        <v>3780</v>
      </c>
      <c r="G2392" t="s">
        <v>769</v>
      </c>
      <c r="H2392" t="s">
        <v>797</v>
      </c>
      <c r="I2392" t="s">
        <v>798</v>
      </c>
      <c r="J2392" t="s">
        <v>524</v>
      </c>
      <c r="K2392" t="s">
        <v>166</v>
      </c>
      <c r="L2392" t="s">
        <v>0</v>
      </c>
      <c r="M2392" t="s">
        <v>178</v>
      </c>
      <c r="N2392">
        <v>35</v>
      </c>
      <c r="O2392">
        <v>22</v>
      </c>
      <c r="P2392">
        <v>362.99</v>
      </c>
      <c r="Q2392">
        <v>1372.66</v>
      </c>
      <c r="R2392">
        <v>300.16000000000003</v>
      </c>
      <c r="S2392">
        <v>161.06971275999999</v>
      </c>
      <c r="T2392">
        <v>0</v>
      </c>
      <c r="U2392">
        <v>0</v>
      </c>
      <c r="V2392">
        <v>300.16000000000003</v>
      </c>
      <c r="W2392" t="s">
        <v>258</v>
      </c>
      <c r="X2392" t="s">
        <v>271</v>
      </c>
      <c r="Y2392" t="s">
        <v>3781</v>
      </c>
      <c r="AA2392" t="s">
        <v>3782</v>
      </c>
      <c r="AB2392" t="s">
        <v>181</v>
      </c>
    </row>
    <row r="2393" spans="1:28" x14ac:dyDescent="0.25">
      <c r="A2393" t="s">
        <v>3857</v>
      </c>
      <c r="B2393" t="s">
        <v>3858</v>
      </c>
      <c r="C2393" t="s">
        <v>646</v>
      </c>
      <c r="D2393" t="s">
        <v>3779</v>
      </c>
      <c r="E2393" t="s">
        <v>647</v>
      </c>
      <c r="F2393" t="s">
        <v>3780</v>
      </c>
      <c r="G2393" t="s">
        <v>769</v>
      </c>
      <c r="H2393" t="s">
        <v>856</v>
      </c>
      <c r="I2393" t="s">
        <v>952</v>
      </c>
      <c r="J2393" t="s">
        <v>434</v>
      </c>
      <c r="K2393" t="s">
        <v>166</v>
      </c>
      <c r="L2393" t="s">
        <v>0</v>
      </c>
      <c r="M2393" t="s">
        <v>178</v>
      </c>
      <c r="N2393">
        <v>5</v>
      </c>
      <c r="O2393">
        <v>4</v>
      </c>
      <c r="P2393">
        <v>87.65</v>
      </c>
      <c r="Q2393">
        <v>888.95</v>
      </c>
      <c r="R2393">
        <v>24.89</v>
      </c>
      <c r="S2393">
        <v>25.693899999999999</v>
      </c>
      <c r="T2393">
        <v>0</v>
      </c>
      <c r="U2393">
        <v>0</v>
      </c>
      <c r="V2393">
        <v>24.89</v>
      </c>
      <c r="W2393" t="s">
        <v>466</v>
      </c>
      <c r="X2393" t="s">
        <v>271</v>
      </c>
      <c r="Y2393" t="s">
        <v>3859</v>
      </c>
      <c r="AA2393" t="s">
        <v>3860</v>
      </c>
      <c r="AB2393" t="s">
        <v>181</v>
      </c>
    </row>
    <row r="2394" spans="1:28" x14ac:dyDescent="0.25">
      <c r="A2394" t="s">
        <v>4248</v>
      </c>
      <c r="B2394" t="s">
        <v>4249</v>
      </c>
      <c r="C2394" t="s">
        <v>646</v>
      </c>
      <c r="D2394" t="s">
        <v>3779</v>
      </c>
      <c r="E2394" t="s">
        <v>647</v>
      </c>
      <c r="F2394" t="s">
        <v>3780</v>
      </c>
      <c r="G2394" t="s">
        <v>769</v>
      </c>
      <c r="H2394" t="s">
        <v>757</v>
      </c>
      <c r="I2394" t="s">
        <v>1913</v>
      </c>
      <c r="J2394" t="s">
        <v>1914</v>
      </c>
      <c r="K2394" t="s">
        <v>166</v>
      </c>
      <c r="L2394" t="s">
        <v>0</v>
      </c>
      <c r="M2394" t="s">
        <v>178</v>
      </c>
      <c r="N2394">
        <v>104.2</v>
      </c>
      <c r="O2394">
        <v>85.2</v>
      </c>
      <c r="P2394">
        <v>2477.61</v>
      </c>
      <c r="Q2394">
        <v>5264.51</v>
      </c>
      <c r="R2394">
        <v>291.77</v>
      </c>
      <c r="S2394">
        <v>584.09044357000005</v>
      </c>
      <c r="T2394">
        <v>0.92</v>
      </c>
      <c r="U2394">
        <v>5.44</v>
      </c>
      <c r="V2394">
        <v>297.20999999999998</v>
      </c>
      <c r="W2394" t="s">
        <v>1915</v>
      </c>
      <c r="X2394" t="s">
        <v>269</v>
      </c>
      <c r="Y2394" t="s">
        <v>4250</v>
      </c>
      <c r="AA2394" t="s">
        <v>4251</v>
      </c>
      <c r="AB2394" t="s">
        <v>181</v>
      </c>
    </row>
    <row r="2395" spans="1:28" x14ac:dyDescent="0.25">
      <c r="A2395" t="s">
        <v>4194</v>
      </c>
      <c r="B2395" t="s">
        <v>4195</v>
      </c>
      <c r="C2395" t="s">
        <v>646</v>
      </c>
      <c r="D2395" t="s">
        <v>3779</v>
      </c>
      <c r="E2395" t="s">
        <v>647</v>
      </c>
      <c r="F2395" t="s">
        <v>3780</v>
      </c>
      <c r="G2395" t="s">
        <v>769</v>
      </c>
      <c r="H2395" t="s">
        <v>703</v>
      </c>
      <c r="I2395" t="s">
        <v>1190</v>
      </c>
      <c r="J2395" t="s">
        <v>1191</v>
      </c>
      <c r="K2395" t="s">
        <v>166</v>
      </c>
      <c r="L2395" t="s">
        <v>0</v>
      </c>
      <c r="M2395" t="s">
        <v>178</v>
      </c>
      <c r="N2395">
        <v>136</v>
      </c>
      <c r="O2395">
        <v>47</v>
      </c>
      <c r="P2395">
        <v>2064.67</v>
      </c>
      <c r="Q2395">
        <v>2940.88</v>
      </c>
      <c r="R2395">
        <v>250.34055683</v>
      </c>
      <c r="S2395">
        <v>353.91341799999998</v>
      </c>
      <c r="T2395">
        <v>3.0005568299999998</v>
      </c>
      <c r="U2395">
        <v>0</v>
      </c>
      <c r="V2395">
        <v>256.41000000000003</v>
      </c>
      <c r="W2395" t="s">
        <v>282</v>
      </c>
      <c r="X2395" t="s">
        <v>271</v>
      </c>
      <c r="Y2395" t="s">
        <v>4059</v>
      </c>
      <c r="AA2395" t="s">
        <v>2171</v>
      </c>
      <c r="AB2395" t="s">
        <v>181</v>
      </c>
    </row>
    <row r="2396" spans="1:28" x14ac:dyDescent="0.25">
      <c r="A2396" t="s">
        <v>4240</v>
      </c>
      <c r="B2396" t="s">
        <v>4241</v>
      </c>
      <c r="C2396" t="s">
        <v>646</v>
      </c>
      <c r="D2396" t="s">
        <v>3779</v>
      </c>
      <c r="E2396" t="s">
        <v>647</v>
      </c>
      <c r="F2396" t="s">
        <v>666</v>
      </c>
      <c r="G2396" t="s">
        <v>666</v>
      </c>
      <c r="H2396" t="s">
        <v>909</v>
      </c>
      <c r="I2396" t="s">
        <v>880</v>
      </c>
      <c r="J2396" t="s">
        <v>881</v>
      </c>
      <c r="K2396" t="s">
        <v>166</v>
      </c>
      <c r="L2396" t="s">
        <v>0</v>
      </c>
      <c r="M2396" t="s">
        <v>178</v>
      </c>
      <c r="N2396">
        <v>105</v>
      </c>
      <c r="O2396">
        <v>99</v>
      </c>
      <c r="P2396">
        <v>3231.94</v>
      </c>
      <c r="Q2396">
        <v>2649.35</v>
      </c>
      <c r="R2396">
        <v>250.92541546999999</v>
      </c>
      <c r="S2396">
        <v>605.19441558000005</v>
      </c>
      <c r="T2396">
        <v>0.94541547000000004</v>
      </c>
      <c r="U2396">
        <v>0</v>
      </c>
      <c r="V2396">
        <v>249.98</v>
      </c>
      <c r="W2396" t="s">
        <v>0</v>
      </c>
      <c r="X2396" t="s">
        <v>271</v>
      </c>
      <c r="Y2396" t="s">
        <v>4242</v>
      </c>
      <c r="AA2396" t="s">
        <v>4243</v>
      </c>
      <c r="AB2396" t="s">
        <v>181</v>
      </c>
    </row>
    <row r="2397" spans="1:28" x14ac:dyDescent="0.25">
      <c r="A2397" t="s">
        <v>4064</v>
      </c>
      <c r="B2397" t="s">
        <v>4065</v>
      </c>
      <c r="C2397" t="s">
        <v>646</v>
      </c>
      <c r="D2397" t="s">
        <v>3779</v>
      </c>
      <c r="E2397" t="s">
        <v>647</v>
      </c>
      <c r="F2397" t="s">
        <v>3780</v>
      </c>
      <c r="G2397" t="s">
        <v>769</v>
      </c>
      <c r="H2397" t="s">
        <v>683</v>
      </c>
      <c r="I2397" t="s">
        <v>2469</v>
      </c>
      <c r="J2397" t="s">
        <v>2470</v>
      </c>
      <c r="K2397" t="s">
        <v>166</v>
      </c>
      <c r="L2397" t="s">
        <v>0</v>
      </c>
      <c r="M2397" t="s">
        <v>178</v>
      </c>
      <c r="N2397">
        <v>21</v>
      </c>
      <c r="O2397">
        <v>21</v>
      </c>
      <c r="P2397">
        <v>354.52</v>
      </c>
      <c r="Q2397">
        <v>650.88</v>
      </c>
      <c r="R2397">
        <v>7.79</v>
      </c>
      <c r="S2397">
        <v>192.38027602</v>
      </c>
      <c r="T2397">
        <v>0</v>
      </c>
      <c r="U2397">
        <v>0</v>
      </c>
      <c r="V2397">
        <v>7.79</v>
      </c>
      <c r="W2397" t="s">
        <v>4066</v>
      </c>
      <c r="X2397" t="s">
        <v>271</v>
      </c>
      <c r="Y2397" t="s">
        <v>4067</v>
      </c>
      <c r="AA2397" t="s">
        <v>4068</v>
      </c>
      <c r="AB2397" t="s">
        <v>181</v>
      </c>
    </row>
    <row r="2398" spans="1:28" x14ac:dyDescent="0.25">
      <c r="A2398" t="s">
        <v>4002</v>
      </c>
      <c r="B2398" t="s">
        <v>4003</v>
      </c>
      <c r="C2398" t="s">
        <v>646</v>
      </c>
      <c r="D2398" t="s">
        <v>3779</v>
      </c>
      <c r="E2398" t="s">
        <v>647</v>
      </c>
      <c r="F2398" t="s">
        <v>3780</v>
      </c>
      <c r="G2398" t="s">
        <v>769</v>
      </c>
      <c r="H2398" t="s">
        <v>1045</v>
      </c>
      <c r="I2398" t="s">
        <v>2635</v>
      </c>
      <c r="J2398" t="s">
        <v>2636</v>
      </c>
      <c r="K2398" t="s">
        <v>166</v>
      </c>
      <c r="L2398" t="s">
        <v>0</v>
      </c>
      <c r="M2398" t="s">
        <v>178</v>
      </c>
      <c r="N2398">
        <v>198</v>
      </c>
      <c r="O2398">
        <v>197</v>
      </c>
      <c r="P2398">
        <v>1838.4</v>
      </c>
      <c r="Q2398">
        <v>12927.74</v>
      </c>
      <c r="R2398">
        <v>3084.22</v>
      </c>
      <c r="S2398">
        <v>671.37671210999997</v>
      </c>
      <c r="T2398">
        <v>0</v>
      </c>
      <c r="U2398">
        <v>0</v>
      </c>
      <c r="V2398">
        <v>3084.22</v>
      </c>
      <c r="W2398" t="s">
        <v>1609</v>
      </c>
      <c r="X2398" t="s">
        <v>271</v>
      </c>
      <c r="Y2398" t="s">
        <v>4004</v>
      </c>
      <c r="AA2398" t="s">
        <v>4005</v>
      </c>
      <c r="AB2398" t="s">
        <v>181</v>
      </c>
    </row>
    <row r="2399" spans="1:28" x14ac:dyDescent="0.25">
      <c r="A2399" t="s">
        <v>3875</v>
      </c>
      <c r="B2399" t="s">
        <v>3876</v>
      </c>
      <c r="C2399" t="s">
        <v>646</v>
      </c>
      <c r="D2399" t="s">
        <v>3779</v>
      </c>
      <c r="E2399" t="s">
        <v>647</v>
      </c>
      <c r="F2399" t="s">
        <v>3780</v>
      </c>
      <c r="G2399" t="s">
        <v>769</v>
      </c>
      <c r="H2399" t="s">
        <v>649</v>
      </c>
      <c r="I2399" t="s">
        <v>1190</v>
      </c>
      <c r="J2399" t="s">
        <v>1191</v>
      </c>
      <c r="K2399" t="s">
        <v>166</v>
      </c>
      <c r="L2399" t="s">
        <v>0</v>
      </c>
      <c r="M2399" t="s">
        <v>178</v>
      </c>
      <c r="N2399">
        <v>712</v>
      </c>
      <c r="O2399">
        <v>146</v>
      </c>
      <c r="P2399">
        <v>7120</v>
      </c>
      <c r="Q2399">
        <v>23557.51</v>
      </c>
      <c r="R2399">
        <v>1153.43</v>
      </c>
      <c r="S2399">
        <v>2394.2136919200002</v>
      </c>
      <c r="T2399">
        <v>600.73</v>
      </c>
      <c r="U2399">
        <v>356.66</v>
      </c>
      <c r="V2399">
        <v>1526.33</v>
      </c>
      <c r="W2399" t="s">
        <v>282</v>
      </c>
      <c r="X2399" t="s">
        <v>271</v>
      </c>
      <c r="Y2399" t="s">
        <v>2170</v>
      </c>
      <c r="AA2399" t="s">
        <v>2171</v>
      </c>
      <c r="AB2399" t="s">
        <v>181</v>
      </c>
    </row>
    <row r="2400" spans="1:28" x14ac:dyDescent="0.25">
      <c r="A2400" t="s">
        <v>3905</v>
      </c>
      <c r="B2400" t="s">
        <v>3906</v>
      </c>
      <c r="C2400" t="s">
        <v>646</v>
      </c>
      <c r="D2400" t="s">
        <v>3779</v>
      </c>
      <c r="E2400" t="s">
        <v>647</v>
      </c>
      <c r="F2400" t="s">
        <v>3780</v>
      </c>
      <c r="G2400" t="s">
        <v>769</v>
      </c>
      <c r="H2400" t="s">
        <v>730</v>
      </c>
      <c r="I2400" t="s">
        <v>3753</v>
      </c>
      <c r="J2400" t="s">
        <v>489</v>
      </c>
      <c r="K2400" t="s">
        <v>166</v>
      </c>
      <c r="L2400" t="s">
        <v>0</v>
      </c>
      <c r="M2400" t="s">
        <v>178</v>
      </c>
      <c r="N2400">
        <v>1</v>
      </c>
      <c r="O2400">
        <v>1</v>
      </c>
      <c r="P2400">
        <v>32</v>
      </c>
      <c r="Q2400">
        <v>57.83</v>
      </c>
      <c r="R2400">
        <v>11.82</v>
      </c>
      <c r="S2400">
        <v>7.2959275699999999</v>
      </c>
      <c r="T2400">
        <v>0</v>
      </c>
      <c r="U2400">
        <v>0</v>
      </c>
      <c r="V2400">
        <v>11.82</v>
      </c>
      <c r="W2400" t="s">
        <v>488</v>
      </c>
      <c r="X2400" t="s">
        <v>271</v>
      </c>
      <c r="Y2400" t="s">
        <v>3907</v>
      </c>
      <c r="AA2400" t="s">
        <v>3908</v>
      </c>
      <c r="AB2400" t="s">
        <v>181</v>
      </c>
    </row>
    <row r="2401" spans="1:28" x14ac:dyDescent="0.25">
      <c r="A2401" t="s">
        <v>4326</v>
      </c>
      <c r="B2401" t="s">
        <v>4327</v>
      </c>
      <c r="C2401" t="s">
        <v>646</v>
      </c>
      <c r="D2401" t="s">
        <v>3779</v>
      </c>
      <c r="E2401" t="s">
        <v>647</v>
      </c>
      <c r="F2401" t="s">
        <v>3780</v>
      </c>
      <c r="G2401" t="s">
        <v>769</v>
      </c>
      <c r="H2401" t="s">
        <v>761</v>
      </c>
      <c r="I2401" t="s">
        <v>936</v>
      </c>
      <c r="J2401" t="s">
        <v>582</v>
      </c>
      <c r="K2401" t="s">
        <v>166</v>
      </c>
      <c r="L2401" t="s">
        <v>0</v>
      </c>
      <c r="M2401" t="s">
        <v>178</v>
      </c>
      <c r="N2401">
        <v>9</v>
      </c>
      <c r="O2401">
        <v>1</v>
      </c>
      <c r="P2401">
        <v>73.040000000000006</v>
      </c>
      <c r="Q2401">
        <v>291.45</v>
      </c>
      <c r="R2401">
        <v>23.43</v>
      </c>
      <c r="S2401">
        <v>48.019381129999999</v>
      </c>
      <c r="T2401">
        <v>0</v>
      </c>
      <c r="U2401">
        <v>0</v>
      </c>
      <c r="V2401">
        <v>23.43</v>
      </c>
      <c r="W2401" t="s">
        <v>361</v>
      </c>
      <c r="X2401" t="s">
        <v>271</v>
      </c>
      <c r="Y2401" t="s">
        <v>4328</v>
      </c>
      <c r="AA2401" t="s">
        <v>4329</v>
      </c>
      <c r="AB2401" t="s">
        <v>181</v>
      </c>
    </row>
    <row r="2402" spans="1:28" x14ac:dyDescent="0.25">
      <c r="A2402" t="s">
        <v>4189</v>
      </c>
      <c r="B2402" t="s">
        <v>4190</v>
      </c>
      <c r="C2402" t="s">
        <v>646</v>
      </c>
      <c r="D2402" t="s">
        <v>3779</v>
      </c>
      <c r="E2402" t="s">
        <v>647</v>
      </c>
      <c r="F2402" t="s">
        <v>666</v>
      </c>
      <c r="G2402" t="s">
        <v>666</v>
      </c>
      <c r="H2402" t="s">
        <v>1159</v>
      </c>
      <c r="I2402" t="s">
        <v>4191</v>
      </c>
      <c r="J2402" t="s">
        <v>355</v>
      </c>
      <c r="K2402" t="s">
        <v>166</v>
      </c>
      <c r="L2402" t="s">
        <v>0</v>
      </c>
      <c r="M2402" t="s">
        <v>178</v>
      </c>
      <c r="N2402">
        <v>13</v>
      </c>
      <c r="O2402">
        <v>0</v>
      </c>
      <c r="P2402">
        <v>136.5</v>
      </c>
      <c r="Q2402">
        <v>894.83</v>
      </c>
      <c r="R2402">
        <v>207.39</v>
      </c>
      <c r="S2402">
        <v>32.834614209999998</v>
      </c>
      <c r="T2402">
        <v>0</v>
      </c>
      <c r="U2402">
        <v>0</v>
      </c>
      <c r="V2402">
        <v>207.39</v>
      </c>
      <c r="W2402" t="s">
        <v>0</v>
      </c>
      <c r="X2402" t="s">
        <v>271</v>
      </c>
      <c r="Y2402" t="s">
        <v>4192</v>
      </c>
      <c r="AA2402" t="s">
        <v>4193</v>
      </c>
      <c r="AB2402" t="s">
        <v>181</v>
      </c>
    </row>
    <row r="2403" spans="1:28" x14ac:dyDescent="0.25">
      <c r="A2403" t="s">
        <v>3969</v>
      </c>
      <c r="B2403" t="s">
        <v>3970</v>
      </c>
      <c r="C2403" t="s">
        <v>646</v>
      </c>
      <c r="D2403" t="s">
        <v>3779</v>
      </c>
      <c r="E2403" t="s">
        <v>647</v>
      </c>
      <c r="F2403" t="s">
        <v>3780</v>
      </c>
      <c r="G2403" t="s">
        <v>769</v>
      </c>
      <c r="H2403" t="s">
        <v>1515</v>
      </c>
      <c r="I2403" t="s">
        <v>1518</v>
      </c>
      <c r="J2403" t="s">
        <v>1519</v>
      </c>
      <c r="K2403" t="s">
        <v>166</v>
      </c>
      <c r="L2403" t="s">
        <v>0</v>
      </c>
      <c r="M2403" t="s">
        <v>178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 t="s">
        <v>1485</v>
      </c>
      <c r="X2403" t="s">
        <v>271</v>
      </c>
      <c r="Y2403" t="s">
        <v>3971</v>
      </c>
      <c r="AA2403" t="s">
        <v>3972</v>
      </c>
      <c r="AB2403" t="s">
        <v>181</v>
      </c>
    </row>
    <row r="2404" spans="1:28" x14ac:dyDescent="0.25">
      <c r="A2404" t="s">
        <v>4206</v>
      </c>
      <c r="B2404" t="s">
        <v>4207</v>
      </c>
      <c r="C2404" t="s">
        <v>646</v>
      </c>
      <c r="D2404" t="s">
        <v>3779</v>
      </c>
      <c r="E2404" t="s">
        <v>647</v>
      </c>
      <c r="F2404" t="s">
        <v>3780</v>
      </c>
      <c r="G2404" t="s">
        <v>769</v>
      </c>
      <c r="H2404" t="s">
        <v>1515</v>
      </c>
      <c r="I2404" t="s">
        <v>4208</v>
      </c>
      <c r="J2404" t="s">
        <v>317</v>
      </c>
      <c r="K2404" t="s">
        <v>166</v>
      </c>
      <c r="L2404" t="s">
        <v>0</v>
      </c>
      <c r="M2404" t="s">
        <v>178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 t="s">
        <v>340</v>
      </c>
      <c r="X2404" t="s">
        <v>271</v>
      </c>
      <c r="Y2404" t="s">
        <v>4209</v>
      </c>
      <c r="AA2404" t="s">
        <v>4210</v>
      </c>
      <c r="AB2404" t="s">
        <v>181</v>
      </c>
    </row>
    <row r="2405" spans="1:28" x14ac:dyDescent="0.25">
      <c r="A2405" t="s">
        <v>4365</v>
      </c>
      <c r="B2405" t="s">
        <v>4366</v>
      </c>
      <c r="C2405" t="s">
        <v>646</v>
      </c>
      <c r="D2405" t="s">
        <v>3779</v>
      </c>
      <c r="E2405" t="s">
        <v>647</v>
      </c>
      <c r="F2405" t="s">
        <v>666</v>
      </c>
      <c r="G2405" t="s">
        <v>666</v>
      </c>
      <c r="H2405" t="s">
        <v>713</v>
      </c>
      <c r="I2405" t="s">
        <v>4367</v>
      </c>
      <c r="J2405" t="s">
        <v>318</v>
      </c>
      <c r="K2405" t="s">
        <v>166</v>
      </c>
      <c r="L2405" t="s">
        <v>0</v>
      </c>
      <c r="M2405" t="s">
        <v>178</v>
      </c>
      <c r="N2405">
        <v>40</v>
      </c>
      <c r="O2405">
        <v>0</v>
      </c>
      <c r="P2405">
        <v>1652</v>
      </c>
      <c r="Q2405">
        <v>629.6</v>
      </c>
      <c r="R2405">
        <v>52.94</v>
      </c>
      <c r="S2405">
        <v>58.552999999999997</v>
      </c>
      <c r="T2405">
        <v>0</v>
      </c>
      <c r="U2405">
        <v>0</v>
      </c>
      <c r="V2405">
        <v>52.94</v>
      </c>
      <c r="W2405" t="s">
        <v>472</v>
      </c>
      <c r="X2405" t="s">
        <v>271</v>
      </c>
      <c r="Y2405" t="s">
        <v>4368</v>
      </c>
      <c r="AA2405" t="s">
        <v>4369</v>
      </c>
      <c r="AB2405" t="s">
        <v>181</v>
      </c>
    </row>
    <row r="2406" spans="1:28" x14ac:dyDescent="0.25">
      <c r="A2406" t="s">
        <v>4298</v>
      </c>
      <c r="B2406" t="s">
        <v>4299</v>
      </c>
      <c r="C2406" t="s">
        <v>646</v>
      </c>
      <c r="D2406" t="s">
        <v>3779</v>
      </c>
      <c r="E2406" t="s">
        <v>647</v>
      </c>
      <c r="F2406" t="s">
        <v>666</v>
      </c>
      <c r="G2406" t="s">
        <v>666</v>
      </c>
      <c r="H2406" t="s">
        <v>1159</v>
      </c>
      <c r="I2406" t="s">
        <v>4300</v>
      </c>
      <c r="J2406" t="s">
        <v>511</v>
      </c>
      <c r="K2406" t="s">
        <v>166</v>
      </c>
      <c r="L2406" t="s">
        <v>0</v>
      </c>
      <c r="M2406" t="s">
        <v>178</v>
      </c>
      <c r="N2406">
        <v>2</v>
      </c>
      <c r="O2406">
        <v>2</v>
      </c>
      <c r="P2406">
        <v>19.12</v>
      </c>
      <c r="Q2406">
        <v>86.48</v>
      </c>
      <c r="R2406">
        <v>7.86</v>
      </c>
      <c r="S2406">
        <v>18.9786</v>
      </c>
      <c r="T2406">
        <v>0</v>
      </c>
      <c r="U2406">
        <v>0</v>
      </c>
      <c r="V2406">
        <v>7.86</v>
      </c>
      <c r="W2406" t="s">
        <v>510</v>
      </c>
      <c r="X2406" t="s">
        <v>271</v>
      </c>
      <c r="Y2406" t="s">
        <v>4301</v>
      </c>
      <c r="Z2406" t="s">
        <v>4302</v>
      </c>
      <c r="AA2406" t="s">
        <v>4303</v>
      </c>
      <c r="AB2406" t="s">
        <v>181</v>
      </c>
    </row>
    <row r="2407" spans="1:28" x14ac:dyDescent="0.25">
      <c r="A2407" t="s">
        <v>4127</v>
      </c>
      <c r="B2407" t="s">
        <v>4128</v>
      </c>
      <c r="C2407" t="s">
        <v>646</v>
      </c>
      <c r="D2407" t="s">
        <v>3779</v>
      </c>
      <c r="E2407" t="s">
        <v>647</v>
      </c>
      <c r="F2407" t="s">
        <v>3780</v>
      </c>
      <c r="G2407" t="s">
        <v>769</v>
      </c>
      <c r="H2407" t="s">
        <v>713</v>
      </c>
      <c r="I2407" t="s">
        <v>4129</v>
      </c>
      <c r="J2407" t="s">
        <v>2057</v>
      </c>
      <c r="K2407" t="s">
        <v>166</v>
      </c>
      <c r="L2407" t="s">
        <v>0</v>
      </c>
      <c r="M2407" t="s">
        <v>178</v>
      </c>
      <c r="N2407">
        <v>400</v>
      </c>
      <c r="O2407">
        <v>83</v>
      </c>
      <c r="P2407">
        <v>10345.280000000001</v>
      </c>
      <c r="Q2407">
        <v>6504.19</v>
      </c>
      <c r="R2407">
        <v>705.17037657000003</v>
      </c>
      <c r="S2407">
        <v>544.13697289000004</v>
      </c>
      <c r="T2407">
        <v>28.350376570000002</v>
      </c>
      <c r="U2407">
        <v>0</v>
      </c>
      <c r="V2407">
        <v>676.82</v>
      </c>
      <c r="W2407" t="s">
        <v>2058</v>
      </c>
      <c r="X2407" t="s">
        <v>271</v>
      </c>
      <c r="Y2407" t="s">
        <v>4130</v>
      </c>
      <c r="AA2407" t="s">
        <v>4131</v>
      </c>
      <c r="AB2407" t="s">
        <v>181</v>
      </c>
    </row>
    <row r="2408" spans="1:28" x14ac:dyDescent="0.25">
      <c r="A2408" t="s">
        <v>4147</v>
      </c>
      <c r="B2408" t="s">
        <v>4148</v>
      </c>
      <c r="C2408" t="s">
        <v>646</v>
      </c>
      <c r="D2408" t="s">
        <v>3779</v>
      </c>
      <c r="E2408" t="s">
        <v>647</v>
      </c>
      <c r="F2408" t="s">
        <v>3780</v>
      </c>
      <c r="G2408" t="s">
        <v>769</v>
      </c>
      <c r="H2408" t="s">
        <v>770</v>
      </c>
      <c r="I2408" t="s">
        <v>1301</v>
      </c>
      <c r="J2408" t="s">
        <v>1302</v>
      </c>
      <c r="K2408" t="s">
        <v>166</v>
      </c>
      <c r="L2408" t="s">
        <v>0</v>
      </c>
      <c r="M2408" t="s">
        <v>178</v>
      </c>
      <c r="N2408">
        <v>869.5</v>
      </c>
      <c r="O2408">
        <v>674.5</v>
      </c>
      <c r="P2408">
        <v>18406</v>
      </c>
      <c r="Q2408">
        <v>21458.799999999999</v>
      </c>
      <c r="R2408">
        <v>4301.3900000000003</v>
      </c>
      <c r="S2408">
        <v>2583.3455161400002</v>
      </c>
      <c r="T2408">
        <v>0</v>
      </c>
      <c r="U2408">
        <v>0</v>
      </c>
      <c r="V2408">
        <v>4301.3900000000003</v>
      </c>
      <c r="W2408" t="s">
        <v>1303</v>
      </c>
      <c r="X2408" t="s">
        <v>269</v>
      </c>
      <c r="Y2408" t="s">
        <v>4149</v>
      </c>
      <c r="AA2408" t="s">
        <v>4150</v>
      </c>
      <c r="AB2408" t="s">
        <v>181</v>
      </c>
    </row>
    <row r="2409" spans="1:28" x14ac:dyDescent="0.25">
      <c r="A2409" t="s">
        <v>4092</v>
      </c>
      <c r="B2409" t="s">
        <v>4093</v>
      </c>
      <c r="C2409" t="s">
        <v>646</v>
      </c>
      <c r="D2409" t="s">
        <v>3779</v>
      </c>
      <c r="E2409" t="s">
        <v>647</v>
      </c>
      <c r="F2409" t="s">
        <v>3780</v>
      </c>
      <c r="G2409" t="s">
        <v>769</v>
      </c>
      <c r="H2409" t="s">
        <v>770</v>
      </c>
      <c r="I2409" t="s">
        <v>4094</v>
      </c>
      <c r="J2409" t="s">
        <v>370</v>
      </c>
      <c r="K2409" t="s">
        <v>166</v>
      </c>
      <c r="L2409" t="s">
        <v>0</v>
      </c>
      <c r="M2409" t="s">
        <v>178</v>
      </c>
      <c r="N2409">
        <v>334.45</v>
      </c>
      <c r="O2409">
        <v>186.45</v>
      </c>
      <c r="P2409">
        <v>7297.03</v>
      </c>
      <c r="Q2409">
        <v>8302.2800000000007</v>
      </c>
      <c r="R2409">
        <v>1619.22</v>
      </c>
      <c r="S2409">
        <v>1042.66885731</v>
      </c>
      <c r="T2409">
        <v>0</v>
      </c>
      <c r="U2409">
        <v>0</v>
      </c>
      <c r="V2409">
        <v>1619.22</v>
      </c>
      <c r="W2409" t="s">
        <v>314</v>
      </c>
      <c r="X2409" t="s">
        <v>271</v>
      </c>
      <c r="Y2409" t="s">
        <v>4095</v>
      </c>
      <c r="Z2409" t="s">
        <v>4096</v>
      </c>
      <c r="AA2409" t="s">
        <v>4097</v>
      </c>
      <c r="AB2409" t="s">
        <v>181</v>
      </c>
    </row>
    <row r="2410" spans="1:28" x14ac:dyDescent="0.25">
      <c r="A2410" t="s">
        <v>4270</v>
      </c>
      <c r="B2410" t="s">
        <v>4271</v>
      </c>
      <c r="C2410" t="s">
        <v>646</v>
      </c>
      <c r="D2410" t="s">
        <v>3779</v>
      </c>
      <c r="E2410" t="s">
        <v>647</v>
      </c>
      <c r="F2410" t="s">
        <v>3780</v>
      </c>
      <c r="G2410" t="s">
        <v>769</v>
      </c>
      <c r="H2410" t="s">
        <v>757</v>
      </c>
      <c r="I2410" t="s">
        <v>4272</v>
      </c>
      <c r="J2410" t="s">
        <v>352</v>
      </c>
      <c r="K2410" t="s">
        <v>166</v>
      </c>
      <c r="L2410" t="s">
        <v>0</v>
      </c>
      <c r="M2410" t="s">
        <v>178</v>
      </c>
      <c r="N2410">
        <v>257.01249999999999</v>
      </c>
      <c r="O2410">
        <v>211.01249999999999</v>
      </c>
      <c r="P2410">
        <v>6571.37</v>
      </c>
      <c r="Q2410">
        <v>9574.82</v>
      </c>
      <c r="R2410">
        <v>1250.01</v>
      </c>
      <c r="S2410">
        <v>1524.6076457300001</v>
      </c>
      <c r="T2410">
        <v>0</v>
      </c>
      <c r="U2410">
        <v>0</v>
      </c>
      <c r="V2410">
        <v>1250.01</v>
      </c>
      <c r="W2410" t="s">
        <v>314</v>
      </c>
      <c r="X2410" t="s">
        <v>271</v>
      </c>
      <c r="Y2410" t="s">
        <v>4273</v>
      </c>
      <c r="AA2410" t="s">
        <v>4274</v>
      </c>
      <c r="AB2410" t="s">
        <v>181</v>
      </c>
    </row>
    <row r="2411" spans="1:28" x14ac:dyDescent="0.25">
      <c r="A2411" t="s">
        <v>3929</v>
      </c>
      <c r="B2411" t="s">
        <v>3930</v>
      </c>
      <c r="C2411" t="s">
        <v>646</v>
      </c>
      <c r="D2411" t="s">
        <v>3779</v>
      </c>
      <c r="E2411" t="s">
        <v>647</v>
      </c>
      <c r="F2411" t="s">
        <v>3780</v>
      </c>
      <c r="G2411" t="s">
        <v>769</v>
      </c>
      <c r="H2411" t="s">
        <v>761</v>
      </c>
      <c r="I2411" t="s">
        <v>3649</v>
      </c>
      <c r="J2411" t="s">
        <v>1567</v>
      </c>
      <c r="K2411" t="s">
        <v>166</v>
      </c>
      <c r="L2411" t="s">
        <v>0</v>
      </c>
      <c r="M2411" t="s">
        <v>178</v>
      </c>
      <c r="N2411">
        <v>123</v>
      </c>
      <c r="O2411">
        <v>100</v>
      </c>
      <c r="P2411">
        <v>4139.2299999999996</v>
      </c>
      <c r="Q2411">
        <v>5950.47</v>
      </c>
      <c r="R2411">
        <v>1877.33</v>
      </c>
      <c r="S2411">
        <v>897.69324692999999</v>
      </c>
      <c r="T2411">
        <v>0</v>
      </c>
      <c r="U2411">
        <v>0</v>
      </c>
      <c r="V2411">
        <v>1877.33</v>
      </c>
      <c r="W2411" t="s">
        <v>556</v>
      </c>
      <c r="X2411" t="s">
        <v>271</v>
      </c>
      <c r="Y2411" t="s">
        <v>3931</v>
      </c>
      <c r="AA2411" t="s">
        <v>3932</v>
      </c>
      <c r="AB2411" t="s">
        <v>181</v>
      </c>
    </row>
    <row r="2412" spans="1:28" x14ac:dyDescent="0.25">
      <c r="A2412" t="s">
        <v>4223</v>
      </c>
      <c r="B2412" t="s">
        <v>4224</v>
      </c>
      <c r="C2412" t="s">
        <v>646</v>
      </c>
      <c r="D2412" t="s">
        <v>3779</v>
      </c>
      <c r="E2412" t="s">
        <v>647</v>
      </c>
      <c r="F2412" t="s">
        <v>3780</v>
      </c>
      <c r="G2412" t="s">
        <v>769</v>
      </c>
      <c r="H2412" t="s">
        <v>761</v>
      </c>
      <c r="I2412" t="s">
        <v>4225</v>
      </c>
      <c r="J2412" t="s">
        <v>336</v>
      </c>
      <c r="K2412" t="s">
        <v>166</v>
      </c>
      <c r="L2412" t="s">
        <v>0</v>
      </c>
      <c r="M2412" t="s">
        <v>178</v>
      </c>
      <c r="N2412">
        <v>121</v>
      </c>
      <c r="O2412">
        <v>105</v>
      </c>
      <c r="P2412">
        <v>4276.8500000000004</v>
      </c>
      <c r="Q2412">
        <v>3889.05</v>
      </c>
      <c r="R2412">
        <v>679.16</v>
      </c>
      <c r="S2412">
        <v>604.68863037999995</v>
      </c>
      <c r="T2412">
        <v>0</v>
      </c>
      <c r="U2412">
        <v>0</v>
      </c>
      <c r="V2412">
        <v>679.16</v>
      </c>
      <c r="W2412" t="s">
        <v>461</v>
      </c>
      <c r="X2412" t="s">
        <v>271</v>
      </c>
      <c r="Y2412" t="s">
        <v>4226</v>
      </c>
      <c r="AA2412" t="s">
        <v>4227</v>
      </c>
      <c r="AB2412" t="s">
        <v>181</v>
      </c>
    </row>
    <row r="2413" spans="1:28" x14ac:dyDescent="0.25">
      <c r="A2413" t="s">
        <v>3977</v>
      </c>
      <c r="B2413" t="s">
        <v>3978</v>
      </c>
      <c r="C2413" t="s">
        <v>646</v>
      </c>
      <c r="D2413" t="s">
        <v>3779</v>
      </c>
      <c r="E2413" t="s">
        <v>647</v>
      </c>
      <c r="F2413" t="s">
        <v>3780</v>
      </c>
      <c r="G2413" t="s">
        <v>769</v>
      </c>
      <c r="H2413" t="s">
        <v>649</v>
      </c>
      <c r="I2413" t="s">
        <v>1489</v>
      </c>
      <c r="J2413" t="s">
        <v>816</v>
      </c>
      <c r="K2413" t="s">
        <v>166</v>
      </c>
      <c r="L2413" t="s">
        <v>0</v>
      </c>
      <c r="M2413" t="s">
        <v>178</v>
      </c>
      <c r="N2413">
        <v>83</v>
      </c>
      <c r="O2413">
        <v>72</v>
      </c>
      <c r="P2413">
        <v>1422.9</v>
      </c>
      <c r="Q2413">
        <v>4222.42</v>
      </c>
      <c r="R2413">
        <v>810.03</v>
      </c>
      <c r="S2413">
        <v>461.34304830000002</v>
      </c>
      <c r="T2413">
        <v>0</v>
      </c>
      <c r="U2413">
        <v>0</v>
      </c>
      <c r="V2413">
        <v>810.03</v>
      </c>
      <c r="W2413" t="s">
        <v>817</v>
      </c>
      <c r="X2413" t="s">
        <v>271</v>
      </c>
      <c r="Y2413" t="s">
        <v>3979</v>
      </c>
      <c r="AA2413" t="s">
        <v>3980</v>
      </c>
      <c r="AB2413" t="s">
        <v>181</v>
      </c>
    </row>
    <row r="2414" spans="1:28" x14ac:dyDescent="0.25">
      <c r="A2414" t="s">
        <v>4109</v>
      </c>
      <c r="B2414" t="s">
        <v>4110</v>
      </c>
      <c r="C2414" t="s">
        <v>646</v>
      </c>
      <c r="D2414" t="s">
        <v>3779</v>
      </c>
      <c r="E2414" t="s">
        <v>647</v>
      </c>
      <c r="F2414" t="s">
        <v>3780</v>
      </c>
      <c r="G2414" t="s">
        <v>769</v>
      </c>
      <c r="H2414" t="s">
        <v>649</v>
      </c>
      <c r="I2414" t="s">
        <v>1046</v>
      </c>
      <c r="J2414" t="s">
        <v>971</v>
      </c>
      <c r="K2414" t="s">
        <v>166</v>
      </c>
      <c r="L2414" t="s">
        <v>0</v>
      </c>
      <c r="M2414" t="s">
        <v>178</v>
      </c>
      <c r="N2414">
        <v>199</v>
      </c>
      <c r="O2414">
        <v>168</v>
      </c>
      <c r="P2414">
        <v>4017.38</v>
      </c>
      <c r="Q2414">
        <v>11658.4</v>
      </c>
      <c r="R2414">
        <v>1383.3544439</v>
      </c>
      <c r="S2414">
        <v>890.13896947000001</v>
      </c>
      <c r="T2414">
        <v>4.4438999999999998E-3</v>
      </c>
      <c r="U2414">
        <v>0</v>
      </c>
      <c r="V2414">
        <v>1383.35</v>
      </c>
      <c r="W2414" t="s">
        <v>972</v>
      </c>
      <c r="X2414" t="s">
        <v>269</v>
      </c>
      <c r="Y2414" t="s">
        <v>4111</v>
      </c>
      <c r="AA2414" t="s">
        <v>4112</v>
      </c>
      <c r="AB2414" t="s">
        <v>181</v>
      </c>
    </row>
    <row r="2415" spans="1:28" x14ac:dyDescent="0.25">
      <c r="A2415" t="s">
        <v>3952</v>
      </c>
      <c r="B2415" t="s">
        <v>3953</v>
      </c>
      <c r="C2415" t="s">
        <v>646</v>
      </c>
      <c r="D2415" t="s">
        <v>3779</v>
      </c>
      <c r="E2415" t="s">
        <v>647</v>
      </c>
      <c r="F2415" t="s">
        <v>666</v>
      </c>
      <c r="G2415" t="s">
        <v>666</v>
      </c>
      <c r="H2415" t="s">
        <v>672</v>
      </c>
      <c r="I2415" t="s">
        <v>2032</v>
      </c>
      <c r="J2415" t="s">
        <v>311</v>
      </c>
      <c r="K2415" t="s">
        <v>166</v>
      </c>
      <c r="L2415" t="s">
        <v>0</v>
      </c>
      <c r="M2415" t="s">
        <v>178</v>
      </c>
      <c r="N2415">
        <v>1052</v>
      </c>
      <c r="O2415">
        <v>643</v>
      </c>
      <c r="P2415">
        <v>18292.009999999998</v>
      </c>
      <c r="Q2415">
        <v>43485.8</v>
      </c>
      <c r="R2415">
        <v>2874.3239872700001</v>
      </c>
      <c r="S2415">
        <v>8377.0997570500003</v>
      </c>
      <c r="T2415">
        <v>545.59398726999996</v>
      </c>
      <c r="U2415">
        <v>728.18</v>
      </c>
      <c r="V2415">
        <v>3601.95</v>
      </c>
      <c r="W2415" t="s">
        <v>312</v>
      </c>
      <c r="X2415" t="s">
        <v>271</v>
      </c>
      <c r="Y2415" t="s">
        <v>3954</v>
      </c>
      <c r="AA2415" t="s">
        <v>3955</v>
      </c>
      <c r="AB2415" t="s">
        <v>181</v>
      </c>
    </row>
    <row r="2416" spans="1:28" x14ac:dyDescent="0.25">
      <c r="A2416" t="s">
        <v>4127</v>
      </c>
      <c r="B2416" t="s">
        <v>4128</v>
      </c>
      <c r="C2416" t="s">
        <v>646</v>
      </c>
      <c r="D2416" t="s">
        <v>3779</v>
      </c>
      <c r="E2416" t="s">
        <v>647</v>
      </c>
      <c r="F2416" t="s">
        <v>3780</v>
      </c>
      <c r="G2416" t="s">
        <v>769</v>
      </c>
      <c r="H2416" t="s">
        <v>802</v>
      </c>
      <c r="I2416" t="s">
        <v>4129</v>
      </c>
      <c r="J2416" t="s">
        <v>2057</v>
      </c>
      <c r="K2416" t="s">
        <v>166</v>
      </c>
      <c r="L2416" t="s">
        <v>0</v>
      </c>
      <c r="M2416" t="s">
        <v>178</v>
      </c>
      <c r="N2416">
        <v>62.833300000000001</v>
      </c>
      <c r="O2416">
        <v>44.833300000000001</v>
      </c>
      <c r="P2416">
        <v>943.98</v>
      </c>
      <c r="Q2416">
        <v>3323.54</v>
      </c>
      <c r="R2416">
        <v>613.70000000000005</v>
      </c>
      <c r="S2416">
        <v>316.48716437000002</v>
      </c>
      <c r="T2416">
        <v>0</v>
      </c>
      <c r="U2416">
        <v>0</v>
      </c>
      <c r="V2416">
        <v>613.70000000000005</v>
      </c>
      <c r="W2416" t="s">
        <v>2058</v>
      </c>
      <c r="X2416" t="s">
        <v>271</v>
      </c>
      <c r="Y2416" t="s">
        <v>4130</v>
      </c>
      <c r="AA2416" t="s">
        <v>4131</v>
      </c>
      <c r="AB2416" t="s">
        <v>181</v>
      </c>
    </row>
    <row r="2417" spans="1:28" x14ac:dyDescent="0.25">
      <c r="A2417" t="s">
        <v>4069</v>
      </c>
      <c r="B2417" t="s">
        <v>4070</v>
      </c>
      <c r="C2417" t="s">
        <v>646</v>
      </c>
      <c r="D2417" t="s">
        <v>3779</v>
      </c>
      <c r="E2417" t="s">
        <v>647</v>
      </c>
      <c r="F2417" t="s">
        <v>3780</v>
      </c>
      <c r="G2417" t="s">
        <v>769</v>
      </c>
      <c r="H2417" t="s">
        <v>683</v>
      </c>
      <c r="I2417" t="s">
        <v>4071</v>
      </c>
      <c r="J2417" t="s">
        <v>785</v>
      </c>
      <c r="K2417" t="s">
        <v>166</v>
      </c>
      <c r="L2417" t="s">
        <v>0</v>
      </c>
      <c r="M2417" t="s">
        <v>178</v>
      </c>
      <c r="N2417">
        <v>101.25</v>
      </c>
      <c r="O2417">
        <v>59.25</v>
      </c>
      <c r="P2417">
        <v>1383.81</v>
      </c>
      <c r="Q2417">
        <v>5027.34</v>
      </c>
      <c r="R2417">
        <v>525.55999999999995</v>
      </c>
      <c r="S2417">
        <v>875.92922853000005</v>
      </c>
      <c r="T2417">
        <v>0</v>
      </c>
      <c r="U2417">
        <v>0</v>
      </c>
      <c r="V2417">
        <v>525.55999999999995</v>
      </c>
      <c r="W2417" t="s">
        <v>0</v>
      </c>
      <c r="X2417" t="s">
        <v>271</v>
      </c>
      <c r="Y2417" t="s">
        <v>4072</v>
      </c>
      <c r="AA2417" t="s">
        <v>4073</v>
      </c>
      <c r="AB2417" t="s">
        <v>181</v>
      </c>
    </row>
    <row r="2418" spans="1:28" x14ac:dyDescent="0.25">
      <c r="A2418" t="s">
        <v>3849</v>
      </c>
      <c r="B2418" t="s">
        <v>3850</v>
      </c>
      <c r="C2418" t="s">
        <v>646</v>
      </c>
      <c r="D2418" t="s">
        <v>3779</v>
      </c>
      <c r="E2418" t="s">
        <v>647</v>
      </c>
      <c r="F2418" t="s">
        <v>3780</v>
      </c>
      <c r="G2418" t="s">
        <v>769</v>
      </c>
      <c r="H2418" t="s">
        <v>802</v>
      </c>
      <c r="I2418" t="s">
        <v>1184</v>
      </c>
      <c r="J2418" t="s">
        <v>1185</v>
      </c>
      <c r="K2418" t="s">
        <v>166</v>
      </c>
      <c r="L2418" t="s">
        <v>0</v>
      </c>
      <c r="M2418" t="s">
        <v>178</v>
      </c>
      <c r="N2418">
        <v>37.75</v>
      </c>
      <c r="O2418">
        <v>37.75</v>
      </c>
      <c r="P2418">
        <v>715.02</v>
      </c>
      <c r="Q2418">
        <v>2246.8000000000002</v>
      </c>
      <c r="R2418">
        <v>598.04</v>
      </c>
      <c r="S2418">
        <v>219.3826622</v>
      </c>
      <c r="T2418">
        <v>0</v>
      </c>
      <c r="U2418">
        <v>0</v>
      </c>
      <c r="V2418">
        <v>598.04</v>
      </c>
      <c r="W2418" t="s">
        <v>1186</v>
      </c>
      <c r="X2418" t="s">
        <v>271</v>
      </c>
      <c r="Y2418" t="s">
        <v>3851</v>
      </c>
      <c r="AA2418" t="s">
        <v>3852</v>
      </c>
      <c r="AB2418" t="s">
        <v>181</v>
      </c>
    </row>
    <row r="2419" spans="1:28" x14ac:dyDescent="0.25">
      <c r="A2419" t="s">
        <v>3806</v>
      </c>
      <c r="B2419" t="s">
        <v>3807</v>
      </c>
      <c r="C2419" t="s">
        <v>646</v>
      </c>
      <c r="D2419" t="s">
        <v>3779</v>
      </c>
      <c r="E2419" t="s">
        <v>647</v>
      </c>
      <c r="F2419" t="s">
        <v>3780</v>
      </c>
      <c r="G2419" t="s">
        <v>769</v>
      </c>
      <c r="H2419" t="s">
        <v>962</v>
      </c>
      <c r="I2419" t="s">
        <v>2071</v>
      </c>
      <c r="J2419" t="s">
        <v>1664</v>
      </c>
      <c r="K2419" t="s">
        <v>166</v>
      </c>
      <c r="L2419" t="s">
        <v>0</v>
      </c>
      <c r="M2419" t="s">
        <v>178</v>
      </c>
      <c r="N2419">
        <v>300</v>
      </c>
      <c r="O2419">
        <v>252</v>
      </c>
      <c r="P2419">
        <v>5220.12</v>
      </c>
      <c r="Q2419">
        <v>16366.16</v>
      </c>
      <c r="R2419">
        <v>2484.53777558</v>
      </c>
      <c r="S2419">
        <v>2389.4759600699999</v>
      </c>
      <c r="T2419">
        <v>1.7775579999999999E-2</v>
      </c>
      <c r="U2419">
        <v>0</v>
      </c>
      <c r="V2419">
        <v>2484.52</v>
      </c>
      <c r="W2419" t="s">
        <v>1665</v>
      </c>
      <c r="X2419" t="s">
        <v>271</v>
      </c>
      <c r="Y2419" t="s">
        <v>3808</v>
      </c>
      <c r="AA2419" t="s">
        <v>3809</v>
      </c>
      <c r="AB2419" t="s">
        <v>181</v>
      </c>
    </row>
    <row r="2420" spans="1:28" x14ac:dyDescent="0.25">
      <c r="A2420" t="s">
        <v>4117</v>
      </c>
      <c r="B2420" t="s">
        <v>4118</v>
      </c>
      <c r="C2420" t="s">
        <v>646</v>
      </c>
      <c r="D2420" t="s">
        <v>3779</v>
      </c>
      <c r="E2420" t="s">
        <v>647</v>
      </c>
      <c r="F2420" t="s">
        <v>3780</v>
      </c>
      <c r="G2420" t="s">
        <v>769</v>
      </c>
      <c r="H2420" t="s">
        <v>761</v>
      </c>
      <c r="I2420" t="s">
        <v>1190</v>
      </c>
      <c r="J2420" t="s">
        <v>1191</v>
      </c>
      <c r="K2420" t="s">
        <v>166</v>
      </c>
      <c r="L2420" t="s">
        <v>0</v>
      </c>
      <c r="M2420" t="s">
        <v>178</v>
      </c>
      <c r="N2420">
        <v>164</v>
      </c>
      <c r="O2420">
        <v>88</v>
      </c>
      <c r="P2420">
        <v>6504.82</v>
      </c>
      <c r="Q2420">
        <v>4780.88</v>
      </c>
      <c r="R2420">
        <v>319.37</v>
      </c>
      <c r="S2420">
        <v>799.16779715999996</v>
      </c>
      <c r="T2420">
        <v>0</v>
      </c>
      <c r="U2420">
        <v>0</v>
      </c>
      <c r="V2420">
        <v>319.37</v>
      </c>
      <c r="W2420" t="s">
        <v>282</v>
      </c>
      <c r="X2420" t="s">
        <v>271</v>
      </c>
      <c r="Y2420" t="s">
        <v>2170</v>
      </c>
      <c r="AA2420" t="s">
        <v>2171</v>
      </c>
      <c r="AB2420" t="s">
        <v>181</v>
      </c>
    </row>
    <row r="2421" spans="1:28" x14ac:dyDescent="0.25">
      <c r="A2421" t="s">
        <v>4284</v>
      </c>
      <c r="B2421" t="s">
        <v>4285</v>
      </c>
      <c r="C2421" t="s">
        <v>646</v>
      </c>
      <c r="D2421" t="s">
        <v>3779</v>
      </c>
      <c r="E2421" t="s">
        <v>647</v>
      </c>
      <c r="F2421" t="s">
        <v>3780</v>
      </c>
      <c r="G2421" t="s">
        <v>769</v>
      </c>
      <c r="H2421" t="s">
        <v>802</v>
      </c>
      <c r="I2421" t="s">
        <v>778</v>
      </c>
      <c r="J2421" t="s">
        <v>428</v>
      </c>
      <c r="K2421" t="s">
        <v>166</v>
      </c>
      <c r="L2421" t="s">
        <v>0</v>
      </c>
      <c r="M2421" t="s">
        <v>178</v>
      </c>
      <c r="N2421">
        <v>97</v>
      </c>
      <c r="O2421">
        <v>78</v>
      </c>
      <c r="P2421">
        <v>1275.45</v>
      </c>
      <c r="Q2421">
        <v>5903.73</v>
      </c>
      <c r="R2421">
        <v>2334.4</v>
      </c>
      <c r="S2421">
        <v>413.51706875999997</v>
      </c>
      <c r="T2421">
        <v>0</v>
      </c>
      <c r="U2421">
        <v>0</v>
      </c>
      <c r="V2421">
        <v>2334.4</v>
      </c>
      <c r="W2421" t="s">
        <v>1977</v>
      </c>
      <c r="X2421" t="s">
        <v>271</v>
      </c>
      <c r="Y2421" t="s">
        <v>4286</v>
      </c>
      <c r="AA2421" t="s">
        <v>4287</v>
      </c>
      <c r="AB2421" t="s">
        <v>181</v>
      </c>
    </row>
    <row r="2422" spans="1:28" x14ac:dyDescent="0.25">
      <c r="A2422" t="s">
        <v>3883</v>
      </c>
      <c r="B2422" t="s">
        <v>3884</v>
      </c>
      <c r="C2422" t="s">
        <v>646</v>
      </c>
      <c r="D2422" t="s">
        <v>3779</v>
      </c>
      <c r="E2422" t="s">
        <v>647</v>
      </c>
      <c r="F2422" t="s">
        <v>3780</v>
      </c>
      <c r="G2422" t="s">
        <v>769</v>
      </c>
      <c r="H2422" t="s">
        <v>770</v>
      </c>
      <c r="I2422" t="s">
        <v>3885</v>
      </c>
      <c r="J2422" t="s">
        <v>1861</v>
      </c>
      <c r="K2422" t="s">
        <v>166</v>
      </c>
      <c r="L2422" t="s">
        <v>0</v>
      </c>
      <c r="M2422" t="s">
        <v>178</v>
      </c>
      <c r="N2422">
        <v>369</v>
      </c>
      <c r="O2422">
        <v>291</v>
      </c>
      <c r="P2422">
        <v>9860.5</v>
      </c>
      <c r="Q2422">
        <v>6772.51</v>
      </c>
      <c r="R2422">
        <v>-161.04</v>
      </c>
      <c r="S2422">
        <v>1208.10488369</v>
      </c>
      <c r="T2422">
        <v>0</v>
      </c>
      <c r="U2422">
        <v>0</v>
      </c>
      <c r="V2422">
        <v>-161.04</v>
      </c>
      <c r="W2422" t="s">
        <v>1862</v>
      </c>
      <c r="X2422" t="s">
        <v>271</v>
      </c>
      <c r="Y2422" t="s">
        <v>3886</v>
      </c>
      <c r="AA2422" t="s">
        <v>3887</v>
      </c>
      <c r="AB2422" t="s">
        <v>181</v>
      </c>
    </row>
    <row r="2423" spans="1:28" x14ac:dyDescent="0.25">
      <c r="A2423" t="s">
        <v>3853</v>
      </c>
      <c r="B2423" t="s">
        <v>3854</v>
      </c>
      <c r="C2423" t="s">
        <v>646</v>
      </c>
      <c r="D2423" t="s">
        <v>3779</v>
      </c>
      <c r="E2423" t="s">
        <v>647</v>
      </c>
      <c r="F2423" t="s">
        <v>3780</v>
      </c>
      <c r="G2423" t="s">
        <v>769</v>
      </c>
      <c r="H2423" t="s">
        <v>962</v>
      </c>
      <c r="I2423" t="s">
        <v>746</v>
      </c>
      <c r="J2423" t="s">
        <v>504</v>
      </c>
      <c r="K2423" t="s">
        <v>166</v>
      </c>
      <c r="L2423" t="s">
        <v>0</v>
      </c>
      <c r="M2423" t="s">
        <v>178</v>
      </c>
      <c r="N2423">
        <v>49</v>
      </c>
      <c r="O2423">
        <v>24</v>
      </c>
      <c r="P2423">
        <v>1248.01</v>
      </c>
      <c r="Q2423">
        <v>3079.51</v>
      </c>
      <c r="R2423">
        <v>296.45999999999998</v>
      </c>
      <c r="S2423">
        <v>178.66512445999999</v>
      </c>
      <c r="T2423">
        <v>0</v>
      </c>
      <c r="U2423">
        <v>0</v>
      </c>
      <c r="V2423">
        <v>296.45999999999998</v>
      </c>
      <c r="W2423" t="s">
        <v>503</v>
      </c>
      <c r="X2423" t="s">
        <v>271</v>
      </c>
      <c r="Y2423" t="s">
        <v>3855</v>
      </c>
      <c r="AA2423" t="s">
        <v>3856</v>
      </c>
      <c r="AB2423" t="s">
        <v>181</v>
      </c>
    </row>
    <row r="2424" spans="1:28" x14ac:dyDescent="0.25">
      <c r="A2424" t="s">
        <v>4265</v>
      </c>
      <c r="B2424" t="s">
        <v>4266</v>
      </c>
      <c r="C2424" t="s">
        <v>646</v>
      </c>
      <c r="D2424" t="s">
        <v>3779</v>
      </c>
      <c r="E2424" t="s">
        <v>647</v>
      </c>
      <c r="F2424" t="s">
        <v>666</v>
      </c>
      <c r="G2424" t="s">
        <v>666</v>
      </c>
      <c r="H2424" t="s">
        <v>683</v>
      </c>
      <c r="I2424" t="s">
        <v>4267</v>
      </c>
      <c r="J2424" t="s">
        <v>326</v>
      </c>
      <c r="K2424" t="s">
        <v>166</v>
      </c>
      <c r="L2424" t="s">
        <v>0</v>
      </c>
      <c r="M2424" t="s">
        <v>178</v>
      </c>
      <c r="N2424">
        <v>639.89440000000002</v>
      </c>
      <c r="O2424">
        <v>223.16669999999999</v>
      </c>
      <c r="P2424">
        <v>12057.29</v>
      </c>
      <c r="Q2424">
        <v>26983.72</v>
      </c>
      <c r="R2424">
        <v>2721.4389286300002</v>
      </c>
      <c r="S2424">
        <v>3458.8737758699999</v>
      </c>
      <c r="T2424">
        <v>258.48892862999998</v>
      </c>
      <c r="U2424">
        <v>0</v>
      </c>
      <c r="V2424">
        <v>2720.95</v>
      </c>
      <c r="W2424" t="s">
        <v>450</v>
      </c>
      <c r="X2424" t="s">
        <v>271</v>
      </c>
      <c r="Y2424" t="s">
        <v>4268</v>
      </c>
      <c r="AA2424" t="s">
        <v>4269</v>
      </c>
      <c r="AB2424" t="s">
        <v>181</v>
      </c>
    </row>
    <row r="2425" spans="1:28" x14ac:dyDescent="0.25">
      <c r="A2425" t="s">
        <v>4092</v>
      </c>
      <c r="B2425" t="s">
        <v>4093</v>
      </c>
      <c r="C2425" t="s">
        <v>646</v>
      </c>
      <c r="D2425" t="s">
        <v>3779</v>
      </c>
      <c r="E2425" t="s">
        <v>647</v>
      </c>
      <c r="F2425" t="s">
        <v>3780</v>
      </c>
      <c r="G2425" t="s">
        <v>769</v>
      </c>
      <c r="H2425" t="s">
        <v>703</v>
      </c>
      <c r="I2425" t="s">
        <v>4094</v>
      </c>
      <c r="J2425" t="s">
        <v>370</v>
      </c>
      <c r="K2425" t="s">
        <v>166</v>
      </c>
      <c r="L2425" t="s">
        <v>0</v>
      </c>
      <c r="M2425" t="s">
        <v>178</v>
      </c>
      <c r="N2425">
        <v>401.5</v>
      </c>
      <c r="O2425">
        <v>155.75</v>
      </c>
      <c r="P2425">
        <v>6456.8</v>
      </c>
      <c r="Q2425">
        <v>13994.8</v>
      </c>
      <c r="R2425">
        <v>2212.1241100399998</v>
      </c>
      <c r="S2425">
        <v>2159.7880380400002</v>
      </c>
      <c r="T2425">
        <v>-0.27588995999999999</v>
      </c>
      <c r="U2425">
        <v>0</v>
      </c>
      <c r="V2425">
        <v>2212.4</v>
      </c>
      <c r="W2425" t="s">
        <v>314</v>
      </c>
      <c r="X2425" t="s">
        <v>271</v>
      </c>
      <c r="Y2425" t="s">
        <v>4095</v>
      </c>
      <c r="Z2425" t="s">
        <v>4096</v>
      </c>
      <c r="AA2425" t="s">
        <v>4097</v>
      </c>
      <c r="AB2425" t="s">
        <v>181</v>
      </c>
    </row>
    <row r="2426" spans="1:28" x14ac:dyDescent="0.25">
      <c r="A2426" t="s">
        <v>4194</v>
      </c>
      <c r="B2426" t="s">
        <v>4195</v>
      </c>
      <c r="C2426" t="s">
        <v>646</v>
      </c>
      <c r="D2426" t="s">
        <v>3779</v>
      </c>
      <c r="E2426" t="s">
        <v>647</v>
      </c>
      <c r="F2426" t="s">
        <v>3780</v>
      </c>
      <c r="G2426" t="s">
        <v>769</v>
      </c>
      <c r="H2426" t="s">
        <v>909</v>
      </c>
      <c r="I2426" t="s">
        <v>1190</v>
      </c>
      <c r="J2426" t="s">
        <v>1191</v>
      </c>
      <c r="K2426" t="s">
        <v>166</v>
      </c>
      <c r="L2426" t="s">
        <v>0</v>
      </c>
      <c r="M2426" t="s">
        <v>178</v>
      </c>
      <c r="N2426">
        <v>1</v>
      </c>
      <c r="O2426">
        <v>1</v>
      </c>
      <c r="P2426">
        <v>46.2</v>
      </c>
      <c r="Q2426">
        <v>47.07</v>
      </c>
      <c r="R2426">
        <v>3.08</v>
      </c>
      <c r="S2426">
        <v>11.764937659999999</v>
      </c>
      <c r="T2426">
        <v>0</v>
      </c>
      <c r="U2426">
        <v>0</v>
      </c>
      <c r="V2426">
        <v>3.08</v>
      </c>
      <c r="W2426" t="s">
        <v>282</v>
      </c>
      <c r="X2426" t="s">
        <v>271</v>
      </c>
      <c r="Y2426" t="s">
        <v>4059</v>
      </c>
      <c r="AA2426" t="s">
        <v>2171</v>
      </c>
      <c r="AB2426" t="s">
        <v>181</v>
      </c>
    </row>
    <row r="2427" spans="1:28" x14ac:dyDescent="0.25">
      <c r="A2427" t="s">
        <v>3838</v>
      </c>
      <c r="B2427" t="s">
        <v>3839</v>
      </c>
      <c r="C2427" t="s">
        <v>646</v>
      </c>
      <c r="D2427" t="s">
        <v>3779</v>
      </c>
      <c r="E2427" t="s">
        <v>647</v>
      </c>
      <c r="F2427" t="s">
        <v>3780</v>
      </c>
      <c r="G2427" t="s">
        <v>769</v>
      </c>
      <c r="H2427" t="s">
        <v>757</v>
      </c>
      <c r="I2427" t="s">
        <v>906</v>
      </c>
      <c r="J2427" t="s">
        <v>907</v>
      </c>
      <c r="K2427" t="s">
        <v>166</v>
      </c>
      <c r="L2427" t="s">
        <v>0</v>
      </c>
      <c r="M2427" t="s">
        <v>178</v>
      </c>
      <c r="N2427">
        <v>236</v>
      </c>
      <c r="O2427">
        <v>180</v>
      </c>
      <c r="P2427">
        <v>3691.43</v>
      </c>
      <c r="Q2427">
        <v>7339.4</v>
      </c>
      <c r="R2427">
        <v>1173.19</v>
      </c>
      <c r="S2427">
        <v>1211.49068302</v>
      </c>
      <c r="T2427">
        <v>0</v>
      </c>
      <c r="U2427">
        <v>0</v>
      </c>
      <c r="V2427">
        <v>1173.19</v>
      </c>
      <c r="W2427" t="s">
        <v>272</v>
      </c>
      <c r="X2427" t="s">
        <v>269</v>
      </c>
      <c r="Y2427" t="s">
        <v>3840</v>
      </c>
      <c r="AA2427" t="s">
        <v>3841</v>
      </c>
      <c r="AB2427" t="s">
        <v>181</v>
      </c>
    </row>
    <row r="2428" spans="1:28" x14ac:dyDescent="0.25">
      <c r="A2428" t="s">
        <v>3853</v>
      </c>
      <c r="B2428" t="s">
        <v>3854</v>
      </c>
      <c r="C2428" t="s">
        <v>646</v>
      </c>
      <c r="D2428" t="s">
        <v>3779</v>
      </c>
      <c r="E2428" t="s">
        <v>647</v>
      </c>
      <c r="F2428" t="s">
        <v>3780</v>
      </c>
      <c r="G2428" t="s">
        <v>769</v>
      </c>
      <c r="H2428" t="s">
        <v>761</v>
      </c>
      <c r="I2428" t="s">
        <v>746</v>
      </c>
      <c r="J2428" t="s">
        <v>504</v>
      </c>
      <c r="K2428" t="s">
        <v>166</v>
      </c>
      <c r="L2428" t="s">
        <v>0</v>
      </c>
      <c r="M2428" t="s">
        <v>178</v>
      </c>
      <c r="N2428">
        <v>24</v>
      </c>
      <c r="O2428">
        <v>15</v>
      </c>
      <c r="P2428">
        <v>734.63</v>
      </c>
      <c r="Q2428">
        <v>768.85</v>
      </c>
      <c r="R2428">
        <v>176.83505228000001</v>
      </c>
      <c r="S2428">
        <v>127.38356467</v>
      </c>
      <c r="T2428">
        <v>2.505228E-2</v>
      </c>
      <c r="U2428">
        <v>0</v>
      </c>
      <c r="V2428">
        <v>176.81</v>
      </c>
      <c r="W2428" t="s">
        <v>503</v>
      </c>
      <c r="X2428" t="s">
        <v>271</v>
      </c>
      <c r="Y2428" t="s">
        <v>3855</v>
      </c>
      <c r="AA2428" t="s">
        <v>3856</v>
      </c>
      <c r="AB2428" t="s">
        <v>181</v>
      </c>
    </row>
    <row r="2429" spans="1:28" x14ac:dyDescent="0.25">
      <c r="A2429" t="s">
        <v>3921</v>
      </c>
      <c r="B2429" t="s">
        <v>3922</v>
      </c>
      <c r="C2429" t="s">
        <v>646</v>
      </c>
      <c r="D2429" t="s">
        <v>3779</v>
      </c>
      <c r="E2429" t="s">
        <v>647</v>
      </c>
      <c r="F2429" t="s">
        <v>666</v>
      </c>
      <c r="G2429" t="s">
        <v>666</v>
      </c>
      <c r="H2429" t="s">
        <v>757</v>
      </c>
      <c r="I2429" t="s">
        <v>902</v>
      </c>
      <c r="J2429" t="s">
        <v>562</v>
      </c>
      <c r="K2429" t="s">
        <v>166</v>
      </c>
      <c r="L2429" t="s">
        <v>0</v>
      </c>
      <c r="M2429" t="s">
        <v>178</v>
      </c>
      <c r="N2429">
        <v>1001.5</v>
      </c>
      <c r="O2429">
        <v>373.5</v>
      </c>
      <c r="P2429">
        <v>21854.91</v>
      </c>
      <c r="Q2429">
        <v>58373.19</v>
      </c>
      <c r="R2429">
        <v>5418.34</v>
      </c>
      <c r="S2429">
        <v>4893.1049291500003</v>
      </c>
      <c r="T2429">
        <v>5.92</v>
      </c>
      <c r="U2429">
        <v>0</v>
      </c>
      <c r="V2429">
        <v>5412.42</v>
      </c>
      <c r="W2429" t="s">
        <v>0</v>
      </c>
      <c r="X2429" t="s">
        <v>271</v>
      </c>
      <c r="Y2429" t="s">
        <v>3923</v>
      </c>
      <c r="AA2429" t="s">
        <v>3924</v>
      </c>
      <c r="AB2429" t="s">
        <v>181</v>
      </c>
    </row>
    <row r="2430" spans="1:28" x14ac:dyDescent="0.25">
      <c r="A2430" t="s">
        <v>4123</v>
      </c>
      <c r="B2430" t="s">
        <v>4124</v>
      </c>
      <c r="C2430" t="s">
        <v>646</v>
      </c>
      <c r="D2430" t="s">
        <v>3779</v>
      </c>
      <c r="E2430" t="s">
        <v>647</v>
      </c>
      <c r="F2430" t="s">
        <v>3780</v>
      </c>
      <c r="G2430" t="s">
        <v>769</v>
      </c>
      <c r="H2430" t="s">
        <v>1175</v>
      </c>
      <c r="I2430" t="s">
        <v>746</v>
      </c>
      <c r="J2430" t="s">
        <v>504</v>
      </c>
      <c r="K2430" t="s">
        <v>166</v>
      </c>
      <c r="L2430" t="s">
        <v>0</v>
      </c>
      <c r="M2430" t="s">
        <v>178</v>
      </c>
      <c r="N2430">
        <v>12.333299999999999</v>
      </c>
      <c r="O2430">
        <v>12</v>
      </c>
      <c r="P2430">
        <v>198</v>
      </c>
      <c r="Q2430">
        <v>290.27</v>
      </c>
      <c r="R2430">
        <v>24.33</v>
      </c>
      <c r="S2430">
        <v>56.578707919999999</v>
      </c>
      <c r="T2430">
        <v>0</v>
      </c>
      <c r="U2430">
        <v>0</v>
      </c>
      <c r="V2430">
        <v>24.33</v>
      </c>
      <c r="W2430" t="s">
        <v>503</v>
      </c>
      <c r="X2430" t="s">
        <v>271</v>
      </c>
      <c r="Y2430" t="s">
        <v>4125</v>
      </c>
      <c r="AA2430" t="s">
        <v>4126</v>
      </c>
      <c r="AB2430" t="s">
        <v>181</v>
      </c>
    </row>
    <row r="2431" spans="1:28" x14ac:dyDescent="0.25">
      <c r="A2431" t="s">
        <v>4260</v>
      </c>
      <c r="B2431" t="s">
        <v>4261</v>
      </c>
      <c r="C2431" t="s">
        <v>646</v>
      </c>
      <c r="D2431" t="s">
        <v>3779</v>
      </c>
      <c r="E2431" t="s">
        <v>647</v>
      </c>
      <c r="F2431" t="s">
        <v>666</v>
      </c>
      <c r="G2431" t="s">
        <v>666</v>
      </c>
      <c r="H2431" t="s">
        <v>962</v>
      </c>
      <c r="I2431" t="s">
        <v>4262</v>
      </c>
      <c r="J2431" t="s">
        <v>1180</v>
      </c>
      <c r="K2431" t="s">
        <v>166</v>
      </c>
      <c r="L2431" t="s">
        <v>0</v>
      </c>
      <c r="M2431" t="s">
        <v>178</v>
      </c>
      <c r="N2431">
        <v>5</v>
      </c>
      <c r="O2431">
        <v>5</v>
      </c>
      <c r="P2431">
        <v>80</v>
      </c>
      <c r="Q2431">
        <v>300.45</v>
      </c>
      <c r="R2431">
        <v>60.01</v>
      </c>
      <c r="S2431">
        <v>47.296408730000003</v>
      </c>
      <c r="T2431">
        <v>0</v>
      </c>
      <c r="U2431">
        <v>0</v>
      </c>
      <c r="V2431">
        <v>60.01</v>
      </c>
      <c r="W2431" t="s">
        <v>0</v>
      </c>
      <c r="X2431" t="s">
        <v>271</v>
      </c>
      <c r="Y2431" t="s">
        <v>4263</v>
      </c>
      <c r="AA2431" t="s">
        <v>4264</v>
      </c>
      <c r="AB2431" t="s">
        <v>181</v>
      </c>
    </row>
    <row r="2432" spans="1:28" x14ac:dyDescent="0.25">
      <c r="A2432" t="s">
        <v>3810</v>
      </c>
      <c r="B2432" t="s">
        <v>3811</v>
      </c>
      <c r="C2432" t="s">
        <v>646</v>
      </c>
      <c r="D2432" t="s">
        <v>3779</v>
      </c>
      <c r="E2432" t="s">
        <v>647</v>
      </c>
      <c r="F2432" t="s">
        <v>3780</v>
      </c>
      <c r="G2432" t="s">
        <v>769</v>
      </c>
      <c r="H2432" t="s">
        <v>730</v>
      </c>
      <c r="I2432" t="s">
        <v>771</v>
      </c>
      <c r="J2432" t="s">
        <v>319</v>
      </c>
      <c r="K2432" t="s">
        <v>166</v>
      </c>
      <c r="L2432" t="s">
        <v>0</v>
      </c>
      <c r="M2432" t="s">
        <v>178</v>
      </c>
      <c r="N2432">
        <v>11</v>
      </c>
      <c r="O2432">
        <v>0</v>
      </c>
      <c r="P2432">
        <v>205.15</v>
      </c>
      <c r="Q2432">
        <v>453.74</v>
      </c>
      <c r="R2432">
        <v>39.520237479999999</v>
      </c>
      <c r="S2432">
        <v>2.75</v>
      </c>
      <c r="T2432">
        <v>-1.76976252</v>
      </c>
      <c r="U2432">
        <v>0</v>
      </c>
      <c r="V2432">
        <v>41.29</v>
      </c>
      <c r="W2432" t="s">
        <v>0</v>
      </c>
      <c r="X2432" t="s">
        <v>271</v>
      </c>
      <c r="Y2432" t="s">
        <v>3812</v>
      </c>
      <c r="AA2432" t="s">
        <v>3813</v>
      </c>
      <c r="AB2432" t="s">
        <v>181</v>
      </c>
    </row>
    <row r="2433" spans="1:28" x14ac:dyDescent="0.25">
      <c r="A2433" t="s">
        <v>4135</v>
      </c>
      <c r="B2433" t="s">
        <v>4136</v>
      </c>
      <c r="C2433" t="s">
        <v>646</v>
      </c>
      <c r="D2433" t="s">
        <v>3779</v>
      </c>
      <c r="E2433" t="s">
        <v>647</v>
      </c>
      <c r="F2433" t="s">
        <v>3780</v>
      </c>
      <c r="G2433" t="s">
        <v>769</v>
      </c>
      <c r="H2433" t="s">
        <v>1045</v>
      </c>
      <c r="I2433" t="s">
        <v>1083</v>
      </c>
      <c r="J2433" t="s">
        <v>731</v>
      </c>
      <c r="K2433" t="s">
        <v>166</v>
      </c>
      <c r="L2433" t="s">
        <v>0</v>
      </c>
      <c r="M2433" t="s">
        <v>178</v>
      </c>
      <c r="N2433">
        <v>16</v>
      </c>
      <c r="O2433">
        <v>16</v>
      </c>
      <c r="P2433">
        <v>160</v>
      </c>
      <c r="Q2433">
        <v>3542.71</v>
      </c>
      <c r="R2433">
        <v>291.89</v>
      </c>
      <c r="S2433">
        <v>48.145000000000003</v>
      </c>
      <c r="T2433">
        <v>0</v>
      </c>
      <c r="U2433">
        <v>0</v>
      </c>
      <c r="V2433">
        <v>291.89</v>
      </c>
      <c r="W2433" t="s">
        <v>0</v>
      </c>
      <c r="X2433" t="s">
        <v>271</v>
      </c>
      <c r="Y2433" t="s">
        <v>4137</v>
      </c>
      <c r="AA2433" t="s">
        <v>4138</v>
      </c>
      <c r="AB2433" t="s">
        <v>181</v>
      </c>
    </row>
    <row r="2434" spans="1:28" x14ac:dyDescent="0.25">
      <c r="A2434" t="s">
        <v>4139</v>
      </c>
      <c r="B2434" t="s">
        <v>4140</v>
      </c>
      <c r="C2434" t="s">
        <v>646</v>
      </c>
      <c r="D2434" t="s">
        <v>3779</v>
      </c>
      <c r="E2434" t="s">
        <v>647</v>
      </c>
      <c r="F2434" t="s">
        <v>3780</v>
      </c>
      <c r="G2434" t="s">
        <v>769</v>
      </c>
      <c r="H2434" t="s">
        <v>649</v>
      </c>
      <c r="I2434" t="s">
        <v>778</v>
      </c>
      <c r="J2434" t="s">
        <v>428</v>
      </c>
      <c r="K2434" t="s">
        <v>166</v>
      </c>
      <c r="L2434" t="s">
        <v>0</v>
      </c>
      <c r="M2434" t="s">
        <v>178</v>
      </c>
      <c r="N2434">
        <v>53</v>
      </c>
      <c r="O2434">
        <v>4</v>
      </c>
      <c r="P2434">
        <v>791.5</v>
      </c>
      <c r="Q2434">
        <v>2979.91</v>
      </c>
      <c r="R2434">
        <v>512.92999999999995</v>
      </c>
      <c r="S2434">
        <v>217.502375</v>
      </c>
      <c r="T2434">
        <v>0</v>
      </c>
      <c r="U2434">
        <v>0</v>
      </c>
      <c r="V2434">
        <v>512.92999999999995</v>
      </c>
      <c r="W2434" t="s">
        <v>547</v>
      </c>
      <c r="X2434" t="s">
        <v>271</v>
      </c>
      <c r="Y2434" t="s">
        <v>4141</v>
      </c>
      <c r="AA2434" t="s">
        <v>4142</v>
      </c>
      <c r="AB2434" t="s">
        <v>181</v>
      </c>
    </row>
    <row r="2435" spans="1:28" x14ac:dyDescent="0.25">
      <c r="A2435" t="s">
        <v>3877</v>
      </c>
      <c r="B2435" t="s">
        <v>3878</v>
      </c>
      <c r="C2435" t="s">
        <v>646</v>
      </c>
      <c r="D2435" t="s">
        <v>3779</v>
      </c>
      <c r="E2435" t="s">
        <v>647</v>
      </c>
      <c r="F2435" t="s">
        <v>648</v>
      </c>
      <c r="G2435" t="s">
        <v>648</v>
      </c>
      <c r="H2435" t="s">
        <v>649</v>
      </c>
      <c r="I2435" t="s">
        <v>3879</v>
      </c>
      <c r="J2435" t="s">
        <v>3880</v>
      </c>
      <c r="K2435" t="s">
        <v>166</v>
      </c>
      <c r="L2435" t="s">
        <v>0</v>
      </c>
      <c r="M2435" t="s">
        <v>178</v>
      </c>
      <c r="N2435">
        <v>134</v>
      </c>
      <c r="O2435">
        <v>134</v>
      </c>
      <c r="P2435">
        <v>4817.25</v>
      </c>
      <c r="Q2435">
        <v>7645.78</v>
      </c>
      <c r="R2435">
        <v>528.95000000000005</v>
      </c>
      <c r="S2435">
        <v>653.36949759000004</v>
      </c>
      <c r="T2435">
        <v>0</v>
      </c>
      <c r="U2435">
        <v>0</v>
      </c>
      <c r="V2435">
        <v>528.95000000000005</v>
      </c>
      <c r="W2435" t="s">
        <v>1079</v>
      </c>
      <c r="X2435" t="s">
        <v>271</v>
      </c>
      <c r="Y2435" t="s">
        <v>3881</v>
      </c>
      <c r="AA2435" t="s">
        <v>3882</v>
      </c>
      <c r="AB2435" t="s">
        <v>181</v>
      </c>
    </row>
    <row r="2436" spans="1:28" x14ac:dyDescent="0.25">
      <c r="A2436" t="s">
        <v>4248</v>
      </c>
      <c r="B2436" t="s">
        <v>4249</v>
      </c>
      <c r="C2436" t="s">
        <v>646</v>
      </c>
      <c r="D2436" t="s">
        <v>3779</v>
      </c>
      <c r="E2436" t="s">
        <v>647</v>
      </c>
      <c r="F2436" t="s">
        <v>3780</v>
      </c>
      <c r="G2436" t="s">
        <v>769</v>
      </c>
      <c r="H2436" t="s">
        <v>717</v>
      </c>
      <c r="I2436" t="s">
        <v>1913</v>
      </c>
      <c r="J2436" t="s">
        <v>1914</v>
      </c>
      <c r="K2436" t="s">
        <v>166</v>
      </c>
      <c r="L2436" t="s">
        <v>0</v>
      </c>
      <c r="M2436" t="s">
        <v>178</v>
      </c>
      <c r="N2436">
        <v>33</v>
      </c>
      <c r="O2436">
        <v>33</v>
      </c>
      <c r="P2436">
        <v>2087.4</v>
      </c>
      <c r="Q2436">
        <v>4639.53</v>
      </c>
      <c r="R2436">
        <v>275.39</v>
      </c>
      <c r="S2436">
        <v>570.67487695</v>
      </c>
      <c r="T2436">
        <v>0</v>
      </c>
      <c r="U2436">
        <v>0</v>
      </c>
      <c r="V2436">
        <v>275.39</v>
      </c>
      <c r="W2436" t="s">
        <v>1915</v>
      </c>
      <c r="X2436" t="s">
        <v>269</v>
      </c>
      <c r="Y2436" t="s">
        <v>4250</v>
      </c>
      <c r="AA2436" t="s">
        <v>4251</v>
      </c>
      <c r="AB2436" t="s">
        <v>181</v>
      </c>
    </row>
    <row r="2437" spans="1:28" x14ac:dyDescent="0.25">
      <c r="A2437" t="s">
        <v>4074</v>
      </c>
      <c r="B2437" t="s">
        <v>4075</v>
      </c>
      <c r="C2437" t="s">
        <v>646</v>
      </c>
      <c r="D2437" t="s">
        <v>3779</v>
      </c>
      <c r="E2437" t="s">
        <v>647</v>
      </c>
      <c r="F2437" t="s">
        <v>3780</v>
      </c>
      <c r="G2437" t="s">
        <v>769</v>
      </c>
      <c r="H2437" t="s">
        <v>797</v>
      </c>
      <c r="I2437" t="s">
        <v>1284</v>
      </c>
      <c r="J2437" t="s">
        <v>1285</v>
      </c>
      <c r="K2437" t="s">
        <v>166</v>
      </c>
      <c r="L2437" t="s">
        <v>0</v>
      </c>
      <c r="M2437" t="s">
        <v>178</v>
      </c>
      <c r="N2437">
        <v>18</v>
      </c>
      <c r="O2437">
        <v>0</v>
      </c>
      <c r="P2437">
        <v>333</v>
      </c>
      <c r="Q2437">
        <v>1090.7</v>
      </c>
      <c r="R2437">
        <v>173.34</v>
      </c>
      <c r="S2437">
        <v>43.102752099999996</v>
      </c>
      <c r="T2437">
        <v>0</v>
      </c>
      <c r="U2437">
        <v>0</v>
      </c>
      <c r="V2437">
        <v>173.34</v>
      </c>
      <c r="W2437" t="s">
        <v>1286</v>
      </c>
      <c r="X2437" t="s">
        <v>269</v>
      </c>
      <c r="Y2437" t="s">
        <v>4076</v>
      </c>
      <c r="AA2437" t="s">
        <v>4077</v>
      </c>
      <c r="AB2437" t="s">
        <v>181</v>
      </c>
    </row>
    <row r="2438" spans="1:28" x14ac:dyDescent="0.25">
      <c r="A2438" t="s">
        <v>4330</v>
      </c>
      <c r="B2438" t="s">
        <v>4331</v>
      </c>
      <c r="C2438" t="s">
        <v>646</v>
      </c>
      <c r="D2438" t="s">
        <v>3779</v>
      </c>
      <c r="E2438" t="s">
        <v>647</v>
      </c>
      <c r="F2438" t="s">
        <v>666</v>
      </c>
      <c r="G2438" t="s">
        <v>666</v>
      </c>
      <c r="H2438" t="s">
        <v>679</v>
      </c>
      <c r="I2438" t="s">
        <v>1513</v>
      </c>
      <c r="J2438" t="s">
        <v>333</v>
      </c>
      <c r="K2438" t="s">
        <v>166</v>
      </c>
      <c r="L2438" t="s">
        <v>0</v>
      </c>
      <c r="M2438" t="s">
        <v>178</v>
      </c>
      <c r="N2438">
        <v>698</v>
      </c>
      <c r="O2438">
        <v>574</v>
      </c>
      <c r="P2438">
        <v>4199.79</v>
      </c>
      <c r="Q2438">
        <v>11740.73</v>
      </c>
      <c r="R2438">
        <v>-2516.13124758</v>
      </c>
      <c r="S2438">
        <v>5748.9719521400002</v>
      </c>
      <c r="T2438">
        <v>-46.231247580000002</v>
      </c>
      <c r="U2438">
        <v>4021.88</v>
      </c>
      <c r="V2438">
        <v>1551.98</v>
      </c>
      <c r="W2438" t="s">
        <v>616</v>
      </c>
      <c r="X2438" t="s">
        <v>271</v>
      </c>
      <c r="Y2438" t="s">
        <v>4332</v>
      </c>
      <c r="AA2438" t="s">
        <v>2421</v>
      </c>
      <c r="AB2438" t="s">
        <v>181</v>
      </c>
    </row>
    <row r="2439" spans="1:28" x14ac:dyDescent="0.25">
      <c r="A2439" t="s">
        <v>3865</v>
      </c>
      <c r="B2439" t="s">
        <v>3866</v>
      </c>
      <c r="C2439" t="s">
        <v>646</v>
      </c>
      <c r="D2439" t="s">
        <v>3779</v>
      </c>
      <c r="E2439" t="s">
        <v>647</v>
      </c>
      <c r="F2439" t="s">
        <v>3780</v>
      </c>
      <c r="G2439" t="s">
        <v>769</v>
      </c>
      <c r="H2439" t="s">
        <v>1045</v>
      </c>
      <c r="I2439" t="s">
        <v>3867</v>
      </c>
      <c r="J2439" t="s">
        <v>881</v>
      </c>
      <c r="K2439" t="s">
        <v>166</v>
      </c>
      <c r="L2439" t="s">
        <v>0</v>
      </c>
      <c r="M2439" t="s">
        <v>178</v>
      </c>
      <c r="N2439">
        <v>18.666599999999999</v>
      </c>
      <c r="O2439">
        <v>18.666599999999999</v>
      </c>
      <c r="P2439">
        <v>398</v>
      </c>
      <c r="Q2439">
        <v>2761.97</v>
      </c>
      <c r="R2439">
        <v>152.69999999999999</v>
      </c>
      <c r="S2439">
        <v>153.10119641</v>
      </c>
      <c r="T2439">
        <v>0</v>
      </c>
      <c r="U2439">
        <v>0</v>
      </c>
      <c r="V2439">
        <v>152.69999999999999</v>
      </c>
      <c r="W2439" t="s">
        <v>0</v>
      </c>
      <c r="X2439" t="s">
        <v>271</v>
      </c>
      <c r="Y2439" t="s">
        <v>3868</v>
      </c>
      <c r="AA2439" t="s">
        <v>3869</v>
      </c>
      <c r="AB2439" t="s">
        <v>181</v>
      </c>
    </row>
    <row r="2440" spans="1:28" x14ac:dyDescent="0.25">
      <c r="A2440" t="s">
        <v>3969</v>
      </c>
      <c r="B2440" t="s">
        <v>3970</v>
      </c>
      <c r="C2440" t="s">
        <v>646</v>
      </c>
      <c r="D2440" t="s">
        <v>3779</v>
      </c>
      <c r="E2440" t="s">
        <v>647</v>
      </c>
      <c r="F2440" t="s">
        <v>3780</v>
      </c>
      <c r="G2440" t="s">
        <v>769</v>
      </c>
      <c r="H2440" t="s">
        <v>962</v>
      </c>
      <c r="I2440" t="s">
        <v>1518</v>
      </c>
      <c r="J2440" t="s">
        <v>1519</v>
      </c>
      <c r="K2440" t="s">
        <v>166</v>
      </c>
      <c r="L2440" t="s">
        <v>0</v>
      </c>
      <c r="M2440" t="s">
        <v>178</v>
      </c>
      <c r="N2440">
        <v>36</v>
      </c>
      <c r="O2440">
        <v>0</v>
      </c>
      <c r="P2440">
        <v>218.4</v>
      </c>
      <c r="Q2440">
        <v>1638.9</v>
      </c>
      <c r="R2440">
        <v>329.3</v>
      </c>
      <c r="S2440">
        <v>44.158300689999997</v>
      </c>
      <c r="T2440">
        <v>0</v>
      </c>
      <c r="U2440">
        <v>0</v>
      </c>
      <c r="V2440">
        <v>329.3</v>
      </c>
      <c r="W2440" t="s">
        <v>1485</v>
      </c>
      <c r="X2440" t="s">
        <v>271</v>
      </c>
      <c r="Y2440" t="s">
        <v>3971</v>
      </c>
      <c r="AA2440" t="s">
        <v>3972</v>
      </c>
      <c r="AB2440" t="s">
        <v>181</v>
      </c>
    </row>
    <row r="2441" spans="1:28" x14ac:dyDescent="0.25">
      <c r="A2441" t="s">
        <v>3834</v>
      </c>
      <c r="B2441" t="s">
        <v>3835</v>
      </c>
      <c r="C2441" t="s">
        <v>646</v>
      </c>
      <c r="D2441" t="s">
        <v>3779</v>
      </c>
      <c r="E2441" t="s">
        <v>647</v>
      </c>
      <c r="F2441" t="s">
        <v>3780</v>
      </c>
      <c r="G2441" t="s">
        <v>769</v>
      </c>
      <c r="H2441" t="s">
        <v>1515</v>
      </c>
      <c r="I2441" t="s">
        <v>1251</v>
      </c>
      <c r="J2441" t="s">
        <v>821</v>
      </c>
      <c r="K2441" t="s">
        <v>166</v>
      </c>
      <c r="L2441" t="s">
        <v>0</v>
      </c>
      <c r="M2441" t="s">
        <v>178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 t="s">
        <v>822</v>
      </c>
      <c r="X2441" t="s">
        <v>269</v>
      </c>
      <c r="Y2441" t="s">
        <v>3836</v>
      </c>
      <c r="AA2441" t="s">
        <v>3837</v>
      </c>
      <c r="AB2441" t="s">
        <v>181</v>
      </c>
    </row>
    <row r="2442" spans="1:28" x14ac:dyDescent="0.25">
      <c r="A2442" t="s">
        <v>3944</v>
      </c>
      <c r="B2442" t="s">
        <v>3945</v>
      </c>
      <c r="C2442" t="s">
        <v>646</v>
      </c>
      <c r="D2442" t="s">
        <v>3779</v>
      </c>
      <c r="E2442" t="s">
        <v>647</v>
      </c>
      <c r="F2442" t="s">
        <v>3780</v>
      </c>
      <c r="G2442" t="s">
        <v>769</v>
      </c>
      <c r="H2442" t="s">
        <v>1515</v>
      </c>
      <c r="I2442" t="s">
        <v>798</v>
      </c>
      <c r="J2442" t="s">
        <v>524</v>
      </c>
      <c r="K2442" t="s">
        <v>166</v>
      </c>
      <c r="L2442" t="s">
        <v>0</v>
      </c>
      <c r="M2442" t="s">
        <v>178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 t="s">
        <v>258</v>
      </c>
      <c r="X2442" t="s">
        <v>271</v>
      </c>
      <c r="Y2442" t="s">
        <v>3946</v>
      </c>
      <c r="AA2442" t="s">
        <v>3947</v>
      </c>
      <c r="AB2442" t="s">
        <v>181</v>
      </c>
    </row>
    <row r="2443" spans="1:28" x14ac:dyDescent="0.25">
      <c r="A2443" t="s">
        <v>4135</v>
      </c>
      <c r="B2443" t="s">
        <v>4136</v>
      </c>
      <c r="C2443" t="s">
        <v>646</v>
      </c>
      <c r="D2443" t="s">
        <v>3779</v>
      </c>
      <c r="E2443" t="s">
        <v>647</v>
      </c>
      <c r="F2443" t="s">
        <v>3780</v>
      </c>
      <c r="G2443" t="s">
        <v>769</v>
      </c>
      <c r="H2443" t="s">
        <v>1515</v>
      </c>
      <c r="I2443" t="s">
        <v>1083</v>
      </c>
      <c r="J2443" t="s">
        <v>731</v>
      </c>
      <c r="K2443" t="s">
        <v>166</v>
      </c>
      <c r="L2443" t="s">
        <v>0</v>
      </c>
      <c r="M2443" t="s">
        <v>178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 t="s">
        <v>0</v>
      </c>
      <c r="X2443" t="s">
        <v>271</v>
      </c>
      <c r="Y2443" t="s">
        <v>4137</v>
      </c>
      <c r="AA2443" t="s">
        <v>4138</v>
      </c>
      <c r="AB2443" t="s">
        <v>181</v>
      </c>
    </row>
    <row r="2444" spans="1:28" x14ac:dyDescent="0.25">
      <c r="A2444" t="s">
        <v>3952</v>
      </c>
      <c r="B2444" t="s">
        <v>3953</v>
      </c>
      <c r="C2444" t="s">
        <v>646</v>
      </c>
      <c r="D2444" t="s">
        <v>3779</v>
      </c>
      <c r="E2444" t="s">
        <v>647</v>
      </c>
      <c r="F2444" t="s">
        <v>666</v>
      </c>
      <c r="G2444" t="s">
        <v>666</v>
      </c>
      <c r="H2444" t="s">
        <v>1515</v>
      </c>
      <c r="I2444" t="s">
        <v>2032</v>
      </c>
      <c r="J2444" t="s">
        <v>311</v>
      </c>
      <c r="K2444" t="s">
        <v>166</v>
      </c>
      <c r="L2444" t="s">
        <v>0</v>
      </c>
      <c r="M2444" t="s">
        <v>178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 t="s">
        <v>312</v>
      </c>
      <c r="X2444" t="s">
        <v>271</v>
      </c>
      <c r="Y2444" t="s">
        <v>3954</v>
      </c>
      <c r="AA2444" t="s">
        <v>3955</v>
      </c>
      <c r="AB2444" t="s">
        <v>181</v>
      </c>
    </row>
    <row r="2445" spans="1:28" x14ac:dyDescent="0.25">
      <c r="A2445" t="s">
        <v>4260</v>
      </c>
      <c r="B2445" t="s">
        <v>4261</v>
      </c>
      <c r="C2445" t="s">
        <v>646</v>
      </c>
      <c r="D2445" t="s">
        <v>3779</v>
      </c>
      <c r="E2445" t="s">
        <v>647</v>
      </c>
      <c r="F2445" t="s">
        <v>666</v>
      </c>
      <c r="G2445" t="s">
        <v>666</v>
      </c>
      <c r="H2445" t="s">
        <v>683</v>
      </c>
      <c r="I2445" t="s">
        <v>4262</v>
      </c>
      <c r="J2445" t="s">
        <v>1180</v>
      </c>
      <c r="K2445" t="s">
        <v>166</v>
      </c>
      <c r="L2445" t="s">
        <v>0</v>
      </c>
      <c r="M2445" t="s">
        <v>178</v>
      </c>
      <c r="N2445">
        <v>102</v>
      </c>
      <c r="O2445">
        <v>91</v>
      </c>
      <c r="P2445">
        <v>2010.78</v>
      </c>
      <c r="Q2445">
        <v>5118.8999999999996</v>
      </c>
      <c r="R2445">
        <v>1803.74</v>
      </c>
      <c r="S2445">
        <v>845.50926426000001</v>
      </c>
      <c r="T2445">
        <v>0</v>
      </c>
      <c r="U2445">
        <v>0</v>
      </c>
      <c r="V2445">
        <v>1803.74</v>
      </c>
      <c r="W2445" t="s">
        <v>0</v>
      </c>
      <c r="X2445" t="s">
        <v>271</v>
      </c>
      <c r="Y2445" t="s">
        <v>4263</v>
      </c>
      <c r="AA2445" t="s">
        <v>4264</v>
      </c>
      <c r="AB2445" t="s">
        <v>181</v>
      </c>
    </row>
    <row r="2446" spans="1:28" x14ac:dyDescent="0.25">
      <c r="A2446" t="s">
        <v>3895</v>
      </c>
      <c r="B2446" t="s">
        <v>3896</v>
      </c>
      <c r="C2446" t="s">
        <v>646</v>
      </c>
      <c r="D2446" t="s">
        <v>3779</v>
      </c>
      <c r="E2446" t="s">
        <v>647</v>
      </c>
      <c r="F2446" t="s">
        <v>3780</v>
      </c>
      <c r="G2446" t="s">
        <v>769</v>
      </c>
      <c r="H2446" t="s">
        <v>679</v>
      </c>
      <c r="I2446" t="s">
        <v>3897</v>
      </c>
      <c r="J2446" t="s">
        <v>437</v>
      </c>
      <c r="K2446" t="s">
        <v>166</v>
      </c>
      <c r="L2446" t="s">
        <v>0</v>
      </c>
      <c r="M2446" t="s">
        <v>178</v>
      </c>
      <c r="N2446">
        <v>1386.3833</v>
      </c>
      <c r="O2446">
        <v>913.2</v>
      </c>
      <c r="P2446">
        <v>18821.189999999999</v>
      </c>
      <c r="Q2446">
        <v>51809.33</v>
      </c>
      <c r="R2446">
        <v>1655.5714269</v>
      </c>
      <c r="S2446">
        <v>12764.60871613</v>
      </c>
      <c r="T2446">
        <v>-11.9685731</v>
      </c>
      <c r="U2446">
        <v>1143.3800000000001</v>
      </c>
      <c r="V2446">
        <v>2810.92</v>
      </c>
      <c r="W2446" t="s">
        <v>510</v>
      </c>
      <c r="X2446" t="s">
        <v>271</v>
      </c>
      <c r="Y2446" t="s">
        <v>3898</v>
      </c>
      <c r="AA2446" t="s">
        <v>3899</v>
      </c>
      <c r="AB2446" t="s">
        <v>181</v>
      </c>
    </row>
    <row r="2447" spans="1:28" x14ac:dyDescent="0.25">
      <c r="A2447" t="s">
        <v>4043</v>
      </c>
      <c r="B2447" t="s">
        <v>4044</v>
      </c>
      <c r="C2447" t="s">
        <v>646</v>
      </c>
      <c r="D2447" t="s">
        <v>3779</v>
      </c>
      <c r="E2447" t="s">
        <v>647</v>
      </c>
      <c r="F2447" t="s">
        <v>666</v>
      </c>
      <c r="G2447" t="s">
        <v>666</v>
      </c>
      <c r="H2447" t="s">
        <v>770</v>
      </c>
      <c r="I2447" t="s">
        <v>1431</v>
      </c>
      <c r="J2447" t="s">
        <v>1432</v>
      </c>
      <c r="K2447" t="s">
        <v>166</v>
      </c>
      <c r="L2447" t="s">
        <v>0</v>
      </c>
      <c r="M2447" t="s">
        <v>178</v>
      </c>
      <c r="N2447">
        <v>442.85</v>
      </c>
      <c r="O2447">
        <v>281.85000000000002</v>
      </c>
      <c r="P2447">
        <v>8606.6</v>
      </c>
      <c r="Q2447">
        <v>10277.280000000001</v>
      </c>
      <c r="R2447">
        <v>641.21</v>
      </c>
      <c r="S2447">
        <v>1237.2406905</v>
      </c>
      <c r="T2447">
        <v>0</v>
      </c>
      <c r="U2447">
        <v>0</v>
      </c>
      <c r="V2447">
        <v>641.21</v>
      </c>
      <c r="W2447" t="s">
        <v>1433</v>
      </c>
      <c r="X2447" t="s">
        <v>271</v>
      </c>
      <c r="Y2447" t="s">
        <v>4045</v>
      </c>
      <c r="AA2447" t="s">
        <v>4046</v>
      </c>
      <c r="AB2447" t="s">
        <v>181</v>
      </c>
    </row>
    <row r="2448" spans="1:28" x14ac:dyDescent="0.25">
      <c r="A2448" t="s">
        <v>4244</v>
      </c>
      <c r="B2448" t="s">
        <v>4245</v>
      </c>
      <c r="C2448" t="s">
        <v>646</v>
      </c>
      <c r="D2448" t="s">
        <v>3779</v>
      </c>
      <c r="E2448" t="s">
        <v>647</v>
      </c>
      <c r="F2448" t="s">
        <v>3780</v>
      </c>
      <c r="G2448" t="s">
        <v>769</v>
      </c>
      <c r="H2448" t="s">
        <v>683</v>
      </c>
      <c r="I2448" t="s">
        <v>1251</v>
      </c>
      <c r="J2448" t="s">
        <v>821</v>
      </c>
      <c r="K2448" t="s">
        <v>166</v>
      </c>
      <c r="L2448" t="s">
        <v>0</v>
      </c>
      <c r="M2448" t="s">
        <v>178</v>
      </c>
      <c r="N2448">
        <v>304.87220000000002</v>
      </c>
      <c r="O2448">
        <v>202.25</v>
      </c>
      <c r="P2448">
        <v>4000.21</v>
      </c>
      <c r="Q2448">
        <v>11995.49</v>
      </c>
      <c r="R2448">
        <v>3186.8778424900001</v>
      </c>
      <c r="S2448">
        <v>1977.74846901</v>
      </c>
      <c r="T2448">
        <v>0.55784248999999997</v>
      </c>
      <c r="U2448">
        <v>0</v>
      </c>
      <c r="V2448">
        <v>3186.32</v>
      </c>
      <c r="W2448" t="s">
        <v>822</v>
      </c>
      <c r="X2448" t="s">
        <v>269</v>
      </c>
      <c r="Y2448" t="s">
        <v>4246</v>
      </c>
      <c r="AA2448" t="s">
        <v>4247</v>
      </c>
      <c r="AB2448" t="s">
        <v>181</v>
      </c>
    </row>
    <row r="2449" spans="1:28" x14ac:dyDescent="0.25">
      <c r="A2449" t="s">
        <v>3917</v>
      </c>
      <c r="B2449" t="s">
        <v>3918</v>
      </c>
      <c r="C2449" t="s">
        <v>646</v>
      </c>
      <c r="D2449" t="s">
        <v>3779</v>
      </c>
      <c r="E2449" t="s">
        <v>647</v>
      </c>
      <c r="F2449" t="s">
        <v>3780</v>
      </c>
      <c r="G2449" t="s">
        <v>769</v>
      </c>
      <c r="H2449" t="s">
        <v>909</v>
      </c>
      <c r="I2449" t="s">
        <v>1083</v>
      </c>
      <c r="J2449" t="s">
        <v>731</v>
      </c>
      <c r="K2449" t="s">
        <v>166</v>
      </c>
      <c r="L2449" t="s">
        <v>0</v>
      </c>
      <c r="M2449" t="s">
        <v>178</v>
      </c>
      <c r="N2449">
        <v>70</v>
      </c>
      <c r="O2449">
        <v>45</v>
      </c>
      <c r="P2449">
        <v>1962.23</v>
      </c>
      <c r="Q2449">
        <v>3408.97</v>
      </c>
      <c r="R2449">
        <v>1456.7143781299999</v>
      </c>
      <c r="S2449">
        <v>324.46598549999999</v>
      </c>
      <c r="T2449">
        <v>5.4378129999999997E-2</v>
      </c>
      <c r="U2449">
        <v>0</v>
      </c>
      <c r="V2449">
        <v>1456.66</v>
      </c>
      <c r="W2449" t="s">
        <v>0</v>
      </c>
      <c r="X2449" t="s">
        <v>271</v>
      </c>
      <c r="Y2449" t="s">
        <v>3919</v>
      </c>
      <c r="AA2449" t="s">
        <v>3920</v>
      </c>
      <c r="AB2449" t="s">
        <v>181</v>
      </c>
    </row>
    <row r="2450" spans="1:28" x14ac:dyDescent="0.25">
      <c r="A2450" t="s">
        <v>4353</v>
      </c>
      <c r="B2450" t="s">
        <v>4354</v>
      </c>
      <c r="C2450" t="s">
        <v>646</v>
      </c>
      <c r="D2450" t="s">
        <v>3779</v>
      </c>
      <c r="E2450" t="s">
        <v>647</v>
      </c>
      <c r="F2450" t="s">
        <v>3780</v>
      </c>
      <c r="G2450" t="s">
        <v>769</v>
      </c>
      <c r="H2450" t="s">
        <v>909</v>
      </c>
      <c r="I2450" t="s">
        <v>1160</v>
      </c>
      <c r="J2450" t="s">
        <v>336</v>
      </c>
      <c r="K2450" t="s">
        <v>166</v>
      </c>
      <c r="L2450" t="s">
        <v>0</v>
      </c>
      <c r="M2450" t="s">
        <v>178</v>
      </c>
      <c r="N2450">
        <v>135.51660000000001</v>
      </c>
      <c r="O2450">
        <v>134.41659999999999</v>
      </c>
      <c r="P2450">
        <v>4677.21</v>
      </c>
      <c r="Q2450">
        <v>3151.66</v>
      </c>
      <c r="R2450">
        <v>432.67</v>
      </c>
      <c r="S2450">
        <v>526.76893987999995</v>
      </c>
      <c r="T2450">
        <v>0</v>
      </c>
      <c r="U2450">
        <v>0</v>
      </c>
      <c r="V2450">
        <v>432.67</v>
      </c>
      <c r="W2450" t="s">
        <v>461</v>
      </c>
      <c r="X2450" t="s">
        <v>271</v>
      </c>
      <c r="Y2450" t="s">
        <v>4355</v>
      </c>
      <c r="AA2450" t="s">
        <v>4356</v>
      </c>
      <c r="AB2450" t="s">
        <v>181</v>
      </c>
    </row>
    <row r="2451" spans="1:28" x14ac:dyDescent="0.25">
      <c r="A2451" t="s">
        <v>3819</v>
      </c>
      <c r="B2451" t="s">
        <v>3820</v>
      </c>
      <c r="C2451" t="s">
        <v>646</v>
      </c>
      <c r="D2451" t="s">
        <v>3779</v>
      </c>
      <c r="E2451" t="s">
        <v>647</v>
      </c>
      <c r="F2451" t="s">
        <v>3780</v>
      </c>
      <c r="G2451" t="s">
        <v>769</v>
      </c>
      <c r="H2451" t="s">
        <v>757</v>
      </c>
      <c r="I2451" t="s">
        <v>798</v>
      </c>
      <c r="J2451" t="s">
        <v>524</v>
      </c>
      <c r="K2451" t="s">
        <v>166</v>
      </c>
      <c r="L2451" t="s">
        <v>0</v>
      </c>
      <c r="M2451" t="s">
        <v>178</v>
      </c>
      <c r="N2451">
        <v>2028.0666000000001</v>
      </c>
      <c r="O2451">
        <v>1691.0666000000001</v>
      </c>
      <c r="P2451">
        <v>60260.92</v>
      </c>
      <c r="Q2451">
        <v>93996.98</v>
      </c>
      <c r="R2451">
        <v>4344.8900000000003</v>
      </c>
      <c r="S2451">
        <v>16864.256880780002</v>
      </c>
      <c r="T2451">
        <v>5.04</v>
      </c>
      <c r="U2451">
        <v>3267.1</v>
      </c>
      <c r="V2451">
        <v>7606.95</v>
      </c>
      <c r="W2451" t="s">
        <v>258</v>
      </c>
      <c r="X2451" t="s">
        <v>271</v>
      </c>
      <c r="Y2451" t="s">
        <v>3821</v>
      </c>
      <c r="AA2451" t="s">
        <v>3822</v>
      </c>
      <c r="AB2451" t="s">
        <v>181</v>
      </c>
    </row>
    <row r="2452" spans="1:28" x14ac:dyDescent="0.25">
      <c r="A2452" t="s">
        <v>4370</v>
      </c>
      <c r="B2452" t="s">
        <v>4371</v>
      </c>
      <c r="C2452" t="s">
        <v>646</v>
      </c>
      <c r="D2452" t="s">
        <v>3779</v>
      </c>
      <c r="E2452" t="s">
        <v>647</v>
      </c>
      <c r="F2452" t="s">
        <v>666</v>
      </c>
      <c r="G2452" t="s">
        <v>666</v>
      </c>
      <c r="H2452" t="s">
        <v>679</v>
      </c>
      <c r="I2452" t="s">
        <v>4372</v>
      </c>
      <c r="J2452" t="s">
        <v>355</v>
      </c>
      <c r="K2452" t="s">
        <v>166</v>
      </c>
      <c r="L2452" t="s">
        <v>0</v>
      </c>
      <c r="M2452" t="s">
        <v>178</v>
      </c>
      <c r="N2452">
        <v>282</v>
      </c>
      <c r="O2452">
        <v>234</v>
      </c>
      <c r="P2452">
        <v>4683.34</v>
      </c>
      <c r="Q2452">
        <v>15420.48</v>
      </c>
      <c r="R2452">
        <v>48.755219390000001</v>
      </c>
      <c r="S2452">
        <v>8233.9612945000008</v>
      </c>
      <c r="T2452">
        <v>-23.464780609999998</v>
      </c>
      <c r="U2452">
        <v>0</v>
      </c>
      <c r="V2452">
        <v>72.22</v>
      </c>
      <c r="W2452" t="s">
        <v>0</v>
      </c>
      <c r="X2452" t="s">
        <v>271</v>
      </c>
      <c r="Y2452" t="s">
        <v>4373</v>
      </c>
      <c r="AA2452" t="s">
        <v>3894</v>
      </c>
      <c r="AB2452" t="s">
        <v>181</v>
      </c>
    </row>
    <row r="2453" spans="1:28" x14ac:dyDescent="0.25">
      <c r="A2453" t="s">
        <v>4022</v>
      </c>
      <c r="B2453" t="s">
        <v>4023</v>
      </c>
      <c r="C2453" t="s">
        <v>646</v>
      </c>
      <c r="D2453" t="s">
        <v>3779</v>
      </c>
      <c r="E2453" t="s">
        <v>647</v>
      </c>
      <c r="F2453" t="s">
        <v>3780</v>
      </c>
      <c r="G2453" t="s">
        <v>769</v>
      </c>
      <c r="H2453" t="s">
        <v>761</v>
      </c>
      <c r="I2453" t="s">
        <v>4024</v>
      </c>
      <c r="J2453" t="s">
        <v>447</v>
      </c>
      <c r="K2453" t="s">
        <v>166</v>
      </c>
      <c r="L2453" t="s">
        <v>0</v>
      </c>
      <c r="M2453" t="s">
        <v>178</v>
      </c>
      <c r="N2453">
        <v>100</v>
      </c>
      <c r="O2453">
        <v>74</v>
      </c>
      <c r="P2453">
        <v>3079.81</v>
      </c>
      <c r="Q2453">
        <v>3480.9</v>
      </c>
      <c r="R2453">
        <v>735.22</v>
      </c>
      <c r="S2453">
        <v>599.94697113999996</v>
      </c>
      <c r="T2453">
        <v>0</v>
      </c>
      <c r="U2453">
        <v>0</v>
      </c>
      <c r="V2453">
        <v>735.22</v>
      </c>
      <c r="W2453" t="s">
        <v>446</v>
      </c>
      <c r="X2453" t="s">
        <v>271</v>
      </c>
      <c r="Y2453" t="s">
        <v>4025</v>
      </c>
      <c r="AA2453" t="s">
        <v>4026</v>
      </c>
      <c r="AB2453" t="s">
        <v>181</v>
      </c>
    </row>
    <row r="2454" spans="1:28" x14ac:dyDescent="0.25">
      <c r="A2454" t="s">
        <v>4256</v>
      </c>
      <c r="B2454" t="s">
        <v>4257</v>
      </c>
      <c r="C2454" t="s">
        <v>646</v>
      </c>
      <c r="D2454" t="s">
        <v>3779</v>
      </c>
      <c r="E2454" t="s">
        <v>647</v>
      </c>
      <c r="F2454" t="s">
        <v>3780</v>
      </c>
      <c r="G2454" t="s">
        <v>769</v>
      </c>
      <c r="H2454" t="s">
        <v>770</v>
      </c>
      <c r="I2454" t="s">
        <v>2284</v>
      </c>
      <c r="J2454" t="s">
        <v>2285</v>
      </c>
      <c r="K2454" t="s">
        <v>166</v>
      </c>
      <c r="L2454" t="s">
        <v>0</v>
      </c>
      <c r="M2454" t="s">
        <v>178</v>
      </c>
      <c r="N2454">
        <v>1347</v>
      </c>
      <c r="O2454">
        <v>613</v>
      </c>
      <c r="P2454">
        <v>25906</v>
      </c>
      <c r="Q2454">
        <v>29707.79</v>
      </c>
      <c r="R2454">
        <v>6987.82</v>
      </c>
      <c r="S2454">
        <v>3440.05004113</v>
      </c>
      <c r="T2454">
        <v>0</v>
      </c>
      <c r="U2454">
        <v>0</v>
      </c>
      <c r="V2454">
        <v>6987.82</v>
      </c>
      <c r="W2454" t="s">
        <v>453</v>
      </c>
      <c r="X2454" t="s">
        <v>271</v>
      </c>
      <c r="Y2454" t="s">
        <v>4258</v>
      </c>
      <c r="AA2454" t="s">
        <v>4259</v>
      </c>
      <c r="AB2454" t="s">
        <v>181</v>
      </c>
    </row>
    <row r="2455" spans="1:28" x14ac:dyDescent="0.25">
      <c r="A2455" t="s">
        <v>3925</v>
      </c>
      <c r="B2455" t="s">
        <v>3926</v>
      </c>
      <c r="C2455" t="s">
        <v>646</v>
      </c>
      <c r="D2455" t="s">
        <v>3779</v>
      </c>
      <c r="E2455" t="s">
        <v>647</v>
      </c>
      <c r="F2455" t="s">
        <v>3780</v>
      </c>
      <c r="G2455" t="s">
        <v>769</v>
      </c>
      <c r="H2455" t="s">
        <v>717</v>
      </c>
      <c r="I2455" t="s">
        <v>2284</v>
      </c>
      <c r="J2455" t="s">
        <v>2285</v>
      </c>
      <c r="K2455" t="s">
        <v>166</v>
      </c>
      <c r="L2455" t="s">
        <v>0</v>
      </c>
      <c r="M2455" t="s">
        <v>178</v>
      </c>
      <c r="N2455">
        <v>12</v>
      </c>
      <c r="O2455">
        <v>4</v>
      </c>
      <c r="P2455">
        <v>208</v>
      </c>
      <c r="Q2455">
        <v>738.12</v>
      </c>
      <c r="R2455">
        <v>202.42</v>
      </c>
      <c r="S2455">
        <v>23.84203789</v>
      </c>
      <c r="T2455">
        <v>0</v>
      </c>
      <c r="U2455">
        <v>0</v>
      </c>
      <c r="V2455">
        <v>202.42</v>
      </c>
      <c r="W2455" t="s">
        <v>453</v>
      </c>
      <c r="X2455" t="s">
        <v>271</v>
      </c>
      <c r="Y2455" t="s">
        <v>3927</v>
      </c>
      <c r="AA2455" t="s">
        <v>3928</v>
      </c>
      <c r="AB2455" t="s">
        <v>181</v>
      </c>
    </row>
    <row r="2456" spans="1:28" x14ac:dyDescent="0.25">
      <c r="A2456" t="s">
        <v>3985</v>
      </c>
      <c r="B2456" t="s">
        <v>3986</v>
      </c>
      <c r="C2456" t="s">
        <v>646</v>
      </c>
      <c r="D2456" t="s">
        <v>3779</v>
      </c>
      <c r="E2456" t="s">
        <v>647</v>
      </c>
      <c r="F2456" t="s">
        <v>3780</v>
      </c>
      <c r="G2456" t="s">
        <v>769</v>
      </c>
      <c r="H2456" t="s">
        <v>717</v>
      </c>
      <c r="I2456" t="s">
        <v>3987</v>
      </c>
      <c r="J2456" t="s">
        <v>3988</v>
      </c>
      <c r="K2456" t="s">
        <v>166</v>
      </c>
      <c r="L2456" t="s">
        <v>0</v>
      </c>
      <c r="M2456" t="s">
        <v>178</v>
      </c>
      <c r="N2456">
        <v>86</v>
      </c>
      <c r="O2456">
        <v>54</v>
      </c>
      <c r="P2456">
        <v>2031.5</v>
      </c>
      <c r="Q2456">
        <v>6915.6</v>
      </c>
      <c r="R2456">
        <v>1351.21</v>
      </c>
      <c r="S2456">
        <v>381.57522985000003</v>
      </c>
      <c r="T2456">
        <v>0</v>
      </c>
      <c r="U2456">
        <v>0</v>
      </c>
      <c r="V2456">
        <v>1351.21</v>
      </c>
      <c r="W2456" t="s">
        <v>3989</v>
      </c>
      <c r="X2456" t="s">
        <v>271</v>
      </c>
      <c r="Y2456" t="s">
        <v>3990</v>
      </c>
      <c r="AA2456" t="s">
        <v>3991</v>
      </c>
      <c r="AB2456" t="s">
        <v>181</v>
      </c>
    </row>
    <row r="2457" spans="1:28" x14ac:dyDescent="0.25">
      <c r="A2457" t="s">
        <v>4151</v>
      </c>
      <c r="B2457" t="s">
        <v>4152</v>
      </c>
      <c r="C2457" t="s">
        <v>646</v>
      </c>
      <c r="D2457" t="s">
        <v>3779</v>
      </c>
      <c r="E2457" t="s">
        <v>647</v>
      </c>
      <c r="F2457" t="s">
        <v>666</v>
      </c>
      <c r="G2457" t="s">
        <v>666</v>
      </c>
      <c r="H2457" t="s">
        <v>802</v>
      </c>
      <c r="I2457" t="s">
        <v>765</v>
      </c>
      <c r="J2457" t="s">
        <v>436</v>
      </c>
      <c r="K2457" t="s">
        <v>166</v>
      </c>
      <c r="L2457" t="s">
        <v>0</v>
      </c>
      <c r="M2457" t="s">
        <v>178</v>
      </c>
      <c r="N2457">
        <v>364.33260000000001</v>
      </c>
      <c r="O2457">
        <v>263.08280000000002</v>
      </c>
      <c r="P2457">
        <v>5422.2</v>
      </c>
      <c r="Q2457">
        <v>19394.63</v>
      </c>
      <c r="R2457">
        <v>4378.17</v>
      </c>
      <c r="S2457">
        <v>2294.0960341999998</v>
      </c>
      <c r="T2457">
        <v>0</v>
      </c>
      <c r="U2457">
        <v>0</v>
      </c>
      <c r="V2457">
        <v>4378.17</v>
      </c>
      <c r="W2457" t="s">
        <v>0</v>
      </c>
      <c r="X2457" t="s">
        <v>271</v>
      </c>
      <c r="Y2457" t="s">
        <v>4153</v>
      </c>
      <c r="AA2457" t="s">
        <v>4154</v>
      </c>
      <c r="AB2457" t="s">
        <v>181</v>
      </c>
    </row>
    <row r="2458" spans="1:28" x14ac:dyDescent="0.25">
      <c r="A2458" t="s">
        <v>3985</v>
      </c>
      <c r="B2458" t="s">
        <v>3986</v>
      </c>
      <c r="C2458" t="s">
        <v>646</v>
      </c>
      <c r="D2458" t="s">
        <v>3779</v>
      </c>
      <c r="E2458" t="s">
        <v>647</v>
      </c>
      <c r="F2458" t="s">
        <v>3780</v>
      </c>
      <c r="G2458" t="s">
        <v>769</v>
      </c>
      <c r="H2458" t="s">
        <v>797</v>
      </c>
      <c r="I2458" t="s">
        <v>3987</v>
      </c>
      <c r="J2458" t="s">
        <v>3988</v>
      </c>
      <c r="K2458" t="s">
        <v>166</v>
      </c>
      <c r="L2458" t="s">
        <v>0</v>
      </c>
      <c r="M2458" t="s">
        <v>178</v>
      </c>
      <c r="N2458">
        <v>151</v>
      </c>
      <c r="O2458">
        <v>23</v>
      </c>
      <c r="P2458">
        <v>1552.44</v>
      </c>
      <c r="Q2458">
        <v>7636</v>
      </c>
      <c r="R2458">
        <v>1271.9790421299999</v>
      </c>
      <c r="S2458">
        <v>203.45013410999999</v>
      </c>
      <c r="T2458">
        <v>-9.5786999999999999E-4</v>
      </c>
      <c r="U2458">
        <v>0</v>
      </c>
      <c r="V2458">
        <v>1271.98</v>
      </c>
      <c r="W2458" t="s">
        <v>3989</v>
      </c>
      <c r="X2458" t="s">
        <v>271</v>
      </c>
      <c r="Y2458" t="s">
        <v>3990</v>
      </c>
      <c r="AA2458" t="s">
        <v>3991</v>
      </c>
      <c r="AB2458" t="s">
        <v>181</v>
      </c>
    </row>
    <row r="2459" spans="1:28" x14ac:dyDescent="0.25">
      <c r="A2459" t="s">
        <v>3929</v>
      </c>
      <c r="B2459" t="s">
        <v>3930</v>
      </c>
      <c r="C2459" t="s">
        <v>646</v>
      </c>
      <c r="D2459" t="s">
        <v>3779</v>
      </c>
      <c r="E2459" t="s">
        <v>647</v>
      </c>
      <c r="F2459" t="s">
        <v>3780</v>
      </c>
      <c r="G2459" t="s">
        <v>769</v>
      </c>
      <c r="H2459" t="s">
        <v>672</v>
      </c>
      <c r="I2459" t="s">
        <v>3649</v>
      </c>
      <c r="J2459" t="s">
        <v>1567</v>
      </c>
      <c r="K2459" t="s">
        <v>166</v>
      </c>
      <c r="L2459" t="s">
        <v>0</v>
      </c>
      <c r="M2459" t="s">
        <v>178</v>
      </c>
      <c r="N2459">
        <v>341</v>
      </c>
      <c r="O2459">
        <v>318</v>
      </c>
      <c r="P2459">
        <v>6370.81</v>
      </c>
      <c r="Q2459">
        <v>14944.43</v>
      </c>
      <c r="R2459">
        <v>3690.8741051299999</v>
      </c>
      <c r="S2459">
        <v>2953.5274425100001</v>
      </c>
      <c r="T2459">
        <v>0.35410512999999999</v>
      </c>
      <c r="U2459">
        <v>0</v>
      </c>
      <c r="V2459">
        <v>3690.52</v>
      </c>
      <c r="W2459" t="s">
        <v>556</v>
      </c>
      <c r="X2459" t="s">
        <v>271</v>
      </c>
      <c r="Y2459" t="s">
        <v>3931</v>
      </c>
      <c r="AA2459" t="s">
        <v>3932</v>
      </c>
      <c r="AB2459" t="s">
        <v>181</v>
      </c>
    </row>
    <row r="2460" spans="1:28" x14ac:dyDescent="0.25">
      <c r="A2460" t="s">
        <v>4308</v>
      </c>
      <c r="B2460" t="s">
        <v>4309</v>
      </c>
      <c r="C2460" t="s">
        <v>646</v>
      </c>
      <c r="D2460" t="s">
        <v>3779</v>
      </c>
      <c r="E2460" t="s">
        <v>647</v>
      </c>
      <c r="F2460" t="s">
        <v>3780</v>
      </c>
      <c r="G2460" t="s">
        <v>769</v>
      </c>
      <c r="H2460" t="s">
        <v>802</v>
      </c>
      <c r="I2460" t="s">
        <v>1184</v>
      </c>
      <c r="J2460" t="s">
        <v>1185</v>
      </c>
      <c r="K2460" t="s">
        <v>166</v>
      </c>
      <c r="L2460" t="s">
        <v>0</v>
      </c>
      <c r="M2460" t="s">
        <v>178</v>
      </c>
      <c r="N2460">
        <v>114.5</v>
      </c>
      <c r="O2460">
        <v>77.75</v>
      </c>
      <c r="P2460">
        <v>1103.24</v>
      </c>
      <c r="Q2460">
        <v>6272.77</v>
      </c>
      <c r="R2460">
        <v>2017.4</v>
      </c>
      <c r="S2460">
        <v>438.35496704000002</v>
      </c>
      <c r="T2460">
        <v>0</v>
      </c>
      <c r="U2460">
        <v>0</v>
      </c>
      <c r="V2460">
        <v>2017.4</v>
      </c>
      <c r="W2460" t="s">
        <v>1186</v>
      </c>
      <c r="X2460" t="s">
        <v>271</v>
      </c>
      <c r="Y2460" t="s">
        <v>4310</v>
      </c>
      <c r="AA2460" t="s">
        <v>4311</v>
      </c>
      <c r="AB2460" t="s">
        <v>181</v>
      </c>
    </row>
    <row r="2461" spans="1:28" x14ac:dyDescent="0.25">
      <c r="A2461" t="s">
        <v>4256</v>
      </c>
      <c r="B2461" t="s">
        <v>4257</v>
      </c>
      <c r="C2461" t="s">
        <v>646</v>
      </c>
      <c r="D2461" t="s">
        <v>3779</v>
      </c>
      <c r="E2461" t="s">
        <v>647</v>
      </c>
      <c r="F2461" t="s">
        <v>3780</v>
      </c>
      <c r="G2461" t="s">
        <v>769</v>
      </c>
      <c r="H2461" t="s">
        <v>802</v>
      </c>
      <c r="I2461" t="s">
        <v>2284</v>
      </c>
      <c r="J2461" t="s">
        <v>2285</v>
      </c>
      <c r="K2461" t="s">
        <v>166</v>
      </c>
      <c r="L2461" t="s">
        <v>0</v>
      </c>
      <c r="M2461" t="s">
        <v>178</v>
      </c>
      <c r="N2461">
        <v>112.08320000000001</v>
      </c>
      <c r="O2461">
        <v>55.333199999999998</v>
      </c>
      <c r="P2461">
        <v>1658.85</v>
      </c>
      <c r="Q2461">
        <v>6879.75</v>
      </c>
      <c r="R2461">
        <v>2558.27</v>
      </c>
      <c r="S2461">
        <v>367.30217281</v>
      </c>
      <c r="T2461">
        <v>0</v>
      </c>
      <c r="U2461">
        <v>0</v>
      </c>
      <c r="V2461">
        <v>2558.27</v>
      </c>
      <c r="W2461" t="s">
        <v>453</v>
      </c>
      <c r="X2461" t="s">
        <v>271</v>
      </c>
      <c r="Y2461" t="s">
        <v>4258</v>
      </c>
      <c r="AA2461" t="s">
        <v>4259</v>
      </c>
      <c r="AB2461" t="s">
        <v>181</v>
      </c>
    </row>
    <row r="2462" spans="1:28" x14ac:dyDescent="0.25">
      <c r="A2462" t="s">
        <v>3925</v>
      </c>
      <c r="B2462" t="s">
        <v>3926</v>
      </c>
      <c r="C2462" t="s">
        <v>646</v>
      </c>
      <c r="D2462" t="s">
        <v>3779</v>
      </c>
      <c r="E2462" t="s">
        <v>647</v>
      </c>
      <c r="F2462" t="s">
        <v>3780</v>
      </c>
      <c r="G2462" t="s">
        <v>769</v>
      </c>
      <c r="H2462" t="s">
        <v>761</v>
      </c>
      <c r="I2462" t="s">
        <v>2284</v>
      </c>
      <c r="J2462" t="s">
        <v>2285</v>
      </c>
      <c r="K2462" t="s">
        <v>166</v>
      </c>
      <c r="L2462" t="s">
        <v>0</v>
      </c>
      <c r="M2462" t="s">
        <v>178</v>
      </c>
      <c r="N2462">
        <v>110</v>
      </c>
      <c r="O2462">
        <v>92</v>
      </c>
      <c r="P2462">
        <v>2876.55</v>
      </c>
      <c r="Q2462">
        <v>4784.9399999999996</v>
      </c>
      <c r="R2462">
        <v>1554.27</v>
      </c>
      <c r="S2462">
        <v>781.16478586000005</v>
      </c>
      <c r="T2462">
        <v>0</v>
      </c>
      <c r="U2462">
        <v>0</v>
      </c>
      <c r="V2462">
        <v>1554.27</v>
      </c>
      <c r="W2462" t="s">
        <v>453</v>
      </c>
      <c r="X2462" t="s">
        <v>271</v>
      </c>
      <c r="Y2462" t="s">
        <v>3927</v>
      </c>
      <c r="AA2462" t="s">
        <v>3928</v>
      </c>
      <c r="AB2462" t="s">
        <v>181</v>
      </c>
    </row>
    <row r="2463" spans="1:28" x14ac:dyDescent="0.25">
      <c r="A2463" t="s">
        <v>4151</v>
      </c>
      <c r="B2463" t="s">
        <v>4152</v>
      </c>
      <c r="C2463" t="s">
        <v>646</v>
      </c>
      <c r="D2463" t="s">
        <v>3779</v>
      </c>
      <c r="E2463" t="s">
        <v>647</v>
      </c>
      <c r="F2463" t="s">
        <v>666</v>
      </c>
      <c r="G2463" t="s">
        <v>666</v>
      </c>
      <c r="H2463" t="s">
        <v>713</v>
      </c>
      <c r="I2463" t="s">
        <v>765</v>
      </c>
      <c r="J2463" t="s">
        <v>436</v>
      </c>
      <c r="K2463" t="s">
        <v>166</v>
      </c>
      <c r="L2463" t="s">
        <v>0</v>
      </c>
      <c r="M2463" t="s">
        <v>178</v>
      </c>
      <c r="N2463">
        <v>229.16669999999999</v>
      </c>
      <c r="O2463">
        <v>1.1667000000000001</v>
      </c>
      <c r="P2463">
        <v>4798.2</v>
      </c>
      <c r="Q2463">
        <v>4327.5200000000004</v>
      </c>
      <c r="R2463">
        <v>827.51</v>
      </c>
      <c r="S2463">
        <v>169.17600611</v>
      </c>
      <c r="T2463">
        <v>5.6</v>
      </c>
      <c r="U2463">
        <v>0</v>
      </c>
      <c r="V2463">
        <v>821.91</v>
      </c>
      <c r="W2463" t="s">
        <v>0</v>
      </c>
      <c r="X2463" t="s">
        <v>271</v>
      </c>
      <c r="Y2463" t="s">
        <v>4153</v>
      </c>
      <c r="AA2463" t="s">
        <v>4154</v>
      </c>
      <c r="AB2463" t="s">
        <v>181</v>
      </c>
    </row>
    <row r="2464" spans="1:28" x14ac:dyDescent="0.25">
      <c r="A2464" t="s">
        <v>3793</v>
      </c>
      <c r="B2464" t="s">
        <v>3794</v>
      </c>
      <c r="C2464" t="s">
        <v>646</v>
      </c>
      <c r="D2464" t="s">
        <v>3779</v>
      </c>
      <c r="E2464" t="s">
        <v>647</v>
      </c>
      <c r="F2464" t="s">
        <v>666</v>
      </c>
      <c r="G2464" t="s">
        <v>666</v>
      </c>
      <c r="H2464" t="s">
        <v>797</v>
      </c>
      <c r="I2464" t="s">
        <v>1712</v>
      </c>
      <c r="J2464" t="s">
        <v>335</v>
      </c>
      <c r="K2464" t="s">
        <v>166</v>
      </c>
      <c r="L2464" t="s">
        <v>0</v>
      </c>
      <c r="M2464" t="s">
        <v>178</v>
      </c>
      <c r="N2464">
        <v>780</v>
      </c>
      <c r="O2464">
        <v>499</v>
      </c>
      <c r="P2464">
        <v>7864.81</v>
      </c>
      <c r="Q2464">
        <v>29003.93</v>
      </c>
      <c r="R2464">
        <v>7619.5145497499998</v>
      </c>
      <c r="S2464">
        <v>3851.6007967599999</v>
      </c>
      <c r="T2464">
        <v>0.16454974999999999</v>
      </c>
      <c r="U2464">
        <v>0</v>
      </c>
      <c r="V2464">
        <v>7619.35</v>
      </c>
      <c r="W2464" t="s">
        <v>572</v>
      </c>
      <c r="X2464" t="s">
        <v>271</v>
      </c>
      <c r="Y2464" t="s">
        <v>3795</v>
      </c>
      <c r="AA2464" t="s">
        <v>3796</v>
      </c>
      <c r="AB2464" t="s">
        <v>181</v>
      </c>
    </row>
    <row r="2465" spans="1:28" x14ac:dyDescent="0.25">
      <c r="A2465" t="s">
        <v>4265</v>
      </c>
      <c r="B2465" t="s">
        <v>4266</v>
      </c>
      <c r="C2465" t="s">
        <v>646</v>
      </c>
      <c r="D2465" t="s">
        <v>3779</v>
      </c>
      <c r="E2465" t="s">
        <v>647</v>
      </c>
      <c r="F2465" t="s">
        <v>666</v>
      </c>
      <c r="G2465" t="s">
        <v>666</v>
      </c>
      <c r="H2465" t="s">
        <v>1171</v>
      </c>
      <c r="I2465" t="s">
        <v>4267</v>
      </c>
      <c r="J2465" t="s">
        <v>326</v>
      </c>
      <c r="K2465" t="s">
        <v>166</v>
      </c>
      <c r="L2465" t="s">
        <v>0</v>
      </c>
      <c r="M2465" t="s">
        <v>178</v>
      </c>
      <c r="N2465">
        <v>51</v>
      </c>
      <c r="O2465">
        <v>23</v>
      </c>
      <c r="P2465">
        <v>1431.13</v>
      </c>
      <c r="Q2465">
        <v>7636.35</v>
      </c>
      <c r="R2465">
        <v>367.46</v>
      </c>
      <c r="S2465">
        <v>194.69457141999999</v>
      </c>
      <c r="T2465">
        <v>0</v>
      </c>
      <c r="U2465">
        <v>0</v>
      </c>
      <c r="V2465">
        <v>367.46</v>
      </c>
      <c r="W2465" t="s">
        <v>450</v>
      </c>
      <c r="X2465" t="s">
        <v>271</v>
      </c>
      <c r="Y2465" t="s">
        <v>4268</v>
      </c>
      <c r="AA2465" t="s">
        <v>4269</v>
      </c>
      <c r="AB2465" t="s">
        <v>181</v>
      </c>
    </row>
    <row r="2466" spans="1:28" x14ac:dyDescent="0.25">
      <c r="A2466" t="s">
        <v>3857</v>
      </c>
      <c r="B2466" t="s">
        <v>3858</v>
      </c>
      <c r="C2466" t="s">
        <v>646</v>
      </c>
      <c r="D2466" t="s">
        <v>3779</v>
      </c>
      <c r="E2466" t="s">
        <v>647</v>
      </c>
      <c r="F2466" t="s">
        <v>3780</v>
      </c>
      <c r="G2466" t="s">
        <v>769</v>
      </c>
      <c r="H2466" t="s">
        <v>1045</v>
      </c>
      <c r="I2466" t="s">
        <v>952</v>
      </c>
      <c r="J2466" t="s">
        <v>434</v>
      </c>
      <c r="K2466" t="s">
        <v>166</v>
      </c>
      <c r="L2466" t="s">
        <v>0</v>
      </c>
      <c r="M2466" t="s">
        <v>178</v>
      </c>
      <c r="N2466">
        <v>182</v>
      </c>
      <c r="O2466">
        <v>100</v>
      </c>
      <c r="P2466">
        <v>2082.62</v>
      </c>
      <c r="Q2466">
        <v>24982.09</v>
      </c>
      <c r="R2466">
        <v>2287.27</v>
      </c>
      <c r="S2466">
        <v>751.91095902999996</v>
      </c>
      <c r="T2466">
        <v>0</v>
      </c>
      <c r="U2466">
        <v>0</v>
      </c>
      <c r="V2466">
        <v>2287.27</v>
      </c>
      <c r="W2466" t="s">
        <v>466</v>
      </c>
      <c r="X2466" t="s">
        <v>271</v>
      </c>
      <c r="Y2466" t="s">
        <v>3859</v>
      </c>
      <c r="AA2466" t="s">
        <v>3860</v>
      </c>
      <c r="AB2466" t="s">
        <v>181</v>
      </c>
    </row>
    <row r="2467" spans="1:28" x14ac:dyDescent="0.25">
      <c r="A2467" t="s">
        <v>3777</v>
      </c>
      <c r="B2467" t="s">
        <v>3778</v>
      </c>
      <c r="C2467" t="s">
        <v>646</v>
      </c>
      <c r="D2467" t="s">
        <v>3779</v>
      </c>
      <c r="E2467" t="s">
        <v>647</v>
      </c>
      <c r="F2467" t="s">
        <v>3780</v>
      </c>
      <c r="G2467" t="s">
        <v>769</v>
      </c>
      <c r="H2467" t="s">
        <v>1045</v>
      </c>
      <c r="I2467" t="s">
        <v>798</v>
      </c>
      <c r="J2467" t="s">
        <v>524</v>
      </c>
      <c r="K2467" t="s">
        <v>166</v>
      </c>
      <c r="L2467" t="s">
        <v>0</v>
      </c>
      <c r="M2467" t="s">
        <v>178</v>
      </c>
      <c r="N2467">
        <v>38.5</v>
      </c>
      <c r="O2467">
        <v>28.5</v>
      </c>
      <c r="P2467">
        <v>448.1</v>
      </c>
      <c r="Q2467">
        <v>4180.18</v>
      </c>
      <c r="R2467">
        <v>598.38</v>
      </c>
      <c r="S2467">
        <v>232.64502859000001</v>
      </c>
      <c r="T2467">
        <v>0</v>
      </c>
      <c r="U2467">
        <v>0</v>
      </c>
      <c r="V2467">
        <v>598.38</v>
      </c>
      <c r="W2467" t="s">
        <v>258</v>
      </c>
      <c r="X2467" t="s">
        <v>271</v>
      </c>
      <c r="Y2467" t="s">
        <v>3781</v>
      </c>
      <c r="AA2467" t="s">
        <v>3782</v>
      </c>
      <c r="AB2467" t="s">
        <v>181</v>
      </c>
    </row>
    <row r="2468" spans="1:28" x14ac:dyDescent="0.25">
      <c r="A2468" t="s">
        <v>3783</v>
      </c>
      <c r="B2468" t="s">
        <v>3784</v>
      </c>
      <c r="C2468" t="s">
        <v>646</v>
      </c>
      <c r="D2468" t="s">
        <v>3779</v>
      </c>
      <c r="E2468" t="s">
        <v>647</v>
      </c>
      <c r="F2468" t="s">
        <v>666</v>
      </c>
      <c r="G2468" t="s">
        <v>666</v>
      </c>
      <c r="H2468" t="s">
        <v>703</v>
      </c>
      <c r="I2468" t="s">
        <v>3785</v>
      </c>
      <c r="J2468" t="s">
        <v>432</v>
      </c>
      <c r="K2468" t="s">
        <v>166</v>
      </c>
      <c r="L2468" t="s">
        <v>0</v>
      </c>
      <c r="M2468" t="s">
        <v>178</v>
      </c>
      <c r="N2468">
        <v>62</v>
      </c>
      <c r="O2468">
        <v>25</v>
      </c>
      <c r="P2468">
        <v>1630.37</v>
      </c>
      <c r="Q2468">
        <v>2316.48</v>
      </c>
      <c r="R2468">
        <v>547.47588313000006</v>
      </c>
      <c r="S2468">
        <v>303.36701253000001</v>
      </c>
      <c r="T2468">
        <v>0.20588313</v>
      </c>
      <c r="U2468">
        <v>0</v>
      </c>
      <c r="V2468">
        <v>547.27</v>
      </c>
      <c r="W2468" t="s">
        <v>0</v>
      </c>
      <c r="X2468" t="s">
        <v>271</v>
      </c>
      <c r="Y2468" t="s">
        <v>3786</v>
      </c>
      <c r="AA2468" t="s">
        <v>3787</v>
      </c>
      <c r="AB2468" t="s">
        <v>181</v>
      </c>
    </row>
    <row r="2469" spans="1:28" x14ac:dyDescent="0.25">
      <c r="A2469" t="s">
        <v>3969</v>
      </c>
      <c r="B2469" t="s">
        <v>3970</v>
      </c>
      <c r="C2469" t="s">
        <v>646</v>
      </c>
      <c r="D2469" t="s">
        <v>3779</v>
      </c>
      <c r="E2469" t="s">
        <v>647</v>
      </c>
      <c r="F2469" t="s">
        <v>3780</v>
      </c>
      <c r="G2469" t="s">
        <v>769</v>
      </c>
      <c r="H2469" t="s">
        <v>703</v>
      </c>
      <c r="I2469" t="s">
        <v>1518</v>
      </c>
      <c r="J2469" t="s">
        <v>1519</v>
      </c>
      <c r="K2469" t="s">
        <v>166</v>
      </c>
      <c r="L2469" t="s">
        <v>0</v>
      </c>
      <c r="M2469" t="s">
        <v>178</v>
      </c>
      <c r="N2469">
        <v>339.5</v>
      </c>
      <c r="O2469">
        <v>70.5</v>
      </c>
      <c r="P2469">
        <v>3780.04</v>
      </c>
      <c r="Q2469">
        <v>12365.19</v>
      </c>
      <c r="R2469">
        <v>2200.9155553700002</v>
      </c>
      <c r="S2469">
        <v>2064.8249020899998</v>
      </c>
      <c r="T2469">
        <v>-0.54444462999999998</v>
      </c>
      <c r="U2469">
        <v>0</v>
      </c>
      <c r="V2469">
        <v>2201.46</v>
      </c>
      <c r="W2469" t="s">
        <v>1485</v>
      </c>
      <c r="X2469" t="s">
        <v>271</v>
      </c>
      <c r="Y2469" t="s">
        <v>3971</v>
      </c>
      <c r="AA2469" t="s">
        <v>3972</v>
      </c>
      <c r="AB2469" t="s">
        <v>181</v>
      </c>
    </row>
    <row r="2470" spans="1:28" x14ac:dyDescent="0.25">
      <c r="A2470" t="s">
        <v>4179</v>
      </c>
      <c r="B2470" t="s">
        <v>4180</v>
      </c>
      <c r="C2470" t="s">
        <v>646</v>
      </c>
      <c r="D2470" t="s">
        <v>3779</v>
      </c>
      <c r="E2470" t="s">
        <v>647</v>
      </c>
      <c r="F2470" t="s">
        <v>3780</v>
      </c>
      <c r="G2470" t="s">
        <v>769</v>
      </c>
      <c r="H2470" t="s">
        <v>1045</v>
      </c>
      <c r="I2470" t="s">
        <v>4181</v>
      </c>
      <c r="J2470" t="s">
        <v>816</v>
      </c>
      <c r="K2470" t="s">
        <v>166</v>
      </c>
      <c r="L2470" t="s">
        <v>0</v>
      </c>
      <c r="M2470" t="s">
        <v>178</v>
      </c>
      <c r="N2470">
        <v>74</v>
      </c>
      <c r="O2470">
        <v>70</v>
      </c>
      <c r="P2470">
        <v>921.4</v>
      </c>
      <c r="Q2470">
        <v>8874.7099999999991</v>
      </c>
      <c r="R2470">
        <v>959.67</v>
      </c>
      <c r="S2470">
        <v>609.15682826</v>
      </c>
      <c r="T2470">
        <v>0</v>
      </c>
      <c r="U2470">
        <v>0</v>
      </c>
      <c r="V2470">
        <v>959.67</v>
      </c>
      <c r="W2470" t="s">
        <v>1490</v>
      </c>
      <c r="X2470" t="s">
        <v>271</v>
      </c>
      <c r="Y2470" t="s">
        <v>4182</v>
      </c>
      <c r="AA2470" t="s">
        <v>4183</v>
      </c>
      <c r="AB2470" t="s">
        <v>181</v>
      </c>
    </row>
    <row r="2471" spans="1:28" x14ac:dyDescent="0.25">
      <c r="A2471" t="s">
        <v>3814</v>
      </c>
      <c r="B2471" t="s">
        <v>3815</v>
      </c>
      <c r="C2471" t="s">
        <v>646</v>
      </c>
      <c r="D2471" t="s">
        <v>3779</v>
      </c>
      <c r="E2471" t="s">
        <v>647</v>
      </c>
      <c r="F2471" t="s">
        <v>3780</v>
      </c>
      <c r="G2471" t="s">
        <v>769</v>
      </c>
      <c r="H2471" t="s">
        <v>770</v>
      </c>
      <c r="I2471" t="s">
        <v>3816</v>
      </c>
      <c r="J2471" t="s">
        <v>548</v>
      </c>
      <c r="K2471" t="s">
        <v>166</v>
      </c>
      <c r="L2471" t="s">
        <v>0</v>
      </c>
      <c r="M2471" t="s">
        <v>178</v>
      </c>
      <c r="N2471">
        <v>5</v>
      </c>
      <c r="O2471">
        <v>3</v>
      </c>
      <c r="P2471">
        <v>34.25</v>
      </c>
      <c r="Q2471">
        <v>69.61</v>
      </c>
      <c r="R2471">
        <v>-4.3499999999999996</v>
      </c>
      <c r="S2471">
        <v>12.251021</v>
      </c>
      <c r="T2471">
        <v>0</v>
      </c>
      <c r="U2471">
        <v>0</v>
      </c>
      <c r="V2471">
        <v>-4.3499999999999996</v>
      </c>
      <c r="W2471" t="s">
        <v>241</v>
      </c>
      <c r="X2471" t="s">
        <v>271</v>
      </c>
      <c r="Y2471" t="s">
        <v>3817</v>
      </c>
      <c r="AA2471" t="s">
        <v>3818</v>
      </c>
      <c r="AB2471" t="s">
        <v>181</v>
      </c>
    </row>
    <row r="2472" spans="1:28" x14ac:dyDescent="0.25">
      <c r="A2472" t="s">
        <v>4275</v>
      </c>
      <c r="B2472" t="s">
        <v>4276</v>
      </c>
      <c r="C2472" t="s">
        <v>646</v>
      </c>
      <c r="D2472" t="s">
        <v>3779</v>
      </c>
      <c r="E2472" t="s">
        <v>647</v>
      </c>
      <c r="F2472" t="s">
        <v>3780</v>
      </c>
      <c r="G2472" t="s">
        <v>769</v>
      </c>
      <c r="H2472" t="s">
        <v>1045</v>
      </c>
      <c r="I2472" t="s">
        <v>4277</v>
      </c>
      <c r="J2472" t="s">
        <v>562</v>
      </c>
      <c r="K2472" t="s">
        <v>166</v>
      </c>
      <c r="L2472" t="s">
        <v>0</v>
      </c>
      <c r="M2472" t="s">
        <v>178</v>
      </c>
      <c r="N2472">
        <v>16</v>
      </c>
      <c r="O2472">
        <v>12</v>
      </c>
      <c r="P2472">
        <v>640</v>
      </c>
      <c r="Q2472">
        <v>5795.15</v>
      </c>
      <c r="R2472">
        <v>397.78</v>
      </c>
      <c r="S2472">
        <v>90.26</v>
      </c>
      <c r="T2472">
        <v>0</v>
      </c>
      <c r="U2472">
        <v>0</v>
      </c>
      <c r="V2472">
        <v>397.78</v>
      </c>
      <c r="W2472" t="s">
        <v>0</v>
      </c>
      <c r="X2472" t="s">
        <v>271</v>
      </c>
      <c r="Y2472" t="s">
        <v>4278</v>
      </c>
      <c r="AA2472" t="s">
        <v>4279</v>
      </c>
      <c r="AB2472" t="s">
        <v>181</v>
      </c>
    </row>
    <row r="2473" spans="1:28" x14ac:dyDescent="0.25">
      <c r="A2473" t="s">
        <v>4127</v>
      </c>
      <c r="B2473" t="s">
        <v>4128</v>
      </c>
      <c r="C2473" t="s">
        <v>646</v>
      </c>
      <c r="D2473" t="s">
        <v>3779</v>
      </c>
      <c r="E2473" t="s">
        <v>647</v>
      </c>
      <c r="F2473" t="s">
        <v>3780</v>
      </c>
      <c r="G2473" t="s">
        <v>769</v>
      </c>
      <c r="H2473" t="s">
        <v>1045</v>
      </c>
      <c r="I2473" t="s">
        <v>4129</v>
      </c>
      <c r="J2473" t="s">
        <v>2057</v>
      </c>
      <c r="K2473" t="s">
        <v>166</v>
      </c>
      <c r="L2473" t="s">
        <v>0</v>
      </c>
      <c r="M2473" t="s">
        <v>178</v>
      </c>
      <c r="N2473">
        <v>47</v>
      </c>
      <c r="O2473">
        <v>30</v>
      </c>
      <c r="P2473">
        <v>397.25</v>
      </c>
      <c r="Q2473">
        <v>3480.57</v>
      </c>
      <c r="R2473">
        <v>373.7</v>
      </c>
      <c r="S2473">
        <v>469.70366925000002</v>
      </c>
      <c r="T2473">
        <v>0</v>
      </c>
      <c r="U2473">
        <v>0</v>
      </c>
      <c r="V2473">
        <v>373.7</v>
      </c>
      <c r="W2473" t="s">
        <v>2058</v>
      </c>
      <c r="X2473" t="s">
        <v>271</v>
      </c>
      <c r="Y2473" t="s">
        <v>4130</v>
      </c>
      <c r="AA2473" t="s">
        <v>4131</v>
      </c>
      <c r="AB2473" t="s">
        <v>181</v>
      </c>
    </row>
    <row r="2474" spans="1:28" x14ac:dyDescent="0.25">
      <c r="A2474" t="s">
        <v>4256</v>
      </c>
      <c r="B2474" t="s">
        <v>4257</v>
      </c>
      <c r="C2474" t="s">
        <v>646</v>
      </c>
      <c r="D2474" t="s">
        <v>3779</v>
      </c>
      <c r="E2474" t="s">
        <v>647</v>
      </c>
      <c r="F2474" t="s">
        <v>3780</v>
      </c>
      <c r="G2474" t="s">
        <v>769</v>
      </c>
      <c r="H2474" t="s">
        <v>713</v>
      </c>
      <c r="I2474" t="s">
        <v>2284</v>
      </c>
      <c r="J2474" t="s">
        <v>2285</v>
      </c>
      <c r="K2474" t="s">
        <v>166</v>
      </c>
      <c r="L2474" t="s">
        <v>0</v>
      </c>
      <c r="M2474" t="s">
        <v>178</v>
      </c>
      <c r="N2474">
        <v>171</v>
      </c>
      <c r="O2474">
        <v>3</v>
      </c>
      <c r="P2474">
        <v>3842.85</v>
      </c>
      <c r="Q2474">
        <v>3300.32</v>
      </c>
      <c r="R2474">
        <v>623.30999999999995</v>
      </c>
      <c r="S2474">
        <v>123.46350853</v>
      </c>
      <c r="T2474">
        <v>2.8</v>
      </c>
      <c r="U2474">
        <v>0</v>
      </c>
      <c r="V2474">
        <v>620.51</v>
      </c>
      <c r="W2474" t="s">
        <v>453</v>
      </c>
      <c r="X2474" t="s">
        <v>271</v>
      </c>
      <c r="Y2474" t="s">
        <v>4258</v>
      </c>
      <c r="AA2474" t="s">
        <v>4259</v>
      </c>
      <c r="AB2474" t="s">
        <v>181</v>
      </c>
    </row>
    <row r="2475" spans="1:28" x14ac:dyDescent="0.25">
      <c r="A2475" t="s">
        <v>3823</v>
      </c>
      <c r="B2475" t="s">
        <v>3824</v>
      </c>
      <c r="C2475" t="s">
        <v>646</v>
      </c>
      <c r="D2475" t="s">
        <v>3779</v>
      </c>
      <c r="E2475" t="s">
        <v>647</v>
      </c>
      <c r="F2475" t="s">
        <v>3780</v>
      </c>
      <c r="G2475" t="s">
        <v>769</v>
      </c>
      <c r="H2475" t="s">
        <v>649</v>
      </c>
      <c r="I2475" t="s">
        <v>1801</v>
      </c>
      <c r="J2475" t="s">
        <v>437</v>
      </c>
      <c r="K2475" t="s">
        <v>166</v>
      </c>
      <c r="L2475" t="s">
        <v>0</v>
      </c>
      <c r="M2475" t="s">
        <v>178</v>
      </c>
      <c r="N2475">
        <v>77</v>
      </c>
      <c r="O2475">
        <v>69</v>
      </c>
      <c r="P2475">
        <v>2268.62</v>
      </c>
      <c r="Q2475">
        <v>5171.58</v>
      </c>
      <c r="R2475">
        <v>337.33</v>
      </c>
      <c r="S2475">
        <v>288.64910644999998</v>
      </c>
      <c r="T2475">
        <v>0</v>
      </c>
      <c r="U2475">
        <v>0</v>
      </c>
      <c r="V2475">
        <v>337.33</v>
      </c>
      <c r="W2475" t="s">
        <v>510</v>
      </c>
      <c r="X2475" t="s">
        <v>271</v>
      </c>
      <c r="Y2475" t="s">
        <v>3825</v>
      </c>
      <c r="AA2475" t="s">
        <v>3826</v>
      </c>
      <c r="AB2475" t="s">
        <v>181</v>
      </c>
    </row>
    <row r="2476" spans="1:28" x14ac:dyDescent="0.25">
      <c r="A2476" t="s">
        <v>4147</v>
      </c>
      <c r="B2476" t="s">
        <v>4148</v>
      </c>
      <c r="C2476" t="s">
        <v>646</v>
      </c>
      <c r="D2476" t="s">
        <v>3779</v>
      </c>
      <c r="E2476" t="s">
        <v>647</v>
      </c>
      <c r="F2476" t="s">
        <v>3780</v>
      </c>
      <c r="G2476" t="s">
        <v>769</v>
      </c>
      <c r="H2476" t="s">
        <v>672</v>
      </c>
      <c r="I2476" t="s">
        <v>1301</v>
      </c>
      <c r="J2476" t="s">
        <v>1302</v>
      </c>
      <c r="K2476" t="s">
        <v>166</v>
      </c>
      <c r="L2476" t="s">
        <v>0</v>
      </c>
      <c r="M2476" t="s">
        <v>178</v>
      </c>
      <c r="N2476">
        <v>162</v>
      </c>
      <c r="O2476">
        <v>118</v>
      </c>
      <c r="P2476">
        <v>2181.6999999999998</v>
      </c>
      <c r="Q2476">
        <v>7922.58</v>
      </c>
      <c r="R2476">
        <v>1340.7443707</v>
      </c>
      <c r="S2476">
        <v>2056.62284159</v>
      </c>
      <c r="T2476">
        <v>2.9443706999999999</v>
      </c>
      <c r="U2476">
        <v>0</v>
      </c>
      <c r="V2476">
        <v>1337.8</v>
      </c>
      <c r="W2476" t="s">
        <v>1303</v>
      </c>
      <c r="X2476" t="s">
        <v>269</v>
      </c>
      <c r="Y2476" t="s">
        <v>4149</v>
      </c>
      <c r="AA2476" t="s">
        <v>4150</v>
      </c>
      <c r="AB2476" t="s">
        <v>181</v>
      </c>
    </row>
    <row r="2477" spans="1:28" x14ac:dyDescent="0.25">
      <c r="A2477" t="s">
        <v>4123</v>
      </c>
      <c r="B2477" t="s">
        <v>4124</v>
      </c>
      <c r="C2477" t="s">
        <v>646</v>
      </c>
      <c r="D2477" t="s">
        <v>3779</v>
      </c>
      <c r="E2477" t="s">
        <v>647</v>
      </c>
      <c r="F2477" t="s">
        <v>3780</v>
      </c>
      <c r="G2477" t="s">
        <v>769</v>
      </c>
      <c r="H2477" t="s">
        <v>797</v>
      </c>
      <c r="I2477" t="s">
        <v>746</v>
      </c>
      <c r="J2477" t="s">
        <v>504</v>
      </c>
      <c r="K2477" t="s">
        <v>166</v>
      </c>
      <c r="L2477" t="s">
        <v>0</v>
      </c>
      <c r="M2477" t="s">
        <v>178</v>
      </c>
      <c r="N2477">
        <v>504</v>
      </c>
      <c r="O2477">
        <v>31</v>
      </c>
      <c r="P2477">
        <v>3211.22</v>
      </c>
      <c r="Q2477">
        <v>8992.18</v>
      </c>
      <c r="R2477">
        <v>722.44773328999997</v>
      </c>
      <c r="S2477">
        <v>674.61652511</v>
      </c>
      <c r="T2477">
        <v>1.7733289999999999E-2</v>
      </c>
      <c r="U2477">
        <v>0</v>
      </c>
      <c r="V2477">
        <v>722.43</v>
      </c>
      <c r="W2477" t="s">
        <v>503</v>
      </c>
      <c r="X2477" t="s">
        <v>271</v>
      </c>
      <c r="Y2477" t="s">
        <v>4125</v>
      </c>
      <c r="AA2477" t="s">
        <v>4126</v>
      </c>
      <c r="AB2477" t="s">
        <v>181</v>
      </c>
    </row>
    <row r="2478" spans="1:28" x14ac:dyDescent="0.25">
      <c r="A2478" t="s">
        <v>4159</v>
      </c>
      <c r="B2478" t="s">
        <v>257</v>
      </c>
      <c r="C2478" t="s">
        <v>646</v>
      </c>
      <c r="D2478" t="s">
        <v>3779</v>
      </c>
      <c r="E2478" t="s">
        <v>647</v>
      </c>
      <c r="F2478" t="s">
        <v>3780</v>
      </c>
      <c r="G2478" t="s">
        <v>769</v>
      </c>
      <c r="H2478" t="s">
        <v>713</v>
      </c>
      <c r="I2478" t="s">
        <v>673</v>
      </c>
      <c r="J2478" t="s">
        <v>674</v>
      </c>
      <c r="K2478" t="s">
        <v>166</v>
      </c>
      <c r="L2478" t="s">
        <v>0</v>
      </c>
      <c r="M2478" t="s">
        <v>178</v>
      </c>
      <c r="N2478">
        <v>44.333500000000001</v>
      </c>
      <c r="O2478">
        <v>3.3334999999999999</v>
      </c>
      <c r="P2478">
        <v>1147.4100000000001</v>
      </c>
      <c r="Q2478">
        <v>420.99</v>
      </c>
      <c r="R2478">
        <v>105.3</v>
      </c>
      <c r="S2478">
        <v>71.391796099999993</v>
      </c>
      <c r="T2478">
        <v>0</v>
      </c>
      <c r="U2478">
        <v>0</v>
      </c>
      <c r="V2478">
        <v>105.3</v>
      </c>
      <c r="W2478" t="s">
        <v>675</v>
      </c>
      <c r="X2478" t="s">
        <v>271</v>
      </c>
      <c r="Y2478" t="s">
        <v>4160</v>
      </c>
      <c r="AA2478" t="s">
        <v>4161</v>
      </c>
      <c r="AB2478" t="s">
        <v>181</v>
      </c>
    </row>
    <row r="2479" spans="1:28" x14ac:dyDescent="0.25">
      <c r="A2479" t="s">
        <v>3895</v>
      </c>
      <c r="B2479" t="s">
        <v>3896</v>
      </c>
      <c r="C2479" t="s">
        <v>646</v>
      </c>
      <c r="D2479" t="s">
        <v>3779</v>
      </c>
      <c r="E2479" t="s">
        <v>647</v>
      </c>
      <c r="F2479" t="s">
        <v>3780</v>
      </c>
      <c r="G2479" t="s">
        <v>769</v>
      </c>
      <c r="H2479" t="s">
        <v>1045</v>
      </c>
      <c r="I2479" t="s">
        <v>3897</v>
      </c>
      <c r="J2479" t="s">
        <v>437</v>
      </c>
      <c r="K2479" t="s">
        <v>166</v>
      </c>
      <c r="L2479" t="s">
        <v>0</v>
      </c>
      <c r="M2479" t="s">
        <v>178</v>
      </c>
      <c r="N2479">
        <v>67</v>
      </c>
      <c r="O2479">
        <v>67</v>
      </c>
      <c r="P2479">
        <v>676</v>
      </c>
      <c r="Q2479">
        <v>5308.05</v>
      </c>
      <c r="R2479">
        <v>172.86</v>
      </c>
      <c r="S2479">
        <v>742.17288573999997</v>
      </c>
      <c r="T2479">
        <v>0</v>
      </c>
      <c r="U2479">
        <v>0</v>
      </c>
      <c r="V2479">
        <v>172.86</v>
      </c>
      <c r="W2479" t="s">
        <v>510</v>
      </c>
      <c r="X2479" t="s">
        <v>271</v>
      </c>
      <c r="Y2479" t="s">
        <v>3898</v>
      </c>
      <c r="AA2479" t="s">
        <v>3899</v>
      </c>
      <c r="AB2479" t="s">
        <v>181</v>
      </c>
    </row>
    <row r="2480" spans="1:28" x14ac:dyDescent="0.25">
      <c r="A2480" t="s">
        <v>4201</v>
      </c>
      <c r="B2480" t="s">
        <v>4202</v>
      </c>
      <c r="C2480" t="s">
        <v>646</v>
      </c>
      <c r="D2480" t="s">
        <v>3779</v>
      </c>
      <c r="E2480" t="s">
        <v>647</v>
      </c>
      <c r="F2480" t="s">
        <v>3780</v>
      </c>
      <c r="G2480" t="s">
        <v>769</v>
      </c>
      <c r="H2480" t="s">
        <v>717</v>
      </c>
      <c r="I2480" t="s">
        <v>4203</v>
      </c>
      <c r="J2480" t="s">
        <v>688</v>
      </c>
      <c r="K2480" t="s">
        <v>166</v>
      </c>
      <c r="L2480" t="s">
        <v>0</v>
      </c>
      <c r="M2480" t="s">
        <v>178</v>
      </c>
      <c r="N2480">
        <v>2</v>
      </c>
      <c r="O2480">
        <v>2</v>
      </c>
      <c r="P2480">
        <v>40</v>
      </c>
      <c r="Q2480">
        <v>116.1</v>
      </c>
      <c r="R2480">
        <v>8.1</v>
      </c>
      <c r="S2480">
        <v>8</v>
      </c>
      <c r="T2480">
        <v>0</v>
      </c>
      <c r="U2480">
        <v>0</v>
      </c>
      <c r="V2480">
        <v>8.1</v>
      </c>
      <c r="W2480" t="s">
        <v>0</v>
      </c>
      <c r="X2480" t="s">
        <v>271</v>
      </c>
      <c r="Y2480" t="s">
        <v>4204</v>
      </c>
      <c r="AA2480" t="s">
        <v>4205</v>
      </c>
      <c r="AB2480" t="s">
        <v>181</v>
      </c>
    </row>
    <row r="2481" spans="1:28" x14ac:dyDescent="0.25">
      <c r="A2481" t="s">
        <v>3861</v>
      </c>
      <c r="B2481" t="s">
        <v>3862</v>
      </c>
      <c r="C2481" t="s">
        <v>646</v>
      </c>
      <c r="D2481" t="s">
        <v>3779</v>
      </c>
      <c r="E2481" t="s">
        <v>647</v>
      </c>
      <c r="F2481" t="s">
        <v>3780</v>
      </c>
      <c r="G2481" t="s">
        <v>769</v>
      </c>
      <c r="H2481" t="s">
        <v>797</v>
      </c>
      <c r="I2481" t="s">
        <v>2065</v>
      </c>
      <c r="J2481" t="s">
        <v>2066</v>
      </c>
      <c r="K2481" t="s">
        <v>166</v>
      </c>
      <c r="L2481" t="s">
        <v>0</v>
      </c>
      <c r="M2481" t="s">
        <v>178</v>
      </c>
      <c r="N2481">
        <v>97</v>
      </c>
      <c r="O2481">
        <v>39</v>
      </c>
      <c r="P2481">
        <v>990.18</v>
      </c>
      <c r="Q2481">
        <v>3195.99</v>
      </c>
      <c r="R2481">
        <v>727.23113866000006</v>
      </c>
      <c r="S2481">
        <v>287.21151900000001</v>
      </c>
      <c r="T2481">
        <v>3.1138659999999999E-2</v>
      </c>
      <c r="U2481">
        <v>0</v>
      </c>
      <c r="V2481">
        <v>727.2</v>
      </c>
      <c r="W2481" t="s">
        <v>2067</v>
      </c>
      <c r="X2481" t="s">
        <v>271</v>
      </c>
      <c r="Y2481" t="s">
        <v>3863</v>
      </c>
      <c r="AA2481" t="s">
        <v>3864</v>
      </c>
      <c r="AB2481" t="s">
        <v>181</v>
      </c>
    </row>
    <row r="2482" spans="1:28" x14ac:dyDescent="0.25">
      <c r="A2482" t="s">
        <v>3877</v>
      </c>
      <c r="B2482" t="s">
        <v>3878</v>
      </c>
      <c r="C2482" t="s">
        <v>646</v>
      </c>
      <c r="D2482" t="s">
        <v>3779</v>
      </c>
      <c r="E2482" t="s">
        <v>647</v>
      </c>
      <c r="F2482" t="s">
        <v>648</v>
      </c>
      <c r="G2482" t="s">
        <v>648</v>
      </c>
      <c r="H2482" t="s">
        <v>802</v>
      </c>
      <c r="I2482" t="s">
        <v>3879</v>
      </c>
      <c r="J2482" t="s">
        <v>3880</v>
      </c>
      <c r="K2482" t="s">
        <v>166</v>
      </c>
      <c r="L2482" t="s">
        <v>0</v>
      </c>
      <c r="M2482" t="s">
        <v>178</v>
      </c>
      <c r="N2482">
        <v>6</v>
      </c>
      <c r="O2482">
        <v>3</v>
      </c>
      <c r="P2482">
        <v>50.36</v>
      </c>
      <c r="Q2482">
        <v>336.35</v>
      </c>
      <c r="R2482">
        <v>50.83</v>
      </c>
      <c r="S2482">
        <v>40.81359295</v>
      </c>
      <c r="T2482">
        <v>0</v>
      </c>
      <c r="U2482">
        <v>0</v>
      </c>
      <c r="V2482">
        <v>50.83</v>
      </c>
      <c r="W2482" t="s">
        <v>1079</v>
      </c>
      <c r="X2482" t="s">
        <v>271</v>
      </c>
      <c r="Y2482" t="s">
        <v>3881</v>
      </c>
      <c r="AA2482" t="s">
        <v>3882</v>
      </c>
      <c r="AB2482" t="s">
        <v>181</v>
      </c>
    </row>
    <row r="2483" spans="1:28" x14ac:dyDescent="0.25">
      <c r="A2483" t="s">
        <v>3853</v>
      </c>
      <c r="B2483" t="s">
        <v>3854</v>
      </c>
      <c r="C2483" t="s">
        <v>646</v>
      </c>
      <c r="D2483" t="s">
        <v>3779</v>
      </c>
      <c r="E2483" t="s">
        <v>647</v>
      </c>
      <c r="F2483" t="s">
        <v>3780</v>
      </c>
      <c r="G2483" t="s">
        <v>769</v>
      </c>
      <c r="H2483" t="s">
        <v>856</v>
      </c>
      <c r="I2483" t="s">
        <v>746</v>
      </c>
      <c r="J2483" t="s">
        <v>504</v>
      </c>
      <c r="K2483" t="s">
        <v>166</v>
      </c>
      <c r="L2483" t="s">
        <v>0</v>
      </c>
      <c r="M2483" t="s">
        <v>178</v>
      </c>
      <c r="N2483">
        <v>93</v>
      </c>
      <c r="O2483">
        <v>2</v>
      </c>
      <c r="P2483">
        <v>2622.49</v>
      </c>
      <c r="Q2483">
        <v>7254.05</v>
      </c>
      <c r="R2483">
        <v>116.9</v>
      </c>
      <c r="S2483">
        <v>65.496420000000001</v>
      </c>
      <c r="T2483">
        <v>0</v>
      </c>
      <c r="U2483">
        <v>0</v>
      </c>
      <c r="V2483">
        <v>116.9</v>
      </c>
      <c r="W2483" t="s">
        <v>503</v>
      </c>
      <c r="X2483" t="s">
        <v>271</v>
      </c>
      <c r="Y2483" t="s">
        <v>3855</v>
      </c>
      <c r="AA2483" t="s">
        <v>3856</v>
      </c>
      <c r="AB2483" t="s">
        <v>181</v>
      </c>
    </row>
    <row r="2484" spans="1:28" x14ac:dyDescent="0.25">
      <c r="A2484" t="s">
        <v>4353</v>
      </c>
      <c r="B2484" t="s">
        <v>4354</v>
      </c>
      <c r="C2484" t="s">
        <v>646</v>
      </c>
      <c r="D2484" t="s">
        <v>3779</v>
      </c>
      <c r="E2484" t="s">
        <v>647</v>
      </c>
      <c r="F2484" t="s">
        <v>3780</v>
      </c>
      <c r="G2484" t="s">
        <v>769</v>
      </c>
      <c r="H2484" t="s">
        <v>1515</v>
      </c>
      <c r="I2484" t="s">
        <v>1160</v>
      </c>
      <c r="J2484" t="s">
        <v>336</v>
      </c>
      <c r="K2484" t="s">
        <v>166</v>
      </c>
      <c r="L2484" t="s">
        <v>0</v>
      </c>
      <c r="M2484" t="s">
        <v>178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 t="s">
        <v>461</v>
      </c>
      <c r="X2484" t="s">
        <v>271</v>
      </c>
      <c r="Y2484" t="s">
        <v>4355</v>
      </c>
      <c r="AA2484" t="s">
        <v>4356</v>
      </c>
      <c r="AB2484" t="s">
        <v>181</v>
      </c>
    </row>
    <row r="2485" spans="1:28" x14ac:dyDescent="0.25">
      <c r="A2485" t="s">
        <v>4074</v>
      </c>
      <c r="B2485" t="s">
        <v>4075</v>
      </c>
      <c r="C2485" t="s">
        <v>646</v>
      </c>
      <c r="D2485" t="s">
        <v>3779</v>
      </c>
      <c r="E2485" t="s">
        <v>647</v>
      </c>
      <c r="F2485" t="s">
        <v>3780</v>
      </c>
      <c r="G2485" t="s">
        <v>769</v>
      </c>
      <c r="H2485" t="s">
        <v>1515</v>
      </c>
      <c r="I2485" t="s">
        <v>1284</v>
      </c>
      <c r="J2485" t="s">
        <v>1285</v>
      </c>
      <c r="K2485" t="s">
        <v>166</v>
      </c>
      <c r="L2485" t="s">
        <v>0</v>
      </c>
      <c r="M2485" t="s">
        <v>178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 t="s">
        <v>1286</v>
      </c>
      <c r="X2485" t="s">
        <v>269</v>
      </c>
      <c r="Y2485" t="s">
        <v>4076</v>
      </c>
      <c r="AA2485" t="s">
        <v>4077</v>
      </c>
      <c r="AB2485" t="s">
        <v>181</v>
      </c>
    </row>
    <row r="2486" spans="1:28" x14ac:dyDescent="0.25">
      <c r="A2486" t="s">
        <v>4240</v>
      </c>
      <c r="B2486" t="s">
        <v>4241</v>
      </c>
      <c r="C2486" t="s">
        <v>646</v>
      </c>
      <c r="D2486" t="s">
        <v>3779</v>
      </c>
      <c r="E2486" t="s">
        <v>647</v>
      </c>
      <c r="F2486" t="s">
        <v>666</v>
      </c>
      <c r="G2486" t="s">
        <v>666</v>
      </c>
      <c r="H2486" t="s">
        <v>1171</v>
      </c>
      <c r="I2486" t="s">
        <v>880</v>
      </c>
      <c r="J2486" t="s">
        <v>881</v>
      </c>
      <c r="K2486" t="s">
        <v>166</v>
      </c>
      <c r="L2486" t="s">
        <v>0</v>
      </c>
      <c r="M2486" t="s">
        <v>178</v>
      </c>
      <c r="N2486">
        <v>2</v>
      </c>
      <c r="O2486">
        <v>0</v>
      </c>
      <c r="P2486">
        <v>62.3</v>
      </c>
      <c r="Q2486">
        <v>155.13</v>
      </c>
      <c r="R2486">
        <v>6.23</v>
      </c>
      <c r="S2486">
        <v>8.6534700000000004</v>
      </c>
      <c r="T2486">
        <v>0</v>
      </c>
      <c r="U2486">
        <v>0</v>
      </c>
      <c r="V2486">
        <v>6.23</v>
      </c>
      <c r="W2486" t="s">
        <v>0</v>
      </c>
      <c r="X2486" t="s">
        <v>271</v>
      </c>
      <c r="Y2486" t="s">
        <v>4242</v>
      </c>
      <c r="AA2486" t="s">
        <v>4243</v>
      </c>
      <c r="AB2486" t="s">
        <v>181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4129D-71DD-4C38-93DB-451267B3B2D2}">
  <sheetPr codeName="Sheet1">
    <tabColor rgb="FF00B050"/>
  </sheetPr>
  <dimension ref="A1:K13"/>
  <sheetViews>
    <sheetView tabSelected="1" workbookViewId="0">
      <selection activeCell="A2" sqref="A2"/>
    </sheetView>
  </sheetViews>
  <sheetFormatPr defaultRowHeight="15" x14ac:dyDescent="0.25"/>
  <cols>
    <col min="1" max="1" width="28" bestFit="1" customWidth="1"/>
    <col min="2" max="2" width="15.140625" bestFit="1" customWidth="1"/>
    <col min="3" max="3" width="13.42578125" bestFit="1" customWidth="1"/>
    <col min="4" max="4" width="15.7109375" bestFit="1" customWidth="1"/>
    <col min="5" max="5" width="17.85546875" bestFit="1" customWidth="1"/>
    <col min="6" max="6" width="17.85546875" customWidth="1"/>
    <col min="7" max="7" width="32.140625" bestFit="1" customWidth="1"/>
    <col min="8" max="8" width="11.85546875" bestFit="1" customWidth="1"/>
    <col min="9" max="9" width="33.85546875" bestFit="1" customWidth="1"/>
    <col min="10" max="10" width="13.85546875" bestFit="1" customWidth="1"/>
    <col min="11" max="11" width="28.85546875" bestFit="1" customWidth="1"/>
    <col min="13" max="13" width="28" bestFit="1" customWidth="1"/>
  </cols>
  <sheetData>
    <row r="1" spans="1:11" x14ac:dyDescent="0.25">
      <c r="A1" s="6" t="s">
        <v>6</v>
      </c>
      <c r="B1" s="7" t="s">
        <v>200</v>
      </c>
      <c r="C1" s="16" t="s">
        <v>202</v>
      </c>
      <c r="D1" s="16" t="s">
        <v>201</v>
      </c>
      <c r="E1" s="16" t="s">
        <v>203</v>
      </c>
      <c r="F1" s="19" t="s">
        <v>204</v>
      </c>
      <c r="G1" s="20" t="s">
        <v>217</v>
      </c>
      <c r="H1" s="3" t="s">
        <v>1</v>
      </c>
      <c r="I1" s="3" t="s">
        <v>77</v>
      </c>
      <c r="K1" s="9" t="s">
        <v>70</v>
      </c>
    </row>
    <row r="2" spans="1:11" x14ac:dyDescent="0.25">
      <c r="A2" t="s">
        <v>0</v>
      </c>
      <c r="B2" s="8" t="str">
        <f>"'"&amp;A2&amp;"'"</f>
        <v>'CHICAGO'</v>
      </c>
      <c r="C2" s="15" t="str">
        <f>IFERROR(VLOOKUP(A2,Markets!A:B,2,0)&amp;" ALC","")</f>
        <v>3Y ALC</v>
      </c>
      <c r="D2" s="15" t="str">
        <f>IFERROR(VLOOKUP(A2,PushToSharePoint!A:D,4,0),"")</f>
        <v>CHICAGO</v>
      </c>
      <c r="E2" s="15" t="str">
        <f>SUBSTITUTE(D2," ","%20")</f>
        <v>CHICAGO</v>
      </c>
      <c r="F2" s="15" t="str">
        <f>SUBSTITUTE(C2," ","%20")</f>
        <v>3Y%20ALC</v>
      </c>
      <c r="H2" s="4" t="s">
        <v>2</v>
      </c>
      <c r="I2" s="1" t="str">
        <f>"'"&amp;H2</f>
        <v>'2018Q4</v>
      </c>
      <c r="K2" s="9" t="s">
        <v>20482</v>
      </c>
    </row>
    <row r="3" spans="1:11" x14ac:dyDescent="0.25">
      <c r="H3" s="4" t="s">
        <v>3</v>
      </c>
      <c r="I3" s="1" t="str">
        <f>I2&amp;"',"&amp;"'"&amp;H3</f>
        <v>'2018Q4','2018Q3</v>
      </c>
      <c r="K3" s="9" t="s">
        <v>71</v>
      </c>
    </row>
    <row r="4" spans="1:11" x14ac:dyDescent="0.25">
      <c r="H4" s="4" t="s">
        <v>4</v>
      </c>
      <c r="I4" s="1" t="str">
        <f>I3&amp;"',"&amp;"'"&amp;H4</f>
        <v>'2018Q4','2018Q3','2018Q2</v>
      </c>
      <c r="K4" s="9" t="s">
        <v>20485</v>
      </c>
    </row>
    <row r="5" spans="1:11" x14ac:dyDescent="0.25">
      <c r="H5" s="4" t="s">
        <v>5</v>
      </c>
      <c r="I5" s="2" t="str">
        <f>I4&amp;"',"&amp;"'"&amp;H5&amp;"'"</f>
        <v>'2018Q4','2018Q3','2018Q2','2018Q1'</v>
      </c>
      <c r="K5" s="9" t="s">
        <v>72</v>
      </c>
    </row>
    <row r="6" spans="1:11" x14ac:dyDescent="0.25">
      <c r="K6" s="9" t="s">
        <v>73</v>
      </c>
    </row>
    <row r="7" spans="1:11" x14ac:dyDescent="0.25">
      <c r="K7" s="9" t="s">
        <v>74</v>
      </c>
    </row>
    <row r="8" spans="1:11" x14ac:dyDescent="0.25">
      <c r="K8" s="9" t="s">
        <v>75</v>
      </c>
    </row>
    <row r="9" spans="1:11" x14ac:dyDescent="0.25">
      <c r="K9" s="9" t="s">
        <v>76</v>
      </c>
    </row>
    <row r="10" spans="1:11" x14ac:dyDescent="0.25">
      <c r="K10" s="9" t="s">
        <v>78</v>
      </c>
    </row>
    <row r="11" spans="1:11" x14ac:dyDescent="0.25">
      <c r="K11" s="9" t="s">
        <v>20484</v>
      </c>
    </row>
    <row r="12" spans="1:11" x14ac:dyDescent="0.25">
      <c r="K12" s="9" t="s">
        <v>87</v>
      </c>
    </row>
    <row r="13" spans="1:11" x14ac:dyDescent="0.25">
      <c r="K13" s="9" t="s">
        <v>20483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9EAB-697C-482F-8639-8D86437045DB}">
  <sheetPr codeName="Sheet45">
    <tabColor rgb="FF00B050"/>
  </sheetPr>
  <dimension ref="A1:N58"/>
  <sheetViews>
    <sheetView workbookViewId="0"/>
  </sheetViews>
  <sheetFormatPr defaultRowHeight="15" x14ac:dyDescent="0.25"/>
  <cols>
    <col min="1" max="1" width="28" bestFit="1" customWidth="1"/>
    <col min="192" max="202" width="9.140625" customWidth="1"/>
  </cols>
  <sheetData>
    <row r="1" spans="1:14" x14ac:dyDescent="0.25">
      <c r="A1" t="s">
        <v>0</v>
      </c>
      <c r="N1" t="s">
        <v>13</v>
      </c>
    </row>
    <row r="2" spans="1:14" x14ac:dyDescent="0.25">
      <c r="N2" t="s">
        <v>14</v>
      </c>
    </row>
    <row r="3" spans="1:14" x14ac:dyDescent="0.25">
      <c r="N3" t="s">
        <v>15</v>
      </c>
    </row>
    <row r="4" spans="1:14" x14ac:dyDescent="0.25">
      <c r="N4" t="s">
        <v>16</v>
      </c>
    </row>
    <row r="5" spans="1:14" x14ac:dyDescent="0.25">
      <c r="N5" t="s">
        <v>17</v>
      </c>
    </row>
    <row r="6" spans="1:14" x14ac:dyDescent="0.25">
      <c r="N6" t="s">
        <v>19</v>
      </c>
    </row>
    <row r="7" spans="1:14" x14ac:dyDescent="0.25">
      <c r="N7" t="s">
        <v>20</v>
      </c>
    </row>
    <row r="8" spans="1:14" x14ac:dyDescent="0.25">
      <c r="N8" t="s">
        <v>21</v>
      </c>
    </row>
    <row r="9" spans="1:14" x14ac:dyDescent="0.25">
      <c r="N9" t="s">
        <v>22</v>
      </c>
    </row>
    <row r="10" spans="1:14" x14ac:dyDescent="0.25">
      <c r="N10" t="s">
        <v>0</v>
      </c>
    </row>
    <row r="11" spans="1:14" x14ac:dyDescent="0.25">
      <c r="N11" t="s">
        <v>24</v>
      </c>
    </row>
    <row r="12" spans="1:14" x14ac:dyDescent="0.25">
      <c r="N12" t="s">
        <v>25</v>
      </c>
    </row>
    <row r="13" spans="1:14" x14ac:dyDescent="0.25">
      <c r="N13" t="s">
        <v>26</v>
      </c>
    </row>
    <row r="14" spans="1:14" x14ac:dyDescent="0.25">
      <c r="N14" t="s">
        <v>27</v>
      </c>
    </row>
    <row r="15" spans="1:14" x14ac:dyDescent="0.25">
      <c r="N15" t="s">
        <v>28</v>
      </c>
    </row>
    <row r="16" spans="1:14" x14ac:dyDescent="0.25">
      <c r="N16" t="s">
        <v>29</v>
      </c>
    </row>
    <row r="17" spans="14:14" x14ac:dyDescent="0.25">
      <c r="N17" t="s">
        <v>30</v>
      </c>
    </row>
    <row r="18" spans="14:14" x14ac:dyDescent="0.25">
      <c r="N18" t="s">
        <v>31</v>
      </c>
    </row>
    <row r="19" spans="14:14" x14ac:dyDescent="0.25">
      <c r="N19" t="s">
        <v>12</v>
      </c>
    </row>
    <row r="20" spans="14:14" x14ac:dyDescent="0.25">
      <c r="N20" t="s">
        <v>32</v>
      </c>
    </row>
    <row r="21" spans="14:14" x14ac:dyDescent="0.25">
      <c r="N21" t="s">
        <v>33</v>
      </c>
    </row>
    <row r="22" spans="14:14" x14ac:dyDescent="0.25">
      <c r="N22" t="s">
        <v>35</v>
      </c>
    </row>
    <row r="23" spans="14:14" x14ac:dyDescent="0.25">
      <c r="N23" t="s">
        <v>36</v>
      </c>
    </row>
    <row r="24" spans="14:14" x14ac:dyDescent="0.25">
      <c r="N24" t="s">
        <v>37</v>
      </c>
    </row>
    <row r="25" spans="14:14" x14ac:dyDescent="0.25">
      <c r="N25" t="s">
        <v>11</v>
      </c>
    </row>
    <row r="26" spans="14:14" x14ac:dyDescent="0.25">
      <c r="N26" t="s">
        <v>38</v>
      </c>
    </row>
    <row r="27" spans="14:14" x14ac:dyDescent="0.25">
      <c r="N27" t="s">
        <v>39</v>
      </c>
    </row>
    <row r="28" spans="14:14" x14ac:dyDescent="0.25">
      <c r="N28" t="s">
        <v>40</v>
      </c>
    </row>
    <row r="29" spans="14:14" x14ac:dyDescent="0.25">
      <c r="N29" t="s">
        <v>41</v>
      </c>
    </row>
    <row r="30" spans="14:14" x14ac:dyDescent="0.25">
      <c r="N30" t="s">
        <v>42</v>
      </c>
    </row>
    <row r="31" spans="14:14" x14ac:dyDescent="0.25">
      <c r="N31" t="s">
        <v>43</v>
      </c>
    </row>
    <row r="32" spans="14:14" x14ac:dyDescent="0.25">
      <c r="N32" t="s">
        <v>44</v>
      </c>
    </row>
    <row r="33" spans="14:14" x14ac:dyDescent="0.25">
      <c r="N33" t="s">
        <v>45</v>
      </c>
    </row>
    <row r="34" spans="14:14" x14ac:dyDescent="0.25">
      <c r="N34" t="s">
        <v>46</v>
      </c>
    </row>
    <row r="35" spans="14:14" x14ac:dyDescent="0.25">
      <c r="N35" t="s">
        <v>47</v>
      </c>
    </row>
    <row r="36" spans="14:14" x14ac:dyDescent="0.25">
      <c r="N36" t="s">
        <v>8</v>
      </c>
    </row>
    <row r="37" spans="14:14" x14ac:dyDescent="0.25">
      <c r="N37" t="s">
        <v>49</v>
      </c>
    </row>
    <row r="38" spans="14:14" x14ac:dyDescent="0.25">
      <c r="N38" t="s">
        <v>10</v>
      </c>
    </row>
    <row r="39" spans="14:14" x14ac:dyDescent="0.25">
      <c r="N39" t="s">
        <v>50</v>
      </c>
    </row>
    <row r="40" spans="14:14" x14ac:dyDescent="0.25">
      <c r="N40" t="s">
        <v>51</v>
      </c>
    </row>
    <row r="41" spans="14:14" x14ac:dyDescent="0.25">
      <c r="N41" t="s">
        <v>52</v>
      </c>
    </row>
    <row r="42" spans="14:14" x14ac:dyDescent="0.25">
      <c r="N42" t="s">
        <v>54</v>
      </c>
    </row>
    <row r="43" spans="14:14" x14ac:dyDescent="0.25">
      <c r="N43" t="s">
        <v>55</v>
      </c>
    </row>
    <row r="44" spans="14:14" x14ac:dyDescent="0.25">
      <c r="N44" t="s">
        <v>56</v>
      </c>
    </row>
    <row r="45" spans="14:14" x14ac:dyDescent="0.25">
      <c r="N45" t="s">
        <v>7</v>
      </c>
    </row>
    <row r="46" spans="14:14" x14ac:dyDescent="0.25">
      <c r="N46" t="s">
        <v>58</v>
      </c>
    </row>
    <row r="47" spans="14:14" x14ac:dyDescent="0.25">
      <c r="N47" t="s">
        <v>59</v>
      </c>
    </row>
    <row r="48" spans="14:14" x14ac:dyDescent="0.25">
      <c r="N48" t="s">
        <v>60</v>
      </c>
    </row>
    <row r="49" spans="14:14" x14ac:dyDescent="0.25">
      <c r="N49" t="s">
        <v>61</v>
      </c>
    </row>
    <row r="50" spans="14:14" x14ac:dyDescent="0.25">
      <c r="N50" t="s">
        <v>62</v>
      </c>
    </row>
    <row r="51" spans="14:14" x14ac:dyDescent="0.25">
      <c r="N51" t="s">
        <v>9</v>
      </c>
    </row>
    <row r="52" spans="14:14" x14ac:dyDescent="0.25">
      <c r="N52" t="s">
        <v>63</v>
      </c>
    </row>
    <row r="53" spans="14:14" x14ac:dyDescent="0.25">
      <c r="N53" t="s">
        <v>64</v>
      </c>
    </row>
    <row r="54" spans="14:14" x14ac:dyDescent="0.25">
      <c r="N54" t="s">
        <v>65</v>
      </c>
    </row>
    <row r="55" spans="14:14" x14ac:dyDescent="0.25">
      <c r="N55" t="s">
        <v>67</v>
      </c>
    </row>
    <row r="56" spans="14:14" x14ac:dyDescent="0.25">
      <c r="N56" t="s">
        <v>68</v>
      </c>
    </row>
    <row r="57" spans="14:14" x14ac:dyDescent="0.25">
      <c r="N57" t="s">
        <v>69</v>
      </c>
    </row>
    <row r="58" spans="14:14" x14ac:dyDescent="0.25">
      <c r="N58" t="s">
        <v>177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3CDD-EAA0-4382-B912-05F3198042AA}">
  <sheetPr codeName="Sheet14">
    <tabColor rgb="FF00B050"/>
  </sheetPr>
  <dimension ref="A1:C20"/>
  <sheetViews>
    <sheetView workbookViewId="0">
      <selection activeCell="J31" sqref="J31"/>
    </sheetView>
  </sheetViews>
  <sheetFormatPr defaultRowHeight="15" x14ac:dyDescent="0.25"/>
  <cols>
    <col min="1" max="1" width="14.28515625" bestFit="1" customWidth="1"/>
    <col min="2" max="2" width="28" bestFit="1" customWidth="1"/>
    <col min="3" max="3" width="26.140625" bestFit="1" customWidth="1"/>
  </cols>
  <sheetData>
    <row r="1" spans="1:3" x14ac:dyDescent="0.25">
      <c r="A1" t="s">
        <v>13</v>
      </c>
      <c r="B1" t="s">
        <v>33</v>
      </c>
      <c r="C1" t="s">
        <v>52</v>
      </c>
    </row>
    <row r="2" spans="1:3" x14ac:dyDescent="0.25">
      <c r="A2" t="s">
        <v>14</v>
      </c>
      <c r="B2" t="s">
        <v>35</v>
      </c>
      <c r="C2" t="s">
        <v>54</v>
      </c>
    </row>
    <row r="3" spans="1:3" x14ac:dyDescent="0.25">
      <c r="A3" t="s">
        <v>15</v>
      </c>
      <c r="B3" t="s">
        <v>36</v>
      </c>
      <c r="C3" t="s">
        <v>55</v>
      </c>
    </row>
    <row r="4" spans="1:3" x14ac:dyDescent="0.25">
      <c r="A4" t="s">
        <v>16</v>
      </c>
      <c r="B4" t="s">
        <v>37</v>
      </c>
      <c r="C4" t="s">
        <v>56</v>
      </c>
    </row>
    <row r="5" spans="1:3" x14ac:dyDescent="0.25">
      <c r="A5" t="s">
        <v>17</v>
      </c>
      <c r="B5" t="s">
        <v>11</v>
      </c>
      <c r="C5" t="s">
        <v>7</v>
      </c>
    </row>
    <row r="6" spans="1:3" x14ac:dyDescent="0.25">
      <c r="A6" t="s">
        <v>19</v>
      </c>
      <c r="B6" t="s">
        <v>38</v>
      </c>
      <c r="C6" t="s">
        <v>58</v>
      </c>
    </row>
    <row r="7" spans="1:3" x14ac:dyDescent="0.25">
      <c r="A7" t="s">
        <v>20</v>
      </c>
      <c r="B7" t="s">
        <v>39</v>
      </c>
      <c r="C7" t="s">
        <v>59</v>
      </c>
    </row>
    <row r="8" spans="1:3" x14ac:dyDescent="0.25">
      <c r="A8" t="s">
        <v>21</v>
      </c>
      <c r="B8" t="s">
        <v>40</v>
      </c>
      <c r="C8" t="s">
        <v>60</v>
      </c>
    </row>
    <row r="9" spans="1:3" x14ac:dyDescent="0.25">
      <c r="A9" t="s">
        <v>22</v>
      </c>
      <c r="B9" t="s">
        <v>41</v>
      </c>
      <c r="C9" t="s">
        <v>61</v>
      </c>
    </row>
    <row r="10" spans="1:3" x14ac:dyDescent="0.25">
      <c r="A10" t="s">
        <v>0</v>
      </c>
      <c r="B10" t="s">
        <v>42</v>
      </c>
      <c r="C10" t="s">
        <v>62</v>
      </c>
    </row>
    <row r="11" spans="1:3" x14ac:dyDescent="0.25">
      <c r="A11" t="s">
        <v>24</v>
      </c>
      <c r="B11" t="s">
        <v>43</v>
      </c>
      <c r="C11" t="s">
        <v>9</v>
      </c>
    </row>
    <row r="12" spans="1:3" x14ac:dyDescent="0.25">
      <c r="A12" t="s">
        <v>25</v>
      </c>
      <c r="B12" t="s">
        <v>44</v>
      </c>
      <c r="C12" t="s">
        <v>63</v>
      </c>
    </row>
    <row r="13" spans="1:3" x14ac:dyDescent="0.25">
      <c r="A13" t="s">
        <v>26</v>
      </c>
      <c r="B13" t="s">
        <v>45</v>
      </c>
      <c r="C13" t="s">
        <v>64</v>
      </c>
    </row>
    <row r="14" spans="1:3" x14ac:dyDescent="0.25">
      <c r="A14" t="s">
        <v>27</v>
      </c>
      <c r="B14" t="s">
        <v>46</v>
      </c>
      <c r="C14" t="s">
        <v>65</v>
      </c>
    </row>
    <row r="15" spans="1:3" x14ac:dyDescent="0.25">
      <c r="A15" t="s">
        <v>28</v>
      </c>
      <c r="B15" t="s">
        <v>47</v>
      </c>
      <c r="C15" t="s">
        <v>67</v>
      </c>
    </row>
    <row r="16" spans="1:3" x14ac:dyDescent="0.25">
      <c r="A16" t="s">
        <v>29</v>
      </c>
      <c r="B16" t="s">
        <v>8</v>
      </c>
      <c r="C16" t="s">
        <v>68</v>
      </c>
    </row>
    <row r="17" spans="1:3" x14ac:dyDescent="0.25">
      <c r="A17" t="s">
        <v>30</v>
      </c>
      <c r="B17" t="s">
        <v>49</v>
      </c>
      <c r="C17" t="s">
        <v>69</v>
      </c>
    </row>
    <row r="18" spans="1:3" x14ac:dyDescent="0.25">
      <c r="A18" t="s">
        <v>31</v>
      </c>
      <c r="B18" t="s">
        <v>10</v>
      </c>
      <c r="C18" t="s">
        <v>177</v>
      </c>
    </row>
    <row r="19" spans="1:3" x14ac:dyDescent="0.25">
      <c r="A19" t="s">
        <v>12</v>
      </c>
      <c r="B19" t="s">
        <v>50</v>
      </c>
    </row>
    <row r="20" spans="1:3" x14ac:dyDescent="0.25">
      <c r="A20" t="s">
        <v>32</v>
      </c>
      <c r="B20" t="s">
        <v>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DBC1C-B079-40F4-AB45-9B547F23C5CA}">
  <sheetPr codeName="Sheet3">
    <tabColor rgb="FFFF0000"/>
  </sheetPr>
  <dimension ref="A1:O65"/>
  <sheetViews>
    <sheetView workbookViewId="0">
      <selection activeCell="G13" sqref="G13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21.7109375" bestFit="1" customWidth="1"/>
    <col min="4" max="4" width="18.7109375" bestFit="1" customWidth="1"/>
    <col min="10" max="10" width="28" bestFit="1" customWidth="1"/>
    <col min="11" max="11" width="5.85546875" bestFit="1" customWidth="1"/>
  </cols>
  <sheetData>
    <row r="1" spans="1:15" x14ac:dyDescent="0.25">
      <c r="A1" s="2" t="s">
        <v>84</v>
      </c>
      <c r="B1" s="2" t="s">
        <v>85</v>
      </c>
      <c r="C1" s="2" t="s">
        <v>86</v>
      </c>
      <c r="D1" s="10" t="s">
        <v>91</v>
      </c>
      <c r="J1" t="s">
        <v>13</v>
      </c>
      <c r="O1" s="5" t="s">
        <v>13</v>
      </c>
    </row>
    <row r="2" spans="1:15" x14ac:dyDescent="0.25">
      <c r="A2" s="9" t="s">
        <v>13</v>
      </c>
      <c r="B2" s="9" t="s">
        <v>79</v>
      </c>
      <c r="C2" s="9"/>
      <c r="D2" s="10" t="str">
        <f>IF(C2="",A2,C2)</f>
        <v>ALBANY</v>
      </c>
      <c r="J2" t="s">
        <v>14</v>
      </c>
      <c r="O2" s="5" t="s">
        <v>14</v>
      </c>
    </row>
    <row r="3" spans="1:15" x14ac:dyDescent="0.25">
      <c r="A3" s="9" t="s">
        <v>14</v>
      </c>
      <c r="B3" s="9" t="s">
        <v>79</v>
      </c>
      <c r="C3" s="9"/>
      <c r="D3" s="10" t="str">
        <f t="shared" ref="D3:D58" si="0">IF(C3="",A3,C3)</f>
        <v>ALBUQUERQUE</v>
      </c>
      <c r="J3" t="s">
        <v>15</v>
      </c>
      <c r="O3" s="5" t="s">
        <v>15</v>
      </c>
    </row>
    <row r="4" spans="1:15" x14ac:dyDescent="0.25">
      <c r="A4" s="9" t="s">
        <v>15</v>
      </c>
      <c r="B4" s="9" t="s">
        <v>79</v>
      </c>
      <c r="C4" s="9"/>
      <c r="D4" s="10" t="str">
        <f t="shared" si="0"/>
        <v>ALLENTOWN</v>
      </c>
      <c r="J4" t="s">
        <v>16</v>
      </c>
      <c r="O4" s="5" t="s">
        <v>16</v>
      </c>
    </row>
    <row r="5" spans="1:15" x14ac:dyDescent="0.25">
      <c r="A5" s="9" t="s">
        <v>16</v>
      </c>
      <c r="B5" s="9" t="s">
        <v>79</v>
      </c>
      <c r="C5" s="9"/>
      <c r="D5" s="10" t="str">
        <f t="shared" si="0"/>
        <v>ATLANTA</v>
      </c>
      <c r="J5" t="s">
        <v>17</v>
      </c>
      <c r="O5" s="5" t="s">
        <v>17</v>
      </c>
    </row>
    <row r="6" spans="1:15" x14ac:dyDescent="0.25">
      <c r="A6" s="9" t="s">
        <v>17</v>
      </c>
      <c r="B6" s="9" t="s">
        <v>79</v>
      </c>
      <c r="C6" s="9"/>
      <c r="D6" s="10" t="str">
        <f t="shared" si="0"/>
        <v>AUSTIN</v>
      </c>
      <c r="J6" t="s">
        <v>18</v>
      </c>
      <c r="O6" s="5" t="s">
        <v>19</v>
      </c>
    </row>
    <row r="7" spans="1:15" x14ac:dyDescent="0.25">
      <c r="A7" s="9" t="s">
        <v>19</v>
      </c>
      <c r="B7" s="9" t="s">
        <v>79</v>
      </c>
      <c r="C7" s="9" t="s">
        <v>216</v>
      </c>
      <c r="D7" s="10" t="str">
        <f t="shared" si="0"/>
        <v>Bismark</v>
      </c>
      <c r="J7" t="s">
        <v>19</v>
      </c>
      <c r="O7" s="5" t="s">
        <v>20</v>
      </c>
    </row>
    <row r="8" spans="1:15" x14ac:dyDescent="0.25">
      <c r="A8" s="9" t="s">
        <v>20</v>
      </c>
      <c r="B8" s="9" t="s">
        <v>79</v>
      </c>
      <c r="C8" s="9"/>
      <c r="D8" s="10" t="str">
        <f t="shared" si="0"/>
        <v>BOCA RATON</v>
      </c>
      <c r="J8" t="s">
        <v>20</v>
      </c>
      <c r="O8" s="5" t="s">
        <v>21</v>
      </c>
    </row>
    <row r="9" spans="1:15" x14ac:dyDescent="0.25">
      <c r="A9" s="9" t="s">
        <v>21</v>
      </c>
      <c r="B9" s="9" t="s">
        <v>79</v>
      </c>
      <c r="C9" s="9"/>
      <c r="D9" s="10" t="str">
        <f t="shared" si="0"/>
        <v>BOSTON</v>
      </c>
      <c r="J9" t="s">
        <v>21</v>
      </c>
      <c r="O9" s="5" t="s">
        <v>22</v>
      </c>
    </row>
    <row r="10" spans="1:15" x14ac:dyDescent="0.25">
      <c r="A10" s="9" t="s">
        <v>22</v>
      </c>
      <c r="B10" s="9" t="s">
        <v>79</v>
      </c>
      <c r="C10" s="9"/>
      <c r="D10" s="10" t="str">
        <f t="shared" si="0"/>
        <v>BUFFALO</v>
      </c>
      <c r="J10" t="s">
        <v>22</v>
      </c>
      <c r="O10" s="5" t="s">
        <v>0</v>
      </c>
    </row>
    <row r="11" spans="1:15" x14ac:dyDescent="0.25">
      <c r="A11" s="9" t="s">
        <v>0</v>
      </c>
      <c r="B11" s="9" t="s">
        <v>79</v>
      </c>
      <c r="C11" s="9"/>
      <c r="D11" s="10" t="str">
        <f t="shared" si="0"/>
        <v>CHICAGO</v>
      </c>
      <c r="J11" t="s">
        <v>23</v>
      </c>
      <c r="O11" s="5" t="s">
        <v>24</v>
      </c>
    </row>
    <row r="12" spans="1:15" x14ac:dyDescent="0.25">
      <c r="A12" s="9" t="s">
        <v>24</v>
      </c>
      <c r="B12" s="9" t="s">
        <v>79</v>
      </c>
      <c r="C12" s="9"/>
      <c r="D12" s="10" t="str">
        <f t="shared" si="0"/>
        <v>CINCINNATI</v>
      </c>
      <c r="J12" t="s">
        <v>0</v>
      </c>
      <c r="O12" s="5" t="s">
        <v>25</v>
      </c>
    </row>
    <row r="13" spans="1:15" x14ac:dyDescent="0.25">
      <c r="A13" s="9" t="s">
        <v>25</v>
      </c>
      <c r="B13" s="9" t="s">
        <v>79</v>
      </c>
      <c r="C13" s="9"/>
      <c r="D13" s="10" t="str">
        <f t="shared" si="0"/>
        <v>CLEVELAND</v>
      </c>
      <c r="J13" t="s">
        <v>24</v>
      </c>
      <c r="O13" s="5" t="s">
        <v>26</v>
      </c>
    </row>
    <row r="14" spans="1:15" x14ac:dyDescent="0.25">
      <c r="A14" s="9" t="s">
        <v>26</v>
      </c>
      <c r="B14" s="9" t="s">
        <v>79</v>
      </c>
      <c r="C14" s="9"/>
      <c r="D14" s="10" t="str">
        <f t="shared" si="0"/>
        <v>COLUMBIA</v>
      </c>
      <c r="J14" t="s">
        <v>25</v>
      </c>
      <c r="O14" s="5" t="s">
        <v>27</v>
      </c>
    </row>
    <row r="15" spans="1:15" x14ac:dyDescent="0.25">
      <c r="A15" s="9" t="s">
        <v>27</v>
      </c>
      <c r="B15" s="9" t="s">
        <v>79</v>
      </c>
      <c r="C15" s="9"/>
      <c r="D15" s="10" t="str">
        <f t="shared" si="0"/>
        <v>CONNECTICUT</v>
      </c>
      <c r="J15" t="s">
        <v>26</v>
      </c>
      <c r="O15" s="5" t="s">
        <v>28</v>
      </c>
    </row>
    <row r="16" spans="1:15" x14ac:dyDescent="0.25">
      <c r="A16" s="9" t="s">
        <v>28</v>
      </c>
      <c r="B16" s="9" t="s">
        <v>79</v>
      </c>
      <c r="C16" s="9"/>
      <c r="D16" s="10" t="str">
        <f t="shared" si="0"/>
        <v>CORONA</v>
      </c>
      <c r="J16" t="s">
        <v>27</v>
      </c>
      <c r="O16" s="5" t="s">
        <v>29</v>
      </c>
    </row>
    <row r="17" spans="1:15" x14ac:dyDescent="0.25">
      <c r="A17" s="9" t="s">
        <v>29</v>
      </c>
      <c r="B17" s="9" t="s">
        <v>79</v>
      </c>
      <c r="C17" s="9"/>
      <c r="D17" s="10" t="str">
        <f t="shared" si="0"/>
        <v>DALLAS</v>
      </c>
      <c r="J17" t="s">
        <v>28</v>
      </c>
      <c r="O17" s="5" t="s">
        <v>30</v>
      </c>
    </row>
    <row r="18" spans="1:15" x14ac:dyDescent="0.25">
      <c r="A18" s="9" t="s">
        <v>30</v>
      </c>
      <c r="B18" s="9" t="s">
        <v>79</v>
      </c>
      <c r="C18" s="9"/>
      <c r="D18" s="10" t="str">
        <f t="shared" si="0"/>
        <v>DENVER</v>
      </c>
      <c r="J18" t="s">
        <v>29</v>
      </c>
      <c r="O18" s="5" t="s">
        <v>31</v>
      </c>
    </row>
    <row r="19" spans="1:15" x14ac:dyDescent="0.25">
      <c r="A19" s="9" t="s">
        <v>31</v>
      </c>
      <c r="B19" s="9" t="s">
        <v>79</v>
      </c>
      <c r="C19" s="9"/>
      <c r="D19" s="10" t="str">
        <f t="shared" si="0"/>
        <v>DETROIT</v>
      </c>
      <c r="J19" t="s">
        <v>30</v>
      </c>
      <c r="O19" s="5" t="s">
        <v>12</v>
      </c>
    </row>
    <row r="20" spans="1:15" x14ac:dyDescent="0.25">
      <c r="A20" s="9" t="s">
        <v>12</v>
      </c>
      <c r="B20" s="9" t="s">
        <v>79</v>
      </c>
      <c r="C20" s="9"/>
      <c r="D20" s="10" t="str">
        <f t="shared" si="0"/>
        <v>F. CHRISTIANA</v>
      </c>
      <c r="J20" t="s">
        <v>31</v>
      </c>
      <c r="O20" s="5" t="s">
        <v>32</v>
      </c>
    </row>
    <row r="21" spans="1:15" x14ac:dyDescent="0.25">
      <c r="A21" s="9" t="s">
        <v>32</v>
      </c>
      <c r="B21" s="9" t="s">
        <v>79</v>
      </c>
      <c r="C21" s="9"/>
      <c r="D21" s="10" t="str">
        <f t="shared" si="0"/>
        <v>FORT MILL</v>
      </c>
      <c r="J21" t="s">
        <v>12</v>
      </c>
      <c r="K21" t="s">
        <v>90</v>
      </c>
      <c r="O21" s="5" t="s">
        <v>33</v>
      </c>
    </row>
    <row r="22" spans="1:15" x14ac:dyDescent="0.25">
      <c r="A22" s="9" t="s">
        <v>33</v>
      </c>
      <c r="B22" s="9" t="s">
        <v>79</v>
      </c>
      <c r="C22" s="9"/>
      <c r="D22" s="10" t="str">
        <f t="shared" si="0"/>
        <v>GRAND FORKS</v>
      </c>
      <c r="J22" t="s">
        <v>32</v>
      </c>
      <c r="O22" s="5" t="s">
        <v>35</v>
      </c>
    </row>
    <row r="23" spans="1:15" x14ac:dyDescent="0.25">
      <c r="A23" s="9" t="s">
        <v>35</v>
      </c>
      <c r="B23" s="9" t="s">
        <v>79</v>
      </c>
      <c r="C23" s="9"/>
      <c r="D23" s="10" t="str">
        <f t="shared" si="0"/>
        <v>HOUSTON</v>
      </c>
      <c r="J23" t="s">
        <v>33</v>
      </c>
      <c r="O23" s="5" t="s">
        <v>36</v>
      </c>
    </row>
    <row r="24" spans="1:15" x14ac:dyDescent="0.25">
      <c r="A24" s="9" t="s">
        <v>36</v>
      </c>
      <c r="B24" s="9" t="s">
        <v>79</v>
      </c>
      <c r="C24" s="9"/>
      <c r="D24" s="10" t="str">
        <f t="shared" si="0"/>
        <v>INDIANAPOLIS</v>
      </c>
      <c r="J24" t="s">
        <v>34</v>
      </c>
      <c r="K24" t="s">
        <v>90</v>
      </c>
      <c r="O24" s="5" t="s">
        <v>37</v>
      </c>
    </row>
    <row r="25" spans="1:15" x14ac:dyDescent="0.25">
      <c r="A25" s="9" t="s">
        <v>37</v>
      </c>
      <c r="B25" s="9" t="s">
        <v>79</v>
      </c>
      <c r="C25" s="9" t="s">
        <v>83</v>
      </c>
      <c r="D25" s="10" t="str">
        <f t="shared" si="0"/>
        <v>Iowa City</v>
      </c>
      <c r="J25" t="s">
        <v>35</v>
      </c>
      <c r="O25" s="5" t="s">
        <v>11</v>
      </c>
    </row>
    <row r="26" spans="1:15" x14ac:dyDescent="0.25">
      <c r="A26" s="9" t="s">
        <v>11</v>
      </c>
      <c r="B26" s="9" t="s">
        <v>79</v>
      </c>
      <c r="C26" s="9"/>
      <c r="D26" s="10" t="str">
        <f t="shared" si="0"/>
        <v>JACKSON</v>
      </c>
      <c r="J26" t="s">
        <v>36</v>
      </c>
      <c r="O26" s="5" t="s">
        <v>38</v>
      </c>
    </row>
    <row r="27" spans="1:15" x14ac:dyDescent="0.25">
      <c r="A27" s="9" t="s">
        <v>38</v>
      </c>
      <c r="B27" s="9" t="s">
        <v>79</v>
      </c>
      <c r="C27" s="9"/>
      <c r="D27" s="10" t="str">
        <f t="shared" si="0"/>
        <v>KANSAS CITY</v>
      </c>
      <c r="J27" t="s">
        <v>37</v>
      </c>
      <c r="O27" s="5" t="s">
        <v>39</v>
      </c>
    </row>
    <row r="28" spans="1:15" x14ac:dyDescent="0.25">
      <c r="A28" s="9" t="s">
        <v>39</v>
      </c>
      <c r="B28" s="9" t="s">
        <v>79</v>
      </c>
      <c r="C28" s="9"/>
      <c r="D28" s="10" t="str">
        <f t="shared" si="0"/>
        <v>KNOXVILLE</v>
      </c>
      <c r="J28" t="s">
        <v>11</v>
      </c>
      <c r="O28" s="5" t="s">
        <v>40</v>
      </c>
    </row>
    <row r="29" spans="1:15" x14ac:dyDescent="0.25">
      <c r="A29" s="9" t="s">
        <v>40</v>
      </c>
      <c r="B29" s="9" t="s">
        <v>79</v>
      </c>
      <c r="C29" s="9"/>
      <c r="D29" s="10" t="str">
        <f t="shared" si="0"/>
        <v>LAS VEGAS</v>
      </c>
      <c r="J29" t="s">
        <v>38</v>
      </c>
      <c r="O29" s="5" t="s">
        <v>41</v>
      </c>
    </row>
    <row r="30" spans="1:15" x14ac:dyDescent="0.25">
      <c r="A30" s="9" t="s">
        <v>41</v>
      </c>
      <c r="B30" s="9" t="s">
        <v>79</v>
      </c>
      <c r="C30" s="9"/>
      <c r="D30" s="10" t="str">
        <f t="shared" si="0"/>
        <v>LITTLE ROCK</v>
      </c>
      <c r="J30" t="s">
        <v>39</v>
      </c>
      <c r="O30" s="5" t="s">
        <v>42</v>
      </c>
    </row>
    <row r="31" spans="1:15" x14ac:dyDescent="0.25">
      <c r="A31" s="9" t="s">
        <v>42</v>
      </c>
      <c r="B31" s="9" t="s">
        <v>79</v>
      </c>
      <c r="C31" s="9"/>
      <c r="D31" s="10" t="str">
        <f t="shared" si="0"/>
        <v>LOS ANGELES</v>
      </c>
      <c r="J31" t="s">
        <v>40</v>
      </c>
      <c r="O31" s="5" t="s">
        <v>43</v>
      </c>
    </row>
    <row r="32" spans="1:15" x14ac:dyDescent="0.25">
      <c r="A32" s="9" t="s">
        <v>43</v>
      </c>
      <c r="B32" s="9" t="s">
        <v>79</v>
      </c>
      <c r="C32" s="9"/>
      <c r="D32" s="10" t="str">
        <f t="shared" si="0"/>
        <v>LUBBOCK</v>
      </c>
      <c r="J32" t="s">
        <v>41</v>
      </c>
      <c r="O32" s="5" t="s">
        <v>44</v>
      </c>
    </row>
    <row r="33" spans="1:15" x14ac:dyDescent="0.25">
      <c r="A33" s="9" t="s">
        <v>44</v>
      </c>
      <c r="B33" s="9" t="s">
        <v>79</v>
      </c>
      <c r="C33" s="9"/>
      <c r="D33" s="10" t="str">
        <f t="shared" si="0"/>
        <v>MANASSAS</v>
      </c>
      <c r="J33" t="s">
        <v>42</v>
      </c>
      <c r="O33" s="5" t="s">
        <v>45</v>
      </c>
    </row>
    <row r="34" spans="1:15" x14ac:dyDescent="0.25">
      <c r="A34" s="9" t="s">
        <v>45</v>
      </c>
      <c r="B34" s="9" t="s">
        <v>79</v>
      </c>
      <c r="C34" s="9"/>
      <c r="D34" s="10" t="str">
        <f t="shared" si="0"/>
        <v>MEMPHIS</v>
      </c>
      <c r="J34" t="s">
        <v>43</v>
      </c>
      <c r="O34" s="5" t="s">
        <v>46</v>
      </c>
    </row>
    <row r="35" spans="1:15" x14ac:dyDescent="0.25">
      <c r="A35" s="9" t="s">
        <v>46</v>
      </c>
      <c r="B35" s="9" t="s">
        <v>79</v>
      </c>
      <c r="C35" s="9"/>
      <c r="D35" s="10" t="str">
        <f t="shared" si="0"/>
        <v>METRO NEW YORK</v>
      </c>
      <c r="J35" t="s">
        <v>44</v>
      </c>
      <c r="O35" s="5" t="s">
        <v>47</v>
      </c>
    </row>
    <row r="36" spans="1:15" x14ac:dyDescent="0.25">
      <c r="A36" s="9" t="s">
        <v>47</v>
      </c>
      <c r="B36" s="9" t="s">
        <v>79</v>
      </c>
      <c r="C36" s="9" t="s">
        <v>80</v>
      </c>
      <c r="D36" s="10" t="str">
        <f t="shared" si="0"/>
        <v>Minneapolis</v>
      </c>
      <c r="J36" t="s">
        <v>45</v>
      </c>
      <c r="O36" s="5" t="s">
        <v>8</v>
      </c>
    </row>
    <row r="37" spans="1:15" x14ac:dyDescent="0.25">
      <c r="A37" s="9" t="s">
        <v>8</v>
      </c>
      <c r="B37" s="9" t="s">
        <v>79</v>
      </c>
      <c r="C37" s="9"/>
      <c r="D37" s="10" t="str">
        <f t="shared" si="0"/>
        <v>MONTGOMERY</v>
      </c>
      <c r="J37" t="s">
        <v>46</v>
      </c>
      <c r="O37" s="5" t="s">
        <v>49</v>
      </c>
    </row>
    <row r="38" spans="1:15" x14ac:dyDescent="0.25">
      <c r="A38" s="9" t="s">
        <v>49</v>
      </c>
      <c r="B38" s="9" t="s">
        <v>79</v>
      </c>
      <c r="C38" s="9"/>
      <c r="D38" s="10" t="str">
        <f t="shared" si="0"/>
        <v>OKLAHOMA CITY</v>
      </c>
      <c r="J38" t="s">
        <v>47</v>
      </c>
      <c r="O38" s="5" t="s">
        <v>10</v>
      </c>
    </row>
    <row r="39" spans="1:15" x14ac:dyDescent="0.25">
      <c r="A39" s="9" t="s">
        <v>10</v>
      </c>
      <c r="B39" s="9" t="s">
        <v>79</v>
      </c>
      <c r="C39" s="9"/>
      <c r="D39" s="10" t="str">
        <f t="shared" si="0"/>
        <v>OMAHA</v>
      </c>
      <c r="J39" t="s">
        <v>8</v>
      </c>
      <c r="O39" s="5" t="s">
        <v>50</v>
      </c>
    </row>
    <row r="40" spans="1:15" x14ac:dyDescent="0.25">
      <c r="A40" s="9" t="s">
        <v>50</v>
      </c>
      <c r="B40" s="9" t="s">
        <v>79</v>
      </c>
      <c r="C40" s="9" t="s">
        <v>81</v>
      </c>
      <c r="D40" s="10" t="str">
        <f t="shared" si="0"/>
        <v>Philadelphia</v>
      </c>
      <c r="J40" t="s">
        <v>48</v>
      </c>
      <c r="O40" s="5" t="s">
        <v>51</v>
      </c>
    </row>
    <row r="41" spans="1:15" x14ac:dyDescent="0.25">
      <c r="A41" s="9" t="s">
        <v>51</v>
      </c>
      <c r="B41" s="9" t="s">
        <v>79</v>
      </c>
      <c r="C41" s="9" t="s">
        <v>81</v>
      </c>
      <c r="D41" s="10" t="str">
        <f t="shared" si="0"/>
        <v>Philadelphia</v>
      </c>
      <c r="J41" t="s">
        <v>49</v>
      </c>
      <c r="O41" s="5" t="s">
        <v>52</v>
      </c>
    </row>
    <row r="42" spans="1:15" x14ac:dyDescent="0.25">
      <c r="A42" s="9" t="s">
        <v>52</v>
      </c>
      <c r="B42" s="9" t="s">
        <v>79</v>
      </c>
      <c r="C42" s="9"/>
      <c r="D42" s="10" t="str">
        <f t="shared" si="0"/>
        <v>PHOENIX</v>
      </c>
      <c r="J42" t="s">
        <v>10</v>
      </c>
      <c r="O42" s="5" t="s">
        <v>54</v>
      </c>
    </row>
    <row r="43" spans="1:15" x14ac:dyDescent="0.25">
      <c r="A43" s="9" t="s">
        <v>54</v>
      </c>
      <c r="B43" s="9" t="s">
        <v>79</v>
      </c>
      <c r="C43" s="9"/>
      <c r="D43" s="10" t="str">
        <f t="shared" si="0"/>
        <v>PORT ORANGE</v>
      </c>
      <c r="J43" t="s">
        <v>50</v>
      </c>
      <c r="O43" s="5" t="s">
        <v>55</v>
      </c>
    </row>
    <row r="44" spans="1:15" x14ac:dyDescent="0.25">
      <c r="A44" s="9" t="s">
        <v>55</v>
      </c>
      <c r="B44" s="9" t="s">
        <v>79</v>
      </c>
      <c r="C44" s="9"/>
      <c r="D44" s="10" t="str">
        <f t="shared" si="0"/>
        <v>RALEIGH</v>
      </c>
      <c r="J44" t="s">
        <v>51</v>
      </c>
      <c r="O44" s="5" t="s">
        <v>56</v>
      </c>
    </row>
    <row r="45" spans="1:15" x14ac:dyDescent="0.25">
      <c r="A45" s="9" t="s">
        <v>56</v>
      </c>
      <c r="B45" s="9" t="s">
        <v>79</v>
      </c>
      <c r="C45" s="9"/>
      <c r="D45" s="10" t="str">
        <f t="shared" si="0"/>
        <v>RENO</v>
      </c>
      <c r="J45" t="s">
        <v>52</v>
      </c>
      <c r="O45" s="5" t="s">
        <v>7</v>
      </c>
    </row>
    <row r="46" spans="1:15" x14ac:dyDescent="0.25">
      <c r="A46" s="9" t="s">
        <v>7</v>
      </c>
      <c r="B46" s="9" t="s">
        <v>79</v>
      </c>
      <c r="C46" s="9"/>
      <c r="D46" s="10" t="str">
        <f t="shared" si="0"/>
        <v>ROANOKE</v>
      </c>
      <c r="J46" t="s">
        <v>53</v>
      </c>
      <c r="O46" s="5" t="s">
        <v>58</v>
      </c>
    </row>
    <row r="47" spans="1:15" x14ac:dyDescent="0.25">
      <c r="A47" s="9" t="s">
        <v>58</v>
      </c>
      <c r="B47" s="9" t="s">
        <v>79</v>
      </c>
      <c r="C47" s="9"/>
      <c r="D47" s="10" t="str">
        <f t="shared" si="0"/>
        <v>SALEM</v>
      </c>
      <c r="J47" t="s">
        <v>54</v>
      </c>
      <c r="O47" s="5" t="s">
        <v>59</v>
      </c>
    </row>
    <row r="48" spans="1:15" x14ac:dyDescent="0.25">
      <c r="A48" s="9" t="s">
        <v>59</v>
      </c>
      <c r="B48" s="9" t="s">
        <v>79</v>
      </c>
      <c r="C48" s="9"/>
      <c r="D48" s="10" t="str">
        <f t="shared" si="0"/>
        <v>SALT LAKE CITY</v>
      </c>
      <c r="J48" t="s">
        <v>55</v>
      </c>
      <c r="O48" s="5" t="s">
        <v>60</v>
      </c>
    </row>
    <row r="49" spans="1:15" x14ac:dyDescent="0.25">
      <c r="A49" s="9" t="s">
        <v>60</v>
      </c>
      <c r="B49" s="9" t="s">
        <v>79</v>
      </c>
      <c r="C49" s="9"/>
      <c r="D49" s="10" t="str">
        <f t="shared" si="0"/>
        <v>SAN DIEGO</v>
      </c>
      <c r="J49" t="s">
        <v>56</v>
      </c>
      <c r="O49" s="5" t="s">
        <v>61</v>
      </c>
    </row>
    <row r="50" spans="1:15" x14ac:dyDescent="0.25">
      <c r="A50" s="9" t="s">
        <v>61</v>
      </c>
      <c r="B50" s="9" t="s">
        <v>79</v>
      </c>
      <c r="C50" s="9"/>
      <c r="D50" s="10" t="str">
        <f t="shared" si="0"/>
        <v>SAN FRANCISCO</v>
      </c>
      <c r="J50" t="s">
        <v>57</v>
      </c>
      <c r="O50" s="5" t="s">
        <v>62</v>
      </c>
    </row>
    <row r="51" spans="1:15" x14ac:dyDescent="0.25">
      <c r="A51" s="9" t="s">
        <v>62</v>
      </c>
      <c r="B51" s="9" t="s">
        <v>79</v>
      </c>
      <c r="C51" s="9"/>
      <c r="D51" s="10" t="str">
        <f t="shared" si="0"/>
        <v>SEATTLE</v>
      </c>
      <c r="J51" t="s">
        <v>7</v>
      </c>
      <c r="O51" t="s">
        <v>9</v>
      </c>
    </row>
    <row r="52" spans="1:15" x14ac:dyDescent="0.25">
      <c r="A52" s="9" t="s">
        <v>9</v>
      </c>
      <c r="B52" s="9" t="s">
        <v>79</v>
      </c>
      <c r="C52" s="9"/>
      <c r="D52" s="10" t="str">
        <f t="shared" si="0"/>
        <v>SIOUX FALLS</v>
      </c>
      <c r="J52" t="s">
        <v>58</v>
      </c>
      <c r="O52" s="5" t="s">
        <v>63</v>
      </c>
    </row>
    <row r="53" spans="1:15" x14ac:dyDescent="0.25">
      <c r="A53" s="9" t="s">
        <v>63</v>
      </c>
      <c r="B53" s="9" t="s">
        <v>79</v>
      </c>
      <c r="C53" s="9" t="s">
        <v>82</v>
      </c>
      <c r="D53" s="10" t="str">
        <f t="shared" si="0"/>
        <v>St Louis</v>
      </c>
      <c r="J53" t="s">
        <v>59</v>
      </c>
      <c r="O53" s="5" t="s">
        <v>64</v>
      </c>
    </row>
    <row r="54" spans="1:15" x14ac:dyDescent="0.25">
      <c r="A54" s="9" t="s">
        <v>64</v>
      </c>
      <c r="B54" s="9" t="s">
        <v>79</v>
      </c>
      <c r="C54" s="9"/>
      <c r="D54" s="10" t="str">
        <f t="shared" si="0"/>
        <v>STREATOR</v>
      </c>
      <c r="J54" t="s">
        <v>60</v>
      </c>
      <c r="O54" s="5" t="s">
        <v>65</v>
      </c>
    </row>
    <row r="55" spans="1:15" x14ac:dyDescent="0.25">
      <c r="A55" s="9" t="s">
        <v>65</v>
      </c>
      <c r="B55" s="9" t="s">
        <v>79</v>
      </c>
      <c r="C55" s="9"/>
      <c r="D55" s="10" t="str">
        <f t="shared" si="0"/>
        <v>TAMPA</v>
      </c>
      <c r="J55" t="s">
        <v>61</v>
      </c>
      <c r="O55" s="5" t="s">
        <v>67</v>
      </c>
    </row>
    <row r="56" spans="1:15" x14ac:dyDescent="0.25">
      <c r="A56" s="9" t="s">
        <v>67</v>
      </c>
      <c r="B56" s="9" t="s">
        <v>79</v>
      </c>
      <c r="C56" s="9"/>
      <c r="D56" s="10" t="str">
        <f t="shared" si="0"/>
        <v>WEST VIRGINIA</v>
      </c>
      <c r="J56" t="s">
        <v>62</v>
      </c>
      <c r="O56" s="5" t="s">
        <v>68</v>
      </c>
    </row>
    <row r="57" spans="1:15" x14ac:dyDescent="0.25">
      <c r="A57" s="9" t="s">
        <v>68</v>
      </c>
      <c r="B57" s="9" t="s">
        <v>79</v>
      </c>
      <c r="C57" s="9" t="s">
        <v>88</v>
      </c>
      <c r="D57" s="10" t="str">
        <f t="shared" si="0"/>
        <v>Altoona</v>
      </c>
      <c r="J57" t="s">
        <v>9</v>
      </c>
      <c r="O57" s="5" t="s">
        <v>69</v>
      </c>
    </row>
    <row r="58" spans="1:15" x14ac:dyDescent="0.25">
      <c r="A58" s="9" t="s">
        <v>69</v>
      </c>
      <c r="B58" s="9" t="s">
        <v>79</v>
      </c>
      <c r="C58" s="9" t="s">
        <v>89</v>
      </c>
      <c r="D58" s="10" t="str">
        <f t="shared" si="0"/>
        <v>Greensburg</v>
      </c>
      <c r="J58" t="s">
        <v>63</v>
      </c>
      <c r="O58" s="5" t="s">
        <v>177</v>
      </c>
    </row>
    <row r="59" spans="1:15" x14ac:dyDescent="0.25">
      <c r="A59" s="9" t="s">
        <v>177</v>
      </c>
      <c r="B59" s="9" t="s">
        <v>79</v>
      </c>
      <c r="C59" s="9"/>
      <c r="D59" s="10" t="str">
        <f>IF(C59="",A59,C59)</f>
        <v>WISCONSIN</v>
      </c>
      <c r="J59" t="s">
        <v>64</v>
      </c>
    </row>
    <row r="60" spans="1:15" x14ac:dyDescent="0.25">
      <c r="A60" s="17"/>
      <c r="D60" s="18"/>
      <c r="J60" t="s">
        <v>65</v>
      </c>
    </row>
    <row r="61" spans="1:15" x14ac:dyDescent="0.25">
      <c r="J61" t="s">
        <v>66</v>
      </c>
    </row>
    <row r="62" spans="1:15" x14ac:dyDescent="0.25">
      <c r="J62" t="s">
        <v>67</v>
      </c>
    </row>
    <row r="63" spans="1:15" x14ac:dyDescent="0.25">
      <c r="J63" t="s">
        <v>68</v>
      </c>
    </row>
    <row r="64" spans="1:15" x14ac:dyDescent="0.25">
      <c r="J64" t="s">
        <v>69</v>
      </c>
    </row>
    <row r="65" spans="10:10" x14ac:dyDescent="0.25">
      <c r="J65" t="s">
        <v>177</v>
      </c>
    </row>
  </sheetData>
  <conditionalFormatting sqref="B1:B59">
    <cfRule type="cellIs" dxfId="0" priority="1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EB56-4221-4271-A24D-1854558D127B}">
  <sheetPr codeName="Sheet2">
    <tabColor rgb="FFFFFF00"/>
  </sheetPr>
  <dimension ref="L11"/>
  <sheetViews>
    <sheetView workbookViewId="0">
      <selection activeCell="L12" sqref="L12"/>
    </sheetView>
  </sheetViews>
  <sheetFormatPr defaultRowHeight="15" x14ac:dyDescent="0.25"/>
  <sheetData>
    <row r="11" spans="12:12" x14ac:dyDescent="0.25">
      <c r="L11" t="s">
        <v>619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165B-5A0B-4CF2-B348-7734A6B6C661}">
  <sheetPr codeName="Sheet4">
    <tabColor rgb="FF00B050"/>
  </sheetPr>
  <dimension ref="A1:E67"/>
  <sheetViews>
    <sheetView topLeftCell="A24" workbookViewId="0">
      <selection activeCell="B27" sqref="B27"/>
    </sheetView>
  </sheetViews>
  <sheetFormatPr defaultRowHeight="15" x14ac:dyDescent="0.25"/>
  <cols>
    <col min="1" max="1" width="34.85546875" bestFit="1" customWidth="1"/>
    <col min="2" max="2" width="12" bestFit="1" customWidth="1"/>
    <col min="3" max="3" width="15.28515625" bestFit="1" customWidth="1"/>
    <col min="4" max="4" width="28" bestFit="1" customWidth="1"/>
    <col min="5" max="5" width="15.28515625" bestFit="1" customWidth="1"/>
  </cols>
  <sheetData>
    <row r="1" spans="1:5" ht="15.75" thickBot="1" x14ac:dyDescent="0.3">
      <c r="A1" s="14" t="s">
        <v>198</v>
      </c>
      <c r="B1" s="13" t="s">
        <v>196</v>
      </c>
      <c r="C1" s="14" t="s">
        <v>197</v>
      </c>
      <c r="D1" s="14" t="s">
        <v>199</v>
      </c>
      <c r="E1" s="14" t="s">
        <v>195</v>
      </c>
    </row>
    <row r="2" spans="1:5" x14ac:dyDescent="0.25">
      <c r="A2" s="12" t="s">
        <v>18</v>
      </c>
      <c r="B2" s="11" t="s">
        <v>124</v>
      </c>
      <c r="C2" s="9">
        <v>2010</v>
      </c>
      <c r="D2" s="9" t="s">
        <v>121</v>
      </c>
      <c r="E2" s="12" t="s">
        <v>109</v>
      </c>
    </row>
    <row r="3" spans="1:5" x14ac:dyDescent="0.25">
      <c r="A3" s="12" t="s">
        <v>27</v>
      </c>
      <c r="B3" s="11" t="s">
        <v>156</v>
      </c>
      <c r="C3" s="9">
        <v>2020</v>
      </c>
      <c r="D3" s="9" t="s">
        <v>155</v>
      </c>
      <c r="E3" s="12" t="s">
        <v>147</v>
      </c>
    </row>
    <row r="4" spans="1:5" x14ac:dyDescent="0.25">
      <c r="A4" s="12" t="s">
        <v>68</v>
      </c>
      <c r="B4" s="11" t="s">
        <v>150</v>
      </c>
      <c r="C4" s="9">
        <v>2180</v>
      </c>
      <c r="D4" s="9" t="s">
        <v>149</v>
      </c>
      <c r="E4" s="12" t="s">
        <v>147</v>
      </c>
    </row>
    <row r="5" spans="1:5" x14ac:dyDescent="0.25">
      <c r="A5" s="12" t="s">
        <v>46</v>
      </c>
      <c r="B5" s="11" t="s">
        <v>161</v>
      </c>
      <c r="C5" s="9">
        <v>2160</v>
      </c>
      <c r="D5" s="9" t="s">
        <v>160</v>
      </c>
      <c r="E5" s="12" t="s">
        <v>147</v>
      </c>
    </row>
    <row r="6" spans="1:5" x14ac:dyDescent="0.25">
      <c r="A6" s="12" t="s">
        <v>15</v>
      </c>
      <c r="B6" s="11" t="s">
        <v>165</v>
      </c>
      <c r="C6" s="9">
        <v>2110</v>
      </c>
      <c r="D6" s="9" t="s">
        <v>163</v>
      </c>
      <c r="E6" s="12" t="s">
        <v>147</v>
      </c>
    </row>
    <row r="7" spans="1:5" x14ac:dyDescent="0.25">
      <c r="A7" s="12" t="s">
        <v>67</v>
      </c>
      <c r="B7" s="11" t="s">
        <v>120</v>
      </c>
      <c r="C7" s="9">
        <v>2165</v>
      </c>
      <c r="D7" s="9" t="s">
        <v>121</v>
      </c>
      <c r="E7" s="12" t="s">
        <v>109</v>
      </c>
    </row>
    <row r="8" spans="1:5" x14ac:dyDescent="0.25">
      <c r="A8" s="12" t="s">
        <v>53</v>
      </c>
      <c r="B8" s="11" t="s">
        <v>159</v>
      </c>
      <c r="C8" s="9">
        <v>2170</v>
      </c>
      <c r="D8" s="9" t="s">
        <v>160</v>
      </c>
      <c r="E8" s="12" t="s">
        <v>147</v>
      </c>
    </row>
    <row r="9" spans="1:5" x14ac:dyDescent="0.25">
      <c r="A9" s="12" t="s">
        <v>21</v>
      </c>
      <c r="B9" s="11" t="s">
        <v>157</v>
      </c>
      <c r="C9" s="9">
        <v>2148</v>
      </c>
      <c r="D9" s="9" t="s">
        <v>158</v>
      </c>
      <c r="E9" s="12" t="s">
        <v>147</v>
      </c>
    </row>
    <row r="10" spans="1:5" x14ac:dyDescent="0.25">
      <c r="A10" s="12" t="s">
        <v>22</v>
      </c>
      <c r="B10" s="11" t="s">
        <v>151</v>
      </c>
      <c r="C10" s="9">
        <v>2190</v>
      </c>
      <c r="D10" s="9" t="s">
        <v>152</v>
      </c>
      <c r="E10" s="12" t="s">
        <v>147</v>
      </c>
    </row>
    <row r="11" spans="1:5" x14ac:dyDescent="0.25">
      <c r="A11" s="12" t="s">
        <v>51</v>
      </c>
      <c r="B11" s="11" t="s">
        <v>162</v>
      </c>
      <c r="C11" s="9">
        <v>2116</v>
      </c>
      <c r="D11" s="9" t="s">
        <v>163</v>
      </c>
      <c r="E11" s="12" t="s">
        <v>147</v>
      </c>
    </row>
    <row r="12" spans="1:5" x14ac:dyDescent="0.25">
      <c r="A12" s="12" t="s">
        <v>177</v>
      </c>
      <c r="B12" s="11" t="s">
        <v>176</v>
      </c>
      <c r="C12" s="9">
        <v>248</v>
      </c>
      <c r="D12" s="9" t="s">
        <v>178</v>
      </c>
      <c r="E12" s="12" t="s">
        <v>166</v>
      </c>
    </row>
    <row r="13" spans="1:5" x14ac:dyDescent="0.25">
      <c r="A13" s="12" t="s">
        <v>66</v>
      </c>
      <c r="B13" s="11" t="s">
        <v>179</v>
      </c>
      <c r="C13" s="9">
        <v>2310</v>
      </c>
      <c r="D13" s="9" t="s">
        <v>178</v>
      </c>
      <c r="E13" s="12" t="s">
        <v>166</v>
      </c>
    </row>
    <row r="14" spans="1:5" x14ac:dyDescent="0.25">
      <c r="A14" s="12" t="s">
        <v>47</v>
      </c>
      <c r="B14" s="11" t="s">
        <v>167</v>
      </c>
      <c r="C14" s="9">
        <v>2350</v>
      </c>
      <c r="D14" s="9" t="s">
        <v>168</v>
      </c>
      <c r="E14" s="12" t="s">
        <v>166</v>
      </c>
    </row>
    <row r="15" spans="1:5" x14ac:dyDescent="0.25">
      <c r="A15" s="12" t="s">
        <v>19</v>
      </c>
      <c r="B15" s="11" t="s">
        <v>194</v>
      </c>
      <c r="C15" s="9">
        <v>2345</v>
      </c>
      <c r="D15" s="9" t="s">
        <v>190</v>
      </c>
      <c r="E15" s="12" t="s">
        <v>166</v>
      </c>
    </row>
    <row r="16" spans="1:5" x14ac:dyDescent="0.25">
      <c r="A16" s="12" t="s">
        <v>64</v>
      </c>
      <c r="B16" s="11" t="s">
        <v>180</v>
      </c>
      <c r="C16" s="9">
        <v>2330</v>
      </c>
      <c r="D16" s="9" t="s">
        <v>178</v>
      </c>
      <c r="E16" s="12" t="s">
        <v>166</v>
      </c>
    </row>
    <row r="17" spans="1:5" x14ac:dyDescent="0.25">
      <c r="A17" s="12" t="s">
        <v>33</v>
      </c>
      <c r="B17" s="11" t="s">
        <v>193</v>
      </c>
      <c r="C17" s="9">
        <v>2340</v>
      </c>
      <c r="D17" s="9" t="s">
        <v>190</v>
      </c>
      <c r="E17" s="12" t="s">
        <v>166</v>
      </c>
    </row>
    <row r="18" spans="1:5" x14ac:dyDescent="0.25">
      <c r="A18" s="12" t="s">
        <v>40</v>
      </c>
      <c r="B18" s="11" t="s">
        <v>95</v>
      </c>
      <c r="C18" s="9">
        <v>4100</v>
      </c>
      <c r="D18" s="9" t="s">
        <v>94</v>
      </c>
      <c r="E18" s="12" t="s">
        <v>92</v>
      </c>
    </row>
    <row r="19" spans="1:5" x14ac:dyDescent="0.25">
      <c r="A19" s="12" t="s">
        <v>9</v>
      </c>
      <c r="B19" s="11" t="s">
        <v>189</v>
      </c>
      <c r="C19" s="9">
        <v>2355</v>
      </c>
      <c r="D19" s="9" t="s">
        <v>190</v>
      </c>
      <c r="E19" s="12" t="s">
        <v>166</v>
      </c>
    </row>
    <row r="20" spans="1:5" x14ac:dyDescent="0.25">
      <c r="A20" s="12" t="s">
        <v>36</v>
      </c>
      <c r="B20" s="11" t="s">
        <v>170</v>
      </c>
      <c r="C20" s="9">
        <v>1054</v>
      </c>
      <c r="D20" s="9" t="s">
        <v>171</v>
      </c>
      <c r="E20" s="12" t="s">
        <v>166</v>
      </c>
    </row>
    <row r="21" spans="1:5" x14ac:dyDescent="0.25">
      <c r="A21" s="12" t="s">
        <v>24</v>
      </c>
      <c r="B21" s="11" t="s">
        <v>172</v>
      </c>
      <c r="C21" s="9">
        <v>1103</v>
      </c>
      <c r="D21" s="9" t="s">
        <v>171</v>
      </c>
      <c r="E21" s="12" t="s">
        <v>166</v>
      </c>
    </row>
    <row r="22" spans="1:5" x14ac:dyDescent="0.25">
      <c r="A22" s="12" t="s">
        <v>0</v>
      </c>
      <c r="B22" s="11" t="s">
        <v>181</v>
      </c>
      <c r="C22" s="9">
        <v>2099</v>
      </c>
      <c r="D22" s="9" t="s">
        <v>178</v>
      </c>
      <c r="E22" s="12" t="s">
        <v>166</v>
      </c>
    </row>
    <row r="23" spans="1:5" x14ac:dyDescent="0.25">
      <c r="A23" s="12" t="s">
        <v>25</v>
      </c>
      <c r="B23" s="11" t="s">
        <v>184</v>
      </c>
      <c r="C23" s="9">
        <v>1104</v>
      </c>
      <c r="D23" s="9" t="s">
        <v>183</v>
      </c>
      <c r="E23" s="12" t="s">
        <v>166</v>
      </c>
    </row>
    <row r="24" spans="1:5" x14ac:dyDescent="0.25">
      <c r="A24" s="12" t="s">
        <v>42</v>
      </c>
      <c r="B24" s="11" t="s">
        <v>98</v>
      </c>
      <c r="C24" s="9">
        <v>4120</v>
      </c>
      <c r="D24" s="9" t="s">
        <v>97</v>
      </c>
      <c r="E24" s="12" t="s">
        <v>92</v>
      </c>
    </row>
    <row r="25" spans="1:5" x14ac:dyDescent="0.25">
      <c r="A25" s="12" t="s">
        <v>59</v>
      </c>
      <c r="B25" s="11" t="s">
        <v>108</v>
      </c>
      <c r="C25" s="9">
        <v>4118</v>
      </c>
      <c r="D25" s="9" t="s">
        <v>107</v>
      </c>
      <c r="E25" s="12" t="s">
        <v>92</v>
      </c>
    </row>
    <row r="26" spans="1:5" x14ac:dyDescent="0.25">
      <c r="A26" s="12" t="s">
        <v>52</v>
      </c>
      <c r="B26" s="11" t="s">
        <v>93</v>
      </c>
      <c r="C26" s="9">
        <v>4146</v>
      </c>
      <c r="D26" s="9" t="s">
        <v>94</v>
      </c>
      <c r="E26" s="12" t="s">
        <v>92</v>
      </c>
    </row>
    <row r="27" spans="1:5" x14ac:dyDescent="0.25">
      <c r="A27" s="12" t="s">
        <v>60</v>
      </c>
      <c r="B27" s="11" t="s">
        <v>96</v>
      </c>
      <c r="C27" s="9">
        <v>4140</v>
      </c>
      <c r="D27" s="9" t="s">
        <v>97</v>
      </c>
      <c r="E27" s="12" t="s">
        <v>92</v>
      </c>
    </row>
    <row r="28" spans="1:5" x14ac:dyDescent="0.25">
      <c r="A28" s="12" t="s">
        <v>61</v>
      </c>
      <c r="B28" s="11" t="s">
        <v>103</v>
      </c>
      <c r="C28" s="9">
        <v>4117</v>
      </c>
      <c r="D28" s="9" t="s">
        <v>104</v>
      </c>
      <c r="E28" s="12" t="s">
        <v>92</v>
      </c>
    </row>
    <row r="29" spans="1:5" x14ac:dyDescent="0.25">
      <c r="A29" s="12" t="s">
        <v>62</v>
      </c>
      <c r="B29" s="11" t="s">
        <v>106</v>
      </c>
      <c r="C29" s="9">
        <v>4147</v>
      </c>
      <c r="D29" s="9" t="s">
        <v>107</v>
      </c>
      <c r="E29" s="12" t="s">
        <v>92</v>
      </c>
    </row>
    <row r="30" spans="1:5" x14ac:dyDescent="0.25">
      <c r="A30" s="12" t="s">
        <v>56</v>
      </c>
      <c r="B30" s="11" t="s">
        <v>105</v>
      </c>
      <c r="C30" s="9">
        <v>4110</v>
      </c>
      <c r="D30" s="9" t="s">
        <v>104</v>
      </c>
      <c r="E30" s="12" t="s">
        <v>92</v>
      </c>
    </row>
    <row r="31" spans="1:5" x14ac:dyDescent="0.25">
      <c r="A31" s="12" t="s">
        <v>28</v>
      </c>
      <c r="B31" s="11" t="s">
        <v>99</v>
      </c>
      <c r="C31" s="9">
        <v>4150</v>
      </c>
      <c r="D31" s="9" t="s">
        <v>97</v>
      </c>
      <c r="E31" s="12" t="s">
        <v>92</v>
      </c>
    </row>
    <row r="32" spans="1:5" x14ac:dyDescent="0.25">
      <c r="A32" s="12" t="s">
        <v>50</v>
      </c>
      <c r="B32" s="11" t="s">
        <v>164</v>
      </c>
      <c r="C32" s="9">
        <v>3190</v>
      </c>
      <c r="D32" s="9" t="s">
        <v>163</v>
      </c>
      <c r="E32" s="12" t="s">
        <v>147</v>
      </c>
    </row>
    <row r="33" spans="1:5" x14ac:dyDescent="0.25">
      <c r="A33" s="12" t="s">
        <v>26</v>
      </c>
      <c r="B33" s="11" t="s">
        <v>116</v>
      </c>
      <c r="C33" s="9">
        <v>2260</v>
      </c>
      <c r="D33" s="9" t="s">
        <v>117</v>
      </c>
      <c r="E33" s="12" t="s">
        <v>109</v>
      </c>
    </row>
    <row r="34" spans="1:5" x14ac:dyDescent="0.25">
      <c r="A34" s="12" t="s">
        <v>23</v>
      </c>
      <c r="B34" s="11" t="s">
        <v>112</v>
      </c>
      <c r="C34" s="9">
        <v>2210</v>
      </c>
      <c r="D34" s="9" t="s">
        <v>111</v>
      </c>
      <c r="E34" s="12" t="s">
        <v>109</v>
      </c>
    </row>
    <row r="35" spans="1:5" x14ac:dyDescent="0.25">
      <c r="A35" s="12" t="s">
        <v>55</v>
      </c>
      <c r="B35" s="11" t="s">
        <v>125</v>
      </c>
      <c r="C35" s="9">
        <v>2240</v>
      </c>
      <c r="D35" s="9" t="s">
        <v>126</v>
      </c>
      <c r="E35" s="12" t="s">
        <v>109</v>
      </c>
    </row>
    <row r="36" spans="1:5" x14ac:dyDescent="0.25">
      <c r="A36" s="12" t="s">
        <v>16</v>
      </c>
      <c r="B36" s="11" t="s">
        <v>140</v>
      </c>
      <c r="C36" s="9">
        <v>2220</v>
      </c>
      <c r="D36" s="9" t="s">
        <v>138</v>
      </c>
      <c r="E36" s="12" t="s">
        <v>127</v>
      </c>
    </row>
    <row r="37" spans="1:5" x14ac:dyDescent="0.25">
      <c r="A37" s="12" t="s">
        <v>44</v>
      </c>
      <c r="B37" s="11" t="s">
        <v>123</v>
      </c>
      <c r="C37" s="9">
        <v>2125</v>
      </c>
      <c r="D37" s="9" t="s">
        <v>121</v>
      </c>
      <c r="E37" s="12" t="s">
        <v>109</v>
      </c>
    </row>
    <row r="38" spans="1:5" x14ac:dyDescent="0.25">
      <c r="A38" s="12" t="s">
        <v>12</v>
      </c>
      <c r="B38" s="11" t="s">
        <v>131</v>
      </c>
      <c r="C38" s="9">
        <v>3040</v>
      </c>
      <c r="D38" s="9" t="s">
        <v>132</v>
      </c>
      <c r="E38" s="12" t="s">
        <v>127</v>
      </c>
    </row>
    <row r="39" spans="1:5" x14ac:dyDescent="0.25">
      <c r="A39" s="12" t="s">
        <v>8</v>
      </c>
      <c r="B39" s="11" t="s">
        <v>141</v>
      </c>
      <c r="C39" s="9">
        <v>2230</v>
      </c>
      <c r="D39" s="9" t="s">
        <v>142</v>
      </c>
      <c r="E39" s="12" t="s">
        <v>127</v>
      </c>
    </row>
    <row r="40" spans="1:5" x14ac:dyDescent="0.25">
      <c r="A40" s="12" t="s">
        <v>54</v>
      </c>
      <c r="B40" s="11" t="s">
        <v>118</v>
      </c>
      <c r="C40" s="9">
        <v>3055</v>
      </c>
      <c r="D40" s="9" t="s">
        <v>119</v>
      </c>
      <c r="E40" s="12" t="s">
        <v>109</v>
      </c>
    </row>
    <row r="41" spans="1:5" x14ac:dyDescent="0.25">
      <c r="A41" s="12" t="s">
        <v>34</v>
      </c>
      <c r="B41" s="11" t="s">
        <v>188</v>
      </c>
      <c r="C41" s="9">
        <v>2365</v>
      </c>
      <c r="D41" s="9" t="s">
        <v>186</v>
      </c>
      <c r="E41" s="12" t="s">
        <v>166</v>
      </c>
    </row>
    <row r="42" spans="1:5" x14ac:dyDescent="0.25">
      <c r="A42" s="12" t="s">
        <v>32</v>
      </c>
      <c r="B42" s="11" t="s">
        <v>110</v>
      </c>
      <c r="C42" s="9">
        <v>2250</v>
      </c>
      <c r="D42" s="9" t="s">
        <v>111</v>
      </c>
      <c r="E42" s="12" t="s">
        <v>109</v>
      </c>
    </row>
    <row r="43" spans="1:5" x14ac:dyDescent="0.25">
      <c r="A43" s="12" t="s">
        <v>41</v>
      </c>
      <c r="B43" s="11" t="s">
        <v>146</v>
      </c>
      <c r="C43" s="9">
        <v>3051</v>
      </c>
      <c r="D43" s="9" t="s">
        <v>145</v>
      </c>
      <c r="E43" s="12" t="s">
        <v>127</v>
      </c>
    </row>
    <row r="44" spans="1:5" x14ac:dyDescent="0.25">
      <c r="A44" s="12" t="s">
        <v>37</v>
      </c>
      <c r="B44" s="11" t="s">
        <v>169</v>
      </c>
      <c r="C44" s="9">
        <v>2370</v>
      </c>
      <c r="D44" s="9" t="s">
        <v>168</v>
      </c>
      <c r="E44" s="12" t="s">
        <v>166</v>
      </c>
    </row>
    <row r="45" spans="1:5" x14ac:dyDescent="0.25">
      <c r="A45" s="12" t="s">
        <v>7</v>
      </c>
      <c r="B45" s="11" t="s">
        <v>122</v>
      </c>
      <c r="C45" s="9">
        <v>2135</v>
      </c>
      <c r="D45" s="9" t="s">
        <v>121</v>
      </c>
      <c r="E45" s="12" t="s">
        <v>109</v>
      </c>
    </row>
    <row r="46" spans="1:5" x14ac:dyDescent="0.25">
      <c r="A46" s="12" t="s">
        <v>39</v>
      </c>
      <c r="B46" s="11" t="s">
        <v>139</v>
      </c>
      <c r="C46" s="9">
        <v>2270</v>
      </c>
      <c r="D46" s="9" t="s">
        <v>138</v>
      </c>
      <c r="E46" s="12" t="s">
        <v>127</v>
      </c>
    </row>
    <row r="47" spans="1:5" x14ac:dyDescent="0.25">
      <c r="A47" s="12" t="s">
        <v>38</v>
      </c>
      <c r="B47" s="11" t="s">
        <v>187</v>
      </c>
      <c r="C47" s="9">
        <v>3230</v>
      </c>
      <c r="D47" s="9" t="s">
        <v>186</v>
      </c>
      <c r="E47" s="12" t="s">
        <v>166</v>
      </c>
    </row>
    <row r="48" spans="1:5" x14ac:dyDescent="0.25">
      <c r="A48" s="12" t="s">
        <v>49</v>
      </c>
      <c r="B48" s="11" t="s">
        <v>128</v>
      </c>
      <c r="C48" s="9">
        <v>3170</v>
      </c>
      <c r="D48" s="9" t="s">
        <v>129</v>
      </c>
      <c r="E48" s="12" t="s">
        <v>127</v>
      </c>
    </row>
    <row r="49" spans="1:5" x14ac:dyDescent="0.25">
      <c r="A49" s="12" t="s">
        <v>43</v>
      </c>
      <c r="B49" s="11" t="s">
        <v>133</v>
      </c>
      <c r="C49" s="9">
        <v>3120</v>
      </c>
      <c r="D49" s="9" t="s">
        <v>134</v>
      </c>
      <c r="E49" s="12" t="s">
        <v>127</v>
      </c>
    </row>
    <row r="50" spans="1:5" x14ac:dyDescent="0.25">
      <c r="A50" s="12" t="s">
        <v>192</v>
      </c>
      <c r="B50" s="11" t="s">
        <v>191</v>
      </c>
      <c r="C50" s="9">
        <v>2375</v>
      </c>
      <c r="D50" s="9" t="s">
        <v>190</v>
      </c>
      <c r="E50" s="12" t="s">
        <v>166</v>
      </c>
    </row>
    <row r="51" spans="1:5" x14ac:dyDescent="0.25">
      <c r="A51" s="12" t="s">
        <v>11</v>
      </c>
      <c r="B51" s="11" t="s">
        <v>143</v>
      </c>
      <c r="C51" s="9">
        <v>3186</v>
      </c>
      <c r="D51" s="9" t="s">
        <v>142</v>
      </c>
      <c r="E51" s="12" t="s">
        <v>127</v>
      </c>
    </row>
    <row r="52" spans="1:5" x14ac:dyDescent="0.25">
      <c r="A52" s="12" t="s">
        <v>30</v>
      </c>
      <c r="B52" s="11" t="s">
        <v>100</v>
      </c>
      <c r="C52" s="9">
        <v>3160</v>
      </c>
      <c r="D52" s="9" t="s">
        <v>101</v>
      </c>
      <c r="E52" s="12" t="s">
        <v>92</v>
      </c>
    </row>
    <row r="53" spans="1:5" x14ac:dyDescent="0.25">
      <c r="A53" s="12" t="s">
        <v>29</v>
      </c>
      <c r="B53" s="11" t="s">
        <v>130</v>
      </c>
      <c r="C53" s="9">
        <v>3150</v>
      </c>
      <c r="D53" s="9" t="s">
        <v>129</v>
      </c>
      <c r="E53" s="12" t="s">
        <v>127</v>
      </c>
    </row>
    <row r="54" spans="1:5" x14ac:dyDescent="0.25">
      <c r="A54" s="12" t="s">
        <v>35</v>
      </c>
      <c r="B54" s="11" t="s">
        <v>135</v>
      </c>
      <c r="C54" s="9">
        <v>3126</v>
      </c>
      <c r="D54" s="9" t="s">
        <v>134</v>
      </c>
      <c r="E54" s="12" t="s">
        <v>127</v>
      </c>
    </row>
    <row r="55" spans="1:5" x14ac:dyDescent="0.25">
      <c r="A55" s="12" t="s">
        <v>17</v>
      </c>
      <c r="B55" s="11" t="s">
        <v>136</v>
      </c>
      <c r="C55" s="9">
        <v>3023</v>
      </c>
      <c r="D55" s="9" t="s">
        <v>134</v>
      </c>
      <c r="E55" s="12" t="s">
        <v>127</v>
      </c>
    </row>
    <row r="56" spans="1:5" x14ac:dyDescent="0.25">
      <c r="A56" s="12" t="s">
        <v>69</v>
      </c>
      <c r="B56" s="11" t="s">
        <v>148</v>
      </c>
      <c r="C56" s="9">
        <v>2185</v>
      </c>
      <c r="D56" s="9" t="s">
        <v>149</v>
      </c>
      <c r="E56" s="12" t="s">
        <v>147</v>
      </c>
    </row>
    <row r="57" spans="1:5" x14ac:dyDescent="0.25">
      <c r="A57" s="12" t="s">
        <v>31</v>
      </c>
      <c r="B57" s="11" t="s">
        <v>182</v>
      </c>
      <c r="C57" s="9">
        <v>1106</v>
      </c>
      <c r="D57" s="9" t="s">
        <v>183</v>
      </c>
      <c r="E57" s="12" t="s">
        <v>166</v>
      </c>
    </row>
    <row r="58" spans="1:5" x14ac:dyDescent="0.25">
      <c r="A58" s="12" t="s">
        <v>20</v>
      </c>
      <c r="B58" s="11" t="s">
        <v>115</v>
      </c>
      <c r="C58" s="9">
        <v>3135</v>
      </c>
      <c r="D58" s="9" t="s">
        <v>114</v>
      </c>
      <c r="E58" s="12" t="s">
        <v>109</v>
      </c>
    </row>
    <row r="59" spans="1:5" x14ac:dyDescent="0.25">
      <c r="A59" s="12" t="s">
        <v>48</v>
      </c>
      <c r="B59" s="11" t="s">
        <v>137</v>
      </c>
      <c r="C59" s="9">
        <v>3139</v>
      </c>
      <c r="D59" s="9" t="s">
        <v>138</v>
      </c>
      <c r="E59" s="12" t="s">
        <v>127</v>
      </c>
    </row>
    <row r="60" spans="1:5" x14ac:dyDescent="0.25">
      <c r="A60" s="12" t="s">
        <v>45</v>
      </c>
      <c r="B60" s="11" t="s">
        <v>144</v>
      </c>
      <c r="C60" s="9">
        <v>3147</v>
      </c>
      <c r="D60" s="9" t="s">
        <v>145</v>
      </c>
      <c r="E60" s="12" t="s">
        <v>127</v>
      </c>
    </row>
    <row r="61" spans="1:5" x14ac:dyDescent="0.25">
      <c r="A61" s="12" t="s">
        <v>58</v>
      </c>
      <c r="B61" s="11" t="s">
        <v>175</v>
      </c>
      <c r="C61" s="9">
        <v>3210</v>
      </c>
      <c r="D61" s="9" t="s">
        <v>174</v>
      </c>
      <c r="E61" s="12" t="s">
        <v>166</v>
      </c>
    </row>
    <row r="62" spans="1:5" x14ac:dyDescent="0.25">
      <c r="A62" s="12" t="s">
        <v>14</v>
      </c>
      <c r="B62" s="11" t="s">
        <v>102</v>
      </c>
      <c r="C62" s="9">
        <v>1933</v>
      </c>
      <c r="D62" s="9" t="s">
        <v>101</v>
      </c>
      <c r="E62" s="12" t="s">
        <v>92</v>
      </c>
    </row>
    <row r="63" spans="1:5" x14ac:dyDescent="0.25">
      <c r="A63" s="12" t="s">
        <v>13</v>
      </c>
      <c r="B63" s="11" t="s">
        <v>153</v>
      </c>
      <c r="C63" s="9">
        <v>2140</v>
      </c>
      <c r="D63" s="9" t="s">
        <v>152</v>
      </c>
      <c r="E63" s="12" t="s">
        <v>147</v>
      </c>
    </row>
    <row r="64" spans="1:5" x14ac:dyDescent="0.25">
      <c r="A64" s="12" t="s">
        <v>65</v>
      </c>
      <c r="B64" s="11" t="s">
        <v>113</v>
      </c>
      <c r="C64" s="9">
        <v>3103</v>
      </c>
      <c r="D64" s="9" t="s">
        <v>114</v>
      </c>
      <c r="E64" s="12" t="s">
        <v>109</v>
      </c>
    </row>
    <row r="65" spans="1:5" x14ac:dyDescent="0.25">
      <c r="A65" s="12" t="s">
        <v>57</v>
      </c>
      <c r="B65" s="11" t="s">
        <v>154</v>
      </c>
      <c r="C65" s="9">
        <v>2030</v>
      </c>
      <c r="D65" s="9" t="s">
        <v>155</v>
      </c>
      <c r="E65" s="12" t="s">
        <v>147</v>
      </c>
    </row>
    <row r="66" spans="1:5" x14ac:dyDescent="0.25">
      <c r="A66" s="12" t="s">
        <v>10</v>
      </c>
      <c r="B66" s="11" t="s">
        <v>185</v>
      </c>
      <c r="C66" s="9">
        <v>2360</v>
      </c>
      <c r="D66" s="9" t="s">
        <v>186</v>
      </c>
      <c r="E66" s="12" t="s">
        <v>166</v>
      </c>
    </row>
    <row r="67" spans="1:5" x14ac:dyDescent="0.25">
      <c r="A67" s="12" t="s">
        <v>63</v>
      </c>
      <c r="B67" s="11" t="s">
        <v>173</v>
      </c>
      <c r="C67" s="9">
        <v>3220</v>
      </c>
      <c r="D67" s="9" t="s">
        <v>174</v>
      </c>
      <c r="E67" s="12" t="s">
        <v>166</v>
      </c>
    </row>
  </sheetData>
  <autoFilter ref="A1:E1" xr:uid="{35415AE6-DBF2-451A-88F6-FA69C7A14F47}">
    <sortState xmlns:xlrd2="http://schemas.microsoft.com/office/spreadsheetml/2017/richdata2" ref="A2:E67">
      <sortCondition ref="B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51BDD057A98E4AA58101D97D065A06" ma:contentTypeVersion="13" ma:contentTypeDescription="Create a new document." ma:contentTypeScope="" ma:versionID="476137a8810be02ee121a8845b814d80">
  <xsd:schema xmlns:xsd="http://www.w3.org/2001/XMLSchema" xmlns:xs="http://www.w3.org/2001/XMLSchema" xmlns:p="http://schemas.microsoft.com/office/2006/metadata/properties" xmlns:ns2="ec4e0f00-b932-47d8-a2b6-8de0c738c35e" xmlns:ns3="b867937b-c63d-4d4a-bfd0-acff1aa3cf92" targetNamespace="http://schemas.microsoft.com/office/2006/metadata/properties" ma:root="true" ma:fieldsID="d56cab8816205c041e4d9a0129dac4ae" ns2:_="" ns3:_="">
    <xsd:import namespace="ec4e0f00-b932-47d8-a2b6-8de0c738c35e"/>
    <xsd:import namespace="b867937b-c63d-4d4a-bfd0-acff1aa3cf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4e0f00-b932-47d8-a2b6-8de0c738c3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67937b-c63d-4d4a-bfd0-acff1aa3cf9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1F666D-BDD9-4EA3-BE99-9FE8F7B52CB8}"/>
</file>

<file path=customXml/itemProps2.xml><?xml version="1.0" encoding="utf-8"?>
<ds:datastoreItem xmlns:ds="http://schemas.openxmlformats.org/officeDocument/2006/customXml" ds:itemID="{AD8911E5-F600-42C8-935E-1B615564B269}"/>
</file>

<file path=customXml/itemProps3.xml><?xml version="1.0" encoding="utf-8"?>
<ds:datastoreItem xmlns:ds="http://schemas.openxmlformats.org/officeDocument/2006/customXml" ds:itemID="{090ACF14-B42E-4FE1-BD1F-6D1219990D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Sheet4</vt:lpstr>
      <vt:lpstr>HOS_Modellable Customers</vt:lpstr>
      <vt:lpstr>Modellable Customers</vt:lpstr>
      <vt:lpstr>HOS_Customer Info</vt:lpstr>
      <vt:lpstr>Customer Info</vt:lpstr>
      <vt:lpstr>HExisting Customer Variable Exp</vt:lpstr>
      <vt:lpstr>HOS_Existing Customers</vt:lpstr>
      <vt:lpstr>REFERENCE</vt:lpstr>
      <vt:lpstr>MARKET LIST</vt:lpstr>
      <vt:lpstr>MarketDividerAuto</vt:lpstr>
      <vt:lpstr>PushToSharePoint</vt:lpstr>
      <vt:lpstr>Start Here</vt:lpstr>
      <vt:lpstr>Markets</vt:lpstr>
      <vt:lpstr>'Customer Info'!ExternalData_1</vt:lpstr>
      <vt:lpstr>'HExisting Customer Variable Exp'!ExternalData_1</vt:lpstr>
      <vt:lpstr>'HOS_Customer Info'!ExternalData_1</vt:lpstr>
      <vt:lpstr>'HOS_Existing Customers'!ExternalData_1</vt:lpstr>
      <vt:lpstr>'HOS_Modellable Customers'!ExternalData_1</vt:lpstr>
      <vt:lpstr>'Modellable Customers'!ExternalData_1</vt:lpstr>
      <vt:lpstr>Sheet4!ExternalData_1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Alex</dc:creator>
  <cp:lastModifiedBy>Lim, Alex</cp:lastModifiedBy>
  <cp:lastPrinted>2019-04-10T21:48:31Z</cp:lastPrinted>
  <dcterms:created xsi:type="dcterms:W3CDTF">2019-02-12T14:49:08Z</dcterms:created>
  <dcterms:modified xsi:type="dcterms:W3CDTF">2019-05-08T19:49:22Z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0x010100EF51BDD057A98E4AA58101D97D065A06</vt:lpwstr>
  </property>
</Properties>
</file>