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xl/queryTables/queryTable7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xl/queryTables/queryTable6.xml" ContentType="application/vnd.openxmlformats-officedocument.spreadsheetml.queryTable+xml"/>
  <Override PartName="/xl/queryTables/queryTable5.xml" ContentType="application/vnd.openxmlformats-officedocument.spreadsheetml.queryTable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2q6026\Desktop\ALC\"/>
    </mc:Choice>
  </mc:AlternateContent>
  <xr:revisionPtr revIDLastSave="0" documentId="13_ncr:1_{066B4F85-FC87-4563-8D2E-5F45C11BCEC8}" xr6:coauthVersionLast="40" xr6:coauthVersionMax="40" xr10:uidLastSave="{00000000-0000-0000-0000-000000000000}"/>
  <bookViews>
    <workbookView xWindow="0" yWindow="0" windowWidth="28800" windowHeight="11865" firstSheet="1" activeTab="8" xr2:uid="{AC0A4C25-4EEE-49B4-AAE9-BC4AD5F0BE4E}"/>
  </bookViews>
  <sheets>
    <sheet name="Customer Info" sheetId="95" r:id="rId1"/>
    <sheet name="3zip" sheetId="94" r:id="rId2"/>
    <sheet name="4zip" sheetId="93" r:id="rId3"/>
    <sheet name="5zip" sheetId="92" r:id="rId4"/>
    <sheet name="Variable Div Avgs" sheetId="91" r:id="rId5"/>
    <sheet name="Variable Selling" sheetId="90" r:id="rId6"/>
    <sheet name="Existing Customer Variable Exp" sheetId="89" r:id="rId7"/>
    <sheet name="Existing Customers" sheetId="88" r:id="rId8"/>
    <sheet name="REFERENCE" sheetId="1" r:id="rId9"/>
    <sheet name="MARKET LIST" sheetId="47" r:id="rId10"/>
  </sheets>
  <definedNames>
    <definedName name="ExternalData_1" localSheetId="1">'3zip'!$A$1:$F$2</definedName>
    <definedName name="ExternalData_1" localSheetId="2">'4zip'!$A$1:$F$2</definedName>
    <definedName name="ExternalData_1" localSheetId="3">'5zip'!$A$1:$F$2</definedName>
    <definedName name="ExternalData_1" localSheetId="0">'Customer Info'!$A$1:$F$2</definedName>
    <definedName name="ExternalData_1" localSheetId="6">'Existing Customer Variable Exp'!$A$1:$F$2</definedName>
    <definedName name="ExternalData_1" localSheetId="7">'Existing Customers'!$A$1:$AB$2</definedName>
    <definedName name="ExternalData_1" localSheetId="4">'Variable Div Avgs'!$A$1:$M$2</definedName>
    <definedName name="ExternalData_1" localSheetId="5">'Variable Selling'!$A$1:$O$2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1" l="1"/>
  <c r="I2" i="1" l="1"/>
  <c r="I3" i="1" s="1"/>
  <c r="I4" i="1" s="1"/>
  <c r="I5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DA2194F-D58A-49A1-94E0-3A4419467A08}" name="Connection" type="1" refreshedVersion="0" deleted="1" background="1" saveData="1">
    <dbPr connection="" command=""/>
  </connection>
</connections>
</file>

<file path=xl/sharedStrings.xml><?xml version="1.0" encoding="utf-8"?>
<sst xmlns="http://schemas.openxmlformats.org/spreadsheetml/2006/main" count="169" uniqueCount="143">
  <si>
    <t>CHICAGO</t>
  </si>
  <si>
    <t>Time To Run</t>
  </si>
  <si>
    <t>2018Q4</t>
  </si>
  <si>
    <t>2018Q3</t>
  </si>
  <si>
    <t>2018Q2</t>
  </si>
  <si>
    <t>2018Q1</t>
  </si>
  <si>
    <t>XREF</t>
  </si>
  <si>
    <t>Markets To Run</t>
  </si>
  <si>
    <t>ROANOKE</t>
  </si>
  <si>
    <t>MONTGOMERY</t>
  </si>
  <si>
    <t>SIOUX FALLS</t>
  </si>
  <si>
    <t>OMAHA</t>
  </si>
  <si>
    <t>JACKSON</t>
  </si>
  <si>
    <t>F. CHRISTIANA</t>
  </si>
  <si>
    <t>ALBANY</t>
  </si>
  <si>
    <t>ALBUQUERQUE</t>
  </si>
  <si>
    <t>ALLENTOWN</t>
  </si>
  <si>
    <t>ATLANTA</t>
  </si>
  <si>
    <t>AUSTIN</t>
  </si>
  <si>
    <t>BALTIMORE</t>
  </si>
  <si>
    <t>BISMARCK</t>
  </si>
  <si>
    <t>BOCA RATON</t>
  </si>
  <si>
    <t>BOSTON</t>
  </si>
  <si>
    <t>BUFFALO</t>
  </si>
  <si>
    <t>CHARLOTTE</t>
  </si>
  <si>
    <t>CINCINNATI</t>
  </si>
  <si>
    <t>CLEVELAND</t>
  </si>
  <si>
    <t>COLUMBIA</t>
  </si>
  <si>
    <t>CONNECTICUT</t>
  </si>
  <si>
    <t>CORONA</t>
  </si>
  <si>
    <t>DALLAS</t>
  </si>
  <si>
    <t>DENVER</t>
  </si>
  <si>
    <t>DETROIT</t>
  </si>
  <si>
    <t>FORT MILL</t>
  </si>
  <si>
    <t>GRAND FORKS</t>
  </si>
  <si>
    <t>GRAND ISLAND</t>
  </si>
  <si>
    <t>HOUSTON</t>
  </si>
  <si>
    <t>INDIANAPOLIS</t>
  </si>
  <si>
    <t>IOWA</t>
  </si>
  <si>
    <t>KANSAS CITY</t>
  </si>
  <si>
    <t>KNOXVILLE</t>
  </si>
  <si>
    <t>LAS VEGAS</t>
  </si>
  <si>
    <t>LITTLE ROCK</t>
  </si>
  <si>
    <t>LOS ANGELES</t>
  </si>
  <si>
    <t>LUBBOCK</t>
  </si>
  <si>
    <t>MANASSAS</t>
  </si>
  <si>
    <t>MEMPHIS</t>
  </si>
  <si>
    <t>METRO NEW YORK</t>
  </si>
  <si>
    <t>MINNESOTA</t>
  </si>
  <si>
    <t>NORCROSS</t>
  </si>
  <si>
    <t>OKLAHOMA CITY</t>
  </si>
  <si>
    <t>PHILADELPHIA - BRIDGEPORT</t>
  </si>
  <si>
    <t>PHILADELPHIA - SWEDESBORO</t>
  </si>
  <si>
    <t>PHOENIX</t>
  </si>
  <si>
    <t>PITTSTON</t>
  </si>
  <si>
    <t>PORT ORANGE</t>
  </si>
  <si>
    <t>RALEIGH</t>
  </si>
  <si>
    <t>RENO</t>
  </si>
  <si>
    <t>RHODE ISLAND</t>
  </si>
  <si>
    <t>SALEM</t>
  </si>
  <si>
    <t>SALT LAKE CITY</t>
  </si>
  <si>
    <t>SAN DIEGO</t>
  </si>
  <si>
    <t>SAN FRANCISCO</t>
  </si>
  <si>
    <t>SEATTLE</t>
  </si>
  <si>
    <t>ST.LOUIS</t>
  </si>
  <si>
    <t>STREATOR</t>
  </si>
  <si>
    <t>TAMPA</t>
  </si>
  <si>
    <t>WAUKESHA</t>
  </si>
  <si>
    <t>WEST VIRGINIA</t>
  </si>
  <si>
    <t>WESTERN PA - ALTOONA</t>
  </si>
  <si>
    <t>WESTERN PA - GREENSBURG</t>
  </si>
  <si>
    <t xml:space="preserve">WISCONSIN </t>
  </si>
  <si>
    <t>Existing Customers</t>
  </si>
  <si>
    <t>Existing Customer Variable Exp</t>
  </si>
  <si>
    <t>Variable Selling</t>
  </si>
  <si>
    <t>Variable Div Avgs</t>
  </si>
  <si>
    <t>5zip</t>
  </si>
  <si>
    <t>4zip</t>
  </si>
  <si>
    <t>3zip</t>
  </si>
  <si>
    <t>2019Q1</t>
  </si>
  <si>
    <t>Customer Info</t>
  </si>
  <si>
    <t>CUST_NBR</t>
  </si>
  <si>
    <t>CUST_NM</t>
  </si>
  <si>
    <t>PARENT_MULTI_UNIT</t>
  </si>
  <si>
    <t>PYRAMID_SEGMENT_DESC</t>
  </si>
  <si>
    <t>ACCOUNTABLITY</t>
  </si>
  <si>
    <t>MENU_GROUPING</t>
  </si>
  <si>
    <t>SIMPLIFIED_MENU_TYPE</t>
  </si>
  <si>
    <t>PIM_CLASS_DESC</t>
  </si>
  <si>
    <t>ZIP_CODE</t>
  </si>
  <si>
    <t>Z5_ZIP</t>
  </si>
  <si>
    <t>REGION_NAME</t>
  </si>
  <si>
    <t>DIVISION_NAME</t>
  </si>
  <si>
    <t>ZONE_NAME</t>
  </si>
  <si>
    <t>QUANTITY_SHIPPED_SUM</t>
  </si>
  <si>
    <t>EB_CASES</t>
  </si>
  <si>
    <t>NET_WEIGHT_SHIPPED_SUM</t>
  </si>
  <si>
    <t>GROSS_SALES_EXTENDED_SUM</t>
  </si>
  <si>
    <t>GROSS_TGP_SUM</t>
  </si>
  <si>
    <t>TOTAL_ALLOWANCE_SUM</t>
  </si>
  <si>
    <t>TOTAL_VENDOR_FUNDED_DEVIATIONS</t>
  </si>
  <si>
    <t>TOTAL_INTERNAL_FUNDED_DEVIATIONS</t>
  </si>
  <si>
    <t>TAGP</t>
  </si>
  <si>
    <t>CITY</t>
  </si>
  <si>
    <t>STATE</t>
  </si>
  <si>
    <t>ADDRESS_1</t>
  </si>
  <si>
    <t>ADDRESS_2</t>
  </si>
  <si>
    <t>PHONE_NUMBER</t>
  </si>
  <si>
    <t>BRNCH_CD</t>
  </si>
  <si>
    <t>Variable Delivery Cost</t>
  </si>
  <si>
    <t>Variable Selling Cost</t>
  </si>
  <si>
    <t>Variable Warehouse Cost</t>
  </si>
  <si>
    <t>DROPS</t>
  </si>
  <si>
    <t>CUST_ACCTBLY_FLG</t>
  </si>
  <si>
    <t>DIV_NBR</t>
  </si>
  <si>
    <t>DIV_NM</t>
  </si>
  <si>
    <t>SUM(GROSS_SALES_EXTENDED)</t>
  </si>
  <si>
    <t>SUM(NET_SALES)</t>
  </si>
  <si>
    <t>SUM(UNFRM_QTY_SHIPPED)</t>
  </si>
  <si>
    <t>SUM("VARIABLE DELIVERY COST PER CASE")</t>
  </si>
  <si>
    <t>SUM("VARIABLE WAREHOUSE COST PER CASE")</t>
  </si>
  <si>
    <t>SUM("VARIABLE SELLING COST PER CASE")</t>
  </si>
  <si>
    <t>Total Variable Cost Per Case</t>
  </si>
  <si>
    <t>Other GP Per Case</t>
  </si>
  <si>
    <t>CM Per Case</t>
  </si>
  <si>
    <t>CONCAT</t>
  </si>
  <si>
    <t>A5_DIGIT_ZIP</t>
  </si>
  <si>
    <t>Total Variable Delivery</t>
  </si>
  <si>
    <t>SUM(DROPS)</t>
  </si>
  <si>
    <t>DELIVERY_COST_PER_DROP</t>
  </si>
  <si>
    <t>A4_DIGIT_ZIP</t>
  </si>
  <si>
    <t>A3_DIGIT_ZIP</t>
  </si>
  <si>
    <t>ADDR_LN_1</t>
  </si>
  <si>
    <t>ST</t>
  </si>
  <si>
    <t>Columbia</t>
  </si>
  <si>
    <t>MARKET_NAME</t>
  </si>
  <si>
    <t>PYR_SEG_DESC</t>
  </si>
  <si>
    <t>CUST_CNTRCT_FLG</t>
  </si>
  <si>
    <t>SUM ("VARIABLE SELLING COST")</t>
  </si>
  <si>
    <t>SUM("SEMI FIXED SALARY SHARE")</t>
  </si>
  <si>
    <t>Variable Selling/Case</t>
  </si>
  <si>
    <t>Variable Selling/Sales</t>
  </si>
  <si>
    <t>Semi-Fixed Salary/Case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</si>
</sst>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4" borderId="1" xfId="0" applyFont="1" applyFill="1" applyBorder="1"/>
    <xf numFmtId="0" fontId="1" fillId="0" borderId="1" xfId="0" applyFont="1" applyBorder="1"/>
    <xf numFmtId="0" fontId="1" fillId="3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0" fillId="6" borderId="1" xfId="0" applyFill="1" applyBorder="1"/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6346966-D0A3-4017-A172-753DAA4707C9}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CUST_NBR"/>
      <queryTableField id="2" name="CUST_NM"/>
      <queryTableField id="3" name="ADDR_LN_1"/>
      <queryTableField id="4" name="CITY"/>
      <queryTableField id="5" name="ST"/>
      <queryTableField id="6" name="ZIP_CODE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1821E30-EECF-4A90-BEFC-41F04BC0BEB6}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CONCAT"/>
      <queryTableField id="2" name="A3_DIGIT_ZIP"/>
      <queryTableField id="3" name="BRNCH_CD"/>
      <queryTableField id="4" name="Total Variable Delivery"/>
      <queryTableField id="5" name="SUM(DROPS)"/>
      <queryTableField id="6" name="DELIVERY_COST_PER_DROP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65A0149-8856-4B5A-9CF0-5C938444B2E9}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CONCAT"/>
      <queryTableField id="2" name="A4_DIGIT_ZIP"/>
      <queryTableField id="3" name="BRNCH_CD"/>
      <queryTableField id="4" name="Total Variable Delivery"/>
      <queryTableField id="5" name="SUM(DROPS)"/>
      <queryTableField id="6" name="DELIVERY_COST_PER_DROP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F5BF492-E974-43F5-BE51-546254A1CB07}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CONCAT"/>
      <queryTableField id="2" name="A5_DIGIT_ZIP"/>
      <queryTableField id="3" name="BRNCH_CD"/>
      <queryTableField id="4" name="Total Variable Delivery"/>
      <queryTableField id="5" name="SUM(DROPS)"/>
      <queryTableField id="6" name="DELIVERY_COST_PER_DROP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8DE5F6A-5331-405B-89F5-C03C02DCB139}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CUST_ACCTBLY_FLG"/>
      <queryTableField id="2" name="BRNCH_CD"/>
      <queryTableField id="3" name="DIV_NBR"/>
      <queryTableField id="4" name="DIV_NM"/>
      <queryTableField id="5" name="SUM(GROSS_SALES_EXTENDED)"/>
      <queryTableField id="6" name="SUM(NET_SALES)"/>
      <queryTableField id="7" name="SUM(UNFRM_QTY_SHIPPED)"/>
      <queryTableField id="8" name="SUM(&quot;VARIABLE DELIVERY COST PER CASE&quot;)"/>
      <queryTableField id="9" name="SUM(&quot;VARIABLE WAREHOUSE COST PER CASE&quot;)"/>
      <queryTableField id="10" name="SUM(&quot;VARIABLE SELLING COST PER CASE&quot;)"/>
      <queryTableField id="11" name="Total Variable Cost Per Case"/>
      <queryTableField id="12" name="Other GP Per Case"/>
      <queryTableField id="13" name="CM Per Case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8D83BB6-F736-419C-8B66-C0DCB02B1F75}" autoFormatId="0" applyNumberFormats="0" applyBorderFormats="0" applyFontFormats="1" applyPatternFormats="1" applyAlignmentFormats="0" applyWidthHeightFormats="0">
  <queryTableRefresh preserveSortFilterLayout="0" nextId="16">
    <queryTableFields count="15">
      <queryTableField id="1" name="BRNCH_CD"/>
      <queryTableField id="2" name="CONCAT"/>
      <queryTableField id="3" name="MARKET_NAME"/>
      <queryTableField id="4" name="DIV_NBR"/>
      <queryTableField id="5" name="PYR_SEG_DESC"/>
      <queryTableField id="6" name="CUST_ACCTBLY_FLG"/>
      <queryTableField id="7" name="CUST_CNTRCT_FLG"/>
      <queryTableField id="8" name="SUM (&quot;VARIABLE SELLING COST&quot;)"/>
      <queryTableField id="9" name="SUM(&quot;SEMI FIXED SALARY SHARE&quot;)"/>
      <queryTableField id="10" name="SUM(UNFRM_QTY_SHIPPED)"/>
      <queryTableField id="11" name="SUM(GROSS_SALES_EXTENDED)"/>
      <queryTableField id="12" name="Variable Selling/Case"/>
      <queryTableField id="13" name="Variable Selling/Sales"/>
      <queryTableField id="14" name="Semi-Fixed Salary/Case"/>
      <queryTableField id="15" name="Semi-Fixed Salary/Case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153646D-1E32-4DF3-BAE1-7CC45D113EAB}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CUST_NM"/>
      <queryTableField id="2" name="CUST_NBR"/>
      <queryTableField id="3" name="Variable Delivery Cost"/>
      <queryTableField id="4" name="Variable Selling Cost"/>
      <queryTableField id="5" name="Variable Warehouse Cost"/>
      <queryTableField id="6" name="DROPS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CC46D1D-763A-4EAD-B21E-BA344629B00F}" autoFormatId="0" applyNumberFormats="0" applyBorderFormats="0" applyFontFormats="1" applyPatternFormats="1" applyAlignmentFormats="0" applyWidthHeightFormats="0">
  <queryTableRefresh preserveSortFilterLayout="0" nextId="29">
    <queryTableFields count="28">
      <queryTableField id="1" name="CUST_NBR"/>
      <queryTableField id="2" name="CUST_NM"/>
      <queryTableField id="3" name="PARENT_MULTI_UNIT"/>
      <queryTableField id="4" name="PYRAMID_SEGMENT_DESC"/>
      <queryTableField id="5" name="ACCOUNTABLITY"/>
      <queryTableField id="6" name="MENU_GROUPING"/>
      <queryTableField id="7" name="SIMPLIFIED_MENU_TYPE"/>
      <queryTableField id="8" name="PIM_CLASS_DESC"/>
      <queryTableField id="9" name="ZIP_CODE"/>
      <queryTableField id="10" name="Z5_ZIP"/>
      <queryTableField id="11" name="REGION_NAME"/>
      <queryTableField id="12" name="DIVISION_NAME"/>
      <queryTableField id="13" name="ZONE_NAME"/>
      <queryTableField id="14" name="QUANTITY_SHIPPED_SUM"/>
      <queryTableField id="15" name="EB_CASES"/>
      <queryTableField id="16" name="NET_WEIGHT_SHIPPED_SUM"/>
      <queryTableField id="17" name="GROSS_SALES_EXTENDED_SUM"/>
      <queryTableField id="18" name="GROSS_TGP_SUM"/>
      <queryTableField id="19" name="TOTAL_ALLOWANCE_SUM"/>
      <queryTableField id="20" name="TOTAL_VENDOR_FUNDED_DEVIATIONS"/>
      <queryTableField id="21" name="TOTAL_INTERNAL_FUNDED_DEVIATIONS"/>
      <queryTableField id="22" name="TAGP"/>
      <queryTableField id="23" name="CITY"/>
      <queryTableField id="24" name="STATE"/>
      <queryTableField id="25" name="ADDRESS_1"/>
      <queryTableField id="26" name="ADDRESS_2"/>
      <queryTableField id="27" name="PHONE_NUMBER"/>
      <queryTableField id="28" name="BRNCH_CD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F698C-847D-487B-AC41-D2F3D448873C}">
  <sheetPr codeName="Sheet4"/>
  <dimension ref="A1:F1"/>
  <sheetViews>
    <sheetView workbookViewId="0">
      <selection activeCell="K17" sqref="K16:K17"/>
    </sheetView>
  </sheetViews>
  <sheetFormatPr defaultRowHeight="15" x14ac:dyDescent="0.25"/>
  <cols>
    <col min="1" max="1" width="10.28515625" bestFit="1" customWidth="1"/>
    <col min="2" max="2" width="9.85546875" bestFit="1" customWidth="1"/>
    <col min="3" max="3" width="11.28515625" bestFit="1" customWidth="1"/>
    <col min="4" max="4" width="4.85546875" bestFit="1" customWidth="1"/>
    <col min="5" max="5" width="3" bestFit="1" customWidth="1"/>
    <col min="6" max="6" width="9.5703125" bestFit="1" customWidth="1"/>
  </cols>
  <sheetData>
    <row r="1" spans="1:6" x14ac:dyDescent="0.25">
      <c r="A1" s="10" t="s">
        <v>81</v>
      </c>
      <c r="B1" s="10" t="s">
        <v>82</v>
      </c>
      <c r="C1" s="10" t="s">
        <v>132</v>
      </c>
      <c r="D1" s="10" t="s">
        <v>103</v>
      </c>
      <c r="E1" s="10" t="s">
        <v>133</v>
      </c>
      <c r="F1" s="10" t="s">
        <v>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69CBB-59DF-40C9-9BD6-C66435A88F70}">
  <sheetPr codeName="Sheet5"/>
  <dimension ref="A1:F1"/>
  <sheetViews>
    <sheetView workbookViewId="0">
      <selection sqref="A1:XFD1048576"/>
    </sheetView>
  </sheetViews>
  <sheetFormatPr defaultRowHeight="15" x14ac:dyDescent="0.25"/>
  <cols>
    <col min="1" max="1" width="8.42578125" bestFit="1" customWidth="1"/>
    <col min="2" max="2" width="12.85546875" bestFit="1" customWidth="1"/>
    <col min="3" max="3" width="10.5703125" bestFit="1" customWidth="1"/>
    <col min="4" max="4" width="21.5703125" bestFit="1" customWidth="1"/>
    <col min="5" max="5" width="12.7109375" bestFit="1" customWidth="1"/>
    <col min="6" max="6" width="25.7109375" bestFit="1" customWidth="1"/>
  </cols>
  <sheetData>
    <row r="1" spans="1:6" x14ac:dyDescent="0.25">
      <c r="A1" s="10" t="s">
        <v>125</v>
      </c>
      <c r="B1" s="10" t="s">
        <v>131</v>
      </c>
      <c r="C1" s="10" t="s">
        <v>108</v>
      </c>
      <c r="D1" s="10" t="s">
        <v>127</v>
      </c>
      <c r="E1" s="10" t="s">
        <v>128</v>
      </c>
      <c r="F1" s="10" t="s">
        <v>129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D792A-CBD4-4AF4-925B-DBCE6466EB82}">
  <sheetPr codeName="Sheet6"/>
  <dimension ref="A1:F1"/>
  <sheetViews>
    <sheetView workbookViewId="0">
      <selection sqref="A1:XFD1048576"/>
    </sheetView>
  </sheetViews>
  <sheetFormatPr defaultRowHeight="15" x14ac:dyDescent="0.25"/>
  <cols>
    <col min="1" max="1" width="8.42578125" bestFit="1" customWidth="1"/>
    <col min="2" max="2" width="12.85546875" bestFit="1" customWidth="1"/>
    <col min="3" max="3" width="10.5703125" bestFit="1" customWidth="1"/>
    <col min="4" max="4" width="21.5703125" bestFit="1" customWidth="1"/>
    <col min="5" max="5" width="12.7109375" bestFit="1" customWidth="1"/>
    <col min="6" max="6" width="25.7109375" bestFit="1" customWidth="1"/>
  </cols>
  <sheetData>
    <row r="1" spans="1:6" x14ac:dyDescent="0.25">
      <c r="A1" s="10" t="s">
        <v>125</v>
      </c>
      <c r="B1" s="10" t="s">
        <v>130</v>
      </c>
      <c r="C1" s="10" t="s">
        <v>108</v>
      </c>
      <c r="D1" s="10" t="s">
        <v>127</v>
      </c>
      <c r="E1" s="10" t="s">
        <v>128</v>
      </c>
      <c r="F1" s="10" t="s">
        <v>129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9CFF2-F55E-480B-9561-88AB37178A54}">
  <sheetPr codeName="Sheet7"/>
  <dimension ref="A1:F1"/>
  <sheetViews>
    <sheetView workbookViewId="0">
      <selection sqref="A1:XFD1048576"/>
    </sheetView>
  </sheetViews>
  <sheetFormatPr defaultRowHeight="15" x14ac:dyDescent="0.25"/>
  <cols>
    <col min="1" max="1" width="8.42578125" bestFit="1" customWidth="1"/>
    <col min="2" max="2" width="12.85546875" bestFit="1" customWidth="1"/>
    <col min="3" max="3" width="10.5703125" bestFit="1" customWidth="1"/>
    <col min="4" max="4" width="21.5703125" bestFit="1" customWidth="1"/>
    <col min="5" max="5" width="12.7109375" bestFit="1" customWidth="1"/>
    <col min="6" max="6" width="25.7109375" bestFit="1" customWidth="1"/>
  </cols>
  <sheetData>
    <row r="1" spans="1:6" x14ac:dyDescent="0.25">
      <c r="A1" s="10" t="s">
        <v>125</v>
      </c>
      <c r="B1" s="10" t="s">
        <v>126</v>
      </c>
      <c r="C1" s="10" t="s">
        <v>108</v>
      </c>
      <c r="D1" s="10" t="s">
        <v>127</v>
      </c>
      <c r="E1" s="10" t="s">
        <v>128</v>
      </c>
      <c r="F1" s="10" t="s">
        <v>129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D9BE0-FC8E-442D-9EF8-6BCF2D4BBCF3}">
  <sheetPr codeName="Sheet8"/>
  <dimension ref="A1:M1"/>
  <sheetViews>
    <sheetView workbookViewId="0">
      <selection sqref="A1:XFD1048576"/>
    </sheetView>
  </sheetViews>
  <sheetFormatPr defaultRowHeight="15" x14ac:dyDescent="0.25"/>
  <cols>
    <col min="1" max="1" width="18.85546875" bestFit="1" customWidth="1"/>
    <col min="2" max="2" width="10.5703125" bestFit="1" customWidth="1"/>
    <col min="3" max="3" width="8.85546875" bestFit="1" customWidth="1"/>
    <col min="4" max="4" width="8.42578125" bestFit="1" customWidth="1"/>
    <col min="5" max="5" width="29.7109375" bestFit="1" customWidth="1"/>
    <col min="6" max="6" width="16.42578125" bestFit="1" customWidth="1"/>
    <col min="7" max="7" width="27.140625" bestFit="1" customWidth="1"/>
    <col min="8" max="8" width="40.5703125" bestFit="1" customWidth="1"/>
    <col min="9" max="9" width="44" bestFit="1" customWidth="1"/>
    <col min="10" max="10" width="39.42578125" bestFit="1" customWidth="1"/>
    <col min="11" max="11" width="26.140625" bestFit="1" customWidth="1"/>
    <col min="12" max="12" width="17.42578125" bestFit="1" customWidth="1"/>
    <col min="13" max="13" width="12" bestFit="1" customWidth="1"/>
  </cols>
  <sheetData>
    <row r="1" spans="1:13" x14ac:dyDescent="0.25">
      <c r="A1" s="10" t="s">
        <v>113</v>
      </c>
      <c r="B1" s="10" t="s">
        <v>108</v>
      </c>
      <c r="C1" s="10" t="s">
        <v>114</v>
      </c>
      <c r="D1" s="10" t="s">
        <v>115</v>
      </c>
      <c r="E1" s="10" t="s">
        <v>116</v>
      </c>
      <c r="F1" s="10" t="s">
        <v>117</v>
      </c>
      <c r="G1" s="10" t="s">
        <v>118</v>
      </c>
      <c r="H1" s="10" t="s">
        <v>119</v>
      </c>
      <c r="I1" s="10" t="s">
        <v>120</v>
      </c>
      <c r="J1" s="10" t="s">
        <v>121</v>
      </c>
      <c r="K1" s="10" t="s">
        <v>122</v>
      </c>
      <c r="L1" s="10" t="s">
        <v>123</v>
      </c>
      <c r="M1" s="10" t="s">
        <v>124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0D76A-A328-482A-BB4F-31D59282318E}">
  <sheetPr codeName="Sheet9"/>
  <dimension ref="A1:O1"/>
  <sheetViews>
    <sheetView workbookViewId="0">
      <selection sqref="A1:XFD1048576"/>
    </sheetView>
  </sheetViews>
  <sheetFormatPr defaultRowHeight="15" x14ac:dyDescent="0.25"/>
  <cols>
    <col min="1" max="1" width="10.5703125" bestFit="1" customWidth="1"/>
    <col min="2" max="2" width="8.42578125" bestFit="1" customWidth="1"/>
    <col min="3" max="3" width="15.140625" bestFit="1" customWidth="1"/>
    <col min="4" max="4" width="8.85546875" bestFit="1" customWidth="1"/>
    <col min="5" max="5" width="14.42578125" bestFit="1" customWidth="1"/>
    <col min="6" max="6" width="18.85546875" bestFit="1" customWidth="1"/>
    <col min="7" max="7" width="18" bestFit="1" customWidth="1"/>
    <col min="8" max="8" width="31" bestFit="1" customWidth="1"/>
    <col min="9" max="9" width="32.5703125" bestFit="1" customWidth="1"/>
    <col min="10" max="10" width="27.140625" bestFit="1" customWidth="1"/>
    <col min="11" max="11" width="29.7109375" bestFit="1" customWidth="1"/>
    <col min="12" max="12" width="20.140625" bestFit="1" customWidth="1"/>
    <col min="13" max="13" width="20.5703125" bestFit="1" customWidth="1"/>
    <col min="14" max="15" width="22.140625" bestFit="1" customWidth="1"/>
  </cols>
  <sheetData>
    <row r="1" spans="1:15" x14ac:dyDescent="0.25">
      <c r="A1" s="10" t="s">
        <v>108</v>
      </c>
      <c r="B1" s="10" t="s">
        <v>125</v>
      </c>
      <c r="C1" s="10" t="s">
        <v>135</v>
      </c>
      <c r="D1" s="10" t="s">
        <v>114</v>
      </c>
      <c r="E1" s="10" t="s">
        <v>136</v>
      </c>
      <c r="F1" s="10" t="s">
        <v>113</v>
      </c>
      <c r="G1" s="10" t="s">
        <v>137</v>
      </c>
      <c r="H1" s="10" t="s">
        <v>138</v>
      </c>
      <c r="I1" s="10" t="s">
        <v>139</v>
      </c>
      <c r="J1" s="10" t="s">
        <v>118</v>
      </c>
      <c r="K1" s="10" t="s">
        <v>116</v>
      </c>
      <c r="L1" s="10" t="s">
        <v>140</v>
      </c>
      <c r="M1" s="10" t="s">
        <v>141</v>
      </c>
      <c r="N1" s="10" t="s">
        <v>142</v>
      </c>
      <c r="O1" s="10" t="s">
        <v>142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2CC2C-639D-4764-8840-AAC30B971B1F}">
  <sheetPr codeName="Sheet10"/>
  <dimension ref="A1:F1"/>
  <sheetViews>
    <sheetView workbookViewId="0">
      <selection sqref="A1:XFD1048576"/>
    </sheetView>
  </sheetViews>
  <sheetFormatPr defaultRowHeight="15" x14ac:dyDescent="0.25"/>
  <cols>
    <col min="1" max="1" width="9.85546875" bestFit="1" customWidth="1"/>
    <col min="2" max="2" width="10.28515625" bestFit="1" customWidth="1"/>
    <col min="3" max="3" width="20.85546875" bestFit="1" customWidth="1"/>
    <col min="4" max="4" width="19.42578125" bestFit="1" customWidth="1"/>
    <col min="5" max="5" width="23.85546875" bestFit="1" customWidth="1"/>
    <col min="6" max="6" width="7" bestFit="1" customWidth="1"/>
  </cols>
  <sheetData>
    <row r="1" spans="1:6" x14ac:dyDescent="0.25">
      <c r="A1" s="10" t="s">
        <v>82</v>
      </c>
      <c r="B1" s="10" t="s">
        <v>81</v>
      </c>
      <c r="C1" s="10" t="s">
        <v>109</v>
      </c>
      <c r="D1" s="10" t="s">
        <v>110</v>
      </c>
      <c r="E1" s="10" t="s">
        <v>111</v>
      </c>
      <c r="F1" s="10" t="s">
        <v>112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CA9A9-0F2E-4FDA-B80C-4C09D58A4917}">
  <sheetPr codeName="Sheet11"/>
  <dimension ref="A1:AB1"/>
  <sheetViews>
    <sheetView workbookViewId="0">
      <selection sqref="A1:XFD1048576"/>
    </sheetView>
  </sheetViews>
  <sheetFormatPr defaultRowHeight="15" x14ac:dyDescent="0.25"/>
  <cols>
    <col min="1" max="1" width="10.28515625" bestFit="1" customWidth="1"/>
    <col min="2" max="2" width="9.85546875" bestFit="1" customWidth="1"/>
    <col min="3" max="3" width="20.42578125" bestFit="1" customWidth="1"/>
    <col min="4" max="4" width="25" bestFit="1" customWidth="1"/>
    <col min="5" max="5" width="16" bestFit="1" customWidth="1"/>
    <col min="6" max="6" width="18" bestFit="1" customWidth="1"/>
    <col min="7" max="7" width="23.28515625" bestFit="1" customWidth="1"/>
    <col min="8" max="8" width="16.42578125" bestFit="1" customWidth="1"/>
    <col min="9" max="9" width="9.5703125" bestFit="1" customWidth="1"/>
    <col min="10" max="10" width="6.7109375" bestFit="1" customWidth="1"/>
    <col min="11" max="11" width="14.7109375" bestFit="1" customWidth="1"/>
    <col min="12" max="12" width="15.85546875" bestFit="1" customWidth="1"/>
    <col min="13" max="13" width="12.42578125" bestFit="1" customWidth="1"/>
    <col min="14" max="14" width="24.42578125" bestFit="1" customWidth="1"/>
    <col min="15" max="15" width="9.5703125" bestFit="1" customWidth="1"/>
    <col min="16" max="16" width="27" bestFit="1" customWidth="1"/>
    <col min="17" max="17" width="29.140625" bestFit="1" customWidth="1"/>
    <col min="18" max="18" width="17" bestFit="1" customWidth="1"/>
    <col min="19" max="19" width="24.5703125" bestFit="1" customWidth="1"/>
    <col min="20" max="20" width="36.28515625" bestFit="1" customWidth="1"/>
    <col min="21" max="21" width="37.42578125" bestFit="1" customWidth="1"/>
    <col min="22" max="22" width="5.85546875" bestFit="1" customWidth="1"/>
    <col min="23" max="23" width="4.85546875" bestFit="1" customWidth="1"/>
    <col min="24" max="24" width="6.28515625" bestFit="1" customWidth="1"/>
    <col min="25" max="26" width="11" bestFit="1" customWidth="1"/>
    <col min="27" max="27" width="16.42578125" bestFit="1" customWidth="1"/>
    <col min="28" max="28" width="10.5703125" bestFit="1" customWidth="1"/>
  </cols>
  <sheetData>
    <row r="1" spans="1:28" x14ac:dyDescent="0.25">
      <c r="A1" s="10" t="s">
        <v>81</v>
      </c>
      <c r="B1" s="10" t="s">
        <v>82</v>
      </c>
      <c r="C1" s="10" t="s">
        <v>83</v>
      </c>
      <c r="D1" s="10" t="s">
        <v>84</v>
      </c>
      <c r="E1" s="10" t="s">
        <v>85</v>
      </c>
      <c r="F1" s="10" t="s">
        <v>86</v>
      </c>
      <c r="G1" s="10" t="s">
        <v>87</v>
      </c>
      <c r="H1" s="10" t="s">
        <v>88</v>
      </c>
      <c r="I1" s="10" t="s">
        <v>89</v>
      </c>
      <c r="J1" s="10" t="s">
        <v>90</v>
      </c>
      <c r="K1" s="10" t="s">
        <v>91</v>
      </c>
      <c r="L1" s="10" t="s">
        <v>92</v>
      </c>
      <c r="M1" s="10" t="s">
        <v>93</v>
      </c>
      <c r="N1" s="10" t="s">
        <v>94</v>
      </c>
      <c r="O1" s="10" t="s">
        <v>95</v>
      </c>
      <c r="P1" s="10" t="s">
        <v>96</v>
      </c>
      <c r="Q1" s="10" t="s">
        <v>97</v>
      </c>
      <c r="R1" s="10" t="s">
        <v>98</v>
      </c>
      <c r="S1" s="10" t="s">
        <v>99</v>
      </c>
      <c r="T1" s="10" t="s">
        <v>100</v>
      </c>
      <c r="U1" s="10" t="s">
        <v>101</v>
      </c>
      <c r="V1" s="10" t="s">
        <v>102</v>
      </c>
      <c r="W1" s="10" t="s">
        <v>103</v>
      </c>
      <c r="X1" s="10" t="s">
        <v>104</v>
      </c>
      <c r="Y1" s="10" t="s">
        <v>105</v>
      </c>
      <c r="Z1" s="10" t="s">
        <v>106</v>
      </c>
      <c r="AA1" s="10" t="s">
        <v>107</v>
      </c>
      <c r="AB1" s="10" t="s">
        <v>108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4129D-71DD-4C38-93DB-451267B3B2D2}">
  <sheetPr codeName="Sheet1">
    <tabColor rgb="FF00B050"/>
  </sheetPr>
  <dimension ref="A1:M65"/>
  <sheetViews>
    <sheetView tabSelected="1" workbookViewId="0">
      <selection activeCell="B14" sqref="B14"/>
    </sheetView>
  </sheetViews>
  <sheetFormatPr defaultRowHeight="15" x14ac:dyDescent="0.25"/>
  <cols>
    <col min="1" max="1" width="28" bestFit="1" customWidth="1"/>
    <col min="2" max="2" width="15.140625" bestFit="1" customWidth="1"/>
    <col min="8" max="8" width="11.85546875" bestFit="1" customWidth="1"/>
    <col min="9" max="9" width="33.85546875" bestFit="1" customWidth="1"/>
    <col min="11" max="11" width="28.85546875" bestFit="1" customWidth="1"/>
  </cols>
  <sheetData>
    <row r="1" spans="1:13" x14ac:dyDescent="0.25">
      <c r="A1" s="6" t="s">
        <v>7</v>
      </c>
      <c r="B1" s="7" t="s">
        <v>6</v>
      </c>
      <c r="H1" s="3" t="s">
        <v>1</v>
      </c>
      <c r="I1" s="3" t="s">
        <v>79</v>
      </c>
      <c r="K1" s="9" t="s">
        <v>72</v>
      </c>
      <c r="M1" t="s">
        <v>14</v>
      </c>
    </row>
    <row r="2" spans="1:13" x14ac:dyDescent="0.25">
      <c r="A2" s="5" t="s">
        <v>134</v>
      </c>
      <c r="B2" s="8" t="str">
        <f>"'"&amp;A2&amp;"'"</f>
        <v>'Columbia'</v>
      </c>
      <c r="H2" s="4" t="s">
        <v>2</v>
      </c>
      <c r="I2" s="1" t="str">
        <f>"'"&amp;H2</f>
        <v>'2018Q4</v>
      </c>
      <c r="K2" s="9" t="s">
        <v>73</v>
      </c>
      <c r="M2" t="s">
        <v>15</v>
      </c>
    </row>
    <row r="3" spans="1:13" x14ac:dyDescent="0.25">
      <c r="A3" s="5"/>
      <c r="H3" s="4" t="s">
        <v>3</v>
      </c>
      <c r="I3" s="1" t="str">
        <f>I2&amp;"',"&amp;"'"&amp;H3</f>
        <v>'2018Q4','2018Q3</v>
      </c>
      <c r="K3" s="9" t="s">
        <v>74</v>
      </c>
      <c r="M3" t="s">
        <v>16</v>
      </c>
    </row>
    <row r="4" spans="1:13" x14ac:dyDescent="0.25">
      <c r="A4" s="5"/>
      <c r="H4" s="4" t="s">
        <v>4</v>
      </c>
      <c r="I4" s="1" t="str">
        <f>I3&amp;"',"&amp;"'"&amp;H4</f>
        <v>'2018Q4','2018Q3','2018Q2</v>
      </c>
      <c r="K4" s="9" t="s">
        <v>75</v>
      </c>
      <c r="M4" t="s">
        <v>17</v>
      </c>
    </row>
    <row r="5" spans="1:13" x14ac:dyDescent="0.25">
      <c r="A5" s="5"/>
      <c r="H5" s="4" t="s">
        <v>5</v>
      </c>
      <c r="I5" s="2" t="str">
        <f>I4&amp;"',"&amp;"'"&amp;H5&amp;"'"</f>
        <v>'2018Q4','2018Q3','2018Q2','2018Q1'</v>
      </c>
      <c r="K5" s="9" t="s">
        <v>76</v>
      </c>
      <c r="M5" t="s">
        <v>18</v>
      </c>
    </row>
    <row r="6" spans="1:13" x14ac:dyDescent="0.25">
      <c r="A6" s="5"/>
      <c r="K6" s="9" t="s">
        <v>77</v>
      </c>
      <c r="M6" t="s">
        <v>19</v>
      </c>
    </row>
    <row r="7" spans="1:13" x14ac:dyDescent="0.25">
      <c r="A7" s="5"/>
      <c r="K7" s="9" t="s">
        <v>78</v>
      </c>
      <c r="M7" t="s">
        <v>20</v>
      </c>
    </row>
    <row r="8" spans="1:13" x14ac:dyDescent="0.25">
      <c r="A8" s="5"/>
      <c r="K8" s="9" t="s">
        <v>80</v>
      </c>
      <c r="M8" t="s">
        <v>21</v>
      </c>
    </row>
    <row r="9" spans="1:13" x14ac:dyDescent="0.25">
      <c r="A9" s="5"/>
      <c r="M9" t="s">
        <v>22</v>
      </c>
    </row>
    <row r="10" spans="1:13" x14ac:dyDescent="0.25">
      <c r="A10" s="5"/>
      <c r="M10" t="s">
        <v>23</v>
      </c>
    </row>
    <row r="11" spans="1:13" x14ac:dyDescent="0.25">
      <c r="A11" s="5"/>
      <c r="M11" t="s">
        <v>24</v>
      </c>
    </row>
    <row r="12" spans="1:13" x14ac:dyDescent="0.25">
      <c r="A12" s="5"/>
      <c r="M12" t="s">
        <v>0</v>
      </c>
    </row>
    <row r="13" spans="1:13" x14ac:dyDescent="0.25">
      <c r="A13" s="5"/>
      <c r="M13" t="s">
        <v>25</v>
      </c>
    </row>
    <row r="14" spans="1:13" x14ac:dyDescent="0.25">
      <c r="A14" s="5"/>
      <c r="M14" t="s">
        <v>26</v>
      </c>
    </row>
    <row r="15" spans="1:13" x14ac:dyDescent="0.25">
      <c r="A15" s="5"/>
      <c r="M15" t="s">
        <v>27</v>
      </c>
    </row>
    <row r="16" spans="1:13" x14ac:dyDescent="0.25">
      <c r="A16" s="5"/>
      <c r="M16" t="s">
        <v>28</v>
      </c>
    </row>
    <row r="17" spans="1:13" x14ac:dyDescent="0.25">
      <c r="A17" s="5"/>
      <c r="M17" t="s">
        <v>29</v>
      </c>
    </row>
    <row r="18" spans="1:13" x14ac:dyDescent="0.25">
      <c r="A18" s="5"/>
      <c r="M18" t="s">
        <v>30</v>
      </c>
    </row>
    <row r="19" spans="1:13" x14ac:dyDescent="0.25">
      <c r="A19" s="5"/>
      <c r="M19" t="s">
        <v>31</v>
      </c>
    </row>
    <row r="20" spans="1:13" x14ac:dyDescent="0.25">
      <c r="A20" s="5"/>
      <c r="M20" t="s">
        <v>32</v>
      </c>
    </row>
    <row r="21" spans="1:13" x14ac:dyDescent="0.25">
      <c r="A21" s="5"/>
      <c r="M21" t="s">
        <v>13</v>
      </c>
    </row>
    <row r="22" spans="1:13" x14ac:dyDescent="0.25">
      <c r="A22" s="5"/>
      <c r="M22" t="s">
        <v>33</v>
      </c>
    </row>
    <row r="23" spans="1:13" x14ac:dyDescent="0.25">
      <c r="A23" s="5"/>
      <c r="M23" t="s">
        <v>34</v>
      </c>
    </row>
    <row r="24" spans="1:13" x14ac:dyDescent="0.25">
      <c r="A24" s="5"/>
      <c r="M24" t="s">
        <v>35</v>
      </c>
    </row>
    <row r="25" spans="1:13" x14ac:dyDescent="0.25">
      <c r="A25" s="5"/>
      <c r="M25" t="s">
        <v>36</v>
      </c>
    </row>
    <row r="26" spans="1:13" x14ac:dyDescent="0.25">
      <c r="A26" s="5"/>
      <c r="M26" t="s">
        <v>37</v>
      </c>
    </row>
    <row r="27" spans="1:13" x14ac:dyDescent="0.25">
      <c r="A27" s="5"/>
      <c r="M27" t="s">
        <v>38</v>
      </c>
    </row>
    <row r="28" spans="1:13" x14ac:dyDescent="0.25">
      <c r="A28" s="5"/>
      <c r="M28" t="s">
        <v>12</v>
      </c>
    </row>
    <row r="29" spans="1:13" x14ac:dyDescent="0.25">
      <c r="A29" s="5"/>
      <c r="M29" t="s">
        <v>39</v>
      </c>
    </row>
    <row r="30" spans="1:13" x14ac:dyDescent="0.25">
      <c r="A30" s="5"/>
      <c r="M30" t="s">
        <v>40</v>
      </c>
    </row>
    <row r="31" spans="1:13" x14ac:dyDescent="0.25">
      <c r="A31" s="5"/>
      <c r="M31" t="s">
        <v>41</v>
      </c>
    </row>
    <row r="32" spans="1:13" x14ac:dyDescent="0.25">
      <c r="A32" s="5"/>
      <c r="M32" t="s">
        <v>42</v>
      </c>
    </row>
    <row r="33" spans="1:13" x14ac:dyDescent="0.25">
      <c r="A33" s="5"/>
      <c r="M33" t="s">
        <v>43</v>
      </c>
    </row>
    <row r="34" spans="1:13" x14ac:dyDescent="0.25">
      <c r="A34" s="5"/>
      <c r="M34" t="s">
        <v>44</v>
      </c>
    </row>
    <row r="35" spans="1:13" x14ac:dyDescent="0.25">
      <c r="A35" s="5"/>
      <c r="M35" t="s">
        <v>45</v>
      </c>
    </row>
    <row r="36" spans="1:13" x14ac:dyDescent="0.25">
      <c r="A36" s="5"/>
      <c r="M36" t="s">
        <v>46</v>
      </c>
    </row>
    <row r="37" spans="1:13" x14ac:dyDescent="0.25">
      <c r="A37" s="5"/>
      <c r="M37" t="s">
        <v>47</v>
      </c>
    </row>
    <row r="38" spans="1:13" x14ac:dyDescent="0.25">
      <c r="A38" s="5"/>
      <c r="M38" t="s">
        <v>48</v>
      </c>
    </row>
    <row r="39" spans="1:13" x14ac:dyDescent="0.25">
      <c r="A39" s="5"/>
      <c r="M39" t="s">
        <v>9</v>
      </c>
    </row>
    <row r="40" spans="1:13" x14ac:dyDescent="0.25">
      <c r="A40" s="5"/>
      <c r="M40" t="s">
        <v>49</v>
      </c>
    </row>
    <row r="41" spans="1:13" x14ac:dyDescent="0.25">
      <c r="A41" s="5"/>
      <c r="M41" t="s">
        <v>50</v>
      </c>
    </row>
    <row r="42" spans="1:13" x14ac:dyDescent="0.25">
      <c r="A42" s="5"/>
      <c r="M42" t="s">
        <v>11</v>
      </c>
    </row>
    <row r="43" spans="1:13" x14ac:dyDescent="0.25">
      <c r="A43" s="5"/>
      <c r="M43" t="s">
        <v>51</v>
      </c>
    </row>
    <row r="44" spans="1:13" x14ac:dyDescent="0.25">
      <c r="A44" s="5"/>
      <c r="M44" t="s">
        <v>52</v>
      </c>
    </row>
    <row r="45" spans="1:13" x14ac:dyDescent="0.25">
      <c r="A45" s="5"/>
      <c r="M45" t="s">
        <v>53</v>
      </c>
    </row>
    <row r="46" spans="1:13" x14ac:dyDescent="0.25">
      <c r="A46" s="5"/>
      <c r="M46" t="s">
        <v>54</v>
      </c>
    </row>
    <row r="47" spans="1:13" x14ac:dyDescent="0.25">
      <c r="A47" s="5"/>
      <c r="M47" t="s">
        <v>55</v>
      </c>
    </row>
    <row r="48" spans="1:13" x14ac:dyDescent="0.25">
      <c r="A48" s="5"/>
      <c r="M48" t="s">
        <v>56</v>
      </c>
    </row>
    <row r="49" spans="1:13" x14ac:dyDescent="0.25">
      <c r="A49" s="5"/>
      <c r="M49" t="s">
        <v>57</v>
      </c>
    </row>
    <row r="50" spans="1:13" x14ac:dyDescent="0.25">
      <c r="A50" s="5"/>
      <c r="M50" t="s">
        <v>58</v>
      </c>
    </row>
    <row r="51" spans="1:13" x14ac:dyDescent="0.25">
      <c r="A51" s="5"/>
      <c r="M51" t="s">
        <v>8</v>
      </c>
    </row>
    <row r="52" spans="1:13" x14ac:dyDescent="0.25">
      <c r="A52" s="5"/>
      <c r="M52" t="s">
        <v>59</v>
      </c>
    </row>
    <row r="53" spans="1:13" x14ac:dyDescent="0.25">
      <c r="A53" s="5"/>
      <c r="M53" t="s">
        <v>60</v>
      </c>
    </row>
    <row r="54" spans="1:13" x14ac:dyDescent="0.25">
      <c r="A54" s="5"/>
      <c r="M54" t="s">
        <v>61</v>
      </c>
    </row>
    <row r="55" spans="1:13" x14ac:dyDescent="0.25">
      <c r="A55" s="5"/>
      <c r="M55" t="s">
        <v>62</v>
      </c>
    </row>
    <row r="56" spans="1:13" x14ac:dyDescent="0.25">
      <c r="A56" s="5"/>
      <c r="M56" t="s">
        <v>63</v>
      </c>
    </row>
    <row r="57" spans="1:13" x14ac:dyDescent="0.25">
      <c r="A57" s="5"/>
      <c r="M57" t="s">
        <v>10</v>
      </c>
    </row>
    <row r="58" spans="1:13" x14ac:dyDescent="0.25">
      <c r="A58" s="5"/>
      <c r="M58" t="s">
        <v>64</v>
      </c>
    </row>
    <row r="59" spans="1:13" x14ac:dyDescent="0.25">
      <c r="A59" s="5"/>
      <c r="M59" t="s">
        <v>65</v>
      </c>
    </row>
    <row r="60" spans="1:13" x14ac:dyDescent="0.25">
      <c r="A60" s="5"/>
      <c r="M60" t="s">
        <v>66</v>
      </c>
    </row>
    <row r="61" spans="1:13" x14ac:dyDescent="0.25">
      <c r="A61" s="5"/>
      <c r="M61" t="s">
        <v>67</v>
      </c>
    </row>
    <row r="62" spans="1:13" x14ac:dyDescent="0.25">
      <c r="M62" t="s">
        <v>68</v>
      </c>
    </row>
    <row r="63" spans="1:13" x14ac:dyDescent="0.25">
      <c r="M63" t="s">
        <v>69</v>
      </c>
    </row>
    <row r="64" spans="1:13" x14ac:dyDescent="0.25">
      <c r="M64" t="s">
        <v>70</v>
      </c>
    </row>
    <row r="65" spans="13:13" x14ac:dyDescent="0.25">
      <c r="M65" t="s">
        <v>71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69EAB-697C-482F-8639-8D86437045DB}">
  <sheetPr codeName="Sheet45">
    <tabColor rgb="FF00B050"/>
  </sheetPr>
  <dimension ref="A1:A84"/>
  <sheetViews>
    <sheetView workbookViewId="0"/>
  </sheetViews>
  <sheetFormatPr defaultRowHeight="15" x14ac:dyDescent="0.25"/>
  <cols>
    <col min="1" max="1" width="28" bestFit="1" customWidth="1"/>
    <col min="192" max="202" width="9.140625" customWidth="1"/>
  </cols>
  <sheetData>
    <row r="1" spans="1:1" x14ac:dyDescent="0.25">
      <c r="A1" s="5" t="s">
        <v>134</v>
      </c>
    </row>
    <row r="2" spans="1:1" x14ac:dyDescent="0.25">
      <c r="A2" s="5"/>
    </row>
    <row r="3" spans="1:1" x14ac:dyDescent="0.25">
      <c r="A3" s="5"/>
    </row>
    <row r="4" spans="1:1" x14ac:dyDescent="0.25">
      <c r="A4" s="5"/>
    </row>
    <row r="5" spans="1:1" x14ac:dyDescent="0.25">
      <c r="A5" s="5"/>
    </row>
    <row r="6" spans="1:1" x14ac:dyDescent="0.25">
      <c r="A6" s="5"/>
    </row>
    <row r="7" spans="1:1" x14ac:dyDescent="0.25">
      <c r="A7" s="5"/>
    </row>
    <row r="8" spans="1:1" x14ac:dyDescent="0.25">
      <c r="A8" s="5"/>
    </row>
    <row r="9" spans="1:1" x14ac:dyDescent="0.25">
      <c r="A9" s="5"/>
    </row>
    <row r="10" spans="1:1" x14ac:dyDescent="0.25">
      <c r="A10" s="5"/>
    </row>
    <row r="11" spans="1:1" x14ac:dyDescent="0.25">
      <c r="A11" s="5"/>
    </row>
    <row r="12" spans="1:1" x14ac:dyDescent="0.25">
      <c r="A12" s="5"/>
    </row>
    <row r="13" spans="1:1" x14ac:dyDescent="0.25">
      <c r="A13" s="5"/>
    </row>
    <row r="14" spans="1:1" x14ac:dyDescent="0.25">
      <c r="A14" s="5"/>
    </row>
    <row r="15" spans="1:1" x14ac:dyDescent="0.25">
      <c r="A15" s="5"/>
    </row>
    <row r="16" spans="1:1" x14ac:dyDescent="0.25">
      <c r="A16" s="5"/>
    </row>
    <row r="17" spans="1:1" x14ac:dyDescent="0.25">
      <c r="A17" s="5"/>
    </row>
    <row r="18" spans="1:1" x14ac:dyDescent="0.25">
      <c r="A18" s="5"/>
    </row>
    <row r="19" spans="1:1" x14ac:dyDescent="0.25">
      <c r="A19" s="5"/>
    </row>
    <row r="20" spans="1:1" x14ac:dyDescent="0.25">
      <c r="A20" s="5"/>
    </row>
    <row r="21" spans="1:1" x14ac:dyDescent="0.25">
      <c r="A21" s="5"/>
    </row>
    <row r="22" spans="1:1" x14ac:dyDescent="0.25">
      <c r="A22" s="5"/>
    </row>
    <row r="23" spans="1:1" x14ac:dyDescent="0.25">
      <c r="A23" s="5"/>
    </row>
    <row r="24" spans="1:1" x14ac:dyDescent="0.25">
      <c r="A24" s="5"/>
    </row>
    <row r="25" spans="1:1" x14ac:dyDescent="0.25">
      <c r="A25" s="5"/>
    </row>
    <row r="26" spans="1:1" x14ac:dyDescent="0.25">
      <c r="A26" s="5"/>
    </row>
    <row r="27" spans="1:1" x14ac:dyDescent="0.25">
      <c r="A27" s="5"/>
    </row>
    <row r="28" spans="1:1" x14ac:dyDescent="0.25">
      <c r="A28" s="5"/>
    </row>
    <row r="29" spans="1:1" x14ac:dyDescent="0.25">
      <c r="A29" s="5"/>
    </row>
    <row r="30" spans="1:1" x14ac:dyDescent="0.25">
      <c r="A30" s="5"/>
    </row>
    <row r="31" spans="1:1" x14ac:dyDescent="0.25">
      <c r="A31" s="5"/>
    </row>
    <row r="32" spans="1:1" x14ac:dyDescent="0.25">
      <c r="A32" s="5"/>
    </row>
    <row r="33" spans="1:1" x14ac:dyDescent="0.25">
      <c r="A33" s="5"/>
    </row>
    <row r="34" spans="1:1" x14ac:dyDescent="0.25">
      <c r="A34" s="5"/>
    </row>
    <row r="35" spans="1:1" x14ac:dyDescent="0.25">
      <c r="A35" s="5"/>
    </row>
    <row r="36" spans="1:1" x14ac:dyDescent="0.25">
      <c r="A36" s="5"/>
    </row>
    <row r="37" spans="1:1" x14ac:dyDescent="0.25">
      <c r="A37" s="5"/>
    </row>
    <row r="38" spans="1:1" x14ac:dyDescent="0.25">
      <c r="A38" s="5"/>
    </row>
    <row r="39" spans="1:1" x14ac:dyDescent="0.25">
      <c r="A39" s="5"/>
    </row>
    <row r="40" spans="1:1" x14ac:dyDescent="0.25">
      <c r="A40" s="5"/>
    </row>
    <row r="41" spans="1:1" x14ac:dyDescent="0.25">
      <c r="A41" s="5"/>
    </row>
    <row r="42" spans="1:1" x14ac:dyDescent="0.25">
      <c r="A42" s="5"/>
    </row>
    <row r="43" spans="1:1" x14ac:dyDescent="0.25">
      <c r="A43" s="5"/>
    </row>
    <row r="44" spans="1:1" x14ac:dyDescent="0.25">
      <c r="A44" s="5"/>
    </row>
    <row r="45" spans="1:1" x14ac:dyDescent="0.25">
      <c r="A45" s="5"/>
    </row>
    <row r="46" spans="1:1" x14ac:dyDescent="0.25">
      <c r="A46" s="5"/>
    </row>
    <row r="47" spans="1:1" x14ac:dyDescent="0.25">
      <c r="A47" s="5"/>
    </row>
    <row r="48" spans="1:1" x14ac:dyDescent="0.25">
      <c r="A48" s="5"/>
    </row>
    <row r="49" spans="1:1" x14ac:dyDescent="0.25">
      <c r="A49" s="5"/>
    </row>
    <row r="50" spans="1:1" x14ac:dyDescent="0.25">
      <c r="A50" s="5"/>
    </row>
    <row r="51" spans="1:1" x14ac:dyDescent="0.25">
      <c r="A51" s="5"/>
    </row>
    <row r="52" spans="1:1" x14ac:dyDescent="0.25">
      <c r="A52" s="5"/>
    </row>
    <row r="53" spans="1:1" x14ac:dyDescent="0.25">
      <c r="A53" s="5"/>
    </row>
    <row r="54" spans="1:1" x14ac:dyDescent="0.25">
      <c r="A54" s="5"/>
    </row>
    <row r="55" spans="1:1" x14ac:dyDescent="0.25">
      <c r="A55" s="5"/>
    </row>
    <row r="56" spans="1:1" x14ac:dyDescent="0.25">
      <c r="A56" s="5"/>
    </row>
    <row r="57" spans="1:1" x14ac:dyDescent="0.25">
      <c r="A57" s="5"/>
    </row>
    <row r="58" spans="1:1" x14ac:dyDescent="0.25">
      <c r="A58" s="5"/>
    </row>
    <row r="59" spans="1:1" x14ac:dyDescent="0.25">
      <c r="A59" s="5"/>
    </row>
    <row r="60" spans="1:1" x14ac:dyDescent="0.25">
      <c r="A60" s="5"/>
    </row>
    <row r="61" spans="1:1" x14ac:dyDescent="0.25">
      <c r="A61" s="5"/>
    </row>
    <row r="62" spans="1:1" x14ac:dyDescent="0.25">
      <c r="A62" s="5"/>
    </row>
    <row r="63" spans="1:1" x14ac:dyDescent="0.25">
      <c r="A63" s="5"/>
    </row>
    <row r="64" spans="1:1" x14ac:dyDescent="0.25">
      <c r="A64" s="5"/>
    </row>
    <row r="65" spans="1:1" x14ac:dyDescent="0.25">
      <c r="A65" s="5"/>
    </row>
    <row r="66" spans="1:1" x14ac:dyDescent="0.25">
      <c r="A66" s="5"/>
    </row>
    <row r="67" spans="1:1" x14ac:dyDescent="0.25">
      <c r="A67" s="5"/>
    </row>
    <row r="68" spans="1:1" x14ac:dyDescent="0.25">
      <c r="A68" s="5"/>
    </row>
    <row r="69" spans="1:1" x14ac:dyDescent="0.25">
      <c r="A69" s="5"/>
    </row>
    <row r="70" spans="1:1" x14ac:dyDescent="0.25">
      <c r="A70" s="5"/>
    </row>
    <row r="71" spans="1:1" x14ac:dyDescent="0.25">
      <c r="A71" s="5"/>
    </row>
    <row r="72" spans="1:1" x14ac:dyDescent="0.25">
      <c r="A72" s="5"/>
    </row>
    <row r="73" spans="1:1" x14ac:dyDescent="0.25">
      <c r="A73" s="5"/>
    </row>
    <row r="74" spans="1:1" x14ac:dyDescent="0.25">
      <c r="A74" s="5"/>
    </row>
    <row r="75" spans="1:1" x14ac:dyDescent="0.25">
      <c r="A75" s="5"/>
    </row>
    <row r="76" spans="1:1" x14ac:dyDescent="0.25">
      <c r="A76" s="5"/>
    </row>
    <row r="77" spans="1:1" x14ac:dyDescent="0.25">
      <c r="A77" s="5"/>
    </row>
    <row r="78" spans="1:1" x14ac:dyDescent="0.25">
      <c r="A78" s="5"/>
    </row>
    <row r="79" spans="1:1" x14ac:dyDescent="0.25">
      <c r="A79" s="5"/>
    </row>
    <row r="80" spans="1:1" x14ac:dyDescent="0.25">
      <c r="A80" s="5"/>
    </row>
    <row r="81" spans="1:1" x14ac:dyDescent="0.25">
      <c r="A81" s="5"/>
    </row>
    <row r="82" spans="1:1" x14ac:dyDescent="0.25">
      <c r="A82" s="5"/>
    </row>
    <row r="83" spans="1:1" x14ac:dyDescent="0.25">
      <c r="A83" s="5"/>
    </row>
    <row r="84" spans="1:1" x14ac:dyDescent="0.25">
      <c r="A84" s="5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51BDD057A98E4AA58101D97D065A06" ma:contentTypeVersion="13" ma:contentTypeDescription="Create a new document." ma:contentTypeScope="" ma:versionID="476137a8810be02ee121a8845b814d80">
  <xsd:schema xmlns:xsd="http://www.w3.org/2001/XMLSchema" xmlns:xs="http://www.w3.org/2001/XMLSchema" xmlns:p="http://schemas.microsoft.com/office/2006/metadata/properties" xmlns:ns2="ec4e0f00-b932-47d8-a2b6-8de0c738c35e" xmlns:ns3="b867937b-c63d-4d4a-bfd0-acff1aa3cf92" targetNamespace="http://schemas.microsoft.com/office/2006/metadata/properties" ma:root="true" ma:fieldsID="d56cab8816205c041e4d9a0129dac4ae" ns2:_="" ns3:_="">
    <xsd:import namespace="ec4e0f00-b932-47d8-a2b6-8de0c738c35e"/>
    <xsd:import namespace="b867937b-c63d-4d4a-bfd0-acff1aa3cf9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c4e0f00-b932-47d8-a2b6-8de0c738c3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internalName="MediaServiceLocation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867937b-c63d-4d4a-bfd0-acff1aa3cf92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94761DE-3C3F-46F5-99CA-1C29BE123439}"/>
</file>

<file path=customXml/itemProps2.xml><?xml version="1.0" encoding="utf-8"?>
<ds:datastoreItem xmlns:ds="http://schemas.openxmlformats.org/officeDocument/2006/customXml" ds:itemID="{A2085727-24A9-4B47-BD2D-0FD61A99048A}"/>
</file>

<file path=customXml/itemProps3.xml><?xml version="1.0" encoding="utf-8"?>
<ds:datastoreItem xmlns:ds="http://schemas.openxmlformats.org/officeDocument/2006/customXml" ds:itemID="{4B2E738D-08C7-488A-93C9-E1FA6C6F92C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8</vt:i4>
      </vt:variant>
    </vt:vector>
  </HeadingPairs>
  <TitlesOfParts>
    <vt:vector size="18" baseType="lpstr">
      <vt:lpstr>Customer Info</vt:lpstr>
      <vt:lpstr>3zip</vt:lpstr>
      <vt:lpstr>4zip</vt:lpstr>
      <vt:lpstr>5zip</vt:lpstr>
      <vt:lpstr>Variable Div Avgs</vt:lpstr>
      <vt:lpstr>Variable Selling</vt:lpstr>
      <vt:lpstr>Existing Customer Variable Exp</vt:lpstr>
      <vt:lpstr>Existing Customers</vt:lpstr>
      <vt:lpstr>REFERENCE</vt:lpstr>
      <vt:lpstr>MARKET LIST</vt:lpstr>
      <vt:lpstr>'3zip'!ExternalData_1</vt:lpstr>
      <vt:lpstr>'4zip'!ExternalData_1</vt:lpstr>
      <vt:lpstr>'5zip'!ExternalData_1</vt:lpstr>
      <vt:lpstr>'Customer Info'!ExternalData_1</vt:lpstr>
      <vt:lpstr>'Existing Customer Variable Exp'!ExternalData_1</vt:lpstr>
      <vt:lpstr>'Existing Customers'!ExternalData_1</vt:lpstr>
      <vt:lpstr>'Variable Div Avgs'!ExternalData_1</vt:lpstr>
      <vt:lpstr>'Variable Selling'!ExternalData_1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Alex</dc:creator>
  <cp:lastModifiedBy>Lim, Alex</cp:lastModifiedBy>
  <dcterms:created xsi:type="dcterms:W3CDTF">2019-02-12T14:49:08Z</dcterms:created>
  <dcterms:modified xsi:type="dcterms:W3CDTF">2019-02-14T04:21:48Z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0x010100EF51BDD057A98E4AA58101D97D065A06</vt:lpwstr>
  </property>
</Properties>
</file>